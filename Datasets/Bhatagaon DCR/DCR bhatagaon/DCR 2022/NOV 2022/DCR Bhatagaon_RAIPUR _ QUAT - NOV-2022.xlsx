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3" firstSheet="11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H110" i="41" l="1"/>
  <c r="H112" i="41" s="1"/>
  <c r="G110" i="41"/>
  <c r="G112" i="41" s="1"/>
  <c r="N110" i="41"/>
  <c r="N112" i="41" s="1"/>
  <c r="N110" i="40"/>
  <c r="N112" i="40" s="1"/>
  <c r="B2" i="40"/>
  <c r="A37" i="39" s="1"/>
  <c r="B106" i="40"/>
  <c r="C106" i="40"/>
  <c r="D106" i="40"/>
  <c r="E106" i="40"/>
  <c r="F106" i="40"/>
  <c r="G106" i="40"/>
  <c r="H106" i="40"/>
  <c r="I106" i="40"/>
  <c r="J106" i="40"/>
  <c r="K106" i="40"/>
  <c r="L106" i="40"/>
  <c r="M106" i="40"/>
  <c r="N106" i="40"/>
  <c r="O106" i="40"/>
  <c r="P106" i="40"/>
  <c r="Q106" i="40"/>
  <c r="B107" i="40"/>
  <c r="C107" i="40"/>
  <c r="D107" i="40"/>
  <c r="E107" i="40"/>
  <c r="F107" i="40"/>
  <c r="G107" i="40"/>
  <c r="H107" i="40"/>
  <c r="I107" i="40"/>
  <c r="J107" i="40"/>
  <c r="K107" i="40"/>
  <c r="L107" i="40"/>
  <c r="M107" i="40"/>
  <c r="N107" i="40"/>
  <c r="O107" i="40"/>
  <c r="P107" i="40"/>
  <c r="Q107" i="40"/>
  <c r="B108" i="40"/>
  <c r="B37" i="39" s="1"/>
  <c r="C108" i="40"/>
  <c r="D108" i="40"/>
  <c r="E108" i="40"/>
  <c r="F108" i="40"/>
  <c r="F37" i="39" s="1"/>
  <c r="G108" i="40"/>
  <c r="H108" i="40"/>
  <c r="I108" i="40"/>
  <c r="J108" i="40"/>
  <c r="K108" i="40"/>
  <c r="L108" i="40"/>
  <c r="M108" i="40"/>
  <c r="N108" i="40"/>
  <c r="O108" i="40"/>
  <c r="P108" i="40"/>
  <c r="Q108" i="40"/>
  <c r="Q37" i="39" s="1"/>
  <c r="B109" i="40"/>
  <c r="C109" i="40"/>
  <c r="D109" i="40"/>
  <c r="E109" i="40"/>
  <c r="F109" i="40"/>
  <c r="G109" i="40"/>
  <c r="H109" i="40"/>
  <c r="I109" i="40"/>
  <c r="J109" i="40"/>
  <c r="K109" i="40"/>
  <c r="L109" i="40"/>
  <c r="M109" i="40"/>
  <c r="N109" i="40"/>
  <c r="O109" i="40"/>
  <c r="P109" i="40"/>
  <c r="Q109" i="40"/>
  <c r="B110" i="40"/>
  <c r="B111" i="40"/>
  <c r="C110" i="40"/>
  <c r="C112" i="40" s="1"/>
  <c r="D110" i="40"/>
  <c r="D112" i="40" s="1"/>
  <c r="E110" i="40"/>
  <c r="E111" i="40" s="1"/>
  <c r="F110" i="40"/>
  <c r="G110" i="40"/>
  <c r="G111" i="40" s="1"/>
  <c r="H110" i="40"/>
  <c r="H111" i="40" s="1"/>
  <c r="I110" i="40"/>
  <c r="J110" i="40"/>
  <c r="K110" i="40"/>
  <c r="K112" i="40" s="1"/>
  <c r="L110" i="40"/>
  <c r="L112" i="40" s="1"/>
  <c r="M110" i="40"/>
  <c r="M111" i="40" s="1"/>
  <c r="O110" i="40"/>
  <c r="O112" i="40" s="1"/>
  <c r="P110" i="40"/>
  <c r="P111" i="40" s="1"/>
  <c r="Q110" i="40"/>
  <c r="Q111" i="40"/>
  <c r="C111" i="40"/>
  <c r="D111" i="40"/>
  <c r="F111" i="40"/>
  <c r="I111" i="40"/>
  <c r="J111" i="40"/>
  <c r="K111" i="40"/>
  <c r="F112" i="40"/>
  <c r="G112" i="40"/>
  <c r="H112" i="40"/>
  <c r="I112" i="40"/>
  <c r="J112" i="40"/>
  <c r="M112" i="40"/>
  <c r="P112" i="40"/>
  <c r="C110" i="32"/>
  <c r="C112" i="32" s="1"/>
  <c r="D110" i="32"/>
  <c r="D112" i="32" s="1"/>
  <c r="E110" i="32"/>
  <c r="F110" i="32"/>
  <c r="G110" i="32"/>
  <c r="G112" i="32"/>
  <c r="H110" i="32"/>
  <c r="I110" i="32"/>
  <c r="I112" i="32" s="1"/>
  <c r="J110" i="32"/>
  <c r="K110" i="32"/>
  <c r="L110" i="32"/>
  <c r="M110" i="32"/>
  <c r="N110" i="32"/>
  <c r="O110" i="32"/>
  <c r="P110" i="32"/>
  <c r="Q110" i="32"/>
  <c r="A113" i="32"/>
  <c r="B110" i="32"/>
  <c r="B111" i="32"/>
  <c r="Q110" i="31"/>
  <c r="Q112" i="31"/>
  <c r="H110" i="31"/>
  <c r="H111" i="31" s="1"/>
  <c r="G110" i="31"/>
  <c r="G112" i="31" s="1"/>
  <c r="F110" i="31"/>
  <c r="F112" i="31" s="1"/>
  <c r="M110" i="27"/>
  <c r="M111" i="27" s="1"/>
  <c r="Q110" i="27"/>
  <c r="Q111" i="27" s="1"/>
  <c r="G110" i="27"/>
  <c r="G111" i="27" s="1"/>
  <c r="H110" i="27"/>
  <c r="H111" i="27" s="1"/>
  <c r="I110" i="27"/>
  <c r="I111" i="27"/>
  <c r="Q110" i="26"/>
  <c r="Q111" i="26" s="1"/>
  <c r="P110" i="26"/>
  <c r="P111" i="26" s="1"/>
  <c r="O110" i="26"/>
  <c r="N110" i="26"/>
  <c r="M110" i="26"/>
  <c r="M112" i="26" s="1"/>
  <c r="L110" i="26"/>
  <c r="K110" i="26"/>
  <c r="J110" i="26"/>
  <c r="I110" i="26"/>
  <c r="H110" i="26"/>
  <c r="G110" i="26"/>
  <c r="F110" i="26"/>
  <c r="E110" i="26"/>
  <c r="D110" i="26"/>
  <c r="C110" i="26"/>
  <c r="B110" i="26"/>
  <c r="B112" i="26" s="1"/>
  <c r="Q110" i="25"/>
  <c r="Q112" i="25" s="1"/>
  <c r="P110" i="25"/>
  <c r="P112" i="25" s="1"/>
  <c r="O110" i="25"/>
  <c r="N110" i="25"/>
  <c r="M110" i="25"/>
  <c r="M112" i="25" s="1"/>
  <c r="L110" i="25"/>
  <c r="K110" i="25"/>
  <c r="J110" i="25"/>
  <c r="I110" i="25"/>
  <c r="H110" i="25"/>
  <c r="G110" i="25"/>
  <c r="F110" i="25"/>
  <c r="F112" i="25" s="1"/>
  <c r="E110" i="25"/>
  <c r="E111" i="25"/>
  <c r="D110" i="25"/>
  <c r="D112" i="25"/>
  <c r="C110" i="25"/>
  <c r="C112" i="25"/>
  <c r="B110" i="25"/>
  <c r="B112" i="25" s="1"/>
  <c r="G110" i="24"/>
  <c r="G112" i="24" s="1"/>
  <c r="F110" i="24"/>
  <c r="F111" i="24" s="1"/>
  <c r="E110" i="24"/>
  <c r="E112" i="24" s="1"/>
  <c r="D110" i="24"/>
  <c r="D111" i="24"/>
  <c r="C110" i="24"/>
  <c r="C112" i="24" s="1"/>
  <c r="B110" i="24"/>
  <c r="B112" i="24" s="1"/>
  <c r="F110" i="22"/>
  <c r="F111" i="22" s="1"/>
  <c r="E110" i="22"/>
  <c r="E112" i="22" s="1"/>
  <c r="D110" i="22"/>
  <c r="D111" i="22" s="1"/>
  <c r="C110" i="22"/>
  <c r="C111" i="22" s="1"/>
  <c r="B110" i="22"/>
  <c r="B111" i="22" s="1"/>
  <c r="Q110" i="22"/>
  <c r="Q111" i="22"/>
  <c r="P110" i="22"/>
  <c r="P112" i="22" s="1"/>
  <c r="O110" i="22"/>
  <c r="O111" i="22" s="1"/>
  <c r="N110" i="22"/>
  <c r="N112" i="22" s="1"/>
  <c r="M110" i="22"/>
  <c r="M112" i="22" s="1"/>
  <c r="L110" i="22"/>
  <c r="L112" i="22" s="1"/>
  <c r="K110" i="22"/>
  <c r="K112" i="22" s="1"/>
  <c r="J110" i="22"/>
  <c r="J111" i="22" s="1"/>
  <c r="I110" i="22"/>
  <c r="I111" i="22"/>
  <c r="H110" i="22"/>
  <c r="H111" i="22" s="1"/>
  <c r="G110" i="22"/>
  <c r="G111" i="22" s="1"/>
  <c r="M110" i="21"/>
  <c r="M112" i="21" s="1"/>
  <c r="L110" i="21"/>
  <c r="L112" i="21" s="1"/>
  <c r="F110" i="20"/>
  <c r="F112" i="20" s="1"/>
  <c r="D110" i="20"/>
  <c r="D112" i="20" s="1"/>
  <c r="C110" i="20"/>
  <c r="C112" i="20" s="1"/>
  <c r="B110" i="20"/>
  <c r="B111" i="20"/>
  <c r="Q110" i="20"/>
  <c r="Q111" i="20" s="1"/>
  <c r="M110" i="20"/>
  <c r="M112" i="20" s="1"/>
  <c r="L110" i="20"/>
  <c r="L112" i="20" s="1"/>
  <c r="Q110" i="19"/>
  <c r="Q111" i="19" s="1"/>
  <c r="M110" i="19"/>
  <c r="M111" i="19" s="1"/>
  <c r="L110" i="19"/>
  <c r="L111" i="19" s="1"/>
  <c r="Q110" i="18"/>
  <c r="Q112" i="18" s="1"/>
  <c r="M110" i="18"/>
  <c r="M111" i="18"/>
  <c r="L110" i="18"/>
  <c r="L111" i="18" s="1"/>
  <c r="H110" i="17"/>
  <c r="H111" i="17" s="1"/>
  <c r="G110" i="17"/>
  <c r="G112" i="17" s="1"/>
  <c r="M110" i="17"/>
  <c r="M112" i="17" s="1"/>
  <c r="L110" i="17"/>
  <c r="L112" i="17" s="1"/>
  <c r="M110" i="16"/>
  <c r="M112" i="16" s="1"/>
  <c r="L110" i="16"/>
  <c r="L112" i="16" s="1"/>
  <c r="P110" i="15"/>
  <c r="P111" i="15"/>
  <c r="J110" i="15"/>
  <c r="J111" i="15" s="1"/>
  <c r="I110" i="15"/>
  <c r="I111" i="15" s="1"/>
  <c r="H110" i="15"/>
  <c r="H111" i="15" s="1"/>
  <c r="G110" i="15"/>
  <c r="G112" i="15" s="1"/>
  <c r="Q110" i="15"/>
  <c r="Q111" i="15" s="1"/>
  <c r="M110" i="15"/>
  <c r="M112" i="15" s="1"/>
  <c r="L110" i="15"/>
  <c r="L111" i="15" s="1"/>
  <c r="Q110" i="14"/>
  <c r="Q111" i="14"/>
  <c r="P110" i="14"/>
  <c r="P111" i="14" s="1"/>
  <c r="O110" i="14"/>
  <c r="N110" i="14"/>
  <c r="M110" i="14"/>
  <c r="L110" i="14"/>
  <c r="K110" i="14"/>
  <c r="J110" i="14"/>
  <c r="I110" i="14"/>
  <c r="I112" i="14" s="1"/>
  <c r="H110" i="14"/>
  <c r="G110" i="14"/>
  <c r="F110" i="14"/>
  <c r="E110" i="14"/>
  <c r="D110" i="14"/>
  <c r="C110" i="14"/>
  <c r="B110" i="14"/>
  <c r="B111" i="14" s="1"/>
  <c r="Q110" i="13"/>
  <c r="Q111" i="13" s="1"/>
  <c r="P110" i="13"/>
  <c r="P111" i="13" s="1"/>
  <c r="O110" i="13"/>
  <c r="N110" i="13"/>
  <c r="M110" i="13"/>
  <c r="M112" i="13" s="1"/>
  <c r="L110" i="13"/>
  <c r="K110" i="13"/>
  <c r="J110" i="13"/>
  <c r="I110" i="13"/>
  <c r="H110" i="13"/>
  <c r="G110" i="13"/>
  <c r="G111" i="13" s="1"/>
  <c r="F110" i="13"/>
  <c r="F112" i="13" s="1"/>
  <c r="E110" i="13"/>
  <c r="E111" i="13" s="1"/>
  <c r="D110" i="13"/>
  <c r="C110" i="13"/>
  <c r="B110" i="13"/>
  <c r="B112" i="13"/>
  <c r="I111" i="13"/>
  <c r="H112" i="13"/>
  <c r="Q110" i="12"/>
  <c r="Q112" i="12"/>
  <c r="P110" i="12"/>
  <c r="P111" i="12"/>
  <c r="O110" i="12"/>
  <c r="O111" i="12" s="1"/>
  <c r="N110" i="12"/>
  <c r="M110" i="12"/>
  <c r="M112" i="12" s="1"/>
  <c r="L110" i="12"/>
  <c r="L111" i="12" s="1"/>
  <c r="K110" i="12"/>
  <c r="J110" i="12"/>
  <c r="I110" i="12"/>
  <c r="H110" i="12"/>
  <c r="G110" i="12"/>
  <c r="F110" i="12"/>
  <c r="E110" i="12"/>
  <c r="D110" i="12"/>
  <c r="C110" i="12"/>
  <c r="B110" i="12"/>
  <c r="B111" i="12" s="1"/>
  <c r="Q110" i="11"/>
  <c r="Q112" i="11"/>
  <c r="P110" i="11"/>
  <c r="P111" i="11"/>
  <c r="O110" i="11"/>
  <c r="N110" i="11"/>
  <c r="N112" i="11" s="1"/>
  <c r="M110" i="11"/>
  <c r="M111" i="11" s="1"/>
  <c r="L110" i="11"/>
  <c r="L111" i="11" s="1"/>
  <c r="K110" i="11"/>
  <c r="K111" i="11" s="1"/>
  <c r="J110" i="11"/>
  <c r="J112" i="11"/>
  <c r="I110" i="11"/>
  <c r="H110" i="11"/>
  <c r="G110" i="11"/>
  <c r="F110" i="11"/>
  <c r="E110" i="11"/>
  <c r="D110" i="11"/>
  <c r="C110" i="11"/>
  <c r="B110" i="11"/>
  <c r="B112" i="11"/>
  <c r="Q110" i="10"/>
  <c r="Q112" i="10"/>
  <c r="P110" i="10"/>
  <c r="P112" i="10"/>
  <c r="O110" i="10"/>
  <c r="N110" i="10"/>
  <c r="M110" i="10"/>
  <c r="M111" i="10" s="1"/>
  <c r="L110" i="10"/>
  <c r="K110" i="10"/>
  <c r="J110" i="10"/>
  <c r="I110" i="10"/>
  <c r="H110" i="10"/>
  <c r="G110" i="10"/>
  <c r="F110" i="10"/>
  <c r="E110" i="10"/>
  <c r="E111" i="10" s="1"/>
  <c r="D110" i="10"/>
  <c r="C110" i="10"/>
  <c r="B110" i="10"/>
  <c r="B111" i="10" s="1"/>
  <c r="Q110" i="9"/>
  <c r="Q112" i="9"/>
  <c r="P110" i="9"/>
  <c r="P112" i="9" s="1"/>
  <c r="O110" i="9"/>
  <c r="O112" i="9" s="1"/>
  <c r="N110" i="9"/>
  <c r="M110" i="9"/>
  <c r="M112" i="9" s="1"/>
  <c r="L110" i="9"/>
  <c r="K110" i="9"/>
  <c r="K111" i="9" s="1"/>
  <c r="J110" i="9"/>
  <c r="I110" i="9"/>
  <c r="H110" i="9"/>
  <c r="G110" i="9"/>
  <c r="F110" i="9"/>
  <c r="E110" i="9"/>
  <c r="D110" i="9"/>
  <c r="C110" i="9"/>
  <c r="C111" i="9" s="1"/>
  <c r="B110" i="9"/>
  <c r="B111" i="9" s="1"/>
  <c r="N112" i="9"/>
  <c r="L111" i="9"/>
  <c r="J112" i="9"/>
  <c r="I111" i="9"/>
  <c r="H112" i="9"/>
  <c r="G111" i="9"/>
  <c r="F111" i="9"/>
  <c r="E112" i="9"/>
  <c r="D112" i="9"/>
  <c r="Q110" i="8"/>
  <c r="Q111" i="8"/>
  <c r="P110" i="8"/>
  <c r="P112" i="8" s="1"/>
  <c r="O110" i="8"/>
  <c r="N110" i="8"/>
  <c r="M110" i="8"/>
  <c r="M112" i="8" s="1"/>
  <c r="L110" i="8"/>
  <c r="K110" i="8"/>
  <c r="J110" i="8"/>
  <c r="J111" i="8" s="1"/>
  <c r="I110" i="8"/>
  <c r="I111" i="8" s="1"/>
  <c r="H110" i="8"/>
  <c r="G110" i="8"/>
  <c r="F110" i="8"/>
  <c r="E110" i="8"/>
  <c r="E112" i="8" s="1"/>
  <c r="D110" i="8"/>
  <c r="C110" i="8"/>
  <c r="B110" i="8"/>
  <c r="B112" i="8" s="1"/>
  <c r="I110" i="3"/>
  <c r="I112" i="3" s="1"/>
  <c r="Q110" i="3"/>
  <c r="Q111" i="3" s="1"/>
  <c r="P110" i="3"/>
  <c r="P111" i="3" s="1"/>
  <c r="O110" i="3"/>
  <c r="N110" i="3"/>
  <c r="K110" i="3"/>
  <c r="K111" i="3" s="1"/>
  <c r="J110" i="3"/>
  <c r="H110" i="3"/>
  <c r="H112" i="3" s="1"/>
  <c r="G110" i="3"/>
  <c r="F110" i="3"/>
  <c r="E110" i="3"/>
  <c r="D110" i="3"/>
  <c r="D112" i="3" s="1"/>
  <c r="C110" i="3"/>
  <c r="C112" i="3" s="1"/>
  <c r="B110" i="3"/>
  <c r="B112" i="3" s="1"/>
  <c r="M110" i="3"/>
  <c r="M112" i="3" s="1"/>
  <c r="L110" i="3"/>
  <c r="L112" i="3" s="1"/>
  <c r="G110" i="2"/>
  <c r="G111" i="2" s="1"/>
  <c r="H110" i="2"/>
  <c r="H112" i="2" s="1"/>
  <c r="E110" i="2"/>
  <c r="E112" i="2" s="1"/>
  <c r="F110" i="2"/>
  <c r="F112" i="2" s="1"/>
  <c r="M110" i="2"/>
  <c r="M112" i="2" s="1"/>
  <c r="L110" i="2"/>
  <c r="L111" i="2" s="1"/>
  <c r="C111" i="12"/>
  <c r="D111" i="12"/>
  <c r="G112" i="12"/>
  <c r="I111" i="12"/>
  <c r="C111" i="11"/>
  <c r="G112" i="11"/>
  <c r="H111" i="11"/>
  <c r="O111" i="11"/>
  <c r="C112" i="10"/>
  <c r="D112" i="10"/>
  <c r="G112" i="10"/>
  <c r="H112" i="10"/>
  <c r="I111" i="10"/>
  <c r="K112" i="10"/>
  <c r="C111" i="8"/>
  <c r="D112" i="8"/>
  <c r="H111" i="8"/>
  <c r="C110" i="2"/>
  <c r="C111" i="2" s="1"/>
  <c r="D110" i="2"/>
  <c r="I110" i="2"/>
  <c r="J110" i="2"/>
  <c r="J112" i="2" s="1"/>
  <c r="K110" i="2"/>
  <c r="N110" i="2"/>
  <c r="N112" i="2" s="1"/>
  <c r="O110" i="2"/>
  <c r="P110" i="2"/>
  <c r="Q110" i="2"/>
  <c r="J110" i="41"/>
  <c r="J112" i="41" s="1"/>
  <c r="I110" i="41"/>
  <c r="I111" i="41" s="1"/>
  <c r="J110" i="33"/>
  <c r="J112" i="33" s="1"/>
  <c r="I110" i="33"/>
  <c r="I112" i="33" s="1"/>
  <c r="H110" i="33"/>
  <c r="H111" i="33"/>
  <c r="J112" i="32"/>
  <c r="H112" i="32"/>
  <c r="Q112" i="32"/>
  <c r="P111" i="32"/>
  <c r="O112" i="32"/>
  <c r="N112" i="32"/>
  <c r="L111" i="32"/>
  <c r="K112" i="32"/>
  <c r="F112" i="32"/>
  <c r="E112" i="32"/>
  <c r="M112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C110" i="31"/>
  <c r="D110" i="31"/>
  <c r="E110" i="31"/>
  <c r="E112" i="31" s="1"/>
  <c r="I110" i="31"/>
  <c r="J110" i="31"/>
  <c r="J112" i="31"/>
  <c r="K110" i="31"/>
  <c r="L110" i="31"/>
  <c r="M110" i="31"/>
  <c r="M112" i="31" s="1"/>
  <c r="N110" i="31"/>
  <c r="N112" i="31" s="1"/>
  <c r="O110" i="31"/>
  <c r="P110" i="31"/>
  <c r="C110" i="30"/>
  <c r="D110" i="30"/>
  <c r="E110" i="30"/>
  <c r="F110" i="30"/>
  <c r="F112" i="30" s="1"/>
  <c r="G110" i="30"/>
  <c r="G111" i="30" s="1"/>
  <c r="H110" i="30"/>
  <c r="I110" i="30"/>
  <c r="J110" i="30"/>
  <c r="J111" i="30"/>
  <c r="K110" i="30"/>
  <c r="K112" i="30" s="1"/>
  <c r="L110" i="30"/>
  <c r="M110" i="30"/>
  <c r="M112" i="30" s="1"/>
  <c r="N110" i="30"/>
  <c r="O110" i="30"/>
  <c r="P110" i="30"/>
  <c r="P112" i="30"/>
  <c r="Q110" i="30"/>
  <c r="Q111" i="30"/>
  <c r="B110" i="30"/>
  <c r="B112" i="30"/>
  <c r="C110" i="29"/>
  <c r="D110" i="29"/>
  <c r="E110" i="29"/>
  <c r="F110" i="29"/>
  <c r="F112" i="29" s="1"/>
  <c r="G110" i="29"/>
  <c r="G111" i="29" s="1"/>
  <c r="H110" i="29"/>
  <c r="I110" i="29"/>
  <c r="J110" i="29"/>
  <c r="J111" i="29" s="1"/>
  <c r="K110" i="29"/>
  <c r="K112" i="29" s="1"/>
  <c r="L110" i="29"/>
  <c r="M110" i="29"/>
  <c r="N110" i="29"/>
  <c r="O110" i="29"/>
  <c r="O112" i="29"/>
  <c r="P110" i="29"/>
  <c r="Q110" i="29"/>
  <c r="Q112" i="29" s="1"/>
  <c r="B110" i="29"/>
  <c r="B112" i="29"/>
  <c r="C110" i="28"/>
  <c r="D110" i="28"/>
  <c r="E110" i="28"/>
  <c r="E111" i="28" s="1"/>
  <c r="F110" i="28"/>
  <c r="F112" i="28"/>
  <c r="G110" i="28"/>
  <c r="H110" i="28"/>
  <c r="I110" i="28"/>
  <c r="I112" i="28" s="1"/>
  <c r="J110" i="28"/>
  <c r="K110" i="28"/>
  <c r="L110" i="28"/>
  <c r="M110" i="28"/>
  <c r="N110" i="28"/>
  <c r="O110" i="28"/>
  <c r="O111" i="28" s="1"/>
  <c r="P110" i="28"/>
  <c r="P112" i="28" s="1"/>
  <c r="Q110" i="28"/>
  <c r="C110" i="27"/>
  <c r="C111" i="27"/>
  <c r="D110" i="27"/>
  <c r="D111" i="27" s="1"/>
  <c r="E110" i="27"/>
  <c r="E111" i="27" s="1"/>
  <c r="F110" i="27"/>
  <c r="F112" i="27" s="1"/>
  <c r="J110" i="27"/>
  <c r="K110" i="27"/>
  <c r="L110" i="27"/>
  <c r="L112" i="27" s="1"/>
  <c r="N110" i="27"/>
  <c r="N112" i="27" s="1"/>
  <c r="O110" i="27"/>
  <c r="O111" i="27" s="1"/>
  <c r="P110" i="27"/>
  <c r="O111" i="26"/>
  <c r="N111" i="26"/>
  <c r="L111" i="26"/>
  <c r="K112" i="26"/>
  <c r="J111" i="26"/>
  <c r="I112" i="26"/>
  <c r="H112" i="26"/>
  <c r="G111" i="26"/>
  <c r="F112" i="26"/>
  <c r="E112" i="26"/>
  <c r="D111" i="26"/>
  <c r="C112" i="26"/>
  <c r="L110" i="24"/>
  <c r="O111" i="25"/>
  <c r="N111" i="25"/>
  <c r="L111" i="25"/>
  <c r="K112" i="25"/>
  <c r="J111" i="25"/>
  <c r="H111" i="25"/>
  <c r="G112" i="25"/>
  <c r="C110" i="23"/>
  <c r="D110" i="23"/>
  <c r="E110" i="23"/>
  <c r="F110" i="23"/>
  <c r="G110" i="23"/>
  <c r="G111" i="23" s="1"/>
  <c r="H110" i="23"/>
  <c r="H111" i="23" s="1"/>
  <c r="I110" i="23"/>
  <c r="I111" i="23" s="1"/>
  <c r="J110" i="23"/>
  <c r="J111" i="23"/>
  <c r="K110" i="23"/>
  <c r="K111" i="23" s="1"/>
  <c r="L110" i="23"/>
  <c r="L112" i="23" s="1"/>
  <c r="M110" i="23"/>
  <c r="N110" i="23"/>
  <c r="N112" i="23"/>
  <c r="O110" i="23"/>
  <c r="P110" i="23"/>
  <c r="Q110" i="23"/>
  <c r="Q112" i="23"/>
  <c r="B110" i="23"/>
  <c r="C110" i="21"/>
  <c r="C111" i="21" s="1"/>
  <c r="D110" i="21"/>
  <c r="E110" i="21"/>
  <c r="E111" i="21" s="1"/>
  <c r="F110" i="21"/>
  <c r="G110" i="21"/>
  <c r="G111" i="21" s="1"/>
  <c r="H110" i="21"/>
  <c r="H112" i="21" s="1"/>
  <c r="I110" i="21"/>
  <c r="J110" i="21"/>
  <c r="K110" i="21"/>
  <c r="K112" i="21" s="1"/>
  <c r="N110" i="21"/>
  <c r="O110" i="21"/>
  <c r="P110" i="21"/>
  <c r="Q110" i="21"/>
  <c r="Q112" i="21"/>
  <c r="B110" i="21"/>
  <c r="B111" i="21" s="1"/>
  <c r="P110" i="20"/>
  <c r="P111" i="20"/>
  <c r="O110" i="20"/>
  <c r="O112" i="20"/>
  <c r="N110" i="20"/>
  <c r="N112" i="20"/>
  <c r="K110" i="20"/>
  <c r="K112" i="20" s="1"/>
  <c r="J110" i="20"/>
  <c r="J111" i="20"/>
  <c r="I110" i="20"/>
  <c r="I112" i="20"/>
  <c r="H110" i="20"/>
  <c r="H112" i="20"/>
  <c r="G110" i="20"/>
  <c r="G112" i="20" s="1"/>
  <c r="E110" i="20"/>
  <c r="E112" i="20"/>
  <c r="E110" i="19"/>
  <c r="E112" i="19"/>
  <c r="F110" i="19"/>
  <c r="G110" i="19"/>
  <c r="H110" i="19"/>
  <c r="H111" i="19" s="1"/>
  <c r="I110" i="19"/>
  <c r="I111" i="19"/>
  <c r="J110" i="19"/>
  <c r="K110" i="19"/>
  <c r="N110" i="19"/>
  <c r="O110" i="19"/>
  <c r="O112" i="19"/>
  <c r="P110" i="19"/>
  <c r="P111" i="19" s="1"/>
  <c r="C110" i="16"/>
  <c r="C111" i="16" s="1"/>
  <c r="D110" i="16"/>
  <c r="D111" i="16" s="1"/>
  <c r="E110" i="16"/>
  <c r="F110" i="16"/>
  <c r="G110" i="16"/>
  <c r="G112" i="16" s="1"/>
  <c r="H110" i="16"/>
  <c r="I110" i="16"/>
  <c r="J110" i="16"/>
  <c r="K110" i="16"/>
  <c r="N110" i="16"/>
  <c r="N111" i="16"/>
  <c r="O110" i="16"/>
  <c r="P110" i="16"/>
  <c r="Q110" i="16"/>
  <c r="C110" i="18"/>
  <c r="C111" i="18" s="1"/>
  <c r="D110" i="18"/>
  <c r="E110" i="18"/>
  <c r="F110" i="18"/>
  <c r="G110" i="18"/>
  <c r="G111" i="18" s="1"/>
  <c r="H110" i="18"/>
  <c r="H112" i="18" s="1"/>
  <c r="I110" i="18"/>
  <c r="J110" i="18"/>
  <c r="K110" i="18"/>
  <c r="N110" i="18"/>
  <c r="N112" i="18" s="1"/>
  <c r="O110" i="18"/>
  <c r="P110" i="18"/>
  <c r="B110" i="18"/>
  <c r="B112" i="18" s="1"/>
  <c r="Q110" i="17"/>
  <c r="Q112" i="17"/>
  <c r="H111" i="14"/>
  <c r="K112" i="14"/>
  <c r="J112" i="13"/>
  <c r="E111" i="12"/>
  <c r="J112" i="12"/>
  <c r="H112" i="12"/>
  <c r="I112" i="11"/>
  <c r="J111" i="10"/>
  <c r="J111" i="2"/>
  <c r="I112" i="2"/>
  <c r="D112" i="31"/>
  <c r="C112" i="31"/>
  <c r="I112" i="31"/>
  <c r="Q106" i="20"/>
  <c r="P112" i="11"/>
  <c r="F112" i="11"/>
  <c r="E112" i="11"/>
  <c r="D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1" i="2"/>
  <c r="P112" i="2"/>
  <c r="O112" i="2"/>
  <c r="K111" i="2"/>
  <c r="D111" i="2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L108" i="2"/>
  <c r="K108" i="2"/>
  <c r="K9" i="39" s="1"/>
  <c r="J108" i="2"/>
  <c r="J9" i="39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E111" i="3"/>
  <c r="F111" i="3"/>
  <c r="G111" i="3"/>
  <c r="N111" i="3"/>
  <c r="O111" i="3"/>
  <c r="Q110" i="41"/>
  <c r="Q112" i="41"/>
  <c r="P110" i="41"/>
  <c r="P111" i="41"/>
  <c r="O110" i="41"/>
  <c r="O112" i="41"/>
  <c r="M110" i="41"/>
  <c r="M112" i="41" s="1"/>
  <c r="L110" i="41"/>
  <c r="L112" i="41"/>
  <c r="K110" i="41"/>
  <c r="K112" i="41"/>
  <c r="F110" i="41"/>
  <c r="F112" i="41"/>
  <c r="E110" i="41"/>
  <c r="E111" i="41"/>
  <c r="D110" i="41"/>
  <c r="D112" i="41"/>
  <c r="C110" i="41"/>
  <c r="C111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P38" i="39" s="1"/>
  <c r="O108" i="41"/>
  <c r="O38" i="39" s="1"/>
  <c r="N108" i="41"/>
  <c r="M108" i="41"/>
  <c r="L108" i="41"/>
  <c r="K108" i="41"/>
  <c r="K38" i="39"/>
  <c r="J108" i="41"/>
  <c r="I108" i="41"/>
  <c r="H108" i="41"/>
  <c r="H38" i="39"/>
  <c r="G108" i="41"/>
  <c r="G38" i="39"/>
  <c r="F108" i="41"/>
  <c r="F38" i="39" s="1"/>
  <c r="E108" i="41"/>
  <c r="D108" i="41"/>
  <c r="C108" i="41"/>
  <c r="B108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N37" i="39"/>
  <c r="I37" i="39"/>
  <c r="G37" i="39"/>
  <c r="Q110" i="33"/>
  <c r="Q112" i="33"/>
  <c r="P110" i="33"/>
  <c r="P112" i="33"/>
  <c r="O110" i="33"/>
  <c r="O112" i="33"/>
  <c r="N110" i="33"/>
  <c r="N112" i="33" s="1"/>
  <c r="M110" i="33"/>
  <c r="M112" i="33"/>
  <c r="L110" i="33"/>
  <c r="L111" i="33"/>
  <c r="K110" i="33"/>
  <c r="K111" i="33"/>
  <c r="G110" i="33"/>
  <c r="G111" i="33"/>
  <c r="F110" i="33"/>
  <c r="F112" i="33"/>
  <c r="E110" i="33"/>
  <c r="E112" i="33"/>
  <c r="D110" i="33"/>
  <c r="D112" i="33"/>
  <c r="C110" i="33"/>
  <c r="C112" i="33" s="1"/>
  <c r="B110" i="33"/>
  <c r="B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P36" i="39" s="1"/>
  <c r="O108" i="33"/>
  <c r="O36" i="39" s="1"/>
  <c r="N108" i="33"/>
  <c r="M108" i="33"/>
  <c r="L108" i="33"/>
  <c r="K108" i="33"/>
  <c r="J108" i="33"/>
  <c r="I108" i="33"/>
  <c r="H108" i="33"/>
  <c r="G108" i="33"/>
  <c r="G36" i="39" s="1"/>
  <c r="F108" i="33"/>
  <c r="E108" i="33"/>
  <c r="D108" i="33"/>
  <c r="D36" i="39" s="1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5" i="39"/>
  <c r="P112" i="31"/>
  <c r="O112" i="31"/>
  <c r="L112" i="31"/>
  <c r="K112" i="3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5" i="39" s="1"/>
  <c r="O108" i="31"/>
  <c r="O35" i="39" s="1"/>
  <c r="N108" i="31"/>
  <c r="N35" i="39" s="1"/>
  <c r="M108" i="31"/>
  <c r="M35" i="39" s="1"/>
  <c r="L108" i="31"/>
  <c r="L35" i="39" s="1"/>
  <c r="K108" i="31"/>
  <c r="K35" i="39" s="1"/>
  <c r="J108" i="31"/>
  <c r="J35" i="39" s="1"/>
  <c r="I108" i="31"/>
  <c r="I34" i="39"/>
  <c r="H108" i="31"/>
  <c r="H34" i="39" s="1"/>
  <c r="G108" i="31"/>
  <c r="G35" i="39" s="1"/>
  <c r="F108" i="31"/>
  <c r="F35" i="39" s="1"/>
  <c r="E108" i="31"/>
  <c r="E35" i="39" s="1"/>
  <c r="D108" i="31"/>
  <c r="D35" i="39" s="1"/>
  <c r="C108" i="31"/>
  <c r="C34" i="39" s="1"/>
  <c r="B108" i="31"/>
  <c r="B35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/>
  <c r="O112" i="30"/>
  <c r="N112" i="30"/>
  <c r="L112" i="30"/>
  <c r="I112" i="30"/>
  <c r="H112" i="30"/>
  <c r="E112" i="30"/>
  <c r="D112" i="30"/>
  <c r="C111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O108" i="30"/>
  <c r="N108" i="30"/>
  <c r="N33" i="39" s="1"/>
  <c r="M108" i="30"/>
  <c r="M33" i="39"/>
  <c r="L108" i="30"/>
  <c r="K108" i="30"/>
  <c r="J108" i="30"/>
  <c r="J33" i="39" s="1"/>
  <c r="I108" i="30"/>
  <c r="H108" i="30"/>
  <c r="G108" i="30"/>
  <c r="G33" i="39" s="1"/>
  <c r="F108" i="30"/>
  <c r="F33" i="39" s="1"/>
  <c r="E108" i="30"/>
  <c r="E33" i="39" s="1"/>
  <c r="D108" i="30"/>
  <c r="D33" i="39" s="1"/>
  <c r="C108" i="30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P112" i="29"/>
  <c r="N112" i="29"/>
  <c r="M112" i="29"/>
  <c r="L111" i="29"/>
  <c r="J112" i="29"/>
  <c r="I112" i="29"/>
  <c r="H112" i="29"/>
  <c r="E112" i="29"/>
  <c r="D111" i="29"/>
  <c r="C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I108" i="29"/>
  <c r="H108" i="29"/>
  <c r="H32" i="39"/>
  <c r="G108" i="29"/>
  <c r="G32" i="39" s="1"/>
  <c r="F108" i="29"/>
  <c r="F32" i="39" s="1"/>
  <c r="E108" i="29"/>
  <c r="D108" i="29"/>
  <c r="D32" i="39"/>
  <c r="C108" i="29"/>
  <c r="C32" i="39"/>
  <c r="B108" i="29"/>
  <c r="B32" i="3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2" i="28"/>
  <c r="N112" i="28"/>
  <c r="M112" i="28"/>
  <c r="L112" i="28"/>
  <c r="K112" i="28"/>
  <c r="J112" i="28"/>
  <c r="H111" i="28"/>
  <c r="G112" i="28"/>
  <c r="D112" i="28"/>
  <c r="C112" i="28"/>
  <c r="B110" i="28"/>
  <c r="B112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N108" i="28"/>
  <c r="M108" i="28"/>
  <c r="L108" i="28"/>
  <c r="L31" i="39"/>
  <c r="K108" i="28"/>
  <c r="K31" i="39" s="1"/>
  <c r="J108" i="28"/>
  <c r="J31" i="39" s="1"/>
  <c r="I108" i="28"/>
  <c r="I31" i="39" s="1"/>
  <c r="H108" i="28"/>
  <c r="H31" i="39" s="1"/>
  <c r="G108" i="28"/>
  <c r="F108" i="28"/>
  <c r="E108" i="28"/>
  <c r="E31" i="39" s="1"/>
  <c r="D108" i="28"/>
  <c r="C108" i="28"/>
  <c r="C31" i="39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P111" i="27"/>
  <c r="K112" i="27"/>
  <c r="J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N108" i="27"/>
  <c r="N30" i="39" s="1"/>
  <c r="M108" i="27"/>
  <c r="M30" i="39" s="1"/>
  <c r="L108" i="27"/>
  <c r="L30" i="39"/>
  <c r="K108" i="27"/>
  <c r="J108" i="27"/>
  <c r="I108" i="27"/>
  <c r="I30" i="39" s="1"/>
  <c r="H108" i="27"/>
  <c r="G108" i="27"/>
  <c r="F108" i="27"/>
  <c r="E108" i="27"/>
  <c r="E30" i="39"/>
  <c r="D108" i="27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O108" i="26"/>
  <c r="N108" i="26"/>
  <c r="N29" i="39" s="1"/>
  <c r="M108" i="26"/>
  <c r="M29" i="39" s="1"/>
  <c r="L108" i="26"/>
  <c r="L29" i="39" s="1"/>
  <c r="K108" i="26"/>
  <c r="J108" i="26"/>
  <c r="I108" i="26"/>
  <c r="I29" i="39" s="1"/>
  <c r="H108" i="26"/>
  <c r="G108" i="26"/>
  <c r="F108" i="26"/>
  <c r="F29" i="39"/>
  <c r="E108" i="26"/>
  <c r="E29" i="39" s="1"/>
  <c r="D108" i="26"/>
  <c r="C108" i="26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I112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/>
  <c r="M108" i="25"/>
  <c r="M28" i="39" s="1"/>
  <c r="L108" i="25"/>
  <c r="L28" i="39" s="1"/>
  <c r="K108" i="25"/>
  <c r="K28" i="39" s="1"/>
  <c r="J108" i="25"/>
  <c r="J28" i="39" s="1"/>
  <c r="I108" i="25"/>
  <c r="I28" i="39"/>
  <c r="H108" i="25"/>
  <c r="H28" i="39"/>
  <c r="G108" i="25"/>
  <c r="F108" i="25"/>
  <c r="F28" i="39" s="1"/>
  <c r="E108" i="25"/>
  <c r="E28" i="39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/>
  <c r="M110" i="24"/>
  <c r="M112" i="24" s="1"/>
  <c r="L112" i="24"/>
  <c r="K110" i="24"/>
  <c r="K111" i="24"/>
  <c r="J112" i="24"/>
  <c r="I112" i="24"/>
  <c r="H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O27" i="39"/>
  <c r="N108" i="24"/>
  <c r="M108" i="24"/>
  <c r="L108" i="24"/>
  <c r="L27" i="39" s="1"/>
  <c r="K108" i="24"/>
  <c r="J108" i="24"/>
  <c r="I108" i="24"/>
  <c r="I27" i="39"/>
  <c r="H108" i="24"/>
  <c r="H27" i="39"/>
  <c r="G108" i="24"/>
  <c r="F108" i="24"/>
  <c r="E108" i="24"/>
  <c r="D108" i="24"/>
  <c r="D27" i="39" s="1"/>
  <c r="C108" i="24"/>
  <c r="C27" i="39" s="1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P112" i="23"/>
  <c r="O112" i="23"/>
  <c r="M112" i="23"/>
  <c r="J112" i="23"/>
  <c r="F112" i="23"/>
  <c r="E112" i="23"/>
  <c r="D112" i="23"/>
  <c r="C112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P108" i="23"/>
  <c r="O108" i="23"/>
  <c r="N108" i="23"/>
  <c r="N26" i="39"/>
  <c r="M108" i="23"/>
  <c r="M26" i="39" s="1"/>
  <c r="L108" i="23"/>
  <c r="K108" i="23"/>
  <c r="J108" i="23"/>
  <c r="J26" i="39"/>
  <c r="I108" i="23"/>
  <c r="H108" i="23"/>
  <c r="G108" i="23"/>
  <c r="G26" i="39"/>
  <c r="F108" i="23"/>
  <c r="E108" i="23"/>
  <c r="D108" i="23"/>
  <c r="D26" i="39"/>
  <c r="C108" i="23"/>
  <c r="C26" i="39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/>
  <c r="O108" i="22"/>
  <c r="N108" i="22"/>
  <c r="M108" i="22"/>
  <c r="L108" i="22"/>
  <c r="L25" i="39" s="1"/>
  <c r="K108" i="22"/>
  <c r="K25" i="39" s="1"/>
  <c r="J108" i="22"/>
  <c r="J25" i="39"/>
  <c r="I108" i="22"/>
  <c r="H108" i="22"/>
  <c r="G108" i="22"/>
  <c r="G25" i="39" s="1"/>
  <c r="F108" i="22"/>
  <c r="F25" i="39" s="1"/>
  <c r="E108" i="22"/>
  <c r="E25" i="39" s="1"/>
  <c r="D108" i="22"/>
  <c r="D25" i="39" s="1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P112" i="21"/>
  <c r="O112" i="21"/>
  <c r="N112" i="21"/>
  <c r="J112" i="21"/>
  <c r="I112" i="21"/>
  <c r="F112" i="21"/>
  <c r="D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/>
  <c r="O108" i="21"/>
  <c r="N108" i="21"/>
  <c r="M108" i="21"/>
  <c r="M24" i="39"/>
  <c r="L108" i="21"/>
  <c r="L24" i="39"/>
  <c r="K108" i="21"/>
  <c r="K24" i="39" s="1"/>
  <c r="J108" i="21"/>
  <c r="J24" i="39"/>
  <c r="I108" i="21"/>
  <c r="I24" i="39"/>
  <c r="H108" i="21"/>
  <c r="H24" i="39"/>
  <c r="G108" i="21"/>
  <c r="G24" i="39"/>
  <c r="F108" i="21"/>
  <c r="F24" i="39"/>
  <c r="E108" i="21"/>
  <c r="D108" i="21"/>
  <c r="D24" i="39" s="1"/>
  <c r="C108" i="21"/>
  <c r="C24" i="39"/>
  <c r="B108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/>
  <c r="P108" i="20"/>
  <c r="O108" i="20"/>
  <c r="O23" i="39" s="1"/>
  <c r="N108" i="20"/>
  <c r="N23" i="39"/>
  <c r="M108" i="20"/>
  <c r="L108" i="20"/>
  <c r="K108" i="20"/>
  <c r="K23" i="39" s="1"/>
  <c r="J108" i="20"/>
  <c r="J23" i="39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B108" i="20"/>
  <c r="B23" i="39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N112" i="19"/>
  <c r="K112" i="19"/>
  <c r="J112" i="19"/>
  <c r="G112" i="19"/>
  <c r="F112" i="19"/>
  <c r="D110" i="19"/>
  <c r="D112" i="19"/>
  <c r="C110" i="19"/>
  <c r="C112" i="19"/>
  <c r="B110" i="19"/>
  <c r="B111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O22" i="39"/>
  <c r="N108" i="19"/>
  <c r="N22" i="39" s="1"/>
  <c r="M108" i="19"/>
  <c r="L108" i="19"/>
  <c r="K108" i="19"/>
  <c r="J108" i="19"/>
  <c r="I108" i="19"/>
  <c r="H108" i="19"/>
  <c r="G108" i="19"/>
  <c r="F108" i="19"/>
  <c r="F22" i="39"/>
  <c r="E108" i="19"/>
  <c r="D108" i="19"/>
  <c r="C108" i="19"/>
  <c r="C22" i="3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P112" i="18"/>
  <c r="O112" i="18"/>
  <c r="K112" i="18"/>
  <c r="J112" i="18"/>
  <c r="I112" i="18"/>
  <c r="G112" i="18"/>
  <c r="F112" i="18"/>
  <c r="E112" i="18"/>
  <c r="D112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O108" i="18"/>
  <c r="O21" i="39" s="1"/>
  <c r="N108" i="18"/>
  <c r="M108" i="18"/>
  <c r="L108" i="18"/>
  <c r="K108" i="18"/>
  <c r="J108" i="18"/>
  <c r="I108" i="18"/>
  <c r="I21" i="39"/>
  <c r="H108" i="18"/>
  <c r="H21" i="39"/>
  <c r="G108" i="18"/>
  <c r="G21" i="39"/>
  <c r="F108" i="18"/>
  <c r="F21" i="39"/>
  <c r="E108" i="18"/>
  <c r="E21" i="39"/>
  <c r="D108" i="18"/>
  <c r="D21" i="39" s="1"/>
  <c r="C108" i="18"/>
  <c r="B108" i="18"/>
  <c r="B21" i="39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/>
  <c r="P110" i="17"/>
  <c r="P111" i="17"/>
  <c r="O110" i="17"/>
  <c r="O111" i="17"/>
  <c r="N110" i="17"/>
  <c r="N112" i="17"/>
  <c r="K110" i="17"/>
  <c r="K111" i="17"/>
  <c r="J112" i="17"/>
  <c r="I112" i="17"/>
  <c r="F110" i="17"/>
  <c r="F111" i="17" s="1"/>
  <c r="E110" i="17"/>
  <c r="E112" i="17"/>
  <c r="D110" i="17"/>
  <c r="D112" i="17"/>
  <c r="C110" i="17"/>
  <c r="C112" i="17"/>
  <c r="B110" i="17"/>
  <c r="B111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P108" i="17"/>
  <c r="O108" i="17"/>
  <c r="N108" i="17"/>
  <c r="M108" i="17"/>
  <c r="L108" i="17"/>
  <c r="K108" i="17"/>
  <c r="K20" i="39" s="1"/>
  <c r="J108" i="17"/>
  <c r="J20" i="39"/>
  <c r="I108" i="17"/>
  <c r="I20" i="39"/>
  <c r="H108" i="17"/>
  <c r="H20" i="39"/>
  <c r="G108" i="17"/>
  <c r="G20" i="39"/>
  <c r="F108" i="17"/>
  <c r="E108" i="17"/>
  <c r="E20" i="39" s="1"/>
  <c r="D108" i="17"/>
  <c r="C108" i="17"/>
  <c r="C20" i="39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/>
  <c r="Q112" i="16"/>
  <c r="P112" i="16"/>
  <c r="O112" i="16"/>
  <c r="K112" i="16"/>
  <c r="J112" i="16"/>
  <c r="I112" i="16"/>
  <c r="H112" i="16"/>
  <c r="F112" i="16"/>
  <c r="E111" i="16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N108" i="16"/>
  <c r="M108" i="16"/>
  <c r="L108" i="16"/>
  <c r="K108" i="16"/>
  <c r="K19" i="39" s="1"/>
  <c r="J108" i="16"/>
  <c r="J19" i="39"/>
  <c r="I108" i="16"/>
  <c r="H108" i="16"/>
  <c r="H19" i="39"/>
  <c r="G108" i="16"/>
  <c r="F108" i="16"/>
  <c r="F19" i="39"/>
  <c r="E108" i="16"/>
  <c r="E19" i="39" s="1"/>
  <c r="D108" i="16"/>
  <c r="D19" i="39" s="1"/>
  <c r="C108" i="16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O110" i="15"/>
  <c r="O112" i="15"/>
  <c r="N110" i="15"/>
  <c r="N112" i="15" s="1"/>
  <c r="K110" i="15"/>
  <c r="K112" i="15" s="1"/>
  <c r="F110" i="15"/>
  <c r="F112" i="15"/>
  <c r="E110" i="15"/>
  <c r="E111" i="15" s="1"/>
  <c r="D110" i="15"/>
  <c r="D111" i="15" s="1"/>
  <c r="C110" i="15"/>
  <c r="C111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M108" i="15"/>
  <c r="L108" i="15"/>
  <c r="K108" i="15"/>
  <c r="K18" i="39" s="1"/>
  <c r="J108" i="15"/>
  <c r="J18" i="39" s="1"/>
  <c r="I108" i="15"/>
  <c r="I18" i="39" s="1"/>
  <c r="H108" i="15"/>
  <c r="G108" i="15"/>
  <c r="G18" i="39"/>
  <c r="F108" i="15"/>
  <c r="F18" i="39"/>
  <c r="E108" i="15"/>
  <c r="D108" i="15"/>
  <c r="C108" i="15"/>
  <c r="B108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O112" i="14"/>
  <c r="N112" i="14"/>
  <c r="M111" i="14"/>
  <c r="L111" i="14"/>
  <c r="J112" i="14"/>
  <c r="G112" i="14"/>
  <c r="F111" i="14"/>
  <c r="E112" i="14"/>
  <c r="D112" i="14"/>
  <c r="C111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/>
  <c r="O112" i="13"/>
  <c r="N112" i="13"/>
  <c r="L112" i="13"/>
  <c r="K112" i="13"/>
  <c r="D111" i="13"/>
  <c r="C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N111" i="12"/>
  <c r="K112" i="12"/>
  <c r="F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O112" i="10"/>
  <c r="N111" i="10"/>
  <c r="L112" i="10"/>
  <c r="F111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O112" i="8"/>
  <c r="N111" i="8"/>
  <c r="L112" i="8"/>
  <c r="K112" i="8"/>
  <c r="G112" i="8"/>
  <c r="F111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/>
  <c r="Q112" i="3"/>
  <c r="P112" i="3"/>
  <c r="J112" i="3"/>
  <c r="F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P10" i="39" s="1"/>
  <c r="O108" i="3"/>
  <c r="O10" i="39" s="1"/>
  <c r="N108" i="3"/>
  <c r="N10" i="39" s="1"/>
  <c r="M108" i="3"/>
  <c r="L108" i="3"/>
  <c r="K108" i="3"/>
  <c r="K10" i="39"/>
  <c r="J108" i="3"/>
  <c r="J10" i="39" s="1"/>
  <c r="J44" i="39" s="1"/>
  <c r="I108" i="3"/>
  <c r="I10" i="39" s="1"/>
  <c r="H108" i="3"/>
  <c r="G108" i="3"/>
  <c r="G10" i="39" s="1"/>
  <c r="F108" i="3"/>
  <c r="F10" i="39" s="1"/>
  <c r="E108" i="3"/>
  <c r="E10" i="39"/>
  <c r="D108" i="3"/>
  <c r="D10" i="39"/>
  <c r="C108" i="3"/>
  <c r="C10" i="39"/>
  <c r="B108" i="3"/>
  <c r="B10" i="39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/>
  <c r="P33" i="39"/>
  <c r="J27" i="39"/>
  <c r="F27" i="39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K92" i="6"/>
  <c r="J92" i="6"/>
  <c r="K51" i="6"/>
  <c r="J51" i="6"/>
  <c r="K50" i="6"/>
  <c r="J50" i="6"/>
  <c r="K91" i="6"/>
  <c r="J91" i="6"/>
  <c r="K90" i="6"/>
  <c r="J90" i="6"/>
  <c r="T40" i="6"/>
  <c r="T21" i="6"/>
  <c r="K88" i="6"/>
  <c r="J88" i="6"/>
  <c r="K115" i="6"/>
  <c r="J115" i="6"/>
  <c r="I115" i="6"/>
  <c r="J9" i="6"/>
  <c r="K9" i="6"/>
  <c r="J10" i="6"/>
  <c r="K10" i="6"/>
  <c r="J11" i="6"/>
  <c r="K11" i="6"/>
  <c r="J12" i="6"/>
  <c r="K12" i="6"/>
  <c r="J13" i="6"/>
  <c r="K13" i="6"/>
  <c r="J14" i="6"/>
  <c r="K14" i="6"/>
  <c r="N38" i="39"/>
  <c r="M38" i="39"/>
  <c r="L38" i="39"/>
  <c r="J38" i="39"/>
  <c r="I38" i="39"/>
  <c r="E38" i="39"/>
  <c r="D38" i="39"/>
  <c r="C38" i="39"/>
  <c r="B38" i="39"/>
  <c r="A38" i="39"/>
  <c r="P37" i="39"/>
  <c r="O37" i="39"/>
  <c r="M37" i="39"/>
  <c r="L37" i="39"/>
  <c r="K37" i="39"/>
  <c r="J37" i="39"/>
  <c r="H37" i="39"/>
  <c r="E37" i="39"/>
  <c r="D37" i="39"/>
  <c r="C37" i="39"/>
  <c r="H26" i="39"/>
  <c r="I26" i="39"/>
  <c r="K26" i="39"/>
  <c r="L26" i="39"/>
  <c r="P26" i="39"/>
  <c r="Q26" i="39"/>
  <c r="O25" i="39"/>
  <c r="N25" i="39"/>
  <c r="M25" i="39"/>
  <c r="M41" i="39" s="1"/>
  <c r="H25" i="39"/>
  <c r="C25" i="39"/>
  <c r="N24" i="39"/>
  <c r="E24" i="39"/>
  <c r="Q22" i="39"/>
  <c r="K22" i="39"/>
  <c r="I22" i="39"/>
  <c r="G22" i="39"/>
  <c r="P21" i="39"/>
  <c r="K21" i="39"/>
  <c r="J21" i="39"/>
  <c r="C21" i="39"/>
  <c r="Q20" i="39"/>
  <c r="N20" i="39"/>
  <c r="O19" i="39"/>
  <c r="I19" i="39"/>
  <c r="G19" i="39"/>
  <c r="B19" i="39"/>
  <c r="H18" i="39"/>
  <c r="E18" i="39"/>
  <c r="D18" i="39"/>
  <c r="C18" i="39"/>
  <c r="Q36" i="39"/>
  <c r="N36" i="39"/>
  <c r="M36" i="39"/>
  <c r="L36" i="39"/>
  <c r="K36" i="39"/>
  <c r="H36" i="39"/>
  <c r="E36" i="39"/>
  <c r="C36" i="39"/>
  <c r="A36" i="39"/>
  <c r="M34" i="39"/>
  <c r="J34" i="39"/>
  <c r="L33" i="39"/>
  <c r="K33" i="39"/>
  <c r="I33" i="39"/>
  <c r="H33" i="39"/>
  <c r="C33" i="39"/>
  <c r="I32" i="39"/>
  <c r="E32" i="39"/>
  <c r="Q31" i="39"/>
  <c r="P31" i="39"/>
  <c r="M31" i="39"/>
  <c r="F31" i="39"/>
  <c r="D31" i="39"/>
  <c r="A31" i="39"/>
  <c r="P30" i="39"/>
  <c r="O30" i="39"/>
  <c r="K30" i="39"/>
  <c r="J30" i="39"/>
  <c r="H30" i="39"/>
  <c r="G30" i="39"/>
  <c r="F30" i="39"/>
  <c r="D30" i="39"/>
  <c r="A30" i="39"/>
  <c r="P29" i="39"/>
  <c r="O29" i="39"/>
  <c r="K29" i="39"/>
  <c r="J29" i="39"/>
  <c r="H29" i="39"/>
  <c r="G29" i="39"/>
  <c r="D29" i="39"/>
  <c r="C29" i="39"/>
  <c r="A29" i="39"/>
  <c r="G28" i="39"/>
  <c r="P27" i="39"/>
  <c r="N27" i="39"/>
  <c r="M27" i="39"/>
  <c r="K27" i="39"/>
  <c r="G27" i="39"/>
  <c r="E27" i="39"/>
  <c r="B27" i="39"/>
  <c r="O26" i="39"/>
  <c r="I25" i="39"/>
  <c r="C23" i="39"/>
  <c r="D22" i="39"/>
  <c r="P20" i="39"/>
  <c r="F20" i="39"/>
  <c r="D20" i="39"/>
  <c r="C19" i="39"/>
  <c r="B18" i="39"/>
  <c r="H10" i="39"/>
  <c r="I36" i="39"/>
  <c r="E34" i="39"/>
  <c r="E26" i="39"/>
  <c r="P23" i="39"/>
  <c r="P18" i="39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F36" i="39"/>
  <c r="B36" i="39"/>
  <c r="G34" i="39"/>
  <c r="B34" i="39"/>
  <c r="J32" i="39"/>
  <c r="O24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O33" i="39"/>
  <c r="O31" i="39"/>
  <c r="N31" i="39"/>
  <c r="G31" i="39"/>
  <c r="F26" i="39"/>
  <c r="B24" i="39"/>
  <c r="J22" i="39"/>
  <c r="O20" i="39"/>
  <c r="N19" i="39"/>
  <c r="O18" i="39"/>
  <c r="N18" i="39"/>
  <c r="K28" i="6"/>
  <c r="J28" i="6"/>
  <c r="D9" i="5"/>
  <c r="D10" i="5"/>
  <c r="I119" i="6"/>
  <c r="J101" i="6"/>
  <c r="J81" i="6"/>
  <c r="J61" i="6"/>
  <c r="I21" i="6"/>
  <c r="D8" i="5"/>
  <c r="D24" i="5"/>
  <c r="D20" i="5"/>
  <c r="D21" i="5"/>
  <c r="D22" i="5"/>
  <c r="D23" i="5"/>
  <c r="D11" i="5"/>
  <c r="D12" i="5"/>
  <c r="D44" i="5" s="1"/>
  <c r="D13" i="5"/>
  <c r="D14" i="5"/>
  <c r="D15" i="5"/>
  <c r="D16" i="5"/>
  <c r="D17" i="5"/>
  <c r="D18" i="5"/>
  <c r="D19" i="5"/>
  <c r="H22" i="39"/>
  <c r="Q111" i="41"/>
  <c r="O111" i="41"/>
  <c r="L111" i="41"/>
  <c r="K111" i="41"/>
  <c r="F111" i="41"/>
  <c r="D111" i="41"/>
  <c r="B111" i="41"/>
  <c r="Q111" i="33"/>
  <c r="P111" i="33"/>
  <c r="O111" i="33"/>
  <c r="M111" i="33"/>
  <c r="J111" i="33"/>
  <c r="F111" i="33"/>
  <c r="E111" i="33"/>
  <c r="D111" i="33"/>
  <c r="B111" i="33"/>
  <c r="P111" i="31"/>
  <c r="O111" i="31"/>
  <c r="L111" i="31"/>
  <c r="K111" i="31"/>
  <c r="J111" i="31"/>
  <c r="I111" i="31"/>
  <c r="C111" i="31"/>
  <c r="B111" i="31"/>
  <c r="P111" i="30"/>
  <c r="O111" i="30"/>
  <c r="N111" i="30"/>
  <c r="M111" i="30"/>
  <c r="L111" i="30"/>
  <c r="I111" i="30"/>
  <c r="H111" i="30"/>
  <c r="E111" i="30"/>
  <c r="D111" i="30"/>
  <c r="P111" i="29"/>
  <c r="O111" i="29"/>
  <c r="N111" i="29"/>
  <c r="M111" i="29"/>
  <c r="I111" i="29"/>
  <c r="H111" i="29"/>
  <c r="E111" i="29"/>
  <c r="C111" i="29"/>
  <c r="Q111" i="28"/>
  <c r="N111" i="28"/>
  <c r="M111" i="28"/>
  <c r="L111" i="28"/>
  <c r="K111" i="28"/>
  <c r="J111" i="28"/>
  <c r="G111" i="28"/>
  <c r="D111" i="28"/>
  <c r="C111" i="28"/>
  <c r="B111" i="28"/>
  <c r="L111" i="27"/>
  <c r="K111" i="27"/>
  <c r="J111" i="27"/>
  <c r="B111" i="27"/>
  <c r="K111" i="25"/>
  <c r="I111" i="25"/>
  <c r="P111" i="24"/>
  <c r="O111" i="24"/>
  <c r="N111" i="24"/>
  <c r="M111" i="24"/>
  <c r="J111" i="24"/>
  <c r="I111" i="24"/>
  <c r="H111" i="24"/>
  <c r="Q111" i="23"/>
  <c r="P111" i="23"/>
  <c r="O111" i="23"/>
  <c r="N111" i="23"/>
  <c r="M111" i="23"/>
  <c r="F111" i="23"/>
  <c r="E111" i="23"/>
  <c r="D111" i="23"/>
  <c r="C111" i="23"/>
  <c r="B111" i="23"/>
  <c r="P111" i="21"/>
  <c r="O111" i="21"/>
  <c r="N111" i="21"/>
  <c r="K111" i="21"/>
  <c r="J111" i="21"/>
  <c r="I111" i="21"/>
  <c r="F111" i="21"/>
  <c r="D111" i="21"/>
  <c r="N111" i="19"/>
  <c r="K111" i="19"/>
  <c r="J111" i="19"/>
  <c r="G111" i="19"/>
  <c r="F111" i="19"/>
  <c r="D111" i="19"/>
  <c r="C111" i="19"/>
  <c r="P111" i="18"/>
  <c r="O111" i="18"/>
  <c r="K111" i="18"/>
  <c r="J111" i="18"/>
  <c r="I111" i="18"/>
  <c r="F111" i="18"/>
  <c r="E111" i="18"/>
  <c r="D111" i="18"/>
  <c r="J111" i="17"/>
  <c r="D111" i="17"/>
  <c r="Q111" i="16"/>
  <c r="P111" i="16"/>
  <c r="O111" i="16"/>
  <c r="L111" i="16"/>
  <c r="K111" i="16"/>
  <c r="J111" i="16"/>
  <c r="I111" i="16"/>
  <c r="H111" i="16"/>
  <c r="F111" i="16"/>
  <c r="B111" i="16"/>
  <c r="O111" i="15"/>
  <c r="N111" i="15"/>
  <c r="F111" i="15"/>
  <c r="O111" i="14"/>
  <c r="J111" i="14"/>
  <c r="G111" i="14"/>
  <c r="N111" i="13"/>
  <c r="K111" i="12"/>
  <c r="J111" i="12"/>
  <c r="F111" i="12"/>
  <c r="O111" i="10"/>
  <c r="O111" i="8"/>
  <c r="L111" i="8"/>
  <c r="G111" i="8"/>
  <c r="E111" i="8"/>
  <c r="J111" i="3"/>
  <c r="C112" i="30"/>
  <c r="Q112" i="30"/>
  <c r="I111" i="17"/>
  <c r="F111" i="11"/>
  <c r="D111" i="11"/>
  <c r="P111" i="2"/>
  <c r="O111" i="2"/>
  <c r="D112" i="29"/>
  <c r="L112" i="29"/>
  <c r="H112" i="28"/>
  <c r="L111" i="24"/>
  <c r="D111" i="31"/>
  <c r="P112" i="27"/>
  <c r="I112" i="19"/>
  <c r="B112" i="17"/>
  <c r="E112" i="16"/>
  <c r="E112" i="15"/>
  <c r="C112" i="15"/>
  <c r="N112" i="12"/>
  <c r="N112" i="8"/>
  <c r="D112" i="2"/>
  <c r="H112" i="8"/>
  <c r="I111" i="2"/>
  <c r="I111" i="11"/>
  <c r="J112" i="10"/>
  <c r="E112" i="12"/>
  <c r="G111" i="12"/>
  <c r="I112" i="13"/>
  <c r="C112" i="13"/>
  <c r="L111" i="13"/>
  <c r="H112" i="14"/>
  <c r="C112" i="14"/>
  <c r="L112" i="14"/>
  <c r="D111" i="14"/>
  <c r="E111" i="14"/>
  <c r="N111" i="14"/>
  <c r="N112" i="16"/>
  <c r="E111" i="19"/>
  <c r="B112" i="19"/>
  <c r="C112" i="16"/>
  <c r="G111" i="16"/>
  <c r="C112" i="18"/>
  <c r="B111" i="18"/>
  <c r="Q111" i="17"/>
  <c r="O112" i="17"/>
  <c r="K112" i="17"/>
  <c r="N111" i="17"/>
  <c r="O111" i="20"/>
  <c r="N111" i="20"/>
  <c r="K111" i="20"/>
  <c r="I111" i="20"/>
  <c r="H111" i="20"/>
  <c r="E111" i="20"/>
  <c r="N112" i="25"/>
  <c r="L112" i="25"/>
  <c r="O112" i="25"/>
  <c r="H112" i="25"/>
  <c r="O112" i="26"/>
  <c r="N112" i="26"/>
  <c r="L112" i="26"/>
  <c r="H111" i="26"/>
  <c r="F111" i="26"/>
  <c r="D112" i="26"/>
  <c r="C111" i="26"/>
  <c r="K111" i="26"/>
  <c r="G112" i="26"/>
  <c r="M111" i="26"/>
  <c r="B111" i="30"/>
  <c r="B111" i="29"/>
  <c r="I112" i="41"/>
  <c r="I111" i="33"/>
  <c r="Q111" i="32"/>
  <c r="O111" i="32"/>
  <c r="N111" i="32"/>
  <c r="M111" i="32"/>
  <c r="K111" i="32"/>
  <c r="J111" i="32"/>
  <c r="H111" i="32"/>
  <c r="G111" i="32"/>
  <c r="F111" i="32"/>
  <c r="D111" i="32"/>
  <c r="K111" i="8"/>
  <c r="L111" i="10"/>
  <c r="F112" i="10"/>
  <c r="K112" i="3"/>
  <c r="N112" i="3"/>
  <c r="J111" i="41"/>
  <c r="H112" i="33"/>
  <c r="K112" i="33"/>
  <c r="E111" i="32"/>
  <c r="L112" i="32"/>
  <c r="M111" i="31"/>
  <c r="N111" i="31"/>
  <c r="K111" i="30"/>
  <c r="G112" i="29"/>
  <c r="F111" i="29"/>
  <c r="F111" i="28"/>
  <c r="E112" i="28"/>
  <c r="I111" i="28"/>
  <c r="D112" i="27"/>
  <c r="F111" i="27"/>
  <c r="I111" i="26"/>
  <c r="J112" i="25"/>
  <c r="G111" i="25"/>
  <c r="K112" i="24"/>
  <c r="K112" i="23"/>
  <c r="H112" i="23"/>
  <c r="G112" i="23"/>
  <c r="C112" i="21"/>
  <c r="Q111" i="21"/>
  <c r="J112" i="20"/>
  <c r="O111" i="19"/>
  <c r="P112" i="19"/>
  <c r="C111" i="17"/>
  <c r="D112" i="16"/>
  <c r="D112" i="15"/>
  <c r="K111" i="15"/>
  <c r="B111" i="15"/>
  <c r="O111" i="13"/>
  <c r="N112" i="10"/>
  <c r="L112" i="11"/>
  <c r="F112" i="8"/>
  <c r="B111" i="2"/>
  <c r="G112" i="2"/>
  <c r="C112" i="2"/>
  <c r="K112" i="2"/>
  <c r="Q112" i="2"/>
  <c r="D111" i="8"/>
  <c r="D112" i="12"/>
  <c r="C112" i="12"/>
  <c r="I112" i="12"/>
  <c r="H111" i="12"/>
  <c r="G111" i="11"/>
  <c r="C112" i="11"/>
  <c r="E111" i="11"/>
  <c r="C111" i="10"/>
  <c r="D111" i="10"/>
  <c r="P111" i="10"/>
  <c r="I112" i="10"/>
  <c r="O112" i="11"/>
  <c r="I111" i="14"/>
  <c r="Q112" i="14"/>
  <c r="P112" i="14"/>
  <c r="M112" i="14"/>
  <c r="F112" i="14"/>
  <c r="K111" i="14"/>
  <c r="Q112" i="13"/>
  <c r="M111" i="13"/>
  <c r="H111" i="13"/>
  <c r="E112" i="13"/>
  <c r="J111" i="13"/>
  <c r="D112" i="13"/>
  <c r="K111" i="13"/>
  <c r="G112" i="13"/>
  <c r="P112" i="13"/>
  <c r="B111" i="13"/>
  <c r="M111" i="12"/>
  <c r="Q111" i="12"/>
  <c r="P112" i="12"/>
  <c r="L112" i="12"/>
  <c r="M112" i="11"/>
  <c r="Q111" i="11"/>
  <c r="N111" i="11"/>
  <c r="J111" i="11"/>
  <c r="K112" i="11"/>
  <c r="B111" i="11"/>
  <c r="H112" i="11"/>
  <c r="Q111" i="10"/>
  <c r="B112" i="10"/>
  <c r="K111" i="10"/>
  <c r="G111" i="10"/>
  <c r="H111" i="10"/>
  <c r="E112" i="10"/>
  <c r="P111" i="9"/>
  <c r="M111" i="9"/>
  <c r="L112" i="9"/>
  <c r="K112" i="9"/>
  <c r="J111" i="9"/>
  <c r="I112" i="9"/>
  <c r="H111" i="9"/>
  <c r="G112" i="9"/>
  <c r="F112" i="9"/>
  <c r="C112" i="9"/>
  <c r="E111" i="9"/>
  <c r="Q111" i="9"/>
  <c r="D111" i="9"/>
  <c r="N111" i="9"/>
  <c r="O111" i="9"/>
  <c r="Q112" i="8"/>
  <c r="I112" i="8"/>
  <c r="B111" i="8"/>
  <c r="M111" i="8"/>
  <c r="P111" i="8"/>
  <c r="C112" i="8"/>
  <c r="J112" i="8"/>
  <c r="I111" i="3"/>
  <c r="C111" i="3"/>
  <c r="D111" i="3"/>
  <c r="L111" i="3"/>
  <c r="B111" i="3"/>
  <c r="E112" i="3"/>
  <c r="G112" i="3"/>
  <c r="M111" i="3"/>
  <c r="O112" i="3"/>
  <c r="E111" i="2"/>
  <c r="F111" i="2"/>
  <c r="L112" i="2"/>
  <c r="N111" i="2"/>
  <c r="M111" i="2"/>
  <c r="Q111" i="18"/>
  <c r="M112" i="18"/>
  <c r="H111" i="18"/>
  <c r="L112" i="18"/>
  <c r="H112" i="17"/>
  <c r="G111" i="17"/>
  <c r="L111" i="17"/>
  <c r="M111" i="17"/>
  <c r="E111" i="17"/>
  <c r="P112" i="17"/>
  <c r="M111" i="16"/>
  <c r="P112" i="15"/>
  <c r="J112" i="15"/>
  <c r="I112" i="15"/>
  <c r="H112" i="15"/>
  <c r="G111" i="15"/>
  <c r="Q112" i="15"/>
  <c r="M111" i="15"/>
  <c r="L112" i="15"/>
  <c r="F111" i="20"/>
  <c r="B112" i="20"/>
  <c r="Q112" i="20"/>
  <c r="M111" i="20"/>
  <c r="L111" i="20"/>
  <c r="P112" i="20"/>
  <c r="C111" i="20"/>
  <c r="D111" i="20"/>
  <c r="H112" i="19"/>
  <c r="Q112" i="19"/>
  <c r="M112" i="19"/>
  <c r="L112" i="19"/>
  <c r="D112" i="22"/>
  <c r="C112" i="22"/>
  <c r="B112" i="22"/>
  <c r="Q112" i="22"/>
  <c r="P111" i="22"/>
  <c r="O112" i="22"/>
  <c r="M111" i="22"/>
  <c r="L111" i="22"/>
  <c r="J112" i="22"/>
  <c r="I112" i="22"/>
  <c r="H112" i="22"/>
  <c r="G112" i="22"/>
  <c r="N111" i="22"/>
  <c r="K111" i="22"/>
  <c r="F112" i="22"/>
  <c r="E111" i="22"/>
  <c r="G112" i="21"/>
  <c r="L111" i="21"/>
  <c r="M111" i="21"/>
  <c r="H111" i="21"/>
  <c r="L111" i="23"/>
  <c r="I112" i="23"/>
  <c r="Q112" i="26"/>
  <c r="J112" i="26"/>
  <c r="E111" i="26"/>
  <c r="Q111" i="25"/>
  <c r="P111" i="25"/>
  <c r="M111" i="25"/>
  <c r="E112" i="25"/>
  <c r="D111" i="25"/>
  <c r="C111" i="25"/>
  <c r="B111" i="25"/>
  <c r="Q111" i="24"/>
  <c r="G111" i="24"/>
  <c r="F112" i="24"/>
  <c r="E111" i="24"/>
  <c r="D112" i="24"/>
  <c r="C111" i="24"/>
  <c r="B111" i="24"/>
  <c r="P111" i="28"/>
  <c r="O112" i="28"/>
  <c r="Q112" i="27"/>
  <c r="H112" i="27"/>
  <c r="G112" i="27"/>
  <c r="I112" i="27"/>
  <c r="O112" i="27"/>
  <c r="E112" i="27"/>
  <c r="N111" i="27"/>
  <c r="C112" i="27"/>
  <c r="M112" i="27"/>
  <c r="J112" i="30"/>
  <c r="G112" i="30"/>
  <c r="Q111" i="29"/>
  <c r="B112" i="32"/>
  <c r="C111" i="32"/>
  <c r="P112" i="32"/>
  <c r="Q111" i="31"/>
  <c r="H112" i="31"/>
  <c r="F111" i="31"/>
  <c r="P34" i="39"/>
  <c r="F34" i="39"/>
  <c r="Q35" i="39"/>
  <c r="O34" i="39"/>
  <c r="C35" i="39"/>
  <c r="D34" i="39"/>
  <c r="N34" i="39"/>
  <c r="L34" i="39"/>
  <c r="H35" i="39"/>
  <c r="K34" i="39"/>
  <c r="I35" i="39"/>
  <c r="L112" i="33"/>
  <c r="G112" i="33"/>
  <c r="H111" i="41"/>
  <c r="G111" i="41"/>
  <c r="N111" i="41"/>
  <c r="E112" i="41"/>
  <c r="P112" i="41"/>
  <c r="C112" i="41"/>
  <c r="N111" i="40"/>
  <c r="B112" i="40"/>
  <c r="Q112" i="40"/>
  <c r="E112" i="40"/>
  <c r="B42" i="39" l="1"/>
  <c r="P43" i="39"/>
  <c r="P40" i="39"/>
  <c r="P42" i="39"/>
  <c r="P44" i="39"/>
  <c r="P41" i="39"/>
  <c r="O42" i="39"/>
  <c r="O43" i="39"/>
  <c r="O44" i="39"/>
  <c r="O40" i="39"/>
  <c r="O41" i="39"/>
  <c r="Q41" i="39"/>
  <c r="Q40" i="39"/>
  <c r="Q44" i="39"/>
  <c r="Q42" i="39"/>
  <c r="Q43" i="39"/>
  <c r="M43" i="39"/>
  <c r="M40" i="39"/>
  <c r="M42" i="39"/>
  <c r="C40" i="39"/>
  <c r="C43" i="39"/>
  <c r="C41" i="39"/>
  <c r="C44" i="39"/>
  <c r="C42" i="39"/>
  <c r="D43" i="39"/>
  <c r="D44" i="39"/>
  <c r="D42" i="39"/>
  <c r="D40" i="39"/>
  <c r="D41" i="39"/>
  <c r="E42" i="39"/>
  <c r="E44" i="39"/>
  <c r="E41" i="39"/>
  <c r="E43" i="39"/>
  <c r="E40" i="39"/>
  <c r="F40" i="39"/>
  <c r="F41" i="39"/>
  <c r="F43" i="39"/>
  <c r="F42" i="39"/>
  <c r="F44" i="39"/>
  <c r="J45" i="39"/>
  <c r="J46" i="39"/>
  <c r="G43" i="39"/>
  <c r="G40" i="39"/>
  <c r="G44" i="39"/>
  <c r="G41" i="39"/>
  <c r="G42" i="39"/>
  <c r="H42" i="39"/>
  <c r="H41" i="39"/>
  <c r="H40" i="39"/>
  <c r="H43" i="39"/>
  <c r="H44" i="39"/>
  <c r="I40" i="39"/>
  <c r="I42" i="39"/>
  <c r="I44" i="39"/>
  <c r="I41" i="39"/>
  <c r="I43" i="39"/>
  <c r="L41" i="39"/>
  <c r="L43" i="39"/>
  <c r="L44" i="39"/>
  <c r="L42" i="39"/>
  <c r="L40" i="39"/>
  <c r="J43" i="39"/>
  <c r="B44" i="39"/>
  <c r="K44" i="39"/>
  <c r="K41" i="39"/>
  <c r="K42" i="39"/>
  <c r="K43" i="39"/>
  <c r="K40" i="39"/>
  <c r="N40" i="39"/>
  <c r="N42" i="39"/>
  <c r="N44" i="39"/>
  <c r="N41" i="39"/>
  <c r="N43" i="39"/>
  <c r="G111" i="31"/>
  <c r="F111" i="13"/>
  <c r="M44" i="39"/>
  <c r="H111" i="2"/>
  <c r="O112" i="12"/>
  <c r="F111" i="25"/>
  <c r="B112" i="12"/>
  <c r="N111" i="18"/>
  <c r="N111" i="33"/>
  <c r="M112" i="10"/>
  <c r="B111" i="26"/>
  <c r="F112" i="17"/>
  <c r="J40" i="39"/>
  <c r="F111" i="30"/>
  <c r="K111" i="29"/>
  <c r="E111" i="31"/>
  <c r="O111" i="40"/>
  <c r="P112" i="26"/>
  <c r="B112" i="9"/>
  <c r="B112" i="14"/>
  <c r="G111" i="20"/>
  <c r="L111" i="40"/>
  <c r="H111" i="3"/>
  <c r="J42" i="39"/>
  <c r="E112" i="21"/>
  <c r="B43" i="39"/>
  <c r="B112" i="21"/>
  <c r="B40" i="39"/>
  <c r="J41" i="39"/>
  <c r="M111" i="41"/>
  <c r="I111" i="32"/>
  <c r="B41" i="39"/>
  <c r="C111" i="33"/>
  <c r="B45" i="39" l="1"/>
  <c r="B46" i="39"/>
  <c r="E46" i="39"/>
  <c r="E45" i="39"/>
  <c r="Q45" i="39"/>
  <c r="Q46" i="39"/>
  <c r="M46" i="39"/>
  <c r="M45" i="39"/>
  <c r="G45" i="39"/>
  <c r="G46" i="39"/>
  <c r="L46" i="39"/>
  <c r="L45" i="39"/>
  <c r="D46" i="39"/>
  <c r="D45" i="39"/>
  <c r="K46" i="39"/>
  <c r="K45" i="39"/>
  <c r="O45" i="39"/>
  <c r="O46" i="39"/>
  <c r="N45" i="39"/>
  <c r="N46" i="39"/>
  <c r="F46" i="39"/>
  <c r="F45" i="39"/>
  <c r="C45" i="39"/>
  <c r="C46" i="39"/>
  <c r="I46" i="39"/>
  <c r="I45" i="39"/>
  <c r="H46" i="39"/>
  <c r="H45" i="39"/>
  <c r="P45" i="39"/>
  <c r="P46" i="39"/>
</calcChain>
</file>

<file path=xl/sharedStrings.xml><?xml version="1.0" encoding="utf-8"?>
<sst xmlns="http://schemas.openxmlformats.org/spreadsheetml/2006/main" count="19536" uniqueCount="3128">
  <si>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</si>
  <si>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</si>
  <si>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</si>
  <si>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</si>
  <si>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</si>
  <si>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</si>
  <si>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</si>
  <si>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</si>
  <si>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</si>
  <si>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</si>
  <si>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</si>
  <si>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</si>
  <si>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</si>
  <si>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</si>
  <si>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</si>
  <si>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</si>
  <si>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</si>
  <si>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</si>
  <si>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</si>
  <si>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</si>
  <si>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</si>
  <si>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</si>
  <si>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</si>
  <si>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</si>
  <si>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</si>
  <si>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</si>
  <si>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</si>
  <si>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</si>
  <si>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</si>
  <si>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</si>
  <si>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</si>
  <si>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</si>
  <si>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</si>
  <si>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</si>
  <si>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</si>
  <si>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</si>
  <si>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</si>
  <si>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</si>
  <si>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</si>
  <si>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</si>
  <si>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</si>
  <si>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</si>
  <si>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</si>
  <si>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</si>
  <si>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</si>
  <si>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</si>
  <si>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</si>
  <si>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</si>
  <si>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</si>
  <si>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</si>
  <si>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</si>
  <si>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</si>
  <si>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</si>
  <si>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</si>
  <si>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</si>
  <si>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</si>
  <si>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</si>
  <si>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</si>
  <si>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</si>
  <si>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</si>
  <si>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</si>
  <si>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</si>
  <si>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</si>
  <si>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</si>
  <si>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</si>
  <si>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</si>
  <si>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</si>
  <si>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</si>
  <si>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</si>
  <si>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</si>
  <si>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</si>
  <si>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</si>
  <si>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</si>
  <si>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</si>
  <si>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</si>
  <si>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</si>
  <si>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</si>
  <si>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</si>
  <si>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</si>
  <si>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</si>
  <si>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</si>
  <si>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</si>
  <si>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</si>
  <si>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</si>
  <si>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</si>
  <si>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</si>
  <si>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</si>
  <si>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</si>
  <si>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</si>
  <si>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</si>
  <si>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</si>
  <si>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</si>
  <si>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</si>
  <si>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</si>
  <si>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</si>
  <si>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</si>
  <si>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</si>
  <si>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</si>
  <si>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</si>
  <si>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</si>
  <si>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</si>
  <si>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</si>
  <si>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</si>
  <si>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</si>
  <si>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</si>
  <si>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</si>
  <si>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</si>
  <si>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</si>
  <si>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</si>
  <si>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</si>
  <si>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</si>
  <si>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</si>
  <si>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</si>
  <si>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</si>
  <si>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</si>
  <si>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</si>
  <si>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</si>
  <si>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</si>
  <si>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</si>
  <si>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</si>
  <si>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</si>
  <si>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</si>
  <si>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</si>
  <si>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</si>
  <si>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</si>
  <si>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</si>
  <si>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</si>
  <si>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</si>
  <si>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</si>
  <si>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</si>
  <si>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</si>
  <si>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</si>
  <si>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</si>
  <si>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</si>
  <si>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</si>
  <si>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</si>
  <si>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</si>
  <si>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</si>
  <si>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</si>
  <si>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</si>
  <si>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</si>
  <si>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</si>
  <si>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</si>
  <si>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</si>
  <si>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</si>
  <si>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</si>
  <si>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</si>
  <si>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</si>
  <si>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</si>
  <si>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</si>
  <si>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</si>
  <si>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</si>
  <si>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</si>
  <si>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</si>
  <si>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</si>
  <si>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</si>
  <si>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</si>
  <si>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</si>
  <si>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</si>
  <si>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</si>
  <si>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</si>
  <si>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</si>
  <si>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</si>
  <si>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</si>
  <si>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</si>
  <si>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</si>
  <si>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</si>
  <si>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</si>
  <si>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</si>
  <si>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</si>
  <si>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</si>
  <si>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</si>
  <si>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</si>
  <si>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</si>
  <si>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</si>
  <si>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</si>
  <si>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</si>
  <si>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</si>
  <si>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</si>
  <si>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</si>
  <si>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</si>
  <si>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</si>
  <si>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</si>
  <si>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</si>
  <si>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</si>
  <si>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</si>
  <si>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</si>
  <si>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</si>
  <si>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</si>
  <si>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</si>
  <si>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</si>
  <si>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</si>
  <si>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</si>
  <si>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</si>
  <si>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</si>
  <si>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</si>
  <si>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</si>
  <si>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</si>
  <si>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</si>
  <si>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</si>
  <si>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</si>
  <si>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</si>
  <si>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</si>
  <si>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</si>
  <si>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</si>
  <si>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</si>
  <si>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</si>
  <si>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</si>
  <si>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</si>
  <si>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</si>
  <si>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</si>
  <si>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</si>
  <si>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</si>
  <si>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</si>
  <si>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Calibration report Of AIIMS, RAIPUIR</t>
  </si>
  <si>
    <t>POWER OFF REPORT OF AIIMS, RAIPUR</t>
  </si>
  <si>
    <t>MUX signal Report REPORT OF AIIMS, RAIPUR MONTH OF</t>
  </si>
  <si>
    <t>RK</t>
  </si>
  <si>
    <t>4mv</t>
  </si>
  <si>
    <t>ON</t>
  </si>
  <si>
    <t>OFF</t>
  </si>
  <si>
    <t>Month of NOVEMBER</t>
  </si>
  <si>
    <t>01/11/2022 00:15 - 30/11/2022 00:00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</si>
  <si>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</si>
  <si>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</si>
  <si>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</si>
  <si>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</si>
  <si>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</si>
  <si>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</si>
  <si>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</si>
  <si>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</si>
  <si>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</si>
  <si>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</si>
  <si>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</si>
  <si>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</si>
  <si>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</si>
  <si>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</si>
  <si>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</si>
  <si>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</si>
  <si>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Bhatagaon, RAIPUR</t>
  </si>
  <si>
    <t>01-11-2022 00:15</t>
  </si>
  <si>
    <t>01-11-2022 00:30</t>
  </si>
  <si>
    <t>01-11-2022 00:45</t>
  </si>
  <si>
    <t>01-11-2022 01:00</t>
  </si>
  <si>
    <t>01-11-2022 01:15</t>
  </si>
  <si>
    <t>01-11-2022 01:30</t>
  </si>
  <si>
    <t>01-11-2022 01:45</t>
  </si>
  <si>
    <t>01-11-2022 02:00</t>
  </si>
  <si>
    <t>01-11-2022 02:15</t>
  </si>
  <si>
    <t>01-11-2022 02:30</t>
  </si>
  <si>
    <t>01-11-2022 02:45</t>
  </si>
  <si>
    <t>01-11-2022 03:00</t>
  </si>
  <si>
    <t>01-11-2022 03:15</t>
  </si>
  <si>
    <t>01-11-2022 03:30</t>
  </si>
  <si>
    <t>01-11-2022 03:45</t>
  </si>
  <si>
    <t>01-11-2022 04:00</t>
  </si>
  <si>
    <t>01-11-2022 04:15</t>
  </si>
  <si>
    <t>01-11-2022 04:30</t>
  </si>
  <si>
    <t>01-11-2022 04:45</t>
  </si>
  <si>
    <t>01-11-2022 05:00</t>
  </si>
  <si>
    <t>01-11-2022 05:15</t>
  </si>
  <si>
    <t>01-11-2022 05:30</t>
  </si>
  <si>
    <t>01-11-2022 05:45</t>
  </si>
  <si>
    <t>01-11-2022 06:00</t>
  </si>
  <si>
    <t>01-11-2022 06:15</t>
  </si>
  <si>
    <t>01-11-2022 06:30</t>
  </si>
  <si>
    <t>01-11-2022 06:45</t>
  </si>
  <si>
    <t>01-11-2022 07:00</t>
  </si>
  <si>
    <t>01-11-2022 07:15</t>
  </si>
  <si>
    <t>01-11-2022 07:30</t>
  </si>
  <si>
    <t>01-11-2022 07:45</t>
  </si>
  <si>
    <t>01-11-2022 08:00</t>
  </si>
  <si>
    <t>01-11-2022 08:15</t>
  </si>
  <si>
    <t>01-11-2022 08:30</t>
  </si>
  <si>
    <t>01-11-2022 08:45</t>
  </si>
  <si>
    <t>01-11-2022 09:00</t>
  </si>
  <si>
    <t>01-11-2022 09:15</t>
  </si>
  <si>
    <t>01-11-2022 09:30</t>
  </si>
  <si>
    <t>01-11-2022 09:45</t>
  </si>
  <si>
    <t>01-11-2022 10:00</t>
  </si>
  <si>
    <t>01-11-2022 10:15</t>
  </si>
  <si>
    <t>01-11-2022 10:30</t>
  </si>
  <si>
    <t>01-11-2022 10:45</t>
  </si>
  <si>
    <t>01-11-2022 11:00</t>
  </si>
  <si>
    <t>01-11-2022 11:15</t>
  </si>
  <si>
    <t>01-11-2022 11:30</t>
  </si>
  <si>
    <t>01-11-2022 11:45</t>
  </si>
  <si>
    <t>01-11-2022 12:00</t>
  </si>
  <si>
    <t>01-11-2022 12:15</t>
  </si>
  <si>
    <t>01-11-2022 12:30</t>
  </si>
  <si>
    <t>01-11-2022 12:45</t>
  </si>
  <si>
    <t>01-11-2022 13:00</t>
  </si>
  <si>
    <t>01-11-2022 13:15</t>
  </si>
  <si>
    <t>01-11-2022 13:30</t>
  </si>
  <si>
    <t>01-11-2022 13:45</t>
  </si>
  <si>
    <t>01-11-2022 14:00</t>
  </si>
  <si>
    <t>01-11-2022 14:15</t>
  </si>
  <si>
    <t>01-11-2022 14:30</t>
  </si>
  <si>
    <t>01-11-2022 14:45</t>
  </si>
  <si>
    <t>01-11-2022 15:00</t>
  </si>
  <si>
    <t>01-11-2022 15:15</t>
  </si>
  <si>
    <t>01-11-2022 15:30</t>
  </si>
  <si>
    <t>01-11-2022 15:45</t>
  </si>
  <si>
    <t>01-11-2022 16:00</t>
  </si>
  <si>
    <t>01-11-2022 16:15</t>
  </si>
  <si>
    <t>01-11-2022 16:30</t>
  </si>
  <si>
    <t>01-11-2022 16:45</t>
  </si>
  <si>
    <t>01-11-2022 17:00</t>
  </si>
  <si>
    <t>01-11-2022 17:15</t>
  </si>
  <si>
    <t>01-11-2022 17:30</t>
  </si>
  <si>
    <t>01-11-2022 17:45</t>
  </si>
  <si>
    <t>01-11-2022 18:00</t>
  </si>
  <si>
    <t>01-11-2022 18:15</t>
  </si>
  <si>
    <t>01-11-2022 18:30</t>
  </si>
  <si>
    <t>01-11-2022 18:45</t>
  </si>
  <si>
    <t>01-11-2022 19:00</t>
  </si>
  <si>
    <t>01-11-2022 19:15</t>
  </si>
  <si>
    <t>01-11-2022 19:30</t>
  </si>
  <si>
    <t>01-11-2022 19:45</t>
  </si>
  <si>
    <t>01-11-2022 20:00</t>
  </si>
  <si>
    <t>01-11-2022 20:15</t>
  </si>
  <si>
    <t>01-11-2022 20:30</t>
  </si>
  <si>
    <t>01-11-2022 20:45</t>
  </si>
  <si>
    <t>01-11-2022 21:00</t>
  </si>
  <si>
    <t>01-11-2022 21:15</t>
  </si>
  <si>
    <t>01-11-2022 21:30</t>
  </si>
  <si>
    <t>01-11-2022 21:45</t>
  </si>
  <si>
    <t>01-11-2022 22:00</t>
  </si>
  <si>
    <t>01-11-2022 22:15</t>
  </si>
  <si>
    <t>01-11-2022 22:30</t>
  </si>
  <si>
    <t>01-11-2022 22:45</t>
  </si>
  <si>
    <t>01-11-2022 23:00</t>
  </si>
  <si>
    <t>01-11-2022 23:15</t>
  </si>
  <si>
    <t>01-11-2022 23:30</t>
  </si>
  <si>
    <t>01-11-2022 23:45</t>
  </si>
  <si>
    <t>01-11-2022 24:00</t>
  </si>
  <si>
    <t>T&amp;H SENSOR CONNECTOR ISSUE</t>
  </si>
  <si>
    <t>02-11-2022 00:15</t>
  </si>
  <si>
    <t>02-11-2022 00:30</t>
  </si>
  <si>
    <t>02-11-2022 00:45</t>
  </si>
  <si>
    <t>02-11-2022 01:00</t>
  </si>
  <si>
    <t>02-11-2022 01:15</t>
  </si>
  <si>
    <t>02-11-2022 01:30</t>
  </si>
  <si>
    <t>02-11-2022 01:45</t>
  </si>
  <si>
    <t>02-11-2022 02:00</t>
  </si>
  <si>
    <t>02-11-2022 02:15</t>
  </si>
  <si>
    <t>02-11-2022 02:30</t>
  </si>
  <si>
    <t>02-11-2022 02:45</t>
  </si>
  <si>
    <t>02-11-2022 03:00</t>
  </si>
  <si>
    <t>02-11-2022 03:15</t>
  </si>
  <si>
    <t>02-11-2022 03:30</t>
  </si>
  <si>
    <t>02-11-2022 03:45</t>
  </si>
  <si>
    <t>02-11-2022 04:00</t>
  </si>
  <si>
    <t>02-11-2022 04:15</t>
  </si>
  <si>
    <t>02-11-2022 04:30</t>
  </si>
  <si>
    <t>02-11-2022 04:45</t>
  </si>
  <si>
    <t>02-11-2022 05:00</t>
  </si>
  <si>
    <t>02-11-2022 05:15</t>
  </si>
  <si>
    <t>02-11-2022 05:30</t>
  </si>
  <si>
    <t>02-11-2022 05:45</t>
  </si>
  <si>
    <t>02-11-2022 06:00</t>
  </si>
  <si>
    <t>02-11-2022 06:15</t>
  </si>
  <si>
    <t>02-11-2022 06:30</t>
  </si>
  <si>
    <t>02-11-2022 06:45</t>
  </si>
  <si>
    <t>02-11-2022 07:00</t>
  </si>
  <si>
    <t>02-11-2022 07:15</t>
  </si>
  <si>
    <t>02-11-2022 07:30</t>
  </si>
  <si>
    <t>02-11-2022 07:45</t>
  </si>
  <si>
    <t>02-11-2022 08:00</t>
  </si>
  <si>
    <t>02-11-2022 08:15</t>
  </si>
  <si>
    <t>02-11-2022 08:30</t>
  </si>
  <si>
    <t>02-11-2022 08:45</t>
  </si>
  <si>
    <t>02-11-2022 09:00</t>
  </si>
  <si>
    <t>02-11-2022 09:15</t>
  </si>
  <si>
    <t>02-11-2022 09:30</t>
  </si>
  <si>
    <t>02-11-2022 09:45</t>
  </si>
  <si>
    <t>02-11-2022 10:00</t>
  </si>
  <si>
    <t>02-11-2022 10:15</t>
  </si>
  <si>
    <t>02-11-2022 10:30</t>
  </si>
  <si>
    <t>02-11-2022 10:45</t>
  </si>
  <si>
    <t>02-11-2022 11:00</t>
  </si>
  <si>
    <t>02-11-2022 11:15</t>
  </si>
  <si>
    <t>02-11-2022 11:30</t>
  </si>
  <si>
    <t>02-11-2022 11:45</t>
  </si>
  <si>
    <t>02-11-2022 12:00</t>
  </si>
  <si>
    <t>02-11-2022 12:15</t>
  </si>
  <si>
    <t>02-11-2022 12:30</t>
  </si>
  <si>
    <t>02-11-2022 12:45</t>
  </si>
  <si>
    <t>02-11-2022 13:00</t>
  </si>
  <si>
    <t>02-11-2022 13:15</t>
  </si>
  <si>
    <t>02-11-2022 13:30</t>
  </si>
  <si>
    <t>02-11-2022 13:45</t>
  </si>
  <si>
    <t>02-11-2022 14:00</t>
  </si>
  <si>
    <t>02-11-2022 14:15</t>
  </si>
  <si>
    <t>02-11-2022 14:30</t>
  </si>
  <si>
    <t>02-11-2022 14:45</t>
  </si>
  <si>
    <t>02-11-2022 15:00</t>
  </si>
  <si>
    <t>02-11-2022 15:15</t>
  </si>
  <si>
    <t>02-11-2022 15:30</t>
  </si>
  <si>
    <t>02-11-2022 15:45</t>
  </si>
  <si>
    <t>02-11-2022 16:00</t>
  </si>
  <si>
    <t>02-11-2022 16:15</t>
  </si>
  <si>
    <t>02-11-2022 16:30</t>
  </si>
  <si>
    <t>02-11-2022 16:45</t>
  </si>
  <si>
    <t>02-11-2022 17:00</t>
  </si>
  <si>
    <t>02-11-2022 17:15</t>
  </si>
  <si>
    <t>02-11-2022 17:30</t>
  </si>
  <si>
    <t>02-11-2022 17:45</t>
  </si>
  <si>
    <t>02-11-2022 18:00</t>
  </si>
  <si>
    <t>02-11-2022 18:15</t>
  </si>
  <si>
    <t>02-11-2022 18:30</t>
  </si>
  <si>
    <t>02-11-2022 18:45</t>
  </si>
  <si>
    <t>02-11-2022 19:00</t>
  </si>
  <si>
    <t>02-11-2022 19:15</t>
  </si>
  <si>
    <t>02-11-2022 19:30</t>
  </si>
  <si>
    <t>02-11-2022 19:45</t>
  </si>
  <si>
    <t>02-11-2022 20:00</t>
  </si>
  <si>
    <t>02-11-2022 20:15</t>
  </si>
  <si>
    <t>02-11-2022 20:30</t>
  </si>
  <si>
    <t>02-11-2022 20:45</t>
  </si>
  <si>
    <t>02-11-2022 21:00</t>
  </si>
  <si>
    <t>02-11-2022 21:15</t>
  </si>
  <si>
    <t>02-11-2022 21:30</t>
  </si>
  <si>
    <t>02-11-2022 21:45</t>
  </si>
  <si>
    <t>02-11-2022 22:00</t>
  </si>
  <si>
    <t>02-11-2022 22:15</t>
  </si>
  <si>
    <t>02-11-2022 22:30</t>
  </si>
  <si>
    <t>02-11-2022 22:45</t>
  </si>
  <si>
    <t>02-11-2022 23:00</t>
  </si>
  <si>
    <t>02-11-2022 23:15</t>
  </si>
  <si>
    <t>02-11-2022 23:30</t>
  </si>
  <si>
    <t>02-11-2022 23:45</t>
  </si>
  <si>
    <t>02-11-2022 24:00</t>
  </si>
  <si>
    <t>03-11-2022 00:15</t>
  </si>
  <si>
    <t>03-11-2022 00:30</t>
  </si>
  <si>
    <t>03-11-2022 00:45</t>
  </si>
  <si>
    <t>03-11-2022 01:00</t>
  </si>
  <si>
    <t>03-11-2022 01:15</t>
  </si>
  <si>
    <t>03-11-2022 01:30</t>
  </si>
  <si>
    <t>03-11-2022 01:45</t>
  </si>
  <si>
    <t>03-11-2022 02:00</t>
  </si>
  <si>
    <t>03-11-2022 02:15</t>
  </si>
  <si>
    <t>03-11-2022 02:30</t>
  </si>
  <si>
    <t>03-11-2022 02:45</t>
  </si>
  <si>
    <t>03-11-2022 03:00</t>
  </si>
  <si>
    <t>03-11-2022 03:15</t>
  </si>
  <si>
    <t>03-11-2022 03:30</t>
  </si>
  <si>
    <t>03-11-2022 03:45</t>
  </si>
  <si>
    <t>03-11-2022 04:00</t>
  </si>
  <si>
    <t>03-11-2022 04:15</t>
  </si>
  <si>
    <t>03-11-2022 04:30</t>
  </si>
  <si>
    <t>03-11-2022 04:45</t>
  </si>
  <si>
    <t>03-11-2022 05:00</t>
  </si>
  <si>
    <t>03-11-2022 05:15</t>
  </si>
  <si>
    <t>03-11-2022 05:30</t>
  </si>
  <si>
    <t>03-11-2022 05:45</t>
  </si>
  <si>
    <t>03-11-2022 06:00</t>
  </si>
  <si>
    <t>03-11-2022 06:15</t>
  </si>
  <si>
    <t>03-11-2022 06:30</t>
  </si>
  <si>
    <t>03-11-2022 06:45</t>
  </si>
  <si>
    <t>03-11-2022 07:00</t>
  </si>
  <si>
    <t>03-11-2022 07:15</t>
  </si>
  <si>
    <t>03-11-2022 07:30</t>
  </si>
  <si>
    <t>03-11-2022 07:45</t>
  </si>
  <si>
    <t>03-11-2022 08:00</t>
  </si>
  <si>
    <t>03-11-2022 08:15</t>
  </si>
  <si>
    <t>03-11-2022 08:30</t>
  </si>
  <si>
    <t>03-11-2022 08:45</t>
  </si>
  <si>
    <t>03-11-2022 09:00</t>
  </si>
  <si>
    <t>03-11-2022 09:15</t>
  </si>
  <si>
    <t>03-11-2022 09:30</t>
  </si>
  <si>
    <t>03-11-2022 09:45</t>
  </si>
  <si>
    <t>03-11-2022 10:00</t>
  </si>
  <si>
    <t>03-11-2022 10:15</t>
  </si>
  <si>
    <t>03-11-2022 10:30</t>
  </si>
  <si>
    <t>03-11-2022 10:45</t>
  </si>
  <si>
    <t>03-11-2022 11:00</t>
  </si>
  <si>
    <t>03-11-2022 11:15</t>
  </si>
  <si>
    <t>03-11-2022 11:30</t>
  </si>
  <si>
    <t>03-11-2022 11:45</t>
  </si>
  <si>
    <t>03-11-2022 12:00</t>
  </si>
  <si>
    <t>03-11-2022 12:15</t>
  </si>
  <si>
    <t>03-11-2022 12:30</t>
  </si>
  <si>
    <t>03-11-2022 12:45</t>
  </si>
  <si>
    <t>03-11-2022 13:00</t>
  </si>
  <si>
    <t>03-11-2022 13:15</t>
  </si>
  <si>
    <t>03-11-2022 13:30</t>
  </si>
  <si>
    <t>03-11-2022 13:45</t>
  </si>
  <si>
    <t>03-11-2022 14:00</t>
  </si>
  <si>
    <t>03-11-2022 14:15</t>
  </si>
  <si>
    <t>03-11-2022 14:30</t>
  </si>
  <si>
    <t>03-11-2022 14:45</t>
  </si>
  <si>
    <t>03-11-2022 15:00</t>
  </si>
  <si>
    <t>03-11-2022 15:15</t>
  </si>
  <si>
    <t>03-11-2022 15:30</t>
  </si>
  <si>
    <t>03-11-2022 15:45</t>
  </si>
  <si>
    <t>03-11-2022 16:00</t>
  </si>
  <si>
    <t>03-11-2022 16:15</t>
  </si>
  <si>
    <t>03-11-2022 16:30</t>
  </si>
  <si>
    <t>03-11-2022 16:45</t>
  </si>
  <si>
    <t>03-11-2022 17:00</t>
  </si>
  <si>
    <t>03-11-2022 17:15</t>
  </si>
  <si>
    <t>03-11-2022 17:30</t>
  </si>
  <si>
    <t>03-11-2022 17:45</t>
  </si>
  <si>
    <t>03-11-2022 18:00</t>
  </si>
  <si>
    <t>03-11-2022 18:15</t>
  </si>
  <si>
    <t>03-11-2022 18:30</t>
  </si>
  <si>
    <t>03-11-2022 18:45</t>
  </si>
  <si>
    <t>03-11-2022 19:00</t>
  </si>
  <si>
    <t>03-11-2022 19:15</t>
  </si>
  <si>
    <t>03-11-2022 19:30</t>
  </si>
  <si>
    <t>03-11-2022 19:45</t>
  </si>
  <si>
    <t>03-11-2022 20:00</t>
  </si>
  <si>
    <t>03-11-2022 20:15</t>
  </si>
  <si>
    <t>03-11-2022 20:30</t>
  </si>
  <si>
    <t>03-11-2022 20:45</t>
  </si>
  <si>
    <t>03-11-2022 21:00</t>
  </si>
  <si>
    <t>03-11-2022 21:15</t>
  </si>
  <si>
    <t>03-11-2022 21:30</t>
  </si>
  <si>
    <t>03-11-2022 21:45</t>
  </si>
  <si>
    <t>03-11-2022 22:00</t>
  </si>
  <si>
    <t>03-11-2022 22:15</t>
  </si>
  <si>
    <t>03-11-2022 22:30</t>
  </si>
  <si>
    <t>03-11-2022 22:45</t>
  </si>
  <si>
    <t>03-11-2022 23:00</t>
  </si>
  <si>
    <t>03-11-2022 23:15</t>
  </si>
  <si>
    <t>03-11-2022 23:30</t>
  </si>
  <si>
    <t>03-11-2022 23:45</t>
  </si>
  <si>
    <t>03-11-2022 24:00</t>
  </si>
  <si>
    <t>04-11-2022 00:15</t>
  </si>
  <si>
    <t>04-11-2022 00:30</t>
  </si>
  <si>
    <t>04-11-2022 00:45</t>
  </si>
  <si>
    <t>04-11-2022 01:00</t>
  </si>
  <si>
    <t>04-11-2022 01:15</t>
  </si>
  <si>
    <t>04-11-2022 01:30</t>
  </si>
  <si>
    <t>04-11-2022 01:45</t>
  </si>
  <si>
    <t>04-11-2022 02:00</t>
  </si>
  <si>
    <t>04-11-2022 02:15</t>
  </si>
  <si>
    <t>04-11-2022 02:30</t>
  </si>
  <si>
    <t>04-11-2022 02:45</t>
  </si>
  <si>
    <t>04-11-2022 03:00</t>
  </si>
  <si>
    <t>04-11-2022 03:15</t>
  </si>
  <si>
    <t>04-11-2022 03:30</t>
  </si>
  <si>
    <t>04-11-2022 03:45</t>
  </si>
  <si>
    <t>04-11-2022 04:00</t>
  </si>
  <si>
    <t>04-11-2022 04:15</t>
  </si>
  <si>
    <t>04-11-2022 04:30</t>
  </si>
  <si>
    <t>04-11-2022 04:45</t>
  </si>
  <si>
    <t>04-11-2022 05:00</t>
  </si>
  <si>
    <t>04-11-2022 05:15</t>
  </si>
  <si>
    <t>04-11-2022 05:30</t>
  </si>
  <si>
    <t>04-11-2022 05:45</t>
  </si>
  <si>
    <t>04-11-2022 06:00</t>
  </si>
  <si>
    <t>04-11-2022 06:15</t>
  </si>
  <si>
    <t>04-11-2022 06:30</t>
  </si>
  <si>
    <t>04-11-2022 06:45</t>
  </si>
  <si>
    <t>04-11-2022 07:00</t>
  </si>
  <si>
    <t>04-11-2022 07:15</t>
  </si>
  <si>
    <t>04-11-2022 07:30</t>
  </si>
  <si>
    <t>04-11-2022 07:45</t>
  </si>
  <si>
    <t>04-11-2022 08:00</t>
  </si>
  <si>
    <t>04-11-2022 08:15</t>
  </si>
  <si>
    <t>04-11-2022 08:30</t>
  </si>
  <si>
    <t>04-11-2022 08:45</t>
  </si>
  <si>
    <t>04-11-2022 09:00</t>
  </si>
  <si>
    <t>04-11-2022 09:15</t>
  </si>
  <si>
    <t>04-11-2022 09:30</t>
  </si>
  <si>
    <t>04-11-2022 09:45</t>
  </si>
  <si>
    <t>04-11-2022 10:00</t>
  </si>
  <si>
    <t>04-11-2022 10:15</t>
  </si>
  <si>
    <t>04-11-2022 10:30</t>
  </si>
  <si>
    <t>04-11-2022 10:45</t>
  </si>
  <si>
    <t>04-11-2022 11:00</t>
  </si>
  <si>
    <t>04-11-2022 11:15</t>
  </si>
  <si>
    <t>04-11-2022 11:30</t>
  </si>
  <si>
    <t>04-11-2022 11:45</t>
  </si>
  <si>
    <t>04-11-2022 12:00</t>
  </si>
  <si>
    <t>04-11-2022 12:15</t>
  </si>
  <si>
    <t>04-11-2022 12:30</t>
  </si>
  <si>
    <t>04-11-2022 12:45</t>
  </si>
  <si>
    <t>04-11-2022 13:00</t>
  </si>
  <si>
    <t>04-11-2022 13:15</t>
  </si>
  <si>
    <t>04-11-2022 13:30</t>
  </si>
  <si>
    <t>04-11-2022 13:45</t>
  </si>
  <si>
    <t>04-11-2022 14:00</t>
  </si>
  <si>
    <t>04-11-2022 14:15</t>
  </si>
  <si>
    <t>04-11-2022 14:30</t>
  </si>
  <si>
    <t>04-11-2022 14:45</t>
  </si>
  <si>
    <t>04-11-2022 15:00</t>
  </si>
  <si>
    <t>04-11-2022 15:15</t>
  </si>
  <si>
    <t>04-11-2022 15:30</t>
  </si>
  <si>
    <t>04-11-2022 15:45</t>
  </si>
  <si>
    <t>04-11-2022 16:00</t>
  </si>
  <si>
    <t>04-11-2022 16:15</t>
  </si>
  <si>
    <t>04-11-2022 16:30</t>
  </si>
  <si>
    <t>04-11-2022 16:45</t>
  </si>
  <si>
    <t>04-11-2022 17:00</t>
  </si>
  <si>
    <t>04-11-2022 17:15</t>
  </si>
  <si>
    <t>04-11-2022 17:30</t>
  </si>
  <si>
    <t>04-11-2022 17:45</t>
  </si>
  <si>
    <t>04-11-2022 18:00</t>
  </si>
  <si>
    <t>04-11-2022 18:15</t>
  </si>
  <si>
    <t>04-11-2022 18:30</t>
  </si>
  <si>
    <t>04-11-2022 18:45</t>
  </si>
  <si>
    <t>04-11-2022 19:00</t>
  </si>
  <si>
    <t>04-11-2022 19:15</t>
  </si>
  <si>
    <t>04-11-2022 19:30</t>
  </si>
  <si>
    <t>04-11-2022 19:45</t>
  </si>
  <si>
    <t>04-11-2022 20:00</t>
  </si>
  <si>
    <t>04-11-2022 20:15</t>
  </si>
  <si>
    <t>04-11-2022 20:30</t>
  </si>
  <si>
    <t>04-11-2022 20:45</t>
  </si>
  <si>
    <t>04-11-2022 21:00</t>
  </si>
  <si>
    <t>04-11-2022 21:15</t>
  </si>
  <si>
    <t>04-11-2022 21:30</t>
  </si>
  <si>
    <t>04-11-2022 21:45</t>
  </si>
  <si>
    <t>04-11-2022 22:00</t>
  </si>
  <si>
    <t>04-11-2022 22:15</t>
  </si>
  <si>
    <t>04-11-2022 22:30</t>
  </si>
  <si>
    <t>04-11-2022 22:45</t>
  </si>
  <si>
    <t>04-11-2022 23:00</t>
  </si>
  <si>
    <t>04-11-2022 23:15</t>
  </si>
  <si>
    <t>04-11-2022 23:30</t>
  </si>
  <si>
    <t>04-11-2022 23:45</t>
  </si>
  <si>
    <t>04-11-2022 24:00</t>
  </si>
  <si>
    <t>05-11-2022 00:15</t>
  </si>
  <si>
    <t>05-11-2022 00:30</t>
  </si>
  <si>
    <t>05-11-2022 00:45</t>
  </si>
  <si>
    <t>05-11-2022 01:00</t>
  </si>
  <si>
    <t>05-11-2022 01:15</t>
  </si>
  <si>
    <t>05-11-2022 01:30</t>
  </si>
  <si>
    <t>05-11-2022 01:45</t>
  </si>
  <si>
    <t>05-11-2022 02:00</t>
  </si>
  <si>
    <t>05-11-2022 02:15</t>
  </si>
  <si>
    <t>05-11-2022 02:30</t>
  </si>
  <si>
    <t>05-11-2022 02:45</t>
  </si>
  <si>
    <t>05-11-2022 03:00</t>
  </si>
  <si>
    <t>05-11-2022 03:15</t>
  </si>
  <si>
    <t>05-11-2022 03:30</t>
  </si>
  <si>
    <t>05-11-2022 03:45</t>
  </si>
  <si>
    <t>05-11-2022 04:00</t>
  </si>
  <si>
    <t>05-11-2022 04:15</t>
  </si>
  <si>
    <t>05-11-2022 04:30</t>
  </si>
  <si>
    <t>05-11-2022 04:45</t>
  </si>
  <si>
    <t>05-11-2022 05:00</t>
  </si>
  <si>
    <t>05-11-2022 05:15</t>
  </si>
  <si>
    <t>05-11-2022 05:30</t>
  </si>
  <si>
    <t>05-11-2022 05:45</t>
  </si>
  <si>
    <t>05-11-2022 06:00</t>
  </si>
  <si>
    <t>05-11-2022 06:15</t>
  </si>
  <si>
    <t>05-11-2022 06:30</t>
  </si>
  <si>
    <t>05-11-2022 06:45</t>
  </si>
  <si>
    <t>05-11-2022 07:00</t>
  </si>
  <si>
    <t>05-11-2022 07:15</t>
  </si>
  <si>
    <t>05-11-2022 07:30</t>
  </si>
  <si>
    <t>05-11-2022 07:45</t>
  </si>
  <si>
    <t>05-11-2022 08:00</t>
  </si>
  <si>
    <t>05-11-2022 08:15</t>
  </si>
  <si>
    <t>05-11-2022 08:30</t>
  </si>
  <si>
    <t>05-11-2022 08:45</t>
  </si>
  <si>
    <t>05-11-2022 09:00</t>
  </si>
  <si>
    <t>05-11-2022 09:15</t>
  </si>
  <si>
    <t>05-11-2022 09:30</t>
  </si>
  <si>
    <t>05-11-2022 09:45</t>
  </si>
  <si>
    <t>05-11-2022 10:00</t>
  </si>
  <si>
    <t>05-11-2022 10:15</t>
  </si>
  <si>
    <t>05-11-2022 10:30</t>
  </si>
  <si>
    <t>05-11-2022 10:45</t>
  </si>
  <si>
    <t>05-11-2022 11:00</t>
  </si>
  <si>
    <t>05-11-2022 11:15</t>
  </si>
  <si>
    <t>05-11-2022 11:30</t>
  </si>
  <si>
    <t>05-11-2022 11:45</t>
  </si>
  <si>
    <t>05-11-2022 12:00</t>
  </si>
  <si>
    <t>05-11-2022 12:15</t>
  </si>
  <si>
    <t>05-11-2022 12:30</t>
  </si>
  <si>
    <t>05-11-2022 12:45</t>
  </si>
  <si>
    <t>05-11-2022 13:00</t>
  </si>
  <si>
    <t>05-11-2022 13:15</t>
  </si>
  <si>
    <t>05-11-2022 13:30</t>
  </si>
  <si>
    <t>05-11-2022 13:45</t>
  </si>
  <si>
    <t>05-11-2022 14:00</t>
  </si>
  <si>
    <t>05-11-2022 14:15</t>
  </si>
  <si>
    <t>05-11-2022 14:30</t>
  </si>
  <si>
    <t>05-11-2022 14:45</t>
  </si>
  <si>
    <t>05-11-2022 15:00</t>
  </si>
  <si>
    <t>05-11-2022 15:15</t>
  </si>
  <si>
    <t>05-11-2022 15:30</t>
  </si>
  <si>
    <t>05-11-2022 15:45</t>
  </si>
  <si>
    <t>05-11-2022 16:00</t>
  </si>
  <si>
    <t>05-11-2022 16:15</t>
  </si>
  <si>
    <t>05-11-2022 16:30</t>
  </si>
  <si>
    <t>05-11-2022 16:45</t>
  </si>
  <si>
    <t>05-11-2022 17:00</t>
  </si>
  <si>
    <t>05-11-2022 17:15</t>
  </si>
  <si>
    <t>05-11-2022 17:30</t>
  </si>
  <si>
    <t>05-11-2022 17:45</t>
  </si>
  <si>
    <t>05-11-2022 18:00</t>
  </si>
  <si>
    <t>05-11-2022 18:15</t>
  </si>
  <si>
    <t>05-11-2022 18:30</t>
  </si>
  <si>
    <t>05-11-2022 18:45</t>
  </si>
  <si>
    <t>05-11-2022 19:00</t>
  </si>
  <si>
    <t>05-11-2022 19:15</t>
  </si>
  <si>
    <t>05-11-2022 19:30</t>
  </si>
  <si>
    <t>05-11-2022 19:45</t>
  </si>
  <si>
    <t>05-11-2022 20:00</t>
  </si>
  <si>
    <t>05-11-2022 20:15</t>
  </si>
  <si>
    <t>05-11-2022 20:30</t>
  </si>
  <si>
    <t>05-11-2022 20:45</t>
  </si>
  <si>
    <t>05-11-2022 21:00</t>
  </si>
  <si>
    <t>05-11-2022 21:15</t>
  </si>
  <si>
    <t>05-11-2022 21:30</t>
  </si>
  <si>
    <t>05-11-2022 21:45</t>
  </si>
  <si>
    <t>05-11-2022 22:00</t>
  </si>
  <si>
    <t>05-11-2022 22:15</t>
  </si>
  <si>
    <t>05-11-2022 22:30</t>
  </si>
  <si>
    <t>05-11-2022 22:45</t>
  </si>
  <si>
    <t>05-11-2022 23:00</t>
  </si>
  <si>
    <t>05-11-2022 23:15</t>
  </si>
  <si>
    <t>05-11-2022 23:30</t>
  </si>
  <si>
    <t>05-11-2022 23:45</t>
  </si>
  <si>
    <t>05-11-2022 24:00</t>
  </si>
  <si>
    <t>06-11-2022 00:15</t>
  </si>
  <si>
    <t>06-11-2022 00:30</t>
  </si>
  <si>
    <t>06-11-2022 00:45</t>
  </si>
  <si>
    <t>06-11-2022 01:00</t>
  </si>
  <si>
    <t>06-11-2022 01:15</t>
  </si>
  <si>
    <t>06-11-2022 01:30</t>
  </si>
  <si>
    <t>06-11-2022 01:45</t>
  </si>
  <si>
    <t>06-11-2022 02:00</t>
  </si>
  <si>
    <t>06-11-2022 02:15</t>
  </si>
  <si>
    <t>06-11-2022 02:30</t>
  </si>
  <si>
    <t>06-11-2022 02:45</t>
  </si>
  <si>
    <t>06-11-2022 03:00</t>
  </si>
  <si>
    <t>06-11-2022 03:15</t>
  </si>
  <si>
    <t>06-11-2022 03:30</t>
  </si>
  <si>
    <t>06-11-2022 03:45</t>
  </si>
  <si>
    <t>06-11-2022 04:00</t>
  </si>
  <si>
    <t>06-11-2022 04:15</t>
  </si>
  <si>
    <t>06-11-2022 04:30</t>
  </si>
  <si>
    <t>06-11-2022 04:45</t>
  </si>
  <si>
    <t>06-11-2022 05:00</t>
  </si>
  <si>
    <t>06-11-2022 05:15</t>
  </si>
  <si>
    <t>06-11-2022 05:30</t>
  </si>
  <si>
    <t>06-11-2022 05:45</t>
  </si>
  <si>
    <t>06-11-2022 06:00</t>
  </si>
  <si>
    <t>06-11-2022 06:15</t>
  </si>
  <si>
    <t>06-11-2022 06:30</t>
  </si>
  <si>
    <t>06-11-2022 06:45</t>
  </si>
  <si>
    <t>06-11-2022 07:00</t>
  </si>
  <si>
    <t>06-11-2022 07:15</t>
  </si>
  <si>
    <t>06-11-2022 07:30</t>
  </si>
  <si>
    <t>06-11-2022 07:45</t>
  </si>
  <si>
    <t>06-11-2022 08:00</t>
  </si>
  <si>
    <t>06-11-2022 08:15</t>
  </si>
  <si>
    <t>06-11-2022 08:30</t>
  </si>
  <si>
    <t>06-11-2022 08:45</t>
  </si>
  <si>
    <t>06-11-2022 09:00</t>
  </si>
  <si>
    <t>06-11-2022 09:15</t>
  </si>
  <si>
    <t>06-11-2022 09:30</t>
  </si>
  <si>
    <t>06-11-2022 09:45</t>
  </si>
  <si>
    <t>06-11-2022 10:00</t>
  </si>
  <si>
    <t>06-11-2022 10:15</t>
  </si>
  <si>
    <t>06-11-2022 10:30</t>
  </si>
  <si>
    <t>06-11-2022 10:45</t>
  </si>
  <si>
    <t>06-11-2022 11:00</t>
  </si>
  <si>
    <t>06-11-2022 11:15</t>
  </si>
  <si>
    <t>06-11-2022 11:30</t>
  </si>
  <si>
    <t>06-11-2022 11:45</t>
  </si>
  <si>
    <t>06-11-2022 12:00</t>
  </si>
  <si>
    <t>06-11-2022 12:15</t>
  </si>
  <si>
    <t>06-11-2022 12:30</t>
  </si>
  <si>
    <t>06-11-2022 12:45</t>
  </si>
  <si>
    <t>06-11-2022 13:00</t>
  </si>
  <si>
    <t>06-11-2022 13:15</t>
  </si>
  <si>
    <t>06-11-2022 13:30</t>
  </si>
  <si>
    <t>06-11-2022 13:45</t>
  </si>
  <si>
    <t>06-11-2022 14:00</t>
  </si>
  <si>
    <t>06-11-2022 14:15</t>
  </si>
  <si>
    <t>06-11-2022 14:30</t>
  </si>
  <si>
    <t>06-11-2022 14:45</t>
  </si>
  <si>
    <t>06-11-2022 15:00</t>
  </si>
  <si>
    <t>06-11-2022 15:15</t>
  </si>
  <si>
    <t>06-11-2022 15:30</t>
  </si>
  <si>
    <t>06-11-2022 15:45</t>
  </si>
  <si>
    <t>06-11-2022 16:00</t>
  </si>
  <si>
    <t>06-11-2022 16:15</t>
  </si>
  <si>
    <t>06-11-2022 16:30</t>
  </si>
  <si>
    <t>06-11-2022 16:45</t>
  </si>
  <si>
    <t>06-11-2022 17:00</t>
  </si>
  <si>
    <t>06-11-2022 17:15</t>
  </si>
  <si>
    <t>06-11-2022 17:30</t>
  </si>
  <si>
    <t>06-11-2022 17:45</t>
  </si>
  <si>
    <t>06-11-2022 18:00</t>
  </si>
  <si>
    <t>06-11-2022 18:15</t>
  </si>
  <si>
    <t>06-11-2022 18:30</t>
  </si>
  <si>
    <t>06-11-2022 18:45</t>
  </si>
  <si>
    <t>06-11-2022 19:00</t>
  </si>
  <si>
    <t>06-11-2022 19:15</t>
  </si>
  <si>
    <t>06-11-2022 19:30</t>
  </si>
  <si>
    <t>06-11-2022 19:45</t>
  </si>
  <si>
    <t>06-11-2022 20:00</t>
  </si>
  <si>
    <t>06-11-2022 20:15</t>
  </si>
  <si>
    <t>06-11-2022 20:30</t>
  </si>
  <si>
    <t>06-11-2022 20:45</t>
  </si>
  <si>
    <t>06-11-2022 21:00</t>
  </si>
  <si>
    <t>06-11-2022 21:15</t>
  </si>
  <si>
    <t>06-11-2022 21:30</t>
  </si>
  <si>
    <t>06-11-2022 21:45</t>
  </si>
  <si>
    <t>06-11-2022 22:00</t>
  </si>
  <si>
    <t>06-11-2022 22:15</t>
  </si>
  <si>
    <t>06-11-2022 22:30</t>
  </si>
  <si>
    <t>06-11-2022 22:45</t>
  </si>
  <si>
    <t>06-11-2022 23:00</t>
  </si>
  <si>
    <t>06-11-2022 23:15</t>
  </si>
  <si>
    <t>06-11-2022 23:30</t>
  </si>
  <si>
    <t>06-11-2022 23:45</t>
  </si>
  <si>
    <t>06-11-2022 24:00</t>
  </si>
  <si>
    <t>07-11-2022 00:15</t>
  </si>
  <si>
    <t>07-11-2022 00:30</t>
  </si>
  <si>
    <t>07-11-2022 00:45</t>
  </si>
  <si>
    <t>07-11-2022 01:00</t>
  </si>
  <si>
    <t>07-11-2022 01:15</t>
  </si>
  <si>
    <t>07-11-2022 01:30</t>
  </si>
  <si>
    <t>07-11-2022 01:45</t>
  </si>
  <si>
    <t>07-11-2022 02:00</t>
  </si>
  <si>
    <t>07-11-2022 02:15</t>
  </si>
  <si>
    <t>07-11-2022 02:30</t>
  </si>
  <si>
    <t>07-11-2022 02:45</t>
  </si>
  <si>
    <t>07-11-2022 03:00</t>
  </si>
  <si>
    <t>07-11-2022 03:15</t>
  </si>
  <si>
    <t>07-11-2022 03:30</t>
  </si>
  <si>
    <t>07-11-2022 03:45</t>
  </si>
  <si>
    <t>07-11-2022 04:00</t>
  </si>
  <si>
    <t>07-11-2022 04:15</t>
  </si>
  <si>
    <t>07-11-2022 04:30</t>
  </si>
  <si>
    <t>07-11-2022 04:45</t>
  </si>
  <si>
    <t>07-11-2022 05:00</t>
  </si>
  <si>
    <t>07-11-2022 05:15</t>
  </si>
  <si>
    <t>07-11-2022 05:30</t>
  </si>
  <si>
    <t>07-11-2022 05:45</t>
  </si>
  <si>
    <t>07-11-2022 06:00</t>
  </si>
  <si>
    <t>07-11-2022 06:15</t>
  </si>
  <si>
    <t>07-11-2022 06:30</t>
  </si>
  <si>
    <t>07-11-2022 06:45</t>
  </si>
  <si>
    <t>07-11-2022 07:00</t>
  </si>
  <si>
    <t>07-11-2022 07:15</t>
  </si>
  <si>
    <t>07-11-2022 07:30</t>
  </si>
  <si>
    <t>07-11-2022 07:45</t>
  </si>
  <si>
    <t>07-11-2022 08:00</t>
  </si>
  <si>
    <t>07-11-2022 08:15</t>
  </si>
  <si>
    <t>07-11-2022 08:30</t>
  </si>
  <si>
    <t>07-11-2022 08:45</t>
  </si>
  <si>
    <t>07-11-2022 09:00</t>
  </si>
  <si>
    <t>07-11-2022 09:15</t>
  </si>
  <si>
    <t>07-11-2022 09:30</t>
  </si>
  <si>
    <t>07-11-2022 09:45</t>
  </si>
  <si>
    <t>07-11-2022 10:00</t>
  </si>
  <si>
    <t>07-11-2022 10:15</t>
  </si>
  <si>
    <t>07-11-2022 10:30</t>
  </si>
  <si>
    <t>07-11-2022 10:45</t>
  </si>
  <si>
    <t>07-11-2022 11:00</t>
  </si>
  <si>
    <t>07-11-2022 11:15</t>
  </si>
  <si>
    <t>07-11-2022 11:30</t>
  </si>
  <si>
    <t>07-11-2022 11:45</t>
  </si>
  <si>
    <t>07-11-2022 12:00</t>
  </si>
  <si>
    <t>07-11-2022 12:15</t>
  </si>
  <si>
    <t>07-11-2022 12:30</t>
  </si>
  <si>
    <t>07-11-2022 12:45</t>
  </si>
  <si>
    <t>07-11-2022 13:00</t>
  </si>
  <si>
    <t>07-11-2022 13:15</t>
  </si>
  <si>
    <t>07-11-2022 13:30</t>
  </si>
  <si>
    <t>07-11-2022 13:45</t>
  </si>
  <si>
    <t>07-11-2022 14:00</t>
  </si>
  <si>
    <t>07-11-2022 14:15</t>
  </si>
  <si>
    <t>07-11-2022 14:30</t>
  </si>
  <si>
    <t>07-11-2022 14:45</t>
  </si>
  <si>
    <t>07-11-2022 15:00</t>
  </si>
  <si>
    <t>07-11-2022 15:15</t>
  </si>
  <si>
    <t>07-11-2022 15:30</t>
  </si>
  <si>
    <t>07-11-2022 15:45</t>
  </si>
  <si>
    <t>07-11-2022 16:00</t>
  </si>
  <si>
    <t>07-11-2022 16:15</t>
  </si>
  <si>
    <t>07-11-2022 16:30</t>
  </si>
  <si>
    <t>07-11-2022 16:45</t>
  </si>
  <si>
    <t>07-11-2022 17:00</t>
  </si>
  <si>
    <t>07-11-2022 17:15</t>
  </si>
  <si>
    <t>07-11-2022 17:30</t>
  </si>
  <si>
    <t>07-11-2022 17:45</t>
  </si>
  <si>
    <t>07-11-2022 18:00</t>
  </si>
  <si>
    <t>07-11-2022 18:15</t>
  </si>
  <si>
    <t>07-11-2022 18:30</t>
  </si>
  <si>
    <t>07-11-2022 18:45</t>
  </si>
  <si>
    <t>07-11-2022 19:00</t>
  </si>
  <si>
    <t>07-11-2022 19:15</t>
  </si>
  <si>
    <t>07-11-2022 19:30</t>
  </si>
  <si>
    <t>07-11-2022 19:45</t>
  </si>
  <si>
    <t>07-11-2022 20:00</t>
  </si>
  <si>
    <t>07-11-2022 20:15</t>
  </si>
  <si>
    <t>07-11-2022 20:30</t>
  </si>
  <si>
    <t>07-11-2022 20:45</t>
  </si>
  <si>
    <t>07-11-2022 21:00</t>
  </si>
  <si>
    <t>07-11-2022 21:15</t>
  </si>
  <si>
    <t>07-11-2022 21:30</t>
  </si>
  <si>
    <t>07-11-2022 21:45</t>
  </si>
  <si>
    <t>07-11-2022 22:00</t>
  </si>
  <si>
    <t>07-11-2022 22:15</t>
  </si>
  <si>
    <t>07-11-2022 22:30</t>
  </si>
  <si>
    <t>07-11-2022 22:45</t>
  </si>
  <si>
    <t>07-11-2022 23:00</t>
  </si>
  <si>
    <t>07-11-2022 23:15</t>
  </si>
  <si>
    <t>07-11-2022 23:30</t>
  </si>
  <si>
    <t>07-11-2022 23:45</t>
  </si>
  <si>
    <t>07-11-2022 24:00</t>
  </si>
  <si>
    <t>08-11-2022 00:15</t>
  </si>
  <si>
    <t>08-11-2022 00:30</t>
  </si>
  <si>
    <t>08-11-2022 00:45</t>
  </si>
  <si>
    <t>08-11-2022 01:00</t>
  </si>
  <si>
    <t>08-11-2022 01:15</t>
  </si>
  <si>
    <t>08-11-2022 01:30</t>
  </si>
  <si>
    <t>08-11-2022 01:45</t>
  </si>
  <si>
    <t>08-11-2022 02:00</t>
  </si>
  <si>
    <t>08-11-2022 02:15</t>
  </si>
  <si>
    <t>08-11-2022 02:30</t>
  </si>
  <si>
    <t>08-11-2022 02:45</t>
  </si>
  <si>
    <t>08-11-2022 03:00</t>
  </si>
  <si>
    <t>08-11-2022 03:15</t>
  </si>
  <si>
    <t>08-11-2022 03:30</t>
  </si>
  <si>
    <t>08-11-2022 03:45</t>
  </si>
  <si>
    <t>08-11-2022 04:00</t>
  </si>
  <si>
    <t>08-11-2022 04:15</t>
  </si>
  <si>
    <t>08-11-2022 04:30</t>
  </si>
  <si>
    <t>08-11-2022 04:45</t>
  </si>
  <si>
    <t>08-11-2022 05:00</t>
  </si>
  <si>
    <t>08-11-2022 05:15</t>
  </si>
  <si>
    <t>08-11-2022 05:30</t>
  </si>
  <si>
    <t>08-11-2022 05:45</t>
  </si>
  <si>
    <t>08-11-2022 06:00</t>
  </si>
  <si>
    <t>08-11-2022 06:15</t>
  </si>
  <si>
    <t>08-11-2022 06:30</t>
  </si>
  <si>
    <t>08-11-2022 06:45</t>
  </si>
  <si>
    <t>08-11-2022 07:00</t>
  </si>
  <si>
    <t>08-11-2022 07:15</t>
  </si>
  <si>
    <t>08-11-2022 07:30</t>
  </si>
  <si>
    <t>08-11-2022 07:45</t>
  </si>
  <si>
    <t>08-11-2022 08:00</t>
  </si>
  <si>
    <t>08-11-2022 08:15</t>
  </si>
  <si>
    <t>08-11-2022 08:30</t>
  </si>
  <si>
    <t>08-11-2022 08:45</t>
  </si>
  <si>
    <t>08-11-2022 09:00</t>
  </si>
  <si>
    <t>08-11-2022 09:15</t>
  </si>
  <si>
    <t>08-11-2022 09:30</t>
  </si>
  <si>
    <t>08-11-2022 09:45</t>
  </si>
  <si>
    <t>08-11-2022 10:00</t>
  </si>
  <si>
    <t>08-11-2022 10:15</t>
  </si>
  <si>
    <t>08-11-2022 10:30</t>
  </si>
  <si>
    <t>08-11-2022 10:45</t>
  </si>
  <si>
    <t>08-11-2022 11:00</t>
  </si>
  <si>
    <t>08-11-2022 11:15</t>
  </si>
  <si>
    <t>08-11-2022 11:30</t>
  </si>
  <si>
    <t>08-11-2022 11:45</t>
  </si>
  <si>
    <t>08-11-2022 12:00</t>
  </si>
  <si>
    <t>08-11-2022 12:15</t>
  </si>
  <si>
    <t>08-11-2022 12:30</t>
  </si>
  <si>
    <t>08-11-2022 12:45</t>
  </si>
  <si>
    <t>08-11-2022 13:00</t>
  </si>
  <si>
    <t>08-11-2022 13:15</t>
  </si>
  <si>
    <t>08-11-2022 13:30</t>
  </si>
  <si>
    <t>08-11-2022 13:45</t>
  </si>
  <si>
    <t>08-11-2022 14:00</t>
  </si>
  <si>
    <t>08-11-2022 14:15</t>
  </si>
  <si>
    <t>08-11-2022 14:30</t>
  </si>
  <si>
    <t>08-11-2022 14:45</t>
  </si>
  <si>
    <t>08-11-2022 15:00</t>
  </si>
  <si>
    <t>08-11-2022 15:15</t>
  </si>
  <si>
    <t>08-11-2022 15:30</t>
  </si>
  <si>
    <t>08-11-2022 15:45</t>
  </si>
  <si>
    <t>08-11-2022 16:00</t>
  </si>
  <si>
    <t>08-11-2022 16:15</t>
  </si>
  <si>
    <t>08-11-2022 16:30</t>
  </si>
  <si>
    <t>08-11-2022 16:45</t>
  </si>
  <si>
    <t>08-11-2022 17:00</t>
  </si>
  <si>
    <t>08-11-2022 17:15</t>
  </si>
  <si>
    <t>08-11-2022 17:30</t>
  </si>
  <si>
    <t>08-11-2022 17:45</t>
  </si>
  <si>
    <t>08-11-2022 18:00</t>
  </si>
  <si>
    <t>08-11-2022 18:15</t>
  </si>
  <si>
    <t>08-11-2022 18:30</t>
  </si>
  <si>
    <t>08-11-2022 18:45</t>
  </si>
  <si>
    <t>08-11-2022 19:00</t>
  </si>
  <si>
    <t>08-11-2022 19:15</t>
  </si>
  <si>
    <t>08-11-2022 19:30</t>
  </si>
  <si>
    <t>08-11-2022 19:45</t>
  </si>
  <si>
    <t>08-11-2022 20:00</t>
  </si>
  <si>
    <t>08-11-2022 20:15</t>
  </si>
  <si>
    <t>08-11-2022 20:30</t>
  </si>
  <si>
    <t>08-11-2022 20:45</t>
  </si>
  <si>
    <t>08-11-2022 21:00</t>
  </si>
  <si>
    <t>08-11-2022 21:15</t>
  </si>
  <si>
    <t>08-11-2022 21:30</t>
  </si>
  <si>
    <t>08-11-2022 21:45</t>
  </si>
  <si>
    <t>08-11-2022 22:00</t>
  </si>
  <si>
    <t>08-11-2022 22:15</t>
  </si>
  <si>
    <t>08-11-2022 22:30</t>
  </si>
  <si>
    <t>08-11-2022 22:45</t>
  </si>
  <si>
    <t>08-11-2022 23:00</t>
  </si>
  <si>
    <t>08-11-2022 23:15</t>
  </si>
  <si>
    <t>08-11-2022 23:30</t>
  </si>
  <si>
    <t>08-11-2022 23:45</t>
  </si>
  <si>
    <t>08-11-2022 24:00</t>
  </si>
  <si>
    <t>09-11-2022 00:15</t>
  </si>
  <si>
    <t>09-11-2022 00:30</t>
  </si>
  <si>
    <t>09-11-2022 00:45</t>
  </si>
  <si>
    <t>09-11-2022 01:00</t>
  </si>
  <si>
    <t>09-11-2022 01:15</t>
  </si>
  <si>
    <t>09-11-2022 01:30</t>
  </si>
  <si>
    <t>09-11-2022 01:45</t>
  </si>
  <si>
    <t>09-11-2022 02:00</t>
  </si>
  <si>
    <t>09-11-2022 02:15</t>
  </si>
  <si>
    <t>09-11-2022 02:30</t>
  </si>
  <si>
    <t>09-11-2022 02:45</t>
  </si>
  <si>
    <t>09-11-2022 03:00</t>
  </si>
  <si>
    <t>09-11-2022 03:15</t>
  </si>
  <si>
    <t>09-11-2022 03:30</t>
  </si>
  <si>
    <t>09-11-2022 03:45</t>
  </si>
  <si>
    <t>09-11-2022 04:00</t>
  </si>
  <si>
    <t>09-11-2022 04:15</t>
  </si>
  <si>
    <t>09-11-2022 04:30</t>
  </si>
  <si>
    <t>09-11-2022 04:45</t>
  </si>
  <si>
    <t>09-11-2022 05:00</t>
  </si>
  <si>
    <t>09-11-2022 05:15</t>
  </si>
  <si>
    <t>09-11-2022 05:30</t>
  </si>
  <si>
    <t>09-11-2022 05:45</t>
  </si>
  <si>
    <t>09-11-2022 06:00</t>
  </si>
  <si>
    <t>09-11-2022 06:15</t>
  </si>
  <si>
    <t>09-11-2022 06:30</t>
  </si>
  <si>
    <t>09-11-2022 06:45</t>
  </si>
  <si>
    <t>09-11-2022 07:00</t>
  </si>
  <si>
    <t>09-11-2022 07:15</t>
  </si>
  <si>
    <t>09-11-2022 07:30</t>
  </si>
  <si>
    <t>09-11-2022 07:45</t>
  </si>
  <si>
    <t>09-11-2022 08:00</t>
  </si>
  <si>
    <t>09-11-2022 08:15</t>
  </si>
  <si>
    <t>09-11-2022 08:30</t>
  </si>
  <si>
    <t>09-11-2022 08:45</t>
  </si>
  <si>
    <t>09-11-2022 09:00</t>
  </si>
  <si>
    <t>09-11-2022 09:15</t>
  </si>
  <si>
    <t>09-11-2022 09:30</t>
  </si>
  <si>
    <t>09-11-2022 09:45</t>
  </si>
  <si>
    <t>09-11-2022 10:00</t>
  </si>
  <si>
    <t>09-11-2022 10:15</t>
  </si>
  <si>
    <t>09-11-2022 10:30</t>
  </si>
  <si>
    <t>09-11-2022 10:45</t>
  </si>
  <si>
    <t>09-11-2022 11:00</t>
  </si>
  <si>
    <t>09-11-2022 11:15</t>
  </si>
  <si>
    <t>09-11-2022 11:30</t>
  </si>
  <si>
    <t>09-11-2022 11:45</t>
  </si>
  <si>
    <t>09-11-2022 12:00</t>
  </si>
  <si>
    <t>09-11-2022 12:15</t>
  </si>
  <si>
    <t>09-11-2022 12:30</t>
  </si>
  <si>
    <t>09-11-2022 12:45</t>
  </si>
  <si>
    <t>09-11-2022 13:00</t>
  </si>
  <si>
    <t>09-11-2022 13:15</t>
  </si>
  <si>
    <t>09-11-2022 13:30</t>
  </si>
  <si>
    <t>09-11-2022 13:45</t>
  </si>
  <si>
    <t>09-11-2022 14:00</t>
  </si>
  <si>
    <t>09-11-2022 14:15</t>
  </si>
  <si>
    <t>09-11-2022 14:30</t>
  </si>
  <si>
    <t>09-11-2022 14:45</t>
  </si>
  <si>
    <t>09-11-2022 15:00</t>
  </si>
  <si>
    <t>09-11-2022 15:15</t>
  </si>
  <si>
    <t>09-11-2022 15:30</t>
  </si>
  <si>
    <t>09-11-2022 15:45</t>
  </si>
  <si>
    <t>09-11-2022 16:00</t>
  </si>
  <si>
    <t>09-11-2022 16:15</t>
  </si>
  <si>
    <t>09-11-2022 16:30</t>
  </si>
  <si>
    <t>09-11-2022 16:45</t>
  </si>
  <si>
    <t>09-11-2022 17:00</t>
  </si>
  <si>
    <t>09-11-2022 17:15</t>
  </si>
  <si>
    <t>09-11-2022 17:30</t>
  </si>
  <si>
    <t>09-11-2022 17:45</t>
  </si>
  <si>
    <t>09-11-2022 18:00</t>
  </si>
  <si>
    <t>09-11-2022 18:15</t>
  </si>
  <si>
    <t>09-11-2022 18:30</t>
  </si>
  <si>
    <t>09-11-2022 18:45</t>
  </si>
  <si>
    <t>09-11-2022 19:00</t>
  </si>
  <si>
    <t>09-11-2022 19:15</t>
  </si>
  <si>
    <t>09-11-2022 19:30</t>
  </si>
  <si>
    <t>09-11-2022 19:45</t>
  </si>
  <si>
    <t>09-11-2022 20:00</t>
  </si>
  <si>
    <t>09-11-2022 20:15</t>
  </si>
  <si>
    <t>09-11-2022 20:30</t>
  </si>
  <si>
    <t>09-11-2022 20:45</t>
  </si>
  <si>
    <t>09-11-2022 21:00</t>
  </si>
  <si>
    <t>09-11-2022 21:15</t>
  </si>
  <si>
    <t>09-11-2022 21:30</t>
  </si>
  <si>
    <t>09-11-2022 21:45</t>
  </si>
  <si>
    <t>09-11-2022 22:00</t>
  </si>
  <si>
    <t>09-11-2022 22:15</t>
  </si>
  <si>
    <t>09-11-2022 22:30</t>
  </si>
  <si>
    <t>09-11-2022 22:45</t>
  </si>
  <si>
    <t>09-11-2022 23:00</t>
  </si>
  <si>
    <t>09-11-2022 23:15</t>
  </si>
  <si>
    <t>09-11-2022 23:30</t>
  </si>
  <si>
    <t>09-11-2022 23:45</t>
  </si>
  <si>
    <t>09-11-2022 24:00</t>
  </si>
  <si>
    <t>02/11/2022 10:15</t>
  </si>
  <si>
    <t>09/11/2022 03:15</t>
  </si>
  <si>
    <t>10-11-2022 00:15</t>
  </si>
  <si>
    <t>10-11-2022 00:30</t>
  </si>
  <si>
    <t>10-11-2022 00:45</t>
  </si>
  <si>
    <t>10-11-2022 01:00</t>
  </si>
  <si>
    <t>10-11-2022 01:15</t>
  </si>
  <si>
    <t>10-11-2022 01:30</t>
  </si>
  <si>
    <t>10-11-2022 01:45</t>
  </si>
  <si>
    <t>10-11-2022 02:00</t>
  </si>
  <si>
    <t>10-11-2022 02:15</t>
  </si>
  <si>
    <t>10-11-2022 02:30</t>
  </si>
  <si>
    <t>10-11-2022 02:45</t>
  </si>
  <si>
    <t>10-11-2022 03:00</t>
  </si>
  <si>
    <t>10-11-2022 03:15</t>
  </si>
  <si>
    <t>10-11-2022 03:30</t>
  </si>
  <si>
    <t>10-11-2022 03:45</t>
  </si>
  <si>
    <t>10-11-2022 04:00</t>
  </si>
  <si>
    <t>10-11-2022 04:15</t>
  </si>
  <si>
    <t>10-11-2022 04:30</t>
  </si>
  <si>
    <t>10-11-2022 04:45</t>
  </si>
  <si>
    <t>10-11-2022 05:00</t>
  </si>
  <si>
    <t>10-11-2022 05:15</t>
  </si>
  <si>
    <t>10-11-2022 05:30</t>
  </si>
  <si>
    <t>10-11-2022 05:45</t>
  </si>
  <si>
    <t>10-11-2022 06:00</t>
  </si>
  <si>
    <t>10-11-2022 06:15</t>
  </si>
  <si>
    <t>10-11-2022 06:30</t>
  </si>
  <si>
    <t>10-11-2022 06:45</t>
  </si>
  <si>
    <t>10-11-2022 07:00</t>
  </si>
  <si>
    <t>10-11-2022 07:15</t>
  </si>
  <si>
    <t>10-11-2022 07:30</t>
  </si>
  <si>
    <t>10-11-2022 07:45</t>
  </si>
  <si>
    <t>10-11-2022 08:00</t>
  </si>
  <si>
    <t>10-11-2022 08:15</t>
  </si>
  <si>
    <t>10-11-2022 08:30</t>
  </si>
  <si>
    <t>10-11-2022 08:45</t>
  </si>
  <si>
    <t>10-11-2022 09:00</t>
  </si>
  <si>
    <t>10-11-2022 09:15</t>
  </si>
  <si>
    <t>10-11-2022 09:30</t>
  </si>
  <si>
    <t>10-11-2022 09:45</t>
  </si>
  <si>
    <t>10-11-2022 10:00</t>
  </si>
  <si>
    <t>10-11-2022 10:15</t>
  </si>
  <si>
    <t>10-11-2022 10:30</t>
  </si>
  <si>
    <t>10-11-2022 10:45</t>
  </si>
  <si>
    <t>10-11-2022 11:00</t>
  </si>
  <si>
    <t>10-11-2022 11:15</t>
  </si>
  <si>
    <t>10-11-2022 11:30</t>
  </si>
  <si>
    <t>10-11-2022 11:45</t>
  </si>
  <si>
    <t>10-11-2022 12:00</t>
  </si>
  <si>
    <t>10-11-2022 12:15</t>
  </si>
  <si>
    <t>10-11-2022 12:30</t>
  </si>
  <si>
    <t>10-11-2022 12:45</t>
  </si>
  <si>
    <t>10-11-2022 13:00</t>
  </si>
  <si>
    <t>10-11-2022 13:15</t>
  </si>
  <si>
    <t>10-11-2022 13:30</t>
  </si>
  <si>
    <t>10-11-2022 13:45</t>
  </si>
  <si>
    <t>10-11-2022 14:00</t>
  </si>
  <si>
    <t>10-11-2022 14:15</t>
  </si>
  <si>
    <t>10-11-2022 14:30</t>
  </si>
  <si>
    <t>10-11-2022 14:45</t>
  </si>
  <si>
    <t>10-11-2022 15:00</t>
  </si>
  <si>
    <t>10-11-2022 15:15</t>
  </si>
  <si>
    <t>10-11-2022 15:30</t>
  </si>
  <si>
    <t>10-11-2022 15:45</t>
  </si>
  <si>
    <t>10-11-2022 16:00</t>
  </si>
  <si>
    <t>10-11-2022 16:15</t>
  </si>
  <si>
    <t>10-11-2022 16:30</t>
  </si>
  <si>
    <t>10-11-2022 16:45</t>
  </si>
  <si>
    <t>10-11-2022 17:00</t>
  </si>
  <si>
    <t>10-11-2022 17:15</t>
  </si>
  <si>
    <t>10-11-2022 17:30</t>
  </si>
  <si>
    <t>10-11-2022 17:45</t>
  </si>
  <si>
    <t>10-11-2022 18:00</t>
  </si>
  <si>
    <t>10-11-2022 18:15</t>
  </si>
  <si>
    <t>10-11-2022 18:30</t>
  </si>
  <si>
    <t>10-11-2022 18:45</t>
  </si>
  <si>
    <t>10-11-2022 19:00</t>
  </si>
  <si>
    <t>10-11-2022 19:15</t>
  </si>
  <si>
    <t>10-11-2022 19:30</t>
  </si>
  <si>
    <t>10-11-2022 19:45</t>
  </si>
  <si>
    <t>10-11-2022 20:00</t>
  </si>
  <si>
    <t>10-11-2022 20:15</t>
  </si>
  <si>
    <t>10-11-2022 20:30</t>
  </si>
  <si>
    <t>10-11-2022 20:45</t>
  </si>
  <si>
    <t>10-11-2022 21:00</t>
  </si>
  <si>
    <t>10-11-2022 21:15</t>
  </si>
  <si>
    <t>10-11-2022 21:30</t>
  </si>
  <si>
    <t>10-11-2022 21:45</t>
  </si>
  <si>
    <t>10-11-2022 22:00</t>
  </si>
  <si>
    <t>10-11-2022 22:15</t>
  </si>
  <si>
    <t>10-11-2022 22:30</t>
  </si>
  <si>
    <t>10-11-2022 22:45</t>
  </si>
  <si>
    <t>10-11-2022 23:00</t>
  </si>
  <si>
    <t>10-11-2022 23:15</t>
  </si>
  <si>
    <t>10-11-2022 23:30</t>
  </si>
  <si>
    <t>10-11-2022 23:45</t>
  </si>
  <si>
    <t>10-11-2022 24:00</t>
  </si>
  <si>
    <t>RAHUL</t>
  </si>
  <si>
    <t>11-11-2022 00:15</t>
  </si>
  <si>
    <t>11-11-2022 00:30</t>
  </si>
  <si>
    <t>11-11-2022 00:45</t>
  </si>
  <si>
    <t>11-11-2022 01:00</t>
  </si>
  <si>
    <t>11-11-2022 01:15</t>
  </si>
  <si>
    <t>11-11-2022 01:30</t>
  </si>
  <si>
    <t>11-11-2022 01:45</t>
  </si>
  <si>
    <t>11-11-2022 02:00</t>
  </si>
  <si>
    <t>11-11-2022 02:15</t>
  </si>
  <si>
    <t>11-11-2022 02:30</t>
  </si>
  <si>
    <t>11-11-2022 02:45</t>
  </si>
  <si>
    <t>11-11-2022 03:00</t>
  </si>
  <si>
    <t>11-11-2022 03:15</t>
  </si>
  <si>
    <t>11-11-2022 03:30</t>
  </si>
  <si>
    <t>11-11-2022 03:45</t>
  </si>
  <si>
    <t>11-11-2022 04:00</t>
  </si>
  <si>
    <t>11-11-2022 04:15</t>
  </si>
  <si>
    <t>11-11-2022 04:30</t>
  </si>
  <si>
    <t>11-11-2022 04:45</t>
  </si>
  <si>
    <t>11-11-2022 05:00</t>
  </si>
  <si>
    <t>11-11-2022 05:15</t>
  </si>
  <si>
    <t>11-11-2022 05:30</t>
  </si>
  <si>
    <t>11-11-2022 05:45</t>
  </si>
  <si>
    <t>11-11-2022 06:00</t>
  </si>
  <si>
    <t>11-11-2022 06:15</t>
  </si>
  <si>
    <t>11-11-2022 06:30</t>
  </si>
  <si>
    <t>11-11-2022 06:45</t>
  </si>
  <si>
    <t>11-11-2022 07:00</t>
  </si>
  <si>
    <t>11-11-2022 07:15</t>
  </si>
  <si>
    <t>11-11-2022 07:30</t>
  </si>
  <si>
    <t>11-11-2022 07:45</t>
  </si>
  <si>
    <t>11-11-2022 08:00</t>
  </si>
  <si>
    <t>11-11-2022 08:15</t>
  </si>
  <si>
    <t>11-11-2022 08:30</t>
  </si>
  <si>
    <t>11-11-2022 08:45</t>
  </si>
  <si>
    <t>11-11-2022 09:00</t>
  </si>
  <si>
    <t>11-11-2022 09:15</t>
  </si>
  <si>
    <t>11-11-2022 09:30</t>
  </si>
  <si>
    <t>11-11-2022 09:45</t>
  </si>
  <si>
    <t>11-11-2022 10:00</t>
  </si>
  <si>
    <t>11-11-2022 10:15</t>
  </si>
  <si>
    <t>11-11-2022 10:30</t>
  </si>
  <si>
    <t>11-11-2022 10:45</t>
  </si>
  <si>
    <t>11-11-2022 11:00</t>
  </si>
  <si>
    <t>11-11-2022 11:15</t>
  </si>
  <si>
    <t>11-11-2022 11:30</t>
  </si>
  <si>
    <t>11-11-2022 11:45</t>
  </si>
  <si>
    <t>11-11-2022 12:00</t>
  </si>
  <si>
    <t>11-11-2022 12:15</t>
  </si>
  <si>
    <t>11-11-2022 12:30</t>
  </si>
  <si>
    <t>11-11-2022 12:45</t>
  </si>
  <si>
    <t>11-11-2022 13:00</t>
  </si>
  <si>
    <t>11-11-2022 13:15</t>
  </si>
  <si>
    <t>11-11-2022 13:30</t>
  </si>
  <si>
    <t>11-11-2022 13:45</t>
  </si>
  <si>
    <t>11-11-2022 14:00</t>
  </si>
  <si>
    <t>11-11-2022 14:15</t>
  </si>
  <si>
    <t>11-11-2022 14:30</t>
  </si>
  <si>
    <t>11-11-2022 14:45</t>
  </si>
  <si>
    <t>11-11-2022 15:00</t>
  </si>
  <si>
    <t>11-11-2022 15:15</t>
  </si>
  <si>
    <t>11-11-2022 15:30</t>
  </si>
  <si>
    <t>11-11-2022 15:45</t>
  </si>
  <si>
    <t>11-11-2022 16:00</t>
  </si>
  <si>
    <t>11-11-2022 16:15</t>
  </si>
  <si>
    <t>11-11-2022 16:30</t>
  </si>
  <si>
    <t>11-11-2022 16:45</t>
  </si>
  <si>
    <t>11-11-2022 17:00</t>
  </si>
  <si>
    <t>11-11-2022 17:15</t>
  </si>
  <si>
    <t>11-11-2022 17:30</t>
  </si>
  <si>
    <t>11-11-2022 17:45</t>
  </si>
  <si>
    <t>11-11-2022 18:00</t>
  </si>
  <si>
    <t>11-11-2022 18:15</t>
  </si>
  <si>
    <t>11-11-2022 18:30</t>
  </si>
  <si>
    <t>11-11-2022 18:45</t>
  </si>
  <si>
    <t>11-11-2022 19:00</t>
  </si>
  <si>
    <t>11-11-2022 19:15</t>
  </si>
  <si>
    <t>11-11-2022 19:30</t>
  </si>
  <si>
    <t>11-11-2022 19:45</t>
  </si>
  <si>
    <t>11-11-2022 20:00</t>
  </si>
  <si>
    <t>11-11-2022 20:15</t>
  </si>
  <si>
    <t>11-11-2022 20:30</t>
  </si>
  <si>
    <t>11-11-2022 20:45</t>
  </si>
  <si>
    <t>11-11-2022 21:00</t>
  </si>
  <si>
    <t>11-11-2022 21:15</t>
  </si>
  <si>
    <t>11-11-2022 21:30</t>
  </si>
  <si>
    <t>11-11-2022 21:45</t>
  </si>
  <si>
    <t>11-11-2022 22:00</t>
  </si>
  <si>
    <t>11-11-2022 22:15</t>
  </si>
  <si>
    <t>11-11-2022 22:30</t>
  </si>
  <si>
    <t>11-11-2022 22:45</t>
  </si>
  <si>
    <t>11-11-2022 23:00</t>
  </si>
  <si>
    <t>11-11-2022 23:15</t>
  </si>
  <si>
    <t>11-11-2022 23:30</t>
  </si>
  <si>
    <t>11-11-2022 23:45</t>
  </si>
  <si>
    <t>11-11-2022 24:00</t>
  </si>
  <si>
    <t>12-11-2022 00:15</t>
  </si>
  <si>
    <t>12-11-2022 00:30</t>
  </si>
  <si>
    <t>12-11-2022 00:45</t>
  </si>
  <si>
    <t>12-11-2022 01:00</t>
  </si>
  <si>
    <t>12-11-2022 01:15</t>
  </si>
  <si>
    <t>12-11-2022 01:30</t>
  </si>
  <si>
    <t>12-11-2022 01:45</t>
  </si>
  <si>
    <t>12-11-2022 02:00</t>
  </si>
  <si>
    <t>12-11-2022 02:15</t>
  </si>
  <si>
    <t>12-11-2022 02:30</t>
  </si>
  <si>
    <t>12-11-2022 02:45</t>
  </si>
  <si>
    <t>12-11-2022 03:00</t>
  </si>
  <si>
    <t>12-11-2022 03:15</t>
  </si>
  <si>
    <t>12-11-2022 03:30</t>
  </si>
  <si>
    <t>12-11-2022 03:45</t>
  </si>
  <si>
    <t>12-11-2022 04:00</t>
  </si>
  <si>
    <t>12-11-2022 04:15</t>
  </si>
  <si>
    <t>12-11-2022 04:30</t>
  </si>
  <si>
    <t>12-11-2022 04:45</t>
  </si>
  <si>
    <t>12-11-2022 05:00</t>
  </si>
  <si>
    <t>12-11-2022 05:15</t>
  </si>
  <si>
    <t>12-11-2022 05:30</t>
  </si>
  <si>
    <t>12-11-2022 05:45</t>
  </si>
  <si>
    <t>12-11-2022 06:00</t>
  </si>
  <si>
    <t>12-11-2022 06:15</t>
  </si>
  <si>
    <t>12-11-2022 06:30</t>
  </si>
  <si>
    <t>12-11-2022 06:45</t>
  </si>
  <si>
    <t>12-11-2022 07:00</t>
  </si>
  <si>
    <t>12-11-2022 07:15</t>
  </si>
  <si>
    <t>12-11-2022 07:30</t>
  </si>
  <si>
    <t>12-11-2022 07:45</t>
  </si>
  <si>
    <t>12-11-2022 08:00</t>
  </si>
  <si>
    <t>12-11-2022 08:15</t>
  </si>
  <si>
    <t>12-11-2022 08:30</t>
  </si>
  <si>
    <t>12-11-2022 08:45</t>
  </si>
  <si>
    <t>12-11-2022 09:00</t>
  </si>
  <si>
    <t>12-11-2022 09:15</t>
  </si>
  <si>
    <t>12-11-2022 09:30</t>
  </si>
  <si>
    <t>12-11-2022 09:45</t>
  </si>
  <si>
    <t>12-11-2022 10:00</t>
  </si>
  <si>
    <t>12-11-2022 10:15</t>
  </si>
  <si>
    <t>12-11-2022 10:30</t>
  </si>
  <si>
    <t>12-11-2022 10:45</t>
  </si>
  <si>
    <t>12-11-2022 11:00</t>
  </si>
  <si>
    <t>12-11-2022 11:15</t>
  </si>
  <si>
    <t>12-11-2022 11:30</t>
  </si>
  <si>
    <t>12-11-2022 11:45</t>
  </si>
  <si>
    <t>12-11-2022 12:00</t>
  </si>
  <si>
    <t>12-11-2022 12:15</t>
  </si>
  <si>
    <t>12-11-2022 12:30</t>
  </si>
  <si>
    <t>12-11-2022 12:45</t>
  </si>
  <si>
    <t>12-11-2022 13:00</t>
  </si>
  <si>
    <t>12-11-2022 13:15</t>
  </si>
  <si>
    <t>12-11-2022 13:30</t>
  </si>
  <si>
    <t>12-11-2022 13:45</t>
  </si>
  <si>
    <t>12-11-2022 14:00</t>
  </si>
  <si>
    <t>12-11-2022 14:15</t>
  </si>
  <si>
    <t>12-11-2022 14:30</t>
  </si>
  <si>
    <t>12-11-2022 14:45</t>
  </si>
  <si>
    <t>12-11-2022 15:00</t>
  </si>
  <si>
    <t>12-11-2022 15:15</t>
  </si>
  <si>
    <t>12-11-2022 15:30</t>
  </si>
  <si>
    <t>12-11-2022 15:45</t>
  </si>
  <si>
    <t>12-11-2022 16:00</t>
  </si>
  <si>
    <t>12-11-2022 16:15</t>
  </si>
  <si>
    <t>12-11-2022 16:30</t>
  </si>
  <si>
    <t>12-11-2022 16:45</t>
  </si>
  <si>
    <t>12-11-2022 17:00</t>
  </si>
  <si>
    <t>12-11-2022 17:15</t>
  </si>
  <si>
    <t>12-11-2022 17:30</t>
  </si>
  <si>
    <t>12-11-2022 17:45</t>
  </si>
  <si>
    <t>12-11-2022 18:00</t>
  </si>
  <si>
    <t>12-11-2022 18:15</t>
  </si>
  <si>
    <t>12-11-2022 18:30</t>
  </si>
  <si>
    <t>12-11-2022 18:45</t>
  </si>
  <si>
    <t>12-11-2022 19:00</t>
  </si>
  <si>
    <t>12-11-2022 19:15</t>
  </si>
  <si>
    <t>12-11-2022 19:30</t>
  </si>
  <si>
    <t>12-11-2022 19:45</t>
  </si>
  <si>
    <t>12-11-2022 20:00</t>
  </si>
  <si>
    <t>12-11-2022 20:15</t>
  </si>
  <si>
    <t>12-11-2022 20:30</t>
  </si>
  <si>
    <t>12-11-2022 20:45</t>
  </si>
  <si>
    <t>12-11-2022 21:00</t>
  </si>
  <si>
    <t>12-11-2022 21:15</t>
  </si>
  <si>
    <t>12-11-2022 21:30</t>
  </si>
  <si>
    <t>12-11-2022 21:45</t>
  </si>
  <si>
    <t>12-11-2022 22:00</t>
  </si>
  <si>
    <t>12-11-2022 22:15</t>
  </si>
  <si>
    <t>12-11-2022 22:30</t>
  </si>
  <si>
    <t>12-11-2022 22:45</t>
  </si>
  <si>
    <t>12-11-2022 23:00</t>
  </si>
  <si>
    <t>12-11-2022 23:15</t>
  </si>
  <si>
    <t>12-11-2022 23:30</t>
  </si>
  <si>
    <t>12-11-2022 23:45</t>
  </si>
  <si>
    <t>12-11-2022 24:00</t>
  </si>
  <si>
    <t>T&amp;H SONSOR WAS FAULTY</t>
  </si>
  <si>
    <t>13-11-2022 00:15</t>
  </si>
  <si>
    <t>13-11-2022 00:30</t>
  </si>
  <si>
    <t>13-11-2022 00:45</t>
  </si>
  <si>
    <t>13-11-2022 01:00</t>
  </si>
  <si>
    <t>13-11-2022 01:15</t>
  </si>
  <si>
    <t>13-11-2022 01:30</t>
  </si>
  <si>
    <t>13-11-2022 01:45</t>
  </si>
  <si>
    <t>13-11-2022 02:00</t>
  </si>
  <si>
    <t>13-11-2022 02:15</t>
  </si>
  <si>
    <t>13-11-2022 02:30</t>
  </si>
  <si>
    <t>13-11-2022 02:45</t>
  </si>
  <si>
    <t>13-11-2022 03:00</t>
  </si>
  <si>
    <t>13-11-2022 03:15</t>
  </si>
  <si>
    <t>13-11-2022 03:30</t>
  </si>
  <si>
    <t>13-11-2022 03:45</t>
  </si>
  <si>
    <t>13-11-2022 04:00</t>
  </si>
  <si>
    <t>13-11-2022 04:15</t>
  </si>
  <si>
    <t>13-11-2022 04:30</t>
  </si>
  <si>
    <t>13-11-2022 04:45</t>
  </si>
  <si>
    <t>13-11-2022 05:00</t>
  </si>
  <si>
    <t>13-11-2022 05:15</t>
  </si>
  <si>
    <t>13-11-2022 05:30</t>
  </si>
  <si>
    <t>13-11-2022 05:45</t>
  </si>
  <si>
    <t>13-11-2022 06:00</t>
  </si>
  <si>
    <t>13-11-2022 06:15</t>
  </si>
  <si>
    <t>13-11-2022 06:30</t>
  </si>
  <si>
    <t>13-11-2022 06:45</t>
  </si>
  <si>
    <t>13-11-2022 07:00</t>
  </si>
  <si>
    <t>13-11-2022 07:15</t>
  </si>
  <si>
    <t>13-11-2022 07:30</t>
  </si>
  <si>
    <t>13-11-2022 07:45</t>
  </si>
  <si>
    <t>13-11-2022 08:00</t>
  </si>
  <si>
    <t>13-11-2022 08:15</t>
  </si>
  <si>
    <t>13-11-2022 08:30</t>
  </si>
  <si>
    <t>13-11-2022 08:45</t>
  </si>
  <si>
    <t>13-11-2022 09:00</t>
  </si>
  <si>
    <t>13-11-2022 09:15</t>
  </si>
  <si>
    <t>13-11-2022 09:30</t>
  </si>
  <si>
    <t>13-11-2022 09:45</t>
  </si>
  <si>
    <t>13-11-2022 10:00</t>
  </si>
  <si>
    <t>13-11-2022 10:15</t>
  </si>
  <si>
    <t>13-11-2022 10:30</t>
  </si>
  <si>
    <t>13-11-2022 10:45</t>
  </si>
  <si>
    <t>13-11-2022 11:00</t>
  </si>
  <si>
    <t>13-11-2022 11:15</t>
  </si>
  <si>
    <t>13-11-2022 11:30</t>
  </si>
  <si>
    <t>13-11-2022 11:45</t>
  </si>
  <si>
    <t>13-11-2022 12:00</t>
  </si>
  <si>
    <t>13-11-2022 12:15</t>
  </si>
  <si>
    <t>13-11-2022 12:30</t>
  </si>
  <si>
    <t>13-11-2022 12:45</t>
  </si>
  <si>
    <t>13-11-2022 13:00</t>
  </si>
  <si>
    <t>13-11-2022 13:15</t>
  </si>
  <si>
    <t>13-11-2022 13:30</t>
  </si>
  <si>
    <t>13-11-2022 13:45</t>
  </si>
  <si>
    <t>13-11-2022 14:00</t>
  </si>
  <si>
    <t>13-11-2022 14:15</t>
  </si>
  <si>
    <t>13-11-2022 14:30</t>
  </si>
  <si>
    <t>13-11-2022 14:45</t>
  </si>
  <si>
    <t>13-11-2022 15:00</t>
  </si>
  <si>
    <t>13-11-2022 15:15</t>
  </si>
  <si>
    <t>13-11-2022 15:30</t>
  </si>
  <si>
    <t>13-11-2022 15:45</t>
  </si>
  <si>
    <t>13-11-2022 16:00</t>
  </si>
  <si>
    <t>13-11-2022 16:15</t>
  </si>
  <si>
    <t>13-11-2022 16:30</t>
  </si>
  <si>
    <t>13-11-2022 16:45</t>
  </si>
  <si>
    <t>13-11-2022 17:00</t>
  </si>
  <si>
    <t>13-11-2022 17:15</t>
  </si>
  <si>
    <t>13-11-2022 17:30</t>
  </si>
  <si>
    <t>13-11-2022 17:45</t>
  </si>
  <si>
    <t>13-11-2022 18:00</t>
  </si>
  <si>
    <t>13-11-2022 18:15</t>
  </si>
  <si>
    <t>13-11-2022 18:30</t>
  </si>
  <si>
    <t>13-11-2022 18:45</t>
  </si>
  <si>
    <t>13-11-2022 19:00</t>
  </si>
  <si>
    <t>13-11-2022 19:15</t>
  </si>
  <si>
    <t>13-11-2022 19:30</t>
  </si>
  <si>
    <t>13-11-2022 19:45</t>
  </si>
  <si>
    <t>13-11-2022 20:00</t>
  </si>
  <si>
    <t>13-11-2022 20:15</t>
  </si>
  <si>
    <t>13-11-2022 20:30</t>
  </si>
  <si>
    <t>13-11-2022 20:45</t>
  </si>
  <si>
    <t>13-11-2022 21:00</t>
  </si>
  <si>
    <t>13-11-2022 21:15</t>
  </si>
  <si>
    <t>13-11-2022 21:30</t>
  </si>
  <si>
    <t>13-11-2022 21:45</t>
  </si>
  <si>
    <t>13-11-2022 22:00</t>
  </si>
  <si>
    <t>13-11-2022 22:15</t>
  </si>
  <si>
    <t>13-11-2022 22:30</t>
  </si>
  <si>
    <t>13-11-2022 22:45</t>
  </si>
  <si>
    <t>13-11-2022 23:00</t>
  </si>
  <si>
    <t>13-11-2022 23:15</t>
  </si>
  <si>
    <t>13-11-2022 23:30</t>
  </si>
  <si>
    <t>13-11-2022 23:45</t>
  </si>
  <si>
    <t>13-11-2022 24:00</t>
  </si>
  <si>
    <t>835 ug/cm2</t>
  </si>
  <si>
    <t>847 ug/cm2</t>
  </si>
  <si>
    <t>14-11-2022 00:15</t>
  </si>
  <si>
    <t>14-11-2022 00:30</t>
  </si>
  <si>
    <t>14-11-2022 00:45</t>
  </si>
  <si>
    <t>14-11-2022 01:00</t>
  </si>
  <si>
    <t>14-11-2022 01:15</t>
  </si>
  <si>
    <t>14-11-2022 01:30</t>
  </si>
  <si>
    <t>14-11-2022 01:45</t>
  </si>
  <si>
    <t>14-11-2022 02:00</t>
  </si>
  <si>
    <t>14-11-2022 02:15</t>
  </si>
  <si>
    <t>14-11-2022 02:30</t>
  </si>
  <si>
    <t>14-11-2022 02:45</t>
  </si>
  <si>
    <t>14-11-2022 03:00</t>
  </si>
  <si>
    <t>14-11-2022 03:15</t>
  </si>
  <si>
    <t>14-11-2022 03:30</t>
  </si>
  <si>
    <t>14-11-2022 03:45</t>
  </si>
  <si>
    <t>14-11-2022 04:00</t>
  </si>
  <si>
    <t>14-11-2022 04:15</t>
  </si>
  <si>
    <t>14-11-2022 04:30</t>
  </si>
  <si>
    <t>14-11-2022 04:45</t>
  </si>
  <si>
    <t>14-11-2022 05:00</t>
  </si>
  <si>
    <t>14-11-2022 05:15</t>
  </si>
  <si>
    <t>14-11-2022 05:30</t>
  </si>
  <si>
    <t>14-11-2022 05:45</t>
  </si>
  <si>
    <t>14-11-2022 06:00</t>
  </si>
  <si>
    <t>14-11-2022 06:15</t>
  </si>
  <si>
    <t>14-11-2022 06:30</t>
  </si>
  <si>
    <t>14-11-2022 06:45</t>
  </si>
  <si>
    <t>14-11-2022 07:00</t>
  </si>
  <si>
    <t>14-11-2022 07:15</t>
  </si>
  <si>
    <t>14-11-2022 07:30</t>
  </si>
  <si>
    <t>14-11-2022 07:45</t>
  </si>
  <si>
    <t>14-11-2022 08:00</t>
  </si>
  <si>
    <t>14-11-2022 08:15</t>
  </si>
  <si>
    <t>14-11-2022 08:30</t>
  </si>
  <si>
    <t>14-11-2022 08:45</t>
  </si>
  <si>
    <t>14-11-2022 09:00</t>
  </si>
  <si>
    <t>14-11-2022 09:15</t>
  </si>
  <si>
    <t>14-11-2022 09:30</t>
  </si>
  <si>
    <t>14-11-2022 09:45</t>
  </si>
  <si>
    <t>14-11-2022 10:00</t>
  </si>
  <si>
    <t>14-11-2022 10:15</t>
  </si>
  <si>
    <t>14-11-2022 10:30</t>
  </si>
  <si>
    <t>14-11-2022 10:45</t>
  </si>
  <si>
    <t>14-11-2022 11:00</t>
  </si>
  <si>
    <t>14-11-2022 11:15</t>
  </si>
  <si>
    <t>14-11-2022 11:30</t>
  </si>
  <si>
    <t>14-11-2022 11:45</t>
  </si>
  <si>
    <t>14-11-2022 12:00</t>
  </si>
  <si>
    <t>14-11-2022 12:15</t>
  </si>
  <si>
    <t>14-11-2022 12:30</t>
  </si>
  <si>
    <t>14-11-2022 12:45</t>
  </si>
  <si>
    <t>14-11-2022 13:00</t>
  </si>
  <si>
    <t>14-11-2022 13:15</t>
  </si>
  <si>
    <t>14-11-2022 13:30</t>
  </si>
  <si>
    <t>14-11-2022 13:45</t>
  </si>
  <si>
    <t>14-11-2022 14:00</t>
  </si>
  <si>
    <t>14-11-2022 14:15</t>
  </si>
  <si>
    <t>14-11-2022 14:30</t>
  </si>
  <si>
    <t>14-11-2022 14:45</t>
  </si>
  <si>
    <t>14-11-2022 15:00</t>
  </si>
  <si>
    <t>14-11-2022 15:15</t>
  </si>
  <si>
    <t>14-11-2022 15:30</t>
  </si>
  <si>
    <t>14-11-2022 15:45</t>
  </si>
  <si>
    <t>14-11-2022 16:00</t>
  </si>
  <si>
    <t>14-11-2022 16:15</t>
  </si>
  <si>
    <t>14-11-2022 16:30</t>
  </si>
  <si>
    <t>14-11-2022 16:45</t>
  </si>
  <si>
    <t>14-11-2022 17:00</t>
  </si>
  <si>
    <t>14-11-2022 17:15</t>
  </si>
  <si>
    <t>14-11-2022 17:30</t>
  </si>
  <si>
    <t>14-11-2022 17:45</t>
  </si>
  <si>
    <t>14-11-2022 18:00</t>
  </si>
  <si>
    <t>14-11-2022 18:15</t>
  </si>
  <si>
    <t>14-11-2022 18:30</t>
  </si>
  <si>
    <t>14-11-2022 18:45</t>
  </si>
  <si>
    <t>14-11-2022 19:00</t>
  </si>
  <si>
    <t>14-11-2022 19:15</t>
  </si>
  <si>
    <t>14-11-2022 19:30</t>
  </si>
  <si>
    <t>14-11-2022 19:45</t>
  </si>
  <si>
    <t>14-11-2022 20:00</t>
  </si>
  <si>
    <t>14-11-2022 20:15</t>
  </si>
  <si>
    <t>14-11-2022 20:30</t>
  </si>
  <si>
    <t>14-11-2022 20:45</t>
  </si>
  <si>
    <t>14-11-2022 21:00</t>
  </si>
  <si>
    <t>14-11-2022 21:15</t>
  </si>
  <si>
    <t>14-11-2022 21:30</t>
  </si>
  <si>
    <t>14-11-2022 21:45</t>
  </si>
  <si>
    <t>14-11-2022 22:00</t>
  </si>
  <si>
    <t>14-11-2022 22:15</t>
  </si>
  <si>
    <t>14-11-2022 22:30</t>
  </si>
  <si>
    <t>14-11-2022 22:45</t>
  </si>
  <si>
    <t>14-11-2022 23:00</t>
  </si>
  <si>
    <t>14-11-2022 23:15</t>
  </si>
  <si>
    <t>14-11-2022 23:30</t>
  </si>
  <si>
    <t>14-11-2022 23:45</t>
  </si>
  <si>
    <t>14-11-2022 24:00</t>
  </si>
  <si>
    <t>15-11-2022 00:15</t>
  </si>
  <si>
    <t>15-11-2022 00:30</t>
  </si>
  <si>
    <t>15-11-2022 00:45</t>
  </si>
  <si>
    <t>15-11-2022 01:00</t>
  </si>
  <si>
    <t>15-11-2022 01:15</t>
  </si>
  <si>
    <t>15-11-2022 01:30</t>
  </si>
  <si>
    <t>15-11-2022 01:45</t>
  </si>
  <si>
    <t>15-11-2022 02:00</t>
  </si>
  <si>
    <t>15-11-2022 02:15</t>
  </si>
  <si>
    <t>15-11-2022 02:30</t>
  </si>
  <si>
    <t>15-11-2022 02:45</t>
  </si>
  <si>
    <t>15-11-2022 03:00</t>
  </si>
  <si>
    <t>15-11-2022 03:15</t>
  </si>
  <si>
    <t>15-11-2022 03:30</t>
  </si>
  <si>
    <t>15-11-2022 03:45</t>
  </si>
  <si>
    <t>15-11-2022 04:00</t>
  </si>
  <si>
    <t>15-11-2022 04:15</t>
  </si>
  <si>
    <t>15-11-2022 04:30</t>
  </si>
  <si>
    <t>15-11-2022 04:45</t>
  </si>
  <si>
    <t>15-11-2022 05:00</t>
  </si>
  <si>
    <t>15-11-2022 05:15</t>
  </si>
  <si>
    <t>15-11-2022 05:30</t>
  </si>
  <si>
    <t>15-11-2022 05:45</t>
  </si>
  <si>
    <t>15-11-2022 06:00</t>
  </si>
  <si>
    <t>15-11-2022 06:15</t>
  </si>
  <si>
    <t>15-11-2022 06:30</t>
  </si>
  <si>
    <t>15-11-2022 06:45</t>
  </si>
  <si>
    <t>15-11-2022 07:00</t>
  </si>
  <si>
    <t>15-11-2022 07:15</t>
  </si>
  <si>
    <t>15-11-2022 07:30</t>
  </si>
  <si>
    <t>15-11-2022 07:45</t>
  </si>
  <si>
    <t>15-11-2022 08:00</t>
  </si>
  <si>
    <t>15-11-2022 08:15</t>
  </si>
  <si>
    <t>15-11-2022 08:30</t>
  </si>
  <si>
    <t>15-11-2022 08:45</t>
  </si>
  <si>
    <t>15-11-2022 09:00</t>
  </si>
  <si>
    <t>15-11-2022 09:15</t>
  </si>
  <si>
    <t>15-11-2022 09:30</t>
  </si>
  <si>
    <t>15-11-2022 09:45</t>
  </si>
  <si>
    <t>15-11-2022 10:00</t>
  </si>
  <si>
    <t>15-11-2022 10:15</t>
  </si>
  <si>
    <t>15-11-2022 10:30</t>
  </si>
  <si>
    <t>15-11-2022 10:45</t>
  </si>
  <si>
    <t>15-11-2022 11:00</t>
  </si>
  <si>
    <t>15-11-2022 11:15</t>
  </si>
  <si>
    <t>15-11-2022 11:30</t>
  </si>
  <si>
    <t>15-11-2022 11:45</t>
  </si>
  <si>
    <t>15-11-2022 12:00</t>
  </si>
  <si>
    <t>15-11-2022 12:15</t>
  </si>
  <si>
    <t>15-11-2022 12:30</t>
  </si>
  <si>
    <t>15-11-2022 12:45</t>
  </si>
  <si>
    <t>15-11-2022 13:00</t>
  </si>
  <si>
    <t>15-11-2022 13:15</t>
  </si>
  <si>
    <t>15-11-2022 13:30</t>
  </si>
  <si>
    <t>15-11-2022 13:45</t>
  </si>
  <si>
    <t>15-11-2022 14:00</t>
  </si>
  <si>
    <t>15-11-2022 14:15</t>
  </si>
  <si>
    <t>15-11-2022 14:30</t>
  </si>
  <si>
    <t>15-11-2022 14:45</t>
  </si>
  <si>
    <t>15-11-2022 15:00</t>
  </si>
  <si>
    <t>15-11-2022 15:15</t>
  </si>
  <si>
    <t>15-11-2022 15:30</t>
  </si>
  <si>
    <t>15-11-2022 15:45</t>
  </si>
  <si>
    <t>15-11-2022 16:00</t>
  </si>
  <si>
    <t>15-11-2022 16:15</t>
  </si>
  <si>
    <t>15-11-2022 16:30</t>
  </si>
  <si>
    <t>15-11-2022 16:45</t>
  </si>
  <si>
    <t>15-11-2022 17:00</t>
  </si>
  <si>
    <t>15-11-2022 17:15</t>
  </si>
  <si>
    <t>15-11-2022 17:30</t>
  </si>
  <si>
    <t>15-11-2022 17:45</t>
  </si>
  <si>
    <t>15-11-2022 18:00</t>
  </si>
  <si>
    <t>15-11-2022 18:15</t>
  </si>
  <si>
    <t>15-11-2022 18:30</t>
  </si>
  <si>
    <t>15-11-2022 18:45</t>
  </si>
  <si>
    <t>15-11-2022 19:00</t>
  </si>
  <si>
    <t>15-11-2022 19:15</t>
  </si>
  <si>
    <t>15-11-2022 19:30</t>
  </si>
  <si>
    <t>15-11-2022 19:45</t>
  </si>
  <si>
    <t>15-11-2022 20:00</t>
  </si>
  <si>
    <t>15-11-2022 20:15</t>
  </si>
  <si>
    <t>15-11-2022 20:30</t>
  </si>
  <si>
    <t>15-11-2022 20:45</t>
  </si>
  <si>
    <t>15-11-2022 21:00</t>
  </si>
  <si>
    <t>15-11-2022 21:15</t>
  </si>
  <si>
    <t>15-11-2022 21:30</t>
  </si>
  <si>
    <t>15-11-2022 21:45</t>
  </si>
  <si>
    <t>15-11-2022 22:00</t>
  </si>
  <si>
    <t>15-11-2022 22:15</t>
  </si>
  <si>
    <t>15-11-2022 22:30</t>
  </si>
  <si>
    <t>15-11-2022 22:45</t>
  </si>
  <si>
    <t>15-11-2022 23:00</t>
  </si>
  <si>
    <t>15-11-2022 23:15</t>
  </si>
  <si>
    <t>15-11-2022 23:30</t>
  </si>
  <si>
    <t>15-11-2022 23:45</t>
  </si>
  <si>
    <t>15-11-2022 24:00</t>
  </si>
  <si>
    <t>16-11-2022 00:15</t>
  </si>
  <si>
    <t>16-11-2022 00:30</t>
  </si>
  <si>
    <t>16-11-2022 00:45</t>
  </si>
  <si>
    <t>16-11-2022 01:00</t>
  </si>
  <si>
    <t>16-11-2022 01:15</t>
  </si>
  <si>
    <t>16-11-2022 01:30</t>
  </si>
  <si>
    <t>16-11-2022 01:45</t>
  </si>
  <si>
    <t>16-11-2022 02:00</t>
  </si>
  <si>
    <t>16-11-2022 02:15</t>
  </si>
  <si>
    <t>16-11-2022 02:30</t>
  </si>
  <si>
    <t>16-11-2022 02:45</t>
  </si>
  <si>
    <t>16-11-2022 03:00</t>
  </si>
  <si>
    <t>16-11-2022 03:15</t>
  </si>
  <si>
    <t>16-11-2022 03:30</t>
  </si>
  <si>
    <t>16-11-2022 03:45</t>
  </si>
  <si>
    <t>16-11-2022 04:00</t>
  </si>
  <si>
    <t>16-11-2022 04:15</t>
  </si>
  <si>
    <t>16-11-2022 04:30</t>
  </si>
  <si>
    <t>16-11-2022 04:45</t>
  </si>
  <si>
    <t>16-11-2022 05:00</t>
  </si>
  <si>
    <t>16-11-2022 05:15</t>
  </si>
  <si>
    <t>16-11-2022 05:30</t>
  </si>
  <si>
    <t>16-11-2022 05:45</t>
  </si>
  <si>
    <t>16-11-2022 06:00</t>
  </si>
  <si>
    <t>16-11-2022 06:15</t>
  </si>
  <si>
    <t>16-11-2022 06:30</t>
  </si>
  <si>
    <t>16-11-2022 06:45</t>
  </si>
  <si>
    <t>16-11-2022 07:00</t>
  </si>
  <si>
    <t>16-11-2022 07:15</t>
  </si>
  <si>
    <t>16-11-2022 07:30</t>
  </si>
  <si>
    <t>16-11-2022 07:45</t>
  </si>
  <si>
    <t>16-11-2022 08:00</t>
  </si>
  <si>
    <t>16-11-2022 08:15</t>
  </si>
  <si>
    <t>16-11-2022 08:30</t>
  </si>
  <si>
    <t>16-11-2022 08:45</t>
  </si>
  <si>
    <t>16-11-2022 09:00</t>
  </si>
  <si>
    <t>16-11-2022 09:15</t>
  </si>
  <si>
    <t>16-11-2022 09:30</t>
  </si>
  <si>
    <t>16-11-2022 09:45</t>
  </si>
  <si>
    <t>16-11-2022 10:00</t>
  </si>
  <si>
    <t>16-11-2022 10:15</t>
  </si>
  <si>
    <t>16-11-2022 10:30</t>
  </si>
  <si>
    <t>16-11-2022 10:45</t>
  </si>
  <si>
    <t>16-11-2022 11:00</t>
  </si>
  <si>
    <t>16-11-2022 11:15</t>
  </si>
  <si>
    <t>16-11-2022 11:30</t>
  </si>
  <si>
    <t>16-11-2022 11:45</t>
  </si>
  <si>
    <t>16-11-2022 12:00</t>
  </si>
  <si>
    <t>16-11-2022 12:15</t>
  </si>
  <si>
    <t>16-11-2022 12:30</t>
  </si>
  <si>
    <t>16-11-2022 12:45</t>
  </si>
  <si>
    <t>16-11-2022 13:00</t>
  </si>
  <si>
    <t>16-11-2022 13:15</t>
  </si>
  <si>
    <t>16-11-2022 13:30</t>
  </si>
  <si>
    <t>16-11-2022 13:45</t>
  </si>
  <si>
    <t>16-11-2022 14:00</t>
  </si>
  <si>
    <t>16-11-2022 14:15</t>
  </si>
  <si>
    <t>16-11-2022 14:30</t>
  </si>
  <si>
    <t>16-11-2022 14:45</t>
  </si>
  <si>
    <t>16-11-2022 15:00</t>
  </si>
  <si>
    <t>16-11-2022 15:15</t>
  </si>
  <si>
    <t>16-11-2022 15:30</t>
  </si>
  <si>
    <t>16-11-2022 15:45</t>
  </si>
  <si>
    <t>16-11-2022 16:00</t>
  </si>
  <si>
    <t>16-11-2022 16:15</t>
  </si>
  <si>
    <t>16-11-2022 16:30</t>
  </si>
  <si>
    <t>16-11-2022 16:45</t>
  </si>
  <si>
    <t>16-11-2022 17:00</t>
  </si>
  <si>
    <t>16-11-2022 17:15</t>
  </si>
  <si>
    <t>16-11-2022 17:30</t>
  </si>
  <si>
    <t>16-11-2022 17:45</t>
  </si>
  <si>
    <t>16-11-2022 18:00</t>
  </si>
  <si>
    <t>16-11-2022 18:15</t>
  </si>
  <si>
    <t>16-11-2022 18:30</t>
  </si>
  <si>
    <t>16-11-2022 18:45</t>
  </si>
  <si>
    <t>16-11-2022 19:00</t>
  </si>
  <si>
    <t>16-11-2022 19:15</t>
  </si>
  <si>
    <t>16-11-2022 19:30</t>
  </si>
  <si>
    <t>16-11-2022 19:45</t>
  </si>
  <si>
    <t>16-11-2022 20:00</t>
  </si>
  <si>
    <t>16-11-2022 20:15</t>
  </si>
  <si>
    <t>16-11-2022 20:30</t>
  </si>
  <si>
    <t>16-11-2022 20:45</t>
  </si>
  <si>
    <t>16-11-2022 21:00</t>
  </si>
  <si>
    <t>16-11-2022 21:15</t>
  </si>
  <si>
    <t>16-11-2022 21:30</t>
  </si>
  <si>
    <t>16-11-2022 21:45</t>
  </si>
  <si>
    <t>16-11-2022 22:00</t>
  </si>
  <si>
    <t>16-11-2022 22:15</t>
  </si>
  <si>
    <t>16-11-2022 22:30</t>
  </si>
  <si>
    <t>16-11-2022 22:45</t>
  </si>
  <si>
    <t>16-11-2022 23:00</t>
  </si>
  <si>
    <t>16-11-2022 23:15</t>
  </si>
  <si>
    <t>16-11-2022 23:30</t>
  </si>
  <si>
    <t>16-11-2022 23:45</t>
  </si>
  <si>
    <t>16-11-2022 24:00</t>
  </si>
  <si>
    <t>17-11-2022 00:15</t>
  </si>
  <si>
    <t>17-11-2022 00:30</t>
  </si>
  <si>
    <t>17-11-2022 00:45</t>
  </si>
  <si>
    <t>17-11-2022 01:00</t>
  </si>
  <si>
    <t>17-11-2022 01:15</t>
  </si>
  <si>
    <t>17-11-2022 01:30</t>
  </si>
  <si>
    <t>17-11-2022 01:45</t>
  </si>
  <si>
    <t>17-11-2022 02:00</t>
  </si>
  <si>
    <t>17-11-2022 02:15</t>
  </si>
  <si>
    <t>17-11-2022 02:30</t>
  </si>
  <si>
    <t>17-11-2022 02:45</t>
  </si>
  <si>
    <t>17-11-2022 03:00</t>
  </si>
  <si>
    <t>17-11-2022 03:15</t>
  </si>
  <si>
    <t>17-11-2022 03:30</t>
  </si>
  <si>
    <t>17-11-2022 03:45</t>
  </si>
  <si>
    <t>17-11-2022 04:00</t>
  </si>
  <si>
    <t>17-11-2022 04:15</t>
  </si>
  <si>
    <t>17-11-2022 04:30</t>
  </si>
  <si>
    <t>17-11-2022 04:45</t>
  </si>
  <si>
    <t>17-11-2022 05:00</t>
  </si>
  <si>
    <t>17-11-2022 05:15</t>
  </si>
  <si>
    <t>17-11-2022 05:30</t>
  </si>
  <si>
    <t>17-11-2022 05:45</t>
  </si>
  <si>
    <t>17-11-2022 06:00</t>
  </si>
  <si>
    <t>17-11-2022 06:15</t>
  </si>
  <si>
    <t>17-11-2022 06:30</t>
  </si>
  <si>
    <t>17-11-2022 06:45</t>
  </si>
  <si>
    <t>17-11-2022 07:00</t>
  </si>
  <si>
    <t>17-11-2022 07:15</t>
  </si>
  <si>
    <t>17-11-2022 07:30</t>
  </si>
  <si>
    <t>17-11-2022 07:45</t>
  </si>
  <si>
    <t>17-11-2022 08:00</t>
  </si>
  <si>
    <t>17-11-2022 08:15</t>
  </si>
  <si>
    <t>17-11-2022 08:30</t>
  </si>
  <si>
    <t>17-11-2022 08:45</t>
  </si>
  <si>
    <t>17-11-2022 09:00</t>
  </si>
  <si>
    <t>17-11-2022 09:15</t>
  </si>
  <si>
    <t>17-11-2022 09:30</t>
  </si>
  <si>
    <t>17-11-2022 09:45</t>
  </si>
  <si>
    <t>17-11-2022 10:00</t>
  </si>
  <si>
    <t>17-11-2022 10:15</t>
  </si>
  <si>
    <t>17-11-2022 10:30</t>
  </si>
  <si>
    <t>17-11-2022 10:45</t>
  </si>
  <si>
    <t>17-11-2022 11:00</t>
  </si>
  <si>
    <t>17-11-2022 11:15</t>
  </si>
  <si>
    <t>17-11-2022 11:30</t>
  </si>
  <si>
    <t>17-11-2022 11:45</t>
  </si>
  <si>
    <t>17-11-2022 12:00</t>
  </si>
  <si>
    <t>17-11-2022 12:15</t>
  </si>
  <si>
    <t>17-11-2022 12:30</t>
  </si>
  <si>
    <t>17-11-2022 12:45</t>
  </si>
  <si>
    <t>17-11-2022 13:00</t>
  </si>
  <si>
    <t>17-11-2022 13:15</t>
  </si>
  <si>
    <t>17-11-2022 13:30</t>
  </si>
  <si>
    <t>17-11-2022 13:45</t>
  </si>
  <si>
    <t>17-11-2022 14:00</t>
  </si>
  <si>
    <t>17-11-2022 14:15</t>
  </si>
  <si>
    <t>17-11-2022 14:30</t>
  </si>
  <si>
    <t>17-11-2022 14:45</t>
  </si>
  <si>
    <t>17-11-2022 15:00</t>
  </si>
  <si>
    <t>17-11-2022 15:15</t>
  </si>
  <si>
    <t>17-11-2022 15:30</t>
  </si>
  <si>
    <t>17-11-2022 15:45</t>
  </si>
  <si>
    <t>17-11-2022 16:00</t>
  </si>
  <si>
    <t>17-11-2022 16:15</t>
  </si>
  <si>
    <t>17-11-2022 16:30</t>
  </si>
  <si>
    <t>17-11-2022 16:45</t>
  </si>
  <si>
    <t>17-11-2022 17:00</t>
  </si>
  <si>
    <t>17-11-2022 17:15</t>
  </si>
  <si>
    <t>17-11-2022 17:30</t>
  </si>
  <si>
    <t>17-11-2022 17:45</t>
  </si>
  <si>
    <t>17-11-2022 18:00</t>
  </si>
  <si>
    <t>17-11-2022 18:15</t>
  </si>
  <si>
    <t>17-11-2022 18:30</t>
  </si>
  <si>
    <t>17-11-2022 18:45</t>
  </si>
  <si>
    <t>17-11-2022 19:00</t>
  </si>
  <si>
    <t>17-11-2022 19:15</t>
  </si>
  <si>
    <t>17-11-2022 19:30</t>
  </si>
  <si>
    <t>17-11-2022 19:45</t>
  </si>
  <si>
    <t>17-11-2022 20:00</t>
  </si>
  <si>
    <t>17-11-2022 20:15</t>
  </si>
  <si>
    <t>17-11-2022 20:30</t>
  </si>
  <si>
    <t>17-11-2022 20:45</t>
  </si>
  <si>
    <t>17-11-2022 21:00</t>
  </si>
  <si>
    <t>17-11-2022 21:15</t>
  </si>
  <si>
    <t>17-11-2022 21:30</t>
  </si>
  <si>
    <t>17-11-2022 21:45</t>
  </si>
  <si>
    <t>17-11-2022 22:00</t>
  </si>
  <si>
    <t>17-11-2022 22:15</t>
  </si>
  <si>
    <t>17-11-2022 22:30</t>
  </si>
  <si>
    <t>17-11-2022 22:45</t>
  </si>
  <si>
    <t>17-11-2022 23:00</t>
  </si>
  <si>
    <t>17-11-2022 23:15</t>
  </si>
  <si>
    <t>17-11-2022 23:30</t>
  </si>
  <si>
    <t>17-11-2022 23:45</t>
  </si>
  <si>
    <t>17-11-2022 24:00</t>
  </si>
  <si>
    <t>18-11-2022 00:15</t>
  </si>
  <si>
    <t>18-11-2022 00:30</t>
  </si>
  <si>
    <t>18-11-2022 00:45</t>
  </si>
  <si>
    <t>18-11-2022 01:00</t>
  </si>
  <si>
    <t>18-11-2022 01:15</t>
  </si>
  <si>
    <t>18-11-2022 01:30</t>
  </si>
  <si>
    <t>18-11-2022 01:45</t>
  </si>
  <si>
    <t>18-11-2022 02:00</t>
  </si>
  <si>
    <t>18-11-2022 02:15</t>
  </si>
  <si>
    <t>18-11-2022 02:30</t>
  </si>
  <si>
    <t>18-11-2022 02:45</t>
  </si>
  <si>
    <t>18-11-2022 03:00</t>
  </si>
  <si>
    <t>18-11-2022 03:15</t>
  </si>
  <si>
    <t>18-11-2022 03:30</t>
  </si>
  <si>
    <t>18-11-2022 03:45</t>
  </si>
  <si>
    <t>18-11-2022 04:00</t>
  </si>
  <si>
    <t>18-11-2022 04:15</t>
  </si>
  <si>
    <t>18-11-2022 04:30</t>
  </si>
  <si>
    <t>18-11-2022 04:45</t>
  </si>
  <si>
    <t>18-11-2022 05:00</t>
  </si>
  <si>
    <t>18-11-2022 05:15</t>
  </si>
  <si>
    <t>18-11-2022 05:30</t>
  </si>
  <si>
    <t>18-11-2022 05:45</t>
  </si>
  <si>
    <t>18-11-2022 06:00</t>
  </si>
  <si>
    <t>18-11-2022 06:15</t>
  </si>
  <si>
    <t>18-11-2022 06:30</t>
  </si>
  <si>
    <t>18-11-2022 06:45</t>
  </si>
  <si>
    <t>18-11-2022 07:00</t>
  </si>
  <si>
    <t>18-11-2022 07:15</t>
  </si>
  <si>
    <t>18-11-2022 07:30</t>
  </si>
  <si>
    <t>18-11-2022 07:45</t>
  </si>
  <si>
    <t>18-11-2022 08:00</t>
  </si>
  <si>
    <t>18-11-2022 08:15</t>
  </si>
  <si>
    <t>18-11-2022 08:30</t>
  </si>
  <si>
    <t>18-11-2022 08:45</t>
  </si>
  <si>
    <t>18-11-2022 09:00</t>
  </si>
  <si>
    <t>18-11-2022 09:15</t>
  </si>
  <si>
    <t>18-11-2022 09:30</t>
  </si>
  <si>
    <t>18-11-2022 09:45</t>
  </si>
  <si>
    <t>18-11-2022 10:00</t>
  </si>
  <si>
    <t>18-11-2022 10:15</t>
  </si>
  <si>
    <t>18-11-2022 10:30</t>
  </si>
  <si>
    <t>18-11-2022 10:45</t>
  </si>
  <si>
    <t>18-11-2022 11:00</t>
  </si>
  <si>
    <t>18-11-2022 11:15</t>
  </si>
  <si>
    <t>18-11-2022 11:30</t>
  </si>
  <si>
    <t>18-11-2022 11:45</t>
  </si>
  <si>
    <t>18-11-2022 12:00</t>
  </si>
  <si>
    <t>18-11-2022 12:15</t>
  </si>
  <si>
    <t>18-11-2022 12:30</t>
  </si>
  <si>
    <t>18-11-2022 12:45</t>
  </si>
  <si>
    <t>18-11-2022 13:00</t>
  </si>
  <si>
    <t>18-11-2022 13:15</t>
  </si>
  <si>
    <t>18-11-2022 13:30</t>
  </si>
  <si>
    <t>18-11-2022 13:45</t>
  </si>
  <si>
    <t>18-11-2022 14:00</t>
  </si>
  <si>
    <t>18-11-2022 14:15</t>
  </si>
  <si>
    <t>18-11-2022 14:30</t>
  </si>
  <si>
    <t>18-11-2022 14:45</t>
  </si>
  <si>
    <t>18-11-2022 15:00</t>
  </si>
  <si>
    <t>18-11-2022 15:15</t>
  </si>
  <si>
    <t>18-11-2022 15:30</t>
  </si>
  <si>
    <t>18-11-2022 15:45</t>
  </si>
  <si>
    <t>18-11-2022 16:00</t>
  </si>
  <si>
    <t>18-11-2022 16:15</t>
  </si>
  <si>
    <t>18-11-2022 16:30</t>
  </si>
  <si>
    <t>18-11-2022 16:45</t>
  </si>
  <si>
    <t>18-11-2022 17:00</t>
  </si>
  <si>
    <t>18-11-2022 17:15</t>
  </si>
  <si>
    <t>18-11-2022 17:30</t>
  </si>
  <si>
    <t>18-11-2022 17:45</t>
  </si>
  <si>
    <t>18-11-2022 18:00</t>
  </si>
  <si>
    <t>18-11-2022 18:15</t>
  </si>
  <si>
    <t>18-11-2022 18:30</t>
  </si>
  <si>
    <t>18-11-2022 18:45</t>
  </si>
  <si>
    <t>18-11-2022 19:00</t>
  </si>
  <si>
    <t>18-11-2022 19:15</t>
  </si>
  <si>
    <t>18-11-2022 19:30</t>
  </si>
  <si>
    <t>18-11-2022 19:45</t>
  </si>
  <si>
    <t>18-11-2022 20:00</t>
  </si>
  <si>
    <t>18-11-2022 20:15</t>
  </si>
  <si>
    <t>18-11-2022 20:30</t>
  </si>
  <si>
    <t>18-11-2022 20:45</t>
  </si>
  <si>
    <t>18-11-2022 21:00</t>
  </si>
  <si>
    <t>18-11-2022 21:15</t>
  </si>
  <si>
    <t>18-11-2022 21:30</t>
  </si>
  <si>
    <t>18-11-2022 21:45</t>
  </si>
  <si>
    <t>18-11-2022 22:00</t>
  </si>
  <si>
    <t>18-11-2022 22:15</t>
  </si>
  <si>
    <t>18-11-2022 22:30</t>
  </si>
  <si>
    <t>18-11-2022 22:45</t>
  </si>
  <si>
    <t>18-11-2022 23:00</t>
  </si>
  <si>
    <t>18-11-2022 23:15</t>
  </si>
  <si>
    <t>18-11-2022 23:30</t>
  </si>
  <si>
    <t>18-11-2022 23:45</t>
  </si>
  <si>
    <t>18-11-2022 24:00</t>
  </si>
  <si>
    <t>19-11-2022 00:15</t>
  </si>
  <si>
    <t>19-11-2022 00:30</t>
  </si>
  <si>
    <t>19-11-2022 00:45</t>
  </si>
  <si>
    <t>19-11-2022 01:00</t>
  </si>
  <si>
    <t>19-11-2022 01:15</t>
  </si>
  <si>
    <t>19-11-2022 01:30</t>
  </si>
  <si>
    <t>19-11-2022 01:45</t>
  </si>
  <si>
    <t>19-11-2022 02:00</t>
  </si>
  <si>
    <t>19-11-2022 02:15</t>
  </si>
  <si>
    <t>19-11-2022 02:30</t>
  </si>
  <si>
    <t>19-11-2022 02:45</t>
  </si>
  <si>
    <t>19-11-2022 03:00</t>
  </si>
  <si>
    <t>19-11-2022 03:15</t>
  </si>
  <si>
    <t>19-11-2022 03:30</t>
  </si>
  <si>
    <t>19-11-2022 03:45</t>
  </si>
  <si>
    <t>19-11-2022 04:00</t>
  </si>
  <si>
    <t>19-11-2022 04:15</t>
  </si>
  <si>
    <t>19-11-2022 04:30</t>
  </si>
  <si>
    <t>19-11-2022 04:45</t>
  </si>
  <si>
    <t>19-11-2022 05:00</t>
  </si>
  <si>
    <t>19-11-2022 05:15</t>
  </si>
  <si>
    <t>19-11-2022 05:30</t>
  </si>
  <si>
    <t>19-11-2022 05:45</t>
  </si>
  <si>
    <t>19-11-2022 06:00</t>
  </si>
  <si>
    <t>19-11-2022 06:15</t>
  </si>
  <si>
    <t>19-11-2022 06:30</t>
  </si>
  <si>
    <t>19-11-2022 06:45</t>
  </si>
  <si>
    <t>19-11-2022 07:00</t>
  </si>
  <si>
    <t>19-11-2022 07:15</t>
  </si>
  <si>
    <t>19-11-2022 07:30</t>
  </si>
  <si>
    <t>19-11-2022 07:45</t>
  </si>
  <si>
    <t>19-11-2022 08:00</t>
  </si>
  <si>
    <t>19-11-2022 08:15</t>
  </si>
  <si>
    <t>19-11-2022 08:30</t>
  </si>
  <si>
    <t>19-11-2022 08:45</t>
  </si>
  <si>
    <t>19-11-2022 09:00</t>
  </si>
  <si>
    <t>19-11-2022 09:15</t>
  </si>
  <si>
    <t>19-11-2022 09:30</t>
  </si>
  <si>
    <t>19-11-2022 09:45</t>
  </si>
  <si>
    <t>19-11-2022 10:00</t>
  </si>
  <si>
    <t>19-11-2022 10:15</t>
  </si>
  <si>
    <t>19-11-2022 10:30</t>
  </si>
  <si>
    <t>19-11-2022 10:45</t>
  </si>
  <si>
    <t>19-11-2022 11:00</t>
  </si>
  <si>
    <t>19-11-2022 11:15</t>
  </si>
  <si>
    <t>19-11-2022 11:30</t>
  </si>
  <si>
    <t>19-11-2022 11:45</t>
  </si>
  <si>
    <t>19-11-2022 12:00</t>
  </si>
  <si>
    <t>19-11-2022 12:15</t>
  </si>
  <si>
    <t>19-11-2022 12:30</t>
  </si>
  <si>
    <t>19-11-2022 12:45</t>
  </si>
  <si>
    <t>19-11-2022 13:00</t>
  </si>
  <si>
    <t>19-11-2022 13:15</t>
  </si>
  <si>
    <t>19-11-2022 13:30</t>
  </si>
  <si>
    <t>19-11-2022 13:45</t>
  </si>
  <si>
    <t>19-11-2022 14:00</t>
  </si>
  <si>
    <t>19-11-2022 14:15</t>
  </si>
  <si>
    <t>19-11-2022 14:30</t>
  </si>
  <si>
    <t>19-11-2022 14:45</t>
  </si>
  <si>
    <t>19-11-2022 15:00</t>
  </si>
  <si>
    <t>19-11-2022 15:15</t>
  </si>
  <si>
    <t>19-11-2022 15:30</t>
  </si>
  <si>
    <t>19-11-2022 15:45</t>
  </si>
  <si>
    <t>19-11-2022 16:00</t>
  </si>
  <si>
    <t>19-11-2022 16:15</t>
  </si>
  <si>
    <t>19-11-2022 16:30</t>
  </si>
  <si>
    <t>19-11-2022 16:45</t>
  </si>
  <si>
    <t>19-11-2022 17:00</t>
  </si>
  <si>
    <t>19-11-2022 17:15</t>
  </si>
  <si>
    <t>19-11-2022 17:30</t>
  </si>
  <si>
    <t>19-11-2022 17:45</t>
  </si>
  <si>
    <t>19-11-2022 18:00</t>
  </si>
  <si>
    <t>19-11-2022 18:15</t>
  </si>
  <si>
    <t>19-11-2022 18:30</t>
  </si>
  <si>
    <t>19-11-2022 18:45</t>
  </si>
  <si>
    <t>19-11-2022 19:00</t>
  </si>
  <si>
    <t>19-11-2022 19:15</t>
  </si>
  <si>
    <t>19-11-2022 19:30</t>
  </si>
  <si>
    <t>19-11-2022 19:45</t>
  </si>
  <si>
    <t>19-11-2022 20:00</t>
  </si>
  <si>
    <t>19-11-2022 20:15</t>
  </si>
  <si>
    <t>19-11-2022 20:30</t>
  </si>
  <si>
    <t>19-11-2022 20:45</t>
  </si>
  <si>
    <t>19-11-2022 21:00</t>
  </si>
  <si>
    <t>19-11-2022 21:15</t>
  </si>
  <si>
    <t>19-11-2022 21:30</t>
  </si>
  <si>
    <t>19-11-2022 21:45</t>
  </si>
  <si>
    <t>19-11-2022 22:00</t>
  </si>
  <si>
    <t>19-11-2022 22:15</t>
  </si>
  <si>
    <t>19-11-2022 22:30</t>
  </si>
  <si>
    <t>19-11-2022 22:45</t>
  </si>
  <si>
    <t>19-11-2022 23:00</t>
  </si>
  <si>
    <t>19-11-2022 23:15</t>
  </si>
  <si>
    <t>19-11-2022 23:30</t>
  </si>
  <si>
    <t>19-11-2022 23:45</t>
  </si>
  <si>
    <t>19-11-2022 24:00</t>
  </si>
  <si>
    <t>rahul</t>
  </si>
  <si>
    <t>20-11-2022 00:15</t>
  </si>
  <si>
    <t>20-11-2022 00:30</t>
  </si>
  <si>
    <t>20-11-2022 00:45</t>
  </si>
  <si>
    <t>20-11-2022 01:00</t>
  </si>
  <si>
    <t>20-11-2022 01:15</t>
  </si>
  <si>
    <t>20-11-2022 01:30</t>
  </si>
  <si>
    <t>20-11-2022 01:45</t>
  </si>
  <si>
    <t>20-11-2022 02:00</t>
  </si>
  <si>
    <t>20-11-2022 02:15</t>
  </si>
  <si>
    <t>20-11-2022 02:30</t>
  </si>
  <si>
    <t>20-11-2022 02:45</t>
  </si>
  <si>
    <t>20-11-2022 03:00</t>
  </si>
  <si>
    <t>20-11-2022 03:15</t>
  </si>
  <si>
    <t>20-11-2022 03:30</t>
  </si>
  <si>
    <t>20-11-2022 03:45</t>
  </si>
  <si>
    <t>20-11-2022 04:00</t>
  </si>
  <si>
    <t>20-11-2022 04:15</t>
  </si>
  <si>
    <t>20-11-2022 04:30</t>
  </si>
  <si>
    <t>20-11-2022 04:45</t>
  </si>
  <si>
    <t>20-11-2022 05:00</t>
  </si>
  <si>
    <t>20-11-2022 05:15</t>
  </si>
  <si>
    <t>20-11-2022 05:30</t>
  </si>
  <si>
    <t>20-11-2022 05:45</t>
  </si>
  <si>
    <t>20-11-2022 06:00</t>
  </si>
  <si>
    <t>20-11-2022 06:15</t>
  </si>
  <si>
    <t>20-11-2022 06:30</t>
  </si>
  <si>
    <t>20-11-2022 06:45</t>
  </si>
  <si>
    <t>20-11-2022 07:00</t>
  </si>
  <si>
    <t>20-11-2022 07:15</t>
  </si>
  <si>
    <t>20-11-2022 07:30</t>
  </si>
  <si>
    <t>20-11-2022 07:45</t>
  </si>
  <si>
    <t>20-11-2022 08:00</t>
  </si>
  <si>
    <t>20-11-2022 08:15</t>
  </si>
  <si>
    <t>20-11-2022 08:30</t>
  </si>
  <si>
    <t>20-11-2022 08:45</t>
  </si>
  <si>
    <t>20-11-2022 09:00</t>
  </si>
  <si>
    <t>20-11-2022 09:15</t>
  </si>
  <si>
    <t>20-11-2022 09:30</t>
  </si>
  <si>
    <t>20-11-2022 09:45</t>
  </si>
  <si>
    <t>20-11-2022 10:00</t>
  </si>
  <si>
    <t>20-11-2022 10:15</t>
  </si>
  <si>
    <t>20-11-2022 10:30</t>
  </si>
  <si>
    <t>20-11-2022 10:45</t>
  </si>
  <si>
    <t>20-11-2022 11:00</t>
  </si>
  <si>
    <t>20-11-2022 11:15</t>
  </si>
  <si>
    <t>20-11-2022 11:30</t>
  </si>
  <si>
    <t>20-11-2022 11:45</t>
  </si>
  <si>
    <t>20-11-2022 12:00</t>
  </si>
  <si>
    <t>20-11-2022 12:15</t>
  </si>
  <si>
    <t>20-11-2022 12:30</t>
  </si>
  <si>
    <t>20-11-2022 12:45</t>
  </si>
  <si>
    <t>20-11-2022 13:00</t>
  </si>
  <si>
    <t>20-11-2022 13:15</t>
  </si>
  <si>
    <t>20-11-2022 13:30</t>
  </si>
  <si>
    <t>20-11-2022 13:45</t>
  </si>
  <si>
    <t>20-11-2022 14:00</t>
  </si>
  <si>
    <t>20-11-2022 14:15</t>
  </si>
  <si>
    <t>20-11-2022 14:30</t>
  </si>
  <si>
    <t>20-11-2022 14:45</t>
  </si>
  <si>
    <t>20-11-2022 15:00</t>
  </si>
  <si>
    <t>20-11-2022 15:15</t>
  </si>
  <si>
    <t>20-11-2022 15:30</t>
  </si>
  <si>
    <t>20-11-2022 15:45</t>
  </si>
  <si>
    <t>20-11-2022 16:00</t>
  </si>
  <si>
    <t>20-11-2022 16:15</t>
  </si>
  <si>
    <t>20-11-2022 16:30</t>
  </si>
  <si>
    <t>20-11-2022 16:45</t>
  </si>
  <si>
    <t>20-11-2022 17:00</t>
  </si>
  <si>
    <t>20-11-2022 17:15</t>
  </si>
  <si>
    <t>20-11-2022 17:30</t>
  </si>
  <si>
    <t>20-11-2022 17:45</t>
  </si>
  <si>
    <t>20-11-2022 18:00</t>
  </si>
  <si>
    <t>20-11-2022 18:15</t>
  </si>
  <si>
    <t>20-11-2022 18:30</t>
  </si>
  <si>
    <t>20-11-2022 18:45</t>
  </si>
  <si>
    <t>20-11-2022 19:00</t>
  </si>
  <si>
    <t>20-11-2022 19:15</t>
  </si>
  <si>
    <t>20-11-2022 19:30</t>
  </si>
  <si>
    <t>20-11-2022 19:45</t>
  </si>
  <si>
    <t>20-11-2022 20:00</t>
  </si>
  <si>
    <t>20-11-2022 20:15</t>
  </si>
  <si>
    <t>20-11-2022 20:30</t>
  </si>
  <si>
    <t>20-11-2022 20:45</t>
  </si>
  <si>
    <t>20-11-2022 21:00</t>
  </si>
  <si>
    <t>20-11-2022 21:15</t>
  </si>
  <si>
    <t>20-11-2022 21:30</t>
  </si>
  <si>
    <t>20-11-2022 21:45</t>
  </si>
  <si>
    <t>20-11-2022 22:00</t>
  </si>
  <si>
    <t>20-11-2022 22:15</t>
  </si>
  <si>
    <t>20-11-2022 22:30</t>
  </si>
  <si>
    <t>20-11-2022 22:45</t>
  </si>
  <si>
    <t>20-11-2022 23:00</t>
  </si>
  <si>
    <t>20-11-2022 23:15</t>
  </si>
  <si>
    <t>20-11-2022 23:30</t>
  </si>
  <si>
    <t>20-11-2022 23:45</t>
  </si>
  <si>
    <t>20-11-2022 24:00</t>
  </si>
  <si>
    <t>21-11-2022 00:15</t>
  </si>
  <si>
    <t>21-11-2022 00:30</t>
  </si>
  <si>
    <t>21-11-2022 00:45</t>
  </si>
  <si>
    <t>21-11-2022 01:00</t>
  </si>
  <si>
    <t>21-11-2022 01:15</t>
  </si>
  <si>
    <t>21-11-2022 01:30</t>
  </si>
  <si>
    <t>21-11-2022 01:45</t>
  </si>
  <si>
    <t>21-11-2022 02:00</t>
  </si>
  <si>
    <t>21-11-2022 02:15</t>
  </si>
  <si>
    <t>21-11-2022 02:30</t>
  </si>
  <si>
    <t>21-11-2022 02:45</t>
  </si>
  <si>
    <t>21-11-2022 03:00</t>
  </si>
  <si>
    <t>21-11-2022 03:15</t>
  </si>
  <si>
    <t>21-11-2022 03:30</t>
  </si>
  <si>
    <t>21-11-2022 03:45</t>
  </si>
  <si>
    <t>21-11-2022 04:00</t>
  </si>
  <si>
    <t>21-11-2022 04:15</t>
  </si>
  <si>
    <t>21-11-2022 04:30</t>
  </si>
  <si>
    <t>21-11-2022 04:45</t>
  </si>
  <si>
    <t>21-11-2022 05:00</t>
  </si>
  <si>
    <t>21-11-2022 05:15</t>
  </si>
  <si>
    <t>21-11-2022 05:30</t>
  </si>
  <si>
    <t>21-11-2022 05:45</t>
  </si>
  <si>
    <t>21-11-2022 06:00</t>
  </si>
  <si>
    <t>21-11-2022 06:15</t>
  </si>
  <si>
    <t>21-11-2022 06:30</t>
  </si>
  <si>
    <t>21-11-2022 06:45</t>
  </si>
  <si>
    <t>21-11-2022 07:00</t>
  </si>
  <si>
    <t>21-11-2022 07:15</t>
  </si>
  <si>
    <t>21-11-2022 07:30</t>
  </si>
  <si>
    <t>21-11-2022 07:45</t>
  </si>
  <si>
    <t>21-11-2022 08:00</t>
  </si>
  <si>
    <t>21-11-2022 08:15</t>
  </si>
  <si>
    <t>21-11-2022 08:30</t>
  </si>
  <si>
    <t>21-11-2022 08:45</t>
  </si>
  <si>
    <t>21-11-2022 09:00</t>
  </si>
  <si>
    <t>21-11-2022 09:15</t>
  </si>
  <si>
    <t>21-11-2022 09:30</t>
  </si>
  <si>
    <t>21-11-2022 09:45</t>
  </si>
  <si>
    <t>21-11-2022 10:00</t>
  </si>
  <si>
    <t>21-11-2022 10:15</t>
  </si>
  <si>
    <t>21-11-2022 10:30</t>
  </si>
  <si>
    <t>21-11-2022 10:45</t>
  </si>
  <si>
    <t>21-11-2022 11:00</t>
  </si>
  <si>
    <t>21-11-2022 11:15</t>
  </si>
  <si>
    <t>21-11-2022 11:30</t>
  </si>
  <si>
    <t>21-11-2022 11:45</t>
  </si>
  <si>
    <t>21-11-2022 12:00</t>
  </si>
  <si>
    <t>21-11-2022 12:15</t>
  </si>
  <si>
    <t>21-11-2022 12:30</t>
  </si>
  <si>
    <t>21-11-2022 12:45</t>
  </si>
  <si>
    <t>21-11-2022 13:00</t>
  </si>
  <si>
    <t>21-11-2022 13:15</t>
  </si>
  <si>
    <t>21-11-2022 13:30</t>
  </si>
  <si>
    <t>21-11-2022 13:45</t>
  </si>
  <si>
    <t>21-11-2022 14:00</t>
  </si>
  <si>
    <t>21-11-2022 14:15</t>
  </si>
  <si>
    <t>21-11-2022 14:30</t>
  </si>
  <si>
    <t>21-11-2022 14:45</t>
  </si>
  <si>
    <t>21-11-2022 15:00</t>
  </si>
  <si>
    <t>21-11-2022 15:15</t>
  </si>
  <si>
    <t>21-11-2022 15:30</t>
  </si>
  <si>
    <t>21-11-2022 15:45</t>
  </si>
  <si>
    <t>21-11-2022 16:00</t>
  </si>
  <si>
    <t>21-11-2022 16:15</t>
  </si>
  <si>
    <t>21-11-2022 16:30</t>
  </si>
  <si>
    <t>21-11-2022 16:45</t>
  </si>
  <si>
    <t>21-11-2022 17:00</t>
  </si>
  <si>
    <t>21-11-2022 17:15</t>
  </si>
  <si>
    <t>21-11-2022 17:30</t>
  </si>
  <si>
    <t>21-11-2022 17:45</t>
  </si>
  <si>
    <t>21-11-2022 18:00</t>
  </si>
  <si>
    <t>21-11-2022 18:15</t>
  </si>
  <si>
    <t>21-11-2022 18:30</t>
  </si>
  <si>
    <t>21-11-2022 18:45</t>
  </si>
  <si>
    <t>21-11-2022 19:00</t>
  </si>
  <si>
    <t>21-11-2022 19:15</t>
  </si>
  <si>
    <t>21-11-2022 19:30</t>
  </si>
  <si>
    <t>21-11-2022 19:45</t>
  </si>
  <si>
    <t>21-11-2022 20:00</t>
  </si>
  <si>
    <t>21-11-2022 20:15</t>
  </si>
  <si>
    <t>21-11-2022 20:30</t>
  </si>
  <si>
    <t>21-11-2022 20:45</t>
  </si>
  <si>
    <t>21-11-2022 21:00</t>
  </si>
  <si>
    <t>21-11-2022 21:15</t>
  </si>
  <si>
    <t>21-11-2022 21:30</t>
  </si>
  <si>
    <t>21-11-2022 21:45</t>
  </si>
  <si>
    <t>21-11-2022 22:00</t>
  </si>
  <si>
    <t>21-11-2022 22:15</t>
  </si>
  <si>
    <t>21-11-2022 22:30</t>
  </si>
  <si>
    <t>21-11-2022 22:45</t>
  </si>
  <si>
    <t>21-11-2022 23:00</t>
  </si>
  <si>
    <t>21-11-2022 23:15</t>
  </si>
  <si>
    <t>21-11-2022 23:30</t>
  </si>
  <si>
    <t>21-11-2022 23:45</t>
  </si>
  <si>
    <t>21-11-2022 24:00</t>
  </si>
  <si>
    <t>22-11-2022 00:15</t>
  </si>
  <si>
    <t>22-11-2022 00:30</t>
  </si>
  <si>
    <t>22-11-2022 00:45</t>
  </si>
  <si>
    <t>22-11-2022 01:00</t>
  </si>
  <si>
    <t>22-11-2022 01:15</t>
  </si>
  <si>
    <t>22-11-2022 01:30</t>
  </si>
  <si>
    <t>22-11-2022 01:45</t>
  </si>
  <si>
    <t>22-11-2022 02:00</t>
  </si>
  <si>
    <t>22-11-2022 02:15</t>
  </si>
  <si>
    <t>22-11-2022 02:30</t>
  </si>
  <si>
    <t>22-11-2022 02:45</t>
  </si>
  <si>
    <t>22-11-2022 03:00</t>
  </si>
  <si>
    <t>22-11-2022 03:15</t>
  </si>
  <si>
    <t>22-11-2022 03:30</t>
  </si>
  <si>
    <t>22-11-2022 03:45</t>
  </si>
  <si>
    <t>22-11-2022 04:00</t>
  </si>
  <si>
    <t>22-11-2022 04:15</t>
  </si>
  <si>
    <t>22-11-2022 04:30</t>
  </si>
  <si>
    <t>22-11-2022 04:45</t>
  </si>
  <si>
    <t>22-11-2022 05:00</t>
  </si>
  <si>
    <t>22-11-2022 05:15</t>
  </si>
  <si>
    <t>22-11-2022 05:30</t>
  </si>
  <si>
    <t>22-11-2022 05:45</t>
  </si>
  <si>
    <t>22-11-2022 06:00</t>
  </si>
  <si>
    <t>22-11-2022 06:15</t>
  </si>
  <si>
    <t>22-11-2022 06:30</t>
  </si>
  <si>
    <t>22-11-2022 06:45</t>
  </si>
  <si>
    <t>22-11-2022 07:00</t>
  </si>
  <si>
    <t>22-11-2022 07:15</t>
  </si>
  <si>
    <t>22-11-2022 07:30</t>
  </si>
  <si>
    <t>22-11-2022 07:45</t>
  </si>
  <si>
    <t>22-11-2022 08:00</t>
  </si>
  <si>
    <t>22-11-2022 08:15</t>
  </si>
  <si>
    <t>22-11-2022 08:30</t>
  </si>
  <si>
    <t>22-11-2022 08:45</t>
  </si>
  <si>
    <t>22-11-2022 09:00</t>
  </si>
  <si>
    <t>22-11-2022 09:15</t>
  </si>
  <si>
    <t>22-11-2022 09:30</t>
  </si>
  <si>
    <t>22-11-2022 09:45</t>
  </si>
  <si>
    <t>22-11-2022 10:00</t>
  </si>
  <si>
    <t>22-11-2022 10:15</t>
  </si>
  <si>
    <t>22-11-2022 10:30</t>
  </si>
  <si>
    <t>22-11-2022 10:45</t>
  </si>
  <si>
    <t>22-11-2022 11:00</t>
  </si>
  <si>
    <t>22-11-2022 11:15</t>
  </si>
  <si>
    <t>22-11-2022 11:30</t>
  </si>
  <si>
    <t>22-11-2022 11:45</t>
  </si>
  <si>
    <t>22-11-2022 12:00</t>
  </si>
  <si>
    <t>22-11-2022 12:15</t>
  </si>
  <si>
    <t>22-11-2022 12:30</t>
  </si>
  <si>
    <t>22-11-2022 12:45</t>
  </si>
  <si>
    <t>22-11-2022 13:00</t>
  </si>
  <si>
    <t>22-11-2022 13:15</t>
  </si>
  <si>
    <t>22-11-2022 13:30</t>
  </si>
  <si>
    <t>22-11-2022 13:45</t>
  </si>
  <si>
    <t>22-11-2022 14:00</t>
  </si>
  <si>
    <t>22-11-2022 14:15</t>
  </si>
  <si>
    <t>22-11-2022 14:30</t>
  </si>
  <si>
    <t>22-11-2022 14:45</t>
  </si>
  <si>
    <t>22-11-2022 15:00</t>
  </si>
  <si>
    <t>22-11-2022 15:15</t>
  </si>
  <si>
    <t>22-11-2022 15:30</t>
  </si>
  <si>
    <t>22-11-2022 15:45</t>
  </si>
  <si>
    <t>22-11-2022 16:00</t>
  </si>
  <si>
    <t>22-11-2022 16:15</t>
  </si>
  <si>
    <t>22-11-2022 16:30</t>
  </si>
  <si>
    <t>22-11-2022 16:45</t>
  </si>
  <si>
    <t>22-11-2022 17:00</t>
  </si>
  <si>
    <t>22-11-2022 17:15</t>
  </si>
  <si>
    <t>22-11-2022 17:30</t>
  </si>
  <si>
    <t>22-11-2022 17:45</t>
  </si>
  <si>
    <t>22-11-2022 18:00</t>
  </si>
  <si>
    <t>22-11-2022 18:15</t>
  </si>
  <si>
    <t>22-11-2022 18:30</t>
  </si>
  <si>
    <t>22-11-2022 18:45</t>
  </si>
  <si>
    <t>22-11-2022 19:00</t>
  </si>
  <si>
    <t>22-11-2022 19:15</t>
  </si>
  <si>
    <t>22-11-2022 19:30</t>
  </si>
  <si>
    <t>22-11-2022 19:45</t>
  </si>
  <si>
    <t>22-11-2022 20:00</t>
  </si>
  <si>
    <t>22-11-2022 20:15</t>
  </si>
  <si>
    <t>22-11-2022 20:30</t>
  </si>
  <si>
    <t>22-11-2022 20:45</t>
  </si>
  <si>
    <t>22-11-2022 21:00</t>
  </si>
  <si>
    <t>22-11-2022 21:15</t>
  </si>
  <si>
    <t>22-11-2022 21:30</t>
  </si>
  <si>
    <t>22-11-2022 21:45</t>
  </si>
  <si>
    <t>22-11-2022 22:00</t>
  </si>
  <si>
    <t>22-11-2022 22:15</t>
  </si>
  <si>
    <t>22-11-2022 22:30</t>
  </si>
  <si>
    <t>22-11-2022 22:45</t>
  </si>
  <si>
    <t>22-11-2022 23:00</t>
  </si>
  <si>
    <t>22-11-2022 23:15</t>
  </si>
  <si>
    <t>22-11-2022 23:30</t>
  </si>
  <si>
    <t>22-11-2022 23:45</t>
  </si>
  <si>
    <t>22-11-2022 24:00</t>
  </si>
  <si>
    <t>23-11-2022 00:15</t>
  </si>
  <si>
    <t>23-11-2022 00:30</t>
  </si>
  <si>
    <t>23-11-2022 00:45</t>
  </si>
  <si>
    <t>23-11-2022 01:00</t>
  </si>
  <si>
    <t>23-11-2022 01:15</t>
  </si>
  <si>
    <t>23-11-2022 01:30</t>
  </si>
  <si>
    <t>23-11-2022 01:45</t>
  </si>
  <si>
    <t>23-11-2022 02:00</t>
  </si>
  <si>
    <t>23-11-2022 02:15</t>
  </si>
  <si>
    <t>23-11-2022 02:30</t>
  </si>
  <si>
    <t>23-11-2022 02:45</t>
  </si>
  <si>
    <t>23-11-2022 03:00</t>
  </si>
  <si>
    <t>23-11-2022 03:15</t>
  </si>
  <si>
    <t>23-11-2022 03:30</t>
  </si>
  <si>
    <t>23-11-2022 03:45</t>
  </si>
  <si>
    <t>23-11-2022 04:00</t>
  </si>
  <si>
    <t>23-11-2022 04:15</t>
  </si>
  <si>
    <t>23-11-2022 04:30</t>
  </si>
  <si>
    <t>23-11-2022 04:45</t>
  </si>
  <si>
    <t>23-11-2022 05:00</t>
  </si>
  <si>
    <t>23-11-2022 05:15</t>
  </si>
  <si>
    <t>23-11-2022 05:30</t>
  </si>
  <si>
    <t>23-11-2022 05:45</t>
  </si>
  <si>
    <t>23-11-2022 06:00</t>
  </si>
  <si>
    <t>23-11-2022 06:15</t>
  </si>
  <si>
    <t>23-11-2022 06:30</t>
  </si>
  <si>
    <t>23-11-2022 06:45</t>
  </si>
  <si>
    <t>23-11-2022 07:00</t>
  </si>
  <si>
    <t>23-11-2022 07:15</t>
  </si>
  <si>
    <t>23-11-2022 07:30</t>
  </si>
  <si>
    <t>23-11-2022 07:45</t>
  </si>
  <si>
    <t>23-11-2022 08:00</t>
  </si>
  <si>
    <t>23-11-2022 08:15</t>
  </si>
  <si>
    <t>23-11-2022 08:30</t>
  </si>
  <si>
    <t>23-11-2022 08:45</t>
  </si>
  <si>
    <t>23-11-2022 09:00</t>
  </si>
  <si>
    <t>23-11-2022 09:15</t>
  </si>
  <si>
    <t>23-11-2022 09:30</t>
  </si>
  <si>
    <t>23-11-2022 09:45</t>
  </si>
  <si>
    <t>23-11-2022 10:00</t>
  </si>
  <si>
    <t>23-11-2022 10:15</t>
  </si>
  <si>
    <t>23-11-2022 10:30</t>
  </si>
  <si>
    <t>23-11-2022 10:45</t>
  </si>
  <si>
    <t>23-11-2022 11:00</t>
  </si>
  <si>
    <t>23-11-2022 11:15</t>
  </si>
  <si>
    <t>23-11-2022 11:30</t>
  </si>
  <si>
    <t>23-11-2022 11:45</t>
  </si>
  <si>
    <t>23-11-2022 12:00</t>
  </si>
  <si>
    <t>23-11-2022 12:15</t>
  </si>
  <si>
    <t>23-11-2022 12:30</t>
  </si>
  <si>
    <t>23-11-2022 12:45</t>
  </si>
  <si>
    <t>23-11-2022 13:00</t>
  </si>
  <si>
    <t>23-11-2022 13:15</t>
  </si>
  <si>
    <t>23-11-2022 13:30</t>
  </si>
  <si>
    <t>23-11-2022 13:45</t>
  </si>
  <si>
    <t>23-11-2022 14:00</t>
  </si>
  <si>
    <t>23-11-2022 14:15</t>
  </si>
  <si>
    <t>23-11-2022 14:30</t>
  </si>
  <si>
    <t>23-11-2022 14:45</t>
  </si>
  <si>
    <t>23-11-2022 15:00</t>
  </si>
  <si>
    <t>23-11-2022 15:15</t>
  </si>
  <si>
    <t>23-11-2022 15:30</t>
  </si>
  <si>
    <t>23-11-2022 15:45</t>
  </si>
  <si>
    <t>23-11-2022 16:00</t>
  </si>
  <si>
    <t>23-11-2022 16:15</t>
  </si>
  <si>
    <t>23-11-2022 16:30</t>
  </si>
  <si>
    <t>23-11-2022 16:45</t>
  </si>
  <si>
    <t>23-11-2022 17:00</t>
  </si>
  <si>
    <t>23-11-2022 17:15</t>
  </si>
  <si>
    <t>23-11-2022 17:30</t>
  </si>
  <si>
    <t>23-11-2022 17:45</t>
  </si>
  <si>
    <t>23-11-2022 18:00</t>
  </si>
  <si>
    <t>23-11-2022 18:15</t>
  </si>
  <si>
    <t>23-11-2022 18:30</t>
  </si>
  <si>
    <t>23-11-2022 18:45</t>
  </si>
  <si>
    <t>23-11-2022 19:00</t>
  </si>
  <si>
    <t>23-11-2022 19:15</t>
  </si>
  <si>
    <t>23-11-2022 19:30</t>
  </si>
  <si>
    <t>23-11-2022 19:45</t>
  </si>
  <si>
    <t>23-11-2022 20:00</t>
  </si>
  <si>
    <t>23-11-2022 20:15</t>
  </si>
  <si>
    <t>23-11-2022 20:30</t>
  </si>
  <si>
    <t>23-11-2022 20:45</t>
  </si>
  <si>
    <t>23-11-2022 21:00</t>
  </si>
  <si>
    <t>23-11-2022 21:15</t>
  </si>
  <si>
    <t>23-11-2022 21:30</t>
  </si>
  <si>
    <t>23-11-2022 21:45</t>
  </si>
  <si>
    <t>23-11-2022 22:00</t>
  </si>
  <si>
    <t>23-11-2022 22:15</t>
  </si>
  <si>
    <t>23-11-2022 22:30</t>
  </si>
  <si>
    <t>23-11-2022 22:45</t>
  </si>
  <si>
    <t>23-11-2022 23:00</t>
  </si>
  <si>
    <t>23-11-2022 23:15</t>
  </si>
  <si>
    <t>23-11-2022 23:30</t>
  </si>
  <si>
    <t>23-11-2022 23:45</t>
  </si>
  <si>
    <t>23-11-2022 24:00</t>
  </si>
  <si>
    <t>24-11-2022 00:15</t>
  </si>
  <si>
    <t>24-11-2022 00:30</t>
  </si>
  <si>
    <t>24-11-2022 00:45</t>
  </si>
  <si>
    <t>24-11-2022 01:00</t>
  </si>
  <si>
    <t>24-11-2022 01:15</t>
  </si>
  <si>
    <t>24-11-2022 01:30</t>
  </si>
  <si>
    <t>24-11-2022 01:45</t>
  </si>
  <si>
    <t>24-11-2022 02:00</t>
  </si>
  <si>
    <t>24-11-2022 02:15</t>
  </si>
  <si>
    <t>24-11-2022 02:30</t>
  </si>
  <si>
    <t>24-11-2022 02:45</t>
  </si>
  <si>
    <t>24-11-2022 03:00</t>
  </si>
  <si>
    <t>24-11-2022 03:15</t>
  </si>
  <si>
    <t>24-11-2022 03:30</t>
  </si>
  <si>
    <t>24-11-2022 03:45</t>
  </si>
  <si>
    <t>24-11-2022 04:00</t>
  </si>
  <si>
    <t>24-11-2022 04:15</t>
  </si>
  <si>
    <t>24-11-2022 04:30</t>
  </si>
  <si>
    <t>24-11-2022 04:45</t>
  </si>
  <si>
    <t>24-11-2022 05:00</t>
  </si>
  <si>
    <t>24-11-2022 05:15</t>
  </si>
  <si>
    <t>24-11-2022 05:30</t>
  </si>
  <si>
    <t>24-11-2022 05:45</t>
  </si>
  <si>
    <t>24-11-2022 06:00</t>
  </si>
  <si>
    <t>24-11-2022 06:15</t>
  </si>
  <si>
    <t>24-11-2022 06:30</t>
  </si>
  <si>
    <t>24-11-2022 06:45</t>
  </si>
  <si>
    <t>24-11-2022 07:00</t>
  </si>
  <si>
    <t>24-11-2022 07:15</t>
  </si>
  <si>
    <t>24-11-2022 07:30</t>
  </si>
  <si>
    <t>24-11-2022 07:45</t>
  </si>
  <si>
    <t>24-11-2022 08:00</t>
  </si>
  <si>
    <t>24-11-2022 08:15</t>
  </si>
  <si>
    <t>24-11-2022 08:30</t>
  </si>
  <si>
    <t>24-11-2022 08:45</t>
  </si>
  <si>
    <t>24-11-2022 09:00</t>
  </si>
  <si>
    <t>24-11-2022 09:15</t>
  </si>
  <si>
    <t>24-11-2022 09:30</t>
  </si>
  <si>
    <t>24-11-2022 09:45</t>
  </si>
  <si>
    <t>24-11-2022 10:00</t>
  </si>
  <si>
    <t>24-11-2022 10:15</t>
  </si>
  <si>
    <t>24-11-2022 10:30</t>
  </si>
  <si>
    <t>24-11-2022 10:45</t>
  </si>
  <si>
    <t>24-11-2022 11:00</t>
  </si>
  <si>
    <t>24-11-2022 11:15</t>
  </si>
  <si>
    <t>24-11-2022 11:30</t>
  </si>
  <si>
    <t>24-11-2022 11:45</t>
  </si>
  <si>
    <t>24-11-2022 12:00</t>
  </si>
  <si>
    <t>24-11-2022 12:15</t>
  </si>
  <si>
    <t>24-11-2022 12:30</t>
  </si>
  <si>
    <t>24-11-2022 12:45</t>
  </si>
  <si>
    <t>24-11-2022 13:00</t>
  </si>
  <si>
    <t>24-11-2022 13:15</t>
  </si>
  <si>
    <t>24-11-2022 13:30</t>
  </si>
  <si>
    <t>24-11-2022 13:45</t>
  </si>
  <si>
    <t>24-11-2022 14:00</t>
  </si>
  <si>
    <t>24-11-2022 14:15</t>
  </si>
  <si>
    <t>24-11-2022 14:30</t>
  </si>
  <si>
    <t>24-11-2022 14:45</t>
  </si>
  <si>
    <t>24-11-2022 15:00</t>
  </si>
  <si>
    <t>24-11-2022 15:15</t>
  </si>
  <si>
    <t>24-11-2022 15:30</t>
  </si>
  <si>
    <t>24-11-2022 15:45</t>
  </si>
  <si>
    <t>24-11-2022 16:00</t>
  </si>
  <si>
    <t>24-11-2022 16:15</t>
  </si>
  <si>
    <t>24-11-2022 16:30</t>
  </si>
  <si>
    <t>24-11-2022 16:45</t>
  </si>
  <si>
    <t>24-11-2022 17:00</t>
  </si>
  <si>
    <t>24-11-2022 17:15</t>
  </si>
  <si>
    <t>24-11-2022 17:30</t>
  </si>
  <si>
    <t>24-11-2022 17:45</t>
  </si>
  <si>
    <t>24-11-2022 18:00</t>
  </si>
  <si>
    <t>24-11-2022 18:15</t>
  </si>
  <si>
    <t>24-11-2022 18:30</t>
  </si>
  <si>
    <t>24-11-2022 18:45</t>
  </si>
  <si>
    <t>24-11-2022 19:00</t>
  </si>
  <si>
    <t>24-11-2022 19:15</t>
  </si>
  <si>
    <t>24-11-2022 19:30</t>
  </si>
  <si>
    <t>24-11-2022 19:45</t>
  </si>
  <si>
    <t>24-11-2022 20:00</t>
  </si>
  <si>
    <t>24-11-2022 20:15</t>
  </si>
  <si>
    <t>24-11-2022 20:30</t>
  </si>
  <si>
    <t>24-11-2022 20:45</t>
  </si>
  <si>
    <t>24-11-2022 21:00</t>
  </si>
  <si>
    <t>24-11-2022 21:15</t>
  </si>
  <si>
    <t>24-11-2022 21:30</t>
  </si>
  <si>
    <t>24-11-2022 21:45</t>
  </si>
  <si>
    <t>24-11-2022 22:00</t>
  </si>
  <si>
    <t>24-11-2022 22:15</t>
  </si>
  <si>
    <t>24-11-2022 22:30</t>
  </si>
  <si>
    <t>24-11-2022 22:45</t>
  </si>
  <si>
    <t>24-11-2022 23:00</t>
  </si>
  <si>
    <t>24-11-2022 23:15</t>
  </si>
  <si>
    <t>24-11-2022 23:30</t>
  </si>
  <si>
    <t>24-11-2022 23:45</t>
  </si>
  <si>
    <t>24-11-2022 24:00</t>
  </si>
  <si>
    <t>25-11-2022 00:15</t>
  </si>
  <si>
    <t>25-11-2022 00:30</t>
  </si>
  <si>
    <t>25-11-2022 00:45</t>
  </si>
  <si>
    <t>25-11-2022 01:00</t>
  </si>
  <si>
    <t>25-11-2022 01:15</t>
  </si>
  <si>
    <t>25-11-2022 01:30</t>
  </si>
  <si>
    <t>25-11-2022 01:45</t>
  </si>
  <si>
    <t>25-11-2022 02:00</t>
  </si>
  <si>
    <t>25-11-2022 02:15</t>
  </si>
  <si>
    <t>25-11-2022 02:30</t>
  </si>
  <si>
    <t>25-11-2022 02:45</t>
  </si>
  <si>
    <t>25-11-2022 03:00</t>
  </si>
  <si>
    <t>25-11-2022 03:15</t>
  </si>
  <si>
    <t>25-11-2022 03:30</t>
  </si>
  <si>
    <t>25-11-2022 03:45</t>
  </si>
  <si>
    <t>25-11-2022 04:00</t>
  </si>
  <si>
    <t>25-11-2022 04:15</t>
  </si>
  <si>
    <t>25-11-2022 04:30</t>
  </si>
  <si>
    <t>25-11-2022 04:45</t>
  </si>
  <si>
    <t>25-11-2022 05:00</t>
  </si>
  <si>
    <t>25-11-2022 05:15</t>
  </si>
  <si>
    <t>25-11-2022 05:30</t>
  </si>
  <si>
    <t>25-11-2022 05:45</t>
  </si>
  <si>
    <t>25-11-2022 06:00</t>
  </si>
  <si>
    <t>25-11-2022 06:15</t>
  </si>
  <si>
    <t>25-11-2022 06:30</t>
  </si>
  <si>
    <t>25-11-2022 06:45</t>
  </si>
  <si>
    <t>25-11-2022 07:00</t>
  </si>
  <si>
    <t>25-11-2022 07:15</t>
  </si>
  <si>
    <t>25-11-2022 07:30</t>
  </si>
  <si>
    <t>25-11-2022 07:45</t>
  </si>
  <si>
    <t>25-11-2022 08:00</t>
  </si>
  <si>
    <t>25-11-2022 08:15</t>
  </si>
  <si>
    <t>25-11-2022 08:30</t>
  </si>
  <si>
    <t>25-11-2022 08:45</t>
  </si>
  <si>
    <t>25-11-2022 09:00</t>
  </si>
  <si>
    <t>25-11-2022 09:15</t>
  </si>
  <si>
    <t>25-11-2022 09:30</t>
  </si>
  <si>
    <t>25-11-2022 09:45</t>
  </si>
  <si>
    <t>25-11-2022 10:00</t>
  </si>
  <si>
    <t>25-11-2022 10:15</t>
  </si>
  <si>
    <t>25-11-2022 10:30</t>
  </si>
  <si>
    <t>25-11-2022 10:45</t>
  </si>
  <si>
    <t>25-11-2022 11:00</t>
  </si>
  <si>
    <t>25-11-2022 11:15</t>
  </si>
  <si>
    <t>25-11-2022 11:30</t>
  </si>
  <si>
    <t>25-11-2022 11:45</t>
  </si>
  <si>
    <t>25-11-2022 12:00</t>
  </si>
  <si>
    <t>25-11-2022 12:15</t>
  </si>
  <si>
    <t>25-11-2022 12:30</t>
  </si>
  <si>
    <t>25-11-2022 12:45</t>
  </si>
  <si>
    <t>25-11-2022 13:00</t>
  </si>
  <si>
    <t>25-11-2022 13:15</t>
  </si>
  <si>
    <t>25-11-2022 13:30</t>
  </si>
  <si>
    <t>25-11-2022 13:45</t>
  </si>
  <si>
    <t>25-11-2022 14:00</t>
  </si>
  <si>
    <t>25-11-2022 14:15</t>
  </si>
  <si>
    <t>25-11-2022 14:30</t>
  </si>
  <si>
    <t>25-11-2022 14:45</t>
  </si>
  <si>
    <t>25-11-2022 15:00</t>
  </si>
  <si>
    <t>25-11-2022 15:15</t>
  </si>
  <si>
    <t>25-11-2022 15:30</t>
  </si>
  <si>
    <t>25-11-2022 15:45</t>
  </si>
  <si>
    <t>25-11-2022 16:00</t>
  </si>
  <si>
    <t>25-11-2022 16:15</t>
  </si>
  <si>
    <t>25-11-2022 16:30</t>
  </si>
  <si>
    <t>25-11-2022 16:45</t>
  </si>
  <si>
    <t>25-11-2022 17:00</t>
  </si>
  <si>
    <t>25-11-2022 17:15</t>
  </si>
  <si>
    <t>25-11-2022 17:30</t>
  </si>
  <si>
    <t>25-11-2022 17:45</t>
  </si>
  <si>
    <t>25-11-2022 18:00</t>
  </si>
  <si>
    <t>25-11-2022 18:15</t>
  </si>
  <si>
    <t>25-11-2022 18:30</t>
  </si>
  <si>
    <t>25-11-2022 18:45</t>
  </si>
  <si>
    <t>25-11-2022 19:00</t>
  </si>
  <si>
    <t>25-11-2022 19:15</t>
  </si>
  <si>
    <t>25-11-2022 19:30</t>
  </si>
  <si>
    <t>25-11-2022 19:45</t>
  </si>
  <si>
    <t>25-11-2022 20:00</t>
  </si>
  <si>
    <t>25-11-2022 20:15</t>
  </si>
  <si>
    <t>25-11-2022 20:30</t>
  </si>
  <si>
    <t>25-11-2022 20:45</t>
  </si>
  <si>
    <t>25-11-2022 21:00</t>
  </si>
  <si>
    <t>25-11-2022 21:15</t>
  </si>
  <si>
    <t>25-11-2022 21:30</t>
  </si>
  <si>
    <t>25-11-2022 21:45</t>
  </si>
  <si>
    <t>25-11-2022 22:00</t>
  </si>
  <si>
    <t>25-11-2022 22:15</t>
  </si>
  <si>
    <t>25-11-2022 22:30</t>
  </si>
  <si>
    <t>25-11-2022 22:45</t>
  </si>
  <si>
    <t>25-11-2022 23:00</t>
  </si>
  <si>
    <t>25-11-2022 23:15</t>
  </si>
  <si>
    <t>25-11-2022 23:30</t>
  </si>
  <si>
    <t>25-11-2022 23:45</t>
  </si>
  <si>
    <t>25-11-2022 24:00</t>
  </si>
  <si>
    <t>26-11-2022 00:15</t>
  </si>
  <si>
    <t>26-11-2022 00:30</t>
  </si>
  <si>
    <t>26-11-2022 00:45</t>
  </si>
  <si>
    <t>26-11-2022 01:00</t>
  </si>
  <si>
    <t>26-11-2022 01:15</t>
  </si>
  <si>
    <t>26-11-2022 01:30</t>
  </si>
  <si>
    <t>26-11-2022 01:45</t>
  </si>
  <si>
    <t>26-11-2022 02:00</t>
  </si>
  <si>
    <t>26-11-2022 02:15</t>
  </si>
  <si>
    <t>26-11-2022 02:30</t>
  </si>
  <si>
    <t>26-11-2022 02:45</t>
  </si>
  <si>
    <t>26-11-2022 03:00</t>
  </si>
  <si>
    <t>26-11-2022 03:15</t>
  </si>
  <si>
    <t>26-11-2022 03:30</t>
  </si>
  <si>
    <t>26-11-2022 03:45</t>
  </si>
  <si>
    <t>26-11-2022 04:00</t>
  </si>
  <si>
    <t>26-11-2022 04:15</t>
  </si>
  <si>
    <t>26-11-2022 04:30</t>
  </si>
  <si>
    <t>26-11-2022 04:45</t>
  </si>
  <si>
    <t>26-11-2022 05:00</t>
  </si>
  <si>
    <t>26-11-2022 05:15</t>
  </si>
  <si>
    <t>26-11-2022 05:30</t>
  </si>
  <si>
    <t>26-11-2022 05:45</t>
  </si>
  <si>
    <t>26-11-2022 06:00</t>
  </si>
  <si>
    <t>26-11-2022 06:15</t>
  </si>
  <si>
    <t>26-11-2022 06:30</t>
  </si>
  <si>
    <t>26-11-2022 06:45</t>
  </si>
  <si>
    <t>26-11-2022 07:00</t>
  </si>
  <si>
    <t>26-11-2022 07:15</t>
  </si>
  <si>
    <t>26-11-2022 07:30</t>
  </si>
  <si>
    <t>26-11-2022 07:45</t>
  </si>
  <si>
    <t>26-11-2022 08:00</t>
  </si>
  <si>
    <t>26-11-2022 08:15</t>
  </si>
  <si>
    <t>26-11-2022 08:30</t>
  </si>
  <si>
    <t>26-11-2022 08:45</t>
  </si>
  <si>
    <t>26-11-2022 09:00</t>
  </si>
  <si>
    <t>26-11-2022 09:15</t>
  </si>
  <si>
    <t>26-11-2022 09:30</t>
  </si>
  <si>
    <t>26-11-2022 09:45</t>
  </si>
  <si>
    <t>26-11-2022 10:00</t>
  </si>
  <si>
    <t>26-11-2022 10:15</t>
  </si>
  <si>
    <t>26-11-2022 10:30</t>
  </si>
  <si>
    <t>26-11-2022 10:45</t>
  </si>
  <si>
    <t>26-11-2022 11:00</t>
  </si>
  <si>
    <t>26-11-2022 11:15</t>
  </si>
  <si>
    <t>26-11-2022 11:30</t>
  </si>
  <si>
    <t>26-11-2022 11:45</t>
  </si>
  <si>
    <t>26-11-2022 12:00</t>
  </si>
  <si>
    <t>26-11-2022 12:15</t>
  </si>
  <si>
    <t>26-11-2022 12:30</t>
  </si>
  <si>
    <t>26-11-2022 12:45</t>
  </si>
  <si>
    <t>26-11-2022 13:00</t>
  </si>
  <si>
    <t>26-11-2022 13:15</t>
  </si>
  <si>
    <t>26-11-2022 13:30</t>
  </si>
  <si>
    <t>26-11-2022 13:45</t>
  </si>
  <si>
    <t>26-11-2022 14:00</t>
  </si>
  <si>
    <t>26-11-2022 14:15</t>
  </si>
  <si>
    <t>26-11-2022 14:30</t>
  </si>
  <si>
    <t>26-11-2022 14:45</t>
  </si>
  <si>
    <t>26-11-2022 15:00</t>
  </si>
  <si>
    <t>26-11-2022 15:15</t>
  </si>
  <si>
    <t>26-11-2022 15:30</t>
  </si>
  <si>
    <t>26-11-2022 15:45</t>
  </si>
  <si>
    <t>26-11-2022 16:00</t>
  </si>
  <si>
    <t>26-11-2022 16:15</t>
  </si>
  <si>
    <t>26-11-2022 16:30</t>
  </si>
  <si>
    <t>26-11-2022 16:45</t>
  </si>
  <si>
    <t>26-11-2022 17:00</t>
  </si>
  <si>
    <t>26-11-2022 17:15</t>
  </si>
  <si>
    <t>26-11-2022 17:30</t>
  </si>
  <si>
    <t>26-11-2022 17:45</t>
  </si>
  <si>
    <t>26-11-2022 18:00</t>
  </si>
  <si>
    <t>26-11-2022 18:15</t>
  </si>
  <si>
    <t>26-11-2022 18:30</t>
  </si>
  <si>
    <t>26-11-2022 18:45</t>
  </si>
  <si>
    <t>26-11-2022 19:00</t>
  </si>
  <si>
    <t>26-11-2022 19:15</t>
  </si>
  <si>
    <t>26-11-2022 19:30</t>
  </si>
  <si>
    <t>26-11-2022 19:45</t>
  </si>
  <si>
    <t>26-11-2022 20:00</t>
  </si>
  <si>
    <t>26-11-2022 20:15</t>
  </si>
  <si>
    <t>26-11-2022 20:30</t>
  </si>
  <si>
    <t>26-11-2022 20:45</t>
  </si>
  <si>
    <t>26-11-2022 21:00</t>
  </si>
  <si>
    <t>26-11-2022 21:15</t>
  </si>
  <si>
    <t>26-11-2022 21:30</t>
  </si>
  <si>
    <t>26-11-2022 21:45</t>
  </si>
  <si>
    <t>26-11-2022 22:00</t>
  </si>
  <si>
    <t>26-11-2022 22:15</t>
  </si>
  <si>
    <t>26-11-2022 22:30</t>
  </si>
  <si>
    <t>26-11-2022 22:45</t>
  </si>
  <si>
    <t>26-11-2022 23:00</t>
  </si>
  <si>
    <t>26-11-2022 23:15</t>
  </si>
  <si>
    <t>26-11-2022 23:30</t>
  </si>
  <si>
    <t>26-11-2022 23:45</t>
  </si>
  <si>
    <t>26-11-2022 24:00</t>
  </si>
  <si>
    <t>27-11-2022 00:15</t>
  </si>
  <si>
    <t>27-11-2022 00:30</t>
  </si>
  <si>
    <t>27-11-2022 00:45</t>
  </si>
  <si>
    <t>27-11-2022 01:00</t>
  </si>
  <si>
    <t>27-11-2022 01:15</t>
  </si>
  <si>
    <t>27-11-2022 01:30</t>
  </si>
  <si>
    <t>27-11-2022 01:45</t>
  </si>
  <si>
    <t>27-11-2022 02:00</t>
  </si>
  <si>
    <t>27-11-2022 02:15</t>
  </si>
  <si>
    <t>27-11-2022 02:30</t>
  </si>
  <si>
    <t>27-11-2022 02:45</t>
  </si>
  <si>
    <t>27-11-2022 03:00</t>
  </si>
  <si>
    <t>27-11-2022 03:15</t>
  </si>
  <si>
    <t>27-11-2022 03:30</t>
  </si>
  <si>
    <t>27-11-2022 03:45</t>
  </si>
  <si>
    <t>27-11-2022 04:00</t>
  </si>
  <si>
    <t>27-11-2022 04:15</t>
  </si>
  <si>
    <t>27-11-2022 04:30</t>
  </si>
  <si>
    <t>27-11-2022 04:45</t>
  </si>
  <si>
    <t>27-11-2022 05:00</t>
  </si>
  <si>
    <t>27-11-2022 05:15</t>
  </si>
  <si>
    <t>27-11-2022 05:30</t>
  </si>
  <si>
    <t>27-11-2022 05:45</t>
  </si>
  <si>
    <t>27-11-2022 06:00</t>
  </si>
  <si>
    <t>27-11-2022 06:15</t>
  </si>
  <si>
    <t>27-11-2022 06:30</t>
  </si>
  <si>
    <t>27-11-2022 06:45</t>
  </si>
  <si>
    <t>27-11-2022 07:00</t>
  </si>
  <si>
    <t>27-11-2022 07:15</t>
  </si>
  <si>
    <t>27-11-2022 07:30</t>
  </si>
  <si>
    <t>27-11-2022 07:45</t>
  </si>
  <si>
    <t>27-11-2022 08:00</t>
  </si>
  <si>
    <t>27-11-2022 08:15</t>
  </si>
  <si>
    <t>27-11-2022 08:30</t>
  </si>
  <si>
    <t>27-11-2022 08:45</t>
  </si>
  <si>
    <t>27-11-2022 09:00</t>
  </si>
  <si>
    <t>27-11-2022 09:15</t>
  </si>
  <si>
    <t>27-11-2022 09:30</t>
  </si>
  <si>
    <t>27-11-2022 09:45</t>
  </si>
  <si>
    <t>27-11-2022 10:00</t>
  </si>
  <si>
    <t>27-11-2022 10:15</t>
  </si>
  <si>
    <t>27-11-2022 10:30</t>
  </si>
  <si>
    <t>27-11-2022 10:45</t>
  </si>
  <si>
    <t>27-11-2022 11:00</t>
  </si>
  <si>
    <t>27-11-2022 11:15</t>
  </si>
  <si>
    <t>27-11-2022 11:30</t>
  </si>
  <si>
    <t>27-11-2022 11:45</t>
  </si>
  <si>
    <t>27-11-2022 12:00</t>
  </si>
  <si>
    <t>27-11-2022 12:15</t>
  </si>
  <si>
    <t>27-11-2022 12:30</t>
  </si>
  <si>
    <t>27-11-2022 12:45</t>
  </si>
  <si>
    <t>27-11-2022 13:00</t>
  </si>
  <si>
    <t>27-11-2022 13:15</t>
  </si>
  <si>
    <t>27-11-2022 13:30</t>
  </si>
  <si>
    <t>27-11-2022 13:45</t>
  </si>
  <si>
    <t>27-11-2022 14:00</t>
  </si>
  <si>
    <t>27-11-2022 14:15</t>
  </si>
  <si>
    <t>27-11-2022 14:30</t>
  </si>
  <si>
    <t>27-11-2022 14:45</t>
  </si>
  <si>
    <t>27-11-2022 15:00</t>
  </si>
  <si>
    <t>27-11-2022 15:15</t>
  </si>
  <si>
    <t>27-11-2022 15:30</t>
  </si>
  <si>
    <t>27-11-2022 15:45</t>
  </si>
  <si>
    <t>27-11-2022 16:00</t>
  </si>
  <si>
    <t>27-11-2022 16:15</t>
  </si>
  <si>
    <t>27-11-2022 16:30</t>
  </si>
  <si>
    <t>27-11-2022 16:45</t>
  </si>
  <si>
    <t>27-11-2022 17:00</t>
  </si>
  <si>
    <t>27-11-2022 17:15</t>
  </si>
  <si>
    <t>27-11-2022 17:30</t>
  </si>
  <si>
    <t>27-11-2022 17:45</t>
  </si>
  <si>
    <t>27-11-2022 18:00</t>
  </si>
  <si>
    <t>27-11-2022 18:15</t>
  </si>
  <si>
    <t>27-11-2022 18:30</t>
  </si>
  <si>
    <t>27-11-2022 18:45</t>
  </si>
  <si>
    <t>27-11-2022 19:00</t>
  </si>
  <si>
    <t>27-11-2022 19:15</t>
  </si>
  <si>
    <t>27-11-2022 19:30</t>
  </si>
  <si>
    <t>27-11-2022 19:45</t>
  </si>
  <si>
    <t>27-11-2022 20:00</t>
  </si>
  <si>
    <t>27-11-2022 20:15</t>
  </si>
  <si>
    <t>27-11-2022 20:30</t>
  </si>
  <si>
    <t>27-11-2022 20:45</t>
  </si>
  <si>
    <t>27-11-2022 21:00</t>
  </si>
  <si>
    <t>27-11-2022 21:15</t>
  </si>
  <si>
    <t>27-11-2022 21:30</t>
  </si>
  <si>
    <t>27-11-2022 21:45</t>
  </si>
  <si>
    <t>27-11-2022 22:00</t>
  </si>
  <si>
    <t>27-11-2022 22:15</t>
  </si>
  <si>
    <t>27-11-2022 22:30</t>
  </si>
  <si>
    <t>27-11-2022 22:45</t>
  </si>
  <si>
    <t>27-11-2022 23:00</t>
  </si>
  <si>
    <t>27-11-2022 23:15</t>
  </si>
  <si>
    <t>27-11-2022 23:30</t>
  </si>
  <si>
    <t>27-11-2022 23:45</t>
  </si>
  <si>
    <t>27-11-2022 24:00</t>
  </si>
  <si>
    <t>28-11-2022 00:15</t>
  </si>
  <si>
    <t>28-11-2022 00:30</t>
  </si>
  <si>
    <t>28-11-2022 00:45</t>
  </si>
  <si>
    <t>28-11-2022 01:00</t>
  </si>
  <si>
    <t>28-11-2022 01:15</t>
  </si>
  <si>
    <t>28-11-2022 01:30</t>
  </si>
  <si>
    <t>28-11-2022 01:45</t>
  </si>
  <si>
    <t>28-11-2022 02:00</t>
  </si>
  <si>
    <t>28-11-2022 02:15</t>
  </si>
  <si>
    <t>28-11-2022 02:30</t>
  </si>
  <si>
    <t>28-11-2022 02:45</t>
  </si>
  <si>
    <t>28-11-2022 03:00</t>
  </si>
  <si>
    <t>28-11-2022 03:15</t>
  </si>
  <si>
    <t>28-11-2022 03:30</t>
  </si>
  <si>
    <t>28-11-2022 03:45</t>
  </si>
  <si>
    <t>28-11-2022 04:00</t>
  </si>
  <si>
    <t>28-11-2022 04:15</t>
  </si>
  <si>
    <t>28-11-2022 04:30</t>
  </si>
  <si>
    <t>28-11-2022 04:45</t>
  </si>
  <si>
    <t>28-11-2022 05:00</t>
  </si>
  <si>
    <t>28-11-2022 05:15</t>
  </si>
  <si>
    <t>28-11-2022 05:30</t>
  </si>
  <si>
    <t>28-11-2022 05:45</t>
  </si>
  <si>
    <t>28-11-2022 06:00</t>
  </si>
  <si>
    <t>28-11-2022 06:15</t>
  </si>
  <si>
    <t>28-11-2022 06:30</t>
  </si>
  <si>
    <t>28-11-2022 06:45</t>
  </si>
  <si>
    <t>28-11-2022 07:00</t>
  </si>
  <si>
    <t>28-11-2022 07:15</t>
  </si>
  <si>
    <t>28-11-2022 07:30</t>
  </si>
  <si>
    <t>28-11-2022 07:45</t>
  </si>
  <si>
    <t>28-11-2022 08:00</t>
  </si>
  <si>
    <t>28-11-2022 08:15</t>
  </si>
  <si>
    <t>28-11-2022 08:30</t>
  </si>
  <si>
    <t>28-11-2022 08:45</t>
  </si>
  <si>
    <t>28-11-2022 09:00</t>
  </si>
  <si>
    <t>28-11-2022 09:15</t>
  </si>
  <si>
    <t>28-11-2022 09:30</t>
  </si>
  <si>
    <t>28-11-2022 09:45</t>
  </si>
  <si>
    <t>28-11-2022 10:00</t>
  </si>
  <si>
    <t>28-11-2022 10:15</t>
  </si>
  <si>
    <t>28-11-2022 10:30</t>
  </si>
  <si>
    <t>28-11-2022 10:45</t>
  </si>
  <si>
    <t>28-11-2022 11:00</t>
  </si>
  <si>
    <t>28-11-2022 11:15</t>
  </si>
  <si>
    <t>28-11-2022 11:30</t>
  </si>
  <si>
    <t>28-11-2022 11:45</t>
  </si>
  <si>
    <t>28-11-2022 12:00</t>
  </si>
  <si>
    <t>28-11-2022 12:15</t>
  </si>
  <si>
    <t>28-11-2022 12:30</t>
  </si>
  <si>
    <t>28-11-2022 12:45</t>
  </si>
  <si>
    <t>28-11-2022 13:00</t>
  </si>
  <si>
    <t>28-11-2022 13:15</t>
  </si>
  <si>
    <t>28-11-2022 13:30</t>
  </si>
  <si>
    <t>28-11-2022 13:45</t>
  </si>
  <si>
    <t>28-11-2022 14:00</t>
  </si>
  <si>
    <t>28-11-2022 14:15</t>
  </si>
  <si>
    <t>28-11-2022 14:30</t>
  </si>
  <si>
    <t>28-11-2022 14:45</t>
  </si>
  <si>
    <t>28-11-2022 15:00</t>
  </si>
  <si>
    <t>28-11-2022 15:15</t>
  </si>
  <si>
    <t>28-11-2022 15:30</t>
  </si>
  <si>
    <t>28-11-2022 15:45</t>
  </si>
  <si>
    <t>28-11-2022 16:00</t>
  </si>
  <si>
    <t>28-11-2022 16:15</t>
  </si>
  <si>
    <t>28-11-2022 16:30</t>
  </si>
  <si>
    <t>28-11-2022 16:45</t>
  </si>
  <si>
    <t>28-11-2022 17:00</t>
  </si>
  <si>
    <t>28-11-2022 17:15</t>
  </si>
  <si>
    <t>28-11-2022 17:30</t>
  </si>
  <si>
    <t>28-11-2022 17:45</t>
  </si>
  <si>
    <t>28-11-2022 18:00</t>
  </si>
  <si>
    <t>28-11-2022 18:15</t>
  </si>
  <si>
    <t>28-11-2022 18:30</t>
  </si>
  <si>
    <t>28-11-2022 18:45</t>
  </si>
  <si>
    <t>28-11-2022 19:00</t>
  </si>
  <si>
    <t>28-11-2022 19:15</t>
  </si>
  <si>
    <t>28-11-2022 19:30</t>
  </si>
  <si>
    <t>28-11-2022 19:45</t>
  </si>
  <si>
    <t>28-11-2022 20:00</t>
  </si>
  <si>
    <t>28-11-2022 20:15</t>
  </si>
  <si>
    <t>28-11-2022 20:30</t>
  </si>
  <si>
    <t>28-11-2022 20:45</t>
  </si>
  <si>
    <t>28-11-2022 21:00</t>
  </si>
  <si>
    <t>28-11-2022 21:15</t>
  </si>
  <si>
    <t>28-11-2022 21:30</t>
  </si>
  <si>
    <t>28-11-2022 21:45</t>
  </si>
  <si>
    <t>28-11-2022 22:00</t>
  </si>
  <si>
    <t>28-11-2022 22:15</t>
  </si>
  <si>
    <t>28-11-2022 22:30</t>
  </si>
  <si>
    <t>28-11-2022 22:45</t>
  </si>
  <si>
    <t>28-11-2022 23:00</t>
  </si>
  <si>
    <t>28-11-2022 23:15</t>
  </si>
  <si>
    <t>28-11-2022 23:30</t>
  </si>
  <si>
    <t>28-11-2022 23:45</t>
  </si>
  <si>
    <t>28-11-2022 24:00</t>
  </si>
  <si>
    <t>29-11-2022 00:15</t>
  </si>
  <si>
    <t>29-11-2022 00:30</t>
  </si>
  <si>
    <t>29-11-2022 00:45</t>
  </si>
  <si>
    <t>29-11-2022 01:00</t>
  </si>
  <si>
    <t>29-11-2022 01:15</t>
  </si>
  <si>
    <t>29-11-2022 01:30</t>
  </si>
  <si>
    <t>29-11-2022 01:45</t>
  </si>
  <si>
    <t>29-11-2022 02:00</t>
  </si>
  <si>
    <t>29-11-2022 02:15</t>
  </si>
  <si>
    <t>29-11-2022 02:30</t>
  </si>
  <si>
    <t>29-11-2022 02:45</t>
  </si>
  <si>
    <t>29-11-2022 03:00</t>
  </si>
  <si>
    <t>29-11-2022 03:15</t>
  </si>
  <si>
    <t>29-11-2022 03:30</t>
  </si>
  <si>
    <t>29-11-2022 03:45</t>
  </si>
  <si>
    <t>29-11-2022 04:00</t>
  </si>
  <si>
    <t>29-11-2022 04:15</t>
  </si>
  <si>
    <t>29-11-2022 04:30</t>
  </si>
  <si>
    <t>29-11-2022 04:45</t>
  </si>
  <si>
    <t>29-11-2022 05:00</t>
  </si>
  <si>
    <t>29-11-2022 05:15</t>
  </si>
  <si>
    <t>29-11-2022 05:30</t>
  </si>
  <si>
    <t>29-11-2022 05:45</t>
  </si>
  <si>
    <t>29-11-2022 06:00</t>
  </si>
  <si>
    <t>29-11-2022 06:15</t>
  </si>
  <si>
    <t>29-11-2022 06:30</t>
  </si>
  <si>
    <t>29-11-2022 06:45</t>
  </si>
  <si>
    <t>29-11-2022 07:00</t>
  </si>
  <si>
    <t>29-11-2022 07:15</t>
  </si>
  <si>
    <t>29-11-2022 07:30</t>
  </si>
  <si>
    <t>29-11-2022 07:45</t>
  </si>
  <si>
    <t>29-11-2022 08:00</t>
  </si>
  <si>
    <t>29-11-2022 08:15</t>
  </si>
  <si>
    <t>29-11-2022 08:30</t>
  </si>
  <si>
    <t>29-11-2022 08:45</t>
  </si>
  <si>
    <t>29-11-2022 09:00</t>
  </si>
  <si>
    <t>29-11-2022 09:15</t>
  </si>
  <si>
    <t>29-11-2022 09:30</t>
  </si>
  <si>
    <t>29-11-2022 09:45</t>
  </si>
  <si>
    <t>29-11-2022 10:00</t>
  </si>
  <si>
    <t>29-11-2022 10:15</t>
  </si>
  <si>
    <t>29-11-2022 10:30</t>
  </si>
  <si>
    <t>29-11-2022 10:45</t>
  </si>
  <si>
    <t>29-11-2022 11:00</t>
  </si>
  <si>
    <t>29-11-2022 11:15</t>
  </si>
  <si>
    <t>29-11-2022 11:30</t>
  </si>
  <si>
    <t>29-11-2022 11:45</t>
  </si>
  <si>
    <t>29-11-2022 12:00</t>
  </si>
  <si>
    <t>29-11-2022 12:15</t>
  </si>
  <si>
    <t>29-11-2022 12:30</t>
  </si>
  <si>
    <t>29-11-2022 12:45</t>
  </si>
  <si>
    <t>29-11-2022 13:00</t>
  </si>
  <si>
    <t>29-11-2022 13:15</t>
  </si>
  <si>
    <t>29-11-2022 13:30</t>
  </si>
  <si>
    <t>29-11-2022 13:45</t>
  </si>
  <si>
    <t>29-11-2022 14:00</t>
  </si>
  <si>
    <t>29-11-2022 14:15</t>
  </si>
  <si>
    <t>29-11-2022 14:30</t>
  </si>
  <si>
    <t>29-11-2022 14:45</t>
  </si>
  <si>
    <t>29-11-2022 15:00</t>
  </si>
  <si>
    <t>29-11-2022 15:15</t>
  </si>
  <si>
    <t>29-11-2022 15:30</t>
  </si>
  <si>
    <t>29-11-2022 15:45</t>
  </si>
  <si>
    <t>29-11-2022 16:00</t>
  </si>
  <si>
    <t>29-11-2022 16:15</t>
  </si>
  <si>
    <t>29-11-2022 16:30</t>
  </si>
  <si>
    <t>29-11-2022 16:45</t>
  </si>
  <si>
    <t>29-11-2022 17:00</t>
  </si>
  <si>
    <t>29-11-2022 17:15</t>
  </si>
  <si>
    <t>29-11-2022 17:30</t>
  </si>
  <si>
    <t>29-11-2022 17:45</t>
  </si>
  <si>
    <t>29-11-2022 18:00</t>
  </si>
  <si>
    <t>29-11-2022 18:15</t>
  </si>
  <si>
    <t>29-11-2022 18:30</t>
  </si>
  <si>
    <t>29-11-2022 18:45</t>
  </si>
  <si>
    <t>29-11-2022 19:00</t>
  </si>
  <si>
    <t>29-11-2022 19:15</t>
  </si>
  <si>
    <t>29-11-2022 19:30</t>
  </si>
  <si>
    <t>29-11-2022 19:45</t>
  </si>
  <si>
    <t>29-11-2022 20:00</t>
  </si>
  <si>
    <t>29-11-2022 20:15</t>
  </si>
  <si>
    <t>29-11-2022 20:30</t>
  </si>
  <si>
    <t>29-11-2022 20:45</t>
  </si>
  <si>
    <t>29-11-2022 21:00</t>
  </si>
  <si>
    <t>29-11-2022 21:15</t>
  </si>
  <si>
    <t>29-11-2022 21:30</t>
  </si>
  <si>
    <t>29-11-2022 21:45</t>
  </si>
  <si>
    <t>29-11-2022 22:00</t>
  </si>
  <si>
    <t>29-11-2022 22:15</t>
  </si>
  <si>
    <t>29-11-2022 22:30</t>
  </si>
  <si>
    <t>29-11-2022 22:45</t>
  </si>
  <si>
    <t>29-11-2022 23:00</t>
  </si>
  <si>
    <t>29-11-2022 23:15</t>
  </si>
  <si>
    <t>29-11-2022 23:30</t>
  </si>
  <si>
    <t>29-11-2022 23:45</t>
  </si>
  <si>
    <t>29-11-2022 24:00</t>
  </si>
  <si>
    <t>30-11-2022 00:15</t>
  </si>
  <si>
    <t>30-11-2022 00:30</t>
  </si>
  <si>
    <t>30-11-2022 00:45</t>
  </si>
  <si>
    <t>30-11-2022 01:00</t>
  </si>
  <si>
    <t>30-11-2022 01:15</t>
  </si>
  <si>
    <t>30-11-2022 01:30</t>
  </si>
  <si>
    <t>30-11-2022 01:45</t>
  </si>
  <si>
    <t>30-11-2022 02:00</t>
  </si>
  <si>
    <t>30-11-2022 02:15</t>
  </si>
  <si>
    <t>30-11-2022 02:30</t>
  </si>
  <si>
    <t>30-11-2022 02:45</t>
  </si>
  <si>
    <t>30-11-2022 03:00</t>
  </si>
  <si>
    <t>30-11-2022 03:15</t>
  </si>
  <si>
    <t>30-11-2022 03:30</t>
  </si>
  <si>
    <t>30-11-2022 03:45</t>
  </si>
  <si>
    <t>30-11-2022 04:00</t>
  </si>
  <si>
    <t>30-11-2022 04:15</t>
  </si>
  <si>
    <t>30-11-2022 04:30</t>
  </si>
  <si>
    <t>30-11-2022 04:45</t>
  </si>
  <si>
    <t>30-11-2022 05:00</t>
  </si>
  <si>
    <t>30-11-2022 05:15</t>
  </si>
  <si>
    <t>30-11-2022 05:30</t>
  </si>
  <si>
    <t>30-11-2022 05:45</t>
  </si>
  <si>
    <t>30-11-2022 06:00</t>
  </si>
  <si>
    <t>30-11-2022 06:15</t>
  </si>
  <si>
    <t>30-11-2022 06:30</t>
  </si>
  <si>
    <t>30-11-2022 06:45</t>
  </si>
  <si>
    <t>30-11-2022 07:00</t>
  </si>
  <si>
    <t>30-11-2022 07:15</t>
  </si>
  <si>
    <t>30-11-2022 07:30</t>
  </si>
  <si>
    <t>30-11-2022 07:45</t>
  </si>
  <si>
    <t>30-11-2022 08:00</t>
  </si>
  <si>
    <t>30-11-2022 08:15</t>
  </si>
  <si>
    <t>30-11-2022 08:30</t>
  </si>
  <si>
    <t>30-11-2022 08:45</t>
  </si>
  <si>
    <t>30-11-2022 09:00</t>
  </si>
  <si>
    <t>30-11-2022 09:15</t>
  </si>
  <si>
    <t>30-11-2022 09:30</t>
  </si>
  <si>
    <t>30-11-2022 09:45</t>
  </si>
  <si>
    <t>30-11-2022 10:00</t>
  </si>
  <si>
    <t>30-11-2022 10:15</t>
  </si>
  <si>
    <t>30-11-2022 10:30</t>
  </si>
  <si>
    <t>30-11-2022 10:45</t>
  </si>
  <si>
    <t>30-11-2022 11:00</t>
  </si>
  <si>
    <t>30-11-2022 11:15</t>
  </si>
  <si>
    <t>30-11-2022 11:30</t>
  </si>
  <si>
    <t>30-11-2022 11:45</t>
  </si>
  <si>
    <t>30-11-2022 12:00</t>
  </si>
  <si>
    <t>30-11-2022 12:15</t>
  </si>
  <si>
    <t>30-11-2022 12:30</t>
  </si>
  <si>
    <t>30-11-2022 12:45</t>
  </si>
  <si>
    <t>30-11-2022 13:00</t>
  </si>
  <si>
    <t>30-11-2022 13:15</t>
  </si>
  <si>
    <t>30-11-2022 13:30</t>
  </si>
  <si>
    <t>30-11-2022 13:45</t>
  </si>
  <si>
    <t>30-11-2022 14:00</t>
  </si>
  <si>
    <t>30-11-2022 14:15</t>
  </si>
  <si>
    <t>30-11-2022 14:30</t>
  </si>
  <si>
    <t>30-11-2022 14:45</t>
  </si>
  <si>
    <t>30-11-2022 15:00</t>
  </si>
  <si>
    <t>30-11-2022 15:15</t>
  </si>
  <si>
    <t>30-11-2022 15:30</t>
  </si>
  <si>
    <t>30-11-2022 15:45</t>
  </si>
  <si>
    <t>30-11-2022 16:00</t>
  </si>
  <si>
    <t>30-11-2022 16:15</t>
  </si>
  <si>
    <t>30-11-2022 16:30</t>
  </si>
  <si>
    <t>30-11-2022 16:45</t>
  </si>
  <si>
    <t>30-11-2022 17:00</t>
  </si>
  <si>
    <t>30-11-2022 17:15</t>
  </si>
  <si>
    <t>30-11-2022 17:30</t>
  </si>
  <si>
    <t>30-11-2022 17:45</t>
  </si>
  <si>
    <t>30-11-2022 18:00</t>
  </si>
  <si>
    <t>30-11-2022 18:15</t>
  </si>
  <si>
    <t>30-11-2022 18:30</t>
  </si>
  <si>
    <t>30-11-2022 18:45</t>
  </si>
  <si>
    <t>30-11-2022 19:00</t>
  </si>
  <si>
    <t>30-11-2022 19:15</t>
  </si>
  <si>
    <t>30-11-2022 19:30</t>
  </si>
  <si>
    <t>30-11-2022 19:45</t>
  </si>
  <si>
    <t>30-11-2022 20:00</t>
  </si>
  <si>
    <t>30-11-2022 20:15</t>
  </si>
  <si>
    <t>30-11-2022 20:30</t>
  </si>
  <si>
    <t>30-11-2022 20:45</t>
  </si>
  <si>
    <t>30-11-2022 21:00</t>
  </si>
  <si>
    <t>30-11-2022 21:15</t>
  </si>
  <si>
    <t>30-11-2022 21:30</t>
  </si>
  <si>
    <t>30-11-2022 21:45</t>
  </si>
  <si>
    <t>30-11-2022 22:00</t>
  </si>
  <si>
    <t>30-11-2022 22:15</t>
  </si>
  <si>
    <t>30-11-2022 22:30</t>
  </si>
  <si>
    <t>30-11-2022 22:45</t>
  </si>
  <si>
    <t>30-11-2022 23:00</t>
  </si>
  <si>
    <t>30-11-2022 23:15</t>
  </si>
  <si>
    <t>30-11-2022 23:30</t>
  </si>
  <si>
    <t>30-11-2022 23:45</t>
  </si>
  <si>
    <t>30-11-2022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</si>
</sst>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0" fillId="13" borderId="1" xfId="0" applyNumberFormat="1" applyFill="1" applyBorder="1" applyAlignment="1">
      <alignment horizontal="center" vertical="center"/>
    </xf>
    <xf numFmtId="49" fontId="0" fillId="0" borderId="0" xfId="0" applyNumberFormat="1"/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/>
    <xf numFmtId="0" fontId="15" fillId="9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5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6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7" xfId="0" applyFont="1" applyFill="1" applyBorder="1" applyAlignment="1">
      <alignment horizontal="center"/>
    </xf>
    <xf numFmtId="0" fontId="6" fillId="12" borderId="38" xfId="0" applyFont="1" applyFill="1" applyBorder="1" applyAlignment="1">
      <alignment horizontal="center"/>
    </xf>
    <xf numFmtId="0" fontId="39" fillId="12" borderId="36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4" borderId="0" xfId="0" applyNumberFormat="1" applyFont="1" applyFill="1" applyAlignment="1">
      <alignment horizontal="center" vertical="center"/>
    </xf>
    <xf numFmtId="0" fontId="43" fillId="14" borderId="0" xfId="0" applyFont="1" applyFill="1" applyAlignment="1">
      <alignment horizontal="center" vertical="center"/>
    </xf>
    <xf numFmtId="0" fontId="39" fillId="12" borderId="39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40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11" sqref="G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38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AI1" s="198"/>
      <c r="AJ1" s="198"/>
      <c r="AK1" s="198"/>
      <c r="AL1" s="198"/>
    </row>
    <row r="2" spans="1:38" x14ac:dyDescent="0.25">
      <c r="A2" s="15" t="s">
        <v>0</v>
      </c>
      <c r="B2" s="108" t="str">
        <f>$A$9</f>
        <v>01-11-2022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  <c r="AI2" s="198"/>
      <c r="AJ2" s="198"/>
      <c r="AK2" s="198"/>
      <c r="AL2" s="198"/>
    </row>
    <row r="3" spans="1:38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  <c r="AI3" s="198"/>
      <c r="AJ3" s="198"/>
      <c r="AK3" s="198"/>
      <c r="AL3" s="198"/>
    </row>
    <row r="4" spans="1:38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  <c r="AI4" s="198"/>
      <c r="AJ4" s="198"/>
      <c r="AK4" s="198"/>
      <c r="AL4" s="198"/>
    </row>
    <row r="5" spans="1:38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AI5" s="198"/>
      <c r="AJ5" s="198"/>
      <c r="AK5" s="198"/>
      <c r="AL5" s="198"/>
    </row>
    <row r="6" spans="1:38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  <c r="AI6" s="198"/>
      <c r="AJ6" s="198"/>
      <c r="AK6" s="198"/>
      <c r="AL6" s="198"/>
    </row>
    <row r="7" spans="1:38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  <c r="AI7" s="198"/>
      <c r="AJ7" s="198"/>
      <c r="AK7" s="198"/>
      <c r="AL7" s="198"/>
    </row>
    <row r="8" spans="1:38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  <c r="AI8" s="198"/>
      <c r="AJ8" s="198"/>
      <c r="AK8" s="198"/>
      <c r="AL8" s="198"/>
    </row>
    <row r="9" spans="1:38" s="12" customFormat="1" x14ac:dyDescent="0.25">
      <c r="A9" s="201" t="s">
        <v>240</v>
      </c>
      <c r="B9" s="60">
        <v>0.65</v>
      </c>
      <c r="C9" s="60">
        <v>72.75</v>
      </c>
      <c r="D9" s="60">
        <v>40.67</v>
      </c>
      <c r="E9" s="60">
        <v>47.47</v>
      </c>
      <c r="F9" s="60">
        <v>64.41</v>
      </c>
      <c r="G9" s="60">
        <v>186.07</v>
      </c>
      <c r="H9" s="60">
        <v>64.44</v>
      </c>
      <c r="I9" s="60">
        <v>0.24</v>
      </c>
      <c r="J9" s="60">
        <v>0.4</v>
      </c>
      <c r="K9" s="60">
        <v>56.52</v>
      </c>
      <c r="L9" s="213" t="s">
        <v>35</v>
      </c>
      <c r="M9" s="213" t="s">
        <v>35</v>
      </c>
      <c r="N9" s="60">
        <v>4.4000000000000004</v>
      </c>
      <c r="O9" s="60">
        <v>0</v>
      </c>
      <c r="P9" s="60">
        <v>0.79</v>
      </c>
      <c r="Q9" s="60">
        <v>59.91</v>
      </c>
      <c r="R9" s="198"/>
      <c r="S9" s="198"/>
      <c r="T9" s="198"/>
      <c r="U9" s="198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198"/>
      <c r="AJ9" s="198"/>
      <c r="AK9" s="198"/>
      <c r="AL9" s="198"/>
    </row>
    <row r="10" spans="1:38" s="12" customFormat="1" x14ac:dyDescent="0.25">
      <c r="A10" s="201" t="s">
        <v>241</v>
      </c>
      <c r="B10" s="60">
        <v>0.85</v>
      </c>
      <c r="C10" s="60">
        <v>67.7</v>
      </c>
      <c r="D10" s="60">
        <v>38.04</v>
      </c>
      <c r="E10" s="60">
        <v>44.64</v>
      </c>
      <c r="F10" s="60">
        <v>53.45</v>
      </c>
      <c r="G10" s="60">
        <v>184.79</v>
      </c>
      <c r="H10" s="60">
        <v>67.77</v>
      </c>
      <c r="I10" s="60">
        <v>0.21</v>
      </c>
      <c r="J10" s="60">
        <v>0.18</v>
      </c>
      <c r="K10" s="60">
        <v>41.71</v>
      </c>
      <c r="L10" s="213" t="s">
        <v>35</v>
      </c>
      <c r="M10" s="213" t="s">
        <v>35</v>
      </c>
      <c r="N10" s="60">
        <v>4.9000000000000004</v>
      </c>
      <c r="O10" s="60">
        <v>0</v>
      </c>
      <c r="P10" s="60">
        <v>0.8</v>
      </c>
      <c r="Q10" s="60">
        <v>49.91</v>
      </c>
      <c r="R10" s="198"/>
      <c r="S10" s="198"/>
      <c r="T10" s="198"/>
      <c r="U10" s="198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198"/>
      <c r="AJ10" s="198"/>
      <c r="AK10" s="198"/>
      <c r="AL10" s="198"/>
    </row>
    <row r="11" spans="1:38" s="12" customFormat="1" x14ac:dyDescent="0.25">
      <c r="A11" s="201" t="s">
        <v>242</v>
      </c>
      <c r="B11" s="60">
        <v>6.67</v>
      </c>
      <c r="C11" s="60">
        <v>97</v>
      </c>
      <c r="D11" s="60">
        <v>58.88</v>
      </c>
      <c r="E11" s="60">
        <v>41.34</v>
      </c>
      <c r="F11" s="60">
        <v>50.53</v>
      </c>
      <c r="G11" s="60">
        <v>184.79</v>
      </c>
      <c r="H11" s="60">
        <v>68.91</v>
      </c>
      <c r="I11" s="60">
        <v>0.21</v>
      </c>
      <c r="J11" s="60">
        <v>0.24</v>
      </c>
      <c r="K11" s="60">
        <v>70.67</v>
      </c>
      <c r="L11" s="213" t="s">
        <v>35</v>
      </c>
      <c r="M11" s="213" t="s">
        <v>35</v>
      </c>
      <c r="N11" s="60">
        <v>4.5</v>
      </c>
      <c r="O11" s="60">
        <v>0</v>
      </c>
      <c r="P11" s="60">
        <v>0.9</v>
      </c>
      <c r="Q11" s="60">
        <v>51.26</v>
      </c>
      <c r="R11" s="198"/>
      <c r="S11" s="198"/>
      <c r="T11" s="198"/>
      <c r="U11" s="198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198"/>
      <c r="AJ11" s="198"/>
      <c r="AK11" s="198"/>
      <c r="AL11" s="198"/>
    </row>
    <row r="12" spans="1:38" s="12" customFormat="1" x14ac:dyDescent="0.25">
      <c r="A12" s="201" t="s">
        <v>243</v>
      </c>
      <c r="B12" s="60">
        <v>0.38</v>
      </c>
      <c r="C12" s="60">
        <v>63.22</v>
      </c>
      <c r="D12" s="60">
        <v>35.19</v>
      </c>
      <c r="E12" s="60">
        <v>52.14</v>
      </c>
      <c r="F12" s="60">
        <v>65.66</v>
      </c>
      <c r="G12" s="60">
        <v>184.79</v>
      </c>
      <c r="H12" s="60">
        <v>68.91</v>
      </c>
      <c r="I12" s="60">
        <v>0.21</v>
      </c>
      <c r="J12" s="60">
        <v>0.26</v>
      </c>
      <c r="K12" s="60">
        <v>69.97</v>
      </c>
      <c r="L12" s="213" t="s">
        <v>35</v>
      </c>
      <c r="M12" s="213" t="s">
        <v>35</v>
      </c>
      <c r="N12" s="60">
        <v>4.5</v>
      </c>
      <c r="O12" s="60">
        <v>0</v>
      </c>
      <c r="P12" s="60">
        <v>0.68</v>
      </c>
      <c r="Q12" s="60">
        <v>53.25</v>
      </c>
      <c r="R12" s="198"/>
      <c r="S12" s="198"/>
      <c r="T12" s="198"/>
      <c r="U12" s="198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198"/>
      <c r="AJ12" s="198"/>
      <c r="AK12" s="198"/>
      <c r="AL12" s="198"/>
    </row>
    <row r="13" spans="1:38" s="12" customFormat="1" x14ac:dyDescent="0.25">
      <c r="A13" s="201" t="s">
        <v>244</v>
      </c>
      <c r="B13" s="60">
        <v>0.16</v>
      </c>
      <c r="C13" s="60">
        <v>49.03</v>
      </c>
      <c r="D13" s="60">
        <v>27.19</v>
      </c>
      <c r="E13" s="60">
        <v>61.76</v>
      </c>
      <c r="F13" s="60">
        <v>73.040000000000006</v>
      </c>
      <c r="G13" s="60">
        <v>184.79</v>
      </c>
      <c r="H13" s="60">
        <v>68.91</v>
      </c>
      <c r="I13" s="60">
        <v>0.21</v>
      </c>
      <c r="J13" s="60">
        <v>0.28000000000000003</v>
      </c>
      <c r="K13" s="60">
        <v>72.72</v>
      </c>
      <c r="L13" s="213" t="s">
        <v>35</v>
      </c>
      <c r="M13" s="213" t="s">
        <v>35</v>
      </c>
      <c r="N13" s="60">
        <v>4.5</v>
      </c>
      <c r="O13" s="60">
        <v>0</v>
      </c>
      <c r="P13" s="60">
        <v>0.56999999999999995</v>
      </c>
      <c r="Q13" s="60">
        <v>49.06</v>
      </c>
      <c r="R13" s="198"/>
      <c r="S13" s="198"/>
      <c r="T13" s="198"/>
      <c r="U13" s="198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198"/>
      <c r="AJ13" s="198"/>
      <c r="AK13" s="198"/>
      <c r="AL13" s="198"/>
    </row>
    <row r="14" spans="1:38" s="12" customFormat="1" x14ac:dyDescent="0.25">
      <c r="A14" s="201" t="s">
        <v>245</v>
      </c>
      <c r="B14" s="60">
        <v>0.65</v>
      </c>
      <c r="C14" s="60">
        <v>56.95</v>
      </c>
      <c r="D14" s="60">
        <v>31.95</v>
      </c>
      <c r="E14" s="60">
        <v>62.44</v>
      </c>
      <c r="F14" s="60">
        <v>66.959999999999994</v>
      </c>
      <c r="G14" s="60">
        <v>161.08000000000001</v>
      </c>
      <c r="H14" s="60">
        <v>71.91</v>
      </c>
      <c r="I14" s="60">
        <v>0.17</v>
      </c>
      <c r="J14" s="60">
        <v>0.23</v>
      </c>
      <c r="K14" s="60">
        <v>44.9</v>
      </c>
      <c r="L14" s="213" t="s">
        <v>35</v>
      </c>
      <c r="M14" s="213" t="s">
        <v>35</v>
      </c>
      <c r="N14" s="60">
        <v>4.5999999999999996</v>
      </c>
      <c r="O14" s="60">
        <v>0</v>
      </c>
      <c r="P14" s="60">
        <v>0.59</v>
      </c>
      <c r="Q14" s="60">
        <v>45.26</v>
      </c>
      <c r="R14" s="198"/>
      <c r="S14" s="198"/>
      <c r="T14" s="198"/>
      <c r="U14" s="198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198"/>
      <c r="AJ14" s="198"/>
      <c r="AK14" s="198"/>
      <c r="AL14" s="198"/>
    </row>
    <row r="15" spans="1:38" s="12" customFormat="1" x14ac:dyDescent="0.25">
      <c r="A15" s="201" t="s">
        <v>246</v>
      </c>
      <c r="B15" s="60">
        <v>1.08</v>
      </c>
      <c r="C15" s="60">
        <v>63.47</v>
      </c>
      <c r="D15" s="60">
        <v>35.89</v>
      </c>
      <c r="E15" s="60">
        <v>52.36</v>
      </c>
      <c r="F15" s="60">
        <v>54.94</v>
      </c>
      <c r="G15" s="60">
        <v>161.08000000000001</v>
      </c>
      <c r="H15" s="60">
        <v>72.930000000000007</v>
      </c>
      <c r="I15" s="60">
        <v>0.14000000000000001</v>
      </c>
      <c r="J15" s="60">
        <v>0.25</v>
      </c>
      <c r="K15" s="60">
        <v>16.47</v>
      </c>
      <c r="L15" s="213" t="s">
        <v>35</v>
      </c>
      <c r="M15" s="213" t="s">
        <v>35</v>
      </c>
      <c r="N15" s="60">
        <v>4.8</v>
      </c>
      <c r="O15" s="60">
        <v>0</v>
      </c>
      <c r="P15" s="60">
        <v>0.57999999999999996</v>
      </c>
      <c r="Q15" s="60">
        <v>47.6</v>
      </c>
      <c r="R15" s="198"/>
      <c r="S15" s="198"/>
      <c r="T15" s="198"/>
      <c r="U15" s="198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198"/>
      <c r="AJ15" s="198"/>
      <c r="AK15" s="198"/>
      <c r="AL15" s="198"/>
    </row>
    <row r="16" spans="1:38" s="12" customFormat="1" x14ac:dyDescent="0.25">
      <c r="A16" s="201" t="s">
        <v>247</v>
      </c>
      <c r="B16" s="60">
        <v>0.3</v>
      </c>
      <c r="C16" s="60">
        <v>47.06</v>
      </c>
      <c r="D16" s="60">
        <v>26.21</v>
      </c>
      <c r="E16" s="60">
        <v>44.16</v>
      </c>
      <c r="F16" s="60">
        <v>63.76</v>
      </c>
      <c r="G16" s="60">
        <v>161.08000000000001</v>
      </c>
      <c r="H16" s="60">
        <v>72.930000000000007</v>
      </c>
      <c r="I16" s="60">
        <v>0.13</v>
      </c>
      <c r="J16" s="60">
        <v>0.41</v>
      </c>
      <c r="K16" s="60">
        <v>35.69</v>
      </c>
      <c r="L16" s="213" t="s">
        <v>35</v>
      </c>
      <c r="M16" s="213" t="s">
        <v>35</v>
      </c>
      <c r="N16" s="60">
        <v>4.3</v>
      </c>
      <c r="O16" s="60">
        <v>0</v>
      </c>
      <c r="P16" s="60">
        <v>0.56000000000000005</v>
      </c>
      <c r="Q16" s="60">
        <v>49</v>
      </c>
      <c r="R16" s="198"/>
      <c r="S16" s="198"/>
      <c r="T16" s="198"/>
      <c r="U16" s="198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198"/>
      <c r="AJ16" s="198"/>
      <c r="AK16" s="198"/>
      <c r="AL16" s="198"/>
    </row>
    <row r="17" spans="1:38" s="12" customFormat="1" x14ac:dyDescent="0.25">
      <c r="A17" s="201" t="s">
        <v>248</v>
      </c>
      <c r="B17" s="60">
        <v>0.85</v>
      </c>
      <c r="C17" s="60">
        <v>55.34</v>
      </c>
      <c r="D17" s="60">
        <v>31.22</v>
      </c>
      <c r="E17" s="60">
        <v>42.43</v>
      </c>
      <c r="F17" s="60">
        <v>56.26</v>
      </c>
      <c r="G17" s="60">
        <v>161.08000000000001</v>
      </c>
      <c r="H17" s="60">
        <v>72.930000000000007</v>
      </c>
      <c r="I17" s="60">
        <v>0.13</v>
      </c>
      <c r="J17" s="60">
        <v>0.6</v>
      </c>
      <c r="K17" s="60">
        <v>32.619999999999997</v>
      </c>
      <c r="L17" s="213" t="s">
        <v>35</v>
      </c>
      <c r="M17" s="213" t="s">
        <v>35</v>
      </c>
      <c r="N17" s="60">
        <v>4.3</v>
      </c>
      <c r="O17" s="60">
        <v>0</v>
      </c>
      <c r="P17" s="60">
        <v>0.63</v>
      </c>
      <c r="Q17" s="60">
        <v>48.01</v>
      </c>
      <c r="R17" s="198"/>
      <c r="S17" s="198"/>
      <c r="T17" s="198"/>
      <c r="U17" s="198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198"/>
      <c r="AJ17" s="198"/>
      <c r="AK17" s="198"/>
      <c r="AL17" s="198"/>
    </row>
    <row r="18" spans="1:38" s="12" customFormat="1" x14ac:dyDescent="0.25">
      <c r="A18" s="201" t="s">
        <v>249</v>
      </c>
      <c r="B18" s="60">
        <v>0.94</v>
      </c>
      <c r="C18" s="60">
        <v>63.81</v>
      </c>
      <c r="D18" s="60">
        <v>35.97</v>
      </c>
      <c r="E18" s="60">
        <v>49.76</v>
      </c>
      <c r="F18" s="60">
        <v>41.67</v>
      </c>
      <c r="G18" s="60">
        <v>149.18</v>
      </c>
      <c r="H18" s="60">
        <v>70.59</v>
      </c>
      <c r="I18" s="60">
        <v>0.13</v>
      </c>
      <c r="J18" s="60">
        <v>0.67</v>
      </c>
      <c r="K18" s="60">
        <v>34.729999999999997</v>
      </c>
      <c r="L18" s="213" t="s">
        <v>35</v>
      </c>
      <c r="M18" s="213" t="s">
        <v>35</v>
      </c>
      <c r="N18" s="60">
        <v>4.5999999999999996</v>
      </c>
      <c r="O18" s="60">
        <v>0</v>
      </c>
      <c r="P18" s="60">
        <v>0.79</v>
      </c>
      <c r="Q18" s="60">
        <v>49.21</v>
      </c>
      <c r="R18" s="198"/>
      <c r="S18" s="198"/>
      <c r="T18" s="198"/>
      <c r="U18" s="198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198"/>
      <c r="AJ18" s="198"/>
      <c r="AK18" s="198"/>
      <c r="AL18" s="198"/>
    </row>
    <row r="19" spans="1:38" s="12" customFormat="1" x14ac:dyDescent="0.25">
      <c r="A19" s="201" t="s">
        <v>250</v>
      </c>
      <c r="B19" s="60">
        <v>0.61</v>
      </c>
      <c r="C19" s="60">
        <v>68.06</v>
      </c>
      <c r="D19" s="60">
        <v>38.049999999999997</v>
      </c>
      <c r="E19" s="60">
        <v>73.849999999999994</v>
      </c>
      <c r="F19" s="60">
        <v>33.159999999999997</v>
      </c>
      <c r="G19" s="60">
        <v>149.18</v>
      </c>
      <c r="H19" s="60">
        <v>69.78</v>
      </c>
      <c r="I19" s="60">
        <v>0.12</v>
      </c>
      <c r="J19" s="60">
        <v>0.25</v>
      </c>
      <c r="K19" s="60">
        <v>33.64</v>
      </c>
      <c r="L19" s="213" t="s">
        <v>35</v>
      </c>
      <c r="M19" s="213" t="s">
        <v>35</v>
      </c>
      <c r="N19" s="60">
        <v>4.8</v>
      </c>
      <c r="O19" s="60">
        <v>0</v>
      </c>
      <c r="P19" s="60">
        <v>0.87</v>
      </c>
      <c r="Q19" s="60">
        <v>51.57</v>
      </c>
      <c r="R19" s="198"/>
      <c r="S19" s="198"/>
      <c r="T19" s="198"/>
      <c r="U19" s="198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198"/>
      <c r="AJ19" s="198"/>
      <c r="AK19" s="198"/>
      <c r="AL19" s="198"/>
    </row>
    <row r="20" spans="1:38" s="12" customFormat="1" x14ac:dyDescent="0.25">
      <c r="A20" s="201" t="s">
        <v>251</v>
      </c>
      <c r="B20" s="60">
        <v>0.91</v>
      </c>
      <c r="C20" s="60">
        <v>103.01</v>
      </c>
      <c r="D20" s="60">
        <v>57.58</v>
      </c>
      <c r="E20" s="60">
        <v>136.99</v>
      </c>
      <c r="F20" s="60">
        <v>18.57</v>
      </c>
      <c r="G20" s="60">
        <v>149.18</v>
      </c>
      <c r="H20" s="60">
        <v>69.78</v>
      </c>
      <c r="I20" s="60">
        <v>0.12</v>
      </c>
      <c r="J20" s="60">
        <v>0.46</v>
      </c>
      <c r="K20" s="60">
        <v>22.13</v>
      </c>
      <c r="L20" s="213" t="s">
        <v>35</v>
      </c>
      <c r="M20" s="213" t="s">
        <v>35</v>
      </c>
      <c r="N20" s="60">
        <v>4.5</v>
      </c>
      <c r="O20" s="60">
        <v>0</v>
      </c>
      <c r="P20" s="60">
        <v>1.37</v>
      </c>
      <c r="Q20" s="60">
        <v>59.81</v>
      </c>
      <c r="R20" s="198"/>
      <c r="S20" s="198"/>
      <c r="T20" s="198"/>
      <c r="U20" s="198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198"/>
      <c r="AJ20" s="198"/>
      <c r="AK20" s="198"/>
      <c r="AL20" s="198"/>
    </row>
    <row r="21" spans="1:38" s="12" customFormat="1" x14ac:dyDescent="0.25">
      <c r="A21" s="201" t="s">
        <v>252</v>
      </c>
      <c r="B21" s="60">
        <v>0.6</v>
      </c>
      <c r="C21" s="60">
        <v>106.27</v>
      </c>
      <c r="D21" s="60">
        <v>59.13</v>
      </c>
      <c r="E21" s="60">
        <v>125.87</v>
      </c>
      <c r="F21" s="60">
        <v>22.42</v>
      </c>
      <c r="G21" s="60">
        <v>149.18</v>
      </c>
      <c r="H21" s="60">
        <v>69.78</v>
      </c>
      <c r="I21" s="60">
        <v>0.12</v>
      </c>
      <c r="J21" s="60">
        <v>0.62</v>
      </c>
      <c r="K21" s="60">
        <v>30.58</v>
      </c>
      <c r="L21" s="213" t="s">
        <v>35</v>
      </c>
      <c r="M21" s="213" t="s">
        <v>35</v>
      </c>
      <c r="N21" s="60">
        <v>4.4000000000000004</v>
      </c>
      <c r="O21" s="60">
        <v>0</v>
      </c>
      <c r="P21" s="60">
        <v>1.51</v>
      </c>
      <c r="Q21" s="60">
        <v>67.569999999999993</v>
      </c>
      <c r="R21" s="198"/>
      <c r="S21" s="198"/>
      <c r="T21" s="198"/>
      <c r="U21" s="198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198"/>
      <c r="AJ21" s="198"/>
      <c r="AK21" s="198"/>
      <c r="AL21" s="198"/>
    </row>
    <row r="22" spans="1:38" s="12" customFormat="1" x14ac:dyDescent="0.25">
      <c r="A22" s="201" t="s">
        <v>253</v>
      </c>
      <c r="B22" s="60">
        <v>1.32</v>
      </c>
      <c r="C22" s="60">
        <v>94.67</v>
      </c>
      <c r="D22" s="60">
        <v>53.31</v>
      </c>
      <c r="E22" s="60">
        <v>99.14</v>
      </c>
      <c r="F22" s="60">
        <v>27.67</v>
      </c>
      <c r="G22" s="60">
        <v>197.9</v>
      </c>
      <c r="H22" s="60">
        <v>82.09</v>
      </c>
      <c r="I22" s="60">
        <v>0.11</v>
      </c>
      <c r="J22" s="60">
        <v>0.65</v>
      </c>
      <c r="K22" s="60">
        <v>28.71</v>
      </c>
      <c r="L22" s="213" t="s">
        <v>35</v>
      </c>
      <c r="M22" s="213" t="s">
        <v>35</v>
      </c>
      <c r="N22" s="60">
        <v>4.5</v>
      </c>
      <c r="O22" s="60">
        <v>0</v>
      </c>
      <c r="P22" s="60">
        <v>1.56</v>
      </c>
      <c r="Q22" s="60">
        <v>62.89</v>
      </c>
      <c r="R22" s="198"/>
      <c r="S22" s="198"/>
      <c r="T22" s="198"/>
      <c r="U22" s="198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198"/>
      <c r="AJ22" s="198"/>
      <c r="AK22" s="198"/>
      <c r="AL22" s="198"/>
    </row>
    <row r="23" spans="1:38" s="12" customFormat="1" x14ac:dyDescent="0.25">
      <c r="A23" s="201" t="s">
        <v>254</v>
      </c>
      <c r="B23" s="60">
        <v>0.88</v>
      </c>
      <c r="C23" s="60">
        <v>84.44</v>
      </c>
      <c r="D23" s="60">
        <v>47.31</v>
      </c>
      <c r="E23" s="60">
        <v>91.9</v>
      </c>
      <c r="F23" s="60">
        <v>30.45</v>
      </c>
      <c r="G23" s="60">
        <v>197.9</v>
      </c>
      <c r="H23" s="60">
        <v>86.32</v>
      </c>
      <c r="I23" s="60">
        <v>0.1</v>
      </c>
      <c r="J23" s="60">
        <v>0.65</v>
      </c>
      <c r="K23" s="60">
        <v>27.8</v>
      </c>
      <c r="L23" s="213" t="s">
        <v>35</v>
      </c>
      <c r="M23" s="213" t="s">
        <v>35</v>
      </c>
      <c r="N23" s="60">
        <v>4.5999999999999996</v>
      </c>
      <c r="O23" s="60">
        <v>0</v>
      </c>
      <c r="P23" s="60">
        <v>1.57</v>
      </c>
      <c r="Q23" s="60">
        <v>60.68</v>
      </c>
      <c r="R23" s="198"/>
      <c r="S23" s="198"/>
      <c r="T23" s="198"/>
      <c r="U23" s="198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198"/>
      <c r="AJ23" s="198"/>
      <c r="AK23" s="198"/>
      <c r="AL23" s="198"/>
    </row>
    <row r="24" spans="1:38" s="12" customFormat="1" x14ac:dyDescent="0.25">
      <c r="A24" s="201" t="s">
        <v>255</v>
      </c>
      <c r="B24" s="60">
        <v>1.81</v>
      </c>
      <c r="C24" s="60">
        <v>84.61</v>
      </c>
      <c r="D24" s="60">
        <v>48.15</v>
      </c>
      <c r="E24" s="60">
        <v>77.78</v>
      </c>
      <c r="F24" s="60">
        <v>27.65</v>
      </c>
      <c r="G24" s="60">
        <v>197.9</v>
      </c>
      <c r="H24" s="60">
        <v>86.32</v>
      </c>
      <c r="I24" s="60">
        <v>0.09</v>
      </c>
      <c r="J24" s="60">
        <v>0.42</v>
      </c>
      <c r="K24" s="60">
        <v>25.24</v>
      </c>
      <c r="L24" s="213" t="s">
        <v>35</v>
      </c>
      <c r="M24" s="213" t="s">
        <v>35</v>
      </c>
      <c r="N24" s="60">
        <v>4.7</v>
      </c>
      <c r="O24" s="60">
        <v>0</v>
      </c>
      <c r="P24" s="60">
        <v>1.48</v>
      </c>
      <c r="Q24" s="60">
        <v>57</v>
      </c>
      <c r="R24" s="198"/>
      <c r="S24" s="198"/>
      <c r="T24" s="198"/>
      <c r="U24" s="198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198"/>
      <c r="AJ24" s="198"/>
      <c r="AK24" s="198"/>
      <c r="AL24" s="198"/>
    </row>
    <row r="25" spans="1:38" s="12" customFormat="1" x14ac:dyDescent="0.25">
      <c r="A25" s="201" t="s">
        <v>256</v>
      </c>
      <c r="B25" s="60">
        <v>4.4000000000000004</v>
      </c>
      <c r="C25" s="60">
        <v>87.65</v>
      </c>
      <c r="D25" s="60">
        <v>51.9</v>
      </c>
      <c r="E25" s="60">
        <v>69</v>
      </c>
      <c r="F25" s="60">
        <v>25.72</v>
      </c>
      <c r="G25" s="60">
        <v>197.9</v>
      </c>
      <c r="H25" s="60">
        <v>86.32</v>
      </c>
      <c r="I25" s="60">
        <v>0.08</v>
      </c>
      <c r="J25" s="60">
        <v>0.3</v>
      </c>
      <c r="K25" s="60">
        <v>45.47</v>
      </c>
      <c r="L25" s="213" t="s">
        <v>35</v>
      </c>
      <c r="M25" s="213" t="s">
        <v>35</v>
      </c>
      <c r="N25" s="60">
        <v>4.5999999999999996</v>
      </c>
      <c r="O25" s="60">
        <v>0</v>
      </c>
      <c r="P25" s="60">
        <v>1.39</v>
      </c>
      <c r="Q25" s="60">
        <v>56.5</v>
      </c>
      <c r="R25" s="198"/>
      <c r="S25" s="198"/>
      <c r="T25" s="198"/>
      <c r="U25" s="198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198"/>
      <c r="AJ25" s="198"/>
      <c r="AK25" s="198"/>
      <c r="AL25" s="198"/>
    </row>
    <row r="26" spans="1:38" s="12" customFormat="1" x14ac:dyDescent="0.25">
      <c r="A26" s="201" t="s">
        <v>257</v>
      </c>
      <c r="B26" s="60">
        <v>7.61</v>
      </c>
      <c r="C26" s="60">
        <v>90.78</v>
      </c>
      <c r="D26" s="60">
        <v>56.2</v>
      </c>
      <c r="E26" s="60">
        <v>55.34</v>
      </c>
      <c r="F26" s="60">
        <v>21.13</v>
      </c>
      <c r="G26" s="60">
        <v>206.96</v>
      </c>
      <c r="H26" s="60">
        <v>85.95</v>
      </c>
      <c r="I26" s="60">
        <v>7.0000000000000007E-2</v>
      </c>
      <c r="J26" s="60">
        <v>0.3</v>
      </c>
      <c r="K26" s="60">
        <v>68.41</v>
      </c>
      <c r="L26" s="213" t="s">
        <v>35</v>
      </c>
      <c r="M26" s="213" t="s">
        <v>35</v>
      </c>
      <c r="N26" s="60">
        <v>4.5999999999999996</v>
      </c>
      <c r="O26" s="60">
        <v>0</v>
      </c>
      <c r="P26" s="60">
        <v>1.1499999999999999</v>
      </c>
      <c r="Q26" s="60">
        <v>53.44</v>
      </c>
      <c r="R26" s="198"/>
      <c r="S26" s="198"/>
      <c r="T26" s="198"/>
      <c r="U26" s="198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198"/>
      <c r="AJ26" s="198"/>
      <c r="AK26" s="198"/>
      <c r="AL26" s="198"/>
    </row>
    <row r="27" spans="1:38" s="12" customFormat="1" x14ac:dyDescent="0.25">
      <c r="A27" s="201" t="s">
        <v>258</v>
      </c>
      <c r="B27" s="60">
        <v>9.52</v>
      </c>
      <c r="C27" s="60">
        <v>92.54</v>
      </c>
      <c r="D27" s="60">
        <v>58.71</v>
      </c>
      <c r="E27" s="60">
        <v>56.45</v>
      </c>
      <c r="F27" s="60">
        <v>19.36</v>
      </c>
      <c r="G27" s="60">
        <v>206.96</v>
      </c>
      <c r="H27" s="60">
        <v>85.83</v>
      </c>
      <c r="I27" s="60">
        <v>0.1</v>
      </c>
      <c r="J27" s="60">
        <v>0.3</v>
      </c>
      <c r="K27" s="60">
        <v>41.9</v>
      </c>
      <c r="L27" s="213" t="s">
        <v>35</v>
      </c>
      <c r="M27" s="213" t="s">
        <v>35</v>
      </c>
      <c r="N27" s="60">
        <v>4.5</v>
      </c>
      <c r="O27" s="60">
        <v>0</v>
      </c>
      <c r="P27" s="60">
        <v>1.1399999999999999</v>
      </c>
      <c r="Q27" s="60">
        <v>57.6</v>
      </c>
      <c r="R27" s="198"/>
      <c r="S27" s="198"/>
      <c r="T27" s="198"/>
      <c r="U27" s="198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198"/>
      <c r="AJ27" s="198"/>
      <c r="AK27" s="198"/>
      <c r="AL27" s="198"/>
    </row>
    <row r="28" spans="1:38" s="12" customFormat="1" x14ac:dyDescent="0.25">
      <c r="A28" s="201" t="s">
        <v>259</v>
      </c>
      <c r="B28" s="60">
        <v>3.73</v>
      </c>
      <c r="C28" s="60">
        <v>67.2</v>
      </c>
      <c r="D28" s="60">
        <v>40.08</v>
      </c>
      <c r="E28" s="60">
        <v>51.75</v>
      </c>
      <c r="F28" s="60">
        <v>29.14</v>
      </c>
      <c r="G28" s="60">
        <v>206.96</v>
      </c>
      <c r="H28" s="60">
        <v>85.83</v>
      </c>
      <c r="I28" s="60">
        <v>0.11</v>
      </c>
      <c r="J28" s="60">
        <v>0.61</v>
      </c>
      <c r="K28" s="60">
        <v>25.21</v>
      </c>
      <c r="L28" s="213" t="s">
        <v>35</v>
      </c>
      <c r="M28" s="213" t="s">
        <v>35</v>
      </c>
      <c r="N28" s="60">
        <v>4.2</v>
      </c>
      <c r="O28" s="60">
        <v>0</v>
      </c>
      <c r="P28" s="60">
        <v>0.93</v>
      </c>
      <c r="Q28" s="60">
        <v>61.32</v>
      </c>
      <c r="R28" s="198"/>
      <c r="S28" s="198"/>
      <c r="T28" s="198"/>
      <c r="U28" s="198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198"/>
      <c r="AJ28" s="198"/>
      <c r="AK28" s="198"/>
      <c r="AL28" s="198"/>
    </row>
    <row r="29" spans="1:38" s="12" customFormat="1" x14ac:dyDescent="0.25">
      <c r="A29" s="201" t="s">
        <v>260</v>
      </c>
      <c r="B29" s="60">
        <v>4.9000000000000004</v>
      </c>
      <c r="C29" s="60">
        <v>78.84</v>
      </c>
      <c r="D29" s="60">
        <v>47.44</v>
      </c>
      <c r="E29" s="60">
        <v>52.52</v>
      </c>
      <c r="F29" s="60">
        <v>22.67</v>
      </c>
      <c r="G29" s="60">
        <v>206.96</v>
      </c>
      <c r="H29" s="60">
        <v>85.83</v>
      </c>
      <c r="I29" s="60">
        <v>0.1</v>
      </c>
      <c r="J29" s="60">
        <v>0.3</v>
      </c>
      <c r="K29" s="60">
        <v>56.83</v>
      </c>
      <c r="L29" s="213" t="s">
        <v>35</v>
      </c>
      <c r="M29" s="213" t="s">
        <v>35</v>
      </c>
      <c r="N29" s="60">
        <v>4.5999999999999996</v>
      </c>
      <c r="O29" s="60">
        <v>0</v>
      </c>
      <c r="P29" s="60">
        <v>0.89</v>
      </c>
      <c r="Q29" s="60">
        <v>55.51</v>
      </c>
      <c r="R29" s="198"/>
      <c r="S29" s="198"/>
      <c r="T29" s="198"/>
      <c r="U29" s="198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198"/>
      <c r="AJ29" s="198"/>
      <c r="AK29" s="198"/>
      <c r="AL29" s="198"/>
    </row>
    <row r="30" spans="1:38" s="12" customFormat="1" x14ac:dyDescent="0.25">
      <c r="A30" s="201" t="s">
        <v>261</v>
      </c>
      <c r="B30" s="60">
        <v>18.12</v>
      </c>
      <c r="C30" s="60">
        <v>118.26</v>
      </c>
      <c r="D30" s="60">
        <v>79.8</v>
      </c>
      <c r="E30" s="60">
        <v>39.92</v>
      </c>
      <c r="F30" s="60">
        <v>10.35</v>
      </c>
      <c r="G30" s="60">
        <v>206.45</v>
      </c>
      <c r="H30" s="60">
        <v>84.51</v>
      </c>
      <c r="I30" s="60">
        <v>0.1</v>
      </c>
      <c r="J30" s="60">
        <v>0.19</v>
      </c>
      <c r="K30" s="60">
        <v>86.46</v>
      </c>
      <c r="L30" s="213" t="s">
        <v>35</v>
      </c>
      <c r="M30" s="213" t="s">
        <v>35</v>
      </c>
      <c r="N30" s="60">
        <v>4.7</v>
      </c>
      <c r="O30" s="60">
        <v>0</v>
      </c>
      <c r="P30" s="60">
        <v>0.95</v>
      </c>
      <c r="Q30" s="60">
        <v>56.45</v>
      </c>
      <c r="R30" s="198"/>
      <c r="S30" s="198"/>
      <c r="T30" s="198"/>
      <c r="U30" s="198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198"/>
      <c r="AJ30" s="198"/>
      <c r="AK30" s="198"/>
      <c r="AL30" s="198"/>
    </row>
    <row r="31" spans="1:38" s="12" customFormat="1" x14ac:dyDescent="0.25">
      <c r="A31" s="201" t="s">
        <v>262</v>
      </c>
      <c r="B31" s="60">
        <v>5.01</v>
      </c>
      <c r="C31" s="60">
        <v>71.39</v>
      </c>
      <c r="D31" s="60">
        <v>43.41</v>
      </c>
      <c r="E31" s="60">
        <v>32.25</v>
      </c>
      <c r="F31" s="60">
        <v>27.75</v>
      </c>
      <c r="G31" s="60">
        <v>206.45</v>
      </c>
      <c r="H31" s="60">
        <v>84.05</v>
      </c>
      <c r="I31" s="60">
        <v>0.1</v>
      </c>
      <c r="J31" s="60">
        <v>0.33</v>
      </c>
      <c r="K31" s="60">
        <v>74.760000000000005</v>
      </c>
      <c r="L31" s="213" t="s">
        <v>35</v>
      </c>
      <c r="M31" s="213" t="s">
        <v>35</v>
      </c>
      <c r="N31" s="60">
        <v>4.4000000000000004</v>
      </c>
      <c r="O31" s="60">
        <v>0</v>
      </c>
      <c r="P31" s="60">
        <v>0.68</v>
      </c>
      <c r="Q31" s="60">
        <v>64.7</v>
      </c>
      <c r="R31" s="198"/>
      <c r="S31" s="198"/>
      <c r="T31" s="198"/>
      <c r="U31" s="198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198"/>
      <c r="AJ31" s="198"/>
      <c r="AK31" s="198"/>
      <c r="AL31" s="198"/>
    </row>
    <row r="32" spans="1:38" s="12" customFormat="1" x14ac:dyDescent="0.25">
      <c r="A32" s="201" t="s">
        <v>263</v>
      </c>
      <c r="B32" s="60">
        <v>11.7</v>
      </c>
      <c r="C32" s="60">
        <v>76.11</v>
      </c>
      <c r="D32" s="60">
        <v>51.39</v>
      </c>
      <c r="E32" s="60">
        <v>22.91</v>
      </c>
      <c r="F32" s="60">
        <v>25.26</v>
      </c>
      <c r="G32" s="60">
        <v>206.45</v>
      </c>
      <c r="H32" s="60">
        <v>84.05</v>
      </c>
      <c r="I32" s="60">
        <v>0.12</v>
      </c>
      <c r="J32" s="60">
        <v>0.25</v>
      </c>
      <c r="K32" s="60">
        <v>63.63</v>
      </c>
      <c r="L32" s="213" t="s">
        <v>35</v>
      </c>
      <c r="M32" s="213" t="s">
        <v>35</v>
      </c>
      <c r="N32" s="60">
        <v>5.6</v>
      </c>
      <c r="O32" s="60">
        <v>0</v>
      </c>
      <c r="P32" s="60">
        <v>0.71</v>
      </c>
      <c r="Q32" s="60">
        <v>56.05</v>
      </c>
      <c r="R32" s="198"/>
      <c r="S32" s="198"/>
      <c r="T32" s="198"/>
      <c r="U32" s="198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198"/>
      <c r="AJ32" s="198"/>
      <c r="AK32" s="198"/>
      <c r="AL32" s="198"/>
    </row>
    <row r="33" spans="1:38" s="12" customFormat="1" x14ac:dyDescent="0.25">
      <c r="A33" s="201" t="s">
        <v>264</v>
      </c>
      <c r="B33" s="60">
        <v>16.899999999999999</v>
      </c>
      <c r="C33" s="60">
        <v>101.3</v>
      </c>
      <c r="D33" s="60">
        <v>69.45</v>
      </c>
      <c r="E33" s="60">
        <v>20.77</v>
      </c>
      <c r="F33" s="60">
        <v>16.36</v>
      </c>
      <c r="G33" s="60">
        <v>206.45</v>
      </c>
      <c r="H33" s="60">
        <v>84.05</v>
      </c>
      <c r="I33" s="60">
        <v>0.11</v>
      </c>
      <c r="J33" s="60">
        <v>0.14000000000000001</v>
      </c>
      <c r="K33" s="60">
        <v>63.43</v>
      </c>
      <c r="L33" s="213" t="s">
        <v>35</v>
      </c>
      <c r="M33" s="213" t="s">
        <v>35</v>
      </c>
      <c r="N33" s="60">
        <v>10.7</v>
      </c>
      <c r="O33" s="60">
        <v>0</v>
      </c>
      <c r="P33" s="60">
        <v>0.83</v>
      </c>
      <c r="Q33" s="60">
        <v>56.42</v>
      </c>
      <c r="R33" s="198"/>
      <c r="S33" s="198"/>
      <c r="T33" s="198"/>
      <c r="U33" s="198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198"/>
      <c r="AJ33" s="198"/>
      <c r="AK33" s="198"/>
      <c r="AL33" s="198"/>
    </row>
    <row r="34" spans="1:38" s="12" customFormat="1" x14ac:dyDescent="0.25">
      <c r="A34" s="201" t="s">
        <v>265</v>
      </c>
      <c r="B34" s="60">
        <v>44.03</v>
      </c>
      <c r="C34" s="60">
        <v>139.66999999999999</v>
      </c>
      <c r="D34" s="60">
        <v>112.39</v>
      </c>
      <c r="E34" s="60">
        <v>20.64</v>
      </c>
      <c r="F34" s="60">
        <v>12</v>
      </c>
      <c r="G34" s="60">
        <v>174.53</v>
      </c>
      <c r="H34" s="60">
        <v>77.319999999999993</v>
      </c>
      <c r="I34" s="60">
        <v>0.18</v>
      </c>
      <c r="J34" s="60">
        <v>0.12</v>
      </c>
      <c r="K34" s="60">
        <v>294.68</v>
      </c>
      <c r="L34" s="213" t="s">
        <v>35</v>
      </c>
      <c r="M34" s="213" t="s">
        <v>35</v>
      </c>
      <c r="N34" s="60">
        <v>23.5</v>
      </c>
      <c r="O34" s="60">
        <v>0</v>
      </c>
      <c r="P34" s="60">
        <v>0.98</v>
      </c>
      <c r="Q34" s="60">
        <v>62.54</v>
      </c>
      <c r="R34" s="198"/>
      <c r="S34" s="198"/>
      <c r="T34" s="198"/>
      <c r="U34" s="198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198"/>
      <c r="AJ34" s="198"/>
      <c r="AK34" s="198"/>
      <c r="AL34" s="198"/>
    </row>
    <row r="35" spans="1:38" s="12" customFormat="1" x14ac:dyDescent="0.25">
      <c r="A35" s="201" t="s">
        <v>266</v>
      </c>
      <c r="B35" s="60">
        <v>80.37</v>
      </c>
      <c r="C35" s="60">
        <v>183.99</v>
      </c>
      <c r="D35" s="60">
        <v>165.99</v>
      </c>
      <c r="E35" s="60">
        <v>17.34</v>
      </c>
      <c r="F35" s="60">
        <v>7.72</v>
      </c>
      <c r="G35" s="60">
        <v>174.53</v>
      </c>
      <c r="H35" s="60">
        <v>75.010000000000005</v>
      </c>
      <c r="I35" s="60">
        <v>0.25</v>
      </c>
      <c r="J35" s="60">
        <v>0.14000000000000001</v>
      </c>
      <c r="K35" s="60">
        <v>7.33</v>
      </c>
      <c r="L35" s="213" t="s">
        <v>35</v>
      </c>
      <c r="M35" s="213" t="s">
        <v>35</v>
      </c>
      <c r="N35" s="60">
        <v>40.200000000000003</v>
      </c>
      <c r="O35" s="60">
        <v>0</v>
      </c>
      <c r="P35" s="60">
        <v>1.29</v>
      </c>
      <c r="Q35" s="60">
        <v>97.12</v>
      </c>
      <c r="R35" s="198"/>
      <c r="S35" s="198"/>
      <c r="T35" s="198"/>
      <c r="U35" s="198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198"/>
      <c r="AJ35" s="198"/>
      <c r="AK35" s="198"/>
      <c r="AL35" s="198"/>
    </row>
    <row r="36" spans="1:38" s="12" customFormat="1" x14ac:dyDescent="0.25">
      <c r="A36" s="201" t="s">
        <v>267</v>
      </c>
      <c r="B36" s="60">
        <v>89.73</v>
      </c>
      <c r="C36" s="60">
        <v>208.23</v>
      </c>
      <c r="D36" s="60">
        <v>186.87</v>
      </c>
      <c r="E36" s="60">
        <v>18.22</v>
      </c>
      <c r="F36" s="60">
        <v>5.29</v>
      </c>
      <c r="G36" s="60">
        <v>174.53</v>
      </c>
      <c r="H36" s="60">
        <v>75.010000000000005</v>
      </c>
      <c r="I36" s="60">
        <v>0.23</v>
      </c>
      <c r="J36" s="60">
        <v>0.09</v>
      </c>
      <c r="K36" s="60">
        <v>323.86</v>
      </c>
      <c r="L36" s="213" t="s">
        <v>35</v>
      </c>
      <c r="M36" s="213" t="s">
        <v>35</v>
      </c>
      <c r="N36" s="60">
        <v>64.7</v>
      </c>
      <c r="O36" s="60">
        <v>0</v>
      </c>
      <c r="P36" s="60">
        <v>1.46</v>
      </c>
      <c r="Q36" s="60">
        <v>125.97</v>
      </c>
      <c r="R36" s="198"/>
      <c r="S36" s="198"/>
      <c r="T36" s="198"/>
      <c r="U36" s="198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198"/>
      <c r="AJ36" s="198"/>
      <c r="AK36" s="198"/>
      <c r="AL36" s="198"/>
    </row>
    <row r="37" spans="1:38" s="12" customFormat="1" x14ac:dyDescent="0.25">
      <c r="A37" s="201" t="s">
        <v>268</v>
      </c>
      <c r="B37" s="60">
        <v>58.41</v>
      </c>
      <c r="C37" s="60">
        <v>171.6</v>
      </c>
      <c r="D37" s="60">
        <v>141.54</v>
      </c>
      <c r="E37" s="60">
        <v>21.73</v>
      </c>
      <c r="F37" s="60">
        <v>11.24</v>
      </c>
      <c r="G37" s="60">
        <v>174.53</v>
      </c>
      <c r="H37" s="60">
        <v>75.010000000000005</v>
      </c>
      <c r="I37" s="60">
        <v>0.28999999999999998</v>
      </c>
      <c r="J37" s="60">
        <v>0.37</v>
      </c>
      <c r="K37" s="60">
        <v>19.29</v>
      </c>
      <c r="L37" s="213" t="s">
        <v>35</v>
      </c>
      <c r="M37" s="213" t="s">
        <v>35</v>
      </c>
      <c r="N37" s="60">
        <v>132.80000000000001</v>
      </c>
      <c r="O37" s="60">
        <v>0</v>
      </c>
      <c r="P37" s="60">
        <v>1.24</v>
      </c>
      <c r="Q37" s="60">
        <v>139.44</v>
      </c>
      <c r="R37" s="198"/>
      <c r="S37" s="198"/>
      <c r="T37" s="198"/>
      <c r="U37" s="198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198"/>
      <c r="AJ37" s="198"/>
      <c r="AK37" s="198"/>
      <c r="AL37" s="198"/>
    </row>
    <row r="38" spans="1:38" s="12" customFormat="1" x14ac:dyDescent="0.25">
      <c r="A38" s="201" t="s">
        <v>269</v>
      </c>
      <c r="B38" s="60">
        <v>33.65</v>
      </c>
      <c r="C38" s="60">
        <v>138.19</v>
      </c>
      <c r="D38" s="60">
        <v>103.24</v>
      </c>
      <c r="E38" s="60">
        <v>29.67</v>
      </c>
      <c r="F38" s="60">
        <v>21.16</v>
      </c>
      <c r="G38" s="60">
        <v>186.44</v>
      </c>
      <c r="H38" s="60">
        <v>79.02</v>
      </c>
      <c r="I38" s="60">
        <v>0.28999999999999998</v>
      </c>
      <c r="J38" s="60">
        <v>0.36</v>
      </c>
      <c r="K38" s="60">
        <v>14.33</v>
      </c>
      <c r="L38" s="213" t="s">
        <v>35</v>
      </c>
      <c r="M38" s="213" t="s">
        <v>35</v>
      </c>
      <c r="N38" s="60">
        <v>187.7</v>
      </c>
      <c r="O38" s="60">
        <v>0</v>
      </c>
      <c r="P38" s="60">
        <v>1.26</v>
      </c>
      <c r="Q38" s="60">
        <v>139.29</v>
      </c>
      <c r="R38" s="198"/>
      <c r="S38" s="198"/>
      <c r="T38" s="198"/>
      <c r="U38" s="198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198"/>
      <c r="AJ38" s="198"/>
      <c r="AK38" s="198"/>
      <c r="AL38" s="198"/>
    </row>
    <row r="39" spans="1:38" s="12" customFormat="1" x14ac:dyDescent="0.25">
      <c r="A39" s="201" t="s">
        <v>270</v>
      </c>
      <c r="B39" s="60">
        <v>23.01</v>
      </c>
      <c r="C39" s="60">
        <v>123.53</v>
      </c>
      <c r="D39" s="60">
        <v>86.62</v>
      </c>
      <c r="E39" s="60">
        <v>46.88</v>
      </c>
      <c r="F39" s="60">
        <v>30.91</v>
      </c>
      <c r="G39" s="60">
        <v>186.44</v>
      </c>
      <c r="H39" s="60">
        <v>80.39</v>
      </c>
      <c r="I39" s="60">
        <v>0.34</v>
      </c>
      <c r="J39" s="60">
        <v>0.46</v>
      </c>
      <c r="K39" s="60">
        <v>18.2</v>
      </c>
      <c r="L39" s="213" t="s">
        <v>35</v>
      </c>
      <c r="M39" s="213" t="s">
        <v>35</v>
      </c>
      <c r="N39" s="60">
        <v>234.8</v>
      </c>
      <c r="O39" s="60">
        <v>0</v>
      </c>
      <c r="P39" s="60">
        <v>1.25</v>
      </c>
      <c r="Q39" s="60">
        <v>118.96</v>
      </c>
      <c r="R39" s="198"/>
      <c r="S39" s="198"/>
      <c r="T39" s="198"/>
      <c r="U39" s="198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198"/>
      <c r="AJ39" s="198"/>
      <c r="AK39" s="198"/>
      <c r="AL39" s="198"/>
    </row>
    <row r="40" spans="1:38" s="12" customFormat="1" x14ac:dyDescent="0.25">
      <c r="A40" s="201" t="s">
        <v>271</v>
      </c>
      <c r="B40" s="60">
        <v>25.28</v>
      </c>
      <c r="C40" s="60">
        <v>112.56</v>
      </c>
      <c r="D40" s="60">
        <v>82.39</v>
      </c>
      <c r="E40" s="60">
        <v>36.14</v>
      </c>
      <c r="F40" s="60">
        <v>39.4</v>
      </c>
      <c r="G40" s="60">
        <v>186.44</v>
      </c>
      <c r="H40" s="60">
        <v>80.39</v>
      </c>
      <c r="I40" s="60">
        <v>0.37</v>
      </c>
      <c r="J40" s="60">
        <v>0.48</v>
      </c>
      <c r="K40" s="60">
        <v>54.87</v>
      </c>
      <c r="L40" s="213" t="s">
        <v>35</v>
      </c>
      <c r="M40" s="213" t="s">
        <v>35</v>
      </c>
      <c r="N40" s="60">
        <v>281.7</v>
      </c>
      <c r="O40" s="60">
        <v>0</v>
      </c>
      <c r="P40" s="60">
        <v>1.1100000000000001</v>
      </c>
      <c r="Q40" s="60">
        <v>107.08</v>
      </c>
      <c r="R40" s="198"/>
      <c r="S40" s="198"/>
      <c r="T40" s="198"/>
      <c r="U40" s="198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198"/>
      <c r="AJ40" s="198"/>
      <c r="AK40" s="198"/>
      <c r="AL40" s="198"/>
    </row>
    <row r="41" spans="1:38" s="12" customFormat="1" x14ac:dyDescent="0.25">
      <c r="A41" s="201" t="s">
        <v>272</v>
      </c>
      <c r="B41" s="60">
        <v>7.84</v>
      </c>
      <c r="C41" s="60">
        <v>60.65</v>
      </c>
      <c r="D41" s="60">
        <v>39.76</v>
      </c>
      <c r="E41" s="60">
        <v>49.15</v>
      </c>
      <c r="F41" s="60">
        <v>54.34</v>
      </c>
      <c r="G41" s="60">
        <v>186.44</v>
      </c>
      <c r="H41" s="60">
        <v>80.39</v>
      </c>
      <c r="I41" s="60">
        <v>0.36</v>
      </c>
      <c r="J41" s="60">
        <v>0.73</v>
      </c>
      <c r="K41" s="60">
        <v>128.26</v>
      </c>
      <c r="L41" s="213" t="s">
        <v>35</v>
      </c>
      <c r="M41" s="213" t="s">
        <v>35</v>
      </c>
      <c r="N41" s="60">
        <v>333.1</v>
      </c>
      <c r="O41" s="60">
        <v>0</v>
      </c>
      <c r="P41" s="60">
        <v>0.77</v>
      </c>
      <c r="Q41" s="60">
        <v>84.18</v>
      </c>
      <c r="R41" s="198"/>
      <c r="S41" s="198"/>
      <c r="T41" s="198"/>
      <c r="U41" s="198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198"/>
      <c r="AJ41" s="198"/>
      <c r="AK41" s="198"/>
      <c r="AL41" s="198"/>
    </row>
    <row r="42" spans="1:38" s="12" customFormat="1" x14ac:dyDescent="0.25">
      <c r="A42" s="201" t="s">
        <v>273</v>
      </c>
      <c r="B42" s="60">
        <v>11.63</v>
      </c>
      <c r="C42" s="60">
        <v>74.489999999999995</v>
      </c>
      <c r="D42" s="60">
        <v>50.44</v>
      </c>
      <c r="E42" s="60">
        <v>43.79</v>
      </c>
      <c r="F42" s="60">
        <v>52.03</v>
      </c>
      <c r="G42" s="60">
        <v>178.1</v>
      </c>
      <c r="H42" s="60">
        <v>74.77</v>
      </c>
      <c r="I42" s="60">
        <v>0.28000000000000003</v>
      </c>
      <c r="J42" s="60">
        <v>0.57999999999999996</v>
      </c>
      <c r="K42" s="60">
        <v>83.4</v>
      </c>
      <c r="L42" s="213" t="s">
        <v>35</v>
      </c>
      <c r="M42" s="213" t="s">
        <v>35</v>
      </c>
      <c r="N42" s="60">
        <v>375.5</v>
      </c>
      <c r="O42" s="60">
        <v>0</v>
      </c>
      <c r="P42" s="60">
        <v>0.78</v>
      </c>
      <c r="Q42" s="60">
        <v>63.01</v>
      </c>
      <c r="R42" s="198"/>
      <c r="S42" s="198"/>
      <c r="T42" s="198"/>
      <c r="U42" s="198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198"/>
      <c r="AJ42" s="198"/>
      <c r="AK42" s="198"/>
      <c r="AL42" s="198"/>
    </row>
    <row r="43" spans="1:38" s="12" customFormat="1" x14ac:dyDescent="0.25">
      <c r="A43" s="201" t="s">
        <v>274</v>
      </c>
      <c r="B43" s="60">
        <v>2.73</v>
      </c>
      <c r="C43" s="60">
        <v>44.58</v>
      </c>
      <c r="D43" s="60">
        <v>26.79</v>
      </c>
      <c r="E43" s="60">
        <v>38.630000000000003</v>
      </c>
      <c r="F43" s="60">
        <v>59.37</v>
      </c>
      <c r="G43" s="60">
        <v>178.1</v>
      </c>
      <c r="H43" s="60">
        <v>72.84</v>
      </c>
      <c r="I43" s="60">
        <v>0.17</v>
      </c>
      <c r="J43" s="60">
        <v>1.36</v>
      </c>
      <c r="K43" s="60">
        <v>104.75</v>
      </c>
      <c r="L43" s="213" t="s">
        <v>35</v>
      </c>
      <c r="M43" s="213" t="s">
        <v>35</v>
      </c>
      <c r="N43" s="60">
        <v>422.5</v>
      </c>
      <c r="O43" s="60">
        <v>0</v>
      </c>
      <c r="P43" s="60">
        <v>0.56999999999999995</v>
      </c>
      <c r="Q43" s="60">
        <v>57.58</v>
      </c>
      <c r="R43" s="198"/>
      <c r="S43" s="198"/>
      <c r="T43" s="198"/>
      <c r="U43" s="198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198"/>
      <c r="AJ43" s="198"/>
      <c r="AK43" s="198"/>
      <c r="AL43" s="198"/>
    </row>
    <row r="44" spans="1:38" s="12" customFormat="1" x14ac:dyDescent="0.25">
      <c r="A44" s="201" t="s">
        <v>275</v>
      </c>
      <c r="B44" s="60">
        <v>6.89</v>
      </c>
      <c r="C44" s="60">
        <v>63.59</v>
      </c>
      <c r="D44" s="60">
        <v>40.619999999999997</v>
      </c>
      <c r="E44" s="60">
        <v>35.799999999999997</v>
      </c>
      <c r="F44" s="60">
        <v>57.28</v>
      </c>
      <c r="G44" s="60">
        <v>178.1</v>
      </c>
      <c r="H44" s="60">
        <v>72.84</v>
      </c>
      <c r="I44" s="60">
        <v>0.13</v>
      </c>
      <c r="J44" s="60">
        <v>0.68</v>
      </c>
      <c r="K44" s="60">
        <v>81.72</v>
      </c>
      <c r="L44" s="213" t="s">
        <v>35</v>
      </c>
      <c r="M44" s="213" t="s">
        <v>35</v>
      </c>
      <c r="N44" s="60">
        <v>456.5</v>
      </c>
      <c r="O44" s="60">
        <v>0</v>
      </c>
      <c r="P44" s="60">
        <v>0.75</v>
      </c>
      <c r="Q44" s="60">
        <v>52.02</v>
      </c>
      <c r="R44" s="198"/>
      <c r="S44" s="198"/>
      <c r="T44" s="198"/>
      <c r="U44" s="198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198"/>
      <c r="AJ44" s="198"/>
      <c r="AK44" s="198"/>
      <c r="AL44" s="198"/>
    </row>
    <row r="45" spans="1:38" s="12" customFormat="1" x14ac:dyDescent="0.25">
      <c r="A45" s="201" t="s">
        <v>276</v>
      </c>
      <c r="B45" s="60">
        <v>10.7</v>
      </c>
      <c r="C45" s="60">
        <v>67.319999999999993</v>
      </c>
      <c r="D45" s="60">
        <v>45.74</v>
      </c>
      <c r="E45" s="60">
        <v>32.979999999999997</v>
      </c>
      <c r="F45" s="60">
        <v>59.87</v>
      </c>
      <c r="G45" s="60">
        <v>178.1</v>
      </c>
      <c r="H45" s="60">
        <v>72.84</v>
      </c>
      <c r="I45" s="60">
        <v>0.11</v>
      </c>
      <c r="J45" s="60">
        <v>0.74</v>
      </c>
      <c r="K45" s="60">
        <v>61.78</v>
      </c>
      <c r="L45" s="213" t="s">
        <v>35</v>
      </c>
      <c r="M45" s="213" t="s">
        <v>35</v>
      </c>
      <c r="N45" s="60">
        <v>494.6</v>
      </c>
      <c r="O45" s="60">
        <v>0</v>
      </c>
      <c r="P45" s="60">
        <v>0.79</v>
      </c>
      <c r="Q45" s="60">
        <v>54.87</v>
      </c>
      <c r="R45" s="198"/>
      <c r="S45" s="198"/>
      <c r="T45" s="198"/>
      <c r="U45" s="198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198"/>
      <c r="AJ45" s="198"/>
      <c r="AK45" s="198"/>
      <c r="AL45" s="198"/>
    </row>
    <row r="46" spans="1:38" s="12" customFormat="1" x14ac:dyDescent="0.25">
      <c r="A46" s="201" t="s">
        <v>277</v>
      </c>
      <c r="B46" s="60">
        <v>15.07</v>
      </c>
      <c r="C46" s="60">
        <v>84.08</v>
      </c>
      <c r="D46" s="60">
        <v>58.49</v>
      </c>
      <c r="E46" s="60">
        <v>31.82</v>
      </c>
      <c r="F46" s="60">
        <v>57.2</v>
      </c>
      <c r="G46" s="60">
        <v>156</v>
      </c>
      <c r="H46" s="60">
        <v>70.180000000000007</v>
      </c>
      <c r="I46" s="60">
        <v>0.12</v>
      </c>
      <c r="J46" s="60">
        <v>0.72</v>
      </c>
      <c r="K46" s="60">
        <v>37.64</v>
      </c>
      <c r="L46" s="213" t="s">
        <v>35</v>
      </c>
      <c r="M46" s="213" t="s">
        <v>35</v>
      </c>
      <c r="N46" s="60">
        <v>535.20000000000005</v>
      </c>
      <c r="O46" s="60">
        <v>0</v>
      </c>
      <c r="P46" s="60">
        <v>1</v>
      </c>
      <c r="Q46" s="60">
        <v>61.85</v>
      </c>
      <c r="R46" s="198"/>
      <c r="S46" s="198"/>
      <c r="T46" s="198"/>
      <c r="U46" s="198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198"/>
      <c r="AJ46" s="198"/>
      <c r="AK46" s="198"/>
      <c r="AL46" s="198"/>
    </row>
    <row r="47" spans="1:38" s="12" customFormat="1" x14ac:dyDescent="0.25">
      <c r="A47" s="201" t="s">
        <v>278</v>
      </c>
      <c r="B47" s="60">
        <v>5.2</v>
      </c>
      <c r="C47" s="60">
        <v>55.02</v>
      </c>
      <c r="D47" s="60">
        <v>34.53</v>
      </c>
      <c r="E47" s="60">
        <v>31.8</v>
      </c>
      <c r="F47" s="60">
        <v>67.209999999999994</v>
      </c>
      <c r="G47" s="60">
        <v>156</v>
      </c>
      <c r="H47" s="60">
        <v>69.27</v>
      </c>
      <c r="I47" s="60">
        <v>0.15</v>
      </c>
      <c r="J47" s="60">
        <v>0.73</v>
      </c>
      <c r="K47" s="60">
        <v>108.63</v>
      </c>
      <c r="L47" s="213" t="s">
        <v>35</v>
      </c>
      <c r="M47" s="213" t="s">
        <v>35</v>
      </c>
      <c r="N47" s="60">
        <v>565.29999999999995</v>
      </c>
      <c r="O47" s="60">
        <v>0</v>
      </c>
      <c r="P47" s="60">
        <v>0.74</v>
      </c>
      <c r="Q47" s="60">
        <v>66.040000000000006</v>
      </c>
      <c r="R47" s="198"/>
      <c r="S47" s="198"/>
      <c r="T47" s="198"/>
      <c r="U47" s="198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198"/>
      <c r="AJ47" s="198"/>
      <c r="AK47" s="198"/>
      <c r="AL47" s="198"/>
    </row>
    <row r="48" spans="1:38" s="12" customFormat="1" x14ac:dyDescent="0.25">
      <c r="A48" s="201" t="s">
        <v>279</v>
      </c>
      <c r="B48" s="60">
        <v>2.5299999999999998</v>
      </c>
      <c r="C48" s="60">
        <v>46.2</v>
      </c>
      <c r="D48" s="60">
        <v>27.53</v>
      </c>
      <c r="E48" s="60">
        <v>30.58</v>
      </c>
      <c r="F48" s="60">
        <v>73.47</v>
      </c>
      <c r="G48" s="60">
        <v>156</v>
      </c>
      <c r="H48" s="60">
        <v>69.27</v>
      </c>
      <c r="I48" s="60">
        <v>0.16</v>
      </c>
      <c r="J48" s="60">
        <v>0.7</v>
      </c>
      <c r="K48" s="60">
        <v>111.95</v>
      </c>
      <c r="L48" s="213" t="s">
        <v>35</v>
      </c>
      <c r="M48" s="213" t="s">
        <v>35</v>
      </c>
      <c r="N48" s="60">
        <v>596.9</v>
      </c>
      <c r="O48" s="60">
        <v>0</v>
      </c>
      <c r="P48" s="60">
        <v>0.61</v>
      </c>
      <c r="Q48" s="60">
        <v>60.14</v>
      </c>
      <c r="R48" s="198"/>
      <c r="S48" s="198"/>
      <c r="T48" s="198"/>
      <c r="U48" s="198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198"/>
      <c r="AJ48" s="198"/>
      <c r="AK48" s="198"/>
      <c r="AL48" s="198"/>
    </row>
    <row r="49" spans="1:38" s="12" customFormat="1" x14ac:dyDescent="0.25">
      <c r="A49" s="201" t="s">
        <v>280</v>
      </c>
      <c r="B49" s="60">
        <v>5.77</v>
      </c>
      <c r="C49" s="60">
        <v>54.86</v>
      </c>
      <c r="D49" s="60">
        <v>34.9</v>
      </c>
      <c r="E49" s="60">
        <v>31</v>
      </c>
      <c r="F49" s="60">
        <v>75.44</v>
      </c>
      <c r="G49" s="60">
        <v>156</v>
      </c>
      <c r="H49" s="60">
        <v>69.27</v>
      </c>
      <c r="I49" s="60">
        <v>0.13</v>
      </c>
      <c r="J49" s="60">
        <v>0.69</v>
      </c>
      <c r="K49" s="60">
        <v>130.38999999999999</v>
      </c>
      <c r="L49" s="213" t="s">
        <v>35</v>
      </c>
      <c r="M49" s="213" t="s">
        <v>35</v>
      </c>
      <c r="N49" s="60">
        <v>617.79999999999995</v>
      </c>
      <c r="O49" s="60">
        <v>0</v>
      </c>
      <c r="P49" s="60">
        <v>0.72</v>
      </c>
      <c r="Q49" s="60">
        <v>53.86</v>
      </c>
      <c r="R49" s="198"/>
      <c r="S49" s="198"/>
      <c r="T49" s="198"/>
      <c r="U49" s="198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198"/>
      <c r="AJ49" s="198"/>
      <c r="AK49" s="198"/>
      <c r="AL49" s="198"/>
    </row>
    <row r="50" spans="1:38" s="12" customFormat="1" x14ac:dyDescent="0.25">
      <c r="A50" s="201" t="s">
        <v>281</v>
      </c>
      <c r="B50" s="60">
        <v>7.14</v>
      </c>
      <c r="C50" s="60">
        <v>59.67</v>
      </c>
      <c r="D50" s="60">
        <v>38.659999999999997</v>
      </c>
      <c r="E50" s="60">
        <v>45.43</v>
      </c>
      <c r="F50" s="60">
        <v>75.37</v>
      </c>
      <c r="G50" s="60">
        <v>136.72</v>
      </c>
      <c r="H50" s="60">
        <v>67.209999999999994</v>
      </c>
      <c r="I50" s="60">
        <v>0.11</v>
      </c>
      <c r="J50" s="60">
        <v>0.63</v>
      </c>
      <c r="K50" s="60">
        <v>93.05</v>
      </c>
      <c r="L50" s="213" t="s">
        <v>35</v>
      </c>
      <c r="M50" s="213" t="s">
        <v>35</v>
      </c>
      <c r="N50" s="60">
        <v>629.1</v>
      </c>
      <c r="O50" s="60">
        <v>0</v>
      </c>
      <c r="P50" s="60">
        <v>0.76</v>
      </c>
      <c r="Q50" s="60">
        <v>42.87</v>
      </c>
      <c r="R50" s="198"/>
      <c r="S50" s="198"/>
      <c r="T50" s="198"/>
      <c r="U50" s="198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198"/>
      <c r="AJ50" s="198"/>
      <c r="AK50" s="198"/>
      <c r="AL50" s="198"/>
    </row>
    <row r="51" spans="1:38" s="12" customFormat="1" x14ac:dyDescent="0.25">
      <c r="A51" s="201" t="s">
        <v>282</v>
      </c>
      <c r="B51" s="60">
        <v>5.27</v>
      </c>
      <c r="C51" s="60">
        <v>59.06</v>
      </c>
      <c r="D51" s="60">
        <v>36.82</v>
      </c>
      <c r="E51" s="60">
        <v>67.84</v>
      </c>
      <c r="F51" s="60">
        <v>79.97</v>
      </c>
      <c r="G51" s="60">
        <v>136.72</v>
      </c>
      <c r="H51" s="60">
        <v>66.510000000000005</v>
      </c>
      <c r="I51" s="60">
        <v>0.12</v>
      </c>
      <c r="J51" s="60">
        <v>0.79</v>
      </c>
      <c r="K51" s="60">
        <v>112.6</v>
      </c>
      <c r="L51" s="213" t="s">
        <v>35</v>
      </c>
      <c r="M51" s="213" t="s">
        <v>35</v>
      </c>
      <c r="N51" s="60">
        <v>652.70000000000005</v>
      </c>
      <c r="O51" s="60">
        <v>0</v>
      </c>
      <c r="P51" s="60">
        <v>0.59</v>
      </c>
      <c r="Q51" s="60">
        <v>36</v>
      </c>
      <c r="R51" s="198"/>
      <c r="S51" s="198"/>
      <c r="T51" s="198"/>
      <c r="U51" s="198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198"/>
      <c r="AJ51" s="198"/>
      <c r="AK51" s="198"/>
      <c r="AL51" s="198"/>
    </row>
    <row r="52" spans="1:38" s="12" customFormat="1" x14ac:dyDescent="0.25">
      <c r="A52" s="201" t="s">
        <v>283</v>
      </c>
      <c r="B52" s="60">
        <v>6.16</v>
      </c>
      <c r="C52" s="60">
        <v>64.31</v>
      </c>
      <c r="D52" s="60">
        <v>40.43</v>
      </c>
      <c r="E52" s="60">
        <v>71.03</v>
      </c>
      <c r="F52" s="60">
        <v>81.92</v>
      </c>
      <c r="G52" s="60">
        <v>136.72</v>
      </c>
      <c r="H52" s="60">
        <v>66.510000000000005</v>
      </c>
      <c r="I52" s="60">
        <v>0.12</v>
      </c>
      <c r="J52" s="60">
        <v>0.49</v>
      </c>
      <c r="K52" s="60">
        <v>104.4</v>
      </c>
      <c r="L52" s="213" t="s">
        <v>35</v>
      </c>
      <c r="M52" s="213" t="s">
        <v>35</v>
      </c>
      <c r="N52" s="60">
        <v>661.7</v>
      </c>
      <c r="O52" s="60">
        <v>0</v>
      </c>
      <c r="P52" s="60">
        <v>0.67</v>
      </c>
      <c r="Q52" s="60">
        <v>36.909999999999997</v>
      </c>
      <c r="R52" s="198"/>
      <c r="S52" s="198"/>
      <c r="T52" s="198"/>
      <c r="U52" s="198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198"/>
      <c r="AJ52" s="198"/>
      <c r="AK52" s="198"/>
      <c r="AL52" s="198"/>
    </row>
    <row r="53" spans="1:38" s="12" customFormat="1" x14ac:dyDescent="0.25">
      <c r="A53" s="201" t="s">
        <v>284</v>
      </c>
      <c r="B53" s="60">
        <v>2.42</v>
      </c>
      <c r="C53" s="60">
        <v>48.14</v>
      </c>
      <c r="D53" s="60">
        <v>28.5</v>
      </c>
      <c r="E53" s="60">
        <v>76.48</v>
      </c>
      <c r="F53" s="60">
        <v>89.41</v>
      </c>
      <c r="G53" s="60">
        <v>136.72</v>
      </c>
      <c r="H53" s="60">
        <v>66.510000000000005</v>
      </c>
      <c r="I53" s="60">
        <v>0.12</v>
      </c>
      <c r="J53" s="60">
        <v>0.91</v>
      </c>
      <c r="K53" s="60">
        <v>140.04</v>
      </c>
      <c r="L53" s="213" t="s">
        <v>35</v>
      </c>
      <c r="M53" s="213" t="s">
        <v>35</v>
      </c>
      <c r="N53" s="60">
        <v>675</v>
      </c>
      <c r="O53" s="60">
        <v>0</v>
      </c>
      <c r="P53" s="60">
        <v>0.56999999999999995</v>
      </c>
      <c r="Q53" s="60">
        <v>31.4</v>
      </c>
      <c r="R53" s="198"/>
      <c r="S53" s="198"/>
      <c r="T53" s="198"/>
      <c r="U53" s="198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198"/>
      <c r="AJ53" s="198"/>
      <c r="AK53" s="198"/>
      <c r="AL53" s="198"/>
    </row>
    <row r="54" spans="1:38" s="12" customFormat="1" x14ac:dyDescent="0.25">
      <c r="A54" s="201" t="s">
        <v>285</v>
      </c>
      <c r="B54" s="60">
        <v>1.49</v>
      </c>
      <c r="C54" s="60">
        <v>38.79</v>
      </c>
      <c r="D54" s="60">
        <v>22.61</v>
      </c>
      <c r="E54" s="60">
        <v>81.86</v>
      </c>
      <c r="F54" s="60">
        <v>95.16</v>
      </c>
      <c r="G54" s="60">
        <v>132.76</v>
      </c>
      <c r="H54" s="60">
        <v>56.01</v>
      </c>
      <c r="I54" s="60">
        <v>0.1</v>
      </c>
      <c r="J54" s="60">
        <v>0.84</v>
      </c>
      <c r="K54" s="60">
        <v>133.54</v>
      </c>
      <c r="L54" s="213" t="s">
        <v>35</v>
      </c>
      <c r="M54" s="213" t="s">
        <v>35</v>
      </c>
      <c r="N54" s="60">
        <v>672.3</v>
      </c>
      <c r="O54" s="60">
        <v>0</v>
      </c>
      <c r="P54" s="60">
        <v>0.47</v>
      </c>
      <c r="Q54" s="60">
        <v>29.16</v>
      </c>
      <c r="R54" s="198"/>
      <c r="S54" s="198"/>
      <c r="T54" s="198"/>
      <c r="U54" s="198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198"/>
      <c r="AJ54" s="198"/>
      <c r="AK54" s="198"/>
      <c r="AL54" s="198"/>
    </row>
    <row r="55" spans="1:38" s="12" customFormat="1" x14ac:dyDescent="0.25">
      <c r="A55" s="201" t="s">
        <v>286</v>
      </c>
      <c r="B55" s="60">
        <v>6.32</v>
      </c>
      <c r="C55" s="60">
        <v>64.05</v>
      </c>
      <c r="D55" s="60">
        <v>40.42</v>
      </c>
      <c r="E55" s="60">
        <v>82.87</v>
      </c>
      <c r="F55" s="60">
        <v>92.56</v>
      </c>
      <c r="G55" s="60">
        <v>132.76</v>
      </c>
      <c r="H55" s="60">
        <v>52.41</v>
      </c>
      <c r="I55" s="60">
        <v>0.08</v>
      </c>
      <c r="J55" s="60">
        <v>0.49</v>
      </c>
      <c r="K55" s="60">
        <v>79.989999999999995</v>
      </c>
      <c r="L55" s="213" t="s">
        <v>35</v>
      </c>
      <c r="M55" s="213" t="s">
        <v>35</v>
      </c>
      <c r="N55" s="60">
        <v>672.9</v>
      </c>
      <c r="O55" s="60">
        <v>0</v>
      </c>
      <c r="P55" s="60">
        <v>0.66</v>
      </c>
      <c r="Q55" s="60">
        <v>31</v>
      </c>
      <c r="R55" s="198"/>
      <c r="S55" s="198"/>
      <c r="T55" s="198"/>
      <c r="U55" s="198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198"/>
      <c r="AJ55" s="198"/>
      <c r="AK55" s="198"/>
      <c r="AL55" s="198"/>
    </row>
    <row r="56" spans="1:38" s="12" customFormat="1" x14ac:dyDescent="0.25">
      <c r="A56" s="201" t="s">
        <v>287</v>
      </c>
      <c r="B56" s="60">
        <v>3.34</v>
      </c>
      <c r="C56" s="60">
        <v>54.41</v>
      </c>
      <c r="D56" s="60">
        <v>32.700000000000003</v>
      </c>
      <c r="E56" s="60">
        <v>69.790000000000006</v>
      </c>
      <c r="F56" s="60">
        <v>101.9</v>
      </c>
      <c r="G56" s="60">
        <v>132.76</v>
      </c>
      <c r="H56" s="60">
        <v>52.41</v>
      </c>
      <c r="I56" s="60">
        <v>0.08</v>
      </c>
      <c r="J56" s="60">
        <v>0.33</v>
      </c>
      <c r="K56" s="60">
        <v>70.180000000000007</v>
      </c>
      <c r="L56" s="213" t="s">
        <v>35</v>
      </c>
      <c r="M56" s="213" t="s">
        <v>35</v>
      </c>
      <c r="N56" s="60">
        <v>671.9</v>
      </c>
      <c r="O56" s="60">
        <v>0</v>
      </c>
      <c r="P56" s="60">
        <v>0.68</v>
      </c>
      <c r="Q56" s="60">
        <v>38.25</v>
      </c>
      <c r="R56" s="198"/>
      <c r="S56" s="198"/>
      <c r="T56" s="198"/>
      <c r="U56" s="198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198"/>
      <c r="AJ56" s="198"/>
      <c r="AK56" s="198"/>
      <c r="AL56" s="198"/>
    </row>
    <row r="57" spans="1:38" s="12" customFormat="1" x14ac:dyDescent="0.25">
      <c r="A57" s="201" t="s">
        <v>288</v>
      </c>
      <c r="B57" s="60">
        <v>8.6</v>
      </c>
      <c r="C57" s="60">
        <v>72.7</v>
      </c>
      <c r="D57" s="60">
        <v>47.02</v>
      </c>
      <c r="E57" s="60">
        <v>78.58</v>
      </c>
      <c r="F57" s="60">
        <v>99.38</v>
      </c>
      <c r="G57" s="60">
        <v>132.76</v>
      </c>
      <c r="H57" s="60">
        <v>52.41</v>
      </c>
      <c r="I57" s="60">
        <v>0.09</v>
      </c>
      <c r="J57" s="60">
        <v>0.94</v>
      </c>
      <c r="K57" s="60">
        <v>8.4700000000000006</v>
      </c>
      <c r="L57" s="213" t="s">
        <v>35</v>
      </c>
      <c r="M57" s="213" t="s">
        <v>35</v>
      </c>
      <c r="N57" s="60">
        <v>655.8</v>
      </c>
      <c r="O57" s="60">
        <v>0</v>
      </c>
      <c r="P57" s="60">
        <v>0.83</v>
      </c>
      <c r="Q57" s="60">
        <v>45.51</v>
      </c>
      <c r="R57" s="198"/>
      <c r="S57" s="198"/>
      <c r="T57" s="198"/>
      <c r="U57" s="198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198"/>
      <c r="AJ57" s="198"/>
      <c r="AK57" s="198"/>
      <c r="AL57" s="198"/>
    </row>
    <row r="58" spans="1:38" s="12" customFormat="1" x14ac:dyDescent="0.25">
      <c r="A58" s="201" t="s">
        <v>289</v>
      </c>
      <c r="B58" s="60">
        <v>6.1</v>
      </c>
      <c r="C58" s="60">
        <v>73.959999999999994</v>
      </c>
      <c r="D58" s="60">
        <v>45.71</v>
      </c>
      <c r="E58" s="60">
        <v>75.61</v>
      </c>
      <c r="F58" s="60">
        <v>103.16</v>
      </c>
      <c r="G58" s="60">
        <v>122.14</v>
      </c>
      <c r="H58" s="60">
        <v>54.6</v>
      </c>
      <c r="I58" s="60">
        <v>0.11</v>
      </c>
      <c r="J58" s="60">
        <v>0.7</v>
      </c>
      <c r="K58" s="60">
        <v>19.170000000000002</v>
      </c>
      <c r="L58" s="213" t="s">
        <v>35</v>
      </c>
      <c r="M58" s="213" t="s">
        <v>35</v>
      </c>
      <c r="N58" s="60">
        <v>633.29999999999995</v>
      </c>
      <c r="O58" s="60">
        <v>0</v>
      </c>
      <c r="P58" s="60">
        <v>0.85</v>
      </c>
      <c r="Q58" s="60">
        <v>51.64</v>
      </c>
      <c r="R58" s="198"/>
      <c r="S58" s="198"/>
      <c r="T58" s="198"/>
      <c r="U58" s="198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198"/>
      <c r="AJ58" s="198"/>
      <c r="AK58" s="198"/>
      <c r="AL58" s="198"/>
    </row>
    <row r="59" spans="1:38" s="12" customFormat="1" x14ac:dyDescent="0.25">
      <c r="A59" s="201" t="s">
        <v>290</v>
      </c>
      <c r="B59" s="60">
        <v>7.84</v>
      </c>
      <c r="C59" s="60">
        <v>74.63</v>
      </c>
      <c r="D59" s="60">
        <v>47.47</v>
      </c>
      <c r="E59" s="60">
        <v>72.87</v>
      </c>
      <c r="F59" s="60">
        <v>106.5</v>
      </c>
      <c r="G59" s="60">
        <v>122.14</v>
      </c>
      <c r="H59" s="60">
        <v>55.36</v>
      </c>
      <c r="I59" s="60">
        <v>0.15</v>
      </c>
      <c r="J59" s="60">
        <v>0.47</v>
      </c>
      <c r="K59" s="60">
        <v>11.64</v>
      </c>
      <c r="L59" s="213" t="s">
        <v>35</v>
      </c>
      <c r="M59" s="213" t="s">
        <v>35</v>
      </c>
      <c r="N59" s="60">
        <v>624.70000000000005</v>
      </c>
      <c r="O59" s="60">
        <v>0</v>
      </c>
      <c r="P59" s="60">
        <v>0.83</v>
      </c>
      <c r="Q59" s="60">
        <v>56.96</v>
      </c>
      <c r="R59" s="198"/>
      <c r="S59" s="198"/>
      <c r="T59" s="198"/>
      <c r="U59" s="198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198"/>
      <c r="AJ59" s="198"/>
      <c r="AK59" s="198"/>
      <c r="AL59" s="198"/>
    </row>
    <row r="60" spans="1:38" s="12" customFormat="1" x14ac:dyDescent="0.25">
      <c r="A60" s="201" t="s">
        <v>291</v>
      </c>
      <c r="B60" s="60">
        <v>1.08</v>
      </c>
      <c r="C60" s="60">
        <v>44.38</v>
      </c>
      <c r="D60" s="60">
        <v>25.36</v>
      </c>
      <c r="E60" s="60">
        <v>68.38</v>
      </c>
      <c r="F60" s="60">
        <v>117.33</v>
      </c>
      <c r="G60" s="60">
        <v>122.14</v>
      </c>
      <c r="H60" s="60">
        <v>55.36</v>
      </c>
      <c r="I60" s="60">
        <v>0.17</v>
      </c>
      <c r="J60" s="60">
        <v>0.93</v>
      </c>
      <c r="K60" s="60">
        <v>152.99</v>
      </c>
      <c r="L60" s="213" t="s">
        <v>35</v>
      </c>
      <c r="M60" s="213" t="s">
        <v>35</v>
      </c>
      <c r="N60" s="60">
        <v>619.29999999999995</v>
      </c>
      <c r="O60" s="60">
        <v>0</v>
      </c>
      <c r="P60" s="60">
        <v>0.52</v>
      </c>
      <c r="Q60" s="60">
        <v>54.4</v>
      </c>
      <c r="R60" s="198"/>
      <c r="S60" s="198"/>
      <c r="T60" s="198"/>
      <c r="U60" s="198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198"/>
      <c r="AJ60" s="198"/>
      <c r="AK60" s="198"/>
      <c r="AL60" s="198"/>
    </row>
    <row r="61" spans="1:38" s="12" customFormat="1" x14ac:dyDescent="0.25">
      <c r="A61" s="201" t="s">
        <v>292</v>
      </c>
      <c r="B61" s="60">
        <v>1.61</v>
      </c>
      <c r="C61" s="60">
        <v>46.65</v>
      </c>
      <c r="D61" s="60">
        <v>27.04</v>
      </c>
      <c r="E61" s="60">
        <v>67.34</v>
      </c>
      <c r="F61" s="60">
        <v>121.26</v>
      </c>
      <c r="G61" s="60">
        <v>122.14</v>
      </c>
      <c r="H61" s="60">
        <v>55.36</v>
      </c>
      <c r="I61" s="60">
        <v>0.14000000000000001</v>
      </c>
      <c r="J61" s="60">
        <v>0.52</v>
      </c>
      <c r="K61" s="60">
        <v>165.46</v>
      </c>
      <c r="L61" s="213" t="s">
        <v>35</v>
      </c>
      <c r="M61" s="213" t="s">
        <v>35</v>
      </c>
      <c r="N61" s="60">
        <v>599.79999999999995</v>
      </c>
      <c r="O61" s="60">
        <v>0</v>
      </c>
      <c r="P61" s="60">
        <v>0.55000000000000004</v>
      </c>
      <c r="Q61" s="60">
        <v>44.18</v>
      </c>
      <c r="R61" s="198"/>
      <c r="S61" s="198"/>
      <c r="T61" s="198"/>
      <c r="U61" s="198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198"/>
      <c r="AJ61" s="198"/>
      <c r="AK61" s="198"/>
      <c r="AL61" s="198"/>
    </row>
    <row r="62" spans="1:38" s="12" customFormat="1" x14ac:dyDescent="0.25">
      <c r="A62" s="201" t="s">
        <v>293</v>
      </c>
      <c r="B62" s="60">
        <v>4.59</v>
      </c>
      <c r="C62" s="60">
        <v>79.959999999999994</v>
      </c>
      <c r="D62" s="60">
        <v>47.8</v>
      </c>
      <c r="E62" s="60">
        <v>63.81</v>
      </c>
      <c r="F62" s="60">
        <v>111.62</v>
      </c>
      <c r="G62" s="60">
        <v>111.13</v>
      </c>
      <c r="H62" s="60">
        <v>55.84</v>
      </c>
      <c r="I62" s="60">
        <v>0.1</v>
      </c>
      <c r="J62" s="60">
        <v>7.0000000000000007E-2</v>
      </c>
      <c r="K62" s="60">
        <v>174.27</v>
      </c>
      <c r="L62" s="213" t="s">
        <v>35</v>
      </c>
      <c r="M62" s="213" t="s">
        <v>35</v>
      </c>
      <c r="N62" s="60">
        <v>575.4</v>
      </c>
      <c r="O62" s="60">
        <v>0</v>
      </c>
      <c r="P62" s="60">
        <v>0.74</v>
      </c>
      <c r="Q62" s="60">
        <v>41.24</v>
      </c>
      <c r="R62" s="198"/>
      <c r="S62" s="198"/>
      <c r="T62" s="198"/>
      <c r="U62" s="198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198"/>
      <c r="AJ62" s="198"/>
      <c r="AK62" s="198"/>
      <c r="AL62" s="198"/>
    </row>
    <row r="63" spans="1:38" s="12" customFormat="1" x14ac:dyDescent="0.25">
      <c r="A63" s="201" t="s">
        <v>294</v>
      </c>
      <c r="B63" s="60">
        <v>8.39</v>
      </c>
      <c r="C63" s="60">
        <v>73.12</v>
      </c>
      <c r="D63" s="60">
        <v>47.08</v>
      </c>
      <c r="E63" s="60">
        <v>58.16</v>
      </c>
      <c r="F63" s="60">
        <v>117.33</v>
      </c>
      <c r="G63" s="60">
        <v>111.13</v>
      </c>
      <c r="H63" s="60">
        <v>56.01</v>
      </c>
      <c r="I63" s="60">
        <v>0.11</v>
      </c>
      <c r="J63" s="60">
        <v>0.7</v>
      </c>
      <c r="K63" s="60">
        <v>349.1</v>
      </c>
      <c r="L63" s="213" t="s">
        <v>35</v>
      </c>
      <c r="M63" s="213" t="s">
        <v>35</v>
      </c>
      <c r="N63" s="60">
        <v>546.79999999999995</v>
      </c>
      <c r="O63" s="60">
        <v>0</v>
      </c>
      <c r="P63" s="60">
        <v>0.86</v>
      </c>
      <c r="Q63" s="60">
        <v>50.04</v>
      </c>
      <c r="R63" s="198"/>
      <c r="S63" s="198"/>
      <c r="T63" s="198"/>
      <c r="U63" s="198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198"/>
      <c r="AJ63" s="198"/>
      <c r="AK63" s="198"/>
      <c r="AL63" s="198"/>
    </row>
    <row r="64" spans="1:38" s="12" customFormat="1" x14ac:dyDescent="0.25">
      <c r="A64" s="201" t="s">
        <v>295</v>
      </c>
      <c r="B64" s="60">
        <v>2.7</v>
      </c>
      <c r="C64" s="60">
        <v>70.66</v>
      </c>
      <c r="D64" s="60">
        <v>41.16</v>
      </c>
      <c r="E64" s="60">
        <v>57.4</v>
      </c>
      <c r="F64" s="60">
        <v>125.11</v>
      </c>
      <c r="G64" s="60">
        <v>111.13</v>
      </c>
      <c r="H64" s="60">
        <v>56.01</v>
      </c>
      <c r="I64" s="60">
        <v>0.15</v>
      </c>
      <c r="J64" s="60">
        <v>0.44</v>
      </c>
      <c r="K64" s="60">
        <v>170.9</v>
      </c>
      <c r="L64" s="213" t="s">
        <v>35</v>
      </c>
      <c r="M64" s="213" t="s">
        <v>35</v>
      </c>
      <c r="N64" s="60">
        <v>507.5</v>
      </c>
      <c r="O64" s="60">
        <v>0</v>
      </c>
      <c r="P64" s="60">
        <v>0.67</v>
      </c>
      <c r="Q64" s="60">
        <v>51.62</v>
      </c>
      <c r="R64" s="198"/>
      <c r="S64" s="198"/>
      <c r="T64" s="198"/>
      <c r="U64" s="198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198"/>
      <c r="AJ64" s="198"/>
      <c r="AK64" s="198"/>
      <c r="AL64" s="198"/>
    </row>
    <row r="65" spans="1:38" s="12" customFormat="1" x14ac:dyDescent="0.25">
      <c r="A65" s="201" t="s">
        <v>296</v>
      </c>
      <c r="B65" s="60">
        <v>3.67</v>
      </c>
      <c r="C65" s="60">
        <v>68.78</v>
      </c>
      <c r="D65" s="60">
        <v>40.9</v>
      </c>
      <c r="E65" s="60">
        <v>56.53</v>
      </c>
      <c r="F65" s="60">
        <v>128.46</v>
      </c>
      <c r="G65" s="60">
        <v>111.13</v>
      </c>
      <c r="H65" s="60">
        <v>56.01</v>
      </c>
      <c r="I65" s="60">
        <v>0.17</v>
      </c>
      <c r="J65" s="60">
        <v>0.3</v>
      </c>
      <c r="K65" s="60">
        <v>67.209999999999994</v>
      </c>
      <c r="L65" s="213" t="s">
        <v>35</v>
      </c>
      <c r="M65" s="213" t="s">
        <v>35</v>
      </c>
      <c r="N65" s="60">
        <v>478.6</v>
      </c>
      <c r="O65" s="60">
        <v>0</v>
      </c>
      <c r="P65" s="60">
        <v>0.8</v>
      </c>
      <c r="Q65" s="60">
        <v>40.46</v>
      </c>
      <c r="R65" s="198"/>
      <c r="S65" s="198"/>
      <c r="T65" s="198"/>
      <c r="U65" s="198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198"/>
      <c r="AJ65" s="198"/>
      <c r="AK65" s="198"/>
      <c r="AL65" s="198"/>
    </row>
    <row r="66" spans="1:38" s="12" customFormat="1" x14ac:dyDescent="0.25">
      <c r="A66" s="201" t="s">
        <v>297</v>
      </c>
      <c r="B66" s="60">
        <v>10.33</v>
      </c>
      <c r="C66" s="60">
        <v>102.45</v>
      </c>
      <c r="D66" s="60">
        <v>64.83</v>
      </c>
      <c r="E66" s="60">
        <v>54.75</v>
      </c>
      <c r="F66" s="60">
        <v>113.73</v>
      </c>
      <c r="G66" s="60">
        <v>111.73</v>
      </c>
      <c r="H66" s="60">
        <v>54.53</v>
      </c>
      <c r="I66" s="60">
        <v>0.15</v>
      </c>
      <c r="J66" s="60">
        <v>0.72</v>
      </c>
      <c r="K66" s="60">
        <v>10.57</v>
      </c>
      <c r="L66" s="213" t="s">
        <v>35</v>
      </c>
      <c r="M66" s="213" t="s">
        <v>35</v>
      </c>
      <c r="N66" s="60">
        <v>442.8</v>
      </c>
      <c r="O66" s="60">
        <v>0</v>
      </c>
      <c r="P66" s="60">
        <v>0.93</v>
      </c>
      <c r="Q66" s="60">
        <v>39.03</v>
      </c>
      <c r="R66" s="198"/>
      <c r="S66" s="198"/>
      <c r="T66" s="198"/>
      <c r="U66" s="198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198"/>
      <c r="AJ66" s="198"/>
      <c r="AK66" s="198"/>
      <c r="AL66" s="198"/>
    </row>
    <row r="67" spans="1:38" s="12" customFormat="1" x14ac:dyDescent="0.25">
      <c r="A67" s="201" t="s">
        <v>298</v>
      </c>
      <c r="B67" s="60">
        <v>5.18</v>
      </c>
      <c r="C67" s="60">
        <v>68.55</v>
      </c>
      <c r="D67" s="60">
        <v>41.98</v>
      </c>
      <c r="E67" s="60">
        <v>53.33</v>
      </c>
      <c r="F67" s="60">
        <v>120.66</v>
      </c>
      <c r="G67" s="60">
        <v>111.73</v>
      </c>
      <c r="H67" s="60">
        <v>54.02</v>
      </c>
      <c r="I67" s="60">
        <v>0.12</v>
      </c>
      <c r="J67" s="60">
        <v>0.22</v>
      </c>
      <c r="K67" s="60">
        <v>55.1</v>
      </c>
      <c r="L67" s="213" t="s">
        <v>35</v>
      </c>
      <c r="M67" s="213" t="s">
        <v>35</v>
      </c>
      <c r="N67" s="60">
        <v>375.1</v>
      </c>
      <c r="O67" s="60">
        <v>0</v>
      </c>
      <c r="P67" s="60">
        <v>0.77</v>
      </c>
      <c r="Q67" s="60">
        <v>50.49</v>
      </c>
      <c r="R67" s="198"/>
      <c r="S67" s="198"/>
      <c r="T67" s="198"/>
      <c r="U67" s="198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198"/>
      <c r="AJ67" s="198"/>
      <c r="AK67" s="198"/>
      <c r="AL67" s="198"/>
    </row>
    <row r="68" spans="1:38" s="12" customFormat="1" x14ac:dyDescent="0.25">
      <c r="A68" s="201" t="s">
        <v>299</v>
      </c>
      <c r="B68" s="60">
        <v>0.53</v>
      </c>
      <c r="C68" s="60">
        <v>45.4</v>
      </c>
      <c r="D68" s="60">
        <v>25.48</v>
      </c>
      <c r="E68" s="60">
        <v>51.51</v>
      </c>
      <c r="F68" s="60">
        <v>126.16</v>
      </c>
      <c r="G68" s="60">
        <v>111.73</v>
      </c>
      <c r="H68" s="60">
        <v>54.02</v>
      </c>
      <c r="I68" s="60">
        <v>0.14000000000000001</v>
      </c>
      <c r="J68" s="60">
        <v>0.3</v>
      </c>
      <c r="K68" s="60">
        <v>195.86</v>
      </c>
      <c r="L68" s="213" t="s">
        <v>35</v>
      </c>
      <c r="M68" s="213" t="s">
        <v>35</v>
      </c>
      <c r="N68" s="60">
        <v>177.4</v>
      </c>
      <c r="O68" s="60">
        <v>0</v>
      </c>
      <c r="P68" s="60">
        <v>0.53</v>
      </c>
      <c r="Q68" s="60">
        <v>42.85</v>
      </c>
      <c r="R68" s="198"/>
      <c r="S68" s="198"/>
      <c r="T68" s="198"/>
      <c r="U68" s="198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198"/>
      <c r="AJ68" s="198"/>
      <c r="AK68" s="198"/>
      <c r="AL68" s="198"/>
    </row>
    <row r="69" spans="1:38" s="12" customFormat="1" x14ac:dyDescent="0.25">
      <c r="A69" s="201" t="s">
        <v>300</v>
      </c>
      <c r="B69" s="60">
        <v>0.6</v>
      </c>
      <c r="C69" s="60">
        <v>47.09</v>
      </c>
      <c r="D69" s="60">
        <v>26.47</v>
      </c>
      <c r="E69" s="60">
        <v>50</v>
      </c>
      <c r="F69" s="60">
        <v>127.72</v>
      </c>
      <c r="G69" s="60">
        <v>111.73</v>
      </c>
      <c r="H69" s="60">
        <v>54.02</v>
      </c>
      <c r="I69" s="60">
        <v>0.12</v>
      </c>
      <c r="J69" s="60">
        <v>0.87</v>
      </c>
      <c r="K69" s="60">
        <v>169.33</v>
      </c>
      <c r="L69" s="213" t="s">
        <v>35</v>
      </c>
      <c r="M69" s="213" t="s">
        <v>35</v>
      </c>
      <c r="N69" s="60">
        <v>135.5</v>
      </c>
      <c r="O69" s="60">
        <v>0</v>
      </c>
      <c r="P69" s="60">
        <v>0.48</v>
      </c>
      <c r="Q69" s="60">
        <v>29.32</v>
      </c>
      <c r="R69" s="198"/>
      <c r="S69" s="198"/>
      <c r="T69" s="198"/>
      <c r="U69" s="198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198"/>
      <c r="AJ69" s="198"/>
      <c r="AK69" s="198"/>
      <c r="AL69" s="198"/>
    </row>
    <row r="70" spans="1:38" s="12" customFormat="1" x14ac:dyDescent="0.25">
      <c r="A70" s="201" t="s">
        <v>301</v>
      </c>
      <c r="B70" s="60">
        <v>1.69</v>
      </c>
      <c r="C70" s="60">
        <v>67.650000000000006</v>
      </c>
      <c r="D70" s="60">
        <v>38.69</v>
      </c>
      <c r="E70" s="60">
        <v>56.1</v>
      </c>
      <c r="F70" s="60">
        <v>120.43</v>
      </c>
      <c r="G70" s="60">
        <v>108.87</v>
      </c>
      <c r="H70" s="60">
        <v>53.75</v>
      </c>
      <c r="I70" s="60">
        <v>0.1</v>
      </c>
      <c r="J70" s="60">
        <v>0.61</v>
      </c>
      <c r="K70" s="60">
        <v>174.64</v>
      </c>
      <c r="L70" s="213" t="s">
        <v>35</v>
      </c>
      <c r="M70" s="213" t="s">
        <v>35</v>
      </c>
      <c r="N70" s="60">
        <v>115.4</v>
      </c>
      <c r="O70" s="60">
        <v>0</v>
      </c>
      <c r="P70" s="60">
        <v>0.68</v>
      </c>
      <c r="Q70" s="60">
        <v>27.15</v>
      </c>
      <c r="R70" s="198"/>
      <c r="S70" s="198"/>
      <c r="T70" s="198"/>
      <c r="U70" s="198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198"/>
      <c r="AJ70" s="198"/>
      <c r="AK70" s="198"/>
      <c r="AL70" s="198"/>
    </row>
    <row r="71" spans="1:38" s="12" customFormat="1" x14ac:dyDescent="0.25">
      <c r="A71" s="201" t="s">
        <v>302</v>
      </c>
      <c r="B71" s="60">
        <v>0.51</v>
      </c>
      <c r="C71" s="60">
        <v>50.2</v>
      </c>
      <c r="D71" s="60">
        <v>28.11</v>
      </c>
      <c r="E71" s="60">
        <v>59.83</v>
      </c>
      <c r="F71" s="60">
        <v>123.27</v>
      </c>
      <c r="G71" s="60">
        <v>108.87</v>
      </c>
      <c r="H71" s="60">
        <v>53.65</v>
      </c>
      <c r="I71" s="60">
        <v>0.1</v>
      </c>
      <c r="J71" s="60">
        <v>0.8</v>
      </c>
      <c r="K71" s="60">
        <v>166.97</v>
      </c>
      <c r="L71" s="213" t="s">
        <v>35</v>
      </c>
      <c r="M71" s="213" t="s">
        <v>35</v>
      </c>
      <c r="N71" s="60">
        <v>102.3</v>
      </c>
      <c r="O71" s="60">
        <v>0</v>
      </c>
      <c r="P71" s="60">
        <v>0.49</v>
      </c>
      <c r="Q71" s="60">
        <v>33.340000000000003</v>
      </c>
      <c r="R71" s="198"/>
      <c r="S71" s="198"/>
      <c r="T71" s="198"/>
      <c r="U71" s="198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198"/>
      <c r="AJ71" s="198"/>
      <c r="AK71" s="198"/>
      <c r="AL71" s="198"/>
    </row>
    <row r="72" spans="1:38" s="12" customFormat="1" x14ac:dyDescent="0.25">
      <c r="A72" s="201" t="s">
        <v>303</v>
      </c>
      <c r="B72" s="60">
        <v>0.74</v>
      </c>
      <c r="C72" s="60">
        <v>55.29</v>
      </c>
      <c r="D72" s="60">
        <v>31.11</v>
      </c>
      <c r="E72" s="60">
        <v>51.73</v>
      </c>
      <c r="F72" s="60">
        <v>124.69</v>
      </c>
      <c r="G72" s="60">
        <v>108.87</v>
      </c>
      <c r="H72" s="60">
        <v>53.65</v>
      </c>
      <c r="I72" s="60">
        <v>0.09</v>
      </c>
      <c r="J72" s="60">
        <v>0.6</v>
      </c>
      <c r="K72" s="60">
        <v>165.65</v>
      </c>
      <c r="L72" s="213" t="s">
        <v>35</v>
      </c>
      <c r="M72" s="213" t="s">
        <v>35</v>
      </c>
      <c r="N72" s="60">
        <v>88.4</v>
      </c>
      <c r="O72" s="60">
        <v>0</v>
      </c>
      <c r="P72" s="60">
        <v>0.49</v>
      </c>
      <c r="Q72" s="60">
        <v>34.94</v>
      </c>
      <c r="R72" s="198"/>
      <c r="S72" s="198"/>
      <c r="T72" s="198"/>
      <c r="U72" s="198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198"/>
      <c r="AJ72" s="198"/>
      <c r="AK72" s="198"/>
      <c r="AL72" s="198"/>
    </row>
    <row r="73" spans="1:38" s="12" customFormat="1" x14ac:dyDescent="0.25">
      <c r="A73" s="201" t="s">
        <v>304</v>
      </c>
      <c r="B73" s="60">
        <v>11.91</v>
      </c>
      <c r="C73" s="60">
        <v>140.35</v>
      </c>
      <c r="D73" s="60">
        <v>87.01</v>
      </c>
      <c r="E73" s="60">
        <v>71.489999999999995</v>
      </c>
      <c r="F73" s="60">
        <v>86.94</v>
      </c>
      <c r="G73" s="60">
        <v>108.87</v>
      </c>
      <c r="H73" s="60">
        <v>53.65</v>
      </c>
      <c r="I73" s="60">
        <v>0.08</v>
      </c>
      <c r="J73" s="60">
        <v>0.24</v>
      </c>
      <c r="K73" s="60">
        <v>343.51</v>
      </c>
      <c r="L73" s="213" t="s">
        <v>35</v>
      </c>
      <c r="M73" s="213" t="s">
        <v>35</v>
      </c>
      <c r="N73" s="60">
        <v>72.2</v>
      </c>
      <c r="O73" s="60">
        <v>0</v>
      </c>
      <c r="P73" s="60">
        <v>0.98</v>
      </c>
      <c r="Q73" s="60">
        <v>39.200000000000003</v>
      </c>
      <c r="R73" s="198"/>
      <c r="S73" s="198"/>
      <c r="T73" s="198"/>
      <c r="U73" s="198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198"/>
      <c r="AJ73" s="198"/>
      <c r="AK73" s="198"/>
      <c r="AL73" s="198"/>
    </row>
    <row r="74" spans="1:38" s="12" customFormat="1" x14ac:dyDescent="0.25">
      <c r="A74" s="201" t="s">
        <v>305</v>
      </c>
      <c r="B74" s="60">
        <v>15.4</v>
      </c>
      <c r="C74" s="60">
        <v>160.62</v>
      </c>
      <c r="D74" s="60">
        <v>100.99</v>
      </c>
      <c r="E74" s="60">
        <v>144.94</v>
      </c>
      <c r="F74" s="60">
        <v>56.15</v>
      </c>
      <c r="G74" s="60">
        <v>110.03</v>
      </c>
      <c r="H74" s="60">
        <v>53.42</v>
      </c>
      <c r="I74" s="60">
        <v>0.09</v>
      </c>
      <c r="J74" s="60">
        <v>0.54</v>
      </c>
      <c r="K74" s="60">
        <v>18.489999999999998</v>
      </c>
      <c r="L74" s="213" t="s">
        <v>35</v>
      </c>
      <c r="M74" s="213" t="s">
        <v>35</v>
      </c>
      <c r="N74" s="60">
        <v>54.2</v>
      </c>
      <c r="O74" s="60">
        <v>0</v>
      </c>
      <c r="P74" s="60">
        <v>1.44</v>
      </c>
      <c r="Q74" s="60">
        <v>64.540000000000006</v>
      </c>
      <c r="R74" s="198"/>
      <c r="S74" s="198"/>
      <c r="T74" s="198"/>
      <c r="U74" s="198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198"/>
      <c r="AJ74" s="198"/>
      <c r="AK74" s="198"/>
      <c r="AL74" s="198"/>
    </row>
    <row r="75" spans="1:38" s="12" customFormat="1" x14ac:dyDescent="0.25">
      <c r="A75" s="201" t="s">
        <v>306</v>
      </c>
      <c r="B75" s="60">
        <v>17.12</v>
      </c>
      <c r="C75" s="60">
        <v>146.02000000000001</v>
      </c>
      <c r="D75" s="60">
        <v>94.31</v>
      </c>
      <c r="E75" s="60">
        <v>141.91</v>
      </c>
      <c r="F75" s="60">
        <v>58.59</v>
      </c>
      <c r="G75" s="60">
        <v>110.03</v>
      </c>
      <c r="H75" s="60">
        <v>53.34</v>
      </c>
      <c r="I75" s="60">
        <v>0.13</v>
      </c>
      <c r="J75" s="60">
        <v>0.62</v>
      </c>
      <c r="K75" s="60">
        <v>17.82</v>
      </c>
      <c r="L75" s="213" t="s">
        <v>35</v>
      </c>
      <c r="M75" s="213" t="s">
        <v>35</v>
      </c>
      <c r="N75" s="60">
        <v>40.4</v>
      </c>
      <c r="O75" s="60">
        <v>0</v>
      </c>
      <c r="P75" s="60">
        <v>1.52</v>
      </c>
      <c r="Q75" s="60">
        <v>86.25</v>
      </c>
      <c r="R75" s="198"/>
      <c r="S75" s="198"/>
      <c r="T75" s="198"/>
      <c r="U75" s="198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198"/>
      <c r="AJ75" s="198"/>
      <c r="AK75" s="198"/>
      <c r="AL75" s="198"/>
    </row>
    <row r="76" spans="1:38" s="12" customFormat="1" x14ac:dyDescent="0.25">
      <c r="A76" s="201" t="s">
        <v>307</v>
      </c>
      <c r="B76" s="60">
        <v>22.18</v>
      </c>
      <c r="C76" s="60">
        <v>176.32</v>
      </c>
      <c r="D76" s="60">
        <v>115.09</v>
      </c>
      <c r="E76" s="60">
        <v>119.42</v>
      </c>
      <c r="F76" s="60">
        <v>55.51</v>
      </c>
      <c r="G76" s="60">
        <v>110.03</v>
      </c>
      <c r="H76" s="60">
        <v>53.34</v>
      </c>
      <c r="I76" s="60">
        <v>0.18</v>
      </c>
      <c r="J76" s="60">
        <v>0.54</v>
      </c>
      <c r="K76" s="60">
        <v>8.9</v>
      </c>
      <c r="L76" s="213" t="s">
        <v>35</v>
      </c>
      <c r="M76" s="213" t="s">
        <v>35</v>
      </c>
      <c r="N76" s="60">
        <v>23.6</v>
      </c>
      <c r="O76" s="60">
        <v>0</v>
      </c>
      <c r="P76" s="60">
        <v>1.65</v>
      </c>
      <c r="Q76" s="60">
        <v>96.28</v>
      </c>
      <c r="R76" s="198"/>
      <c r="S76" s="198"/>
      <c r="T76" s="198"/>
      <c r="U76" s="198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198"/>
      <c r="AJ76" s="198"/>
      <c r="AK76" s="198"/>
      <c r="AL76" s="198"/>
    </row>
    <row r="77" spans="1:38" s="12" customFormat="1" x14ac:dyDescent="0.25">
      <c r="A77" s="201" t="s">
        <v>308</v>
      </c>
      <c r="B77" s="60">
        <v>31.58</v>
      </c>
      <c r="C77" s="60">
        <v>189.69</v>
      </c>
      <c r="D77" s="60">
        <v>130.01</v>
      </c>
      <c r="E77" s="60">
        <v>106.89</v>
      </c>
      <c r="F77" s="60">
        <v>55.22</v>
      </c>
      <c r="G77" s="60">
        <v>110.03</v>
      </c>
      <c r="H77" s="60">
        <v>53.34</v>
      </c>
      <c r="I77" s="60">
        <v>0.23</v>
      </c>
      <c r="J77" s="60">
        <v>0.65</v>
      </c>
      <c r="K77" s="60">
        <v>8.2200000000000006</v>
      </c>
      <c r="L77" s="213" t="s">
        <v>35</v>
      </c>
      <c r="M77" s="213" t="s">
        <v>35</v>
      </c>
      <c r="N77" s="60">
        <v>12.2</v>
      </c>
      <c r="O77" s="60">
        <v>0</v>
      </c>
      <c r="P77" s="60">
        <v>1.73</v>
      </c>
      <c r="Q77" s="60">
        <v>109.22</v>
      </c>
      <c r="R77" s="198"/>
      <c r="S77" s="198"/>
      <c r="T77" s="198"/>
      <c r="U77" s="198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198"/>
      <c r="AJ77" s="198"/>
      <c r="AK77" s="198"/>
      <c r="AL77" s="198"/>
    </row>
    <row r="78" spans="1:38" s="12" customFormat="1" x14ac:dyDescent="0.25">
      <c r="A78" s="201" t="s">
        <v>309</v>
      </c>
      <c r="B78" s="60">
        <v>22.66</v>
      </c>
      <c r="C78" s="60">
        <v>165.5</v>
      </c>
      <c r="D78" s="60">
        <v>109.51</v>
      </c>
      <c r="E78" s="60">
        <v>94.14</v>
      </c>
      <c r="F78" s="60">
        <v>55.51</v>
      </c>
      <c r="G78" s="60">
        <v>143.6</v>
      </c>
      <c r="H78" s="60">
        <v>61.44</v>
      </c>
      <c r="I78" s="60">
        <v>0.28000000000000003</v>
      </c>
      <c r="J78" s="60">
        <v>0.69</v>
      </c>
      <c r="K78" s="60">
        <v>10.77</v>
      </c>
      <c r="L78" s="213" t="s">
        <v>35</v>
      </c>
      <c r="M78" s="213" t="s">
        <v>35</v>
      </c>
      <c r="N78" s="60">
        <v>7.4</v>
      </c>
      <c r="O78" s="60">
        <v>0</v>
      </c>
      <c r="P78" s="60">
        <v>1.86</v>
      </c>
      <c r="Q78" s="60">
        <v>117.99</v>
      </c>
      <c r="R78" s="198"/>
      <c r="S78" s="198"/>
      <c r="T78" s="198"/>
      <c r="U78" s="198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198"/>
      <c r="AJ78" s="198"/>
      <c r="AK78" s="198"/>
      <c r="AL78" s="198"/>
    </row>
    <row r="79" spans="1:38" s="12" customFormat="1" x14ac:dyDescent="0.25">
      <c r="A79" s="201" t="s">
        <v>310</v>
      </c>
      <c r="B79" s="60">
        <v>22.28</v>
      </c>
      <c r="C79" s="60">
        <v>177.13</v>
      </c>
      <c r="D79" s="60">
        <v>115.62</v>
      </c>
      <c r="E79" s="60">
        <v>82.28</v>
      </c>
      <c r="F79" s="60">
        <v>51.08</v>
      </c>
      <c r="G79" s="60">
        <v>143.6</v>
      </c>
      <c r="H79" s="60">
        <v>64.23</v>
      </c>
      <c r="I79" s="60">
        <v>0.31</v>
      </c>
      <c r="J79" s="60">
        <v>0.56999999999999995</v>
      </c>
      <c r="K79" s="60">
        <v>15.65</v>
      </c>
      <c r="L79" s="213" t="s">
        <v>35</v>
      </c>
      <c r="M79" s="213" t="s">
        <v>35</v>
      </c>
      <c r="N79" s="60">
        <v>5.0999999999999996</v>
      </c>
      <c r="O79" s="60">
        <v>0</v>
      </c>
      <c r="P79" s="60">
        <v>2.04</v>
      </c>
      <c r="Q79" s="60">
        <v>107.62</v>
      </c>
      <c r="R79" s="198"/>
      <c r="S79" s="198"/>
      <c r="T79" s="198"/>
      <c r="U79" s="198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198"/>
      <c r="AJ79" s="198"/>
      <c r="AK79" s="198"/>
      <c r="AL79" s="198"/>
    </row>
    <row r="80" spans="1:38" s="12" customFormat="1" x14ac:dyDescent="0.25">
      <c r="A80" s="201" t="s">
        <v>311</v>
      </c>
      <c r="B80" s="60">
        <v>39.39</v>
      </c>
      <c r="C80" s="60">
        <v>205.48</v>
      </c>
      <c r="D80" s="60">
        <v>144.97999999999999</v>
      </c>
      <c r="E80" s="60">
        <v>77.27</v>
      </c>
      <c r="F80" s="60">
        <v>42.18</v>
      </c>
      <c r="G80" s="60">
        <v>143.6</v>
      </c>
      <c r="H80" s="60">
        <v>64.23</v>
      </c>
      <c r="I80" s="60">
        <v>0.41</v>
      </c>
      <c r="J80" s="60">
        <v>0.54</v>
      </c>
      <c r="K80" s="60">
        <v>20.13</v>
      </c>
      <c r="L80" s="213" t="s">
        <v>35</v>
      </c>
      <c r="M80" s="213" t="s">
        <v>35</v>
      </c>
      <c r="N80" s="60">
        <v>4.5999999999999996</v>
      </c>
      <c r="O80" s="60">
        <v>0</v>
      </c>
      <c r="P80" s="60">
        <v>2.27</v>
      </c>
      <c r="Q80" s="60">
        <v>113.86</v>
      </c>
      <c r="R80" s="198"/>
      <c r="S80" s="198"/>
      <c r="T80" s="198"/>
      <c r="U80" s="198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198"/>
      <c r="AJ80" s="198"/>
      <c r="AK80" s="198"/>
      <c r="AL80" s="198"/>
    </row>
    <row r="81" spans="1:38" s="12" customFormat="1" x14ac:dyDescent="0.25">
      <c r="A81" s="201" t="s">
        <v>312</v>
      </c>
      <c r="B81" s="60">
        <v>60.94</v>
      </c>
      <c r="C81" s="60">
        <v>238.23</v>
      </c>
      <c r="D81" s="60">
        <v>180.2</v>
      </c>
      <c r="E81" s="60">
        <v>73.25</v>
      </c>
      <c r="F81" s="60">
        <v>29.74</v>
      </c>
      <c r="G81" s="60">
        <v>143.6</v>
      </c>
      <c r="H81" s="60">
        <v>64.23</v>
      </c>
      <c r="I81" s="60">
        <v>0.46</v>
      </c>
      <c r="J81" s="60">
        <v>0.59</v>
      </c>
      <c r="K81" s="60">
        <v>12.83</v>
      </c>
      <c r="L81" s="213" t="s">
        <v>35</v>
      </c>
      <c r="M81" s="213" t="s">
        <v>35</v>
      </c>
      <c r="N81" s="60">
        <v>4.5999999999999996</v>
      </c>
      <c r="O81" s="60">
        <v>0</v>
      </c>
      <c r="P81" s="60">
        <v>2.63</v>
      </c>
      <c r="Q81" s="60">
        <v>143.13</v>
      </c>
      <c r="R81" s="198"/>
      <c r="S81" s="198"/>
      <c r="T81" s="198"/>
      <c r="U81" s="198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198"/>
      <c r="AJ81" s="198"/>
      <c r="AK81" s="198"/>
      <c r="AL81" s="198"/>
    </row>
    <row r="82" spans="1:38" s="12" customFormat="1" x14ac:dyDescent="0.25">
      <c r="A82" s="201" t="s">
        <v>313</v>
      </c>
      <c r="B82" s="60">
        <v>26.06</v>
      </c>
      <c r="C82" s="60">
        <v>192.7</v>
      </c>
      <c r="D82" s="60">
        <v>127.24</v>
      </c>
      <c r="E82" s="60">
        <v>73.819999999999993</v>
      </c>
      <c r="F82" s="60">
        <v>44.56</v>
      </c>
      <c r="G82" s="60">
        <v>173.68</v>
      </c>
      <c r="H82" s="60">
        <v>69.17</v>
      </c>
      <c r="I82" s="60">
        <v>0.52</v>
      </c>
      <c r="J82" s="60">
        <v>0.78</v>
      </c>
      <c r="K82" s="60">
        <v>19.39</v>
      </c>
      <c r="L82" s="213" t="s">
        <v>35</v>
      </c>
      <c r="M82" s="213" t="s">
        <v>35</v>
      </c>
      <c r="N82" s="60">
        <v>4.4000000000000004</v>
      </c>
      <c r="O82" s="60">
        <v>0</v>
      </c>
      <c r="P82" s="60">
        <v>2.31</v>
      </c>
      <c r="Q82" s="60">
        <v>145.41</v>
      </c>
      <c r="R82" s="198"/>
      <c r="S82" s="198"/>
      <c r="T82" s="198"/>
      <c r="U82" s="198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198"/>
      <c r="AJ82" s="198"/>
      <c r="AK82" s="198"/>
      <c r="AL82" s="198"/>
    </row>
    <row r="83" spans="1:38" s="12" customFormat="1" x14ac:dyDescent="0.25">
      <c r="A83" s="201" t="s">
        <v>314</v>
      </c>
      <c r="B83" s="60">
        <v>49.37</v>
      </c>
      <c r="C83" s="60">
        <v>241.48</v>
      </c>
      <c r="D83" s="60">
        <v>172.86</v>
      </c>
      <c r="E83" s="60">
        <v>85.2</v>
      </c>
      <c r="F83" s="60">
        <v>28.34</v>
      </c>
      <c r="G83" s="60">
        <v>173.68</v>
      </c>
      <c r="H83" s="60">
        <v>70.86</v>
      </c>
      <c r="I83" s="60">
        <v>0.63</v>
      </c>
      <c r="J83" s="60">
        <v>0.42</v>
      </c>
      <c r="K83" s="60">
        <v>21.68</v>
      </c>
      <c r="L83" s="213" t="s">
        <v>35</v>
      </c>
      <c r="M83" s="213" t="s">
        <v>35</v>
      </c>
      <c r="N83" s="60">
        <v>4.8</v>
      </c>
      <c r="O83" s="60">
        <v>0</v>
      </c>
      <c r="P83" s="60">
        <v>2.68</v>
      </c>
      <c r="Q83" s="60">
        <v>144.41</v>
      </c>
      <c r="R83" s="198"/>
      <c r="S83" s="198"/>
      <c r="T83" s="198"/>
      <c r="U83" s="198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</row>
    <row r="84" spans="1:38" s="12" customFormat="1" x14ac:dyDescent="0.25">
      <c r="A84" s="201" t="s">
        <v>315</v>
      </c>
      <c r="B84" s="60">
        <v>39.409999999999997</v>
      </c>
      <c r="C84" s="60">
        <v>249.64</v>
      </c>
      <c r="D84" s="60">
        <v>169.38</v>
      </c>
      <c r="E84" s="60">
        <v>85.78</v>
      </c>
      <c r="F84" s="60">
        <v>22.79</v>
      </c>
      <c r="G84" s="60">
        <v>173.68</v>
      </c>
      <c r="H84" s="60">
        <v>70.86</v>
      </c>
      <c r="I84" s="60">
        <v>0.56000000000000005</v>
      </c>
      <c r="J84" s="60">
        <v>0.38</v>
      </c>
      <c r="K84" s="60">
        <v>19.66</v>
      </c>
      <c r="L84" s="213" t="s">
        <v>35</v>
      </c>
      <c r="M84" s="213" t="s">
        <v>35</v>
      </c>
      <c r="N84" s="60">
        <v>4.8</v>
      </c>
      <c r="O84" s="60">
        <v>0</v>
      </c>
      <c r="P84" s="60">
        <v>2.94</v>
      </c>
      <c r="Q84" s="60">
        <v>145.77000000000001</v>
      </c>
      <c r="R84" s="198"/>
      <c r="S84" s="198"/>
      <c r="T84" s="198"/>
      <c r="U84" s="198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</row>
    <row r="85" spans="1:38" s="12" customFormat="1" x14ac:dyDescent="0.25">
      <c r="A85" s="201" t="s">
        <v>316</v>
      </c>
      <c r="B85" s="60">
        <v>22.91</v>
      </c>
      <c r="C85" s="60">
        <v>248.39</v>
      </c>
      <c r="D85" s="60">
        <v>155.44999999999999</v>
      </c>
      <c r="E85" s="60">
        <v>76.12</v>
      </c>
      <c r="F85" s="60">
        <v>20.14</v>
      </c>
      <c r="G85" s="60">
        <v>173.68</v>
      </c>
      <c r="H85" s="60">
        <v>70.86</v>
      </c>
      <c r="I85" s="60">
        <v>0.55000000000000004</v>
      </c>
      <c r="J85" s="60">
        <v>0.09</v>
      </c>
      <c r="K85" s="60">
        <v>5.44</v>
      </c>
      <c r="L85" s="213" t="s">
        <v>35</v>
      </c>
      <c r="M85" s="213" t="s">
        <v>35</v>
      </c>
      <c r="N85" s="60">
        <v>4.9000000000000004</v>
      </c>
      <c r="O85" s="60">
        <v>0</v>
      </c>
      <c r="P85" s="60">
        <v>2.72</v>
      </c>
      <c r="Q85" s="60">
        <v>151.96</v>
      </c>
      <c r="R85" s="198"/>
      <c r="S85" s="198"/>
      <c r="T85" s="198"/>
      <c r="U85" s="198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</row>
    <row r="86" spans="1:38" s="12" customFormat="1" x14ac:dyDescent="0.25">
      <c r="A86" s="201" t="s">
        <v>317</v>
      </c>
      <c r="B86" s="60">
        <v>20.91</v>
      </c>
      <c r="C86" s="60">
        <v>251.53</v>
      </c>
      <c r="D86" s="60">
        <v>155.59</v>
      </c>
      <c r="E86" s="60">
        <v>64.66</v>
      </c>
      <c r="F86" s="60">
        <v>18.41</v>
      </c>
      <c r="G86" s="60">
        <v>222.63</v>
      </c>
      <c r="H86" s="60">
        <v>82.27</v>
      </c>
      <c r="I86" s="60">
        <v>0.69</v>
      </c>
      <c r="J86" s="60">
        <v>0.08</v>
      </c>
      <c r="K86" s="60">
        <v>76.09</v>
      </c>
      <c r="L86" s="213" t="s">
        <v>35</v>
      </c>
      <c r="M86" s="213" t="s">
        <v>35</v>
      </c>
      <c r="N86" s="60">
        <v>5</v>
      </c>
      <c r="O86" s="60">
        <v>0</v>
      </c>
      <c r="P86" s="60">
        <v>3.06</v>
      </c>
      <c r="Q86" s="60">
        <v>141.06</v>
      </c>
      <c r="R86" s="198"/>
      <c r="S86" s="198"/>
      <c r="T86" s="198"/>
      <c r="U86" s="198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</row>
    <row r="87" spans="1:38" s="12" customFormat="1" x14ac:dyDescent="0.25">
      <c r="A87" s="201" t="s">
        <v>318</v>
      </c>
      <c r="B87" s="60">
        <v>18.440000000000001</v>
      </c>
      <c r="C87" s="60">
        <v>230.04</v>
      </c>
      <c r="D87" s="60">
        <v>141.74</v>
      </c>
      <c r="E87" s="60">
        <v>55.64</v>
      </c>
      <c r="F87" s="60">
        <v>21.74</v>
      </c>
      <c r="G87" s="60">
        <v>222.63</v>
      </c>
      <c r="H87" s="60">
        <v>86.18</v>
      </c>
      <c r="I87" s="60">
        <v>0.8</v>
      </c>
      <c r="J87" s="60">
        <v>0.24</v>
      </c>
      <c r="K87" s="60">
        <v>83.54</v>
      </c>
      <c r="L87" s="213" t="s">
        <v>35</v>
      </c>
      <c r="M87" s="213" t="s">
        <v>35</v>
      </c>
      <c r="N87" s="60">
        <v>4.4000000000000004</v>
      </c>
      <c r="O87" s="60">
        <v>0</v>
      </c>
      <c r="P87" s="60">
        <v>2.95</v>
      </c>
      <c r="Q87" s="60">
        <v>135.63999999999999</v>
      </c>
      <c r="R87" s="198"/>
      <c r="S87" s="198"/>
      <c r="T87" s="198"/>
      <c r="U87" s="198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</row>
    <row r="88" spans="1:38" s="12" customFormat="1" x14ac:dyDescent="0.25">
      <c r="A88" s="201" t="s">
        <v>319</v>
      </c>
      <c r="B88" s="60">
        <v>12.18</v>
      </c>
      <c r="C88" s="60">
        <v>214.83</v>
      </c>
      <c r="D88" s="60">
        <v>128.32</v>
      </c>
      <c r="E88" s="60">
        <v>38.31</v>
      </c>
      <c r="F88" s="60">
        <v>21.31</v>
      </c>
      <c r="G88" s="60">
        <v>222.63</v>
      </c>
      <c r="H88" s="60">
        <v>86.18</v>
      </c>
      <c r="I88" s="60">
        <v>0.83</v>
      </c>
      <c r="J88" s="60">
        <v>0.24</v>
      </c>
      <c r="K88" s="60">
        <v>101.67</v>
      </c>
      <c r="L88" s="213" t="s">
        <v>35</v>
      </c>
      <c r="M88" s="213" t="s">
        <v>35</v>
      </c>
      <c r="N88" s="60">
        <v>4.8</v>
      </c>
      <c r="O88" s="60">
        <v>0</v>
      </c>
      <c r="P88" s="60">
        <v>3.18</v>
      </c>
      <c r="Q88" s="60">
        <v>134.46</v>
      </c>
      <c r="R88" s="198"/>
      <c r="S88" s="198"/>
      <c r="T88" s="198"/>
      <c r="U88" s="198"/>
      <c r="V88" s="66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</row>
    <row r="89" spans="1:38" s="12" customFormat="1" x14ac:dyDescent="0.25">
      <c r="A89" s="201" t="s">
        <v>320</v>
      </c>
      <c r="B89" s="60">
        <v>115.32</v>
      </c>
      <c r="C89" s="60">
        <v>344.05</v>
      </c>
      <c r="D89" s="60">
        <v>282.35000000000002</v>
      </c>
      <c r="E89" s="60">
        <v>42.26</v>
      </c>
      <c r="F89" s="60">
        <v>5.22</v>
      </c>
      <c r="G89" s="60">
        <v>222.63</v>
      </c>
      <c r="H89" s="60">
        <v>86.18</v>
      </c>
      <c r="I89" s="60">
        <v>0.99</v>
      </c>
      <c r="J89" s="60">
        <v>0.23</v>
      </c>
      <c r="K89" s="60">
        <v>68.95</v>
      </c>
      <c r="L89" s="213" t="s">
        <v>35</v>
      </c>
      <c r="M89" s="213" t="s">
        <v>35</v>
      </c>
      <c r="N89" s="60">
        <v>4.7</v>
      </c>
      <c r="O89" s="60">
        <v>0</v>
      </c>
      <c r="P89" s="60">
        <v>5.31</v>
      </c>
      <c r="Q89" s="60">
        <v>155.55000000000001</v>
      </c>
      <c r="R89" s="198"/>
      <c r="S89" s="198"/>
      <c r="T89" s="198"/>
      <c r="U89" s="198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</row>
    <row r="90" spans="1:38" s="12" customFormat="1" x14ac:dyDescent="0.25">
      <c r="A90" s="201" t="s">
        <v>321</v>
      </c>
      <c r="B90" s="60">
        <v>39.35</v>
      </c>
      <c r="C90" s="60">
        <v>280.79000000000002</v>
      </c>
      <c r="D90" s="60">
        <v>186.52</v>
      </c>
      <c r="E90" s="60">
        <v>63.58</v>
      </c>
      <c r="F90" s="60">
        <v>7.37</v>
      </c>
      <c r="G90" s="60">
        <v>256.27999999999997</v>
      </c>
      <c r="H90" s="60">
        <v>90.87</v>
      </c>
      <c r="I90" s="60">
        <v>1.45</v>
      </c>
      <c r="J90" s="60">
        <v>0.27</v>
      </c>
      <c r="K90" s="60">
        <v>83.38</v>
      </c>
      <c r="L90" s="213" t="s">
        <v>35</v>
      </c>
      <c r="M90" s="213" t="s">
        <v>35</v>
      </c>
      <c r="N90" s="60">
        <v>4.5999999999999996</v>
      </c>
      <c r="O90" s="60">
        <v>0</v>
      </c>
      <c r="P90" s="60">
        <v>3.94</v>
      </c>
      <c r="Q90" s="60">
        <v>201.27</v>
      </c>
      <c r="R90" s="198"/>
      <c r="S90" s="198"/>
      <c r="T90" s="198"/>
      <c r="U90" s="198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</row>
    <row r="91" spans="1:38" s="12" customFormat="1" x14ac:dyDescent="0.25">
      <c r="A91" s="201" t="s">
        <v>322</v>
      </c>
      <c r="B91" s="60">
        <v>123.83</v>
      </c>
      <c r="C91" s="60">
        <v>335.55</v>
      </c>
      <c r="D91" s="60">
        <v>284.49</v>
      </c>
      <c r="E91" s="60">
        <v>55.55</v>
      </c>
      <c r="F91" s="60">
        <v>4.99</v>
      </c>
      <c r="G91" s="60">
        <v>256.27999999999997</v>
      </c>
      <c r="H91" s="60">
        <v>92.47</v>
      </c>
      <c r="I91" s="60">
        <v>1.85</v>
      </c>
      <c r="J91" s="60">
        <v>0.19</v>
      </c>
      <c r="K91" s="60">
        <v>38.33</v>
      </c>
      <c r="L91" s="213" t="s">
        <v>35</v>
      </c>
      <c r="M91" s="213" t="s">
        <v>35</v>
      </c>
      <c r="N91" s="60">
        <v>4.9000000000000004</v>
      </c>
      <c r="O91" s="60">
        <v>0</v>
      </c>
      <c r="P91" s="60">
        <v>5.65</v>
      </c>
      <c r="Q91" s="60">
        <v>196.74</v>
      </c>
      <c r="R91" s="198"/>
      <c r="S91" s="198"/>
      <c r="T91" s="198"/>
      <c r="U91" s="198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</row>
    <row r="92" spans="1:38" s="12" customFormat="1" x14ac:dyDescent="0.25">
      <c r="A92" s="201" t="s">
        <v>323</v>
      </c>
      <c r="B92" s="60">
        <v>21.94</v>
      </c>
      <c r="C92" s="60">
        <v>247.55</v>
      </c>
      <c r="D92" s="60">
        <v>154.21</v>
      </c>
      <c r="E92" s="60">
        <v>84.51</v>
      </c>
      <c r="F92" s="60">
        <v>7.62</v>
      </c>
      <c r="G92" s="60">
        <v>256.27999999999997</v>
      </c>
      <c r="H92" s="60">
        <v>92.47</v>
      </c>
      <c r="I92" s="60">
        <v>1.76</v>
      </c>
      <c r="J92" s="60">
        <v>0.21</v>
      </c>
      <c r="K92" s="60">
        <v>68.97</v>
      </c>
      <c r="L92" s="213" t="s">
        <v>35</v>
      </c>
      <c r="M92" s="213" t="s">
        <v>35</v>
      </c>
      <c r="N92" s="60">
        <v>4.5999999999999996</v>
      </c>
      <c r="O92" s="60">
        <v>0</v>
      </c>
      <c r="P92" s="60">
        <v>3.53</v>
      </c>
      <c r="Q92" s="60">
        <v>220.91</v>
      </c>
      <c r="R92" s="198"/>
      <c r="S92" s="198"/>
      <c r="T92" s="198"/>
      <c r="U92" s="198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</row>
    <row r="93" spans="1:38" s="12" customFormat="1" x14ac:dyDescent="0.25">
      <c r="A93" s="201" t="s">
        <v>324</v>
      </c>
      <c r="B93" s="60">
        <v>28.27</v>
      </c>
      <c r="C93" s="60">
        <v>251.37</v>
      </c>
      <c r="D93" s="60">
        <v>161.4</v>
      </c>
      <c r="E93" s="60">
        <v>63.6</v>
      </c>
      <c r="F93" s="60">
        <v>9.5399999999999991</v>
      </c>
      <c r="G93" s="60">
        <v>256.27999999999997</v>
      </c>
      <c r="H93" s="60">
        <v>92.47</v>
      </c>
      <c r="I93" s="60">
        <v>1.64</v>
      </c>
      <c r="J93" s="60">
        <v>0.09</v>
      </c>
      <c r="K93" s="60">
        <v>59.63</v>
      </c>
      <c r="L93" s="213" t="s">
        <v>35</v>
      </c>
      <c r="M93" s="213" t="s">
        <v>35</v>
      </c>
      <c r="N93" s="60">
        <v>5</v>
      </c>
      <c r="O93" s="60">
        <v>0</v>
      </c>
      <c r="P93" s="60">
        <v>3.23</v>
      </c>
      <c r="Q93" s="60">
        <v>150.13</v>
      </c>
      <c r="R93" s="198"/>
      <c r="S93" s="198"/>
      <c r="T93" s="198"/>
      <c r="U93" s="198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</row>
    <row r="94" spans="1:38" s="12" customFormat="1" x14ac:dyDescent="0.25">
      <c r="A94" s="201" t="s">
        <v>325</v>
      </c>
      <c r="B94" s="60">
        <v>43.1</v>
      </c>
      <c r="C94" s="60">
        <v>267.16000000000003</v>
      </c>
      <c r="D94" s="60">
        <v>182</v>
      </c>
      <c r="E94" s="60">
        <v>51.12</v>
      </c>
      <c r="F94" s="60">
        <v>7.66</v>
      </c>
      <c r="G94" s="60">
        <v>317.83</v>
      </c>
      <c r="H94" s="60">
        <v>97.66</v>
      </c>
      <c r="I94" s="60">
        <v>1.37</v>
      </c>
      <c r="J94" s="60">
        <v>0.09</v>
      </c>
      <c r="K94" s="60">
        <v>290.92</v>
      </c>
      <c r="L94" s="213" t="s">
        <v>35</v>
      </c>
      <c r="M94" s="213" t="s">
        <v>35</v>
      </c>
      <c r="N94" s="60">
        <v>5</v>
      </c>
      <c r="O94" s="60">
        <v>0</v>
      </c>
      <c r="P94" s="60">
        <v>3.45</v>
      </c>
      <c r="Q94" s="60">
        <v>134.22999999999999</v>
      </c>
      <c r="R94" s="198"/>
      <c r="S94" s="198"/>
      <c r="T94" s="198"/>
      <c r="U94" s="198"/>
      <c r="V94" s="54"/>
      <c r="W94" s="54"/>
      <c r="X94" s="54"/>
      <c r="Y94" s="54"/>
      <c r="Z94" s="54"/>
      <c r="AA94" s="54"/>
      <c r="AB94" s="54"/>
      <c r="AC94" s="54"/>
      <c r="AD94" s="54"/>
    </row>
    <row r="95" spans="1:38" s="12" customFormat="1" x14ac:dyDescent="0.25">
      <c r="A95" s="201" t="s">
        <v>326</v>
      </c>
      <c r="B95" s="60">
        <v>177.14</v>
      </c>
      <c r="C95" s="60">
        <v>396.01</v>
      </c>
      <c r="D95" s="60">
        <v>360.6</v>
      </c>
      <c r="E95" s="60">
        <v>44.39</v>
      </c>
      <c r="F95" s="60">
        <v>4.96</v>
      </c>
      <c r="G95" s="60">
        <v>317.83</v>
      </c>
      <c r="H95" s="60">
        <v>99.44</v>
      </c>
      <c r="I95" s="60">
        <v>1.1200000000000001</v>
      </c>
      <c r="J95" s="60">
        <v>0.12</v>
      </c>
      <c r="K95" s="60">
        <v>333.84</v>
      </c>
      <c r="L95" s="213" t="s">
        <v>35</v>
      </c>
      <c r="M95" s="213" t="s">
        <v>35</v>
      </c>
      <c r="N95" s="60">
        <v>4.9000000000000004</v>
      </c>
      <c r="O95" s="60">
        <v>0</v>
      </c>
      <c r="P95" s="60">
        <v>3.99</v>
      </c>
      <c r="Q95" s="60">
        <v>184.22</v>
      </c>
      <c r="R95" s="198"/>
      <c r="S95" s="198"/>
      <c r="T95" s="198"/>
      <c r="U95" s="198"/>
      <c r="V95" s="54"/>
      <c r="W95" s="54"/>
      <c r="X95" s="54"/>
      <c r="Y95" s="54"/>
      <c r="Z95" s="54"/>
      <c r="AA95" s="54"/>
      <c r="AB95" s="54"/>
      <c r="AC95" s="54"/>
      <c r="AD95" s="54"/>
    </row>
    <row r="96" spans="1:38" s="12" customFormat="1" x14ac:dyDescent="0.25">
      <c r="A96" s="201" t="s">
        <v>327</v>
      </c>
      <c r="B96" s="60">
        <v>112.99</v>
      </c>
      <c r="C96" s="60">
        <v>342.86</v>
      </c>
      <c r="D96" s="60">
        <v>279.83</v>
      </c>
      <c r="E96" s="60">
        <v>40.97</v>
      </c>
      <c r="F96" s="60">
        <v>4.0199999999999996</v>
      </c>
      <c r="G96" s="60">
        <v>317.83</v>
      </c>
      <c r="H96" s="60">
        <v>99.44</v>
      </c>
      <c r="I96" s="60">
        <v>1.26</v>
      </c>
      <c r="J96" s="60">
        <v>0.1</v>
      </c>
      <c r="K96" s="60">
        <v>300.81</v>
      </c>
      <c r="L96" s="213" t="s">
        <v>35</v>
      </c>
      <c r="M96" s="213" t="s">
        <v>35</v>
      </c>
      <c r="N96" s="60">
        <v>4.8</v>
      </c>
      <c r="O96" s="60">
        <v>0</v>
      </c>
      <c r="P96" s="60">
        <v>3.11</v>
      </c>
      <c r="Q96" s="60">
        <v>242.72</v>
      </c>
      <c r="R96" s="198"/>
      <c r="S96" s="198"/>
      <c r="T96" s="198"/>
      <c r="U96" s="198"/>
      <c r="V96" s="54"/>
      <c r="W96" s="54"/>
      <c r="X96" s="54"/>
      <c r="Y96" s="54"/>
      <c r="Z96" s="54"/>
      <c r="AA96" s="54"/>
      <c r="AB96" s="54"/>
      <c r="AC96" s="54"/>
      <c r="AD96" s="54"/>
      <c r="AI96" s="109"/>
    </row>
    <row r="97" spans="1:50" s="12" customFormat="1" x14ac:dyDescent="0.25">
      <c r="A97" s="201" t="s">
        <v>328</v>
      </c>
      <c r="B97" s="60">
        <v>134</v>
      </c>
      <c r="C97" s="60">
        <v>330.7</v>
      </c>
      <c r="D97" s="60">
        <v>289.95999999999998</v>
      </c>
      <c r="E97" s="60">
        <v>34.07</v>
      </c>
      <c r="F97" s="60">
        <v>3.66</v>
      </c>
      <c r="G97" s="60">
        <v>317.83</v>
      </c>
      <c r="H97" s="60">
        <v>99.44</v>
      </c>
      <c r="I97" s="60">
        <v>1.38</v>
      </c>
      <c r="J97" s="60">
        <v>0.18</v>
      </c>
      <c r="K97" s="60">
        <v>355.76</v>
      </c>
      <c r="L97" s="213" t="s">
        <v>35</v>
      </c>
      <c r="M97" s="213" t="s">
        <v>35</v>
      </c>
      <c r="N97" s="60">
        <v>4.7</v>
      </c>
      <c r="O97" s="60">
        <v>0</v>
      </c>
      <c r="P97" s="60">
        <v>4.3499999999999996</v>
      </c>
      <c r="Q97" s="60">
        <v>227.04</v>
      </c>
      <c r="R97" s="198"/>
      <c r="S97" s="198"/>
      <c r="T97" s="198"/>
      <c r="U97" s="198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</row>
    <row r="98" spans="1:50" s="12" customFormat="1" x14ac:dyDescent="0.25">
      <c r="A98" s="201" t="s">
        <v>329</v>
      </c>
      <c r="B98" s="60">
        <v>128.76</v>
      </c>
      <c r="C98" s="60">
        <v>334.68</v>
      </c>
      <c r="D98" s="60">
        <v>287.95999999999998</v>
      </c>
      <c r="E98" s="60">
        <v>30.81</v>
      </c>
      <c r="F98" s="60">
        <v>3.81</v>
      </c>
      <c r="G98" s="60">
        <v>327.27</v>
      </c>
      <c r="H98" s="60">
        <v>102.24</v>
      </c>
      <c r="I98" s="60">
        <v>1.39</v>
      </c>
      <c r="J98" s="60">
        <v>0.12</v>
      </c>
      <c r="K98" s="60">
        <v>300.95</v>
      </c>
      <c r="L98" s="213" t="s">
        <v>35</v>
      </c>
      <c r="M98" s="213" t="s">
        <v>35</v>
      </c>
      <c r="N98" s="60">
        <v>4.5999999999999996</v>
      </c>
      <c r="O98" s="60">
        <v>0</v>
      </c>
      <c r="P98" s="60">
        <v>4.07</v>
      </c>
      <c r="Q98" s="60">
        <v>242.7</v>
      </c>
      <c r="R98" s="198"/>
      <c r="S98" s="198"/>
      <c r="T98" s="198"/>
      <c r="U98" s="198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</row>
    <row r="99" spans="1:50" s="12" customFormat="1" x14ac:dyDescent="0.25">
      <c r="A99" s="201" t="s">
        <v>330</v>
      </c>
      <c r="B99" s="60">
        <v>169.53</v>
      </c>
      <c r="C99" s="60">
        <v>378.2</v>
      </c>
      <c r="D99" s="60">
        <v>344.67</v>
      </c>
      <c r="E99" s="60">
        <v>28.93</v>
      </c>
      <c r="F99" s="60">
        <v>3.83</v>
      </c>
      <c r="G99" s="60">
        <v>327.27</v>
      </c>
      <c r="H99" s="60">
        <v>103.21</v>
      </c>
      <c r="I99" s="60">
        <v>1.6</v>
      </c>
      <c r="J99" s="60">
        <v>0.09</v>
      </c>
      <c r="K99" s="60">
        <v>307.42</v>
      </c>
      <c r="L99" s="213" t="s">
        <v>35</v>
      </c>
      <c r="M99" s="213" t="s">
        <v>35</v>
      </c>
      <c r="N99" s="60">
        <v>4.8</v>
      </c>
      <c r="O99" s="60">
        <v>0</v>
      </c>
      <c r="P99" s="60">
        <v>4.09</v>
      </c>
      <c r="Q99" s="60">
        <v>272.25</v>
      </c>
      <c r="R99" s="198"/>
      <c r="S99" s="198"/>
      <c r="T99" s="198"/>
      <c r="U99" s="198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</row>
    <row r="100" spans="1:50" s="12" customFormat="1" x14ac:dyDescent="0.25">
      <c r="A100" s="201" t="s">
        <v>331</v>
      </c>
      <c r="B100" s="60">
        <v>131.78</v>
      </c>
      <c r="C100" s="60">
        <v>328</v>
      </c>
      <c r="D100" s="60">
        <v>286.69</v>
      </c>
      <c r="E100" s="60">
        <v>26.47</v>
      </c>
      <c r="F100" s="60">
        <v>3.4</v>
      </c>
      <c r="G100" s="60">
        <v>327.27</v>
      </c>
      <c r="H100" s="60">
        <v>103.21</v>
      </c>
      <c r="I100" s="60">
        <v>1.83</v>
      </c>
      <c r="J100" s="60">
        <v>0.17</v>
      </c>
      <c r="K100" s="60">
        <v>334.16</v>
      </c>
      <c r="L100" s="213" t="s">
        <v>35</v>
      </c>
      <c r="M100" s="213" t="s">
        <v>35</v>
      </c>
      <c r="N100" s="60">
        <v>4.7</v>
      </c>
      <c r="O100" s="60">
        <v>0</v>
      </c>
      <c r="P100" s="60">
        <v>3.88</v>
      </c>
      <c r="Q100" s="60">
        <v>271.16000000000003</v>
      </c>
      <c r="R100" s="198"/>
      <c r="S100" s="198"/>
      <c r="T100" s="198"/>
      <c r="U100" s="198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S100" s="110"/>
      <c r="AX100" s="109"/>
    </row>
    <row r="101" spans="1:50" s="12" customFormat="1" x14ac:dyDescent="0.25">
      <c r="A101" s="201" t="s">
        <v>332</v>
      </c>
      <c r="B101" s="60">
        <v>63.98</v>
      </c>
      <c r="C101" s="60">
        <v>234.38</v>
      </c>
      <c r="D101" s="60">
        <v>180.66</v>
      </c>
      <c r="E101" s="60">
        <v>26.29</v>
      </c>
      <c r="F101" s="60">
        <v>5.48</v>
      </c>
      <c r="G101" s="60">
        <v>327.27</v>
      </c>
      <c r="H101" s="60">
        <v>103.21</v>
      </c>
      <c r="I101" s="60">
        <v>1.71</v>
      </c>
      <c r="J101" s="60">
        <v>0.13</v>
      </c>
      <c r="K101" s="60">
        <v>304.79000000000002</v>
      </c>
      <c r="L101" s="213" t="s">
        <v>35</v>
      </c>
      <c r="M101" s="213" t="s">
        <v>35</v>
      </c>
      <c r="N101" s="60">
        <v>4.5999999999999996</v>
      </c>
      <c r="O101" s="60">
        <v>0</v>
      </c>
      <c r="P101" s="60">
        <v>2.48</v>
      </c>
      <c r="Q101" s="60">
        <v>220.61</v>
      </c>
      <c r="R101" s="198"/>
      <c r="S101" s="198"/>
      <c r="T101" s="198"/>
      <c r="U101" s="198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</row>
    <row r="102" spans="1:50" s="12" customFormat="1" x14ac:dyDescent="0.25">
      <c r="A102" s="201" t="s">
        <v>333</v>
      </c>
      <c r="B102" s="60">
        <v>71.7</v>
      </c>
      <c r="C102" s="60">
        <v>213.52</v>
      </c>
      <c r="D102" s="60">
        <v>175.34</v>
      </c>
      <c r="E102" s="60">
        <v>24.64</v>
      </c>
      <c r="F102" s="60">
        <v>3.25</v>
      </c>
      <c r="G102" s="60">
        <v>364.59</v>
      </c>
      <c r="H102" s="60">
        <v>102.67</v>
      </c>
      <c r="I102" s="60">
        <v>1.29</v>
      </c>
      <c r="J102" s="60">
        <v>0.12</v>
      </c>
      <c r="K102" s="60">
        <v>278.64999999999998</v>
      </c>
      <c r="L102" s="213" t="s">
        <v>35</v>
      </c>
      <c r="M102" s="213" t="s">
        <v>35</v>
      </c>
      <c r="N102" s="60">
        <v>4.7</v>
      </c>
      <c r="O102" s="60">
        <v>0</v>
      </c>
      <c r="P102" s="60">
        <v>2.23</v>
      </c>
      <c r="Q102" s="60">
        <v>199.5</v>
      </c>
      <c r="R102" s="198"/>
      <c r="S102" s="198"/>
      <c r="T102" s="198"/>
      <c r="U102" s="198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</row>
    <row r="103" spans="1:50" s="12" customFormat="1" x14ac:dyDescent="0.25">
      <c r="A103" s="201" t="s">
        <v>334</v>
      </c>
      <c r="B103" s="60">
        <v>84.09</v>
      </c>
      <c r="C103" s="60">
        <v>243.44</v>
      </c>
      <c r="D103" s="60">
        <v>201.78</v>
      </c>
      <c r="E103" s="60">
        <v>22.17</v>
      </c>
      <c r="F103" s="60">
        <v>2.91</v>
      </c>
      <c r="G103" s="60">
        <v>364.59</v>
      </c>
      <c r="H103" s="60">
        <v>102.49</v>
      </c>
      <c r="I103" s="60">
        <v>1</v>
      </c>
      <c r="J103" s="60">
        <v>0.17</v>
      </c>
      <c r="K103" s="60">
        <v>7.63</v>
      </c>
      <c r="L103" s="213" t="s">
        <v>35</v>
      </c>
      <c r="M103" s="213" t="s">
        <v>35</v>
      </c>
      <c r="N103" s="60">
        <v>4.8</v>
      </c>
      <c r="O103" s="60">
        <v>0</v>
      </c>
      <c r="P103" s="60">
        <v>2.93</v>
      </c>
      <c r="Q103" s="60">
        <v>188.49</v>
      </c>
      <c r="R103" s="198"/>
      <c r="S103" s="198"/>
      <c r="T103" s="198"/>
      <c r="U103" s="198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</row>
    <row r="104" spans="1:50" s="12" customFormat="1" x14ac:dyDescent="0.25">
      <c r="A104" s="201" t="s">
        <v>335</v>
      </c>
      <c r="B104" s="60">
        <v>52.69</v>
      </c>
      <c r="C104" s="60">
        <v>192.62</v>
      </c>
      <c r="D104" s="60">
        <v>148.55000000000001</v>
      </c>
      <c r="E104" s="60">
        <v>15.55</v>
      </c>
      <c r="F104" s="60">
        <v>2.88</v>
      </c>
      <c r="G104" s="60">
        <v>364.59</v>
      </c>
      <c r="H104" s="60">
        <v>102.49</v>
      </c>
      <c r="I104" s="60">
        <v>0.95</v>
      </c>
      <c r="J104" s="60">
        <v>0.05</v>
      </c>
      <c r="K104" s="60">
        <v>308.58999999999997</v>
      </c>
      <c r="L104" s="213" t="s">
        <v>35</v>
      </c>
      <c r="M104" s="213" t="s">
        <v>35</v>
      </c>
      <c r="N104" s="60">
        <v>4.5999999999999996</v>
      </c>
      <c r="O104" s="60">
        <v>0</v>
      </c>
      <c r="P104" s="60">
        <v>2.37</v>
      </c>
      <c r="Q104" s="60">
        <v>182.38</v>
      </c>
      <c r="R104" s="198"/>
      <c r="S104" s="198"/>
      <c r="T104" s="198"/>
      <c r="U104" s="198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</row>
    <row r="105" spans="1:50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50" x14ac:dyDescent="0.25">
      <c r="A106" s="65" t="s">
        <v>58</v>
      </c>
      <c r="B106" s="67">
        <f>MIN(B9:B104)</f>
        <v>0.16</v>
      </c>
      <c r="C106" s="67">
        <f>MIN(C9:C104)</f>
        <v>38.79</v>
      </c>
      <c r="D106" s="67">
        <f t="shared" ref="D106:Q106" si="0">MIN(D9:D104)</f>
        <v>22.61</v>
      </c>
      <c r="E106" s="67">
        <f t="shared" si="0"/>
        <v>15.55</v>
      </c>
      <c r="F106" s="67">
        <f t="shared" si="0"/>
        <v>2.88</v>
      </c>
      <c r="G106" s="67">
        <f t="shared" si="0"/>
        <v>108.87</v>
      </c>
      <c r="H106" s="67">
        <f t="shared" si="0"/>
        <v>52.41</v>
      </c>
      <c r="I106" s="67">
        <f t="shared" si="0"/>
        <v>7.0000000000000007E-2</v>
      </c>
      <c r="J106" s="67">
        <f t="shared" si="0"/>
        <v>0.05</v>
      </c>
      <c r="K106" s="67">
        <f t="shared" si="0"/>
        <v>5.44</v>
      </c>
      <c r="L106" s="67">
        <f t="shared" si="0"/>
        <v>0</v>
      </c>
      <c r="M106" s="67">
        <f t="shared" si="0"/>
        <v>0</v>
      </c>
      <c r="N106" s="67">
        <f t="shared" si="0"/>
        <v>4.2</v>
      </c>
      <c r="O106" s="67">
        <f t="shared" si="0"/>
        <v>0</v>
      </c>
      <c r="P106" s="67">
        <f t="shared" si="0"/>
        <v>0.47</v>
      </c>
      <c r="Q106" s="67">
        <f t="shared" si="0"/>
        <v>27.15</v>
      </c>
      <c r="R106" s="199"/>
      <c r="S106" s="199"/>
      <c r="T106" s="199"/>
      <c r="U106" s="199"/>
    </row>
    <row r="107" spans="1:50" x14ac:dyDescent="0.25">
      <c r="A107" s="65" t="s">
        <v>59</v>
      </c>
      <c r="B107" s="66">
        <f>MAX(B9:B104)</f>
        <v>177.14</v>
      </c>
      <c r="C107" s="66">
        <f t="shared" ref="C107:Q107" si="1">MAX(C9:C104)</f>
        <v>396.01</v>
      </c>
      <c r="D107" s="66">
        <f t="shared" si="1"/>
        <v>360.6</v>
      </c>
      <c r="E107" s="66">
        <f t="shared" si="1"/>
        <v>144.94</v>
      </c>
      <c r="F107" s="66">
        <f t="shared" si="1"/>
        <v>128.46</v>
      </c>
      <c r="G107" s="66">
        <f t="shared" si="1"/>
        <v>364.59</v>
      </c>
      <c r="H107" s="66">
        <f t="shared" si="1"/>
        <v>103.21</v>
      </c>
      <c r="I107" s="66">
        <f t="shared" si="1"/>
        <v>1.85</v>
      </c>
      <c r="J107" s="66">
        <f t="shared" si="1"/>
        <v>1.36</v>
      </c>
      <c r="K107" s="66">
        <f t="shared" si="1"/>
        <v>355.76</v>
      </c>
      <c r="L107" s="66">
        <f t="shared" si="1"/>
        <v>0</v>
      </c>
      <c r="M107" s="66">
        <f t="shared" si="1"/>
        <v>0</v>
      </c>
      <c r="N107" s="66">
        <f t="shared" si="1"/>
        <v>675</v>
      </c>
      <c r="O107" s="66">
        <f t="shared" si="1"/>
        <v>0</v>
      </c>
      <c r="P107" s="66">
        <f t="shared" si="1"/>
        <v>5.65</v>
      </c>
      <c r="Q107" s="66">
        <f t="shared" si="1"/>
        <v>272.25</v>
      </c>
      <c r="R107" s="200"/>
      <c r="S107" s="200"/>
      <c r="T107" s="200"/>
      <c r="U107" s="200"/>
    </row>
    <row r="108" spans="1:50" x14ac:dyDescent="0.25">
      <c r="A108" s="65" t="s">
        <v>60</v>
      </c>
      <c r="B108" s="67">
        <f>AVERAGE(B9:B104)</f>
        <v>26.571875000000002</v>
      </c>
      <c r="C108" s="67">
        <f t="shared" ref="C108:Q108" si="2">AVERAGE(C9:C104)</f>
        <v>135.09114583333334</v>
      </c>
      <c r="D108" s="67">
        <f t="shared" si="2"/>
        <v>95.860624999999985</v>
      </c>
      <c r="E108" s="67">
        <f t="shared" si="2"/>
        <v>57.691354166666706</v>
      </c>
      <c r="F108" s="67">
        <f t="shared" si="2"/>
        <v>50.876874999999991</v>
      </c>
      <c r="G108" s="67">
        <f t="shared" si="2"/>
        <v>183.16916666666668</v>
      </c>
      <c r="H108" s="67">
        <f t="shared" si="2"/>
        <v>73.481979166666662</v>
      </c>
      <c r="I108" s="67">
        <f t="shared" si="2"/>
        <v>0.40593750000000006</v>
      </c>
      <c r="J108" s="67">
        <f t="shared" si="2"/>
        <v>0.43177083333333344</v>
      </c>
      <c r="K108" s="67">
        <f t="shared" si="2"/>
        <v>101.76020833333332</v>
      </c>
      <c r="L108" s="67" t="e">
        <f t="shared" si="2"/>
        <v>#DIV/0!</v>
      </c>
      <c r="M108" s="67" t="e">
        <f t="shared" si="2"/>
        <v>#DIV/0!</v>
      </c>
      <c r="N108" s="67">
        <f t="shared" si="2"/>
        <v>178.44479166666665</v>
      </c>
      <c r="O108" s="67">
        <f t="shared" si="2"/>
        <v>0</v>
      </c>
      <c r="P108" s="67">
        <f t="shared" si="2"/>
        <v>1.5544791666666666</v>
      </c>
      <c r="Q108" s="67">
        <f t="shared" si="2"/>
        <v>91.972812499999989</v>
      </c>
      <c r="R108" s="199"/>
      <c r="S108" s="199"/>
      <c r="T108" s="199"/>
      <c r="U108" s="199"/>
    </row>
    <row r="109" spans="1:50" x14ac:dyDescent="0.25">
      <c r="A109" s="65" t="s">
        <v>76</v>
      </c>
      <c r="B109" s="67">
        <f>STDEV(B9:B104)</f>
        <v>39.526764691455384</v>
      </c>
      <c r="C109" s="67">
        <f t="shared" ref="C109:Q109" si="3">STDEV(C9:C104)</f>
        <v>93.734298557367282</v>
      </c>
      <c r="D109" s="67">
        <f t="shared" si="3"/>
        <v>80.951805698953066</v>
      </c>
      <c r="E109" s="67">
        <f t="shared" si="3"/>
        <v>27.2622043600289</v>
      </c>
      <c r="F109" s="67">
        <f t="shared" si="3"/>
        <v>39.336387394999477</v>
      </c>
      <c r="G109" s="67">
        <f t="shared" si="3"/>
        <v>66.664921631547472</v>
      </c>
      <c r="H109" s="67">
        <f t="shared" si="3"/>
        <v>15.290665168815508</v>
      </c>
      <c r="I109" s="67">
        <f t="shared" si="3"/>
        <v>0.49139238930121598</v>
      </c>
      <c r="J109" s="67">
        <f t="shared" si="3"/>
        <v>0.26169083724548975</v>
      </c>
      <c r="K109" s="67">
        <f t="shared" si="3"/>
        <v>100.9996782692027</v>
      </c>
      <c r="L109" s="67" t="e">
        <f t="shared" si="3"/>
        <v>#DIV/0!</v>
      </c>
      <c r="M109" s="67" t="e">
        <f t="shared" si="3"/>
        <v>#DIV/0!</v>
      </c>
      <c r="N109" s="67">
        <f t="shared" si="3"/>
        <v>250.2017972377671</v>
      </c>
      <c r="O109" s="67">
        <f t="shared" si="3"/>
        <v>0</v>
      </c>
      <c r="P109" s="67">
        <f t="shared" si="3"/>
        <v>1.1982407014071805</v>
      </c>
      <c r="Q109" s="67">
        <f t="shared" si="3"/>
        <v>62.439093838515952</v>
      </c>
      <c r="R109" s="199"/>
      <c r="S109" s="199"/>
      <c r="T109" s="199"/>
      <c r="U109" s="199"/>
    </row>
    <row r="110" spans="1:50" x14ac:dyDescent="0.25">
      <c r="A110" s="65" t="s">
        <v>61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</f>
        <v>96</v>
      </c>
      <c r="F110" s="66">
        <f>COUNT(F9:F104)</f>
        <v>96</v>
      </c>
      <c r="G110" s="66">
        <f>COUNT(G9:G104)</f>
        <v>96</v>
      </c>
      <c r="H110" s="66">
        <f>COUNT(H9:H104)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>COUNT(M9:M104)+96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</row>
    <row r="111" spans="1:50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50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 t="s">
        <v>336</v>
      </c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9" sqref="G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337</v>
      </c>
      <c r="B9" s="60">
        <v>52.92</v>
      </c>
      <c r="C9" s="60">
        <v>188.81</v>
      </c>
      <c r="D9" s="60">
        <v>146.63</v>
      </c>
      <c r="E9" s="60">
        <v>17.59</v>
      </c>
      <c r="F9" s="60">
        <v>2.66</v>
      </c>
      <c r="G9" s="60">
        <v>364.59</v>
      </c>
      <c r="H9" s="60">
        <v>102.49</v>
      </c>
      <c r="I9" s="60">
        <v>0.94</v>
      </c>
      <c r="J9" s="60">
        <v>0.2</v>
      </c>
      <c r="K9" s="60">
        <v>356.69</v>
      </c>
      <c r="L9" s="213" t="s">
        <v>35</v>
      </c>
      <c r="M9" s="213" t="s">
        <v>35</v>
      </c>
      <c r="N9" s="60">
        <v>4.5</v>
      </c>
      <c r="O9" s="60">
        <v>0</v>
      </c>
      <c r="P9" s="60">
        <v>2.6</v>
      </c>
      <c r="Q9" s="60">
        <v>168.48</v>
      </c>
      <c r="R9" s="198"/>
      <c r="S9" s="198"/>
      <c r="T9" s="198"/>
      <c r="U9" s="198"/>
    </row>
    <row r="10" spans="1:21" s="12" customFormat="1" x14ac:dyDescent="0.25">
      <c r="A10" s="201" t="s">
        <v>338</v>
      </c>
      <c r="B10" s="60">
        <v>18.489999999999998</v>
      </c>
      <c r="C10" s="60">
        <v>157.74</v>
      </c>
      <c r="D10" s="60">
        <v>101.88</v>
      </c>
      <c r="E10" s="60">
        <v>21.4</v>
      </c>
      <c r="F10" s="60">
        <v>6.35</v>
      </c>
      <c r="G10" s="60">
        <v>319.60000000000002</v>
      </c>
      <c r="H10" s="60">
        <v>100.2</v>
      </c>
      <c r="I10" s="60">
        <v>0.92</v>
      </c>
      <c r="J10" s="60">
        <v>0.28000000000000003</v>
      </c>
      <c r="K10" s="60">
        <v>350.8</v>
      </c>
      <c r="L10" s="213" t="s">
        <v>35</v>
      </c>
      <c r="M10" s="213" t="s">
        <v>35</v>
      </c>
      <c r="N10" s="60">
        <v>4.2</v>
      </c>
      <c r="O10" s="60">
        <v>0</v>
      </c>
      <c r="P10" s="60">
        <v>2.34</v>
      </c>
      <c r="Q10" s="60">
        <v>151.02000000000001</v>
      </c>
      <c r="R10" s="198"/>
      <c r="S10" s="198"/>
      <c r="T10" s="198"/>
      <c r="U10" s="198"/>
    </row>
    <row r="11" spans="1:21" s="12" customFormat="1" x14ac:dyDescent="0.25">
      <c r="A11" s="201" t="s">
        <v>339</v>
      </c>
      <c r="B11" s="60">
        <v>8.4700000000000006</v>
      </c>
      <c r="C11" s="60">
        <v>155.04</v>
      </c>
      <c r="D11" s="60">
        <v>92.36</v>
      </c>
      <c r="E11" s="60">
        <v>30.55</v>
      </c>
      <c r="F11" s="60">
        <v>8.98</v>
      </c>
      <c r="G11" s="60">
        <v>319.60000000000002</v>
      </c>
      <c r="H11" s="60">
        <v>99.41</v>
      </c>
      <c r="I11" s="60">
        <v>0.93</v>
      </c>
      <c r="J11" s="60">
        <v>0.69</v>
      </c>
      <c r="K11" s="60">
        <v>349.85</v>
      </c>
      <c r="L11" s="213" t="s">
        <v>35</v>
      </c>
      <c r="M11" s="213" t="s">
        <v>35</v>
      </c>
      <c r="N11" s="60">
        <v>3.9</v>
      </c>
      <c r="O11" s="60">
        <v>0</v>
      </c>
      <c r="P11" s="60">
        <v>2.2400000000000002</v>
      </c>
      <c r="Q11" s="60">
        <v>110.95</v>
      </c>
      <c r="R11" s="198"/>
      <c r="S11" s="198"/>
      <c r="T11" s="198"/>
      <c r="U11" s="198"/>
    </row>
    <row r="12" spans="1:21" s="12" customFormat="1" x14ac:dyDescent="0.25">
      <c r="A12" s="201" t="s">
        <v>340</v>
      </c>
      <c r="B12" s="60">
        <v>7.22</v>
      </c>
      <c r="C12" s="60">
        <v>137.55000000000001</v>
      </c>
      <c r="D12" s="60">
        <v>81.7</v>
      </c>
      <c r="E12" s="60">
        <v>50.66</v>
      </c>
      <c r="F12" s="60">
        <v>16.41</v>
      </c>
      <c r="G12" s="60">
        <v>319.60000000000002</v>
      </c>
      <c r="H12" s="60">
        <v>99.41</v>
      </c>
      <c r="I12" s="60">
        <v>0.91</v>
      </c>
      <c r="J12" s="60">
        <v>0.86</v>
      </c>
      <c r="K12" s="60">
        <v>344.67</v>
      </c>
      <c r="L12" s="213" t="s">
        <v>35</v>
      </c>
      <c r="M12" s="213" t="s">
        <v>35</v>
      </c>
      <c r="N12" s="60">
        <v>4.5</v>
      </c>
      <c r="O12" s="60">
        <v>0</v>
      </c>
      <c r="P12" s="60">
        <v>1.71</v>
      </c>
      <c r="Q12" s="60">
        <v>100.93</v>
      </c>
      <c r="R12" s="198"/>
      <c r="S12" s="198"/>
      <c r="T12" s="198"/>
      <c r="U12" s="198"/>
    </row>
    <row r="13" spans="1:21" s="12" customFormat="1" x14ac:dyDescent="0.25">
      <c r="A13" s="201" t="s">
        <v>341</v>
      </c>
      <c r="B13" s="60">
        <v>1.55</v>
      </c>
      <c r="C13" s="60">
        <v>89.12</v>
      </c>
      <c r="D13" s="60">
        <v>50.43</v>
      </c>
      <c r="E13" s="60">
        <v>45.36</v>
      </c>
      <c r="F13" s="60">
        <v>33.74</v>
      </c>
      <c r="G13" s="60">
        <v>319.60000000000002</v>
      </c>
      <c r="H13" s="60">
        <v>99.41</v>
      </c>
      <c r="I13" s="60">
        <v>0.78</v>
      </c>
      <c r="J13" s="60">
        <v>0.69</v>
      </c>
      <c r="K13" s="60">
        <v>348.35</v>
      </c>
      <c r="L13" s="213" t="s">
        <v>35</v>
      </c>
      <c r="M13" s="213" t="s">
        <v>35</v>
      </c>
      <c r="N13" s="60">
        <v>4.9000000000000004</v>
      </c>
      <c r="O13" s="60">
        <v>0</v>
      </c>
      <c r="P13" s="60">
        <v>0.93</v>
      </c>
      <c r="Q13" s="60">
        <v>87.28</v>
      </c>
      <c r="R13" s="198"/>
      <c r="S13" s="198"/>
      <c r="T13" s="198"/>
      <c r="U13" s="198"/>
    </row>
    <row r="14" spans="1:21" s="12" customFormat="1" x14ac:dyDescent="0.25">
      <c r="A14" s="201" t="s">
        <v>342</v>
      </c>
      <c r="B14" s="60">
        <v>0.7</v>
      </c>
      <c r="C14" s="60">
        <v>73.34</v>
      </c>
      <c r="D14" s="60">
        <v>41.03</v>
      </c>
      <c r="E14" s="60">
        <v>51.59</v>
      </c>
      <c r="F14" s="60">
        <v>38.409999999999997</v>
      </c>
      <c r="G14" s="60">
        <v>270.31</v>
      </c>
      <c r="H14" s="60">
        <v>107.37</v>
      </c>
      <c r="I14" s="60">
        <v>0.48</v>
      </c>
      <c r="J14" s="60">
        <v>0.11</v>
      </c>
      <c r="K14" s="60">
        <v>310.72000000000003</v>
      </c>
      <c r="L14" s="213" t="s">
        <v>35</v>
      </c>
      <c r="M14" s="213" t="s">
        <v>35</v>
      </c>
      <c r="N14" s="60">
        <v>5.2</v>
      </c>
      <c r="O14" s="60">
        <v>0</v>
      </c>
      <c r="P14" s="60">
        <v>0.77</v>
      </c>
      <c r="Q14" s="60">
        <v>72.349999999999994</v>
      </c>
      <c r="R14" s="198"/>
      <c r="S14" s="198"/>
      <c r="T14" s="198"/>
      <c r="U14" s="198"/>
    </row>
    <row r="15" spans="1:21" s="12" customFormat="1" x14ac:dyDescent="0.25">
      <c r="A15" s="201" t="s">
        <v>343</v>
      </c>
      <c r="B15" s="60">
        <v>0.6</v>
      </c>
      <c r="C15" s="60">
        <v>71.75</v>
      </c>
      <c r="D15" s="60">
        <v>40.08</v>
      </c>
      <c r="E15" s="60">
        <v>64.66</v>
      </c>
      <c r="F15" s="60">
        <v>36.5</v>
      </c>
      <c r="G15" s="60">
        <v>270.31</v>
      </c>
      <c r="H15" s="60">
        <v>110.1</v>
      </c>
      <c r="I15" s="60">
        <v>0.24</v>
      </c>
      <c r="J15" s="60">
        <v>0.15</v>
      </c>
      <c r="K15" s="60">
        <v>30.66</v>
      </c>
      <c r="L15" s="213" t="s">
        <v>35</v>
      </c>
      <c r="M15" s="213" t="s">
        <v>35</v>
      </c>
      <c r="N15" s="60">
        <v>5</v>
      </c>
      <c r="O15" s="60">
        <v>0</v>
      </c>
      <c r="P15" s="60">
        <v>0.8</v>
      </c>
      <c r="Q15" s="60">
        <v>64.06</v>
      </c>
      <c r="R15" s="198"/>
      <c r="S15" s="198"/>
      <c r="T15" s="198"/>
      <c r="U15" s="198"/>
    </row>
    <row r="16" spans="1:21" s="12" customFormat="1" x14ac:dyDescent="0.25">
      <c r="A16" s="201" t="s">
        <v>344</v>
      </c>
      <c r="B16" s="60">
        <v>2.23</v>
      </c>
      <c r="C16" s="60">
        <v>80.41</v>
      </c>
      <c r="D16" s="60">
        <v>46.17</v>
      </c>
      <c r="E16" s="60">
        <v>66.81</v>
      </c>
      <c r="F16" s="60">
        <v>33.369999999999997</v>
      </c>
      <c r="G16" s="60">
        <v>270.31</v>
      </c>
      <c r="H16" s="60">
        <v>110.1</v>
      </c>
      <c r="I16" s="60">
        <v>0.16</v>
      </c>
      <c r="J16" s="60">
        <v>0.13</v>
      </c>
      <c r="K16" s="60">
        <v>53.69</v>
      </c>
      <c r="L16" s="213" t="s">
        <v>35</v>
      </c>
      <c r="M16" s="213" t="s">
        <v>35</v>
      </c>
      <c r="N16" s="60">
        <v>4.8</v>
      </c>
      <c r="O16" s="60">
        <v>0</v>
      </c>
      <c r="P16" s="60">
        <v>0.82</v>
      </c>
      <c r="Q16" s="60">
        <v>61.23</v>
      </c>
      <c r="R16" s="198"/>
      <c r="S16" s="198"/>
      <c r="T16" s="198"/>
      <c r="U16" s="198"/>
    </row>
    <row r="17" spans="1:21" s="12" customFormat="1" x14ac:dyDescent="0.25">
      <c r="A17" s="201" t="s">
        <v>345</v>
      </c>
      <c r="B17" s="60">
        <v>1.43</v>
      </c>
      <c r="C17" s="60">
        <v>84.29</v>
      </c>
      <c r="D17" s="60">
        <v>47.66</v>
      </c>
      <c r="E17" s="60">
        <v>65.56</v>
      </c>
      <c r="F17" s="60">
        <v>30.88</v>
      </c>
      <c r="G17" s="60">
        <v>270.31</v>
      </c>
      <c r="H17" s="60">
        <v>110.1</v>
      </c>
      <c r="I17" s="60">
        <v>0.13</v>
      </c>
      <c r="J17" s="60">
        <v>0.35</v>
      </c>
      <c r="K17" s="60">
        <v>32.53</v>
      </c>
      <c r="L17" s="213" t="s">
        <v>35</v>
      </c>
      <c r="M17" s="213" t="s">
        <v>35</v>
      </c>
      <c r="N17" s="60">
        <v>4.5999999999999996</v>
      </c>
      <c r="O17" s="60">
        <v>0</v>
      </c>
      <c r="P17" s="60">
        <v>1.19</v>
      </c>
      <c r="Q17" s="60">
        <v>64.040000000000006</v>
      </c>
      <c r="R17" s="198"/>
      <c r="S17" s="198"/>
      <c r="T17" s="198"/>
      <c r="U17" s="198"/>
    </row>
    <row r="18" spans="1:21" s="12" customFormat="1" x14ac:dyDescent="0.25">
      <c r="A18" s="201" t="s">
        <v>346</v>
      </c>
      <c r="B18" s="60">
        <v>0.49</v>
      </c>
      <c r="C18" s="60">
        <v>72.540000000000006</v>
      </c>
      <c r="D18" s="60">
        <v>40.42</v>
      </c>
      <c r="E18" s="60">
        <v>55.6</v>
      </c>
      <c r="F18" s="60">
        <v>48.2</v>
      </c>
      <c r="G18" s="60">
        <v>251.68</v>
      </c>
      <c r="H18" s="60">
        <v>111.36</v>
      </c>
      <c r="I18" s="60">
        <v>0.13</v>
      </c>
      <c r="J18" s="60">
        <v>1.1499999999999999</v>
      </c>
      <c r="K18" s="60">
        <v>22.25</v>
      </c>
      <c r="L18" s="213" t="s">
        <v>35</v>
      </c>
      <c r="M18" s="213" t="s">
        <v>35</v>
      </c>
      <c r="N18" s="60">
        <v>4.0999999999999996</v>
      </c>
      <c r="O18" s="60">
        <v>0</v>
      </c>
      <c r="P18" s="60">
        <v>1.02</v>
      </c>
      <c r="Q18" s="60">
        <v>66.510000000000005</v>
      </c>
      <c r="R18" s="198"/>
      <c r="S18" s="198"/>
      <c r="T18" s="198"/>
      <c r="U18" s="198"/>
    </row>
    <row r="19" spans="1:21" s="12" customFormat="1" x14ac:dyDescent="0.25">
      <c r="A19" s="201" t="s">
        <v>347</v>
      </c>
      <c r="B19" s="60">
        <v>0.43</v>
      </c>
      <c r="C19" s="60">
        <v>53.75</v>
      </c>
      <c r="D19" s="60">
        <v>30.01</v>
      </c>
      <c r="E19" s="60">
        <v>54.21</v>
      </c>
      <c r="F19" s="60">
        <v>56.45</v>
      </c>
      <c r="G19" s="60">
        <v>251.68</v>
      </c>
      <c r="H19" s="60">
        <v>111.8</v>
      </c>
      <c r="I19" s="60">
        <v>0.14000000000000001</v>
      </c>
      <c r="J19" s="60">
        <v>0.69</v>
      </c>
      <c r="K19" s="60">
        <v>16.84</v>
      </c>
      <c r="L19" s="213" t="s">
        <v>35</v>
      </c>
      <c r="M19" s="213" t="s">
        <v>35</v>
      </c>
      <c r="N19" s="60">
        <v>4.7</v>
      </c>
      <c r="O19" s="60">
        <v>0</v>
      </c>
      <c r="P19" s="60">
        <v>0.6</v>
      </c>
      <c r="Q19" s="60">
        <v>62.26</v>
      </c>
      <c r="R19" s="198"/>
      <c r="S19" s="198"/>
      <c r="T19" s="198"/>
      <c r="U19" s="198"/>
    </row>
    <row r="20" spans="1:21" s="12" customFormat="1" x14ac:dyDescent="0.25">
      <c r="A20" s="201" t="s">
        <v>348</v>
      </c>
      <c r="B20" s="60">
        <v>0.65</v>
      </c>
      <c r="C20" s="60">
        <v>74.02</v>
      </c>
      <c r="D20" s="60">
        <v>41.37</v>
      </c>
      <c r="E20" s="60">
        <v>98.27</v>
      </c>
      <c r="F20" s="60">
        <v>42.23</v>
      </c>
      <c r="G20" s="60">
        <v>251.68</v>
      </c>
      <c r="H20" s="60">
        <v>111.8</v>
      </c>
      <c r="I20" s="60">
        <v>0.12</v>
      </c>
      <c r="J20" s="60">
        <v>0.17</v>
      </c>
      <c r="K20" s="60">
        <v>318.76</v>
      </c>
      <c r="L20" s="213" t="s">
        <v>35</v>
      </c>
      <c r="M20" s="213" t="s">
        <v>35</v>
      </c>
      <c r="N20" s="60">
        <v>4.9000000000000004</v>
      </c>
      <c r="O20" s="60">
        <v>0</v>
      </c>
      <c r="P20" s="60">
        <v>0.68</v>
      </c>
      <c r="Q20" s="60">
        <v>59.86</v>
      </c>
      <c r="R20" s="198"/>
      <c r="S20" s="198"/>
      <c r="T20" s="198"/>
      <c r="U20" s="198"/>
    </row>
    <row r="21" spans="1:21" s="12" customFormat="1" x14ac:dyDescent="0.25">
      <c r="A21" s="201" t="s">
        <v>349</v>
      </c>
      <c r="B21" s="60">
        <v>1.69</v>
      </c>
      <c r="C21" s="60">
        <v>85.18</v>
      </c>
      <c r="D21" s="60">
        <v>48.36</v>
      </c>
      <c r="E21" s="60">
        <v>109.49</v>
      </c>
      <c r="F21" s="60">
        <v>41.34</v>
      </c>
      <c r="G21" s="60">
        <v>251.68</v>
      </c>
      <c r="H21" s="60">
        <v>111.8</v>
      </c>
      <c r="I21" s="60">
        <v>0.1</v>
      </c>
      <c r="J21" s="60">
        <v>0.5</v>
      </c>
      <c r="K21" s="60">
        <v>2.5099999999999998</v>
      </c>
      <c r="L21" s="213" t="s">
        <v>35</v>
      </c>
      <c r="M21" s="213" t="s">
        <v>35</v>
      </c>
      <c r="N21" s="60">
        <v>4.5999999999999996</v>
      </c>
      <c r="O21" s="60">
        <v>0</v>
      </c>
      <c r="P21" s="60">
        <v>0.75</v>
      </c>
      <c r="Q21" s="60">
        <v>63.31</v>
      </c>
      <c r="R21" s="198"/>
      <c r="S21" s="198"/>
      <c r="T21" s="198"/>
      <c r="U21" s="198"/>
    </row>
    <row r="22" spans="1:21" s="12" customFormat="1" x14ac:dyDescent="0.25">
      <c r="A22" s="201" t="s">
        <v>350</v>
      </c>
      <c r="B22" s="60">
        <v>1.48</v>
      </c>
      <c r="C22" s="60">
        <v>76.709999999999994</v>
      </c>
      <c r="D22" s="60">
        <v>43.52</v>
      </c>
      <c r="E22" s="60">
        <v>97.58</v>
      </c>
      <c r="F22" s="60">
        <v>38.53</v>
      </c>
      <c r="G22" s="60">
        <v>209.66</v>
      </c>
      <c r="H22" s="60">
        <v>105.42</v>
      </c>
      <c r="I22" s="60">
        <v>0.1</v>
      </c>
      <c r="J22" s="60">
        <v>0.38</v>
      </c>
      <c r="K22" s="60">
        <v>8.25</v>
      </c>
      <c r="L22" s="213" t="s">
        <v>35</v>
      </c>
      <c r="M22" s="213" t="s">
        <v>35</v>
      </c>
      <c r="N22" s="60">
        <v>4.7</v>
      </c>
      <c r="O22" s="60">
        <v>0</v>
      </c>
      <c r="P22" s="60">
        <v>0.75</v>
      </c>
      <c r="Q22" s="60">
        <v>64.150000000000006</v>
      </c>
      <c r="R22" s="198"/>
      <c r="S22" s="198"/>
      <c r="T22" s="198"/>
      <c r="U22" s="198"/>
    </row>
    <row r="23" spans="1:21" s="12" customFormat="1" x14ac:dyDescent="0.25">
      <c r="A23" s="201" t="s">
        <v>351</v>
      </c>
      <c r="B23" s="60">
        <v>0.98</v>
      </c>
      <c r="C23" s="60">
        <v>63.42</v>
      </c>
      <c r="D23" s="60">
        <v>35.78</v>
      </c>
      <c r="E23" s="60">
        <v>82</v>
      </c>
      <c r="F23" s="60">
        <v>42.55</v>
      </c>
      <c r="G23" s="60">
        <v>209.66</v>
      </c>
      <c r="H23" s="60">
        <v>103.23</v>
      </c>
      <c r="I23" s="60">
        <v>0.1</v>
      </c>
      <c r="J23" s="60">
        <v>0.19</v>
      </c>
      <c r="K23" s="60">
        <v>10.97</v>
      </c>
      <c r="L23" s="213" t="s">
        <v>35</v>
      </c>
      <c r="M23" s="213" t="s">
        <v>35</v>
      </c>
      <c r="N23" s="60">
        <v>4.5999999999999996</v>
      </c>
      <c r="O23" s="60">
        <v>0</v>
      </c>
      <c r="P23" s="60">
        <v>0.67</v>
      </c>
      <c r="Q23" s="60">
        <v>62.68</v>
      </c>
      <c r="R23" s="198"/>
      <c r="S23" s="198"/>
      <c r="T23" s="198"/>
      <c r="U23" s="198"/>
    </row>
    <row r="24" spans="1:21" s="12" customFormat="1" x14ac:dyDescent="0.25">
      <c r="A24" s="201" t="s">
        <v>352</v>
      </c>
      <c r="B24" s="60">
        <v>2.61</v>
      </c>
      <c r="C24" s="60">
        <v>63.29</v>
      </c>
      <c r="D24" s="60">
        <v>37.020000000000003</v>
      </c>
      <c r="E24" s="60">
        <v>46.15</v>
      </c>
      <c r="F24" s="60">
        <v>43.86</v>
      </c>
      <c r="G24" s="60">
        <v>209.66</v>
      </c>
      <c r="H24" s="60">
        <v>103.23</v>
      </c>
      <c r="I24" s="60">
        <v>0.11</v>
      </c>
      <c r="J24" s="60">
        <v>0.19</v>
      </c>
      <c r="K24" s="60">
        <v>15.22</v>
      </c>
      <c r="L24" s="213" t="s">
        <v>35</v>
      </c>
      <c r="M24" s="213" t="s">
        <v>35</v>
      </c>
      <c r="N24" s="60">
        <v>4.5999999999999996</v>
      </c>
      <c r="O24" s="60">
        <v>0</v>
      </c>
      <c r="P24" s="60">
        <v>0.57999999999999996</v>
      </c>
      <c r="Q24" s="60">
        <v>60.6</v>
      </c>
      <c r="R24" s="198"/>
      <c r="S24" s="198"/>
      <c r="T24" s="198"/>
      <c r="U24" s="198"/>
    </row>
    <row r="25" spans="1:21" s="12" customFormat="1" x14ac:dyDescent="0.25">
      <c r="A25" s="201" t="s">
        <v>353</v>
      </c>
      <c r="B25" s="60">
        <v>3.31</v>
      </c>
      <c r="C25" s="60">
        <v>65.2</v>
      </c>
      <c r="D25" s="60">
        <v>38.64</v>
      </c>
      <c r="E25" s="60">
        <v>65.73</v>
      </c>
      <c r="F25" s="60">
        <v>41.33</v>
      </c>
      <c r="G25" s="60">
        <v>209.66</v>
      </c>
      <c r="H25" s="60">
        <v>103.23</v>
      </c>
      <c r="I25" s="60">
        <v>0.12</v>
      </c>
      <c r="J25" s="60">
        <v>0.55000000000000004</v>
      </c>
      <c r="K25" s="60">
        <v>3.22</v>
      </c>
      <c r="L25" s="213" t="s">
        <v>35</v>
      </c>
      <c r="M25" s="213" t="s">
        <v>35</v>
      </c>
      <c r="N25" s="60">
        <v>4.4000000000000004</v>
      </c>
      <c r="O25" s="60">
        <v>0</v>
      </c>
      <c r="P25" s="60">
        <v>0.64</v>
      </c>
      <c r="Q25" s="60">
        <v>58</v>
      </c>
      <c r="R25" s="198"/>
      <c r="S25" s="198"/>
      <c r="T25" s="198"/>
      <c r="U25" s="198"/>
    </row>
    <row r="26" spans="1:21" s="12" customFormat="1" x14ac:dyDescent="0.25">
      <c r="A26" s="201" t="s">
        <v>354</v>
      </c>
      <c r="B26" s="60">
        <v>5</v>
      </c>
      <c r="C26" s="60">
        <v>93.5</v>
      </c>
      <c r="D26" s="60">
        <v>55.61</v>
      </c>
      <c r="E26" s="60">
        <v>163.85</v>
      </c>
      <c r="F26" s="60">
        <v>34.28</v>
      </c>
      <c r="G26" s="60">
        <v>180.8</v>
      </c>
      <c r="H26" s="60">
        <v>97.04</v>
      </c>
      <c r="I26" s="60">
        <v>0.12</v>
      </c>
      <c r="J26" s="60">
        <v>0.84</v>
      </c>
      <c r="K26" s="60">
        <v>15.38</v>
      </c>
      <c r="L26" s="213" t="s">
        <v>35</v>
      </c>
      <c r="M26" s="213" t="s">
        <v>35</v>
      </c>
      <c r="N26" s="60">
        <v>4.2</v>
      </c>
      <c r="O26" s="60">
        <v>0</v>
      </c>
      <c r="P26" s="60">
        <v>0.76</v>
      </c>
      <c r="Q26" s="60">
        <v>53.25</v>
      </c>
      <c r="R26" s="198"/>
      <c r="S26" s="198"/>
      <c r="T26" s="198"/>
      <c r="U26" s="198"/>
    </row>
    <row r="27" spans="1:21" s="12" customFormat="1" x14ac:dyDescent="0.25">
      <c r="A27" s="201" t="s">
        <v>355</v>
      </c>
      <c r="B27" s="60">
        <v>2.91</v>
      </c>
      <c r="C27" s="60">
        <v>99.23</v>
      </c>
      <c r="D27" s="60">
        <v>57.1</v>
      </c>
      <c r="E27" s="60">
        <v>154.16999999999999</v>
      </c>
      <c r="F27" s="60">
        <v>25.58</v>
      </c>
      <c r="G27" s="60">
        <v>180.8</v>
      </c>
      <c r="H27" s="60">
        <v>94.92</v>
      </c>
      <c r="I27" s="60">
        <v>0.12</v>
      </c>
      <c r="J27" s="60">
        <v>1.17</v>
      </c>
      <c r="K27" s="60">
        <v>23.34</v>
      </c>
      <c r="L27" s="213" t="s">
        <v>35</v>
      </c>
      <c r="M27" s="213" t="s">
        <v>35</v>
      </c>
      <c r="N27" s="60">
        <v>4.5</v>
      </c>
      <c r="O27" s="60">
        <v>0</v>
      </c>
      <c r="P27" s="60">
        <v>1.27</v>
      </c>
      <c r="Q27" s="60">
        <v>62.49</v>
      </c>
      <c r="R27" s="198"/>
      <c r="S27" s="198"/>
      <c r="T27" s="198"/>
      <c r="U27" s="198"/>
    </row>
    <row r="28" spans="1:21" s="12" customFormat="1" x14ac:dyDescent="0.25">
      <c r="A28" s="201" t="s">
        <v>356</v>
      </c>
      <c r="B28" s="60">
        <v>10.42</v>
      </c>
      <c r="C28" s="60">
        <v>107.93</v>
      </c>
      <c r="D28" s="60">
        <v>67.92</v>
      </c>
      <c r="E28" s="60">
        <v>122.65</v>
      </c>
      <c r="F28" s="60">
        <v>19.46</v>
      </c>
      <c r="G28" s="60">
        <v>180.8</v>
      </c>
      <c r="H28" s="60">
        <v>94.92</v>
      </c>
      <c r="I28" s="60">
        <v>0.1</v>
      </c>
      <c r="J28" s="60">
        <v>0.53</v>
      </c>
      <c r="K28" s="60">
        <v>22.72</v>
      </c>
      <c r="L28" s="213" t="s">
        <v>35</v>
      </c>
      <c r="M28" s="213" t="s">
        <v>35</v>
      </c>
      <c r="N28" s="60">
        <v>5</v>
      </c>
      <c r="O28" s="60">
        <v>0</v>
      </c>
      <c r="P28" s="60">
        <v>1.45</v>
      </c>
      <c r="Q28" s="60">
        <v>66.66</v>
      </c>
      <c r="R28" s="198"/>
      <c r="S28" s="198"/>
      <c r="T28" s="198"/>
      <c r="U28" s="198"/>
    </row>
    <row r="29" spans="1:21" s="12" customFormat="1" x14ac:dyDescent="0.25">
      <c r="A29" s="201" t="s">
        <v>357</v>
      </c>
      <c r="B29" s="60">
        <v>4.8099999999999996</v>
      </c>
      <c r="C29" s="60">
        <v>107.87</v>
      </c>
      <c r="D29" s="60">
        <v>63.39</v>
      </c>
      <c r="E29" s="60">
        <v>122.93</v>
      </c>
      <c r="F29" s="60">
        <v>16.07</v>
      </c>
      <c r="G29" s="60">
        <v>180.8</v>
      </c>
      <c r="H29" s="60">
        <v>94.92</v>
      </c>
      <c r="I29" s="60">
        <v>0.11</v>
      </c>
      <c r="J29" s="60">
        <v>0.34</v>
      </c>
      <c r="K29" s="60">
        <v>85.14</v>
      </c>
      <c r="L29" s="213" t="s">
        <v>35</v>
      </c>
      <c r="M29" s="213" t="s">
        <v>35</v>
      </c>
      <c r="N29" s="60">
        <v>4.9000000000000004</v>
      </c>
      <c r="O29" s="60">
        <v>0</v>
      </c>
      <c r="P29" s="60">
        <v>1.52</v>
      </c>
      <c r="Q29" s="60">
        <v>71.760000000000005</v>
      </c>
      <c r="R29" s="198"/>
      <c r="S29" s="198"/>
      <c r="T29" s="198"/>
      <c r="U29" s="198"/>
    </row>
    <row r="30" spans="1:21" s="12" customFormat="1" x14ac:dyDescent="0.25">
      <c r="A30" s="201" t="s">
        <v>358</v>
      </c>
      <c r="B30" s="60">
        <v>21.28</v>
      </c>
      <c r="C30" s="60">
        <v>146.88999999999999</v>
      </c>
      <c r="D30" s="60">
        <v>98.13</v>
      </c>
      <c r="E30" s="60">
        <v>139.54</v>
      </c>
      <c r="F30" s="60">
        <v>10.74</v>
      </c>
      <c r="G30" s="60">
        <v>253.59</v>
      </c>
      <c r="H30" s="60">
        <v>100.63</v>
      </c>
      <c r="I30" s="60">
        <v>0.1</v>
      </c>
      <c r="J30" s="60">
        <v>0.5</v>
      </c>
      <c r="K30" s="60">
        <v>26.56</v>
      </c>
      <c r="L30" s="213" t="s">
        <v>35</v>
      </c>
      <c r="M30" s="213" t="s">
        <v>35</v>
      </c>
      <c r="N30" s="60">
        <v>4.7</v>
      </c>
      <c r="O30" s="60">
        <v>0</v>
      </c>
      <c r="P30" s="60">
        <v>1.64</v>
      </c>
      <c r="Q30" s="60">
        <v>72.69</v>
      </c>
      <c r="R30" s="198"/>
      <c r="S30" s="198"/>
      <c r="T30" s="198"/>
      <c r="U30" s="198"/>
    </row>
    <row r="31" spans="1:21" s="12" customFormat="1" x14ac:dyDescent="0.25">
      <c r="A31" s="201" t="s">
        <v>359</v>
      </c>
      <c r="B31" s="60">
        <v>22.7</v>
      </c>
      <c r="C31" s="60">
        <v>152.88999999999999</v>
      </c>
      <c r="D31" s="60">
        <v>102.58</v>
      </c>
      <c r="E31" s="60">
        <v>150.47999999999999</v>
      </c>
      <c r="F31" s="60">
        <v>8.7899999999999991</v>
      </c>
      <c r="G31" s="60">
        <v>253.59</v>
      </c>
      <c r="H31" s="60">
        <v>102.59</v>
      </c>
      <c r="I31" s="60">
        <v>0.1</v>
      </c>
      <c r="J31" s="60">
        <v>0.43</v>
      </c>
      <c r="K31" s="60">
        <v>20.99</v>
      </c>
      <c r="L31" s="213" t="s">
        <v>35</v>
      </c>
      <c r="M31" s="213" t="s">
        <v>35</v>
      </c>
      <c r="N31" s="60">
        <v>4.8</v>
      </c>
      <c r="O31" s="60">
        <v>0</v>
      </c>
      <c r="P31" s="60">
        <v>1.9</v>
      </c>
      <c r="Q31" s="60">
        <v>85.17</v>
      </c>
      <c r="R31" s="198"/>
      <c r="S31" s="198"/>
      <c r="T31" s="198"/>
      <c r="U31" s="198"/>
    </row>
    <row r="32" spans="1:21" s="12" customFormat="1" x14ac:dyDescent="0.25">
      <c r="A32" s="201" t="s">
        <v>360</v>
      </c>
      <c r="B32" s="60">
        <v>38.54</v>
      </c>
      <c r="C32" s="60">
        <v>167.85</v>
      </c>
      <c r="D32" s="60">
        <v>123.54</v>
      </c>
      <c r="E32" s="60">
        <v>145.54</v>
      </c>
      <c r="F32" s="60">
        <v>6.63</v>
      </c>
      <c r="G32" s="60">
        <v>253.59</v>
      </c>
      <c r="H32" s="60">
        <v>102.59</v>
      </c>
      <c r="I32" s="60">
        <v>0.11</v>
      </c>
      <c r="J32" s="60">
        <v>0.23</v>
      </c>
      <c r="K32" s="60">
        <v>20.89</v>
      </c>
      <c r="L32" s="213" t="s">
        <v>35</v>
      </c>
      <c r="M32" s="213" t="s">
        <v>35</v>
      </c>
      <c r="N32" s="60">
        <v>5.5</v>
      </c>
      <c r="O32" s="60">
        <v>0</v>
      </c>
      <c r="P32" s="60">
        <v>2.02</v>
      </c>
      <c r="Q32" s="60">
        <v>102.76</v>
      </c>
      <c r="R32" s="198"/>
      <c r="S32" s="198"/>
      <c r="T32" s="198"/>
      <c r="U32" s="198"/>
    </row>
    <row r="33" spans="1:21" s="12" customFormat="1" x14ac:dyDescent="0.25">
      <c r="A33" s="201" t="s">
        <v>361</v>
      </c>
      <c r="B33" s="60">
        <v>28.73</v>
      </c>
      <c r="C33" s="60">
        <v>140.13</v>
      </c>
      <c r="D33" s="60">
        <v>100.37</v>
      </c>
      <c r="E33" s="60">
        <v>129.35</v>
      </c>
      <c r="F33" s="60">
        <v>6.78</v>
      </c>
      <c r="G33" s="60">
        <v>253.59</v>
      </c>
      <c r="H33" s="60">
        <v>102.59</v>
      </c>
      <c r="I33" s="60">
        <v>0.12</v>
      </c>
      <c r="J33" s="60">
        <v>1.06</v>
      </c>
      <c r="K33" s="60">
        <v>15.52</v>
      </c>
      <c r="L33" s="213" t="s">
        <v>35</v>
      </c>
      <c r="M33" s="213" t="s">
        <v>35</v>
      </c>
      <c r="N33" s="60">
        <v>7.8</v>
      </c>
      <c r="O33" s="60">
        <v>0</v>
      </c>
      <c r="P33" s="60">
        <v>1.63</v>
      </c>
      <c r="Q33" s="60">
        <v>119.99</v>
      </c>
      <c r="R33" s="198"/>
      <c r="S33" s="198"/>
      <c r="T33" s="198"/>
      <c r="U33" s="198"/>
    </row>
    <row r="34" spans="1:21" s="12" customFormat="1" x14ac:dyDescent="0.25">
      <c r="A34" s="201" t="s">
        <v>362</v>
      </c>
      <c r="B34" s="60">
        <v>15.67</v>
      </c>
      <c r="C34" s="60">
        <v>119.36</v>
      </c>
      <c r="D34" s="60">
        <v>78.44</v>
      </c>
      <c r="E34" s="60">
        <v>142.02000000000001</v>
      </c>
      <c r="F34" s="60">
        <v>11.3</v>
      </c>
      <c r="G34" s="60">
        <v>261.82</v>
      </c>
      <c r="H34" s="60">
        <v>103.74</v>
      </c>
      <c r="I34" s="60">
        <v>0.16</v>
      </c>
      <c r="J34" s="60">
        <v>1.21</v>
      </c>
      <c r="K34" s="60">
        <v>23.17</v>
      </c>
      <c r="L34" s="213" t="s">
        <v>35</v>
      </c>
      <c r="M34" s="213" t="s">
        <v>35</v>
      </c>
      <c r="N34" s="60">
        <v>16.399999999999999</v>
      </c>
      <c r="O34" s="60">
        <v>0</v>
      </c>
      <c r="P34" s="60">
        <v>1.41</v>
      </c>
      <c r="Q34" s="60">
        <v>114.21</v>
      </c>
      <c r="R34" s="198"/>
      <c r="S34" s="198"/>
      <c r="T34" s="198"/>
      <c r="U34" s="198"/>
    </row>
    <row r="35" spans="1:21" s="12" customFormat="1" x14ac:dyDescent="0.25">
      <c r="A35" s="201" t="s">
        <v>363</v>
      </c>
      <c r="B35" s="60">
        <v>19.600000000000001</v>
      </c>
      <c r="C35" s="60">
        <v>130.07</v>
      </c>
      <c r="D35" s="60">
        <v>87.5</v>
      </c>
      <c r="E35" s="60">
        <v>145.51</v>
      </c>
      <c r="F35" s="60">
        <v>12.63</v>
      </c>
      <c r="G35" s="60">
        <v>261.82</v>
      </c>
      <c r="H35" s="60">
        <v>104.13</v>
      </c>
      <c r="I35" s="60">
        <v>0.16</v>
      </c>
      <c r="J35" s="60">
        <v>0.96</v>
      </c>
      <c r="K35" s="60">
        <v>23.85</v>
      </c>
      <c r="L35" s="213" t="s">
        <v>35</v>
      </c>
      <c r="M35" s="213" t="s">
        <v>35</v>
      </c>
      <c r="N35" s="60">
        <v>29.3</v>
      </c>
      <c r="O35" s="60">
        <v>0</v>
      </c>
      <c r="P35" s="60">
        <v>1.55</v>
      </c>
      <c r="Q35" s="60">
        <v>99.86</v>
      </c>
      <c r="R35" s="198"/>
      <c r="S35" s="198"/>
      <c r="T35" s="198"/>
      <c r="U35" s="198"/>
    </row>
    <row r="36" spans="1:21" s="12" customFormat="1" x14ac:dyDescent="0.25">
      <c r="A36" s="201" t="s">
        <v>364</v>
      </c>
      <c r="B36" s="60">
        <v>24.01</v>
      </c>
      <c r="C36" s="60">
        <v>133.96</v>
      </c>
      <c r="D36" s="60">
        <v>93.18</v>
      </c>
      <c r="E36" s="60">
        <v>122.82</v>
      </c>
      <c r="F36" s="60">
        <v>17.559999999999999</v>
      </c>
      <c r="G36" s="60">
        <v>261.82</v>
      </c>
      <c r="H36" s="60">
        <v>104.13</v>
      </c>
      <c r="I36" s="60">
        <v>0.14000000000000001</v>
      </c>
      <c r="J36" s="60">
        <v>0.75</v>
      </c>
      <c r="K36" s="60">
        <v>22.33</v>
      </c>
      <c r="L36" s="213" t="s">
        <v>35</v>
      </c>
      <c r="M36" s="213" t="s">
        <v>35</v>
      </c>
      <c r="N36" s="60">
        <v>47</v>
      </c>
      <c r="O36" s="60">
        <v>0</v>
      </c>
      <c r="P36" s="60">
        <v>1.53</v>
      </c>
      <c r="Q36" s="60">
        <v>100.26</v>
      </c>
      <c r="R36" s="198"/>
      <c r="S36" s="198"/>
      <c r="T36" s="198"/>
      <c r="U36" s="198"/>
    </row>
    <row r="37" spans="1:21" s="12" customFormat="1" x14ac:dyDescent="0.25">
      <c r="A37" s="201" t="s">
        <v>365</v>
      </c>
      <c r="B37" s="60">
        <v>31.38</v>
      </c>
      <c r="C37" s="60">
        <v>146.19</v>
      </c>
      <c r="D37" s="60">
        <v>105.85</v>
      </c>
      <c r="E37" s="60">
        <v>121.08</v>
      </c>
      <c r="F37" s="60">
        <v>13.69</v>
      </c>
      <c r="G37" s="60">
        <v>261.82</v>
      </c>
      <c r="H37" s="60">
        <v>104.13</v>
      </c>
      <c r="I37" s="60">
        <v>0.15</v>
      </c>
      <c r="J37" s="60">
        <v>0.32</v>
      </c>
      <c r="K37" s="60">
        <v>40.97</v>
      </c>
      <c r="L37" s="213" t="s">
        <v>35</v>
      </c>
      <c r="M37" s="213" t="s">
        <v>35</v>
      </c>
      <c r="N37" s="60">
        <v>55.8</v>
      </c>
      <c r="O37" s="60">
        <v>0</v>
      </c>
      <c r="P37" s="60">
        <v>1.68</v>
      </c>
      <c r="Q37" s="60">
        <v>100.33</v>
      </c>
      <c r="R37" s="198"/>
      <c r="S37" s="198"/>
      <c r="T37" s="198"/>
      <c r="U37" s="198"/>
    </row>
    <row r="38" spans="1:21" s="12" customFormat="1" x14ac:dyDescent="0.25">
      <c r="A38" s="201" t="s">
        <v>366</v>
      </c>
      <c r="B38" s="60">
        <v>43.6</v>
      </c>
      <c r="C38" s="60">
        <v>173.34</v>
      </c>
      <c r="D38" s="60">
        <v>130.63</v>
      </c>
      <c r="E38" s="60">
        <v>125.4</v>
      </c>
      <c r="F38" s="60">
        <v>12.22</v>
      </c>
      <c r="G38" s="60">
        <v>241.15</v>
      </c>
      <c r="H38" s="60">
        <v>104.02</v>
      </c>
      <c r="I38" s="60">
        <v>0.15</v>
      </c>
      <c r="J38" s="60">
        <v>0.44</v>
      </c>
      <c r="K38" s="60">
        <v>33.869999999999997</v>
      </c>
      <c r="L38" s="213" t="s">
        <v>35</v>
      </c>
      <c r="M38" s="213" t="s">
        <v>35</v>
      </c>
      <c r="N38" s="60">
        <v>72.400000000000006</v>
      </c>
      <c r="O38" s="60">
        <v>0</v>
      </c>
      <c r="P38" s="60">
        <v>1.98</v>
      </c>
      <c r="Q38" s="60">
        <v>110.81</v>
      </c>
      <c r="R38" s="198"/>
      <c r="S38" s="198"/>
      <c r="T38" s="198"/>
      <c r="U38" s="198"/>
    </row>
    <row r="39" spans="1:21" s="12" customFormat="1" x14ac:dyDescent="0.25">
      <c r="A39" s="201" t="s">
        <v>367</v>
      </c>
      <c r="B39" s="60">
        <v>55.3</v>
      </c>
      <c r="C39" s="60">
        <v>181.56</v>
      </c>
      <c r="D39" s="60">
        <v>144.55000000000001</v>
      </c>
      <c r="E39" s="60">
        <v>125.74</v>
      </c>
      <c r="F39" s="60">
        <v>8.2200000000000006</v>
      </c>
      <c r="G39" s="60">
        <v>241.15</v>
      </c>
      <c r="H39" s="60">
        <v>103.97</v>
      </c>
      <c r="I39" s="60">
        <v>0.17</v>
      </c>
      <c r="J39" s="60">
        <v>0.65</v>
      </c>
      <c r="K39" s="60">
        <v>31.75</v>
      </c>
      <c r="L39" s="213" t="s">
        <v>35</v>
      </c>
      <c r="M39" s="213" t="s">
        <v>35</v>
      </c>
      <c r="N39" s="60">
        <v>88.3</v>
      </c>
      <c r="O39" s="60">
        <v>0</v>
      </c>
      <c r="P39" s="60">
        <v>2.06</v>
      </c>
      <c r="Q39" s="60">
        <v>144.88</v>
      </c>
      <c r="R39" s="198"/>
      <c r="S39" s="198"/>
      <c r="T39" s="198"/>
      <c r="U39" s="198"/>
    </row>
    <row r="40" spans="1:21" s="12" customFormat="1" x14ac:dyDescent="0.25">
      <c r="A40" s="201" t="s">
        <v>368</v>
      </c>
      <c r="B40" s="60">
        <v>48.38</v>
      </c>
      <c r="C40" s="60">
        <v>174.61</v>
      </c>
      <c r="D40" s="60">
        <v>135.16</v>
      </c>
      <c r="E40" s="60">
        <v>53.43</v>
      </c>
      <c r="F40" s="60">
        <v>4.62</v>
      </c>
      <c r="G40" s="60">
        <v>241.15</v>
      </c>
      <c r="H40" s="60">
        <v>103.97</v>
      </c>
      <c r="I40" s="60">
        <v>0.19</v>
      </c>
      <c r="J40" s="60">
        <v>0.8</v>
      </c>
      <c r="K40" s="60">
        <v>24.35</v>
      </c>
      <c r="L40" s="213" t="s">
        <v>35</v>
      </c>
      <c r="M40" s="213" t="s">
        <v>35</v>
      </c>
      <c r="N40" s="60">
        <v>98.3</v>
      </c>
      <c r="O40" s="60">
        <v>0</v>
      </c>
      <c r="P40" s="60">
        <v>2.0699999999999998</v>
      </c>
      <c r="Q40" s="60">
        <v>195.56</v>
      </c>
      <c r="R40" s="198"/>
      <c r="S40" s="198"/>
      <c r="T40" s="198"/>
      <c r="U40" s="198"/>
    </row>
    <row r="41" spans="1:21" s="12" customFormat="1" x14ac:dyDescent="0.25">
      <c r="A41" s="201" t="s">
        <v>369</v>
      </c>
      <c r="B41" s="60">
        <v>48.64</v>
      </c>
      <c r="C41" s="60">
        <v>172.7</v>
      </c>
      <c r="D41" s="60">
        <v>134.32</v>
      </c>
      <c r="E41" s="60">
        <v>54.48</v>
      </c>
      <c r="F41" s="60">
        <v>3.81</v>
      </c>
      <c r="G41" s="60">
        <v>241.15</v>
      </c>
      <c r="H41" s="60">
        <v>103.97</v>
      </c>
      <c r="I41" s="60">
        <v>0.23</v>
      </c>
      <c r="J41" s="60">
        <v>0.43</v>
      </c>
      <c r="K41" s="60">
        <v>24.14</v>
      </c>
      <c r="L41" s="213" t="s">
        <v>35</v>
      </c>
      <c r="M41" s="213" t="s">
        <v>35</v>
      </c>
      <c r="N41" s="60">
        <v>118.6</v>
      </c>
      <c r="O41" s="60">
        <v>0</v>
      </c>
      <c r="P41" s="60">
        <v>2.0699999999999998</v>
      </c>
      <c r="Q41" s="60">
        <v>211.78</v>
      </c>
      <c r="R41" s="198"/>
      <c r="S41" s="198"/>
      <c r="T41" s="198"/>
      <c r="U41" s="198"/>
    </row>
    <row r="42" spans="1:21" s="12" customFormat="1" x14ac:dyDescent="0.25">
      <c r="A42" s="201" t="s">
        <v>370</v>
      </c>
      <c r="B42" s="60">
        <v>50.05</v>
      </c>
      <c r="C42" s="60">
        <v>171.28</v>
      </c>
      <c r="D42" s="60">
        <v>134.66</v>
      </c>
      <c r="E42" s="60">
        <v>51.74</v>
      </c>
      <c r="F42" s="60">
        <v>3.69</v>
      </c>
      <c r="G42" s="60">
        <v>241.61</v>
      </c>
      <c r="H42" s="60">
        <v>97.16</v>
      </c>
      <c r="I42" s="60">
        <v>0.28000000000000003</v>
      </c>
      <c r="J42" s="60">
        <v>0.5</v>
      </c>
      <c r="K42" s="60">
        <v>53.46</v>
      </c>
      <c r="L42" s="213" t="s">
        <v>35</v>
      </c>
      <c r="M42" s="213" t="s">
        <v>35</v>
      </c>
      <c r="N42" s="60">
        <v>143.30000000000001</v>
      </c>
      <c r="O42" s="60">
        <v>0</v>
      </c>
      <c r="P42" s="60">
        <v>2.0299999999999998</v>
      </c>
      <c r="Q42" s="60">
        <v>212.34</v>
      </c>
      <c r="R42" s="198"/>
      <c r="S42" s="198"/>
      <c r="T42" s="198"/>
      <c r="U42" s="198"/>
    </row>
    <row r="43" spans="1:21" s="12" customFormat="1" x14ac:dyDescent="0.25">
      <c r="A43" s="201" t="s">
        <v>371</v>
      </c>
      <c r="B43" s="60">
        <v>50.74</v>
      </c>
      <c r="C43" s="60">
        <v>168.1</v>
      </c>
      <c r="D43" s="60">
        <v>133.46</v>
      </c>
      <c r="E43" s="60">
        <v>51.19</v>
      </c>
      <c r="F43" s="60">
        <v>3.71</v>
      </c>
      <c r="G43" s="60">
        <v>241.61</v>
      </c>
      <c r="H43" s="60">
        <v>94.82</v>
      </c>
      <c r="I43" s="60">
        <v>0.28999999999999998</v>
      </c>
      <c r="J43" s="60">
        <v>0.73</v>
      </c>
      <c r="K43" s="60">
        <v>45.62</v>
      </c>
      <c r="L43" s="213" t="s">
        <v>35</v>
      </c>
      <c r="M43" s="213" t="s">
        <v>35</v>
      </c>
      <c r="N43" s="60">
        <v>184.1</v>
      </c>
      <c r="O43" s="60">
        <v>0</v>
      </c>
      <c r="P43" s="60">
        <v>1.96</v>
      </c>
      <c r="Q43" s="60">
        <v>234.04</v>
      </c>
      <c r="R43" s="198"/>
      <c r="S43" s="198"/>
      <c r="T43" s="198"/>
      <c r="U43" s="198"/>
    </row>
    <row r="44" spans="1:21" s="12" customFormat="1" x14ac:dyDescent="0.25">
      <c r="A44" s="201" t="s">
        <v>372</v>
      </c>
      <c r="B44" s="60">
        <v>49.89</v>
      </c>
      <c r="C44" s="60">
        <v>163.79</v>
      </c>
      <c r="D44" s="60">
        <v>130.4</v>
      </c>
      <c r="E44" s="60">
        <v>52.72</v>
      </c>
      <c r="F44" s="60">
        <v>3.95</v>
      </c>
      <c r="G44" s="60">
        <v>241.61</v>
      </c>
      <c r="H44" s="60">
        <v>94.82</v>
      </c>
      <c r="I44" s="214" t="s">
        <v>33</v>
      </c>
      <c r="J44" s="60">
        <v>0.68</v>
      </c>
      <c r="K44" s="60">
        <v>34.369999999999997</v>
      </c>
      <c r="L44" s="213" t="s">
        <v>35</v>
      </c>
      <c r="M44" s="213" t="s">
        <v>35</v>
      </c>
      <c r="N44" s="60">
        <v>233.9</v>
      </c>
      <c r="O44" s="60">
        <v>0</v>
      </c>
      <c r="P44" s="60">
        <v>1.88</v>
      </c>
      <c r="Q44" s="60">
        <v>243.96</v>
      </c>
      <c r="R44" s="198"/>
      <c r="S44" s="198"/>
      <c r="T44" s="198"/>
      <c r="U44" s="198"/>
    </row>
    <row r="45" spans="1:21" s="12" customFormat="1" x14ac:dyDescent="0.25">
      <c r="A45" s="201" t="s">
        <v>373</v>
      </c>
      <c r="B45" s="60">
        <v>49.07</v>
      </c>
      <c r="C45" s="60">
        <v>161.36000000000001</v>
      </c>
      <c r="D45" s="60">
        <v>128.4</v>
      </c>
      <c r="E45" s="60">
        <v>53.98</v>
      </c>
      <c r="F45" s="60">
        <v>4.03</v>
      </c>
      <c r="G45" s="60">
        <v>241.61</v>
      </c>
      <c r="H45" s="60">
        <v>94.82</v>
      </c>
      <c r="I45" s="214" t="s">
        <v>33</v>
      </c>
      <c r="J45" s="60">
        <v>0.51</v>
      </c>
      <c r="K45" s="60">
        <v>46.04</v>
      </c>
      <c r="L45" s="213" t="s">
        <v>35</v>
      </c>
      <c r="M45" s="213" t="s">
        <v>35</v>
      </c>
      <c r="N45" s="60">
        <v>356.3</v>
      </c>
      <c r="O45" s="60">
        <v>0</v>
      </c>
      <c r="P45" s="60">
        <v>1.81</v>
      </c>
      <c r="Q45" s="60">
        <v>244.13</v>
      </c>
      <c r="R45" s="198"/>
      <c r="S45" s="198"/>
      <c r="T45" s="198"/>
      <c r="U45" s="198"/>
    </row>
    <row r="46" spans="1:21" s="12" customFormat="1" x14ac:dyDescent="0.25">
      <c r="A46" s="201" t="s">
        <v>374</v>
      </c>
      <c r="B46" s="60">
        <v>47.8</v>
      </c>
      <c r="C46" s="60">
        <v>158.80000000000001</v>
      </c>
      <c r="D46" s="60">
        <v>125.97</v>
      </c>
      <c r="E46" s="60">
        <v>53.35</v>
      </c>
      <c r="F46" s="60">
        <v>4.01</v>
      </c>
      <c r="G46" s="60">
        <v>200.27</v>
      </c>
      <c r="H46" s="60">
        <v>86.28</v>
      </c>
      <c r="I46" s="214" t="s">
        <v>33</v>
      </c>
      <c r="J46" s="60">
        <v>1.34</v>
      </c>
      <c r="K46" s="60">
        <v>121.64</v>
      </c>
      <c r="L46" s="213" t="s">
        <v>35</v>
      </c>
      <c r="M46" s="213" t="s">
        <v>35</v>
      </c>
      <c r="N46" s="60">
        <v>448.4</v>
      </c>
      <c r="O46" s="60">
        <v>0</v>
      </c>
      <c r="P46" s="60">
        <v>1.75</v>
      </c>
      <c r="Q46" s="60">
        <v>253</v>
      </c>
      <c r="R46" s="198"/>
      <c r="S46" s="198"/>
      <c r="T46" s="198"/>
      <c r="U46" s="198"/>
    </row>
    <row r="47" spans="1:21" s="12" customFormat="1" x14ac:dyDescent="0.25">
      <c r="A47" s="201" t="s">
        <v>375</v>
      </c>
      <c r="B47" s="60">
        <v>43.48</v>
      </c>
      <c r="C47" s="60">
        <v>152.47</v>
      </c>
      <c r="D47" s="60">
        <v>119.01</v>
      </c>
      <c r="E47" s="60">
        <v>51.45</v>
      </c>
      <c r="F47" s="60">
        <v>4.3600000000000003</v>
      </c>
      <c r="G47" s="60">
        <v>200.27</v>
      </c>
      <c r="H47" s="60">
        <v>83.34</v>
      </c>
      <c r="I47" s="214" t="s">
        <v>33</v>
      </c>
      <c r="J47" s="60">
        <v>1.47</v>
      </c>
      <c r="K47" s="60">
        <v>124.99</v>
      </c>
      <c r="L47" s="213" t="s">
        <v>35</v>
      </c>
      <c r="M47" s="213" t="s">
        <v>35</v>
      </c>
      <c r="N47" s="60">
        <v>457.1</v>
      </c>
      <c r="O47" s="60">
        <v>0</v>
      </c>
      <c r="P47" s="60">
        <v>1.65</v>
      </c>
      <c r="Q47" s="60">
        <v>253.85</v>
      </c>
      <c r="R47" s="198"/>
      <c r="S47" s="198"/>
      <c r="T47" s="198"/>
      <c r="U47" s="198"/>
    </row>
    <row r="48" spans="1:21" s="12" customFormat="1" x14ac:dyDescent="0.25">
      <c r="A48" s="201" t="s">
        <v>376</v>
      </c>
      <c r="B48" s="60">
        <v>39.25</v>
      </c>
      <c r="C48" s="60">
        <v>147.46</v>
      </c>
      <c r="D48" s="60">
        <v>112.86</v>
      </c>
      <c r="E48" s="60">
        <v>50.35</v>
      </c>
      <c r="F48" s="60">
        <v>4.46</v>
      </c>
      <c r="G48" s="60">
        <v>200.27</v>
      </c>
      <c r="H48" s="60">
        <v>83.34</v>
      </c>
      <c r="I48" s="214" t="s">
        <v>33</v>
      </c>
      <c r="J48" s="60">
        <v>1.28</v>
      </c>
      <c r="K48" s="60">
        <v>110.03</v>
      </c>
      <c r="L48" s="213" t="s">
        <v>35</v>
      </c>
      <c r="M48" s="213" t="s">
        <v>35</v>
      </c>
      <c r="N48" s="60">
        <v>600</v>
      </c>
      <c r="O48" s="60">
        <v>0</v>
      </c>
      <c r="P48" s="60">
        <v>1.55</v>
      </c>
      <c r="Q48" s="60">
        <v>262.99</v>
      </c>
      <c r="R48" s="198"/>
      <c r="S48" s="198"/>
      <c r="T48" s="198"/>
      <c r="U48" s="198"/>
    </row>
    <row r="49" spans="1:21" s="12" customFormat="1" x14ac:dyDescent="0.25">
      <c r="A49" s="201" t="s">
        <v>377</v>
      </c>
      <c r="B49" s="215" t="s">
        <v>31</v>
      </c>
      <c r="C49" s="215" t="s">
        <v>31</v>
      </c>
      <c r="D49" s="215" t="s">
        <v>31</v>
      </c>
      <c r="E49" s="215" t="s">
        <v>31</v>
      </c>
      <c r="F49" s="215" t="s">
        <v>31</v>
      </c>
      <c r="G49" s="215" t="s">
        <v>31</v>
      </c>
      <c r="H49" s="215" t="s">
        <v>31</v>
      </c>
      <c r="I49" s="215" t="s">
        <v>31</v>
      </c>
      <c r="J49" s="215" t="s">
        <v>31</v>
      </c>
      <c r="K49" s="215" t="s">
        <v>31</v>
      </c>
      <c r="L49" s="215" t="s">
        <v>31</v>
      </c>
      <c r="M49" s="215" t="s">
        <v>31</v>
      </c>
      <c r="N49" s="215" t="s">
        <v>31</v>
      </c>
      <c r="O49" s="215" t="s">
        <v>31</v>
      </c>
      <c r="P49" s="215" t="s">
        <v>31</v>
      </c>
      <c r="Q49" s="215" t="s">
        <v>31</v>
      </c>
      <c r="R49" s="198"/>
      <c r="S49" s="198"/>
      <c r="T49" s="198"/>
      <c r="U49" s="198"/>
    </row>
    <row r="50" spans="1:21" s="12" customFormat="1" x14ac:dyDescent="0.25">
      <c r="A50" s="201" t="s">
        <v>378</v>
      </c>
      <c r="B50" s="215" t="s">
        <v>31</v>
      </c>
      <c r="C50" s="215" t="s">
        <v>31</v>
      </c>
      <c r="D50" s="215" t="s">
        <v>31</v>
      </c>
      <c r="E50" s="215" t="s">
        <v>31</v>
      </c>
      <c r="F50" s="215" t="s">
        <v>31</v>
      </c>
      <c r="G50" s="215" t="s">
        <v>31</v>
      </c>
      <c r="H50" s="215" t="s">
        <v>31</v>
      </c>
      <c r="I50" s="215" t="s">
        <v>31</v>
      </c>
      <c r="J50" s="215" t="s">
        <v>31</v>
      </c>
      <c r="K50" s="215" t="s">
        <v>31</v>
      </c>
      <c r="L50" s="215" t="s">
        <v>31</v>
      </c>
      <c r="M50" s="215" t="s">
        <v>31</v>
      </c>
      <c r="N50" s="215" t="s">
        <v>31</v>
      </c>
      <c r="O50" s="215" t="s">
        <v>31</v>
      </c>
      <c r="P50" s="215" t="s">
        <v>31</v>
      </c>
      <c r="Q50" s="215" t="s">
        <v>31</v>
      </c>
      <c r="R50" s="198"/>
      <c r="S50" s="198"/>
      <c r="T50" s="198"/>
      <c r="U50" s="198"/>
    </row>
    <row r="51" spans="1:21" s="12" customFormat="1" x14ac:dyDescent="0.25">
      <c r="A51" s="201" t="s">
        <v>379</v>
      </c>
      <c r="B51" s="215" t="s">
        <v>31</v>
      </c>
      <c r="C51" s="215" t="s">
        <v>31</v>
      </c>
      <c r="D51" s="215" t="s">
        <v>31</v>
      </c>
      <c r="E51" s="215" t="s">
        <v>31</v>
      </c>
      <c r="F51" s="215" t="s">
        <v>31</v>
      </c>
      <c r="G51" s="215" t="s">
        <v>31</v>
      </c>
      <c r="H51" s="215" t="s">
        <v>31</v>
      </c>
      <c r="I51" s="215" t="s">
        <v>31</v>
      </c>
      <c r="J51" s="215" t="s">
        <v>31</v>
      </c>
      <c r="K51" s="215" t="s">
        <v>31</v>
      </c>
      <c r="L51" s="215" t="s">
        <v>31</v>
      </c>
      <c r="M51" s="215" t="s">
        <v>31</v>
      </c>
      <c r="N51" s="215" t="s">
        <v>31</v>
      </c>
      <c r="O51" s="215" t="s">
        <v>31</v>
      </c>
      <c r="P51" s="215" t="s">
        <v>31</v>
      </c>
      <c r="Q51" s="215" t="s">
        <v>31</v>
      </c>
      <c r="R51" s="198"/>
      <c r="S51" s="198"/>
      <c r="T51" s="198"/>
      <c r="U51" s="198"/>
    </row>
    <row r="52" spans="1:21" s="12" customFormat="1" x14ac:dyDescent="0.25">
      <c r="A52" s="201" t="s">
        <v>380</v>
      </c>
      <c r="B52" s="215" t="s">
        <v>31</v>
      </c>
      <c r="C52" s="215" t="s">
        <v>31</v>
      </c>
      <c r="D52" s="215" t="s">
        <v>31</v>
      </c>
      <c r="E52" s="215" t="s">
        <v>31</v>
      </c>
      <c r="F52" s="215" t="s">
        <v>31</v>
      </c>
      <c r="G52" s="215" t="s">
        <v>31</v>
      </c>
      <c r="H52" s="215" t="s">
        <v>31</v>
      </c>
      <c r="I52" s="215" t="s">
        <v>31</v>
      </c>
      <c r="J52" s="215" t="s">
        <v>31</v>
      </c>
      <c r="K52" s="215" t="s">
        <v>31</v>
      </c>
      <c r="L52" s="215" t="s">
        <v>31</v>
      </c>
      <c r="M52" s="215" t="s">
        <v>31</v>
      </c>
      <c r="N52" s="215" t="s">
        <v>31</v>
      </c>
      <c r="O52" s="215" t="s">
        <v>31</v>
      </c>
      <c r="P52" s="215" t="s">
        <v>31</v>
      </c>
      <c r="Q52" s="215" t="s">
        <v>31</v>
      </c>
      <c r="R52" s="198"/>
      <c r="S52" s="198"/>
      <c r="T52" s="198"/>
      <c r="U52" s="198"/>
    </row>
    <row r="53" spans="1:21" s="12" customFormat="1" x14ac:dyDescent="0.25">
      <c r="A53" s="201" t="s">
        <v>381</v>
      </c>
      <c r="B53" s="215" t="s">
        <v>31</v>
      </c>
      <c r="C53" s="215" t="s">
        <v>31</v>
      </c>
      <c r="D53" s="215" t="s">
        <v>31</v>
      </c>
      <c r="E53" s="215" t="s">
        <v>31</v>
      </c>
      <c r="F53" s="215" t="s">
        <v>31</v>
      </c>
      <c r="G53" s="215" t="s">
        <v>31</v>
      </c>
      <c r="H53" s="215" t="s">
        <v>31</v>
      </c>
      <c r="I53" s="215" t="s">
        <v>31</v>
      </c>
      <c r="J53" s="215" t="s">
        <v>31</v>
      </c>
      <c r="K53" s="215" t="s">
        <v>31</v>
      </c>
      <c r="L53" s="215" t="s">
        <v>31</v>
      </c>
      <c r="M53" s="215" t="s">
        <v>31</v>
      </c>
      <c r="N53" s="215" t="s">
        <v>31</v>
      </c>
      <c r="O53" s="215" t="s">
        <v>31</v>
      </c>
      <c r="P53" s="215" t="s">
        <v>31</v>
      </c>
      <c r="Q53" s="215" t="s">
        <v>31</v>
      </c>
      <c r="R53" s="198"/>
      <c r="S53" s="198"/>
      <c r="T53" s="198"/>
      <c r="U53" s="198"/>
    </row>
    <row r="54" spans="1:21" s="12" customFormat="1" x14ac:dyDescent="0.25">
      <c r="A54" s="201" t="s">
        <v>382</v>
      </c>
      <c r="B54" s="215" t="s">
        <v>31</v>
      </c>
      <c r="C54" s="215" t="s">
        <v>31</v>
      </c>
      <c r="D54" s="215" t="s">
        <v>31</v>
      </c>
      <c r="E54" s="215" t="s">
        <v>31</v>
      </c>
      <c r="F54" s="215" t="s">
        <v>31</v>
      </c>
      <c r="G54" s="215" t="s">
        <v>31</v>
      </c>
      <c r="H54" s="215" t="s">
        <v>31</v>
      </c>
      <c r="I54" s="215" t="s">
        <v>31</v>
      </c>
      <c r="J54" s="215" t="s">
        <v>31</v>
      </c>
      <c r="K54" s="215" t="s">
        <v>31</v>
      </c>
      <c r="L54" s="215" t="s">
        <v>31</v>
      </c>
      <c r="M54" s="215" t="s">
        <v>31</v>
      </c>
      <c r="N54" s="215" t="s">
        <v>31</v>
      </c>
      <c r="O54" s="215" t="s">
        <v>31</v>
      </c>
      <c r="P54" s="215" t="s">
        <v>31</v>
      </c>
      <c r="Q54" s="215" t="s">
        <v>31</v>
      </c>
      <c r="R54" s="198"/>
      <c r="S54" s="198"/>
      <c r="T54" s="198"/>
      <c r="U54" s="198"/>
    </row>
    <row r="55" spans="1:21" s="12" customFormat="1" x14ac:dyDescent="0.25">
      <c r="A55" s="201" t="s">
        <v>383</v>
      </c>
      <c r="B55" s="215" t="s">
        <v>31</v>
      </c>
      <c r="C55" s="215" t="s">
        <v>31</v>
      </c>
      <c r="D55" s="215" t="s">
        <v>31</v>
      </c>
      <c r="E55" s="215" t="s">
        <v>31</v>
      </c>
      <c r="F55" s="215" t="s">
        <v>31</v>
      </c>
      <c r="G55" s="215" t="s">
        <v>31</v>
      </c>
      <c r="H55" s="215" t="s">
        <v>31</v>
      </c>
      <c r="I55" s="215" t="s">
        <v>31</v>
      </c>
      <c r="J55" s="215" t="s">
        <v>31</v>
      </c>
      <c r="K55" s="215" t="s">
        <v>31</v>
      </c>
      <c r="L55" s="215" t="s">
        <v>31</v>
      </c>
      <c r="M55" s="215" t="s">
        <v>31</v>
      </c>
      <c r="N55" s="215" t="s">
        <v>31</v>
      </c>
      <c r="O55" s="215" t="s">
        <v>31</v>
      </c>
      <c r="P55" s="215" t="s">
        <v>31</v>
      </c>
      <c r="Q55" s="215" t="s">
        <v>31</v>
      </c>
      <c r="R55" s="198"/>
      <c r="S55" s="198"/>
      <c r="T55" s="198"/>
      <c r="U55" s="198"/>
    </row>
    <row r="56" spans="1:21" s="12" customFormat="1" x14ac:dyDescent="0.25">
      <c r="A56" s="201" t="s">
        <v>384</v>
      </c>
      <c r="B56" s="215" t="s">
        <v>31</v>
      </c>
      <c r="C56" s="215" t="s">
        <v>31</v>
      </c>
      <c r="D56" s="215" t="s">
        <v>31</v>
      </c>
      <c r="E56" s="215" t="s">
        <v>31</v>
      </c>
      <c r="F56" s="215" t="s">
        <v>31</v>
      </c>
      <c r="G56" s="215" t="s">
        <v>31</v>
      </c>
      <c r="H56" s="215" t="s">
        <v>31</v>
      </c>
      <c r="I56" s="215" t="s">
        <v>31</v>
      </c>
      <c r="J56" s="215" t="s">
        <v>31</v>
      </c>
      <c r="K56" s="215" t="s">
        <v>31</v>
      </c>
      <c r="L56" s="215" t="s">
        <v>31</v>
      </c>
      <c r="M56" s="215" t="s">
        <v>31</v>
      </c>
      <c r="N56" s="215" t="s">
        <v>31</v>
      </c>
      <c r="O56" s="215" t="s">
        <v>31</v>
      </c>
      <c r="P56" s="215" t="s">
        <v>31</v>
      </c>
      <c r="Q56" s="215" t="s">
        <v>31</v>
      </c>
      <c r="R56" s="198"/>
      <c r="S56" s="198"/>
      <c r="T56" s="198"/>
      <c r="U56" s="198"/>
    </row>
    <row r="57" spans="1:21" s="12" customFormat="1" x14ac:dyDescent="0.25">
      <c r="A57" s="201" t="s">
        <v>385</v>
      </c>
      <c r="B57" s="215" t="s">
        <v>31</v>
      </c>
      <c r="C57" s="215" t="s">
        <v>31</v>
      </c>
      <c r="D57" s="215" t="s">
        <v>31</v>
      </c>
      <c r="E57" s="215" t="s">
        <v>31</v>
      </c>
      <c r="F57" s="215" t="s">
        <v>31</v>
      </c>
      <c r="G57" s="215" t="s">
        <v>31</v>
      </c>
      <c r="H57" s="215" t="s">
        <v>31</v>
      </c>
      <c r="I57" s="215" t="s">
        <v>31</v>
      </c>
      <c r="J57" s="215" t="s">
        <v>31</v>
      </c>
      <c r="K57" s="215" t="s">
        <v>31</v>
      </c>
      <c r="L57" s="215" t="s">
        <v>31</v>
      </c>
      <c r="M57" s="215" t="s">
        <v>31</v>
      </c>
      <c r="N57" s="215" t="s">
        <v>31</v>
      </c>
      <c r="O57" s="215" t="s">
        <v>31</v>
      </c>
      <c r="P57" s="215" t="s">
        <v>31</v>
      </c>
      <c r="Q57" s="215" t="s">
        <v>31</v>
      </c>
      <c r="R57" s="198"/>
      <c r="S57" s="198"/>
      <c r="T57" s="198"/>
      <c r="U57" s="198"/>
    </row>
    <row r="58" spans="1:21" s="12" customFormat="1" x14ac:dyDescent="0.25">
      <c r="A58" s="201" t="s">
        <v>386</v>
      </c>
      <c r="B58" s="215" t="s">
        <v>31</v>
      </c>
      <c r="C58" s="215" t="s">
        <v>31</v>
      </c>
      <c r="D58" s="215" t="s">
        <v>31</v>
      </c>
      <c r="E58" s="215" t="s">
        <v>31</v>
      </c>
      <c r="F58" s="215" t="s">
        <v>31</v>
      </c>
      <c r="G58" s="215" t="s">
        <v>31</v>
      </c>
      <c r="H58" s="215" t="s">
        <v>31</v>
      </c>
      <c r="I58" s="215" t="s">
        <v>31</v>
      </c>
      <c r="J58" s="215" t="s">
        <v>31</v>
      </c>
      <c r="K58" s="215" t="s">
        <v>31</v>
      </c>
      <c r="L58" s="215" t="s">
        <v>31</v>
      </c>
      <c r="M58" s="215" t="s">
        <v>31</v>
      </c>
      <c r="N58" s="215" t="s">
        <v>31</v>
      </c>
      <c r="O58" s="215" t="s">
        <v>31</v>
      </c>
      <c r="P58" s="215" t="s">
        <v>31</v>
      </c>
      <c r="Q58" s="215" t="s">
        <v>31</v>
      </c>
      <c r="R58" s="198"/>
      <c r="S58" s="198"/>
      <c r="T58" s="198"/>
      <c r="U58" s="198"/>
    </row>
    <row r="59" spans="1:21" s="12" customFormat="1" x14ac:dyDescent="0.25">
      <c r="A59" s="201" t="s">
        <v>387</v>
      </c>
      <c r="B59" s="215" t="s">
        <v>31</v>
      </c>
      <c r="C59" s="215" t="s">
        <v>31</v>
      </c>
      <c r="D59" s="215" t="s">
        <v>31</v>
      </c>
      <c r="E59" s="215" t="s">
        <v>31</v>
      </c>
      <c r="F59" s="215" t="s">
        <v>31</v>
      </c>
      <c r="G59" s="215" t="s">
        <v>31</v>
      </c>
      <c r="H59" s="215" t="s">
        <v>31</v>
      </c>
      <c r="I59" s="215" t="s">
        <v>31</v>
      </c>
      <c r="J59" s="215" t="s">
        <v>31</v>
      </c>
      <c r="K59" s="215" t="s">
        <v>31</v>
      </c>
      <c r="L59" s="215" t="s">
        <v>31</v>
      </c>
      <c r="M59" s="215" t="s">
        <v>31</v>
      </c>
      <c r="N59" s="215" t="s">
        <v>31</v>
      </c>
      <c r="O59" s="215" t="s">
        <v>31</v>
      </c>
      <c r="P59" s="215" t="s">
        <v>31</v>
      </c>
      <c r="Q59" s="215" t="s">
        <v>31</v>
      </c>
      <c r="R59" s="198"/>
      <c r="S59" s="198"/>
      <c r="T59" s="198"/>
      <c r="U59" s="198"/>
    </row>
    <row r="60" spans="1:21" s="12" customFormat="1" x14ac:dyDescent="0.25">
      <c r="A60" s="201" t="s">
        <v>388</v>
      </c>
      <c r="B60" s="215" t="s">
        <v>31</v>
      </c>
      <c r="C60" s="215" t="s">
        <v>31</v>
      </c>
      <c r="D60" s="215" t="s">
        <v>31</v>
      </c>
      <c r="E60" s="215" t="s">
        <v>31</v>
      </c>
      <c r="F60" s="215" t="s">
        <v>31</v>
      </c>
      <c r="G60" s="215" t="s">
        <v>31</v>
      </c>
      <c r="H60" s="215" t="s">
        <v>31</v>
      </c>
      <c r="I60" s="215" t="s">
        <v>31</v>
      </c>
      <c r="J60" s="215" t="s">
        <v>31</v>
      </c>
      <c r="K60" s="215" t="s">
        <v>31</v>
      </c>
      <c r="L60" s="215" t="s">
        <v>31</v>
      </c>
      <c r="M60" s="215" t="s">
        <v>31</v>
      </c>
      <c r="N60" s="215" t="s">
        <v>31</v>
      </c>
      <c r="O60" s="215" t="s">
        <v>31</v>
      </c>
      <c r="P60" s="215" t="s">
        <v>31</v>
      </c>
      <c r="Q60" s="215" t="s">
        <v>31</v>
      </c>
      <c r="R60" s="198"/>
      <c r="S60" s="198"/>
      <c r="T60" s="198"/>
      <c r="U60" s="198"/>
    </row>
    <row r="61" spans="1:21" s="12" customFormat="1" x14ac:dyDescent="0.25">
      <c r="A61" s="201" t="s">
        <v>389</v>
      </c>
      <c r="B61" s="215" t="s">
        <v>31</v>
      </c>
      <c r="C61" s="215" t="s">
        <v>31</v>
      </c>
      <c r="D61" s="215" t="s">
        <v>31</v>
      </c>
      <c r="E61" s="215" t="s">
        <v>31</v>
      </c>
      <c r="F61" s="215" t="s">
        <v>31</v>
      </c>
      <c r="G61" s="215" t="s">
        <v>31</v>
      </c>
      <c r="H61" s="215" t="s">
        <v>31</v>
      </c>
      <c r="I61" s="215" t="s">
        <v>31</v>
      </c>
      <c r="J61" s="215" t="s">
        <v>31</v>
      </c>
      <c r="K61" s="215" t="s">
        <v>31</v>
      </c>
      <c r="L61" s="215" t="s">
        <v>31</v>
      </c>
      <c r="M61" s="215" t="s">
        <v>31</v>
      </c>
      <c r="N61" s="215" t="s">
        <v>31</v>
      </c>
      <c r="O61" s="215" t="s">
        <v>31</v>
      </c>
      <c r="P61" s="215" t="s">
        <v>31</v>
      </c>
      <c r="Q61" s="215" t="s">
        <v>31</v>
      </c>
      <c r="R61" s="198"/>
      <c r="S61" s="198"/>
      <c r="T61" s="198"/>
      <c r="U61" s="198"/>
    </row>
    <row r="62" spans="1:21" s="12" customFormat="1" x14ac:dyDescent="0.25">
      <c r="A62" s="201" t="s">
        <v>390</v>
      </c>
      <c r="B62" s="215" t="s">
        <v>31</v>
      </c>
      <c r="C62" s="215" t="s">
        <v>31</v>
      </c>
      <c r="D62" s="215" t="s">
        <v>31</v>
      </c>
      <c r="E62" s="215" t="s">
        <v>31</v>
      </c>
      <c r="F62" s="215" t="s">
        <v>31</v>
      </c>
      <c r="G62" s="215" t="s">
        <v>31</v>
      </c>
      <c r="H62" s="215" t="s">
        <v>31</v>
      </c>
      <c r="I62" s="215" t="s">
        <v>31</v>
      </c>
      <c r="J62" s="215" t="s">
        <v>31</v>
      </c>
      <c r="K62" s="215" t="s">
        <v>31</v>
      </c>
      <c r="L62" s="215" t="s">
        <v>31</v>
      </c>
      <c r="M62" s="215" t="s">
        <v>31</v>
      </c>
      <c r="N62" s="215" t="s">
        <v>31</v>
      </c>
      <c r="O62" s="215" t="s">
        <v>31</v>
      </c>
      <c r="P62" s="215" t="s">
        <v>31</v>
      </c>
      <c r="Q62" s="215" t="s">
        <v>31</v>
      </c>
      <c r="R62" s="198"/>
      <c r="S62" s="198"/>
      <c r="T62" s="198"/>
      <c r="U62" s="198"/>
    </row>
    <row r="63" spans="1:21" s="12" customFormat="1" x14ac:dyDescent="0.25">
      <c r="A63" s="201" t="s">
        <v>391</v>
      </c>
      <c r="B63" s="215" t="s">
        <v>31</v>
      </c>
      <c r="C63" s="215" t="s">
        <v>31</v>
      </c>
      <c r="D63" s="215" t="s">
        <v>31</v>
      </c>
      <c r="E63" s="215" t="s">
        <v>31</v>
      </c>
      <c r="F63" s="215" t="s">
        <v>31</v>
      </c>
      <c r="G63" s="215" t="s">
        <v>31</v>
      </c>
      <c r="H63" s="215" t="s">
        <v>31</v>
      </c>
      <c r="I63" s="215" t="s">
        <v>31</v>
      </c>
      <c r="J63" s="215" t="s">
        <v>31</v>
      </c>
      <c r="K63" s="215" t="s">
        <v>31</v>
      </c>
      <c r="L63" s="215" t="s">
        <v>31</v>
      </c>
      <c r="M63" s="215" t="s">
        <v>31</v>
      </c>
      <c r="N63" s="215" t="s">
        <v>31</v>
      </c>
      <c r="O63" s="215" t="s">
        <v>31</v>
      </c>
      <c r="P63" s="215" t="s">
        <v>31</v>
      </c>
      <c r="Q63" s="215" t="s">
        <v>31</v>
      </c>
      <c r="R63" s="198"/>
      <c r="S63" s="198"/>
      <c r="T63" s="198"/>
      <c r="U63" s="198"/>
    </row>
    <row r="64" spans="1:21" s="12" customFormat="1" x14ac:dyDescent="0.25">
      <c r="A64" s="201" t="s">
        <v>392</v>
      </c>
      <c r="B64" s="215" t="s">
        <v>31</v>
      </c>
      <c r="C64" s="215" t="s">
        <v>31</v>
      </c>
      <c r="D64" s="215" t="s">
        <v>31</v>
      </c>
      <c r="E64" s="215" t="s">
        <v>31</v>
      </c>
      <c r="F64" s="215" t="s">
        <v>31</v>
      </c>
      <c r="G64" s="215" t="s">
        <v>31</v>
      </c>
      <c r="H64" s="215" t="s">
        <v>31</v>
      </c>
      <c r="I64" s="215" t="s">
        <v>31</v>
      </c>
      <c r="J64" s="215" t="s">
        <v>31</v>
      </c>
      <c r="K64" s="215" t="s">
        <v>31</v>
      </c>
      <c r="L64" s="215" t="s">
        <v>31</v>
      </c>
      <c r="M64" s="215" t="s">
        <v>31</v>
      </c>
      <c r="N64" s="215" t="s">
        <v>31</v>
      </c>
      <c r="O64" s="215" t="s">
        <v>31</v>
      </c>
      <c r="P64" s="215" t="s">
        <v>31</v>
      </c>
      <c r="Q64" s="215" t="s">
        <v>31</v>
      </c>
      <c r="R64" s="198"/>
      <c r="S64" s="198"/>
      <c r="T64" s="198"/>
      <c r="U64" s="198"/>
    </row>
    <row r="65" spans="1:21" s="12" customFormat="1" x14ac:dyDescent="0.25">
      <c r="A65" s="201" t="s">
        <v>393</v>
      </c>
      <c r="B65" s="215" t="s">
        <v>31</v>
      </c>
      <c r="C65" s="215" t="s">
        <v>31</v>
      </c>
      <c r="D65" s="215" t="s">
        <v>31</v>
      </c>
      <c r="E65" s="215" t="s">
        <v>31</v>
      </c>
      <c r="F65" s="215" t="s">
        <v>31</v>
      </c>
      <c r="G65" s="215" t="s">
        <v>31</v>
      </c>
      <c r="H65" s="215" t="s">
        <v>31</v>
      </c>
      <c r="I65" s="215" t="s">
        <v>31</v>
      </c>
      <c r="J65" s="215" t="s">
        <v>31</v>
      </c>
      <c r="K65" s="215" t="s">
        <v>31</v>
      </c>
      <c r="L65" s="215" t="s">
        <v>31</v>
      </c>
      <c r="M65" s="215" t="s">
        <v>31</v>
      </c>
      <c r="N65" s="215" t="s">
        <v>31</v>
      </c>
      <c r="O65" s="215" t="s">
        <v>31</v>
      </c>
      <c r="P65" s="215" t="s">
        <v>31</v>
      </c>
      <c r="Q65" s="215" t="s">
        <v>31</v>
      </c>
      <c r="R65" s="198"/>
      <c r="S65" s="198"/>
      <c r="T65" s="198"/>
      <c r="U65" s="198"/>
    </row>
    <row r="66" spans="1:21" s="12" customFormat="1" x14ac:dyDescent="0.25">
      <c r="A66" s="201" t="s">
        <v>394</v>
      </c>
      <c r="B66" s="215" t="s">
        <v>31</v>
      </c>
      <c r="C66" s="215" t="s">
        <v>31</v>
      </c>
      <c r="D66" s="215" t="s">
        <v>31</v>
      </c>
      <c r="E66" s="215" t="s">
        <v>31</v>
      </c>
      <c r="F66" s="215" t="s">
        <v>31</v>
      </c>
      <c r="G66" s="215" t="s">
        <v>31</v>
      </c>
      <c r="H66" s="215" t="s">
        <v>31</v>
      </c>
      <c r="I66" s="215" t="s">
        <v>31</v>
      </c>
      <c r="J66" s="215" t="s">
        <v>31</v>
      </c>
      <c r="K66" s="215" t="s">
        <v>31</v>
      </c>
      <c r="L66" s="215" t="s">
        <v>31</v>
      </c>
      <c r="M66" s="215" t="s">
        <v>31</v>
      </c>
      <c r="N66" s="215" t="s">
        <v>31</v>
      </c>
      <c r="O66" s="215" t="s">
        <v>31</v>
      </c>
      <c r="P66" s="215" t="s">
        <v>31</v>
      </c>
      <c r="Q66" s="215" t="s">
        <v>31</v>
      </c>
      <c r="R66" s="198"/>
      <c r="S66" s="198"/>
      <c r="T66" s="198"/>
      <c r="U66" s="198"/>
    </row>
    <row r="67" spans="1:21" s="12" customFormat="1" x14ac:dyDescent="0.25">
      <c r="A67" s="201" t="s">
        <v>395</v>
      </c>
      <c r="B67" s="215" t="s">
        <v>31</v>
      </c>
      <c r="C67" s="215" t="s">
        <v>31</v>
      </c>
      <c r="D67" s="215" t="s">
        <v>31</v>
      </c>
      <c r="E67" s="215" t="s">
        <v>31</v>
      </c>
      <c r="F67" s="215" t="s">
        <v>31</v>
      </c>
      <c r="G67" s="215" t="s">
        <v>31</v>
      </c>
      <c r="H67" s="215" t="s">
        <v>31</v>
      </c>
      <c r="I67" s="215" t="s">
        <v>31</v>
      </c>
      <c r="J67" s="215" t="s">
        <v>31</v>
      </c>
      <c r="K67" s="215" t="s">
        <v>31</v>
      </c>
      <c r="L67" s="215" t="s">
        <v>31</v>
      </c>
      <c r="M67" s="215" t="s">
        <v>31</v>
      </c>
      <c r="N67" s="215" t="s">
        <v>31</v>
      </c>
      <c r="O67" s="215" t="s">
        <v>31</v>
      </c>
      <c r="P67" s="215" t="s">
        <v>31</v>
      </c>
      <c r="Q67" s="215" t="s">
        <v>31</v>
      </c>
      <c r="R67" s="198"/>
      <c r="S67" s="198"/>
      <c r="T67" s="198"/>
      <c r="U67" s="198"/>
    </row>
    <row r="68" spans="1:21" s="12" customFormat="1" x14ac:dyDescent="0.25">
      <c r="A68" s="201" t="s">
        <v>396</v>
      </c>
      <c r="B68" s="215" t="s">
        <v>31</v>
      </c>
      <c r="C68" s="215" t="s">
        <v>31</v>
      </c>
      <c r="D68" s="215" t="s">
        <v>31</v>
      </c>
      <c r="E68" s="215" t="s">
        <v>31</v>
      </c>
      <c r="F68" s="215" t="s">
        <v>31</v>
      </c>
      <c r="G68" s="215" t="s">
        <v>31</v>
      </c>
      <c r="H68" s="215" t="s">
        <v>31</v>
      </c>
      <c r="I68" s="215" t="s">
        <v>31</v>
      </c>
      <c r="J68" s="215" t="s">
        <v>31</v>
      </c>
      <c r="K68" s="215" t="s">
        <v>31</v>
      </c>
      <c r="L68" s="215" t="s">
        <v>31</v>
      </c>
      <c r="M68" s="215" t="s">
        <v>31</v>
      </c>
      <c r="N68" s="215" t="s">
        <v>31</v>
      </c>
      <c r="O68" s="215" t="s">
        <v>31</v>
      </c>
      <c r="P68" s="215" t="s">
        <v>31</v>
      </c>
      <c r="Q68" s="215" t="s">
        <v>31</v>
      </c>
      <c r="R68" s="198"/>
      <c r="S68" s="198"/>
      <c r="T68" s="198"/>
      <c r="U68" s="198"/>
    </row>
    <row r="69" spans="1:21" s="12" customFormat="1" x14ac:dyDescent="0.25">
      <c r="A69" s="201" t="s">
        <v>397</v>
      </c>
      <c r="B69" s="215" t="s">
        <v>31</v>
      </c>
      <c r="C69" s="215" t="s">
        <v>31</v>
      </c>
      <c r="D69" s="215" t="s">
        <v>31</v>
      </c>
      <c r="E69" s="215" t="s">
        <v>31</v>
      </c>
      <c r="F69" s="215" t="s">
        <v>31</v>
      </c>
      <c r="G69" s="215" t="s">
        <v>31</v>
      </c>
      <c r="H69" s="215" t="s">
        <v>31</v>
      </c>
      <c r="I69" s="215" t="s">
        <v>31</v>
      </c>
      <c r="J69" s="215" t="s">
        <v>31</v>
      </c>
      <c r="K69" s="215" t="s">
        <v>31</v>
      </c>
      <c r="L69" s="215" t="s">
        <v>31</v>
      </c>
      <c r="M69" s="215" t="s">
        <v>31</v>
      </c>
      <c r="N69" s="215" t="s">
        <v>31</v>
      </c>
      <c r="O69" s="215" t="s">
        <v>31</v>
      </c>
      <c r="P69" s="215" t="s">
        <v>31</v>
      </c>
      <c r="Q69" s="215" t="s">
        <v>31</v>
      </c>
      <c r="R69" s="198"/>
      <c r="S69" s="198"/>
      <c r="T69" s="198"/>
      <c r="U69" s="198"/>
    </row>
    <row r="70" spans="1:21" s="12" customFormat="1" x14ac:dyDescent="0.25">
      <c r="A70" s="201" t="s">
        <v>398</v>
      </c>
      <c r="B70" s="215" t="s">
        <v>31</v>
      </c>
      <c r="C70" s="215" t="s">
        <v>31</v>
      </c>
      <c r="D70" s="215" t="s">
        <v>31</v>
      </c>
      <c r="E70" s="215" t="s">
        <v>31</v>
      </c>
      <c r="F70" s="215" t="s">
        <v>31</v>
      </c>
      <c r="G70" s="215" t="s">
        <v>31</v>
      </c>
      <c r="H70" s="215" t="s">
        <v>31</v>
      </c>
      <c r="I70" s="215" t="s">
        <v>31</v>
      </c>
      <c r="J70" s="215" t="s">
        <v>31</v>
      </c>
      <c r="K70" s="215" t="s">
        <v>31</v>
      </c>
      <c r="L70" s="215" t="s">
        <v>31</v>
      </c>
      <c r="M70" s="215" t="s">
        <v>31</v>
      </c>
      <c r="N70" s="215" t="s">
        <v>31</v>
      </c>
      <c r="O70" s="215" t="s">
        <v>31</v>
      </c>
      <c r="P70" s="215" t="s">
        <v>31</v>
      </c>
      <c r="Q70" s="215" t="s">
        <v>31</v>
      </c>
      <c r="R70" s="198"/>
      <c r="S70" s="198"/>
      <c r="T70" s="198"/>
      <c r="U70" s="198"/>
    </row>
    <row r="71" spans="1:21" s="12" customFormat="1" x14ac:dyDescent="0.25">
      <c r="A71" s="201" t="s">
        <v>399</v>
      </c>
      <c r="B71" s="215" t="s">
        <v>31</v>
      </c>
      <c r="C71" s="215" t="s">
        <v>31</v>
      </c>
      <c r="D71" s="215" t="s">
        <v>31</v>
      </c>
      <c r="E71" s="215" t="s">
        <v>31</v>
      </c>
      <c r="F71" s="215" t="s">
        <v>31</v>
      </c>
      <c r="G71" s="215" t="s">
        <v>31</v>
      </c>
      <c r="H71" s="215" t="s">
        <v>31</v>
      </c>
      <c r="I71" s="215" t="s">
        <v>31</v>
      </c>
      <c r="J71" s="215" t="s">
        <v>31</v>
      </c>
      <c r="K71" s="215" t="s">
        <v>31</v>
      </c>
      <c r="L71" s="215" t="s">
        <v>31</v>
      </c>
      <c r="M71" s="215" t="s">
        <v>31</v>
      </c>
      <c r="N71" s="215" t="s">
        <v>31</v>
      </c>
      <c r="O71" s="215" t="s">
        <v>31</v>
      </c>
      <c r="P71" s="215" t="s">
        <v>31</v>
      </c>
      <c r="Q71" s="215" t="s">
        <v>31</v>
      </c>
      <c r="R71" s="198"/>
      <c r="S71" s="198"/>
      <c r="T71" s="198"/>
      <c r="U71" s="198"/>
    </row>
    <row r="72" spans="1:21" s="12" customFormat="1" x14ac:dyDescent="0.25">
      <c r="A72" s="201" t="s">
        <v>400</v>
      </c>
      <c r="B72" s="215" t="s">
        <v>31</v>
      </c>
      <c r="C72" s="215" t="s">
        <v>31</v>
      </c>
      <c r="D72" s="215" t="s">
        <v>31</v>
      </c>
      <c r="E72" s="215" t="s">
        <v>31</v>
      </c>
      <c r="F72" s="215" t="s">
        <v>31</v>
      </c>
      <c r="G72" s="215" t="s">
        <v>31</v>
      </c>
      <c r="H72" s="215" t="s">
        <v>31</v>
      </c>
      <c r="I72" s="215" t="s">
        <v>31</v>
      </c>
      <c r="J72" s="215" t="s">
        <v>31</v>
      </c>
      <c r="K72" s="215" t="s">
        <v>31</v>
      </c>
      <c r="L72" s="215" t="s">
        <v>31</v>
      </c>
      <c r="M72" s="215" t="s">
        <v>31</v>
      </c>
      <c r="N72" s="215" t="s">
        <v>31</v>
      </c>
      <c r="O72" s="215" t="s">
        <v>31</v>
      </c>
      <c r="P72" s="215" t="s">
        <v>31</v>
      </c>
      <c r="Q72" s="215" t="s">
        <v>31</v>
      </c>
      <c r="R72" s="198"/>
      <c r="S72" s="198"/>
      <c r="T72" s="198"/>
      <c r="U72" s="198"/>
    </row>
    <row r="73" spans="1:21" s="12" customFormat="1" x14ac:dyDescent="0.25">
      <c r="A73" s="201" t="s">
        <v>401</v>
      </c>
      <c r="B73" s="215" t="s">
        <v>31</v>
      </c>
      <c r="C73" s="215" t="s">
        <v>31</v>
      </c>
      <c r="D73" s="215" t="s">
        <v>31</v>
      </c>
      <c r="E73" s="215" t="s">
        <v>31</v>
      </c>
      <c r="F73" s="215" t="s">
        <v>31</v>
      </c>
      <c r="G73" s="215" t="s">
        <v>31</v>
      </c>
      <c r="H73" s="215" t="s">
        <v>31</v>
      </c>
      <c r="I73" s="215" t="s">
        <v>31</v>
      </c>
      <c r="J73" s="215" t="s">
        <v>31</v>
      </c>
      <c r="K73" s="215" t="s">
        <v>31</v>
      </c>
      <c r="L73" s="215" t="s">
        <v>31</v>
      </c>
      <c r="M73" s="215" t="s">
        <v>31</v>
      </c>
      <c r="N73" s="215" t="s">
        <v>31</v>
      </c>
      <c r="O73" s="215" t="s">
        <v>31</v>
      </c>
      <c r="P73" s="215" t="s">
        <v>31</v>
      </c>
      <c r="Q73" s="215" t="s">
        <v>31</v>
      </c>
      <c r="R73" s="198"/>
      <c r="S73" s="198"/>
      <c r="T73" s="198"/>
      <c r="U73" s="198"/>
    </row>
    <row r="74" spans="1:21" s="12" customFormat="1" x14ac:dyDescent="0.25">
      <c r="A74" s="201" t="s">
        <v>402</v>
      </c>
      <c r="B74" s="215" t="s">
        <v>31</v>
      </c>
      <c r="C74" s="215" t="s">
        <v>31</v>
      </c>
      <c r="D74" s="215" t="s">
        <v>31</v>
      </c>
      <c r="E74" s="215" t="s">
        <v>31</v>
      </c>
      <c r="F74" s="215" t="s">
        <v>31</v>
      </c>
      <c r="G74" s="215" t="s">
        <v>31</v>
      </c>
      <c r="H74" s="215" t="s">
        <v>31</v>
      </c>
      <c r="I74" s="215" t="s">
        <v>31</v>
      </c>
      <c r="J74" s="215" t="s">
        <v>31</v>
      </c>
      <c r="K74" s="215" t="s">
        <v>31</v>
      </c>
      <c r="L74" s="215" t="s">
        <v>31</v>
      </c>
      <c r="M74" s="215" t="s">
        <v>31</v>
      </c>
      <c r="N74" s="215" t="s">
        <v>31</v>
      </c>
      <c r="O74" s="215" t="s">
        <v>31</v>
      </c>
      <c r="P74" s="215" t="s">
        <v>31</v>
      </c>
      <c r="Q74" s="215" t="s">
        <v>31</v>
      </c>
      <c r="R74" s="198"/>
      <c r="S74" s="198"/>
      <c r="T74" s="198"/>
      <c r="U74" s="198"/>
    </row>
    <row r="75" spans="1:21" s="12" customFormat="1" x14ac:dyDescent="0.25">
      <c r="A75" s="201" t="s">
        <v>403</v>
      </c>
      <c r="B75" s="215" t="s">
        <v>31</v>
      </c>
      <c r="C75" s="215" t="s">
        <v>31</v>
      </c>
      <c r="D75" s="215" t="s">
        <v>31</v>
      </c>
      <c r="E75" s="215" t="s">
        <v>31</v>
      </c>
      <c r="F75" s="215" t="s">
        <v>31</v>
      </c>
      <c r="G75" s="215" t="s">
        <v>31</v>
      </c>
      <c r="H75" s="215" t="s">
        <v>31</v>
      </c>
      <c r="I75" s="215" t="s">
        <v>31</v>
      </c>
      <c r="J75" s="215" t="s">
        <v>31</v>
      </c>
      <c r="K75" s="215" t="s">
        <v>31</v>
      </c>
      <c r="L75" s="215" t="s">
        <v>31</v>
      </c>
      <c r="M75" s="215" t="s">
        <v>31</v>
      </c>
      <c r="N75" s="215" t="s">
        <v>31</v>
      </c>
      <c r="O75" s="215" t="s">
        <v>31</v>
      </c>
      <c r="P75" s="215" t="s">
        <v>31</v>
      </c>
      <c r="Q75" s="215" t="s">
        <v>31</v>
      </c>
      <c r="R75" s="198"/>
      <c r="S75" s="198"/>
      <c r="T75" s="198"/>
      <c r="U75" s="198"/>
    </row>
    <row r="76" spans="1:21" s="12" customFormat="1" x14ac:dyDescent="0.25">
      <c r="A76" s="201" t="s">
        <v>404</v>
      </c>
      <c r="B76" s="215" t="s">
        <v>31</v>
      </c>
      <c r="C76" s="215" t="s">
        <v>31</v>
      </c>
      <c r="D76" s="215" t="s">
        <v>31</v>
      </c>
      <c r="E76" s="215" t="s">
        <v>31</v>
      </c>
      <c r="F76" s="215" t="s">
        <v>31</v>
      </c>
      <c r="G76" s="215" t="s">
        <v>31</v>
      </c>
      <c r="H76" s="215" t="s">
        <v>31</v>
      </c>
      <c r="I76" s="215" t="s">
        <v>31</v>
      </c>
      <c r="J76" s="215" t="s">
        <v>31</v>
      </c>
      <c r="K76" s="215" t="s">
        <v>31</v>
      </c>
      <c r="L76" s="215" t="s">
        <v>31</v>
      </c>
      <c r="M76" s="215" t="s">
        <v>31</v>
      </c>
      <c r="N76" s="215" t="s">
        <v>31</v>
      </c>
      <c r="O76" s="215" t="s">
        <v>31</v>
      </c>
      <c r="P76" s="215" t="s">
        <v>31</v>
      </c>
      <c r="Q76" s="215" t="s">
        <v>31</v>
      </c>
      <c r="R76" s="198"/>
      <c r="S76" s="198"/>
      <c r="T76" s="198"/>
      <c r="U76" s="198"/>
    </row>
    <row r="77" spans="1:21" s="12" customFormat="1" x14ac:dyDescent="0.25">
      <c r="A77" s="201" t="s">
        <v>405</v>
      </c>
      <c r="B77" s="215" t="s">
        <v>31</v>
      </c>
      <c r="C77" s="215" t="s">
        <v>31</v>
      </c>
      <c r="D77" s="215" t="s">
        <v>31</v>
      </c>
      <c r="E77" s="215" t="s">
        <v>31</v>
      </c>
      <c r="F77" s="215" t="s">
        <v>31</v>
      </c>
      <c r="G77" s="215" t="s">
        <v>31</v>
      </c>
      <c r="H77" s="215" t="s">
        <v>31</v>
      </c>
      <c r="I77" s="215" t="s">
        <v>31</v>
      </c>
      <c r="J77" s="215" t="s">
        <v>31</v>
      </c>
      <c r="K77" s="215" t="s">
        <v>31</v>
      </c>
      <c r="L77" s="215" t="s">
        <v>31</v>
      </c>
      <c r="M77" s="215" t="s">
        <v>31</v>
      </c>
      <c r="N77" s="215" t="s">
        <v>31</v>
      </c>
      <c r="O77" s="215" t="s">
        <v>31</v>
      </c>
      <c r="P77" s="215" t="s">
        <v>31</v>
      </c>
      <c r="Q77" s="215" t="s">
        <v>31</v>
      </c>
      <c r="R77" s="198"/>
      <c r="S77" s="198"/>
      <c r="T77" s="198"/>
      <c r="U77" s="198"/>
    </row>
    <row r="78" spans="1:21" s="12" customFormat="1" x14ac:dyDescent="0.25">
      <c r="A78" s="201" t="s">
        <v>406</v>
      </c>
      <c r="B78" s="215" t="s">
        <v>31</v>
      </c>
      <c r="C78" s="215" t="s">
        <v>31</v>
      </c>
      <c r="D78" s="215" t="s">
        <v>31</v>
      </c>
      <c r="E78" s="215" t="s">
        <v>31</v>
      </c>
      <c r="F78" s="215" t="s">
        <v>31</v>
      </c>
      <c r="G78" s="215" t="s">
        <v>31</v>
      </c>
      <c r="H78" s="215" t="s">
        <v>31</v>
      </c>
      <c r="I78" s="215" t="s">
        <v>31</v>
      </c>
      <c r="J78" s="215" t="s">
        <v>31</v>
      </c>
      <c r="K78" s="215" t="s">
        <v>31</v>
      </c>
      <c r="L78" s="215" t="s">
        <v>31</v>
      </c>
      <c r="M78" s="215" t="s">
        <v>31</v>
      </c>
      <c r="N78" s="215" t="s">
        <v>31</v>
      </c>
      <c r="O78" s="215" t="s">
        <v>31</v>
      </c>
      <c r="P78" s="215" t="s">
        <v>31</v>
      </c>
      <c r="Q78" s="215" t="s">
        <v>31</v>
      </c>
      <c r="R78" s="198"/>
      <c r="S78" s="198"/>
      <c r="T78" s="198"/>
      <c r="U78" s="198"/>
    </row>
    <row r="79" spans="1:21" s="12" customFormat="1" x14ac:dyDescent="0.25">
      <c r="A79" s="201" t="s">
        <v>407</v>
      </c>
      <c r="B79" s="215" t="s">
        <v>31</v>
      </c>
      <c r="C79" s="215" t="s">
        <v>31</v>
      </c>
      <c r="D79" s="215" t="s">
        <v>31</v>
      </c>
      <c r="E79" s="215" t="s">
        <v>31</v>
      </c>
      <c r="F79" s="215" t="s">
        <v>31</v>
      </c>
      <c r="G79" s="215" t="s">
        <v>31</v>
      </c>
      <c r="H79" s="215" t="s">
        <v>31</v>
      </c>
      <c r="I79" s="215" t="s">
        <v>31</v>
      </c>
      <c r="J79" s="215" t="s">
        <v>31</v>
      </c>
      <c r="K79" s="215" t="s">
        <v>31</v>
      </c>
      <c r="L79" s="215" t="s">
        <v>31</v>
      </c>
      <c r="M79" s="215" t="s">
        <v>31</v>
      </c>
      <c r="N79" s="215" t="s">
        <v>31</v>
      </c>
      <c r="O79" s="215" t="s">
        <v>31</v>
      </c>
      <c r="P79" s="215" t="s">
        <v>31</v>
      </c>
      <c r="Q79" s="215" t="s">
        <v>31</v>
      </c>
      <c r="R79" s="198"/>
      <c r="S79" s="198"/>
      <c r="T79" s="198"/>
      <c r="U79" s="198"/>
    </row>
    <row r="80" spans="1:21" s="12" customFormat="1" x14ac:dyDescent="0.25">
      <c r="A80" s="201" t="s">
        <v>408</v>
      </c>
      <c r="B80" s="215" t="s">
        <v>31</v>
      </c>
      <c r="C80" s="215" t="s">
        <v>31</v>
      </c>
      <c r="D80" s="215" t="s">
        <v>31</v>
      </c>
      <c r="E80" s="215" t="s">
        <v>31</v>
      </c>
      <c r="F80" s="215" t="s">
        <v>31</v>
      </c>
      <c r="G80" s="215" t="s">
        <v>31</v>
      </c>
      <c r="H80" s="215" t="s">
        <v>31</v>
      </c>
      <c r="I80" s="215" t="s">
        <v>31</v>
      </c>
      <c r="J80" s="215" t="s">
        <v>31</v>
      </c>
      <c r="K80" s="215" t="s">
        <v>31</v>
      </c>
      <c r="L80" s="215" t="s">
        <v>31</v>
      </c>
      <c r="M80" s="215" t="s">
        <v>31</v>
      </c>
      <c r="N80" s="215" t="s">
        <v>31</v>
      </c>
      <c r="O80" s="215" t="s">
        <v>31</v>
      </c>
      <c r="P80" s="215" t="s">
        <v>31</v>
      </c>
      <c r="Q80" s="215" t="s">
        <v>31</v>
      </c>
      <c r="R80" s="198"/>
      <c r="S80" s="198"/>
      <c r="T80" s="198"/>
      <c r="U80" s="198"/>
    </row>
    <row r="81" spans="1:26" s="12" customFormat="1" x14ac:dyDescent="0.25">
      <c r="A81" s="201" t="s">
        <v>409</v>
      </c>
      <c r="B81" s="215" t="s">
        <v>31</v>
      </c>
      <c r="C81" s="215" t="s">
        <v>31</v>
      </c>
      <c r="D81" s="215" t="s">
        <v>31</v>
      </c>
      <c r="E81" s="215" t="s">
        <v>31</v>
      </c>
      <c r="F81" s="215" t="s">
        <v>31</v>
      </c>
      <c r="G81" s="215" t="s">
        <v>31</v>
      </c>
      <c r="H81" s="215" t="s">
        <v>31</v>
      </c>
      <c r="I81" s="215" t="s">
        <v>31</v>
      </c>
      <c r="J81" s="215" t="s">
        <v>31</v>
      </c>
      <c r="K81" s="215" t="s">
        <v>31</v>
      </c>
      <c r="L81" s="215" t="s">
        <v>31</v>
      </c>
      <c r="M81" s="215" t="s">
        <v>31</v>
      </c>
      <c r="N81" s="215" t="s">
        <v>31</v>
      </c>
      <c r="O81" s="215" t="s">
        <v>31</v>
      </c>
      <c r="P81" s="215" t="s">
        <v>31</v>
      </c>
      <c r="Q81" s="215" t="s">
        <v>31</v>
      </c>
      <c r="R81" s="198"/>
      <c r="S81" s="198"/>
      <c r="T81" s="198"/>
      <c r="U81" s="198"/>
    </row>
    <row r="82" spans="1:26" s="12" customFormat="1" x14ac:dyDescent="0.25">
      <c r="A82" s="201" t="s">
        <v>410</v>
      </c>
      <c r="B82" s="215" t="s">
        <v>31</v>
      </c>
      <c r="C82" s="215" t="s">
        <v>31</v>
      </c>
      <c r="D82" s="215" t="s">
        <v>31</v>
      </c>
      <c r="E82" s="215" t="s">
        <v>31</v>
      </c>
      <c r="F82" s="215" t="s">
        <v>31</v>
      </c>
      <c r="G82" s="215" t="s">
        <v>31</v>
      </c>
      <c r="H82" s="215" t="s">
        <v>31</v>
      </c>
      <c r="I82" s="215" t="s">
        <v>31</v>
      </c>
      <c r="J82" s="215" t="s">
        <v>31</v>
      </c>
      <c r="K82" s="215" t="s">
        <v>31</v>
      </c>
      <c r="L82" s="215" t="s">
        <v>31</v>
      </c>
      <c r="M82" s="215" t="s">
        <v>31</v>
      </c>
      <c r="N82" s="215" t="s">
        <v>31</v>
      </c>
      <c r="O82" s="215" t="s">
        <v>31</v>
      </c>
      <c r="P82" s="215" t="s">
        <v>31</v>
      </c>
      <c r="Q82" s="215" t="s">
        <v>31</v>
      </c>
      <c r="R82" s="198"/>
      <c r="S82" s="198"/>
      <c r="T82" s="198"/>
      <c r="U82" s="198"/>
    </row>
    <row r="83" spans="1:26" s="12" customFormat="1" x14ac:dyDescent="0.25">
      <c r="A83" s="201" t="s">
        <v>411</v>
      </c>
      <c r="B83" s="215" t="s">
        <v>31</v>
      </c>
      <c r="C83" s="215" t="s">
        <v>31</v>
      </c>
      <c r="D83" s="215" t="s">
        <v>31</v>
      </c>
      <c r="E83" s="215" t="s">
        <v>31</v>
      </c>
      <c r="F83" s="215" t="s">
        <v>31</v>
      </c>
      <c r="G83" s="215" t="s">
        <v>31</v>
      </c>
      <c r="H83" s="215" t="s">
        <v>31</v>
      </c>
      <c r="I83" s="215" t="s">
        <v>31</v>
      </c>
      <c r="J83" s="215" t="s">
        <v>31</v>
      </c>
      <c r="K83" s="215" t="s">
        <v>31</v>
      </c>
      <c r="L83" s="215" t="s">
        <v>31</v>
      </c>
      <c r="M83" s="215" t="s">
        <v>31</v>
      </c>
      <c r="N83" s="215" t="s">
        <v>31</v>
      </c>
      <c r="O83" s="215" t="s">
        <v>31</v>
      </c>
      <c r="P83" s="215" t="s">
        <v>31</v>
      </c>
      <c r="Q83" s="215" t="s">
        <v>31</v>
      </c>
      <c r="R83" s="198"/>
      <c r="S83" s="198"/>
      <c r="T83" s="198"/>
      <c r="U83" s="198"/>
    </row>
    <row r="84" spans="1:26" s="12" customFormat="1" x14ac:dyDescent="0.25">
      <c r="A84" s="201" t="s">
        <v>412</v>
      </c>
      <c r="B84" s="215" t="s">
        <v>31</v>
      </c>
      <c r="C84" s="215" t="s">
        <v>31</v>
      </c>
      <c r="D84" s="215" t="s">
        <v>31</v>
      </c>
      <c r="E84" s="215" t="s">
        <v>31</v>
      </c>
      <c r="F84" s="215" t="s">
        <v>31</v>
      </c>
      <c r="G84" s="215" t="s">
        <v>31</v>
      </c>
      <c r="H84" s="215" t="s">
        <v>31</v>
      </c>
      <c r="I84" s="215" t="s">
        <v>31</v>
      </c>
      <c r="J84" s="215" t="s">
        <v>31</v>
      </c>
      <c r="K84" s="215" t="s">
        <v>31</v>
      </c>
      <c r="L84" s="215" t="s">
        <v>31</v>
      </c>
      <c r="M84" s="215" t="s">
        <v>31</v>
      </c>
      <c r="N84" s="215" t="s">
        <v>31</v>
      </c>
      <c r="O84" s="215" t="s">
        <v>31</v>
      </c>
      <c r="P84" s="215" t="s">
        <v>31</v>
      </c>
      <c r="Q84" s="215" t="s">
        <v>31</v>
      </c>
      <c r="R84" s="198"/>
      <c r="S84" s="198"/>
      <c r="T84" s="198"/>
      <c r="U84" s="198"/>
    </row>
    <row r="85" spans="1:26" s="12" customFormat="1" x14ac:dyDescent="0.25">
      <c r="A85" s="201" t="s">
        <v>413</v>
      </c>
      <c r="B85" s="215" t="s">
        <v>31</v>
      </c>
      <c r="C85" s="215" t="s">
        <v>31</v>
      </c>
      <c r="D85" s="215" t="s">
        <v>31</v>
      </c>
      <c r="E85" s="215" t="s">
        <v>31</v>
      </c>
      <c r="F85" s="215" t="s">
        <v>31</v>
      </c>
      <c r="G85" s="215" t="s">
        <v>31</v>
      </c>
      <c r="H85" s="215" t="s">
        <v>31</v>
      </c>
      <c r="I85" s="215" t="s">
        <v>31</v>
      </c>
      <c r="J85" s="215" t="s">
        <v>31</v>
      </c>
      <c r="K85" s="215" t="s">
        <v>31</v>
      </c>
      <c r="L85" s="215" t="s">
        <v>31</v>
      </c>
      <c r="M85" s="215" t="s">
        <v>31</v>
      </c>
      <c r="N85" s="215" t="s">
        <v>31</v>
      </c>
      <c r="O85" s="215" t="s">
        <v>31</v>
      </c>
      <c r="P85" s="215" t="s">
        <v>31</v>
      </c>
      <c r="Q85" s="215" t="s">
        <v>31</v>
      </c>
      <c r="R85" s="198"/>
      <c r="S85" s="198"/>
      <c r="T85" s="198"/>
      <c r="U85" s="198"/>
    </row>
    <row r="86" spans="1:26" s="12" customFormat="1" x14ac:dyDescent="0.25">
      <c r="A86" s="201" t="s">
        <v>414</v>
      </c>
      <c r="B86" s="215" t="s">
        <v>31</v>
      </c>
      <c r="C86" s="215" t="s">
        <v>31</v>
      </c>
      <c r="D86" s="215" t="s">
        <v>31</v>
      </c>
      <c r="E86" s="215" t="s">
        <v>31</v>
      </c>
      <c r="F86" s="215" t="s">
        <v>31</v>
      </c>
      <c r="G86" s="215" t="s">
        <v>31</v>
      </c>
      <c r="H86" s="215" t="s">
        <v>31</v>
      </c>
      <c r="I86" s="215" t="s">
        <v>31</v>
      </c>
      <c r="J86" s="215" t="s">
        <v>31</v>
      </c>
      <c r="K86" s="215" t="s">
        <v>31</v>
      </c>
      <c r="L86" s="215" t="s">
        <v>31</v>
      </c>
      <c r="M86" s="215" t="s">
        <v>31</v>
      </c>
      <c r="N86" s="215" t="s">
        <v>31</v>
      </c>
      <c r="O86" s="215" t="s">
        <v>31</v>
      </c>
      <c r="P86" s="215" t="s">
        <v>31</v>
      </c>
      <c r="Q86" s="215" t="s">
        <v>31</v>
      </c>
      <c r="R86" s="198"/>
      <c r="S86" s="198"/>
      <c r="T86" s="198"/>
      <c r="U86" s="198"/>
    </row>
    <row r="87" spans="1:26" s="12" customFormat="1" x14ac:dyDescent="0.25">
      <c r="A87" s="201" t="s">
        <v>415</v>
      </c>
      <c r="B87" s="215" t="s">
        <v>31</v>
      </c>
      <c r="C87" s="215" t="s">
        <v>31</v>
      </c>
      <c r="D87" s="215" t="s">
        <v>31</v>
      </c>
      <c r="E87" s="215" t="s">
        <v>31</v>
      </c>
      <c r="F87" s="215" t="s">
        <v>31</v>
      </c>
      <c r="G87" s="215" t="s">
        <v>31</v>
      </c>
      <c r="H87" s="215" t="s">
        <v>31</v>
      </c>
      <c r="I87" s="215" t="s">
        <v>31</v>
      </c>
      <c r="J87" s="215" t="s">
        <v>31</v>
      </c>
      <c r="K87" s="215" t="s">
        <v>31</v>
      </c>
      <c r="L87" s="215" t="s">
        <v>31</v>
      </c>
      <c r="M87" s="215" t="s">
        <v>31</v>
      </c>
      <c r="N87" s="215" t="s">
        <v>31</v>
      </c>
      <c r="O87" s="215" t="s">
        <v>31</v>
      </c>
      <c r="P87" s="215" t="s">
        <v>31</v>
      </c>
      <c r="Q87" s="215" t="s">
        <v>31</v>
      </c>
      <c r="R87" s="198"/>
      <c r="S87" s="198"/>
      <c r="T87" s="198"/>
      <c r="U87" s="198"/>
    </row>
    <row r="88" spans="1:26" s="12" customFormat="1" x14ac:dyDescent="0.25">
      <c r="A88" s="201" t="s">
        <v>416</v>
      </c>
      <c r="B88" s="215" t="s">
        <v>31</v>
      </c>
      <c r="C88" s="215" t="s">
        <v>31</v>
      </c>
      <c r="D88" s="215" t="s">
        <v>31</v>
      </c>
      <c r="E88" s="215" t="s">
        <v>31</v>
      </c>
      <c r="F88" s="215" t="s">
        <v>31</v>
      </c>
      <c r="G88" s="215" t="s">
        <v>31</v>
      </c>
      <c r="H88" s="215" t="s">
        <v>31</v>
      </c>
      <c r="I88" s="215" t="s">
        <v>31</v>
      </c>
      <c r="J88" s="215" t="s">
        <v>31</v>
      </c>
      <c r="K88" s="215" t="s">
        <v>31</v>
      </c>
      <c r="L88" s="215" t="s">
        <v>31</v>
      </c>
      <c r="M88" s="215" t="s">
        <v>31</v>
      </c>
      <c r="N88" s="215" t="s">
        <v>31</v>
      </c>
      <c r="O88" s="215" t="s">
        <v>31</v>
      </c>
      <c r="P88" s="215" t="s">
        <v>31</v>
      </c>
      <c r="Q88" s="215" t="s">
        <v>31</v>
      </c>
      <c r="R88" s="198"/>
      <c r="S88" s="198"/>
      <c r="T88" s="198"/>
      <c r="U88" s="198"/>
    </row>
    <row r="89" spans="1:26" s="12" customFormat="1" x14ac:dyDescent="0.25">
      <c r="A89" s="201" t="s">
        <v>417</v>
      </c>
      <c r="B89" s="215" t="s">
        <v>31</v>
      </c>
      <c r="C89" s="215" t="s">
        <v>31</v>
      </c>
      <c r="D89" s="215" t="s">
        <v>31</v>
      </c>
      <c r="E89" s="215" t="s">
        <v>31</v>
      </c>
      <c r="F89" s="215" t="s">
        <v>31</v>
      </c>
      <c r="G89" s="215" t="s">
        <v>31</v>
      </c>
      <c r="H89" s="215" t="s">
        <v>31</v>
      </c>
      <c r="I89" s="215" t="s">
        <v>31</v>
      </c>
      <c r="J89" s="215" t="s">
        <v>31</v>
      </c>
      <c r="K89" s="215" t="s">
        <v>31</v>
      </c>
      <c r="L89" s="215" t="s">
        <v>31</v>
      </c>
      <c r="M89" s="215" t="s">
        <v>31</v>
      </c>
      <c r="N89" s="215" t="s">
        <v>31</v>
      </c>
      <c r="O89" s="215" t="s">
        <v>31</v>
      </c>
      <c r="P89" s="215" t="s">
        <v>31</v>
      </c>
      <c r="Q89" s="215" t="s">
        <v>31</v>
      </c>
      <c r="R89" s="198"/>
      <c r="S89" s="198"/>
      <c r="T89" s="198"/>
      <c r="U89" s="198"/>
    </row>
    <row r="90" spans="1:26" s="12" customFormat="1" x14ac:dyDescent="0.25">
      <c r="A90" s="201" t="s">
        <v>418</v>
      </c>
      <c r="B90" s="215" t="s">
        <v>31</v>
      </c>
      <c r="C90" s="215" t="s">
        <v>31</v>
      </c>
      <c r="D90" s="215" t="s">
        <v>31</v>
      </c>
      <c r="E90" s="215" t="s">
        <v>31</v>
      </c>
      <c r="F90" s="215" t="s">
        <v>31</v>
      </c>
      <c r="G90" s="215" t="s">
        <v>31</v>
      </c>
      <c r="H90" s="215" t="s">
        <v>31</v>
      </c>
      <c r="I90" s="215" t="s">
        <v>31</v>
      </c>
      <c r="J90" s="215" t="s">
        <v>31</v>
      </c>
      <c r="K90" s="215" t="s">
        <v>31</v>
      </c>
      <c r="L90" s="215" t="s">
        <v>31</v>
      </c>
      <c r="M90" s="215" t="s">
        <v>31</v>
      </c>
      <c r="N90" s="215" t="s">
        <v>31</v>
      </c>
      <c r="O90" s="215" t="s">
        <v>31</v>
      </c>
      <c r="P90" s="215" t="s">
        <v>31</v>
      </c>
      <c r="Q90" s="215" t="s">
        <v>31</v>
      </c>
      <c r="R90" s="198"/>
      <c r="S90" s="198"/>
      <c r="T90" s="198"/>
      <c r="U90" s="198"/>
    </row>
    <row r="91" spans="1:26" s="12" customFormat="1" x14ac:dyDescent="0.25">
      <c r="A91" s="201" t="s">
        <v>419</v>
      </c>
      <c r="B91" s="215" t="s">
        <v>31</v>
      </c>
      <c r="C91" s="215" t="s">
        <v>31</v>
      </c>
      <c r="D91" s="215" t="s">
        <v>31</v>
      </c>
      <c r="E91" s="215" t="s">
        <v>31</v>
      </c>
      <c r="F91" s="215" t="s">
        <v>31</v>
      </c>
      <c r="G91" s="215" t="s">
        <v>31</v>
      </c>
      <c r="H91" s="215" t="s">
        <v>31</v>
      </c>
      <c r="I91" s="215" t="s">
        <v>31</v>
      </c>
      <c r="J91" s="215" t="s">
        <v>31</v>
      </c>
      <c r="K91" s="215" t="s">
        <v>31</v>
      </c>
      <c r="L91" s="215" t="s">
        <v>31</v>
      </c>
      <c r="M91" s="215" t="s">
        <v>31</v>
      </c>
      <c r="N91" s="215" t="s">
        <v>31</v>
      </c>
      <c r="O91" s="215" t="s">
        <v>31</v>
      </c>
      <c r="P91" s="215" t="s">
        <v>31</v>
      </c>
      <c r="Q91" s="215" t="s">
        <v>31</v>
      </c>
      <c r="R91" s="198"/>
      <c r="S91" s="198"/>
      <c r="T91" s="198"/>
      <c r="U91" s="198"/>
    </row>
    <row r="92" spans="1:26" s="12" customFormat="1" x14ac:dyDescent="0.25">
      <c r="A92" s="201" t="s">
        <v>420</v>
      </c>
      <c r="B92" s="215" t="s">
        <v>31</v>
      </c>
      <c r="C92" s="215" t="s">
        <v>31</v>
      </c>
      <c r="D92" s="215" t="s">
        <v>31</v>
      </c>
      <c r="E92" s="215" t="s">
        <v>31</v>
      </c>
      <c r="F92" s="215" t="s">
        <v>31</v>
      </c>
      <c r="G92" s="215" t="s">
        <v>31</v>
      </c>
      <c r="H92" s="215" t="s">
        <v>31</v>
      </c>
      <c r="I92" s="215" t="s">
        <v>31</v>
      </c>
      <c r="J92" s="215" t="s">
        <v>31</v>
      </c>
      <c r="K92" s="215" t="s">
        <v>31</v>
      </c>
      <c r="L92" s="215" t="s">
        <v>31</v>
      </c>
      <c r="M92" s="215" t="s">
        <v>31</v>
      </c>
      <c r="N92" s="215" t="s">
        <v>31</v>
      </c>
      <c r="O92" s="215" t="s">
        <v>31</v>
      </c>
      <c r="P92" s="215" t="s">
        <v>31</v>
      </c>
      <c r="Q92" s="215" t="s">
        <v>31</v>
      </c>
      <c r="R92" s="198"/>
      <c r="S92" s="198"/>
      <c r="T92" s="198"/>
      <c r="U92" s="198"/>
    </row>
    <row r="93" spans="1:26" s="12" customFormat="1" x14ac:dyDescent="0.25">
      <c r="A93" s="201" t="s">
        <v>421</v>
      </c>
      <c r="B93" s="215" t="s">
        <v>31</v>
      </c>
      <c r="C93" s="215" t="s">
        <v>31</v>
      </c>
      <c r="D93" s="215" t="s">
        <v>31</v>
      </c>
      <c r="E93" s="215" t="s">
        <v>31</v>
      </c>
      <c r="F93" s="215" t="s">
        <v>31</v>
      </c>
      <c r="G93" s="215" t="s">
        <v>31</v>
      </c>
      <c r="H93" s="215" t="s">
        <v>31</v>
      </c>
      <c r="I93" s="215" t="s">
        <v>31</v>
      </c>
      <c r="J93" s="215" t="s">
        <v>31</v>
      </c>
      <c r="K93" s="215" t="s">
        <v>31</v>
      </c>
      <c r="L93" s="215" t="s">
        <v>31</v>
      </c>
      <c r="M93" s="215" t="s">
        <v>31</v>
      </c>
      <c r="N93" s="215" t="s">
        <v>31</v>
      </c>
      <c r="O93" s="215" t="s">
        <v>31</v>
      </c>
      <c r="P93" s="215" t="s">
        <v>31</v>
      </c>
      <c r="Q93" s="215" t="s">
        <v>31</v>
      </c>
      <c r="R93" s="198"/>
      <c r="S93" s="198"/>
      <c r="T93" s="198"/>
      <c r="U93" s="198"/>
    </row>
    <row r="94" spans="1:26" s="12" customFormat="1" x14ac:dyDescent="0.25">
      <c r="A94" s="201" t="s">
        <v>422</v>
      </c>
      <c r="B94" s="215" t="s">
        <v>31</v>
      </c>
      <c r="C94" s="215" t="s">
        <v>31</v>
      </c>
      <c r="D94" s="215" t="s">
        <v>31</v>
      </c>
      <c r="E94" s="215" t="s">
        <v>31</v>
      </c>
      <c r="F94" s="215" t="s">
        <v>31</v>
      </c>
      <c r="G94" s="215" t="s">
        <v>31</v>
      </c>
      <c r="H94" s="215" t="s">
        <v>31</v>
      </c>
      <c r="I94" s="215" t="s">
        <v>31</v>
      </c>
      <c r="J94" s="215" t="s">
        <v>31</v>
      </c>
      <c r="K94" s="215" t="s">
        <v>31</v>
      </c>
      <c r="L94" s="215" t="s">
        <v>31</v>
      </c>
      <c r="M94" s="215" t="s">
        <v>31</v>
      </c>
      <c r="N94" s="215" t="s">
        <v>31</v>
      </c>
      <c r="O94" s="215" t="s">
        <v>31</v>
      </c>
      <c r="P94" s="215" t="s">
        <v>31</v>
      </c>
      <c r="Q94" s="215" t="s">
        <v>31</v>
      </c>
      <c r="R94" s="198"/>
      <c r="S94" s="198"/>
      <c r="T94" s="198"/>
      <c r="U94" s="198"/>
    </row>
    <row r="95" spans="1:26" s="12" customFormat="1" x14ac:dyDescent="0.25">
      <c r="A95" s="201" t="s">
        <v>423</v>
      </c>
      <c r="B95" s="215" t="s">
        <v>31</v>
      </c>
      <c r="C95" s="215" t="s">
        <v>31</v>
      </c>
      <c r="D95" s="215" t="s">
        <v>31</v>
      </c>
      <c r="E95" s="215" t="s">
        <v>31</v>
      </c>
      <c r="F95" s="215" t="s">
        <v>31</v>
      </c>
      <c r="G95" s="215" t="s">
        <v>31</v>
      </c>
      <c r="H95" s="215" t="s">
        <v>31</v>
      </c>
      <c r="I95" s="215" t="s">
        <v>31</v>
      </c>
      <c r="J95" s="215" t="s">
        <v>31</v>
      </c>
      <c r="K95" s="215" t="s">
        <v>31</v>
      </c>
      <c r="L95" s="215" t="s">
        <v>31</v>
      </c>
      <c r="M95" s="215" t="s">
        <v>31</v>
      </c>
      <c r="N95" s="215" t="s">
        <v>31</v>
      </c>
      <c r="O95" s="215" t="s">
        <v>31</v>
      </c>
      <c r="P95" s="215" t="s">
        <v>31</v>
      </c>
      <c r="Q95" s="215" t="s">
        <v>31</v>
      </c>
      <c r="R95" s="198"/>
      <c r="S95" s="198"/>
      <c r="T95" s="198"/>
      <c r="U95" s="198"/>
    </row>
    <row r="96" spans="1:26" s="12" customFormat="1" x14ac:dyDescent="0.25">
      <c r="A96" s="201" t="s">
        <v>424</v>
      </c>
      <c r="B96" s="215" t="s">
        <v>31</v>
      </c>
      <c r="C96" s="215" t="s">
        <v>31</v>
      </c>
      <c r="D96" s="215" t="s">
        <v>31</v>
      </c>
      <c r="E96" s="215" t="s">
        <v>31</v>
      </c>
      <c r="F96" s="215" t="s">
        <v>31</v>
      </c>
      <c r="G96" s="215" t="s">
        <v>31</v>
      </c>
      <c r="H96" s="215" t="s">
        <v>31</v>
      </c>
      <c r="I96" s="215" t="s">
        <v>31</v>
      </c>
      <c r="J96" s="215" t="s">
        <v>31</v>
      </c>
      <c r="K96" s="215" t="s">
        <v>31</v>
      </c>
      <c r="L96" s="215" t="s">
        <v>31</v>
      </c>
      <c r="M96" s="215" t="s">
        <v>31</v>
      </c>
      <c r="N96" s="215" t="s">
        <v>31</v>
      </c>
      <c r="O96" s="215" t="s">
        <v>31</v>
      </c>
      <c r="P96" s="215" t="s">
        <v>31</v>
      </c>
      <c r="Q96" s="215" t="s">
        <v>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425</v>
      </c>
      <c r="B97" s="215" t="s">
        <v>31</v>
      </c>
      <c r="C97" s="215" t="s">
        <v>31</v>
      </c>
      <c r="D97" s="215" t="s">
        <v>31</v>
      </c>
      <c r="E97" s="215" t="s">
        <v>31</v>
      </c>
      <c r="F97" s="215" t="s">
        <v>31</v>
      </c>
      <c r="G97" s="215" t="s">
        <v>31</v>
      </c>
      <c r="H97" s="215" t="s">
        <v>31</v>
      </c>
      <c r="I97" s="215" t="s">
        <v>31</v>
      </c>
      <c r="J97" s="215" t="s">
        <v>31</v>
      </c>
      <c r="K97" s="215" t="s">
        <v>31</v>
      </c>
      <c r="L97" s="215" t="s">
        <v>31</v>
      </c>
      <c r="M97" s="215" t="s">
        <v>31</v>
      </c>
      <c r="N97" s="215" t="s">
        <v>31</v>
      </c>
      <c r="O97" s="215" t="s">
        <v>31</v>
      </c>
      <c r="P97" s="215" t="s">
        <v>31</v>
      </c>
      <c r="Q97" s="215" t="s">
        <v>31</v>
      </c>
      <c r="R97" s="198"/>
      <c r="S97" s="198"/>
      <c r="T97" s="198"/>
      <c r="U97" s="198"/>
    </row>
    <row r="98" spans="1:33" s="12" customFormat="1" x14ac:dyDescent="0.25">
      <c r="A98" s="201" t="s">
        <v>426</v>
      </c>
      <c r="B98" s="215" t="s">
        <v>31</v>
      </c>
      <c r="C98" s="215" t="s">
        <v>31</v>
      </c>
      <c r="D98" s="215" t="s">
        <v>31</v>
      </c>
      <c r="E98" s="215" t="s">
        <v>31</v>
      </c>
      <c r="F98" s="215" t="s">
        <v>31</v>
      </c>
      <c r="G98" s="215" t="s">
        <v>31</v>
      </c>
      <c r="H98" s="215" t="s">
        <v>31</v>
      </c>
      <c r="I98" s="215" t="s">
        <v>31</v>
      </c>
      <c r="J98" s="215" t="s">
        <v>31</v>
      </c>
      <c r="K98" s="215" t="s">
        <v>31</v>
      </c>
      <c r="L98" s="215" t="s">
        <v>31</v>
      </c>
      <c r="M98" s="215" t="s">
        <v>31</v>
      </c>
      <c r="N98" s="215" t="s">
        <v>31</v>
      </c>
      <c r="O98" s="215" t="s">
        <v>31</v>
      </c>
      <c r="P98" s="215" t="s">
        <v>31</v>
      </c>
      <c r="Q98" s="215" t="s">
        <v>31</v>
      </c>
      <c r="R98" s="198"/>
      <c r="S98" s="198"/>
      <c r="T98" s="198"/>
      <c r="U98" s="198"/>
    </row>
    <row r="99" spans="1:33" s="12" customFormat="1" x14ac:dyDescent="0.25">
      <c r="A99" s="201" t="s">
        <v>427</v>
      </c>
      <c r="B99" s="215" t="s">
        <v>31</v>
      </c>
      <c r="C99" s="215" t="s">
        <v>31</v>
      </c>
      <c r="D99" s="215" t="s">
        <v>31</v>
      </c>
      <c r="E99" s="215" t="s">
        <v>31</v>
      </c>
      <c r="F99" s="215" t="s">
        <v>31</v>
      </c>
      <c r="G99" s="215" t="s">
        <v>31</v>
      </c>
      <c r="H99" s="215" t="s">
        <v>31</v>
      </c>
      <c r="I99" s="215" t="s">
        <v>31</v>
      </c>
      <c r="J99" s="215" t="s">
        <v>31</v>
      </c>
      <c r="K99" s="215" t="s">
        <v>31</v>
      </c>
      <c r="L99" s="215" t="s">
        <v>31</v>
      </c>
      <c r="M99" s="215" t="s">
        <v>31</v>
      </c>
      <c r="N99" s="215" t="s">
        <v>31</v>
      </c>
      <c r="O99" s="215" t="s">
        <v>31</v>
      </c>
      <c r="P99" s="215" t="s">
        <v>31</v>
      </c>
      <c r="Q99" s="215" t="s">
        <v>31</v>
      </c>
      <c r="R99" s="198"/>
      <c r="S99" s="198"/>
      <c r="T99" s="198"/>
      <c r="U99" s="198"/>
    </row>
    <row r="100" spans="1:33" s="12" customFormat="1" x14ac:dyDescent="0.25">
      <c r="A100" s="201" t="s">
        <v>428</v>
      </c>
      <c r="B100" s="215" t="s">
        <v>31</v>
      </c>
      <c r="C100" s="215" t="s">
        <v>31</v>
      </c>
      <c r="D100" s="215" t="s">
        <v>31</v>
      </c>
      <c r="E100" s="215" t="s">
        <v>31</v>
      </c>
      <c r="F100" s="215" t="s">
        <v>31</v>
      </c>
      <c r="G100" s="215" t="s">
        <v>31</v>
      </c>
      <c r="H100" s="215" t="s">
        <v>31</v>
      </c>
      <c r="I100" s="215" t="s">
        <v>31</v>
      </c>
      <c r="J100" s="215" t="s">
        <v>31</v>
      </c>
      <c r="K100" s="215" t="s">
        <v>31</v>
      </c>
      <c r="L100" s="215" t="s">
        <v>31</v>
      </c>
      <c r="M100" s="215" t="s">
        <v>31</v>
      </c>
      <c r="N100" s="215" t="s">
        <v>31</v>
      </c>
      <c r="O100" s="215" t="s">
        <v>31</v>
      </c>
      <c r="P100" s="215" t="s">
        <v>31</v>
      </c>
      <c r="Q100" s="215" t="s">
        <v>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429</v>
      </c>
      <c r="B101" s="215" t="s">
        <v>31</v>
      </c>
      <c r="C101" s="215" t="s">
        <v>31</v>
      </c>
      <c r="D101" s="215" t="s">
        <v>31</v>
      </c>
      <c r="E101" s="215" t="s">
        <v>31</v>
      </c>
      <c r="F101" s="215" t="s">
        <v>31</v>
      </c>
      <c r="G101" s="215" t="s">
        <v>31</v>
      </c>
      <c r="H101" s="215" t="s">
        <v>31</v>
      </c>
      <c r="I101" s="215" t="s">
        <v>31</v>
      </c>
      <c r="J101" s="215" t="s">
        <v>31</v>
      </c>
      <c r="K101" s="215" t="s">
        <v>31</v>
      </c>
      <c r="L101" s="215" t="s">
        <v>31</v>
      </c>
      <c r="M101" s="215" t="s">
        <v>31</v>
      </c>
      <c r="N101" s="215" t="s">
        <v>31</v>
      </c>
      <c r="O101" s="215" t="s">
        <v>31</v>
      </c>
      <c r="P101" s="215" t="s">
        <v>31</v>
      </c>
      <c r="Q101" s="215" t="s">
        <v>31</v>
      </c>
      <c r="R101" s="198"/>
      <c r="S101" s="198"/>
      <c r="T101" s="198"/>
      <c r="U101" s="198"/>
    </row>
    <row r="102" spans="1:33" s="12" customFormat="1" x14ac:dyDescent="0.25">
      <c r="A102" s="201" t="s">
        <v>430</v>
      </c>
      <c r="B102" s="215" t="s">
        <v>31</v>
      </c>
      <c r="C102" s="215" t="s">
        <v>31</v>
      </c>
      <c r="D102" s="215" t="s">
        <v>31</v>
      </c>
      <c r="E102" s="215" t="s">
        <v>31</v>
      </c>
      <c r="F102" s="215" t="s">
        <v>31</v>
      </c>
      <c r="G102" s="215" t="s">
        <v>31</v>
      </c>
      <c r="H102" s="215" t="s">
        <v>31</v>
      </c>
      <c r="I102" s="215" t="s">
        <v>31</v>
      </c>
      <c r="J102" s="215" t="s">
        <v>31</v>
      </c>
      <c r="K102" s="215" t="s">
        <v>31</v>
      </c>
      <c r="L102" s="215" t="s">
        <v>31</v>
      </c>
      <c r="M102" s="215" t="s">
        <v>31</v>
      </c>
      <c r="N102" s="215" t="s">
        <v>31</v>
      </c>
      <c r="O102" s="215" t="s">
        <v>31</v>
      </c>
      <c r="P102" s="215" t="s">
        <v>31</v>
      </c>
      <c r="Q102" s="215" t="s">
        <v>31</v>
      </c>
      <c r="R102" s="198"/>
      <c r="S102" s="198"/>
      <c r="T102" s="198"/>
      <c r="U102" s="198"/>
    </row>
    <row r="103" spans="1:33" s="12" customFormat="1" x14ac:dyDescent="0.25">
      <c r="A103" s="201" t="s">
        <v>431</v>
      </c>
      <c r="B103" s="215" t="s">
        <v>31</v>
      </c>
      <c r="C103" s="215" t="s">
        <v>31</v>
      </c>
      <c r="D103" s="215" t="s">
        <v>31</v>
      </c>
      <c r="E103" s="215" t="s">
        <v>31</v>
      </c>
      <c r="F103" s="215" t="s">
        <v>31</v>
      </c>
      <c r="G103" s="215" t="s">
        <v>31</v>
      </c>
      <c r="H103" s="215" t="s">
        <v>31</v>
      </c>
      <c r="I103" s="215" t="s">
        <v>31</v>
      </c>
      <c r="J103" s="215" t="s">
        <v>31</v>
      </c>
      <c r="K103" s="215" t="s">
        <v>31</v>
      </c>
      <c r="L103" s="215" t="s">
        <v>31</v>
      </c>
      <c r="M103" s="215" t="s">
        <v>31</v>
      </c>
      <c r="N103" s="215" t="s">
        <v>31</v>
      </c>
      <c r="O103" s="215" t="s">
        <v>31</v>
      </c>
      <c r="P103" s="215" t="s">
        <v>31</v>
      </c>
      <c r="Q103" s="215" t="s">
        <v>31</v>
      </c>
      <c r="R103" s="198"/>
      <c r="S103" s="198"/>
      <c r="T103" s="198"/>
      <c r="U103" s="198"/>
    </row>
    <row r="104" spans="1:33" s="12" customFormat="1" x14ac:dyDescent="0.25">
      <c r="A104" s="201" t="s">
        <v>432</v>
      </c>
      <c r="B104" s="215" t="s">
        <v>31</v>
      </c>
      <c r="C104" s="215" t="s">
        <v>31</v>
      </c>
      <c r="D104" s="215" t="s">
        <v>31</v>
      </c>
      <c r="E104" s="215" t="s">
        <v>31</v>
      </c>
      <c r="F104" s="215" t="s">
        <v>31</v>
      </c>
      <c r="G104" s="215" t="s">
        <v>31</v>
      </c>
      <c r="H104" s="215" t="s">
        <v>31</v>
      </c>
      <c r="I104" s="215" t="s">
        <v>31</v>
      </c>
      <c r="J104" s="215" t="s">
        <v>31</v>
      </c>
      <c r="K104" s="215" t="s">
        <v>31</v>
      </c>
      <c r="L104" s="215" t="s">
        <v>31</v>
      </c>
      <c r="M104" s="215" t="s">
        <v>31</v>
      </c>
      <c r="N104" s="215" t="s">
        <v>31</v>
      </c>
      <c r="O104" s="215" t="s">
        <v>31</v>
      </c>
      <c r="P104" s="215" t="s">
        <v>31</v>
      </c>
      <c r="Q104" s="215" t="s">
        <v>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0.43</v>
      </c>
      <c r="C106" s="67">
        <f>MIN(C9:C104)</f>
        <v>53.75</v>
      </c>
      <c r="D106" s="67">
        <f t="shared" ref="D106:Q106" si="0">MIN(D9:D104)</f>
        <v>30.01</v>
      </c>
      <c r="E106" s="67">
        <f t="shared" si="0"/>
        <v>17.59</v>
      </c>
      <c r="F106" s="67">
        <f t="shared" si="0"/>
        <v>2.66</v>
      </c>
      <c r="G106" s="67">
        <f t="shared" si="0"/>
        <v>180.8</v>
      </c>
      <c r="H106" s="67">
        <f t="shared" si="0"/>
        <v>83.34</v>
      </c>
      <c r="I106" s="67">
        <f t="shared" si="0"/>
        <v>0.1</v>
      </c>
      <c r="J106" s="67">
        <f t="shared" si="0"/>
        <v>0.11</v>
      </c>
      <c r="K106" s="67">
        <f t="shared" si="0"/>
        <v>2.5099999999999998</v>
      </c>
      <c r="L106" s="67">
        <f t="shared" si="0"/>
        <v>0</v>
      </c>
      <c r="M106" s="67">
        <f t="shared" si="0"/>
        <v>0</v>
      </c>
      <c r="N106" s="67">
        <f t="shared" si="0"/>
        <v>3.9</v>
      </c>
      <c r="O106" s="67">
        <f t="shared" si="0"/>
        <v>0</v>
      </c>
      <c r="P106" s="67">
        <f t="shared" si="0"/>
        <v>0.57999999999999996</v>
      </c>
      <c r="Q106" s="67">
        <f t="shared" si="0"/>
        <v>53.25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55.3</v>
      </c>
      <c r="C107" s="66">
        <f t="shared" ref="C107:Q107" si="1">MAX(C9:C104)</f>
        <v>188.81</v>
      </c>
      <c r="D107" s="66">
        <f t="shared" si="1"/>
        <v>146.63</v>
      </c>
      <c r="E107" s="66">
        <f t="shared" si="1"/>
        <v>163.85</v>
      </c>
      <c r="F107" s="66">
        <f t="shared" si="1"/>
        <v>56.45</v>
      </c>
      <c r="G107" s="66">
        <f t="shared" si="1"/>
        <v>364.59</v>
      </c>
      <c r="H107" s="66">
        <f t="shared" si="1"/>
        <v>111.8</v>
      </c>
      <c r="I107" s="66">
        <f t="shared" si="1"/>
        <v>0.94</v>
      </c>
      <c r="J107" s="66">
        <f t="shared" si="1"/>
        <v>1.47</v>
      </c>
      <c r="K107" s="66">
        <f t="shared" si="1"/>
        <v>356.69</v>
      </c>
      <c r="L107" s="66">
        <f t="shared" si="1"/>
        <v>0</v>
      </c>
      <c r="M107" s="66">
        <f t="shared" si="1"/>
        <v>0</v>
      </c>
      <c r="N107" s="66">
        <f t="shared" si="1"/>
        <v>600</v>
      </c>
      <c r="O107" s="66">
        <f t="shared" si="1"/>
        <v>0</v>
      </c>
      <c r="P107" s="66">
        <f t="shared" si="1"/>
        <v>2.6</v>
      </c>
      <c r="Q107" s="66">
        <f t="shared" si="1"/>
        <v>262.99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21.412500000000001</v>
      </c>
      <c r="C108" s="67">
        <f t="shared" ref="C108:Q108" si="2">AVERAGE(C9:C104)</f>
        <v>124.08750000000002</v>
      </c>
      <c r="D108" s="67">
        <f t="shared" si="2"/>
        <v>85.652250000000009</v>
      </c>
      <c r="E108" s="67">
        <f t="shared" si="2"/>
        <v>85.174499999999981</v>
      </c>
      <c r="F108" s="67">
        <f t="shared" si="2"/>
        <v>20.059500000000003</v>
      </c>
      <c r="G108" s="67">
        <f t="shared" si="2"/>
        <v>247.15700000000007</v>
      </c>
      <c r="H108" s="67">
        <f t="shared" si="2"/>
        <v>101.43250000000003</v>
      </c>
      <c r="I108" s="67">
        <f t="shared" si="2"/>
        <v>0.26314285714285712</v>
      </c>
      <c r="J108" s="67">
        <f t="shared" si="2"/>
        <v>0.61125000000000007</v>
      </c>
      <c r="K108" s="67">
        <f t="shared" si="2"/>
        <v>89.177499999999966</v>
      </c>
      <c r="L108" s="67" t="e">
        <f t="shared" si="2"/>
        <v>#DIV/0!</v>
      </c>
      <c r="M108" s="67" t="e">
        <f t="shared" si="2"/>
        <v>#DIV/0!</v>
      </c>
      <c r="N108" s="67">
        <f t="shared" si="2"/>
        <v>76.72</v>
      </c>
      <c r="O108" s="67">
        <f t="shared" si="2"/>
        <v>0</v>
      </c>
      <c r="P108" s="67">
        <f t="shared" si="2"/>
        <v>1.4564999999999999</v>
      </c>
      <c r="Q108" s="67">
        <f t="shared" si="2"/>
        <v>119.86200000000004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20.22576000917439</v>
      </c>
      <c r="C109" s="67">
        <f t="shared" ref="C109:Q109" si="3">STDEV(C9:C104)</f>
        <v>41.688344355805313</v>
      </c>
      <c r="D109" s="67">
        <f t="shared" si="3"/>
        <v>38.274862306104787</v>
      </c>
      <c r="E109" s="67">
        <f t="shared" si="3"/>
        <v>42.479801290640552</v>
      </c>
      <c r="F109" s="67">
        <f t="shared" si="3"/>
        <v>16.126973733310034</v>
      </c>
      <c r="G109" s="67">
        <f t="shared" si="3"/>
        <v>41.797367614326426</v>
      </c>
      <c r="H109" s="67">
        <f t="shared" si="3"/>
        <v>7.0895545229113885</v>
      </c>
      <c r="I109" s="67">
        <f t="shared" si="3"/>
        <v>0.27328902421484569</v>
      </c>
      <c r="J109" s="67">
        <f t="shared" si="3"/>
        <v>0.36899160924377089</v>
      </c>
      <c r="K109" s="67">
        <f t="shared" si="3"/>
        <v>120.54613211525589</v>
      </c>
      <c r="L109" s="67" t="e">
        <f t="shared" si="3"/>
        <v>#DIV/0!</v>
      </c>
      <c r="M109" s="67" t="e">
        <f t="shared" si="3"/>
        <v>#DIV/0!</v>
      </c>
      <c r="N109" s="67">
        <f t="shared" si="3"/>
        <v>144.51096879671144</v>
      </c>
      <c r="O109" s="67">
        <f t="shared" si="3"/>
        <v>0</v>
      </c>
      <c r="P109" s="67">
        <f t="shared" si="3"/>
        <v>0.56792718023641175</v>
      </c>
      <c r="Q109" s="67">
        <f t="shared" si="3"/>
        <v>68.81953234216914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COUNT(B9:B104)+56</f>
        <v>96</v>
      </c>
      <c r="C110" s="66">
        <f t="shared" ref="C110:H110" si="4">COUNT(C9:C104)+56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COUNT(I9:I104)+61</f>
        <v>96</v>
      </c>
      <c r="J110" s="66">
        <f>COUNT(J9:J104)+56</f>
        <v>96</v>
      </c>
      <c r="K110" s="66">
        <f>COUNT(K9:K104)+56</f>
        <v>96</v>
      </c>
      <c r="L110" s="66">
        <f>COUNT(L9:L104)+96</f>
        <v>96</v>
      </c>
      <c r="M110" s="66">
        <f>COUNT(M9:M104)+96</f>
        <v>96</v>
      </c>
      <c r="N110" s="66">
        <f>COUNT(N9:N104)+56</f>
        <v>96</v>
      </c>
      <c r="O110" s="66">
        <f>COUNT(O9:O104)+56</f>
        <v>96</v>
      </c>
      <c r="P110" s="66">
        <f>COUNT(P9:P104)+56</f>
        <v>96</v>
      </c>
      <c r="Q110" s="66">
        <f>COUNT(Q9:Q104)+56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11" t="s">
        <v>433</v>
      </c>
      <c r="B9" s="216" t="s">
        <v>31</v>
      </c>
      <c r="C9" s="216" t="s">
        <v>31</v>
      </c>
      <c r="D9" s="216" t="s">
        <v>31</v>
      </c>
      <c r="E9" s="216" t="s">
        <v>31</v>
      </c>
      <c r="F9" s="216" t="s">
        <v>31</v>
      </c>
      <c r="G9" s="216" t="s">
        <v>31</v>
      </c>
      <c r="H9" s="216" t="s">
        <v>31</v>
      </c>
      <c r="I9" s="216" t="s">
        <v>31</v>
      </c>
      <c r="J9" s="216" t="s">
        <v>31</v>
      </c>
      <c r="K9" s="216" t="s">
        <v>31</v>
      </c>
      <c r="L9" s="216" t="s">
        <v>31</v>
      </c>
      <c r="M9" s="216" t="s">
        <v>31</v>
      </c>
      <c r="N9" s="216" t="s">
        <v>31</v>
      </c>
      <c r="O9" s="216" t="s">
        <v>31</v>
      </c>
      <c r="P9" s="216" t="s">
        <v>31</v>
      </c>
      <c r="Q9" s="216" t="s">
        <v>31</v>
      </c>
      <c r="R9" s="198"/>
      <c r="S9" s="198"/>
      <c r="T9" s="198"/>
      <c r="U9" s="198"/>
    </row>
    <row r="10" spans="1:21" s="12" customFormat="1" x14ac:dyDescent="0.25">
      <c r="A10" s="211" t="s">
        <v>434</v>
      </c>
      <c r="B10" s="216" t="s">
        <v>31</v>
      </c>
      <c r="C10" s="216" t="s">
        <v>31</v>
      </c>
      <c r="D10" s="216" t="s">
        <v>31</v>
      </c>
      <c r="E10" s="216" t="s">
        <v>31</v>
      </c>
      <c r="F10" s="216" t="s">
        <v>31</v>
      </c>
      <c r="G10" s="216" t="s">
        <v>31</v>
      </c>
      <c r="H10" s="216" t="s">
        <v>31</v>
      </c>
      <c r="I10" s="216" t="s">
        <v>31</v>
      </c>
      <c r="J10" s="216" t="s">
        <v>31</v>
      </c>
      <c r="K10" s="216" t="s">
        <v>31</v>
      </c>
      <c r="L10" s="216" t="s">
        <v>31</v>
      </c>
      <c r="M10" s="216" t="s">
        <v>31</v>
      </c>
      <c r="N10" s="216" t="s">
        <v>31</v>
      </c>
      <c r="O10" s="216" t="s">
        <v>31</v>
      </c>
      <c r="P10" s="216" t="s">
        <v>31</v>
      </c>
      <c r="Q10" s="216" t="s">
        <v>31</v>
      </c>
      <c r="R10" s="198"/>
      <c r="S10" s="198"/>
      <c r="T10" s="198"/>
      <c r="U10" s="198"/>
    </row>
    <row r="11" spans="1:21" s="12" customFormat="1" x14ac:dyDescent="0.25">
      <c r="A11" s="211" t="s">
        <v>435</v>
      </c>
      <c r="B11" s="216" t="s">
        <v>31</v>
      </c>
      <c r="C11" s="216" t="s">
        <v>31</v>
      </c>
      <c r="D11" s="216" t="s">
        <v>31</v>
      </c>
      <c r="E11" s="216" t="s">
        <v>31</v>
      </c>
      <c r="F11" s="216" t="s">
        <v>31</v>
      </c>
      <c r="G11" s="216" t="s">
        <v>31</v>
      </c>
      <c r="H11" s="216" t="s">
        <v>31</v>
      </c>
      <c r="I11" s="216" t="s">
        <v>31</v>
      </c>
      <c r="J11" s="216" t="s">
        <v>31</v>
      </c>
      <c r="K11" s="216" t="s">
        <v>31</v>
      </c>
      <c r="L11" s="216" t="s">
        <v>31</v>
      </c>
      <c r="M11" s="216" t="s">
        <v>31</v>
      </c>
      <c r="N11" s="216" t="s">
        <v>31</v>
      </c>
      <c r="O11" s="216" t="s">
        <v>31</v>
      </c>
      <c r="P11" s="216" t="s">
        <v>31</v>
      </c>
      <c r="Q11" s="216" t="s">
        <v>31</v>
      </c>
      <c r="R11" s="198"/>
      <c r="S11" s="198"/>
      <c r="T11" s="198"/>
      <c r="U11" s="198"/>
    </row>
    <row r="12" spans="1:21" s="12" customFormat="1" x14ac:dyDescent="0.25">
      <c r="A12" s="211" t="s">
        <v>436</v>
      </c>
      <c r="B12" s="216" t="s">
        <v>31</v>
      </c>
      <c r="C12" s="216" t="s">
        <v>31</v>
      </c>
      <c r="D12" s="216" t="s">
        <v>31</v>
      </c>
      <c r="E12" s="216" t="s">
        <v>31</v>
      </c>
      <c r="F12" s="216" t="s">
        <v>31</v>
      </c>
      <c r="G12" s="216" t="s">
        <v>31</v>
      </c>
      <c r="H12" s="216" t="s">
        <v>31</v>
      </c>
      <c r="I12" s="216" t="s">
        <v>31</v>
      </c>
      <c r="J12" s="216" t="s">
        <v>31</v>
      </c>
      <c r="K12" s="216" t="s">
        <v>31</v>
      </c>
      <c r="L12" s="216" t="s">
        <v>31</v>
      </c>
      <c r="M12" s="216" t="s">
        <v>31</v>
      </c>
      <c r="N12" s="216" t="s">
        <v>31</v>
      </c>
      <c r="O12" s="216" t="s">
        <v>31</v>
      </c>
      <c r="P12" s="216" t="s">
        <v>31</v>
      </c>
      <c r="Q12" s="216" t="s">
        <v>31</v>
      </c>
      <c r="R12" s="198"/>
      <c r="S12" s="198"/>
      <c r="T12" s="198"/>
      <c r="U12" s="198"/>
    </row>
    <row r="13" spans="1:21" s="12" customFormat="1" x14ac:dyDescent="0.25">
      <c r="A13" s="211" t="s">
        <v>437</v>
      </c>
      <c r="B13" s="216" t="s">
        <v>31</v>
      </c>
      <c r="C13" s="216" t="s">
        <v>31</v>
      </c>
      <c r="D13" s="216" t="s">
        <v>31</v>
      </c>
      <c r="E13" s="216" t="s">
        <v>31</v>
      </c>
      <c r="F13" s="216" t="s">
        <v>31</v>
      </c>
      <c r="G13" s="216" t="s">
        <v>31</v>
      </c>
      <c r="H13" s="216" t="s">
        <v>31</v>
      </c>
      <c r="I13" s="216" t="s">
        <v>31</v>
      </c>
      <c r="J13" s="216" t="s">
        <v>31</v>
      </c>
      <c r="K13" s="216" t="s">
        <v>31</v>
      </c>
      <c r="L13" s="216" t="s">
        <v>31</v>
      </c>
      <c r="M13" s="216" t="s">
        <v>31</v>
      </c>
      <c r="N13" s="216" t="s">
        <v>31</v>
      </c>
      <c r="O13" s="216" t="s">
        <v>31</v>
      </c>
      <c r="P13" s="216" t="s">
        <v>31</v>
      </c>
      <c r="Q13" s="216" t="s">
        <v>31</v>
      </c>
      <c r="R13" s="198"/>
      <c r="S13" s="198"/>
      <c r="T13" s="198"/>
      <c r="U13" s="198"/>
    </row>
    <row r="14" spans="1:21" s="12" customFormat="1" x14ac:dyDescent="0.25">
      <c r="A14" s="211" t="s">
        <v>438</v>
      </c>
      <c r="B14" s="216" t="s">
        <v>31</v>
      </c>
      <c r="C14" s="216" t="s">
        <v>31</v>
      </c>
      <c r="D14" s="216" t="s">
        <v>31</v>
      </c>
      <c r="E14" s="216" t="s">
        <v>31</v>
      </c>
      <c r="F14" s="216" t="s">
        <v>31</v>
      </c>
      <c r="G14" s="216" t="s">
        <v>31</v>
      </c>
      <c r="H14" s="216" t="s">
        <v>31</v>
      </c>
      <c r="I14" s="216" t="s">
        <v>31</v>
      </c>
      <c r="J14" s="216" t="s">
        <v>31</v>
      </c>
      <c r="K14" s="216" t="s">
        <v>31</v>
      </c>
      <c r="L14" s="216" t="s">
        <v>31</v>
      </c>
      <c r="M14" s="216" t="s">
        <v>31</v>
      </c>
      <c r="N14" s="216" t="s">
        <v>31</v>
      </c>
      <c r="O14" s="216" t="s">
        <v>31</v>
      </c>
      <c r="P14" s="216" t="s">
        <v>31</v>
      </c>
      <c r="Q14" s="216" t="s">
        <v>31</v>
      </c>
      <c r="R14" s="198"/>
      <c r="S14" s="198"/>
      <c r="T14" s="198"/>
      <c r="U14" s="198"/>
    </row>
    <row r="15" spans="1:21" s="12" customFormat="1" x14ac:dyDescent="0.25">
      <c r="A15" s="211" t="s">
        <v>439</v>
      </c>
      <c r="B15" s="216" t="s">
        <v>31</v>
      </c>
      <c r="C15" s="216" t="s">
        <v>31</v>
      </c>
      <c r="D15" s="216" t="s">
        <v>31</v>
      </c>
      <c r="E15" s="216" t="s">
        <v>31</v>
      </c>
      <c r="F15" s="216" t="s">
        <v>31</v>
      </c>
      <c r="G15" s="216" t="s">
        <v>31</v>
      </c>
      <c r="H15" s="216" t="s">
        <v>31</v>
      </c>
      <c r="I15" s="216" t="s">
        <v>31</v>
      </c>
      <c r="J15" s="216" t="s">
        <v>31</v>
      </c>
      <c r="K15" s="216" t="s">
        <v>31</v>
      </c>
      <c r="L15" s="216" t="s">
        <v>31</v>
      </c>
      <c r="M15" s="216" t="s">
        <v>31</v>
      </c>
      <c r="N15" s="216" t="s">
        <v>31</v>
      </c>
      <c r="O15" s="216" t="s">
        <v>31</v>
      </c>
      <c r="P15" s="216" t="s">
        <v>31</v>
      </c>
      <c r="Q15" s="216" t="s">
        <v>31</v>
      </c>
      <c r="R15" s="198"/>
      <c r="S15" s="198"/>
      <c r="T15" s="198"/>
      <c r="U15" s="198"/>
    </row>
    <row r="16" spans="1:21" s="12" customFormat="1" x14ac:dyDescent="0.25">
      <c r="A16" s="211" t="s">
        <v>440</v>
      </c>
      <c r="B16" s="216" t="s">
        <v>31</v>
      </c>
      <c r="C16" s="216" t="s">
        <v>31</v>
      </c>
      <c r="D16" s="216" t="s">
        <v>31</v>
      </c>
      <c r="E16" s="216" t="s">
        <v>31</v>
      </c>
      <c r="F16" s="216" t="s">
        <v>31</v>
      </c>
      <c r="G16" s="216" t="s">
        <v>31</v>
      </c>
      <c r="H16" s="216" t="s">
        <v>31</v>
      </c>
      <c r="I16" s="216" t="s">
        <v>31</v>
      </c>
      <c r="J16" s="216" t="s">
        <v>31</v>
      </c>
      <c r="K16" s="216" t="s">
        <v>31</v>
      </c>
      <c r="L16" s="216" t="s">
        <v>31</v>
      </c>
      <c r="M16" s="216" t="s">
        <v>31</v>
      </c>
      <c r="N16" s="216" t="s">
        <v>31</v>
      </c>
      <c r="O16" s="216" t="s">
        <v>31</v>
      </c>
      <c r="P16" s="216" t="s">
        <v>31</v>
      </c>
      <c r="Q16" s="216" t="s">
        <v>31</v>
      </c>
      <c r="R16" s="198"/>
      <c r="S16" s="198"/>
      <c r="T16" s="198"/>
      <c r="U16" s="198"/>
    </row>
    <row r="17" spans="1:21" s="12" customFormat="1" x14ac:dyDescent="0.25">
      <c r="A17" s="211" t="s">
        <v>441</v>
      </c>
      <c r="B17" s="216" t="s">
        <v>31</v>
      </c>
      <c r="C17" s="216" t="s">
        <v>31</v>
      </c>
      <c r="D17" s="216" t="s">
        <v>31</v>
      </c>
      <c r="E17" s="216" t="s">
        <v>31</v>
      </c>
      <c r="F17" s="216" t="s">
        <v>31</v>
      </c>
      <c r="G17" s="216" t="s">
        <v>31</v>
      </c>
      <c r="H17" s="216" t="s">
        <v>31</v>
      </c>
      <c r="I17" s="216" t="s">
        <v>31</v>
      </c>
      <c r="J17" s="216" t="s">
        <v>31</v>
      </c>
      <c r="K17" s="216" t="s">
        <v>31</v>
      </c>
      <c r="L17" s="216" t="s">
        <v>31</v>
      </c>
      <c r="M17" s="216" t="s">
        <v>31</v>
      </c>
      <c r="N17" s="216" t="s">
        <v>31</v>
      </c>
      <c r="O17" s="216" t="s">
        <v>31</v>
      </c>
      <c r="P17" s="216" t="s">
        <v>31</v>
      </c>
      <c r="Q17" s="216" t="s">
        <v>31</v>
      </c>
      <c r="R17" s="198"/>
      <c r="S17" s="198"/>
      <c r="T17" s="198"/>
      <c r="U17" s="198"/>
    </row>
    <row r="18" spans="1:21" s="12" customFormat="1" x14ac:dyDescent="0.25">
      <c r="A18" s="211" t="s">
        <v>442</v>
      </c>
      <c r="B18" s="216" t="s">
        <v>31</v>
      </c>
      <c r="C18" s="216" t="s">
        <v>31</v>
      </c>
      <c r="D18" s="216" t="s">
        <v>31</v>
      </c>
      <c r="E18" s="216" t="s">
        <v>31</v>
      </c>
      <c r="F18" s="216" t="s">
        <v>31</v>
      </c>
      <c r="G18" s="216" t="s">
        <v>31</v>
      </c>
      <c r="H18" s="216" t="s">
        <v>31</v>
      </c>
      <c r="I18" s="216" t="s">
        <v>31</v>
      </c>
      <c r="J18" s="216" t="s">
        <v>31</v>
      </c>
      <c r="K18" s="216" t="s">
        <v>31</v>
      </c>
      <c r="L18" s="216" t="s">
        <v>31</v>
      </c>
      <c r="M18" s="216" t="s">
        <v>31</v>
      </c>
      <c r="N18" s="216" t="s">
        <v>31</v>
      </c>
      <c r="O18" s="216" t="s">
        <v>31</v>
      </c>
      <c r="P18" s="216" t="s">
        <v>31</v>
      </c>
      <c r="Q18" s="216" t="s">
        <v>31</v>
      </c>
      <c r="R18" s="198"/>
      <c r="S18" s="198"/>
      <c r="T18" s="198"/>
      <c r="U18" s="198"/>
    </row>
    <row r="19" spans="1:21" s="12" customFormat="1" x14ac:dyDescent="0.25">
      <c r="A19" s="211" t="s">
        <v>443</v>
      </c>
      <c r="B19" s="216" t="s">
        <v>31</v>
      </c>
      <c r="C19" s="216" t="s">
        <v>31</v>
      </c>
      <c r="D19" s="216" t="s">
        <v>31</v>
      </c>
      <c r="E19" s="216" t="s">
        <v>31</v>
      </c>
      <c r="F19" s="216" t="s">
        <v>31</v>
      </c>
      <c r="G19" s="216" t="s">
        <v>31</v>
      </c>
      <c r="H19" s="216" t="s">
        <v>31</v>
      </c>
      <c r="I19" s="216" t="s">
        <v>31</v>
      </c>
      <c r="J19" s="216" t="s">
        <v>31</v>
      </c>
      <c r="K19" s="216" t="s">
        <v>31</v>
      </c>
      <c r="L19" s="216" t="s">
        <v>31</v>
      </c>
      <c r="M19" s="216" t="s">
        <v>31</v>
      </c>
      <c r="N19" s="216" t="s">
        <v>31</v>
      </c>
      <c r="O19" s="216" t="s">
        <v>31</v>
      </c>
      <c r="P19" s="216" t="s">
        <v>31</v>
      </c>
      <c r="Q19" s="216" t="s">
        <v>31</v>
      </c>
      <c r="R19" s="198"/>
      <c r="S19" s="198"/>
      <c r="T19" s="198"/>
      <c r="U19" s="198"/>
    </row>
    <row r="20" spans="1:21" s="12" customFormat="1" x14ac:dyDescent="0.25">
      <c r="A20" s="211" t="s">
        <v>444</v>
      </c>
      <c r="B20" s="216" t="s">
        <v>31</v>
      </c>
      <c r="C20" s="216" t="s">
        <v>31</v>
      </c>
      <c r="D20" s="216" t="s">
        <v>31</v>
      </c>
      <c r="E20" s="216" t="s">
        <v>31</v>
      </c>
      <c r="F20" s="216" t="s">
        <v>31</v>
      </c>
      <c r="G20" s="216" t="s">
        <v>31</v>
      </c>
      <c r="H20" s="216" t="s">
        <v>31</v>
      </c>
      <c r="I20" s="216" t="s">
        <v>31</v>
      </c>
      <c r="J20" s="216" t="s">
        <v>31</v>
      </c>
      <c r="K20" s="216" t="s">
        <v>31</v>
      </c>
      <c r="L20" s="216" t="s">
        <v>31</v>
      </c>
      <c r="M20" s="216" t="s">
        <v>31</v>
      </c>
      <c r="N20" s="216" t="s">
        <v>31</v>
      </c>
      <c r="O20" s="216" t="s">
        <v>31</v>
      </c>
      <c r="P20" s="216" t="s">
        <v>31</v>
      </c>
      <c r="Q20" s="216" t="s">
        <v>31</v>
      </c>
      <c r="R20" s="198"/>
      <c r="S20" s="198"/>
      <c r="T20" s="198"/>
      <c r="U20" s="198"/>
    </row>
    <row r="21" spans="1:21" s="12" customFormat="1" x14ac:dyDescent="0.25">
      <c r="A21" s="211" t="s">
        <v>445</v>
      </c>
      <c r="B21" s="216" t="s">
        <v>31</v>
      </c>
      <c r="C21" s="216" t="s">
        <v>31</v>
      </c>
      <c r="D21" s="216" t="s">
        <v>31</v>
      </c>
      <c r="E21" s="216" t="s">
        <v>31</v>
      </c>
      <c r="F21" s="216" t="s">
        <v>31</v>
      </c>
      <c r="G21" s="216" t="s">
        <v>31</v>
      </c>
      <c r="H21" s="216" t="s">
        <v>31</v>
      </c>
      <c r="I21" s="216" t="s">
        <v>31</v>
      </c>
      <c r="J21" s="216" t="s">
        <v>31</v>
      </c>
      <c r="K21" s="216" t="s">
        <v>31</v>
      </c>
      <c r="L21" s="216" t="s">
        <v>31</v>
      </c>
      <c r="M21" s="216" t="s">
        <v>31</v>
      </c>
      <c r="N21" s="216" t="s">
        <v>31</v>
      </c>
      <c r="O21" s="216" t="s">
        <v>31</v>
      </c>
      <c r="P21" s="216" t="s">
        <v>31</v>
      </c>
      <c r="Q21" s="216" t="s">
        <v>31</v>
      </c>
      <c r="R21" s="198"/>
      <c r="S21" s="198"/>
      <c r="T21" s="198"/>
      <c r="U21" s="198"/>
    </row>
    <row r="22" spans="1:21" s="12" customFormat="1" x14ac:dyDescent="0.25">
      <c r="A22" s="211" t="s">
        <v>446</v>
      </c>
      <c r="B22" s="216" t="s">
        <v>31</v>
      </c>
      <c r="C22" s="216" t="s">
        <v>31</v>
      </c>
      <c r="D22" s="216" t="s">
        <v>31</v>
      </c>
      <c r="E22" s="216" t="s">
        <v>31</v>
      </c>
      <c r="F22" s="216" t="s">
        <v>31</v>
      </c>
      <c r="G22" s="216" t="s">
        <v>31</v>
      </c>
      <c r="H22" s="216" t="s">
        <v>31</v>
      </c>
      <c r="I22" s="216" t="s">
        <v>31</v>
      </c>
      <c r="J22" s="216" t="s">
        <v>31</v>
      </c>
      <c r="K22" s="216" t="s">
        <v>31</v>
      </c>
      <c r="L22" s="216" t="s">
        <v>31</v>
      </c>
      <c r="M22" s="216" t="s">
        <v>31</v>
      </c>
      <c r="N22" s="216" t="s">
        <v>31</v>
      </c>
      <c r="O22" s="216" t="s">
        <v>31</v>
      </c>
      <c r="P22" s="216" t="s">
        <v>31</v>
      </c>
      <c r="Q22" s="216" t="s">
        <v>31</v>
      </c>
      <c r="R22" s="198"/>
      <c r="S22" s="198"/>
      <c r="T22" s="198"/>
      <c r="U22" s="198"/>
    </row>
    <row r="23" spans="1:21" s="12" customFormat="1" x14ac:dyDescent="0.25">
      <c r="A23" s="211" t="s">
        <v>447</v>
      </c>
      <c r="B23" s="216" t="s">
        <v>31</v>
      </c>
      <c r="C23" s="216" t="s">
        <v>31</v>
      </c>
      <c r="D23" s="216" t="s">
        <v>31</v>
      </c>
      <c r="E23" s="216" t="s">
        <v>31</v>
      </c>
      <c r="F23" s="216" t="s">
        <v>31</v>
      </c>
      <c r="G23" s="216" t="s">
        <v>31</v>
      </c>
      <c r="H23" s="216" t="s">
        <v>31</v>
      </c>
      <c r="I23" s="216" t="s">
        <v>31</v>
      </c>
      <c r="J23" s="216" t="s">
        <v>31</v>
      </c>
      <c r="K23" s="216" t="s">
        <v>31</v>
      </c>
      <c r="L23" s="216" t="s">
        <v>31</v>
      </c>
      <c r="M23" s="216" t="s">
        <v>31</v>
      </c>
      <c r="N23" s="216" t="s">
        <v>31</v>
      </c>
      <c r="O23" s="216" t="s">
        <v>31</v>
      </c>
      <c r="P23" s="216" t="s">
        <v>31</v>
      </c>
      <c r="Q23" s="216" t="s">
        <v>31</v>
      </c>
      <c r="R23" s="198"/>
      <c r="S23" s="198"/>
      <c r="T23" s="198"/>
      <c r="U23" s="198"/>
    </row>
    <row r="24" spans="1:21" s="12" customFormat="1" x14ac:dyDescent="0.25">
      <c r="A24" s="211" t="s">
        <v>448</v>
      </c>
      <c r="B24" s="216" t="s">
        <v>31</v>
      </c>
      <c r="C24" s="216" t="s">
        <v>31</v>
      </c>
      <c r="D24" s="216" t="s">
        <v>31</v>
      </c>
      <c r="E24" s="216" t="s">
        <v>31</v>
      </c>
      <c r="F24" s="216" t="s">
        <v>31</v>
      </c>
      <c r="G24" s="216" t="s">
        <v>31</v>
      </c>
      <c r="H24" s="216" t="s">
        <v>31</v>
      </c>
      <c r="I24" s="216" t="s">
        <v>31</v>
      </c>
      <c r="J24" s="216" t="s">
        <v>31</v>
      </c>
      <c r="K24" s="216" t="s">
        <v>31</v>
      </c>
      <c r="L24" s="216" t="s">
        <v>31</v>
      </c>
      <c r="M24" s="216" t="s">
        <v>31</v>
      </c>
      <c r="N24" s="216" t="s">
        <v>31</v>
      </c>
      <c r="O24" s="216" t="s">
        <v>31</v>
      </c>
      <c r="P24" s="216" t="s">
        <v>31</v>
      </c>
      <c r="Q24" s="216" t="s">
        <v>31</v>
      </c>
      <c r="R24" s="198"/>
      <c r="S24" s="198"/>
      <c r="T24" s="198"/>
      <c r="U24" s="198"/>
    </row>
    <row r="25" spans="1:21" s="12" customFormat="1" x14ac:dyDescent="0.25">
      <c r="A25" s="211" t="s">
        <v>449</v>
      </c>
      <c r="B25" s="216" t="s">
        <v>31</v>
      </c>
      <c r="C25" s="216" t="s">
        <v>31</v>
      </c>
      <c r="D25" s="216" t="s">
        <v>31</v>
      </c>
      <c r="E25" s="216" t="s">
        <v>31</v>
      </c>
      <c r="F25" s="216" t="s">
        <v>31</v>
      </c>
      <c r="G25" s="216" t="s">
        <v>31</v>
      </c>
      <c r="H25" s="216" t="s">
        <v>31</v>
      </c>
      <c r="I25" s="216" t="s">
        <v>31</v>
      </c>
      <c r="J25" s="216" t="s">
        <v>31</v>
      </c>
      <c r="K25" s="216" t="s">
        <v>31</v>
      </c>
      <c r="L25" s="216" t="s">
        <v>31</v>
      </c>
      <c r="M25" s="216" t="s">
        <v>31</v>
      </c>
      <c r="N25" s="216" t="s">
        <v>31</v>
      </c>
      <c r="O25" s="216" t="s">
        <v>31</v>
      </c>
      <c r="P25" s="216" t="s">
        <v>31</v>
      </c>
      <c r="Q25" s="216" t="s">
        <v>31</v>
      </c>
      <c r="R25" s="198"/>
      <c r="S25" s="198"/>
      <c r="T25" s="198"/>
      <c r="U25" s="198"/>
    </row>
    <row r="26" spans="1:21" s="12" customFormat="1" x14ac:dyDescent="0.25">
      <c r="A26" s="211" t="s">
        <v>450</v>
      </c>
      <c r="B26" s="216" t="s">
        <v>31</v>
      </c>
      <c r="C26" s="216" t="s">
        <v>31</v>
      </c>
      <c r="D26" s="216" t="s">
        <v>31</v>
      </c>
      <c r="E26" s="216" t="s">
        <v>31</v>
      </c>
      <c r="F26" s="216" t="s">
        <v>31</v>
      </c>
      <c r="G26" s="216" t="s">
        <v>31</v>
      </c>
      <c r="H26" s="216" t="s">
        <v>31</v>
      </c>
      <c r="I26" s="216" t="s">
        <v>31</v>
      </c>
      <c r="J26" s="216" t="s">
        <v>31</v>
      </c>
      <c r="K26" s="216" t="s">
        <v>31</v>
      </c>
      <c r="L26" s="216" t="s">
        <v>31</v>
      </c>
      <c r="M26" s="216" t="s">
        <v>31</v>
      </c>
      <c r="N26" s="216" t="s">
        <v>31</v>
      </c>
      <c r="O26" s="216" t="s">
        <v>31</v>
      </c>
      <c r="P26" s="216" t="s">
        <v>31</v>
      </c>
      <c r="Q26" s="216" t="s">
        <v>31</v>
      </c>
      <c r="R26" s="198"/>
      <c r="S26" s="198"/>
      <c r="T26" s="198"/>
      <c r="U26" s="198"/>
    </row>
    <row r="27" spans="1:21" s="12" customFormat="1" x14ac:dyDescent="0.25">
      <c r="A27" s="211" t="s">
        <v>451</v>
      </c>
      <c r="B27" s="216" t="s">
        <v>31</v>
      </c>
      <c r="C27" s="216" t="s">
        <v>31</v>
      </c>
      <c r="D27" s="216" t="s">
        <v>31</v>
      </c>
      <c r="E27" s="216" t="s">
        <v>31</v>
      </c>
      <c r="F27" s="216" t="s">
        <v>31</v>
      </c>
      <c r="G27" s="216" t="s">
        <v>31</v>
      </c>
      <c r="H27" s="216" t="s">
        <v>31</v>
      </c>
      <c r="I27" s="216" t="s">
        <v>31</v>
      </c>
      <c r="J27" s="216" t="s">
        <v>31</v>
      </c>
      <c r="K27" s="216" t="s">
        <v>31</v>
      </c>
      <c r="L27" s="216" t="s">
        <v>31</v>
      </c>
      <c r="M27" s="216" t="s">
        <v>31</v>
      </c>
      <c r="N27" s="216" t="s">
        <v>31</v>
      </c>
      <c r="O27" s="216" t="s">
        <v>31</v>
      </c>
      <c r="P27" s="216" t="s">
        <v>31</v>
      </c>
      <c r="Q27" s="216" t="s">
        <v>31</v>
      </c>
      <c r="R27" s="198"/>
      <c r="S27" s="198"/>
      <c r="T27" s="198"/>
      <c r="U27" s="198"/>
    </row>
    <row r="28" spans="1:21" s="12" customFormat="1" x14ac:dyDescent="0.25">
      <c r="A28" s="211" t="s">
        <v>452</v>
      </c>
      <c r="B28" s="216" t="s">
        <v>31</v>
      </c>
      <c r="C28" s="216" t="s">
        <v>31</v>
      </c>
      <c r="D28" s="216" t="s">
        <v>31</v>
      </c>
      <c r="E28" s="216" t="s">
        <v>31</v>
      </c>
      <c r="F28" s="216" t="s">
        <v>31</v>
      </c>
      <c r="G28" s="216" t="s">
        <v>31</v>
      </c>
      <c r="H28" s="216" t="s">
        <v>31</v>
      </c>
      <c r="I28" s="216" t="s">
        <v>31</v>
      </c>
      <c r="J28" s="216" t="s">
        <v>31</v>
      </c>
      <c r="K28" s="216" t="s">
        <v>31</v>
      </c>
      <c r="L28" s="216" t="s">
        <v>31</v>
      </c>
      <c r="M28" s="216" t="s">
        <v>31</v>
      </c>
      <c r="N28" s="216" t="s">
        <v>31</v>
      </c>
      <c r="O28" s="216" t="s">
        <v>31</v>
      </c>
      <c r="P28" s="216" t="s">
        <v>31</v>
      </c>
      <c r="Q28" s="216" t="s">
        <v>31</v>
      </c>
      <c r="R28" s="198"/>
      <c r="S28" s="198"/>
      <c r="T28" s="198"/>
      <c r="U28" s="198"/>
    </row>
    <row r="29" spans="1:21" s="12" customFormat="1" x14ac:dyDescent="0.25">
      <c r="A29" s="211" t="s">
        <v>453</v>
      </c>
      <c r="B29" s="216" t="s">
        <v>31</v>
      </c>
      <c r="C29" s="216" t="s">
        <v>31</v>
      </c>
      <c r="D29" s="216" t="s">
        <v>31</v>
      </c>
      <c r="E29" s="216" t="s">
        <v>31</v>
      </c>
      <c r="F29" s="216" t="s">
        <v>31</v>
      </c>
      <c r="G29" s="216" t="s">
        <v>31</v>
      </c>
      <c r="H29" s="216" t="s">
        <v>31</v>
      </c>
      <c r="I29" s="216" t="s">
        <v>31</v>
      </c>
      <c r="J29" s="216" t="s">
        <v>31</v>
      </c>
      <c r="K29" s="216" t="s">
        <v>31</v>
      </c>
      <c r="L29" s="216" t="s">
        <v>31</v>
      </c>
      <c r="M29" s="216" t="s">
        <v>31</v>
      </c>
      <c r="N29" s="216" t="s">
        <v>31</v>
      </c>
      <c r="O29" s="216" t="s">
        <v>31</v>
      </c>
      <c r="P29" s="216" t="s">
        <v>31</v>
      </c>
      <c r="Q29" s="216" t="s">
        <v>31</v>
      </c>
      <c r="R29" s="198"/>
      <c r="S29" s="198"/>
      <c r="T29" s="198"/>
      <c r="U29" s="198"/>
    </row>
    <row r="30" spans="1:21" s="12" customFormat="1" x14ac:dyDescent="0.25">
      <c r="A30" s="211" t="s">
        <v>454</v>
      </c>
      <c r="B30" s="216" t="s">
        <v>31</v>
      </c>
      <c r="C30" s="216" t="s">
        <v>31</v>
      </c>
      <c r="D30" s="216" t="s">
        <v>31</v>
      </c>
      <c r="E30" s="216" t="s">
        <v>31</v>
      </c>
      <c r="F30" s="216" t="s">
        <v>31</v>
      </c>
      <c r="G30" s="216" t="s">
        <v>31</v>
      </c>
      <c r="H30" s="216" t="s">
        <v>31</v>
      </c>
      <c r="I30" s="216" t="s">
        <v>31</v>
      </c>
      <c r="J30" s="216" t="s">
        <v>31</v>
      </c>
      <c r="K30" s="216" t="s">
        <v>31</v>
      </c>
      <c r="L30" s="216" t="s">
        <v>31</v>
      </c>
      <c r="M30" s="216" t="s">
        <v>31</v>
      </c>
      <c r="N30" s="216" t="s">
        <v>31</v>
      </c>
      <c r="O30" s="216" t="s">
        <v>31</v>
      </c>
      <c r="P30" s="216" t="s">
        <v>31</v>
      </c>
      <c r="Q30" s="216" t="s">
        <v>31</v>
      </c>
      <c r="R30" s="198"/>
      <c r="S30" s="198"/>
      <c r="T30" s="198"/>
      <c r="U30" s="198"/>
    </row>
    <row r="31" spans="1:21" s="12" customFormat="1" x14ac:dyDescent="0.25">
      <c r="A31" s="211" t="s">
        <v>455</v>
      </c>
      <c r="B31" s="216" t="s">
        <v>31</v>
      </c>
      <c r="C31" s="216" t="s">
        <v>31</v>
      </c>
      <c r="D31" s="216" t="s">
        <v>31</v>
      </c>
      <c r="E31" s="216" t="s">
        <v>31</v>
      </c>
      <c r="F31" s="216" t="s">
        <v>31</v>
      </c>
      <c r="G31" s="216" t="s">
        <v>31</v>
      </c>
      <c r="H31" s="216" t="s">
        <v>31</v>
      </c>
      <c r="I31" s="216" t="s">
        <v>31</v>
      </c>
      <c r="J31" s="216" t="s">
        <v>31</v>
      </c>
      <c r="K31" s="216" t="s">
        <v>31</v>
      </c>
      <c r="L31" s="216" t="s">
        <v>31</v>
      </c>
      <c r="M31" s="216" t="s">
        <v>31</v>
      </c>
      <c r="N31" s="216" t="s">
        <v>31</v>
      </c>
      <c r="O31" s="216" t="s">
        <v>31</v>
      </c>
      <c r="P31" s="216" t="s">
        <v>31</v>
      </c>
      <c r="Q31" s="216" t="s">
        <v>31</v>
      </c>
      <c r="R31" s="198"/>
      <c r="S31" s="198"/>
      <c r="T31" s="198"/>
      <c r="U31" s="198"/>
    </row>
    <row r="32" spans="1:21" s="12" customFormat="1" x14ac:dyDescent="0.25">
      <c r="A32" s="211" t="s">
        <v>456</v>
      </c>
      <c r="B32" s="216" t="s">
        <v>31</v>
      </c>
      <c r="C32" s="216" t="s">
        <v>31</v>
      </c>
      <c r="D32" s="216" t="s">
        <v>31</v>
      </c>
      <c r="E32" s="216" t="s">
        <v>31</v>
      </c>
      <c r="F32" s="216" t="s">
        <v>31</v>
      </c>
      <c r="G32" s="216" t="s">
        <v>31</v>
      </c>
      <c r="H32" s="216" t="s">
        <v>31</v>
      </c>
      <c r="I32" s="216" t="s">
        <v>31</v>
      </c>
      <c r="J32" s="216" t="s">
        <v>31</v>
      </c>
      <c r="K32" s="216" t="s">
        <v>31</v>
      </c>
      <c r="L32" s="216" t="s">
        <v>31</v>
      </c>
      <c r="M32" s="216" t="s">
        <v>31</v>
      </c>
      <c r="N32" s="216" t="s">
        <v>31</v>
      </c>
      <c r="O32" s="216" t="s">
        <v>31</v>
      </c>
      <c r="P32" s="216" t="s">
        <v>31</v>
      </c>
      <c r="Q32" s="216" t="s">
        <v>31</v>
      </c>
      <c r="R32" s="198"/>
      <c r="S32" s="198"/>
      <c r="T32" s="198"/>
      <c r="U32" s="198"/>
    </row>
    <row r="33" spans="1:21" s="12" customFormat="1" x14ac:dyDescent="0.25">
      <c r="A33" s="211" t="s">
        <v>457</v>
      </c>
      <c r="B33" s="216" t="s">
        <v>31</v>
      </c>
      <c r="C33" s="216" t="s">
        <v>31</v>
      </c>
      <c r="D33" s="216" t="s">
        <v>31</v>
      </c>
      <c r="E33" s="216" t="s">
        <v>31</v>
      </c>
      <c r="F33" s="216" t="s">
        <v>31</v>
      </c>
      <c r="G33" s="216" t="s">
        <v>31</v>
      </c>
      <c r="H33" s="216" t="s">
        <v>31</v>
      </c>
      <c r="I33" s="216" t="s">
        <v>31</v>
      </c>
      <c r="J33" s="216" t="s">
        <v>31</v>
      </c>
      <c r="K33" s="216" t="s">
        <v>31</v>
      </c>
      <c r="L33" s="216" t="s">
        <v>31</v>
      </c>
      <c r="M33" s="216" t="s">
        <v>31</v>
      </c>
      <c r="N33" s="216" t="s">
        <v>31</v>
      </c>
      <c r="O33" s="216" t="s">
        <v>31</v>
      </c>
      <c r="P33" s="216" t="s">
        <v>31</v>
      </c>
      <c r="Q33" s="216" t="s">
        <v>31</v>
      </c>
      <c r="R33" s="198"/>
      <c r="S33" s="198"/>
      <c r="T33" s="198"/>
      <c r="U33" s="198"/>
    </row>
    <row r="34" spans="1:21" s="12" customFormat="1" x14ac:dyDescent="0.25">
      <c r="A34" s="211" t="s">
        <v>458</v>
      </c>
      <c r="B34" s="216" t="s">
        <v>31</v>
      </c>
      <c r="C34" s="216" t="s">
        <v>31</v>
      </c>
      <c r="D34" s="216" t="s">
        <v>31</v>
      </c>
      <c r="E34" s="216" t="s">
        <v>31</v>
      </c>
      <c r="F34" s="216" t="s">
        <v>31</v>
      </c>
      <c r="G34" s="216" t="s">
        <v>31</v>
      </c>
      <c r="H34" s="216" t="s">
        <v>31</v>
      </c>
      <c r="I34" s="216" t="s">
        <v>31</v>
      </c>
      <c r="J34" s="216" t="s">
        <v>31</v>
      </c>
      <c r="K34" s="216" t="s">
        <v>31</v>
      </c>
      <c r="L34" s="216" t="s">
        <v>31</v>
      </c>
      <c r="M34" s="216" t="s">
        <v>31</v>
      </c>
      <c r="N34" s="216" t="s">
        <v>31</v>
      </c>
      <c r="O34" s="216" t="s">
        <v>31</v>
      </c>
      <c r="P34" s="216" t="s">
        <v>31</v>
      </c>
      <c r="Q34" s="216" t="s">
        <v>31</v>
      </c>
      <c r="R34" s="198"/>
      <c r="S34" s="198"/>
      <c r="T34" s="198"/>
      <c r="U34" s="198"/>
    </row>
    <row r="35" spans="1:21" s="12" customFormat="1" x14ac:dyDescent="0.25">
      <c r="A35" s="211" t="s">
        <v>459</v>
      </c>
      <c r="B35" s="216" t="s">
        <v>31</v>
      </c>
      <c r="C35" s="216" t="s">
        <v>31</v>
      </c>
      <c r="D35" s="216" t="s">
        <v>31</v>
      </c>
      <c r="E35" s="216" t="s">
        <v>31</v>
      </c>
      <c r="F35" s="216" t="s">
        <v>31</v>
      </c>
      <c r="G35" s="216" t="s">
        <v>31</v>
      </c>
      <c r="H35" s="216" t="s">
        <v>31</v>
      </c>
      <c r="I35" s="216" t="s">
        <v>31</v>
      </c>
      <c r="J35" s="216" t="s">
        <v>31</v>
      </c>
      <c r="K35" s="216" t="s">
        <v>31</v>
      </c>
      <c r="L35" s="216" t="s">
        <v>31</v>
      </c>
      <c r="M35" s="216" t="s">
        <v>31</v>
      </c>
      <c r="N35" s="216" t="s">
        <v>31</v>
      </c>
      <c r="O35" s="216" t="s">
        <v>31</v>
      </c>
      <c r="P35" s="216" t="s">
        <v>31</v>
      </c>
      <c r="Q35" s="216" t="s">
        <v>31</v>
      </c>
      <c r="R35" s="198"/>
      <c r="S35" s="198"/>
      <c r="T35" s="198"/>
      <c r="U35" s="198"/>
    </row>
    <row r="36" spans="1:21" s="12" customFormat="1" x14ac:dyDescent="0.25">
      <c r="A36" s="211" t="s">
        <v>460</v>
      </c>
      <c r="B36" s="216" t="s">
        <v>31</v>
      </c>
      <c r="C36" s="216" t="s">
        <v>31</v>
      </c>
      <c r="D36" s="216" t="s">
        <v>31</v>
      </c>
      <c r="E36" s="216" t="s">
        <v>31</v>
      </c>
      <c r="F36" s="216" t="s">
        <v>31</v>
      </c>
      <c r="G36" s="216" t="s">
        <v>31</v>
      </c>
      <c r="H36" s="216" t="s">
        <v>31</v>
      </c>
      <c r="I36" s="216" t="s">
        <v>31</v>
      </c>
      <c r="J36" s="216" t="s">
        <v>31</v>
      </c>
      <c r="K36" s="216" t="s">
        <v>31</v>
      </c>
      <c r="L36" s="216" t="s">
        <v>31</v>
      </c>
      <c r="M36" s="216" t="s">
        <v>31</v>
      </c>
      <c r="N36" s="216" t="s">
        <v>31</v>
      </c>
      <c r="O36" s="216" t="s">
        <v>31</v>
      </c>
      <c r="P36" s="216" t="s">
        <v>31</v>
      </c>
      <c r="Q36" s="216" t="s">
        <v>31</v>
      </c>
      <c r="R36" s="198"/>
      <c r="S36" s="198"/>
      <c r="T36" s="198"/>
      <c r="U36" s="198"/>
    </row>
    <row r="37" spans="1:21" s="12" customFormat="1" x14ac:dyDescent="0.25">
      <c r="A37" s="211" t="s">
        <v>461</v>
      </c>
      <c r="B37" s="216" t="s">
        <v>31</v>
      </c>
      <c r="C37" s="216" t="s">
        <v>31</v>
      </c>
      <c r="D37" s="216" t="s">
        <v>31</v>
      </c>
      <c r="E37" s="216" t="s">
        <v>31</v>
      </c>
      <c r="F37" s="216" t="s">
        <v>31</v>
      </c>
      <c r="G37" s="216" t="s">
        <v>31</v>
      </c>
      <c r="H37" s="216" t="s">
        <v>31</v>
      </c>
      <c r="I37" s="216" t="s">
        <v>31</v>
      </c>
      <c r="J37" s="216" t="s">
        <v>31</v>
      </c>
      <c r="K37" s="216" t="s">
        <v>31</v>
      </c>
      <c r="L37" s="216" t="s">
        <v>31</v>
      </c>
      <c r="M37" s="216" t="s">
        <v>31</v>
      </c>
      <c r="N37" s="216" t="s">
        <v>31</v>
      </c>
      <c r="O37" s="216" t="s">
        <v>31</v>
      </c>
      <c r="P37" s="216" t="s">
        <v>31</v>
      </c>
      <c r="Q37" s="216" t="s">
        <v>31</v>
      </c>
      <c r="R37" s="198"/>
      <c r="S37" s="198"/>
      <c r="T37" s="198"/>
      <c r="U37" s="198"/>
    </row>
    <row r="38" spans="1:21" s="12" customFormat="1" x14ac:dyDescent="0.25">
      <c r="A38" s="211" t="s">
        <v>462</v>
      </c>
      <c r="B38" s="216" t="s">
        <v>31</v>
      </c>
      <c r="C38" s="216" t="s">
        <v>31</v>
      </c>
      <c r="D38" s="216" t="s">
        <v>31</v>
      </c>
      <c r="E38" s="216" t="s">
        <v>31</v>
      </c>
      <c r="F38" s="216" t="s">
        <v>31</v>
      </c>
      <c r="G38" s="216" t="s">
        <v>31</v>
      </c>
      <c r="H38" s="216" t="s">
        <v>31</v>
      </c>
      <c r="I38" s="216" t="s">
        <v>31</v>
      </c>
      <c r="J38" s="216" t="s">
        <v>31</v>
      </c>
      <c r="K38" s="216" t="s">
        <v>31</v>
      </c>
      <c r="L38" s="216" t="s">
        <v>31</v>
      </c>
      <c r="M38" s="216" t="s">
        <v>31</v>
      </c>
      <c r="N38" s="216" t="s">
        <v>31</v>
      </c>
      <c r="O38" s="216" t="s">
        <v>31</v>
      </c>
      <c r="P38" s="216" t="s">
        <v>31</v>
      </c>
      <c r="Q38" s="216" t="s">
        <v>31</v>
      </c>
      <c r="R38" s="198"/>
      <c r="S38" s="198"/>
      <c r="T38" s="198"/>
      <c r="U38" s="198"/>
    </row>
    <row r="39" spans="1:21" s="12" customFormat="1" x14ac:dyDescent="0.25">
      <c r="A39" s="211" t="s">
        <v>463</v>
      </c>
      <c r="B39" s="216" t="s">
        <v>31</v>
      </c>
      <c r="C39" s="216" t="s">
        <v>31</v>
      </c>
      <c r="D39" s="216" t="s">
        <v>31</v>
      </c>
      <c r="E39" s="216" t="s">
        <v>31</v>
      </c>
      <c r="F39" s="216" t="s">
        <v>31</v>
      </c>
      <c r="G39" s="216" t="s">
        <v>31</v>
      </c>
      <c r="H39" s="216" t="s">
        <v>31</v>
      </c>
      <c r="I39" s="216" t="s">
        <v>31</v>
      </c>
      <c r="J39" s="216" t="s">
        <v>31</v>
      </c>
      <c r="K39" s="216" t="s">
        <v>31</v>
      </c>
      <c r="L39" s="216" t="s">
        <v>31</v>
      </c>
      <c r="M39" s="216" t="s">
        <v>31</v>
      </c>
      <c r="N39" s="216" t="s">
        <v>31</v>
      </c>
      <c r="O39" s="216" t="s">
        <v>31</v>
      </c>
      <c r="P39" s="216" t="s">
        <v>31</v>
      </c>
      <c r="Q39" s="216" t="s">
        <v>31</v>
      </c>
      <c r="R39" s="198"/>
      <c r="S39" s="198"/>
      <c r="T39" s="198"/>
      <c r="U39" s="198"/>
    </row>
    <row r="40" spans="1:21" s="12" customFormat="1" x14ac:dyDescent="0.25">
      <c r="A40" s="211" t="s">
        <v>464</v>
      </c>
      <c r="B40" s="216" t="s">
        <v>31</v>
      </c>
      <c r="C40" s="216" t="s">
        <v>31</v>
      </c>
      <c r="D40" s="216" t="s">
        <v>31</v>
      </c>
      <c r="E40" s="216" t="s">
        <v>31</v>
      </c>
      <c r="F40" s="216" t="s">
        <v>31</v>
      </c>
      <c r="G40" s="216" t="s">
        <v>31</v>
      </c>
      <c r="H40" s="216" t="s">
        <v>31</v>
      </c>
      <c r="I40" s="216" t="s">
        <v>31</v>
      </c>
      <c r="J40" s="216" t="s">
        <v>31</v>
      </c>
      <c r="K40" s="216" t="s">
        <v>31</v>
      </c>
      <c r="L40" s="216" t="s">
        <v>31</v>
      </c>
      <c r="M40" s="216" t="s">
        <v>31</v>
      </c>
      <c r="N40" s="216" t="s">
        <v>31</v>
      </c>
      <c r="O40" s="216" t="s">
        <v>31</v>
      </c>
      <c r="P40" s="216" t="s">
        <v>31</v>
      </c>
      <c r="Q40" s="216" t="s">
        <v>31</v>
      </c>
      <c r="R40" s="198"/>
      <c r="S40" s="198"/>
      <c r="T40" s="198"/>
      <c r="U40" s="198"/>
    </row>
    <row r="41" spans="1:21" s="12" customFormat="1" x14ac:dyDescent="0.25">
      <c r="A41" s="211" t="s">
        <v>465</v>
      </c>
      <c r="B41" s="216" t="s">
        <v>31</v>
      </c>
      <c r="C41" s="216" t="s">
        <v>31</v>
      </c>
      <c r="D41" s="216" t="s">
        <v>31</v>
      </c>
      <c r="E41" s="216" t="s">
        <v>31</v>
      </c>
      <c r="F41" s="216" t="s">
        <v>31</v>
      </c>
      <c r="G41" s="216" t="s">
        <v>31</v>
      </c>
      <c r="H41" s="216" t="s">
        <v>31</v>
      </c>
      <c r="I41" s="216" t="s">
        <v>31</v>
      </c>
      <c r="J41" s="216" t="s">
        <v>31</v>
      </c>
      <c r="K41" s="216" t="s">
        <v>31</v>
      </c>
      <c r="L41" s="216" t="s">
        <v>31</v>
      </c>
      <c r="M41" s="216" t="s">
        <v>31</v>
      </c>
      <c r="N41" s="216" t="s">
        <v>31</v>
      </c>
      <c r="O41" s="216" t="s">
        <v>31</v>
      </c>
      <c r="P41" s="216" t="s">
        <v>31</v>
      </c>
      <c r="Q41" s="216" t="s">
        <v>31</v>
      </c>
      <c r="R41" s="198"/>
      <c r="S41" s="198"/>
      <c r="T41" s="198"/>
      <c r="U41" s="198"/>
    </row>
    <row r="42" spans="1:21" s="12" customFormat="1" x14ac:dyDescent="0.25">
      <c r="A42" s="211" t="s">
        <v>466</v>
      </c>
      <c r="B42" s="216" t="s">
        <v>31</v>
      </c>
      <c r="C42" s="216" t="s">
        <v>31</v>
      </c>
      <c r="D42" s="216" t="s">
        <v>31</v>
      </c>
      <c r="E42" s="216" t="s">
        <v>31</v>
      </c>
      <c r="F42" s="216" t="s">
        <v>31</v>
      </c>
      <c r="G42" s="216" t="s">
        <v>31</v>
      </c>
      <c r="H42" s="216" t="s">
        <v>31</v>
      </c>
      <c r="I42" s="216" t="s">
        <v>31</v>
      </c>
      <c r="J42" s="216" t="s">
        <v>31</v>
      </c>
      <c r="K42" s="216" t="s">
        <v>31</v>
      </c>
      <c r="L42" s="216" t="s">
        <v>31</v>
      </c>
      <c r="M42" s="216" t="s">
        <v>31</v>
      </c>
      <c r="N42" s="216" t="s">
        <v>31</v>
      </c>
      <c r="O42" s="216" t="s">
        <v>31</v>
      </c>
      <c r="P42" s="216" t="s">
        <v>31</v>
      </c>
      <c r="Q42" s="216" t="s">
        <v>31</v>
      </c>
      <c r="R42" s="198"/>
      <c r="S42" s="198"/>
      <c r="T42" s="198"/>
      <c r="U42" s="198"/>
    </row>
    <row r="43" spans="1:21" s="12" customFormat="1" x14ac:dyDescent="0.25">
      <c r="A43" s="211" t="s">
        <v>467</v>
      </c>
      <c r="B43" s="216" t="s">
        <v>31</v>
      </c>
      <c r="C43" s="216" t="s">
        <v>31</v>
      </c>
      <c r="D43" s="216" t="s">
        <v>31</v>
      </c>
      <c r="E43" s="216" t="s">
        <v>31</v>
      </c>
      <c r="F43" s="216" t="s">
        <v>31</v>
      </c>
      <c r="G43" s="216" t="s">
        <v>31</v>
      </c>
      <c r="H43" s="216" t="s">
        <v>31</v>
      </c>
      <c r="I43" s="216" t="s">
        <v>31</v>
      </c>
      <c r="J43" s="216" t="s">
        <v>31</v>
      </c>
      <c r="K43" s="216" t="s">
        <v>31</v>
      </c>
      <c r="L43" s="216" t="s">
        <v>31</v>
      </c>
      <c r="M43" s="216" t="s">
        <v>31</v>
      </c>
      <c r="N43" s="216" t="s">
        <v>31</v>
      </c>
      <c r="O43" s="216" t="s">
        <v>31</v>
      </c>
      <c r="P43" s="216" t="s">
        <v>31</v>
      </c>
      <c r="Q43" s="216" t="s">
        <v>31</v>
      </c>
      <c r="R43" s="198"/>
      <c r="S43" s="198"/>
      <c r="T43" s="198"/>
      <c r="U43" s="198"/>
    </row>
    <row r="44" spans="1:21" s="12" customFormat="1" x14ac:dyDescent="0.25">
      <c r="A44" s="211" t="s">
        <v>468</v>
      </c>
      <c r="B44" s="216" t="s">
        <v>31</v>
      </c>
      <c r="C44" s="216" t="s">
        <v>31</v>
      </c>
      <c r="D44" s="216" t="s">
        <v>31</v>
      </c>
      <c r="E44" s="216" t="s">
        <v>31</v>
      </c>
      <c r="F44" s="216" t="s">
        <v>31</v>
      </c>
      <c r="G44" s="216" t="s">
        <v>31</v>
      </c>
      <c r="H44" s="216" t="s">
        <v>31</v>
      </c>
      <c r="I44" s="216" t="s">
        <v>31</v>
      </c>
      <c r="J44" s="216" t="s">
        <v>31</v>
      </c>
      <c r="K44" s="216" t="s">
        <v>31</v>
      </c>
      <c r="L44" s="216" t="s">
        <v>31</v>
      </c>
      <c r="M44" s="216" t="s">
        <v>31</v>
      </c>
      <c r="N44" s="216" t="s">
        <v>31</v>
      </c>
      <c r="O44" s="216" t="s">
        <v>31</v>
      </c>
      <c r="P44" s="216" t="s">
        <v>31</v>
      </c>
      <c r="Q44" s="216" t="s">
        <v>31</v>
      </c>
      <c r="R44" s="198"/>
      <c r="S44" s="198"/>
      <c r="T44" s="198"/>
      <c r="U44" s="198"/>
    </row>
    <row r="45" spans="1:21" s="12" customFormat="1" x14ac:dyDescent="0.25">
      <c r="A45" s="211" t="s">
        <v>469</v>
      </c>
      <c r="B45" s="216" t="s">
        <v>31</v>
      </c>
      <c r="C45" s="216" t="s">
        <v>31</v>
      </c>
      <c r="D45" s="216" t="s">
        <v>31</v>
      </c>
      <c r="E45" s="216" t="s">
        <v>31</v>
      </c>
      <c r="F45" s="216" t="s">
        <v>31</v>
      </c>
      <c r="G45" s="216" t="s">
        <v>31</v>
      </c>
      <c r="H45" s="216" t="s">
        <v>31</v>
      </c>
      <c r="I45" s="216" t="s">
        <v>31</v>
      </c>
      <c r="J45" s="216" t="s">
        <v>31</v>
      </c>
      <c r="K45" s="216" t="s">
        <v>31</v>
      </c>
      <c r="L45" s="216" t="s">
        <v>31</v>
      </c>
      <c r="M45" s="216" t="s">
        <v>31</v>
      </c>
      <c r="N45" s="216" t="s">
        <v>31</v>
      </c>
      <c r="O45" s="216" t="s">
        <v>31</v>
      </c>
      <c r="P45" s="216" t="s">
        <v>31</v>
      </c>
      <c r="Q45" s="216" t="s">
        <v>31</v>
      </c>
      <c r="R45" s="198"/>
      <c r="S45" s="198"/>
      <c r="T45" s="198"/>
      <c r="U45" s="198"/>
    </row>
    <row r="46" spans="1:21" s="12" customFormat="1" x14ac:dyDescent="0.25">
      <c r="A46" s="211" t="s">
        <v>470</v>
      </c>
      <c r="B46" s="216" t="s">
        <v>31</v>
      </c>
      <c r="C46" s="216" t="s">
        <v>31</v>
      </c>
      <c r="D46" s="216" t="s">
        <v>31</v>
      </c>
      <c r="E46" s="216" t="s">
        <v>31</v>
      </c>
      <c r="F46" s="216" t="s">
        <v>31</v>
      </c>
      <c r="G46" s="216" t="s">
        <v>31</v>
      </c>
      <c r="H46" s="216" t="s">
        <v>31</v>
      </c>
      <c r="I46" s="216" t="s">
        <v>31</v>
      </c>
      <c r="J46" s="216" t="s">
        <v>31</v>
      </c>
      <c r="K46" s="216" t="s">
        <v>31</v>
      </c>
      <c r="L46" s="216" t="s">
        <v>31</v>
      </c>
      <c r="M46" s="216" t="s">
        <v>31</v>
      </c>
      <c r="N46" s="216" t="s">
        <v>31</v>
      </c>
      <c r="O46" s="216" t="s">
        <v>31</v>
      </c>
      <c r="P46" s="216" t="s">
        <v>31</v>
      </c>
      <c r="Q46" s="216" t="s">
        <v>31</v>
      </c>
      <c r="R46" s="198"/>
      <c r="S46" s="198"/>
      <c r="T46" s="198"/>
      <c r="U46" s="198"/>
    </row>
    <row r="47" spans="1:21" s="12" customFormat="1" x14ac:dyDescent="0.25">
      <c r="A47" s="211" t="s">
        <v>471</v>
      </c>
      <c r="B47" s="216" t="s">
        <v>31</v>
      </c>
      <c r="C47" s="216" t="s">
        <v>31</v>
      </c>
      <c r="D47" s="216" t="s">
        <v>31</v>
      </c>
      <c r="E47" s="216" t="s">
        <v>31</v>
      </c>
      <c r="F47" s="216" t="s">
        <v>31</v>
      </c>
      <c r="G47" s="216" t="s">
        <v>31</v>
      </c>
      <c r="H47" s="216" t="s">
        <v>31</v>
      </c>
      <c r="I47" s="216" t="s">
        <v>31</v>
      </c>
      <c r="J47" s="216" t="s">
        <v>31</v>
      </c>
      <c r="K47" s="216" t="s">
        <v>31</v>
      </c>
      <c r="L47" s="216" t="s">
        <v>31</v>
      </c>
      <c r="M47" s="216" t="s">
        <v>31</v>
      </c>
      <c r="N47" s="216" t="s">
        <v>31</v>
      </c>
      <c r="O47" s="216" t="s">
        <v>31</v>
      </c>
      <c r="P47" s="216" t="s">
        <v>31</v>
      </c>
      <c r="Q47" s="216" t="s">
        <v>31</v>
      </c>
      <c r="R47" s="198"/>
      <c r="S47" s="198"/>
      <c r="T47" s="198"/>
      <c r="U47" s="198"/>
    </row>
    <row r="48" spans="1:21" s="12" customFormat="1" x14ac:dyDescent="0.25">
      <c r="A48" s="211" t="s">
        <v>472</v>
      </c>
      <c r="B48" s="216" t="s">
        <v>31</v>
      </c>
      <c r="C48" s="216" t="s">
        <v>31</v>
      </c>
      <c r="D48" s="216" t="s">
        <v>31</v>
      </c>
      <c r="E48" s="216" t="s">
        <v>31</v>
      </c>
      <c r="F48" s="216" t="s">
        <v>31</v>
      </c>
      <c r="G48" s="216" t="s">
        <v>31</v>
      </c>
      <c r="H48" s="216" t="s">
        <v>31</v>
      </c>
      <c r="I48" s="216" t="s">
        <v>31</v>
      </c>
      <c r="J48" s="216" t="s">
        <v>31</v>
      </c>
      <c r="K48" s="216" t="s">
        <v>31</v>
      </c>
      <c r="L48" s="216" t="s">
        <v>31</v>
      </c>
      <c r="M48" s="216" t="s">
        <v>31</v>
      </c>
      <c r="N48" s="216" t="s">
        <v>31</v>
      </c>
      <c r="O48" s="216" t="s">
        <v>31</v>
      </c>
      <c r="P48" s="216" t="s">
        <v>31</v>
      </c>
      <c r="Q48" s="216" t="s">
        <v>31</v>
      </c>
      <c r="R48" s="198"/>
      <c r="S48" s="198"/>
      <c r="T48" s="198"/>
      <c r="U48" s="198"/>
    </row>
    <row r="49" spans="1:21" s="12" customFormat="1" x14ac:dyDescent="0.25">
      <c r="A49" s="211" t="s">
        <v>473</v>
      </c>
      <c r="B49" s="216" t="s">
        <v>31</v>
      </c>
      <c r="C49" s="216" t="s">
        <v>31</v>
      </c>
      <c r="D49" s="216" t="s">
        <v>31</v>
      </c>
      <c r="E49" s="216" t="s">
        <v>31</v>
      </c>
      <c r="F49" s="216" t="s">
        <v>31</v>
      </c>
      <c r="G49" s="216" t="s">
        <v>31</v>
      </c>
      <c r="H49" s="216" t="s">
        <v>31</v>
      </c>
      <c r="I49" s="216" t="s">
        <v>31</v>
      </c>
      <c r="J49" s="216" t="s">
        <v>31</v>
      </c>
      <c r="K49" s="216" t="s">
        <v>31</v>
      </c>
      <c r="L49" s="216" t="s">
        <v>31</v>
      </c>
      <c r="M49" s="216" t="s">
        <v>31</v>
      </c>
      <c r="N49" s="216" t="s">
        <v>31</v>
      </c>
      <c r="O49" s="216" t="s">
        <v>31</v>
      </c>
      <c r="P49" s="216" t="s">
        <v>31</v>
      </c>
      <c r="Q49" s="216" t="s">
        <v>31</v>
      </c>
      <c r="R49" s="198"/>
      <c r="S49" s="198"/>
      <c r="T49" s="198"/>
      <c r="U49" s="198"/>
    </row>
    <row r="50" spans="1:21" s="12" customFormat="1" x14ac:dyDescent="0.25">
      <c r="A50" s="211" t="s">
        <v>474</v>
      </c>
      <c r="B50" s="216" t="s">
        <v>31</v>
      </c>
      <c r="C50" s="216" t="s">
        <v>31</v>
      </c>
      <c r="D50" s="216" t="s">
        <v>31</v>
      </c>
      <c r="E50" s="216" t="s">
        <v>31</v>
      </c>
      <c r="F50" s="216" t="s">
        <v>31</v>
      </c>
      <c r="G50" s="216" t="s">
        <v>31</v>
      </c>
      <c r="H50" s="216" t="s">
        <v>31</v>
      </c>
      <c r="I50" s="216" t="s">
        <v>31</v>
      </c>
      <c r="J50" s="216" t="s">
        <v>31</v>
      </c>
      <c r="K50" s="216" t="s">
        <v>31</v>
      </c>
      <c r="L50" s="216" t="s">
        <v>31</v>
      </c>
      <c r="M50" s="216" t="s">
        <v>31</v>
      </c>
      <c r="N50" s="216" t="s">
        <v>31</v>
      </c>
      <c r="O50" s="216" t="s">
        <v>31</v>
      </c>
      <c r="P50" s="216" t="s">
        <v>31</v>
      </c>
      <c r="Q50" s="216" t="s">
        <v>31</v>
      </c>
      <c r="R50" s="198"/>
      <c r="S50" s="198"/>
      <c r="T50" s="198"/>
      <c r="U50" s="198"/>
    </row>
    <row r="51" spans="1:21" s="12" customFormat="1" x14ac:dyDescent="0.25">
      <c r="A51" s="211" t="s">
        <v>475</v>
      </c>
      <c r="B51" s="216" t="s">
        <v>31</v>
      </c>
      <c r="C51" s="216" t="s">
        <v>31</v>
      </c>
      <c r="D51" s="216" t="s">
        <v>31</v>
      </c>
      <c r="E51" s="216" t="s">
        <v>31</v>
      </c>
      <c r="F51" s="216" t="s">
        <v>31</v>
      </c>
      <c r="G51" s="216" t="s">
        <v>31</v>
      </c>
      <c r="H51" s="216" t="s">
        <v>31</v>
      </c>
      <c r="I51" s="216" t="s">
        <v>31</v>
      </c>
      <c r="J51" s="216" t="s">
        <v>31</v>
      </c>
      <c r="K51" s="216" t="s">
        <v>31</v>
      </c>
      <c r="L51" s="216" t="s">
        <v>31</v>
      </c>
      <c r="M51" s="216" t="s">
        <v>31</v>
      </c>
      <c r="N51" s="216" t="s">
        <v>31</v>
      </c>
      <c r="O51" s="216" t="s">
        <v>31</v>
      </c>
      <c r="P51" s="216" t="s">
        <v>31</v>
      </c>
      <c r="Q51" s="216" t="s">
        <v>31</v>
      </c>
      <c r="R51" s="198"/>
      <c r="S51" s="198"/>
      <c r="T51" s="198"/>
      <c r="U51" s="198"/>
    </row>
    <row r="52" spans="1:21" s="12" customFormat="1" x14ac:dyDescent="0.25">
      <c r="A52" s="211" t="s">
        <v>476</v>
      </c>
      <c r="B52" s="216" t="s">
        <v>31</v>
      </c>
      <c r="C52" s="216" t="s">
        <v>31</v>
      </c>
      <c r="D52" s="216" t="s">
        <v>31</v>
      </c>
      <c r="E52" s="216" t="s">
        <v>31</v>
      </c>
      <c r="F52" s="216" t="s">
        <v>31</v>
      </c>
      <c r="G52" s="216" t="s">
        <v>31</v>
      </c>
      <c r="H52" s="216" t="s">
        <v>31</v>
      </c>
      <c r="I52" s="216" t="s">
        <v>31</v>
      </c>
      <c r="J52" s="216" t="s">
        <v>31</v>
      </c>
      <c r="K52" s="216" t="s">
        <v>31</v>
      </c>
      <c r="L52" s="216" t="s">
        <v>31</v>
      </c>
      <c r="M52" s="216" t="s">
        <v>31</v>
      </c>
      <c r="N52" s="216" t="s">
        <v>31</v>
      </c>
      <c r="O52" s="216" t="s">
        <v>31</v>
      </c>
      <c r="P52" s="216" t="s">
        <v>31</v>
      </c>
      <c r="Q52" s="216" t="s">
        <v>31</v>
      </c>
      <c r="R52" s="198"/>
      <c r="S52" s="198"/>
      <c r="T52" s="198"/>
      <c r="U52" s="198"/>
    </row>
    <row r="53" spans="1:21" s="12" customFormat="1" x14ac:dyDescent="0.25">
      <c r="A53" s="211" t="s">
        <v>477</v>
      </c>
      <c r="B53" s="216" t="s">
        <v>31</v>
      </c>
      <c r="C53" s="216" t="s">
        <v>31</v>
      </c>
      <c r="D53" s="216" t="s">
        <v>31</v>
      </c>
      <c r="E53" s="216" t="s">
        <v>31</v>
      </c>
      <c r="F53" s="216" t="s">
        <v>31</v>
      </c>
      <c r="G53" s="216" t="s">
        <v>31</v>
      </c>
      <c r="H53" s="216" t="s">
        <v>31</v>
      </c>
      <c r="I53" s="216" t="s">
        <v>31</v>
      </c>
      <c r="J53" s="216" t="s">
        <v>31</v>
      </c>
      <c r="K53" s="216" t="s">
        <v>31</v>
      </c>
      <c r="L53" s="216" t="s">
        <v>31</v>
      </c>
      <c r="M53" s="216" t="s">
        <v>31</v>
      </c>
      <c r="N53" s="216" t="s">
        <v>31</v>
      </c>
      <c r="O53" s="216" t="s">
        <v>31</v>
      </c>
      <c r="P53" s="216" t="s">
        <v>31</v>
      </c>
      <c r="Q53" s="216" t="s">
        <v>31</v>
      </c>
      <c r="R53" s="198"/>
      <c r="S53" s="198"/>
      <c r="T53" s="198"/>
      <c r="U53" s="198"/>
    </row>
    <row r="54" spans="1:21" s="12" customFormat="1" x14ac:dyDescent="0.25">
      <c r="A54" s="211" t="s">
        <v>478</v>
      </c>
      <c r="B54" s="216" t="s">
        <v>31</v>
      </c>
      <c r="C54" s="216" t="s">
        <v>31</v>
      </c>
      <c r="D54" s="216" t="s">
        <v>31</v>
      </c>
      <c r="E54" s="216" t="s">
        <v>31</v>
      </c>
      <c r="F54" s="216" t="s">
        <v>31</v>
      </c>
      <c r="G54" s="216" t="s">
        <v>31</v>
      </c>
      <c r="H54" s="216" t="s">
        <v>31</v>
      </c>
      <c r="I54" s="216" t="s">
        <v>31</v>
      </c>
      <c r="J54" s="216" t="s">
        <v>31</v>
      </c>
      <c r="K54" s="216" t="s">
        <v>31</v>
      </c>
      <c r="L54" s="216" t="s">
        <v>31</v>
      </c>
      <c r="M54" s="216" t="s">
        <v>31</v>
      </c>
      <c r="N54" s="216" t="s">
        <v>31</v>
      </c>
      <c r="O54" s="216" t="s">
        <v>31</v>
      </c>
      <c r="P54" s="216" t="s">
        <v>31</v>
      </c>
      <c r="Q54" s="216" t="s">
        <v>31</v>
      </c>
      <c r="R54" s="198"/>
      <c r="S54" s="198"/>
      <c r="T54" s="198"/>
      <c r="U54" s="198"/>
    </row>
    <row r="55" spans="1:21" s="12" customFormat="1" x14ac:dyDescent="0.25">
      <c r="A55" s="211" t="s">
        <v>479</v>
      </c>
      <c r="B55" s="216" t="s">
        <v>31</v>
      </c>
      <c r="C55" s="216" t="s">
        <v>31</v>
      </c>
      <c r="D55" s="216" t="s">
        <v>31</v>
      </c>
      <c r="E55" s="216" t="s">
        <v>31</v>
      </c>
      <c r="F55" s="216" t="s">
        <v>31</v>
      </c>
      <c r="G55" s="216" t="s">
        <v>31</v>
      </c>
      <c r="H55" s="216" t="s">
        <v>31</v>
      </c>
      <c r="I55" s="216" t="s">
        <v>31</v>
      </c>
      <c r="J55" s="216" t="s">
        <v>31</v>
      </c>
      <c r="K55" s="216" t="s">
        <v>31</v>
      </c>
      <c r="L55" s="216" t="s">
        <v>31</v>
      </c>
      <c r="M55" s="216" t="s">
        <v>31</v>
      </c>
      <c r="N55" s="216" t="s">
        <v>31</v>
      </c>
      <c r="O55" s="216" t="s">
        <v>31</v>
      </c>
      <c r="P55" s="216" t="s">
        <v>31</v>
      </c>
      <c r="Q55" s="216" t="s">
        <v>31</v>
      </c>
      <c r="R55" s="198"/>
      <c r="S55" s="198"/>
      <c r="T55" s="198"/>
      <c r="U55" s="198"/>
    </row>
    <row r="56" spans="1:21" s="12" customFormat="1" x14ac:dyDescent="0.25">
      <c r="A56" s="211" t="s">
        <v>480</v>
      </c>
      <c r="B56" s="216" t="s">
        <v>31</v>
      </c>
      <c r="C56" s="216" t="s">
        <v>31</v>
      </c>
      <c r="D56" s="216" t="s">
        <v>31</v>
      </c>
      <c r="E56" s="216" t="s">
        <v>31</v>
      </c>
      <c r="F56" s="216" t="s">
        <v>31</v>
      </c>
      <c r="G56" s="216" t="s">
        <v>31</v>
      </c>
      <c r="H56" s="216" t="s">
        <v>31</v>
      </c>
      <c r="I56" s="216" t="s">
        <v>31</v>
      </c>
      <c r="J56" s="216" t="s">
        <v>31</v>
      </c>
      <c r="K56" s="216" t="s">
        <v>31</v>
      </c>
      <c r="L56" s="216" t="s">
        <v>31</v>
      </c>
      <c r="M56" s="216" t="s">
        <v>31</v>
      </c>
      <c r="N56" s="216" t="s">
        <v>31</v>
      </c>
      <c r="O56" s="216" t="s">
        <v>31</v>
      </c>
      <c r="P56" s="216" t="s">
        <v>31</v>
      </c>
      <c r="Q56" s="216" t="s">
        <v>31</v>
      </c>
      <c r="R56" s="198"/>
      <c r="S56" s="198"/>
      <c r="T56" s="198"/>
      <c r="U56" s="198"/>
    </row>
    <row r="57" spans="1:21" s="12" customFormat="1" x14ac:dyDescent="0.25">
      <c r="A57" s="211" t="s">
        <v>481</v>
      </c>
      <c r="B57" s="216" t="s">
        <v>31</v>
      </c>
      <c r="C57" s="216" t="s">
        <v>31</v>
      </c>
      <c r="D57" s="216" t="s">
        <v>31</v>
      </c>
      <c r="E57" s="216" t="s">
        <v>31</v>
      </c>
      <c r="F57" s="216" t="s">
        <v>31</v>
      </c>
      <c r="G57" s="216" t="s">
        <v>31</v>
      </c>
      <c r="H57" s="216" t="s">
        <v>31</v>
      </c>
      <c r="I57" s="216" t="s">
        <v>31</v>
      </c>
      <c r="J57" s="216" t="s">
        <v>31</v>
      </c>
      <c r="K57" s="216" t="s">
        <v>31</v>
      </c>
      <c r="L57" s="216" t="s">
        <v>31</v>
      </c>
      <c r="M57" s="216" t="s">
        <v>31</v>
      </c>
      <c r="N57" s="216" t="s">
        <v>31</v>
      </c>
      <c r="O57" s="216" t="s">
        <v>31</v>
      </c>
      <c r="P57" s="216" t="s">
        <v>31</v>
      </c>
      <c r="Q57" s="216" t="s">
        <v>31</v>
      </c>
      <c r="R57" s="198"/>
      <c r="S57" s="198"/>
      <c r="T57" s="198"/>
      <c r="U57" s="198"/>
    </row>
    <row r="58" spans="1:21" s="12" customFormat="1" x14ac:dyDescent="0.25">
      <c r="A58" s="211" t="s">
        <v>482</v>
      </c>
      <c r="B58" s="216" t="s">
        <v>31</v>
      </c>
      <c r="C58" s="216" t="s">
        <v>31</v>
      </c>
      <c r="D58" s="216" t="s">
        <v>31</v>
      </c>
      <c r="E58" s="216" t="s">
        <v>31</v>
      </c>
      <c r="F58" s="216" t="s">
        <v>31</v>
      </c>
      <c r="G58" s="216" t="s">
        <v>31</v>
      </c>
      <c r="H58" s="216" t="s">
        <v>31</v>
      </c>
      <c r="I58" s="216" t="s">
        <v>31</v>
      </c>
      <c r="J58" s="216" t="s">
        <v>31</v>
      </c>
      <c r="K58" s="216" t="s">
        <v>31</v>
      </c>
      <c r="L58" s="216" t="s">
        <v>31</v>
      </c>
      <c r="M58" s="216" t="s">
        <v>31</v>
      </c>
      <c r="N58" s="216" t="s">
        <v>31</v>
      </c>
      <c r="O58" s="216" t="s">
        <v>31</v>
      </c>
      <c r="P58" s="216" t="s">
        <v>31</v>
      </c>
      <c r="Q58" s="216" t="s">
        <v>31</v>
      </c>
      <c r="R58" s="198"/>
      <c r="S58" s="198"/>
      <c r="T58" s="198"/>
      <c r="U58" s="198"/>
    </row>
    <row r="59" spans="1:21" s="12" customFormat="1" x14ac:dyDescent="0.25">
      <c r="A59" s="211" t="s">
        <v>483</v>
      </c>
      <c r="B59" s="216" t="s">
        <v>31</v>
      </c>
      <c r="C59" s="216" t="s">
        <v>31</v>
      </c>
      <c r="D59" s="216" t="s">
        <v>31</v>
      </c>
      <c r="E59" s="216" t="s">
        <v>31</v>
      </c>
      <c r="F59" s="216" t="s">
        <v>31</v>
      </c>
      <c r="G59" s="216" t="s">
        <v>31</v>
      </c>
      <c r="H59" s="216" t="s">
        <v>31</v>
      </c>
      <c r="I59" s="216" t="s">
        <v>31</v>
      </c>
      <c r="J59" s="216" t="s">
        <v>31</v>
      </c>
      <c r="K59" s="216" t="s">
        <v>31</v>
      </c>
      <c r="L59" s="216" t="s">
        <v>31</v>
      </c>
      <c r="M59" s="216" t="s">
        <v>31</v>
      </c>
      <c r="N59" s="216" t="s">
        <v>31</v>
      </c>
      <c r="O59" s="216" t="s">
        <v>31</v>
      </c>
      <c r="P59" s="216" t="s">
        <v>31</v>
      </c>
      <c r="Q59" s="216" t="s">
        <v>31</v>
      </c>
      <c r="R59" s="198"/>
      <c r="S59" s="198"/>
      <c r="T59" s="198"/>
      <c r="U59" s="198"/>
    </row>
    <row r="60" spans="1:21" s="12" customFormat="1" x14ac:dyDescent="0.25">
      <c r="A60" s="211" t="s">
        <v>484</v>
      </c>
      <c r="B60" s="216" t="s">
        <v>31</v>
      </c>
      <c r="C60" s="216" t="s">
        <v>31</v>
      </c>
      <c r="D60" s="216" t="s">
        <v>31</v>
      </c>
      <c r="E60" s="216" t="s">
        <v>31</v>
      </c>
      <c r="F60" s="216" t="s">
        <v>31</v>
      </c>
      <c r="G60" s="216" t="s">
        <v>31</v>
      </c>
      <c r="H60" s="216" t="s">
        <v>31</v>
      </c>
      <c r="I60" s="216" t="s">
        <v>31</v>
      </c>
      <c r="J60" s="216" t="s">
        <v>31</v>
      </c>
      <c r="K60" s="216" t="s">
        <v>31</v>
      </c>
      <c r="L60" s="216" t="s">
        <v>31</v>
      </c>
      <c r="M60" s="216" t="s">
        <v>31</v>
      </c>
      <c r="N60" s="216" t="s">
        <v>31</v>
      </c>
      <c r="O60" s="216" t="s">
        <v>31</v>
      </c>
      <c r="P60" s="216" t="s">
        <v>31</v>
      </c>
      <c r="Q60" s="216" t="s">
        <v>31</v>
      </c>
      <c r="R60" s="198"/>
      <c r="S60" s="198"/>
      <c r="T60" s="198"/>
      <c r="U60" s="198"/>
    </row>
    <row r="61" spans="1:21" s="12" customFormat="1" x14ac:dyDescent="0.25">
      <c r="A61" s="211" t="s">
        <v>485</v>
      </c>
      <c r="B61" s="216" t="s">
        <v>31</v>
      </c>
      <c r="C61" s="216" t="s">
        <v>31</v>
      </c>
      <c r="D61" s="216" t="s">
        <v>31</v>
      </c>
      <c r="E61" s="216" t="s">
        <v>31</v>
      </c>
      <c r="F61" s="216" t="s">
        <v>31</v>
      </c>
      <c r="G61" s="216" t="s">
        <v>31</v>
      </c>
      <c r="H61" s="216" t="s">
        <v>31</v>
      </c>
      <c r="I61" s="216" t="s">
        <v>31</v>
      </c>
      <c r="J61" s="216" t="s">
        <v>31</v>
      </c>
      <c r="K61" s="216" t="s">
        <v>31</v>
      </c>
      <c r="L61" s="216" t="s">
        <v>31</v>
      </c>
      <c r="M61" s="216" t="s">
        <v>31</v>
      </c>
      <c r="N61" s="216" t="s">
        <v>31</v>
      </c>
      <c r="O61" s="216" t="s">
        <v>31</v>
      </c>
      <c r="P61" s="216" t="s">
        <v>31</v>
      </c>
      <c r="Q61" s="216" t="s">
        <v>31</v>
      </c>
      <c r="R61" s="198"/>
      <c r="S61" s="198"/>
      <c r="T61" s="198"/>
      <c r="U61" s="198"/>
    </row>
    <row r="62" spans="1:21" s="12" customFormat="1" x14ac:dyDescent="0.25">
      <c r="A62" s="211" t="s">
        <v>486</v>
      </c>
      <c r="B62" s="216" t="s">
        <v>31</v>
      </c>
      <c r="C62" s="216" t="s">
        <v>31</v>
      </c>
      <c r="D62" s="216" t="s">
        <v>31</v>
      </c>
      <c r="E62" s="216" t="s">
        <v>31</v>
      </c>
      <c r="F62" s="216" t="s">
        <v>31</v>
      </c>
      <c r="G62" s="216" t="s">
        <v>31</v>
      </c>
      <c r="H62" s="216" t="s">
        <v>31</v>
      </c>
      <c r="I62" s="216" t="s">
        <v>31</v>
      </c>
      <c r="J62" s="216" t="s">
        <v>31</v>
      </c>
      <c r="K62" s="216" t="s">
        <v>31</v>
      </c>
      <c r="L62" s="216" t="s">
        <v>31</v>
      </c>
      <c r="M62" s="216" t="s">
        <v>31</v>
      </c>
      <c r="N62" s="216" t="s">
        <v>31</v>
      </c>
      <c r="O62" s="216" t="s">
        <v>31</v>
      </c>
      <c r="P62" s="216" t="s">
        <v>31</v>
      </c>
      <c r="Q62" s="216" t="s">
        <v>31</v>
      </c>
      <c r="R62" s="198"/>
      <c r="S62" s="198"/>
      <c r="T62" s="198"/>
      <c r="U62" s="198"/>
    </row>
    <row r="63" spans="1:21" s="12" customFormat="1" x14ac:dyDescent="0.25">
      <c r="A63" s="211" t="s">
        <v>487</v>
      </c>
      <c r="B63" s="216" t="s">
        <v>31</v>
      </c>
      <c r="C63" s="216" t="s">
        <v>31</v>
      </c>
      <c r="D63" s="216" t="s">
        <v>31</v>
      </c>
      <c r="E63" s="216" t="s">
        <v>31</v>
      </c>
      <c r="F63" s="216" t="s">
        <v>31</v>
      </c>
      <c r="G63" s="216" t="s">
        <v>31</v>
      </c>
      <c r="H63" s="216" t="s">
        <v>31</v>
      </c>
      <c r="I63" s="216" t="s">
        <v>31</v>
      </c>
      <c r="J63" s="216" t="s">
        <v>31</v>
      </c>
      <c r="K63" s="216" t="s">
        <v>31</v>
      </c>
      <c r="L63" s="216" t="s">
        <v>31</v>
      </c>
      <c r="M63" s="216" t="s">
        <v>31</v>
      </c>
      <c r="N63" s="216" t="s">
        <v>31</v>
      </c>
      <c r="O63" s="216" t="s">
        <v>31</v>
      </c>
      <c r="P63" s="216" t="s">
        <v>31</v>
      </c>
      <c r="Q63" s="216" t="s">
        <v>31</v>
      </c>
      <c r="R63" s="198"/>
      <c r="S63" s="198"/>
      <c r="T63" s="198"/>
      <c r="U63" s="198"/>
    </row>
    <row r="64" spans="1:21" s="12" customFormat="1" x14ac:dyDescent="0.25">
      <c r="A64" s="211" t="s">
        <v>488</v>
      </c>
      <c r="B64" s="216" t="s">
        <v>31</v>
      </c>
      <c r="C64" s="216" t="s">
        <v>31</v>
      </c>
      <c r="D64" s="216" t="s">
        <v>31</v>
      </c>
      <c r="E64" s="216" t="s">
        <v>31</v>
      </c>
      <c r="F64" s="216" t="s">
        <v>31</v>
      </c>
      <c r="G64" s="216" t="s">
        <v>31</v>
      </c>
      <c r="H64" s="216" t="s">
        <v>31</v>
      </c>
      <c r="I64" s="216" t="s">
        <v>31</v>
      </c>
      <c r="J64" s="216" t="s">
        <v>31</v>
      </c>
      <c r="K64" s="216" t="s">
        <v>31</v>
      </c>
      <c r="L64" s="216" t="s">
        <v>31</v>
      </c>
      <c r="M64" s="216" t="s">
        <v>31</v>
      </c>
      <c r="N64" s="216" t="s">
        <v>31</v>
      </c>
      <c r="O64" s="216" t="s">
        <v>31</v>
      </c>
      <c r="P64" s="216" t="s">
        <v>31</v>
      </c>
      <c r="Q64" s="216" t="s">
        <v>31</v>
      </c>
      <c r="R64" s="198"/>
      <c r="S64" s="198"/>
      <c r="T64" s="198"/>
      <c r="U64" s="198"/>
    </row>
    <row r="65" spans="1:21" s="12" customFormat="1" x14ac:dyDescent="0.25">
      <c r="A65" s="211" t="s">
        <v>489</v>
      </c>
      <c r="B65" s="216" t="s">
        <v>31</v>
      </c>
      <c r="C65" s="216" t="s">
        <v>31</v>
      </c>
      <c r="D65" s="216" t="s">
        <v>31</v>
      </c>
      <c r="E65" s="216" t="s">
        <v>31</v>
      </c>
      <c r="F65" s="216" t="s">
        <v>31</v>
      </c>
      <c r="G65" s="216" t="s">
        <v>31</v>
      </c>
      <c r="H65" s="216" t="s">
        <v>31</v>
      </c>
      <c r="I65" s="216" t="s">
        <v>31</v>
      </c>
      <c r="J65" s="216" t="s">
        <v>31</v>
      </c>
      <c r="K65" s="216" t="s">
        <v>31</v>
      </c>
      <c r="L65" s="216" t="s">
        <v>31</v>
      </c>
      <c r="M65" s="216" t="s">
        <v>31</v>
      </c>
      <c r="N65" s="216" t="s">
        <v>31</v>
      </c>
      <c r="O65" s="216" t="s">
        <v>31</v>
      </c>
      <c r="P65" s="216" t="s">
        <v>31</v>
      </c>
      <c r="Q65" s="216" t="s">
        <v>31</v>
      </c>
      <c r="R65" s="198"/>
      <c r="S65" s="198"/>
      <c r="T65" s="198"/>
      <c r="U65" s="198"/>
    </row>
    <row r="66" spans="1:21" s="12" customFormat="1" x14ac:dyDescent="0.25">
      <c r="A66" s="211" t="s">
        <v>490</v>
      </c>
      <c r="B66" s="216" t="s">
        <v>31</v>
      </c>
      <c r="C66" s="216" t="s">
        <v>31</v>
      </c>
      <c r="D66" s="216" t="s">
        <v>31</v>
      </c>
      <c r="E66" s="216" t="s">
        <v>31</v>
      </c>
      <c r="F66" s="216" t="s">
        <v>31</v>
      </c>
      <c r="G66" s="216" t="s">
        <v>31</v>
      </c>
      <c r="H66" s="216" t="s">
        <v>31</v>
      </c>
      <c r="I66" s="216" t="s">
        <v>31</v>
      </c>
      <c r="J66" s="216" t="s">
        <v>31</v>
      </c>
      <c r="K66" s="216" t="s">
        <v>31</v>
      </c>
      <c r="L66" s="216" t="s">
        <v>31</v>
      </c>
      <c r="M66" s="216" t="s">
        <v>31</v>
      </c>
      <c r="N66" s="216" t="s">
        <v>31</v>
      </c>
      <c r="O66" s="216" t="s">
        <v>31</v>
      </c>
      <c r="P66" s="216" t="s">
        <v>31</v>
      </c>
      <c r="Q66" s="216" t="s">
        <v>31</v>
      </c>
      <c r="R66" s="198"/>
      <c r="S66" s="198"/>
      <c r="T66" s="198"/>
      <c r="U66" s="198"/>
    </row>
    <row r="67" spans="1:21" s="12" customFormat="1" x14ac:dyDescent="0.25">
      <c r="A67" s="211" t="s">
        <v>491</v>
      </c>
      <c r="B67" s="216" t="s">
        <v>31</v>
      </c>
      <c r="C67" s="216" t="s">
        <v>31</v>
      </c>
      <c r="D67" s="216" t="s">
        <v>31</v>
      </c>
      <c r="E67" s="216" t="s">
        <v>31</v>
      </c>
      <c r="F67" s="216" t="s">
        <v>31</v>
      </c>
      <c r="G67" s="216" t="s">
        <v>31</v>
      </c>
      <c r="H67" s="216" t="s">
        <v>31</v>
      </c>
      <c r="I67" s="216" t="s">
        <v>31</v>
      </c>
      <c r="J67" s="216" t="s">
        <v>31</v>
      </c>
      <c r="K67" s="216" t="s">
        <v>31</v>
      </c>
      <c r="L67" s="216" t="s">
        <v>31</v>
      </c>
      <c r="M67" s="216" t="s">
        <v>31</v>
      </c>
      <c r="N67" s="216" t="s">
        <v>31</v>
      </c>
      <c r="O67" s="216" t="s">
        <v>31</v>
      </c>
      <c r="P67" s="216" t="s">
        <v>31</v>
      </c>
      <c r="Q67" s="216" t="s">
        <v>31</v>
      </c>
      <c r="R67" s="198"/>
      <c r="S67" s="198"/>
      <c r="T67" s="198"/>
      <c r="U67" s="198"/>
    </row>
    <row r="68" spans="1:21" s="12" customFormat="1" x14ac:dyDescent="0.25">
      <c r="A68" s="211" t="s">
        <v>492</v>
      </c>
      <c r="B68" s="216" t="s">
        <v>31</v>
      </c>
      <c r="C68" s="216" t="s">
        <v>31</v>
      </c>
      <c r="D68" s="216" t="s">
        <v>31</v>
      </c>
      <c r="E68" s="216" t="s">
        <v>31</v>
      </c>
      <c r="F68" s="216" t="s">
        <v>31</v>
      </c>
      <c r="G68" s="216" t="s">
        <v>31</v>
      </c>
      <c r="H68" s="216" t="s">
        <v>31</v>
      </c>
      <c r="I68" s="216" t="s">
        <v>31</v>
      </c>
      <c r="J68" s="216" t="s">
        <v>31</v>
      </c>
      <c r="K68" s="216" t="s">
        <v>31</v>
      </c>
      <c r="L68" s="216" t="s">
        <v>31</v>
      </c>
      <c r="M68" s="216" t="s">
        <v>31</v>
      </c>
      <c r="N68" s="216" t="s">
        <v>31</v>
      </c>
      <c r="O68" s="216" t="s">
        <v>31</v>
      </c>
      <c r="P68" s="216" t="s">
        <v>31</v>
      </c>
      <c r="Q68" s="216" t="s">
        <v>31</v>
      </c>
      <c r="R68" s="198"/>
      <c r="S68" s="198"/>
      <c r="T68" s="198"/>
      <c r="U68" s="198"/>
    </row>
    <row r="69" spans="1:21" s="12" customFormat="1" x14ac:dyDescent="0.25">
      <c r="A69" s="211" t="s">
        <v>493</v>
      </c>
      <c r="B69" s="216" t="s">
        <v>31</v>
      </c>
      <c r="C69" s="216" t="s">
        <v>31</v>
      </c>
      <c r="D69" s="216" t="s">
        <v>31</v>
      </c>
      <c r="E69" s="216" t="s">
        <v>31</v>
      </c>
      <c r="F69" s="216" t="s">
        <v>31</v>
      </c>
      <c r="G69" s="216" t="s">
        <v>31</v>
      </c>
      <c r="H69" s="216" t="s">
        <v>31</v>
      </c>
      <c r="I69" s="216" t="s">
        <v>31</v>
      </c>
      <c r="J69" s="216" t="s">
        <v>31</v>
      </c>
      <c r="K69" s="216" t="s">
        <v>31</v>
      </c>
      <c r="L69" s="216" t="s">
        <v>31</v>
      </c>
      <c r="M69" s="216" t="s">
        <v>31</v>
      </c>
      <c r="N69" s="216" t="s">
        <v>31</v>
      </c>
      <c r="O69" s="216" t="s">
        <v>31</v>
      </c>
      <c r="P69" s="216" t="s">
        <v>31</v>
      </c>
      <c r="Q69" s="216" t="s">
        <v>31</v>
      </c>
      <c r="R69" s="198"/>
      <c r="S69" s="198"/>
      <c r="T69" s="198"/>
      <c r="U69" s="198"/>
    </row>
    <row r="70" spans="1:21" s="12" customFormat="1" x14ac:dyDescent="0.25">
      <c r="A70" s="211" t="s">
        <v>494</v>
      </c>
      <c r="B70" s="216" t="s">
        <v>31</v>
      </c>
      <c r="C70" s="216" t="s">
        <v>31</v>
      </c>
      <c r="D70" s="216" t="s">
        <v>31</v>
      </c>
      <c r="E70" s="216" t="s">
        <v>31</v>
      </c>
      <c r="F70" s="216" t="s">
        <v>31</v>
      </c>
      <c r="G70" s="216" t="s">
        <v>31</v>
      </c>
      <c r="H70" s="216" t="s">
        <v>31</v>
      </c>
      <c r="I70" s="216" t="s">
        <v>31</v>
      </c>
      <c r="J70" s="216" t="s">
        <v>31</v>
      </c>
      <c r="K70" s="216" t="s">
        <v>31</v>
      </c>
      <c r="L70" s="216" t="s">
        <v>31</v>
      </c>
      <c r="M70" s="216" t="s">
        <v>31</v>
      </c>
      <c r="N70" s="216" t="s">
        <v>31</v>
      </c>
      <c r="O70" s="216" t="s">
        <v>31</v>
      </c>
      <c r="P70" s="216" t="s">
        <v>31</v>
      </c>
      <c r="Q70" s="216" t="s">
        <v>31</v>
      </c>
      <c r="R70" s="198"/>
      <c r="S70" s="198"/>
      <c r="T70" s="198"/>
      <c r="U70" s="198"/>
    </row>
    <row r="71" spans="1:21" s="12" customFormat="1" x14ac:dyDescent="0.25">
      <c r="A71" s="211" t="s">
        <v>495</v>
      </c>
      <c r="B71" s="216" t="s">
        <v>31</v>
      </c>
      <c r="C71" s="216" t="s">
        <v>31</v>
      </c>
      <c r="D71" s="216" t="s">
        <v>31</v>
      </c>
      <c r="E71" s="216" t="s">
        <v>31</v>
      </c>
      <c r="F71" s="216" t="s">
        <v>31</v>
      </c>
      <c r="G71" s="216" t="s">
        <v>31</v>
      </c>
      <c r="H71" s="216" t="s">
        <v>31</v>
      </c>
      <c r="I71" s="216" t="s">
        <v>31</v>
      </c>
      <c r="J71" s="216" t="s">
        <v>31</v>
      </c>
      <c r="K71" s="216" t="s">
        <v>31</v>
      </c>
      <c r="L71" s="216" t="s">
        <v>31</v>
      </c>
      <c r="M71" s="216" t="s">
        <v>31</v>
      </c>
      <c r="N71" s="216" t="s">
        <v>31</v>
      </c>
      <c r="O71" s="216" t="s">
        <v>31</v>
      </c>
      <c r="P71" s="216" t="s">
        <v>31</v>
      </c>
      <c r="Q71" s="216" t="s">
        <v>31</v>
      </c>
      <c r="R71" s="198"/>
      <c r="S71" s="198"/>
      <c r="T71" s="198"/>
      <c r="U71" s="198"/>
    </row>
    <row r="72" spans="1:21" s="12" customFormat="1" x14ac:dyDescent="0.25">
      <c r="A72" s="211" t="s">
        <v>496</v>
      </c>
      <c r="B72" s="216" t="s">
        <v>31</v>
      </c>
      <c r="C72" s="216" t="s">
        <v>31</v>
      </c>
      <c r="D72" s="216" t="s">
        <v>31</v>
      </c>
      <c r="E72" s="216" t="s">
        <v>31</v>
      </c>
      <c r="F72" s="216" t="s">
        <v>31</v>
      </c>
      <c r="G72" s="216" t="s">
        <v>31</v>
      </c>
      <c r="H72" s="216" t="s">
        <v>31</v>
      </c>
      <c r="I72" s="216" t="s">
        <v>31</v>
      </c>
      <c r="J72" s="216" t="s">
        <v>31</v>
      </c>
      <c r="K72" s="216" t="s">
        <v>31</v>
      </c>
      <c r="L72" s="216" t="s">
        <v>31</v>
      </c>
      <c r="M72" s="216" t="s">
        <v>31</v>
      </c>
      <c r="N72" s="216" t="s">
        <v>31</v>
      </c>
      <c r="O72" s="216" t="s">
        <v>31</v>
      </c>
      <c r="P72" s="216" t="s">
        <v>31</v>
      </c>
      <c r="Q72" s="216" t="s">
        <v>31</v>
      </c>
      <c r="R72" s="198"/>
      <c r="S72" s="198"/>
      <c r="T72" s="198"/>
      <c r="U72" s="198"/>
    </row>
    <row r="73" spans="1:21" s="12" customFormat="1" x14ac:dyDescent="0.25">
      <c r="A73" s="211" t="s">
        <v>497</v>
      </c>
      <c r="B73" s="216" t="s">
        <v>31</v>
      </c>
      <c r="C73" s="216" t="s">
        <v>31</v>
      </c>
      <c r="D73" s="216" t="s">
        <v>31</v>
      </c>
      <c r="E73" s="216" t="s">
        <v>31</v>
      </c>
      <c r="F73" s="216" t="s">
        <v>31</v>
      </c>
      <c r="G73" s="216" t="s">
        <v>31</v>
      </c>
      <c r="H73" s="216" t="s">
        <v>31</v>
      </c>
      <c r="I73" s="216" t="s">
        <v>31</v>
      </c>
      <c r="J73" s="216" t="s">
        <v>31</v>
      </c>
      <c r="K73" s="216" t="s">
        <v>31</v>
      </c>
      <c r="L73" s="216" t="s">
        <v>31</v>
      </c>
      <c r="M73" s="216" t="s">
        <v>31</v>
      </c>
      <c r="N73" s="216" t="s">
        <v>31</v>
      </c>
      <c r="O73" s="216" t="s">
        <v>31</v>
      </c>
      <c r="P73" s="216" t="s">
        <v>31</v>
      </c>
      <c r="Q73" s="216" t="s">
        <v>31</v>
      </c>
      <c r="R73" s="198"/>
      <c r="S73" s="198"/>
      <c r="T73" s="198"/>
      <c r="U73" s="198"/>
    </row>
    <row r="74" spans="1:21" s="12" customFormat="1" x14ac:dyDescent="0.25">
      <c r="A74" s="211" t="s">
        <v>498</v>
      </c>
      <c r="B74" s="216" t="s">
        <v>31</v>
      </c>
      <c r="C74" s="216" t="s">
        <v>31</v>
      </c>
      <c r="D74" s="216" t="s">
        <v>31</v>
      </c>
      <c r="E74" s="216" t="s">
        <v>31</v>
      </c>
      <c r="F74" s="216" t="s">
        <v>31</v>
      </c>
      <c r="G74" s="216" t="s">
        <v>31</v>
      </c>
      <c r="H74" s="216" t="s">
        <v>31</v>
      </c>
      <c r="I74" s="216" t="s">
        <v>31</v>
      </c>
      <c r="J74" s="216" t="s">
        <v>31</v>
      </c>
      <c r="K74" s="216" t="s">
        <v>31</v>
      </c>
      <c r="L74" s="216" t="s">
        <v>31</v>
      </c>
      <c r="M74" s="216" t="s">
        <v>31</v>
      </c>
      <c r="N74" s="216" t="s">
        <v>31</v>
      </c>
      <c r="O74" s="216" t="s">
        <v>31</v>
      </c>
      <c r="P74" s="216" t="s">
        <v>31</v>
      </c>
      <c r="Q74" s="216" t="s">
        <v>31</v>
      </c>
      <c r="R74" s="198"/>
      <c r="S74" s="198"/>
      <c r="T74" s="198"/>
      <c r="U74" s="198"/>
    </row>
    <row r="75" spans="1:21" s="12" customFormat="1" x14ac:dyDescent="0.25">
      <c r="A75" s="211" t="s">
        <v>499</v>
      </c>
      <c r="B75" s="216" t="s">
        <v>31</v>
      </c>
      <c r="C75" s="216" t="s">
        <v>31</v>
      </c>
      <c r="D75" s="216" t="s">
        <v>31</v>
      </c>
      <c r="E75" s="216" t="s">
        <v>31</v>
      </c>
      <c r="F75" s="216" t="s">
        <v>31</v>
      </c>
      <c r="G75" s="216" t="s">
        <v>31</v>
      </c>
      <c r="H75" s="216" t="s">
        <v>31</v>
      </c>
      <c r="I75" s="216" t="s">
        <v>31</v>
      </c>
      <c r="J75" s="216" t="s">
        <v>31</v>
      </c>
      <c r="K75" s="216" t="s">
        <v>31</v>
      </c>
      <c r="L75" s="216" t="s">
        <v>31</v>
      </c>
      <c r="M75" s="216" t="s">
        <v>31</v>
      </c>
      <c r="N75" s="216" t="s">
        <v>31</v>
      </c>
      <c r="O75" s="216" t="s">
        <v>31</v>
      </c>
      <c r="P75" s="216" t="s">
        <v>31</v>
      </c>
      <c r="Q75" s="216" t="s">
        <v>31</v>
      </c>
      <c r="R75" s="198"/>
      <c r="S75" s="198"/>
      <c r="T75" s="198"/>
      <c r="U75" s="198"/>
    </row>
    <row r="76" spans="1:21" s="12" customFormat="1" x14ac:dyDescent="0.25">
      <c r="A76" s="211" t="s">
        <v>500</v>
      </c>
      <c r="B76" s="216" t="s">
        <v>31</v>
      </c>
      <c r="C76" s="216" t="s">
        <v>31</v>
      </c>
      <c r="D76" s="216" t="s">
        <v>31</v>
      </c>
      <c r="E76" s="216" t="s">
        <v>31</v>
      </c>
      <c r="F76" s="216" t="s">
        <v>31</v>
      </c>
      <c r="G76" s="216" t="s">
        <v>31</v>
      </c>
      <c r="H76" s="216" t="s">
        <v>31</v>
      </c>
      <c r="I76" s="216" t="s">
        <v>31</v>
      </c>
      <c r="J76" s="216" t="s">
        <v>31</v>
      </c>
      <c r="K76" s="216" t="s">
        <v>31</v>
      </c>
      <c r="L76" s="216" t="s">
        <v>31</v>
      </c>
      <c r="M76" s="216" t="s">
        <v>31</v>
      </c>
      <c r="N76" s="216" t="s">
        <v>31</v>
      </c>
      <c r="O76" s="216" t="s">
        <v>31</v>
      </c>
      <c r="P76" s="216" t="s">
        <v>31</v>
      </c>
      <c r="Q76" s="216" t="s">
        <v>31</v>
      </c>
      <c r="R76" s="198"/>
      <c r="S76" s="198"/>
      <c r="T76" s="198"/>
      <c r="U76" s="198"/>
    </row>
    <row r="77" spans="1:21" s="12" customFormat="1" x14ac:dyDescent="0.25">
      <c r="A77" s="211" t="s">
        <v>501</v>
      </c>
      <c r="B77" s="216" t="s">
        <v>31</v>
      </c>
      <c r="C77" s="216" t="s">
        <v>31</v>
      </c>
      <c r="D77" s="216" t="s">
        <v>31</v>
      </c>
      <c r="E77" s="216" t="s">
        <v>31</v>
      </c>
      <c r="F77" s="216" t="s">
        <v>31</v>
      </c>
      <c r="G77" s="216" t="s">
        <v>31</v>
      </c>
      <c r="H77" s="216" t="s">
        <v>31</v>
      </c>
      <c r="I77" s="216" t="s">
        <v>31</v>
      </c>
      <c r="J77" s="216" t="s">
        <v>31</v>
      </c>
      <c r="K77" s="216" t="s">
        <v>31</v>
      </c>
      <c r="L77" s="216" t="s">
        <v>31</v>
      </c>
      <c r="M77" s="216" t="s">
        <v>31</v>
      </c>
      <c r="N77" s="216" t="s">
        <v>31</v>
      </c>
      <c r="O77" s="216" t="s">
        <v>31</v>
      </c>
      <c r="P77" s="216" t="s">
        <v>31</v>
      </c>
      <c r="Q77" s="216" t="s">
        <v>31</v>
      </c>
      <c r="R77" s="198"/>
      <c r="S77" s="198"/>
      <c r="T77" s="198"/>
      <c r="U77" s="198"/>
    </row>
    <row r="78" spans="1:21" s="12" customFormat="1" x14ac:dyDescent="0.25">
      <c r="A78" s="211" t="s">
        <v>502</v>
      </c>
      <c r="B78" s="216" t="s">
        <v>31</v>
      </c>
      <c r="C78" s="216" t="s">
        <v>31</v>
      </c>
      <c r="D78" s="216" t="s">
        <v>31</v>
      </c>
      <c r="E78" s="216" t="s">
        <v>31</v>
      </c>
      <c r="F78" s="216" t="s">
        <v>31</v>
      </c>
      <c r="G78" s="216" t="s">
        <v>31</v>
      </c>
      <c r="H78" s="216" t="s">
        <v>31</v>
      </c>
      <c r="I78" s="216" t="s">
        <v>31</v>
      </c>
      <c r="J78" s="216" t="s">
        <v>31</v>
      </c>
      <c r="K78" s="216" t="s">
        <v>31</v>
      </c>
      <c r="L78" s="216" t="s">
        <v>31</v>
      </c>
      <c r="M78" s="216" t="s">
        <v>31</v>
      </c>
      <c r="N78" s="216" t="s">
        <v>31</v>
      </c>
      <c r="O78" s="216" t="s">
        <v>31</v>
      </c>
      <c r="P78" s="216" t="s">
        <v>31</v>
      </c>
      <c r="Q78" s="216" t="s">
        <v>31</v>
      </c>
      <c r="R78" s="198"/>
      <c r="S78" s="198"/>
      <c r="T78" s="198"/>
      <c r="U78" s="198"/>
    </row>
    <row r="79" spans="1:21" s="12" customFormat="1" x14ac:dyDescent="0.25">
      <c r="A79" s="211" t="s">
        <v>503</v>
      </c>
      <c r="B79" s="216" t="s">
        <v>31</v>
      </c>
      <c r="C79" s="216" t="s">
        <v>31</v>
      </c>
      <c r="D79" s="216" t="s">
        <v>31</v>
      </c>
      <c r="E79" s="216" t="s">
        <v>31</v>
      </c>
      <c r="F79" s="216" t="s">
        <v>31</v>
      </c>
      <c r="G79" s="216" t="s">
        <v>31</v>
      </c>
      <c r="H79" s="216" t="s">
        <v>31</v>
      </c>
      <c r="I79" s="216" t="s">
        <v>31</v>
      </c>
      <c r="J79" s="216" t="s">
        <v>31</v>
      </c>
      <c r="K79" s="216" t="s">
        <v>31</v>
      </c>
      <c r="L79" s="216" t="s">
        <v>31</v>
      </c>
      <c r="M79" s="216" t="s">
        <v>31</v>
      </c>
      <c r="N79" s="216" t="s">
        <v>31</v>
      </c>
      <c r="O79" s="216" t="s">
        <v>31</v>
      </c>
      <c r="P79" s="216" t="s">
        <v>31</v>
      </c>
      <c r="Q79" s="216" t="s">
        <v>31</v>
      </c>
      <c r="R79" s="198"/>
      <c r="S79" s="198"/>
      <c r="T79" s="198"/>
      <c r="U79" s="198"/>
    </row>
    <row r="80" spans="1:21" s="12" customFormat="1" x14ac:dyDescent="0.25">
      <c r="A80" s="211" t="s">
        <v>504</v>
      </c>
      <c r="B80" s="216" t="s">
        <v>31</v>
      </c>
      <c r="C80" s="216" t="s">
        <v>31</v>
      </c>
      <c r="D80" s="216" t="s">
        <v>31</v>
      </c>
      <c r="E80" s="216" t="s">
        <v>31</v>
      </c>
      <c r="F80" s="216" t="s">
        <v>31</v>
      </c>
      <c r="G80" s="216" t="s">
        <v>31</v>
      </c>
      <c r="H80" s="216" t="s">
        <v>31</v>
      </c>
      <c r="I80" s="216" t="s">
        <v>31</v>
      </c>
      <c r="J80" s="216" t="s">
        <v>31</v>
      </c>
      <c r="K80" s="216" t="s">
        <v>31</v>
      </c>
      <c r="L80" s="216" t="s">
        <v>31</v>
      </c>
      <c r="M80" s="216" t="s">
        <v>31</v>
      </c>
      <c r="N80" s="216" t="s">
        <v>31</v>
      </c>
      <c r="O80" s="216" t="s">
        <v>31</v>
      </c>
      <c r="P80" s="216" t="s">
        <v>31</v>
      </c>
      <c r="Q80" s="216" t="s">
        <v>31</v>
      </c>
      <c r="R80" s="198"/>
      <c r="S80" s="198"/>
      <c r="T80" s="198"/>
      <c r="U80" s="198"/>
    </row>
    <row r="81" spans="1:26" s="12" customFormat="1" x14ac:dyDescent="0.25">
      <c r="A81" s="211" t="s">
        <v>505</v>
      </c>
      <c r="B81" s="216" t="s">
        <v>31</v>
      </c>
      <c r="C81" s="216" t="s">
        <v>31</v>
      </c>
      <c r="D81" s="216" t="s">
        <v>31</v>
      </c>
      <c r="E81" s="216" t="s">
        <v>31</v>
      </c>
      <c r="F81" s="216" t="s">
        <v>31</v>
      </c>
      <c r="G81" s="216" t="s">
        <v>31</v>
      </c>
      <c r="H81" s="216" t="s">
        <v>31</v>
      </c>
      <c r="I81" s="216" t="s">
        <v>31</v>
      </c>
      <c r="J81" s="216" t="s">
        <v>31</v>
      </c>
      <c r="K81" s="216" t="s">
        <v>31</v>
      </c>
      <c r="L81" s="216" t="s">
        <v>31</v>
      </c>
      <c r="M81" s="216" t="s">
        <v>31</v>
      </c>
      <c r="N81" s="216" t="s">
        <v>31</v>
      </c>
      <c r="O81" s="216" t="s">
        <v>31</v>
      </c>
      <c r="P81" s="216" t="s">
        <v>31</v>
      </c>
      <c r="Q81" s="216" t="s">
        <v>31</v>
      </c>
      <c r="R81" s="198"/>
      <c r="S81" s="198"/>
      <c r="T81" s="198"/>
      <c r="U81" s="198"/>
    </row>
    <row r="82" spans="1:26" s="12" customFormat="1" x14ac:dyDescent="0.25">
      <c r="A82" s="211" t="s">
        <v>506</v>
      </c>
      <c r="B82" s="216" t="s">
        <v>31</v>
      </c>
      <c r="C82" s="216" t="s">
        <v>31</v>
      </c>
      <c r="D82" s="216" t="s">
        <v>31</v>
      </c>
      <c r="E82" s="216" t="s">
        <v>31</v>
      </c>
      <c r="F82" s="216" t="s">
        <v>31</v>
      </c>
      <c r="G82" s="216" t="s">
        <v>31</v>
      </c>
      <c r="H82" s="216" t="s">
        <v>31</v>
      </c>
      <c r="I82" s="216" t="s">
        <v>31</v>
      </c>
      <c r="J82" s="216" t="s">
        <v>31</v>
      </c>
      <c r="K82" s="216" t="s">
        <v>31</v>
      </c>
      <c r="L82" s="216" t="s">
        <v>31</v>
      </c>
      <c r="M82" s="216" t="s">
        <v>31</v>
      </c>
      <c r="N82" s="216" t="s">
        <v>31</v>
      </c>
      <c r="O82" s="216" t="s">
        <v>31</v>
      </c>
      <c r="P82" s="216" t="s">
        <v>31</v>
      </c>
      <c r="Q82" s="216" t="s">
        <v>31</v>
      </c>
      <c r="R82" s="198"/>
      <c r="S82" s="198"/>
      <c r="T82" s="198"/>
      <c r="U82" s="198"/>
    </row>
    <row r="83" spans="1:26" s="12" customFormat="1" x14ac:dyDescent="0.25">
      <c r="A83" s="211" t="s">
        <v>507</v>
      </c>
      <c r="B83" s="216" t="s">
        <v>31</v>
      </c>
      <c r="C83" s="216" t="s">
        <v>31</v>
      </c>
      <c r="D83" s="216" t="s">
        <v>31</v>
      </c>
      <c r="E83" s="216" t="s">
        <v>31</v>
      </c>
      <c r="F83" s="216" t="s">
        <v>31</v>
      </c>
      <c r="G83" s="216" t="s">
        <v>31</v>
      </c>
      <c r="H83" s="216" t="s">
        <v>31</v>
      </c>
      <c r="I83" s="216" t="s">
        <v>31</v>
      </c>
      <c r="J83" s="216" t="s">
        <v>31</v>
      </c>
      <c r="K83" s="216" t="s">
        <v>31</v>
      </c>
      <c r="L83" s="216" t="s">
        <v>31</v>
      </c>
      <c r="M83" s="216" t="s">
        <v>31</v>
      </c>
      <c r="N83" s="216" t="s">
        <v>31</v>
      </c>
      <c r="O83" s="216" t="s">
        <v>31</v>
      </c>
      <c r="P83" s="216" t="s">
        <v>31</v>
      </c>
      <c r="Q83" s="216" t="s">
        <v>31</v>
      </c>
      <c r="R83" s="198"/>
      <c r="S83" s="198"/>
      <c r="T83" s="198"/>
      <c r="U83" s="198"/>
    </row>
    <row r="84" spans="1:26" s="12" customFormat="1" x14ac:dyDescent="0.25">
      <c r="A84" s="211" t="s">
        <v>508</v>
      </c>
      <c r="B84" s="216" t="s">
        <v>31</v>
      </c>
      <c r="C84" s="216" t="s">
        <v>31</v>
      </c>
      <c r="D84" s="216" t="s">
        <v>31</v>
      </c>
      <c r="E84" s="216" t="s">
        <v>31</v>
      </c>
      <c r="F84" s="216" t="s">
        <v>31</v>
      </c>
      <c r="G84" s="216" t="s">
        <v>31</v>
      </c>
      <c r="H84" s="216" t="s">
        <v>31</v>
      </c>
      <c r="I84" s="216" t="s">
        <v>31</v>
      </c>
      <c r="J84" s="216" t="s">
        <v>31</v>
      </c>
      <c r="K84" s="216" t="s">
        <v>31</v>
      </c>
      <c r="L84" s="216" t="s">
        <v>31</v>
      </c>
      <c r="M84" s="216" t="s">
        <v>31</v>
      </c>
      <c r="N84" s="216" t="s">
        <v>31</v>
      </c>
      <c r="O84" s="216" t="s">
        <v>31</v>
      </c>
      <c r="P84" s="216" t="s">
        <v>31</v>
      </c>
      <c r="Q84" s="216" t="s">
        <v>31</v>
      </c>
      <c r="R84" s="198"/>
      <c r="S84" s="198"/>
      <c r="T84" s="198"/>
      <c r="U84" s="198"/>
    </row>
    <row r="85" spans="1:26" s="12" customFormat="1" x14ac:dyDescent="0.25">
      <c r="A85" s="211" t="s">
        <v>509</v>
      </c>
      <c r="B85" s="216" t="s">
        <v>31</v>
      </c>
      <c r="C85" s="216" t="s">
        <v>31</v>
      </c>
      <c r="D85" s="216" t="s">
        <v>31</v>
      </c>
      <c r="E85" s="216" t="s">
        <v>31</v>
      </c>
      <c r="F85" s="216" t="s">
        <v>31</v>
      </c>
      <c r="G85" s="216" t="s">
        <v>31</v>
      </c>
      <c r="H85" s="216" t="s">
        <v>31</v>
      </c>
      <c r="I85" s="216" t="s">
        <v>31</v>
      </c>
      <c r="J85" s="216" t="s">
        <v>31</v>
      </c>
      <c r="K85" s="216" t="s">
        <v>31</v>
      </c>
      <c r="L85" s="216" t="s">
        <v>31</v>
      </c>
      <c r="M85" s="216" t="s">
        <v>31</v>
      </c>
      <c r="N85" s="216" t="s">
        <v>31</v>
      </c>
      <c r="O85" s="216" t="s">
        <v>31</v>
      </c>
      <c r="P85" s="216" t="s">
        <v>31</v>
      </c>
      <c r="Q85" s="216" t="s">
        <v>31</v>
      </c>
      <c r="R85" s="198"/>
      <c r="S85" s="198"/>
      <c r="T85" s="198"/>
      <c r="U85" s="198"/>
    </row>
    <row r="86" spans="1:26" s="12" customFormat="1" x14ac:dyDescent="0.25">
      <c r="A86" s="211" t="s">
        <v>510</v>
      </c>
      <c r="B86" s="216" t="s">
        <v>31</v>
      </c>
      <c r="C86" s="216" t="s">
        <v>31</v>
      </c>
      <c r="D86" s="216" t="s">
        <v>31</v>
      </c>
      <c r="E86" s="216" t="s">
        <v>31</v>
      </c>
      <c r="F86" s="216" t="s">
        <v>31</v>
      </c>
      <c r="G86" s="216" t="s">
        <v>31</v>
      </c>
      <c r="H86" s="216" t="s">
        <v>31</v>
      </c>
      <c r="I86" s="216" t="s">
        <v>31</v>
      </c>
      <c r="J86" s="216" t="s">
        <v>31</v>
      </c>
      <c r="K86" s="216" t="s">
        <v>31</v>
      </c>
      <c r="L86" s="216" t="s">
        <v>31</v>
      </c>
      <c r="M86" s="216" t="s">
        <v>31</v>
      </c>
      <c r="N86" s="216" t="s">
        <v>31</v>
      </c>
      <c r="O86" s="216" t="s">
        <v>31</v>
      </c>
      <c r="P86" s="216" t="s">
        <v>31</v>
      </c>
      <c r="Q86" s="216" t="s">
        <v>31</v>
      </c>
      <c r="R86" s="198"/>
      <c r="S86" s="198"/>
      <c r="T86" s="198"/>
      <c r="U86" s="198"/>
    </row>
    <row r="87" spans="1:26" s="12" customFormat="1" x14ac:dyDescent="0.25">
      <c r="A87" s="211" t="s">
        <v>511</v>
      </c>
      <c r="B87" s="216" t="s">
        <v>31</v>
      </c>
      <c r="C87" s="216" t="s">
        <v>31</v>
      </c>
      <c r="D87" s="216" t="s">
        <v>31</v>
      </c>
      <c r="E87" s="216" t="s">
        <v>31</v>
      </c>
      <c r="F87" s="216" t="s">
        <v>31</v>
      </c>
      <c r="G87" s="216" t="s">
        <v>31</v>
      </c>
      <c r="H87" s="216" t="s">
        <v>31</v>
      </c>
      <c r="I87" s="216" t="s">
        <v>31</v>
      </c>
      <c r="J87" s="216" t="s">
        <v>31</v>
      </c>
      <c r="K87" s="216" t="s">
        <v>31</v>
      </c>
      <c r="L87" s="216" t="s">
        <v>31</v>
      </c>
      <c r="M87" s="216" t="s">
        <v>31</v>
      </c>
      <c r="N87" s="216" t="s">
        <v>31</v>
      </c>
      <c r="O87" s="216" t="s">
        <v>31</v>
      </c>
      <c r="P87" s="216" t="s">
        <v>31</v>
      </c>
      <c r="Q87" s="216" t="s">
        <v>31</v>
      </c>
      <c r="R87" s="198"/>
      <c r="S87" s="198"/>
      <c r="T87" s="198"/>
      <c r="U87" s="198"/>
    </row>
    <row r="88" spans="1:26" s="12" customFormat="1" x14ac:dyDescent="0.25">
      <c r="A88" s="211" t="s">
        <v>512</v>
      </c>
      <c r="B88" s="216" t="s">
        <v>31</v>
      </c>
      <c r="C88" s="216" t="s">
        <v>31</v>
      </c>
      <c r="D88" s="216" t="s">
        <v>31</v>
      </c>
      <c r="E88" s="216" t="s">
        <v>31</v>
      </c>
      <c r="F88" s="216" t="s">
        <v>31</v>
      </c>
      <c r="G88" s="216" t="s">
        <v>31</v>
      </c>
      <c r="H88" s="216" t="s">
        <v>31</v>
      </c>
      <c r="I88" s="216" t="s">
        <v>31</v>
      </c>
      <c r="J88" s="216" t="s">
        <v>31</v>
      </c>
      <c r="K88" s="216" t="s">
        <v>31</v>
      </c>
      <c r="L88" s="216" t="s">
        <v>31</v>
      </c>
      <c r="M88" s="216" t="s">
        <v>31</v>
      </c>
      <c r="N88" s="216" t="s">
        <v>31</v>
      </c>
      <c r="O88" s="216" t="s">
        <v>31</v>
      </c>
      <c r="P88" s="216" t="s">
        <v>31</v>
      </c>
      <c r="Q88" s="216" t="s">
        <v>31</v>
      </c>
      <c r="R88" s="198"/>
      <c r="S88" s="198"/>
      <c r="T88" s="198"/>
      <c r="U88" s="198"/>
    </row>
    <row r="89" spans="1:26" s="12" customFormat="1" x14ac:dyDescent="0.25">
      <c r="A89" s="211" t="s">
        <v>513</v>
      </c>
      <c r="B89" s="216" t="s">
        <v>31</v>
      </c>
      <c r="C89" s="216" t="s">
        <v>31</v>
      </c>
      <c r="D89" s="216" t="s">
        <v>31</v>
      </c>
      <c r="E89" s="216" t="s">
        <v>31</v>
      </c>
      <c r="F89" s="216" t="s">
        <v>31</v>
      </c>
      <c r="G89" s="216" t="s">
        <v>31</v>
      </c>
      <c r="H89" s="216" t="s">
        <v>31</v>
      </c>
      <c r="I89" s="216" t="s">
        <v>31</v>
      </c>
      <c r="J89" s="216" t="s">
        <v>31</v>
      </c>
      <c r="K89" s="216" t="s">
        <v>31</v>
      </c>
      <c r="L89" s="216" t="s">
        <v>31</v>
      </c>
      <c r="M89" s="216" t="s">
        <v>31</v>
      </c>
      <c r="N89" s="216" t="s">
        <v>31</v>
      </c>
      <c r="O89" s="216" t="s">
        <v>31</v>
      </c>
      <c r="P89" s="216" t="s">
        <v>31</v>
      </c>
      <c r="Q89" s="216" t="s">
        <v>31</v>
      </c>
      <c r="R89" s="198"/>
      <c r="S89" s="198"/>
      <c r="T89" s="198"/>
      <c r="U89" s="198"/>
    </row>
    <row r="90" spans="1:26" s="12" customFormat="1" x14ac:dyDescent="0.25">
      <c r="A90" s="211" t="s">
        <v>514</v>
      </c>
      <c r="B90" s="216" t="s">
        <v>31</v>
      </c>
      <c r="C90" s="216" t="s">
        <v>31</v>
      </c>
      <c r="D90" s="216" t="s">
        <v>31</v>
      </c>
      <c r="E90" s="216" t="s">
        <v>31</v>
      </c>
      <c r="F90" s="216" t="s">
        <v>31</v>
      </c>
      <c r="G90" s="216" t="s">
        <v>31</v>
      </c>
      <c r="H90" s="216" t="s">
        <v>31</v>
      </c>
      <c r="I90" s="216" t="s">
        <v>31</v>
      </c>
      <c r="J90" s="216" t="s">
        <v>31</v>
      </c>
      <c r="K90" s="216" t="s">
        <v>31</v>
      </c>
      <c r="L90" s="216" t="s">
        <v>31</v>
      </c>
      <c r="M90" s="216" t="s">
        <v>31</v>
      </c>
      <c r="N90" s="216" t="s">
        <v>31</v>
      </c>
      <c r="O90" s="216" t="s">
        <v>31</v>
      </c>
      <c r="P90" s="216" t="s">
        <v>31</v>
      </c>
      <c r="Q90" s="216" t="s">
        <v>31</v>
      </c>
      <c r="R90" s="198"/>
      <c r="S90" s="198"/>
      <c r="T90" s="198"/>
      <c r="U90" s="198"/>
    </row>
    <row r="91" spans="1:26" s="12" customFormat="1" x14ac:dyDescent="0.25">
      <c r="A91" s="211" t="s">
        <v>515</v>
      </c>
      <c r="B91" s="216" t="s">
        <v>31</v>
      </c>
      <c r="C91" s="216" t="s">
        <v>31</v>
      </c>
      <c r="D91" s="216" t="s">
        <v>31</v>
      </c>
      <c r="E91" s="216" t="s">
        <v>31</v>
      </c>
      <c r="F91" s="216" t="s">
        <v>31</v>
      </c>
      <c r="G91" s="216" t="s">
        <v>31</v>
      </c>
      <c r="H91" s="216" t="s">
        <v>31</v>
      </c>
      <c r="I91" s="216" t="s">
        <v>31</v>
      </c>
      <c r="J91" s="216" t="s">
        <v>31</v>
      </c>
      <c r="K91" s="216" t="s">
        <v>31</v>
      </c>
      <c r="L91" s="216" t="s">
        <v>31</v>
      </c>
      <c r="M91" s="216" t="s">
        <v>31</v>
      </c>
      <c r="N91" s="216" t="s">
        <v>31</v>
      </c>
      <c r="O91" s="216" t="s">
        <v>31</v>
      </c>
      <c r="P91" s="216" t="s">
        <v>31</v>
      </c>
      <c r="Q91" s="216" t="s">
        <v>31</v>
      </c>
      <c r="R91" s="198"/>
      <c r="S91" s="198"/>
      <c r="T91" s="198"/>
      <c r="U91" s="198"/>
    </row>
    <row r="92" spans="1:26" s="12" customFormat="1" x14ac:dyDescent="0.25">
      <c r="A92" s="211" t="s">
        <v>516</v>
      </c>
      <c r="B92" s="216" t="s">
        <v>31</v>
      </c>
      <c r="C92" s="216" t="s">
        <v>31</v>
      </c>
      <c r="D92" s="216" t="s">
        <v>31</v>
      </c>
      <c r="E92" s="216" t="s">
        <v>31</v>
      </c>
      <c r="F92" s="216" t="s">
        <v>31</v>
      </c>
      <c r="G92" s="216" t="s">
        <v>31</v>
      </c>
      <c r="H92" s="216" t="s">
        <v>31</v>
      </c>
      <c r="I92" s="216" t="s">
        <v>31</v>
      </c>
      <c r="J92" s="216" t="s">
        <v>31</v>
      </c>
      <c r="K92" s="216" t="s">
        <v>31</v>
      </c>
      <c r="L92" s="216" t="s">
        <v>31</v>
      </c>
      <c r="M92" s="216" t="s">
        <v>31</v>
      </c>
      <c r="N92" s="216" t="s">
        <v>31</v>
      </c>
      <c r="O92" s="216" t="s">
        <v>31</v>
      </c>
      <c r="P92" s="216" t="s">
        <v>31</v>
      </c>
      <c r="Q92" s="216" t="s">
        <v>31</v>
      </c>
      <c r="R92" s="198"/>
      <c r="S92" s="198"/>
      <c r="T92" s="198"/>
      <c r="U92" s="198"/>
    </row>
    <row r="93" spans="1:26" s="12" customFormat="1" x14ac:dyDescent="0.25">
      <c r="A93" s="211" t="s">
        <v>517</v>
      </c>
      <c r="B93" s="216" t="s">
        <v>31</v>
      </c>
      <c r="C93" s="216" t="s">
        <v>31</v>
      </c>
      <c r="D93" s="216" t="s">
        <v>31</v>
      </c>
      <c r="E93" s="216" t="s">
        <v>31</v>
      </c>
      <c r="F93" s="216" t="s">
        <v>31</v>
      </c>
      <c r="G93" s="216" t="s">
        <v>31</v>
      </c>
      <c r="H93" s="216" t="s">
        <v>31</v>
      </c>
      <c r="I93" s="216" t="s">
        <v>31</v>
      </c>
      <c r="J93" s="216" t="s">
        <v>31</v>
      </c>
      <c r="K93" s="216" t="s">
        <v>31</v>
      </c>
      <c r="L93" s="216" t="s">
        <v>31</v>
      </c>
      <c r="M93" s="216" t="s">
        <v>31</v>
      </c>
      <c r="N93" s="216" t="s">
        <v>31</v>
      </c>
      <c r="O93" s="216" t="s">
        <v>31</v>
      </c>
      <c r="P93" s="216" t="s">
        <v>31</v>
      </c>
      <c r="Q93" s="216" t="s">
        <v>31</v>
      </c>
      <c r="R93" s="198"/>
      <c r="S93" s="198"/>
      <c r="T93" s="198"/>
      <c r="U93" s="198"/>
    </row>
    <row r="94" spans="1:26" s="12" customFormat="1" x14ac:dyDescent="0.25">
      <c r="A94" s="211" t="s">
        <v>518</v>
      </c>
      <c r="B94" s="216" t="s">
        <v>31</v>
      </c>
      <c r="C94" s="216" t="s">
        <v>31</v>
      </c>
      <c r="D94" s="216" t="s">
        <v>31</v>
      </c>
      <c r="E94" s="216" t="s">
        <v>31</v>
      </c>
      <c r="F94" s="216" t="s">
        <v>31</v>
      </c>
      <c r="G94" s="216" t="s">
        <v>31</v>
      </c>
      <c r="H94" s="216" t="s">
        <v>31</v>
      </c>
      <c r="I94" s="216" t="s">
        <v>31</v>
      </c>
      <c r="J94" s="216" t="s">
        <v>31</v>
      </c>
      <c r="K94" s="216" t="s">
        <v>31</v>
      </c>
      <c r="L94" s="216" t="s">
        <v>31</v>
      </c>
      <c r="M94" s="216" t="s">
        <v>31</v>
      </c>
      <c r="N94" s="216" t="s">
        <v>31</v>
      </c>
      <c r="O94" s="216" t="s">
        <v>31</v>
      </c>
      <c r="P94" s="216" t="s">
        <v>31</v>
      </c>
      <c r="Q94" s="216" t="s">
        <v>31</v>
      </c>
      <c r="R94" s="198"/>
      <c r="S94" s="198"/>
      <c r="T94" s="198"/>
      <c r="U94" s="198"/>
    </row>
    <row r="95" spans="1:26" s="12" customFormat="1" x14ac:dyDescent="0.25">
      <c r="A95" s="211" t="s">
        <v>519</v>
      </c>
      <c r="B95" s="216" t="s">
        <v>31</v>
      </c>
      <c r="C95" s="216" t="s">
        <v>31</v>
      </c>
      <c r="D95" s="216" t="s">
        <v>31</v>
      </c>
      <c r="E95" s="216" t="s">
        <v>31</v>
      </c>
      <c r="F95" s="216" t="s">
        <v>31</v>
      </c>
      <c r="G95" s="216" t="s">
        <v>31</v>
      </c>
      <c r="H95" s="216" t="s">
        <v>31</v>
      </c>
      <c r="I95" s="216" t="s">
        <v>31</v>
      </c>
      <c r="J95" s="216" t="s">
        <v>31</v>
      </c>
      <c r="K95" s="216" t="s">
        <v>31</v>
      </c>
      <c r="L95" s="216" t="s">
        <v>31</v>
      </c>
      <c r="M95" s="216" t="s">
        <v>31</v>
      </c>
      <c r="N95" s="216" t="s">
        <v>31</v>
      </c>
      <c r="O95" s="216" t="s">
        <v>31</v>
      </c>
      <c r="P95" s="216" t="s">
        <v>31</v>
      </c>
      <c r="Q95" s="216" t="s">
        <v>31</v>
      </c>
      <c r="R95" s="198"/>
      <c r="S95" s="198"/>
      <c r="T95" s="198"/>
      <c r="U95" s="198"/>
    </row>
    <row r="96" spans="1:26" s="12" customFormat="1" x14ac:dyDescent="0.25">
      <c r="A96" s="211" t="s">
        <v>520</v>
      </c>
      <c r="B96" s="216" t="s">
        <v>31</v>
      </c>
      <c r="C96" s="216" t="s">
        <v>31</v>
      </c>
      <c r="D96" s="216" t="s">
        <v>31</v>
      </c>
      <c r="E96" s="216" t="s">
        <v>31</v>
      </c>
      <c r="F96" s="216" t="s">
        <v>31</v>
      </c>
      <c r="G96" s="216" t="s">
        <v>31</v>
      </c>
      <c r="H96" s="216" t="s">
        <v>31</v>
      </c>
      <c r="I96" s="216" t="s">
        <v>31</v>
      </c>
      <c r="J96" s="216" t="s">
        <v>31</v>
      </c>
      <c r="K96" s="216" t="s">
        <v>31</v>
      </c>
      <c r="L96" s="216" t="s">
        <v>31</v>
      </c>
      <c r="M96" s="216" t="s">
        <v>31</v>
      </c>
      <c r="N96" s="216" t="s">
        <v>31</v>
      </c>
      <c r="O96" s="216" t="s">
        <v>31</v>
      </c>
      <c r="P96" s="216" t="s">
        <v>31</v>
      </c>
      <c r="Q96" s="216" t="s">
        <v>31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521</v>
      </c>
      <c r="B97" s="216" t="s">
        <v>31</v>
      </c>
      <c r="C97" s="216" t="s">
        <v>31</v>
      </c>
      <c r="D97" s="216" t="s">
        <v>31</v>
      </c>
      <c r="E97" s="216" t="s">
        <v>31</v>
      </c>
      <c r="F97" s="216" t="s">
        <v>31</v>
      </c>
      <c r="G97" s="216" t="s">
        <v>31</v>
      </c>
      <c r="H97" s="216" t="s">
        <v>31</v>
      </c>
      <c r="I97" s="216" t="s">
        <v>31</v>
      </c>
      <c r="J97" s="216" t="s">
        <v>31</v>
      </c>
      <c r="K97" s="216" t="s">
        <v>31</v>
      </c>
      <c r="L97" s="216" t="s">
        <v>31</v>
      </c>
      <c r="M97" s="216" t="s">
        <v>31</v>
      </c>
      <c r="N97" s="216" t="s">
        <v>31</v>
      </c>
      <c r="O97" s="216" t="s">
        <v>31</v>
      </c>
      <c r="P97" s="216" t="s">
        <v>31</v>
      </c>
      <c r="Q97" s="216" t="s">
        <v>31</v>
      </c>
      <c r="R97" s="198"/>
      <c r="S97" s="198"/>
      <c r="T97" s="198"/>
      <c r="U97" s="198"/>
    </row>
    <row r="98" spans="1:33" s="12" customFormat="1" x14ac:dyDescent="0.25">
      <c r="A98" s="211" t="s">
        <v>522</v>
      </c>
      <c r="B98" s="216" t="s">
        <v>31</v>
      </c>
      <c r="C98" s="216" t="s">
        <v>31</v>
      </c>
      <c r="D98" s="216" t="s">
        <v>31</v>
      </c>
      <c r="E98" s="216" t="s">
        <v>31</v>
      </c>
      <c r="F98" s="216" t="s">
        <v>31</v>
      </c>
      <c r="G98" s="216" t="s">
        <v>31</v>
      </c>
      <c r="H98" s="216" t="s">
        <v>31</v>
      </c>
      <c r="I98" s="216" t="s">
        <v>31</v>
      </c>
      <c r="J98" s="216" t="s">
        <v>31</v>
      </c>
      <c r="K98" s="216" t="s">
        <v>31</v>
      </c>
      <c r="L98" s="216" t="s">
        <v>31</v>
      </c>
      <c r="M98" s="216" t="s">
        <v>31</v>
      </c>
      <c r="N98" s="216" t="s">
        <v>31</v>
      </c>
      <c r="O98" s="216" t="s">
        <v>31</v>
      </c>
      <c r="P98" s="216" t="s">
        <v>31</v>
      </c>
      <c r="Q98" s="216" t="s">
        <v>31</v>
      </c>
      <c r="R98" s="198"/>
      <c r="S98" s="198"/>
      <c r="T98" s="198"/>
      <c r="U98" s="198"/>
    </row>
    <row r="99" spans="1:33" s="12" customFormat="1" x14ac:dyDescent="0.25">
      <c r="A99" s="211" t="s">
        <v>523</v>
      </c>
      <c r="B99" s="216" t="s">
        <v>31</v>
      </c>
      <c r="C99" s="216" t="s">
        <v>31</v>
      </c>
      <c r="D99" s="216" t="s">
        <v>31</v>
      </c>
      <c r="E99" s="216" t="s">
        <v>31</v>
      </c>
      <c r="F99" s="216" t="s">
        <v>31</v>
      </c>
      <c r="G99" s="216" t="s">
        <v>31</v>
      </c>
      <c r="H99" s="216" t="s">
        <v>31</v>
      </c>
      <c r="I99" s="216" t="s">
        <v>31</v>
      </c>
      <c r="J99" s="216" t="s">
        <v>31</v>
      </c>
      <c r="K99" s="216" t="s">
        <v>31</v>
      </c>
      <c r="L99" s="216" t="s">
        <v>31</v>
      </c>
      <c r="M99" s="216" t="s">
        <v>31</v>
      </c>
      <c r="N99" s="216" t="s">
        <v>31</v>
      </c>
      <c r="O99" s="216" t="s">
        <v>31</v>
      </c>
      <c r="P99" s="216" t="s">
        <v>31</v>
      </c>
      <c r="Q99" s="216" t="s">
        <v>31</v>
      </c>
      <c r="R99" s="198"/>
      <c r="S99" s="198"/>
      <c r="T99" s="198"/>
      <c r="U99" s="198"/>
    </row>
    <row r="100" spans="1:33" s="12" customFormat="1" x14ac:dyDescent="0.25">
      <c r="A100" s="211" t="s">
        <v>524</v>
      </c>
      <c r="B100" s="216" t="s">
        <v>31</v>
      </c>
      <c r="C100" s="216" t="s">
        <v>31</v>
      </c>
      <c r="D100" s="216" t="s">
        <v>31</v>
      </c>
      <c r="E100" s="216" t="s">
        <v>31</v>
      </c>
      <c r="F100" s="216" t="s">
        <v>31</v>
      </c>
      <c r="G100" s="216" t="s">
        <v>31</v>
      </c>
      <c r="H100" s="216" t="s">
        <v>31</v>
      </c>
      <c r="I100" s="216" t="s">
        <v>31</v>
      </c>
      <c r="J100" s="216" t="s">
        <v>31</v>
      </c>
      <c r="K100" s="216" t="s">
        <v>31</v>
      </c>
      <c r="L100" s="216" t="s">
        <v>31</v>
      </c>
      <c r="M100" s="216" t="s">
        <v>31</v>
      </c>
      <c r="N100" s="216" t="s">
        <v>31</v>
      </c>
      <c r="O100" s="216" t="s">
        <v>31</v>
      </c>
      <c r="P100" s="216" t="s">
        <v>31</v>
      </c>
      <c r="Q100" s="216" t="s">
        <v>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525</v>
      </c>
      <c r="B101" s="216" t="s">
        <v>31</v>
      </c>
      <c r="C101" s="216" t="s">
        <v>31</v>
      </c>
      <c r="D101" s="216" t="s">
        <v>31</v>
      </c>
      <c r="E101" s="216" t="s">
        <v>31</v>
      </c>
      <c r="F101" s="216" t="s">
        <v>31</v>
      </c>
      <c r="G101" s="216" t="s">
        <v>31</v>
      </c>
      <c r="H101" s="216" t="s">
        <v>31</v>
      </c>
      <c r="I101" s="216" t="s">
        <v>31</v>
      </c>
      <c r="J101" s="216" t="s">
        <v>31</v>
      </c>
      <c r="K101" s="216" t="s">
        <v>31</v>
      </c>
      <c r="L101" s="216" t="s">
        <v>31</v>
      </c>
      <c r="M101" s="216" t="s">
        <v>31</v>
      </c>
      <c r="N101" s="216" t="s">
        <v>31</v>
      </c>
      <c r="O101" s="216" t="s">
        <v>31</v>
      </c>
      <c r="P101" s="216" t="s">
        <v>31</v>
      </c>
      <c r="Q101" s="216" t="s">
        <v>31</v>
      </c>
      <c r="R101" s="198"/>
      <c r="S101" s="198"/>
      <c r="T101" s="198"/>
      <c r="U101" s="198"/>
    </row>
    <row r="102" spans="1:33" s="12" customFormat="1" x14ac:dyDescent="0.25">
      <c r="A102" s="211" t="s">
        <v>526</v>
      </c>
      <c r="B102" s="216" t="s">
        <v>31</v>
      </c>
      <c r="C102" s="216" t="s">
        <v>31</v>
      </c>
      <c r="D102" s="216" t="s">
        <v>31</v>
      </c>
      <c r="E102" s="216" t="s">
        <v>31</v>
      </c>
      <c r="F102" s="216" t="s">
        <v>31</v>
      </c>
      <c r="G102" s="216" t="s">
        <v>31</v>
      </c>
      <c r="H102" s="216" t="s">
        <v>31</v>
      </c>
      <c r="I102" s="216" t="s">
        <v>31</v>
      </c>
      <c r="J102" s="216" t="s">
        <v>31</v>
      </c>
      <c r="K102" s="216" t="s">
        <v>31</v>
      </c>
      <c r="L102" s="216" t="s">
        <v>31</v>
      </c>
      <c r="M102" s="216" t="s">
        <v>31</v>
      </c>
      <c r="N102" s="216" t="s">
        <v>31</v>
      </c>
      <c r="O102" s="216" t="s">
        <v>31</v>
      </c>
      <c r="P102" s="216" t="s">
        <v>31</v>
      </c>
      <c r="Q102" s="216" t="s">
        <v>31</v>
      </c>
      <c r="R102" s="198"/>
      <c r="S102" s="198"/>
      <c r="T102" s="198"/>
      <c r="U102" s="198"/>
    </row>
    <row r="103" spans="1:33" s="12" customFormat="1" x14ac:dyDescent="0.25">
      <c r="A103" s="211" t="s">
        <v>527</v>
      </c>
      <c r="B103" s="216" t="s">
        <v>31</v>
      </c>
      <c r="C103" s="216" t="s">
        <v>31</v>
      </c>
      <c r="D103" s="216" t="s">
        <v>31</v>
      </c>
      <c r="E103" s="216" t="s">
        <v>31</v>
      </c>
      <c r="F103" s="216" t="s">
        <v>31</v>
      </c>
      <c r="G103" s="216" t="s">
        <v>31</v>
      </c>
      <c r="H103" s="216" t="s">
        <v>31</v>
      </c>
      <c r="I103" s="216" t="s">
        <v>31</v>
      </c>
      <c r="J103" s="216" t="s">
        <v>31</v>
      </c>
      <c r="K103" s="216" t="s">
        <v>31</v>
      </c>
      <c r="L103" s="216" t="s">
        <v>31</v>
      </c>
      <c r="M103" s="216" t="s">
        <v>31</v>
      </c>
      <c r="N103" s="216" t="s">
        <v>31</v>
      </c>
      <c r="O103" s="216" t="s">
        <v>31</v>
      </c>
      <c r="P103" s="216" t="s">
        <v>31</v>
      </c>
      <c r="Q103" s="216" t="s">
        <v>31</v>
      </c>
      <c r="R103" s="198"/>
      <c r="S103" s="198"/>
      <c r="T103" s="198"/>
      <c r="U103" s="198"/>
    </row>
    <row r="104" spans="1:33" s="12" customFormat="1" x14ac:dyDescent="0.25">
      <c r="A104" s="211" t="s">
        <v>528</v>
      </c>
      <c r="B104" s="216" t="s">
        <v>31</v>
      </c>
      <c r="C104" s="216" t="s">
        <v>31</v>
      </c>
      <c r="D104" s="216" t="s">
        <v>31</v>
      </c>
      <c r="E104" s="216" t="s">
        <v>31</v>
      </c>
      <c r="F104" s="216" t="s">
        <v>31</v>
      </c>
      <c r="G104" s="216" t="s">
        <v>31</v>
      </c>
      <c r="H104" s="216" t="s">
        <v>31</v>
      </c>
      <c r="I104" s="216" t="s">
        <v>31</v>
      </c>
      <c r="J104" s="216" t="s">
        <v>31</v>
      </c>
      <c r="K104" s="216" t="s">
        <v>31</v>
      </c>
      <c r="L104" s="216" t="s">
        <v>31</v>
      </c>
      <c r="M104" s="216" t="s">
        <v>31</v>
      </c>
      <c r="N104" s="216" t="s">
        <v>31</v>
      </c>
      <c r="O104" s="216" t="s">
        <v>31</v>
      </c>
      <c r="P104" s="216" t="s">
        <v>31</v>
      </c>
      <c r="Q104" s="216" t="s">
        <v>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60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76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COUNT(B9:B104)+96</f>
        <v>96</v>
      </c>
      <c r="C110" s="66">
        <f t="shared" ref="C110:Q110" si="4">COUNT(C9:C104)+96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529</v>
      </c>
      <c r="B9" s="215" t="s">
        <v>31</v>
      </c>
      <c r="C9" s="215" t="s">
        <v>31</v>
      </c>
      <c r="D9" s="215" t="s">
        <v>31</v>
      </c>
      <c r="E9" s="215" t="s">
        <v>31</v>
      </c>
      <c r="F9" s="215" t="s">
        <v>31</v>
      </c>
      <c r="G9" s="215" t="s">
        <v>31</v>
      </c>
      <c r="H9" s="215" t="s">
        <v>31</v>
      </c>
      <c r="I9" s="215" t="s">
        <v>31</v>
      </c>
      <c r="J9" s="215" t="s">
        <v>31</v>
      </c>
      <c r="K9" s="215" t="s">
        <v>31</v>
      </c>
      <c r="L9" s="215" t="s">
        <v>31</v>
      </c>
      <c r="M9" s="215" t="s">
        <v>31</v>
      </c>
      <c r="N9" s="215" t="s">
        <v>31</v>
      </c>
      <c r="O9" s="215" t="s">
        <v>31</v>
      </c>
      <c r="P9" s="215" t="s">
        <v>31</v>
      </c>
      <c r="Q9" s="215" t="s">
        <v>31</v>
      </c>
      <c r="R9" s="198"/>
      <c r="S9" s="198"/>
      <c r="T9" s="198"/>
      <c r="U9" s="198"/>
    </row>
    <row r="10" spans="1:21" s="12" customFormat="1" x14ac:dyDescent="0.25">
      <c r="A10" s="201" t="s">
        <v>530</v>
      </c>
      <c r="B10" s="215" t="s">
        <v>31</v>
      </c>
      <c r="C10" s="215" t="s">
        <v>31</v>
      </c>
      <c r="D10" s="215" t="s">
        <v>31</v>
      </c>
      <c r="E10" s="215" t="s">
        <v>31</v>
      </c>
      <c r="F10" s="215" t="s">
        <v>31</v>
      </c>
      <c r="G10" s="215" t="s">
        <v>31</v>
      </c>
      <c r="H10" s="215" t="s">
        <v>31</v>
      </c>
      <c r="I10" s="215" t="s">
        <v>31</v>
      </c>
      <c r="J10" s="215" t="s">
        <v>31</v>
      </c>
      <c r="K10" s="215" t="s">
        <v>31</v>
      </c>
      <c r="L10" s="215" t="s">
        <v>31</v>
      </c>
      <c r="M10" s="215" t="s">
        <v>31</v>
      </c>
      <c r="N10" s="215" t="s">
        <v>31</v>
      </c>
      <c r="O10" s="215" t="s">
        <v>31</v>
      </c>
      <c r="P10" s="215" t="s">
        <v>31</v>
      </c>
      <c r="Q10" s="215" t="s">
        <v>31</v>
      </c>
      <c r="R10" s="198"/>
      <c r="S10" s="198"/>
      <c r="T10" s="198"/>
      <c r="U10" s="198"/>
    </row>
    <row r="11" spans="1:21" s="12" customFormat="1" x14ac:dyDescent="0.25">
      <c r="A11" s="201" t="s">
        <v>531</v>
      </c>
      <c r="B11" s="215" t="s">
        <v>31</v>
      </c>
      <c r="C11" s="215" t="s">
        <v>31</v>
      </c>
      <c r="D11" s="215" t="s">
        <v>31</v>
      </c>
      <c r="E11" s="215" t="s">
        <v>31</v>
      </c>
      <c r="F11" s="215" t="s">
        <v>31</v>
      </c>
      <c r="G11" s="215" t="s">
        <v>31</v>
      </c>
      <c r="H11" s="215" t="s">
        <v>31</v>
      </c>
      <c r="I11" s="215" t="s">
        <v>31</v>
      </c>
      <c r="J11" s="215" t="s">
        <v>31</v>
      </c>
      <c r="K11" s="215" t="s">
        <v>31</v>
      </c>
      <c r="L11" s="215" t="s">
        <v>31</v>
      </c>
      <c r="M11" s="215" t="s">
        <v>31</v>
      </c>
      <c r="N11" s="215" t="s">
        <v>31</v>
      </c>
      <c r="O11" s="215" t="s">
        <v>31</v>
      </c>
      <c r="P11" s="215" t="s">
        <v>31</v>
      </c>
      <c r="Q11" s="215" t="s">
        <v>31</v>
      </c>
      <c r="R11" s="198"/>
      <c r="S11" s="198"/>
      <c r="T11" s="198"/>
      <c r="U11" s="198"/>
    </row>
    <row r="12" spans="1:21" s="12" customFormat="1" x14ac:dyDescent="0.25">
      <c r="A12" s="201" t="s">
        <v>532</v>
      </c>
      <c r="B12" s="215" t="s">
        <v>31</v>
      </c>
      <c r="C12" s="215" t="s">
        <v>31</v>
      </c>
      <c r="D12" s="215" t="s">
        <v>31</v>
      </c>
      <c r="E12" s="215" t="s">
        <v>31</v>
      </c>
      <c r="F12" s="215" t="s">
        <v>31</v>
      </c>
      <c r="G12" s="215" t="s">
        <v>31</v>
      </c>
      <c r="H12" s="215" t="s">
        <v>31</v>
      </c>
      <c r="I12" s="215" t="s">
        <v>31</v>
      </c>
      <c r="J12" s="215" t="s">
        <v>31</v>
      </c>
      <c r="K12" s="215" t="s">
        <v>31</v>
      </c>
      <c r="L12" s="215" t="s">
        <v>31</v>
      </c>
      <c r="M12" s="215" t="s">
        <v>31</v>
      </c>
      <c r="N12" s="215" t="s">
        <v>31</v>
      </c>
      <c r="O12" s="215" t="s">
        <v>31</v>
      </c>
      <c r="P12" s="215" t="s">
        <v>31</v>
      </c>
      <c r="Q12" s="215" t="s">
        <v>31</v>
      </c>
      <c r="R12" s="198"/>
      <c r="S12" s="198"/>
      <c r="T12" s="198"/>
      <c r="U12" s="198"/>
    </row>
    <row r="13" spans="1:21" s="12" customFormat="1" x14ac:dyDescent="0.25">
      <c r="A13" s="201" t="s">
        <v>533</v>
      </c>
      <c r="B13" s="215" t="s">
        <v>31</v>
      </c>
      <c r="C13" s="215" t="s">
        <v>31</v>
      </c>
      <c r="D13" s="215" t="s">
        <v>31</v>
      </c>
      <c r="E13" s="215" t="s">
        <v>31</v>
      </c>
      <c r="F13" s="215" t="s">
        <v>31</v>
      </c>
      <c r="G13" s="215" t="s">
        <v>31</v>
      </c>
      <c r="H13" s="215" t="s">
        <v>31</v>
      </c>
      <c r="I13" s="215" t="s">
        <v>31</v>
      </c>
      <c r="J13" s="215" t="s">
        <v>31</v>
      </c>
      <c r="K13" s="215" t="s">
        <v>31</v>
      </c>
      <c r="L13" s="215" t="s">
        <v>31</v>
      </c>
      <c r="M13" s="215" t="s">
        <v>31</v>
      </c>
      <c r="N13" s="215" t="s">
        <v>31</v>
      </c>
      <c r="O13" s="215" t="s">
        <v>31</v>
      </c>
      <c r="P13" s="215" t="s">
        <v>31</v>
      </c>
      <c r="Q13" s="215" t="s">
        <v>31</v>
      </c>
      <c r="R13" s="198"/>
      <c r="S13" s="198"/>
      <c r="T13" s="198"/>
      <c r="U13" s="198"/>
    </row>
    <row r="14" spans="1:21" s="12" customFormat="1" x14ac:dyDescent="0.25">
      <c r="A14" s="201" t="s">
        <v>534</v>
      </c>
      <c r="B14" s="215" t="s">
        <v>31</v>
      </c>
      <c r="C14" s="215" t="s">
        <v>31</v>
      </c>
      <c r="D14" s="215" t="s">
        <v>31</v>
      </c>
      <c r="E14" s="215" t="s">
        <v>31</v>
      </c>
      <c r="F14" s="215" t="s">
        <v>31</v>
      </c>
      <c r="G14" s="215" t="s">
        <v>31</v>
      </c>
      <c r="H14" s="215" t="s">
        <v>31</v>
      </c>
      <c r="I14" s="215" t="s">
        <v>31</v>
      </c>
      <c r="J14" s="215" t="s">
        <v>31</v>
      </c>
      <c r="K14" s="215" t="s">
        <v>31</v>
      </c>
      <c r="L14" s="215" t="s">
        <v>31</v>
      </c>
      <c r="M14" s="215" t="s">
        <v>31</v>
      </c>
      <c r="N14" s="215" t="s">
        <v>31</v>
      </c>
      <c r="O14" s="215" t="s">
        <v>31</v>
      </c>
      <c r="P14" s="215" t="s">
        <v>31</v>
      </c>
      <c r="Q14" s="215" t="s">
        <v>31</v>
      </c>
      <c r="R14" s="198"/>
      <c r="S14" s="198"/>
      <c r="T14" s="198"/>
      <c r="U14" s="198"/>
    </row>
    <row r="15" spans="1:21" s="12" customFormat="1" x14ac:dyDescent="0.25">
      <c r="A15" s="201" t="s">
        <v>535</v>
      </c>
      <c r="B15" s="215" t="s">
        <v>31</v>
      </c>
      <c r="C15" s="215" t="s">
        <v>31</v>
      </c>
      <c r="D15" s="215" t="s">
        <v>31</v>
      </c>
      <c r="E15" s="215" t="s">
        <v>31</v>
      </c>
      <c r="F15" s="215" t="s">
        <v>31</v>
      </c>
      <c r="G15" s="215" t="s">
        <v>31</v>
      </c>
      <c r="H15" s="215" t="s">
        <v>31</v>
      </c>
      <c r="I15" s="215" t="s">
        <v>31</v>
      </c>
      <c r="J15" s="215" t="s">
        <v>31</v>
      </c>
      <c r="K15" s="215" t="s">
        <v>31</v>
      </c>
      <c r="L15" s="215" t="s">
        <v>31</v>
      </c>
      <c r="M15" s="215" t="s">
        <v>31</v>
      </c>
      <c r="N15" s="215" t="s">
        <v>31</v>
      </c>
      <c r="O15" s="215" t="s">
        <v>31</v>
      </c>
      <c r="P15" s="215" t="s">
        <v>31</v>
      </c>
      <c r="Q15" s="215" t="s">
        <v>31</v>
      </c>
      <c r="R15" s="198"/>
      <c r="S15" s="198"/>
      <c r="T15" s="198"/>
      <c r="U15" s="198"/>
    </row>
    <row r="16" spans="1:21" s="12" customFormat="1" x14ac:dyDescent="0.25">
      <c r="A16" s="201" t="s">
        <v>536</v>
      </c>
      <c r="B16" s="215" t="s">
        <v>31</v>
      </c>
      <c r="C16" s="215" t="s">
        <v>31</v>
      </c>
      <c r="D16" s="215" t="s">
        <v>31</v>
      </c>
      <c r="E16" s="215" t="s">
        <v>31</v>
      </c>
      <c r="F16" s="215" t="s">
        <v>31</v>
      </c>
      <c r="G16" s="215" t="s">
        <v>31</v>
      </c>
      <c r="H16" s="215" t="s">
        <v>31</v>
      </c>
      <c r="I16" s="215" t="s">
        <v>31</v>
      </c>
      <c r="J16" s="215" t="s">
        <v>31</v>
      </c>
      <c r="K16" s="215" t="s">
        <v>31</v>
      </c>
      <c r="L16" s="215" t="s">
        <v>31</v>
      </c>
      <c r="M16" s="215" t="s">
        <v>31</v>
      </c>
      <c r="N16" s="215" t="s">
        <v>31</v>
      </c>
      <c r="O16" s="215" t="s">
        <v>31</v>
      </c>
      <c r="P16" s="215" t="s">
        <v>31</v>
      </c>
      <c r="Q16" s="215" t="s">
        <v>31</v>
      </c>
      <c r="R16" s="198"/>
      <c r="S16" s="198"/>
      <c r="T16" s="198"/>
      <c r="U16" s="198"/>
    </row>
    <row r="17" spans="1:21" s="12" customFormat="1" x14ac:dyDescent="0.25">
      <c r="A17" s="201" t="s">
        <v>537</v>
      </c>
      <c r="B17" s="215" t="s">
        <v>31</v>
      </c>
      <c r="C17" s="215" t="s">
        <v>31</v>
      </c>
      <c r="D17" s="215" t="s">
        <v>31</v>
      </c>
      <c r="E17" s="215" t="s">
        <v>31</v>
      </c>
      <c r="F17" s="215" t="s">
        <v>31</v>
      </c>
      <c r="G17" s="215" t="s">
        <v>31</v>
      </c>
      <c r="H17" s="215" t="s">
        <v>31</v>
      </c>
      <c r="I17" s="215" t="s">
        <v>31</v>
      </c>
      <c r="J17" s="215" t="s">
        <v>31</v>
      </c>
      <c r="K17" s="215" t="s">
        <v>31</v>
      </c>
      <c r="L17" s="215" t="s">
        <v>31</v>
      </c>
      <c r="M17" s="215" t="s">
        <v>31</v>
      </c>
      <c r="N17" s="215" t="s">
        <v>31</v>
      </c>
      <c r="O17" s="215" t="s">
        <v>31</v>
      </c>
      <c r="P17" s="215" t="s">
        <v>31</v>
      </c>
      <c r="Q17" s="215" t="s">
        <v>31</v>
      </c>
      <c r="R17" s="198"/>
      <c r="S17" s="198"/>
      <c r="T17" s="198"/>
      <c r="U17" s="198"/>
    </row>
    <row r="18" spans="1:21" s="12" customFormat="1" x14ac:dyDescent="0.25">
      <c r="A18" s="201" t="s">
        <v>538</v>
      </c>
      <c r="B18" s="215" t="s">
        <v>31</v>
      </c>
      <c r="C18" s="215" t="s">
        <v>31</v>
      </c>
      <c r="D18" s="215" t="s">
        <v>31</v>
      </c>
      <c r="E18" s="215" t="s">
        <v>31</v>
      </c>
      <c r="F18" s="215" t="s">
        <v>31</v>
      </c>
      <c r="G18" s="215" t="s">
        <v>31</v>
      </c>
      <c r="H18" s="215" t="s">
        <v>31</v>
      </c>
      <c r="I18" s="215" t="s">
        <v>31</v>
      </c>
      <c r="J18" s="215" t="s">
        <v>31</v>
      </c>
      <c r="K18" s="215" t="s">
        <v>31</v>
      </c>
      <c r="L18" s="215" t="s">
        <v>31</v>
      </c>
      <c r="M18" s="215" t="s">
        <v>31</v>
      </c>
      <c r="N18" s="215" t="s">
        <v>31</v>
      </c>
      <c r="O18" s="215" t="s">
        <v>31</v>
      </c>
      <c r="P18" s="215" t="s">
        <v>31</v>
      </c>
      <c r="Q18" s="215" t="s">
        <v>31</v>
      </c>
      <c r="R18" s="198"/>
      <c r="S18" s="198"/>
      <c r="T18" s="198"/>
      <c r="U18" s="198"/>
    </row>
    <row r="19" spans="1:21" s="12" customFormat="1" x14ac:dyDescent="0.25">
      <c r="A19" s="201" t="s">
        <v>539</v>
      </c>
      <c r="B19" s="215" t="s">
        <v>31</v>
      </c>
      <c r="C19" s="215" t="s">
        <v>31</v>
      </c>
      <c r="D19" s="215" t="s">
        <v>31</v>
      </c>
      <c r="E19" s="215" t="s">
        <v>31</v>
      </c>
      <c r="F19" s="215" t="s">
        <v>31</v>
      </c>
      <c r="G19" s="215" t="s">
        <v>31</v>
      </c>
      <c r="H19" s="215" t="s">
        <v>31</v>
      </c>
      <c r="I19" s="215" t="s">
        <v>31</v>
      </c>
      <c r="J19" s="215" t="s">
        <v>31</v>
      </c>
      <c r="K19" s="215" t="s">
        <v>31</v>
      </c>
      <c r="L19" s="215" t="s">
        <v>31</v>
      </c>
      <c r="M19" s="215" t="s">
        <v>31</v>
      </c>
      <c r="N19" s="215" t="s">
        <v>31</v>
      </c>
      <c r="O19" s="215" t="s">
        <v>31</v>
      </c>
      <c r="P19" s="215" t="s">
        <v>31</v>
      </c>
      <c r="Q19" s="215" t="s">
        <v>31</v>
      </c>
      <c r="R19" s="198"/>
      <c r="S19" s="198"/>
      <c r="T19" s="198"/>
      <c r="U19" s="198"/>
    </row>
    <row r="20" spans="1:21" s="12" customFormat="1" x14ac:dyDescent="0.25">
      <c r="A20" s="201" t="s">
        <v>540</v>
      </c>
      <c r="B20" s="215" t="s">
        <v>31</v>
      </c>
      <c r="C20" s="215" t="s">
        <v>31</v>
      </c>
      <c r="D20" s="215" t="s">
        <v>31</v>
      </c>
      <c r="E20" s="215" t="s">
        <v>31</v>
      </c>
      <c r="F20" s="215" t="s">
        <v>31</v>
      </c>
      <c r="G20" s="215" t="s">
        <v>31</v>
      </c>
      <c r="H20" s="215" t="s">
        <v>31</v>
      </c>
      <c r="I20" s="215" t="s">
        <v>31</v>
      </c>
      <c r="J20" s="215" t="s">
        <v>31</v>
      </c>
      <c r="K20" s="215" t="s">
        <v>31</v>
      </c>
      <c r="L20" s="215" t="s">
        <v>31</v>
      </c>
      <c r="M20" s="215" t="s">
        <v>31</v>
      </c>
      <c r="N20" s="215" t="s">
        <v>31</v>
      </c>
      <c r="O20" s="215" t="s">
        <v>31</v>
      </c>
      <c r="P20" s="215" t="s">
        <v>31</v>
      </c>
      <c r="Q20" s="215" t="s">
        <v>31</v>
      </c>
      <c r="R20" s="198"/>
      <c r="S20" s="198"/>
      <c r="T20" s="198"/>
      <c r="U20" s="198"/>
    </row>
    <row r="21" spans="1:21" s="12" customFormat="1" x14ac:dyDescent="0.25">
      <c r="A21" s="201" t="s">
        <v>541</v>
      </c>
      <c r="B21" s="215" t="s">
        <v>31</v>
      </c>
      <c r="C21" s="215" t="s">
        <v>31</v>
      </c>
      <c r="D21" s="215" t="s">
        <v>31</v>
      </c>
      <c r="E21" s="215" t="s">
        <v>31</v>
      </c>
      <c r="F21" s="215" t="s">
        <v>31</v>
      </c>
      <c r="G21" s="215" t="s">
        <v>31</v>
      </c>
      <c r="H21" s="215" t="s">
        <v>31</v>
      </c>
      <c r="I21" s="215" t="s">
        <v>31</v>
      </c>
      <c r="J21" s="215" t="s">
        <v>31</v>
      </c>
      <c r="K21" s="215" t="s">
        <v>31</v>
      </c>
      <c r="L21" s="215" t="s">
        <v>31</v>
      </c>
      <c r="M21" s="215" t="s">
        <v>31</v>
      </c>
      <c r="N21" s="215" t="s">
        <v>31</v>
      </c>
      <c r="O21" s="215" t="s">
        <v>31</v>
      </c>
      <c r="P21" s="215" t="s">
        <v>31</v>
      </c>
      <c r="Q21" s="215" t="s">
        <v>31</v>
      </c>
      <c r="R21" s="198"/>
      <c r="S21" s="198"/>
      <c r="T21" s="198"/>
      <c r="U21" s="198"/>
    </row>
    <row r="22" spans="1:21" s="12" customFormat="1" x14ac:dyDescent="0.25">
      <c r="A22" s="201" t="s">
        <v>542</v>
      </c>
      <c r="B22" s="215" t="s">
        <v>31</v>
      </c>
      <c r="C22" s="215" t="s">
        <v>31</v>
      </c>
      <c r="D22" s="215" t="s">
        <v>31</v>
      </c>
      <c r="E22" s="215" t="s">
        <v>31</v>
      </c>
      <c r="F22" s="215" t="s">
        <v>31</v>
      </c>
      <c r="G22" s="215" t="s">
        <v>31</v>
      </c>
      <c r="H22" s="215" t="s">
        <v>31</v>
      </c>
      <c r="I22" s="215" t="s">
        <v>31</v>
      </c>
      <c r="J22" s="215" t="s">
        <v>31</v>
      </c>
      <c r="K22" s="215" t="s">
        <v>31</v>
      </c>
      <c r="L22" s="215" t="s">
        <v>31</v>
      </c>
      <c r="M22" s="215" t="s">
        <v>31</v>
      </c>
      <c r="N22" s="215" t="s">
        <v>31</v>
      </c>
      <c r="O22" s="215" t="s">
        <v>31</v>
      </c>
      <c r="P22" s="215" t="s">
        <v>31</v>
      </c>
      <c r="Q22" s="215" t="s">
        <v>31</v>
      </c>
      <c r="R22" s="198"/>
      <c r="S22" s="198"/>
      <c r="T22" s="198"/>
      <c r="U22" s="198"/>
    </row>
    <row r="23" spans="1:21" s="12" customFormat="1" x14ac:dyDescent="0.25">
      <c r="A23" s="201" t="s">
        <v>543</v>
      </c>
      <c r="B23" s="215" t="s">
        <v>31</v>
      </c>
      <c r="C23" s="215" t="s">
        <v>31</v>
      </c>
      <c r="D23" s="215" t="s">
        <v>31</v>
      </c>
      <c r="E23" s="215" t="s">
        <v>31</v>
      </c>
      <c r="F23" s="215" t="s">
        <v>31</v>
      </c>
      <c r="G23" s="215" t="s">
        <v>31</v>
      </c>
      <c r="H23" s="215" t="s">
        <v>31</v>
      </c>
      <c r="I23" s="215" t="s">
        <v>31</v>
      </c>
      <c r="J23" s="215" t="s">
        <v>31</v>
      </c>
      <c r="K23" s="215" t="s">
        <v>31</v>
      </c>
      <c r="L23" s="215" t="s">
        <v>31</v>
      </c>
      <c r="M23" s="215" t="s">
        <v>31</v>
      </c>
      <c r="N23" s="215" t="s">
        <v>31</v>
      </c>
      <c r="O23" s="215" t="s">
        <v>31</v>
      </c>
      <c r="P23" s="215" t="s">
        <v>31</v>
      </c>
      <c r="Q23" s="215" t="s">
        <v>31</v>
      </c>
      <c r="R23" s="198"/>
      <c r="S23" s="198"/>
      <c r="T23" s="198"/>
      <c r="U23" s="198"/>
    </row>
    <row r="24" spans="1:21" s="12" customFormat="1" x14ac:dyDescent="0.25">
      <c r="A24" s="201" t="s">
        <v>544</v>
      </c>
      <c r="B24" s="215" t="s">
        <v>31</v>
      </c>
      <c r="C24" s="215" t="s">
        <v>31</v>
      </c>
      <c r="D24" s="215" t="s">
        <v>31</v>
      </c>
      <c r="E24" s="215" t="s">
        <v>31</v>
      </c>
      <c r="F24" s="215" t="s">
        <v>31</v>
      </c>
      <c r="G24" s="215" t="s">
        <v>31</v>
      </c>
      <c r="H24" s="215" t="s">
        <v>31</v>
      </c>
      <c r="I24" s="215" t="s">
        <v>31</v>
      </c>
      <c r="J24" s="215" t="s">
        <v>31</v>
      </c>
      <c r="K24" s="215" t="s">
        <v>31</v>
      </c>
      <c r="L24" s="215" t="s">
        <v>31</v>
      </c>
      <c r="M24" s="215" t="s">
        <v>31</v>
      </c>
      <c r="N24" s="215" t="s">
        <v>31</v>
      </c>
      <c r="O24" s="215" t="s">
        <v>31</v>
      </c>
      <c r="P24" s="215" t="s">
        <v>31</v>
      </c>
      <c r="Q24" s="215" t="s">
        <v>31</v>
      </c>
      <c r="R24" s="198"/>
      <c r="S24" s="198"/>
      <c r="T24" s="198"/>
      <c r="U24" s="198"/>
    </row>
    <row r="25" spans="1:21" s="12" customFormat="1" x14ac:dyDescent="0.25">
      <c r="A25" s="201" t="s">
        <v>545</v>
      </c>
      <c r="B25" s="215" t="s">
        <v>31</v>
      </c>
      <c r="C25" s="215" t="s">
        <v>31</v>
      </c>
      <c r="D25" s="215" t="s">
        <v>31</v>
      </c>
      <c r="E25" s="215" t="s">
        <v>31</v>
      </c>
      <c r="F25" s="215" t="s">
        <v>31</v>
      </c>
      <c r="G25" s="215" t="s">
        <v>31</v>
      </c>
      <c r="H25" s="215" t="s">
        <v>31</v>
      </c>
      <c r="I25" s="215" t="s">
        <v>31</v>
      </c>
      <c r="J25" s="215" t="s">
        <v>31</v>
      </c>
      <c r="K25" s="215" t="s">
        <v>31</v>
      </c>
      <c r="L25" s="215" t="s">
        <v>31</v>
      </c>
      <c r="M25" s="215" t="s">
        <v>31</v>
      </c>
      <c r="N25" s="215" t="s">
        <v>31</v>
      </c>
      <c r="O25" s="215" t="s">
        <v>31</v>
      </c>
      <c r="P25" s="215" t="s">
        <v>31</v>
      </c>
      <c r="Q25" s="215" t="s">
        <v>31</v>
      </c>
      <c r="R25" s="198"/>
      <c r="S25" s="198"/>
      <c r="T25" s="198"/>
      <c r="U25" s="198"/>
    </row>
    <row r="26" spans="1:21" s="12" customFormat="1" x14ac:dyDescent="0.25">
      <c r="A26" s="201" t="s">
        <v>546</v>
      </c>
      <c r="B26" s="215" t="s">
        <v>31</v>
      </c>
      <c r="C26" s="215" t="s">
        <v>31</v>
      </c>
      <c r="D26" s="215" t="s">
        <v>31</v>
      </c>
      <c r="E26" s="215" t="s">
        <v>31</v>
      </c>
      <c r="F26" s="215" t="s">
        <v>31</v>
      </c>
      <c r="G26" s="215" t="s">
        <v>31</v>
      </c>
      <c r="H26" s="215" t="s">
        <v>31</v>
      </c>
      <c r="I26" s="215" t="s">
        <v>31</v>
      </c>
      <c r="J26" s="215" t="s">
        <v>31</v>
      </c>
      <c r="K26" s="215" t="s">
        <v>31</v>
      </c>
      <c r="L26" s="215" t="s">
        <v>31</v>
      </c>
      <c r="M26" s="215" t="s">
        <v>31</v>
      </c>
      <c r="N26" s="215" t="s">
        <v>31</v>
      </c>
      <c r="O26" s="215" t="s">
        <v>31</v>
      </c>
      <c r="P26" s="215" t="s">
        <v>31</v>
      </c>
      <c r="Q26" s="215" t="s">
        <v>31</v>
      </c>
      <c r="R26" s="198"/>
      <c r="S26" s="198"/>
      <c r="T26" s="198"/>
      <c r="U26" s="198"/>
    </row>
    <row r="27" spans="1:21" s="12" customFormat="1" x14ac:dyDescent="0.25">
      <c r="A27" s="201" t="s">
        <v>547</v>
      </c>
      <c r="B27" s="215" t="s">
        <v>31</v>
      </c>
      <c r="C27" s="215" t="s">
        <v>31</v>
      </c>
      <c r="D27" s="215" t="s">
        <v>31</v>
      </c>
      <c r="E27" s="215" t="s">
        <v>31</v>
      </c>
      <c r="F27" s="215" t="s">
        <v>31</v>
      </c>
      <c r="G27" s="215" t="s">
        <v>31</v>
      </c>
      <c r="H27" s="215" t="s">
        <v>31</v>
      </c>
      <c r="I27" s="215" t="s">
        <v>31</v>
      </c>
      <c r="J27" s="215" t="s">
        <v>31</v>
      </c>
      <c r="K27" s="215" t="s">
        <v>31</v>
      </c>
      <c r="L27" s="215" t="s">
        <v>31</v>
      </c>
      <c r="M27" s="215" t="s">
        <v>31</v>
      </c>
      <c r="N27" s="215" t="s">
        <v>31</v>
      </c>
      <c r="O27" s="215" t="s">
        <v>31</v>
      </c>
      <c r="P27" s="215" t="s">
        <v>31</v>
      </c>
      <c r="Q27" s="215" t="s">
        <v>31</v>
      </c>
      <c r="R27" s="198"/>
      <c r="S27" s="198"/>
      <c r="T27" s="198"/>
      <c r="U27" s="198"/>
    </row>
    <row r="28" spans="1:21" s="12" customFormat="1" x14ac:dyDescent="0.25">
      <c r="A28" s="201" t="s">
        <v>548</v>
      </c>
      <c r="B28" s="215" t="s">
        <v>31</v>
      </c>
      <c r="C28" s="215" t="s">
        <v>31</v>
      </c>
      <c r="D28" s="215" t="s">
        <v>31</v>
      </c>
      <c r="E28" s="215" t="s">
        <v>31</v>
      </c>
      <c r="F28" s="215" t="s">
        <v>31</v>
      </c>
      <c r="G28" s="215" t="s">
        <v>31</v>
      </c>
      <c r="H28" s="215" t="s">
        <v>31</v>
      </c>
      <c r="I28" s="215" t="s">
        <v>31</v>
      </c>
      <c r="J28" s="215" t="s">
        <v>31</v>
      </c>
      <c r="K28" s="215" t="s">
        <v>31</v>
      </c>
      <c r="L28" s="215" t="s">
        <v>31</v>
      </c>
      <c r="M28" s="215" t="s">
        <v>31</v>
      </c>
      <c r="N28" s="215" t="s">
        <v>31</v>
      </c>
      <c r="O28" s="215" t="s">
        <v>31</v>
      </c>
      <c r="P28" s="215" t="s">
        <v>31</v>
      </c>
      <c r="Q28" s="215" t="s">
        <v>31</v>
      </c>
      <c r="R28" s="198"/>
      <c r="S28" s="198"/>
      <c r="T28" s="198"/>
      <c r="U28" s="198"/>
    </row>
    <row r="29" spans="1:21" s="12" customFormat="1" x14ac:dyDescent="0.25">
      <c r="A29" s="201" t="s">
        <v>549</v>
      </c>
      <c r="B29" s="215" t="s">
        <v>31</v>
      </c>
      <c r="C29" s="215" t="s">
        <v>31</v>
      </c>
      <c r="D29" s="215" t="s">
        <v>31</v>
      </c>
      <c r="E29" s="215" t="s">
        <v>31</v>
      </c>
      <c r="F29" s="215" t="s">
        <v>31</v>
      </c>
      <c r="G29" s="215" t="s">
        <v>31</v>
      </c>
      <c r="H29" s="215" t="s">
        <v>31</v>
      </c>
      <c r="I29" s="215" t="s">
        <v>31</v>
      </c>
      <c r="J29" s="215" t="s">
        <v>31</v>
      </c>
      <c r="K29" s="215" t="s">
        <v>31</v>
      </c>
      <c r="L29" s="215" t="s">
        <v>31</v>
      </c>
      <c r="M29" s="215" t="s">
        <v>31</v>
      </c>
      <c r="N29" s="215" t="s">
        <v>31</v>
      </c>
      <c r="O29" s="215" t="s">
        <v>31</v>
      </c>
      <c r="P29" s="215" t="s">
        <v>31</v>
      </c>
      <c r="Q29" s="215" t="s">
        <v>31</v>
      </c>
      <c r="R29" s="198"/>
      <c r="S29" s="198"/>
      <c r="T29" s="198"/>
      <c r="U29" s="198"/>
    </row>
    <row r="30" spans="1:21" s="12" customFormat="1" x14ac:dyDescent="0.25">
      <c r="A30" s="201" t="s">
        <v>550</v>
      </c>
      <c r="B30" s="215" t="s">
        <v>31</v>
      </c>
      <c r="C30" s="215" t="s">
        <v>31</v>
      </c>
      <c r="D30" s="215" t="s">
        <v>31</v>
      </c>
      <c r="E30" s="215" t="s">
        <v>31</v>
      </c>
      <c r="F30" s="215" t="s">
        <v>31</v>
      </c>
      <c r="G30" s="215" t="s">
        <v>31</v>
      </c>
      <c r="H30" s="215" t="s">
        <v>31</v>
      </c>
      <c r="I30" s="215" t="s">
        <v>31</v>
      </c>
      <c r="J30" s="215" t="s">
        <v>31</v>
      </c>
      <c r="K30" s="215" t="s">
        <v>31</v>
      </c>
      <c r="L30" s="215" t="s">
        <v>31</v>
      </c>
      <c r="M30" s="215" t="s">
        <v>31</v>
      </c>
      <c r="N30" s="215" t="s">
        <v>31</v>
      </c>
      <c r="O30" s="215" t="s">
        <v>31</v>
      </c>
      <c r="P30" s="215" t="s">
        <v>31</v>
      </c>
      <c r="Q30" s="215" t="s">
        <v>31</v>
      </c>
      <c r="R30" s="198"/>
      <c r="S30" s="198"/>
      <c r="T30" s="198"/>
      <c r="U30" s="198"/>
    </row>
    <row r="31" spans="1:21" s="12" customFormat="1" x14ac:dyDescent="0.25">
      <c r="A31" s="201" t="s">
        <v>551</v>
      </c>
      <c r="B31" s="215" t="s">
        <v>31</v>
      </c>
      <c r="C31" s="215" t="s">
        <v>31</v>
      </c>
      <c r="D31" s="215" t="s">
        <v>31</v>
      </c>
      <c r="E31" s="215" t="s">
        <v>31</v>
      </c>
      <c r="F31" s="215" t="s">
        <v>31</v>
      </c>
      <c r="G31" s="215" t="s">
        <v>31</v>
      </c>
      <c r="H31" s="215" t="s">
        <v>31</v>
      </c>
      <c r="I31" s="215" t="s">
        <v>31</v>
      </c>
      <c r="J31" s="215" t="s">
        <v>31</v>
      </c>
      <c r="K31" s="215" t="s">
        <v>31</v>
      </c>
      <c r="L31" s="215" t="s">
        <v>31</v>
      </c>
      <c r="M31" s="215" t="s">
        <v>31</v>
      </c>
      <c r="N31" s="215" t="s">
        <v>31</v>
      </c>
      <c r="O31" s="215" t="s">
        <v>31</v>
      </c>
      <c r="P31" s="215" t="s">
        <v>31</v>
      </c>
      <c r="Q31" s="215" t="s">
        <v>31</v>
      </c>
      <c r="R31" s="198"/>
      <c r="S31" s="198"/>
      <c r="T31" s="198"/>
      <c r="U31" s="198"/>
    </row>
    <row r="32" spans="1:21" s="12" customFormat="1" x14ac:dyDescent="0.25">
      <c r="A32" s="201" t="s">
        <v>552</v>
      </c>
      <c r="B32" s="215" t="s">
        <v>31</v>
      </c>
      <c r="C32" s="215" t="s">
        <v>31</v>
      </c>
      <c r="D32" s="215" t="s">
        <v>31</v>
      </c>
      <c r="E32" s="215" t="s">
        <v>31</v>
      </c>
      <c r="F32" s="215" t="s">
        <v>31</v>
      </c>
      <c r="G32" s="215" t="s">
        <v>31</v>
      </c>
      <c r="H32" s="215" t="s">
        <v>31</v>
      </c>
      <c r="I32" s="215" t="s">
        <v>31</v>
      </c>
      <c r="J32" s="215" t="s">
        <v>31</v>
      </c>
      <c r="K32" s="215" t="s">
        <v>31</v>
      </c>
      <c r="L32" s="215" t="s">
        <v>31</v>
      </c>
      <c r="M32" s="215" t="s">
        <v>31</v>
      </c>
      <c r="N32" s="215" t="s">
        <v>31</v>
      </c>
      <c r="O32" s="215" t="s">
        <v>31</v>
      </c>
      <c r="P32" s="215" t="s">
        <v>31</v>
      </c>
      <c r="Q32" s="215" t="s">
        <v>31</v>
      </c>
      <c r="R32" s="198"/>
      <c r="S32" s="198"/>
      <c r="T32" s="198"/>
      <c r="U32" s="198"/>
    </row>
    <row r="33" spans="1:21" s="12" customFormat="1" x14ac:dyDescent="0.25">
      <c r="A33" s="201" t="s">
        <v>553</v>
      </c>
      <c r="B33" s="215" t="s">
        <v>31</v>
      </c>
      <c r="C33" s="215" t="s">
        <v>31</v>
      </c>
      <c r="D33" s="215" t="s">
        <v>31</v>
      </c>
      <c r="E33" s="215" t="s">
        <v>31</v>
      </c>
      <c r="F33" s="215" t="s">
        <v>31</v>
      </c>
      <c r="G33" s="215" t="s">
        <v>31</v>
      </c>
      <c r="H33" s="215" t="s">
        <v>31</v>
      </c>
      <c r="I33" s="215" t="s">
        <v>31</v>
      </c>
      <c r="J33" s="215" t="s">
        <v>31</v>
      </c>
      <c r="K33" s="215" t="s">
        <v>31</v>
      </c>
      <c r="L33" s="215" t="s">
        <v>31</v>
      </c>
      <c r="M33" s="215" t="s">
        <v>31</v>
      </c>
      <c r="N33" s="215" t="s">
        <v>31</v>
      </c>
      <c r="O33" s="215" t="s">
        <v>31</v>
      </c>
      <c r="P33" s="215" t="s">
        <v>31</v>
      </c>
      <c r="Q33" s="215" t="s">
        <v>31</v>
      </c>
      <c r="R33" s="198"/>
      <c r="S33" s="198"/>
      <c r="T33" s="198"/>
      <c r="U33" s="198"/>
    </row>
    <row r="34" spans="1:21" s="12" customFormat="1" x14ac:dyDescent="0.25">
      <c r="A34" s="201" t="s">
        <v>554</v>
      </c>
      <c r="B34" s="215" t="s">
        <v>31</v>
      </c>
      <c r="C34" s="215" t="s">
        <v>31</v>
      </c>
      <c r="D34" s="215" t="s">
        <v>31</v>
      </c>
      <c r="E34" s="215" t="s">
        <v>31</v>
      </c>
      <c r="F34" s="215" t="s">
        <v>31</v>
      </c>
      <c r="G34" s="215" t="s">
        <v>31</v>
      </c>
      <c r="H34" s="215" t="s">
        <v>31</v>
      </c>
      <c r="I34" s="215" t="s">
        <v>31</v>
      </c>
      <c r="J34" s="215" t="s">
        <v>31</v>
      </c>
      <c r="K34" s="215" t="s">
        <v>31</v>
      </c>
      <c r="L34" s="215" t="s">
        <v>31</v>
      </c>
      <c r="M34" s="215" t="s">
        <v>31</v>
      </c>
      <c r="N34" s="215" t="s">
        <v>31</v>
      </c>
      <c r="O34" s="215" t="s">
        <v>31</v>
      </c>
      <c r="P34" s="215" t="s">
        <v>31</v>
      </c>
      <c r="Q34" s="215" t="s">
        <v>31</v>
      </c>
      <c r="R34" s="198"/>
      <c r="S34" s="198"/>
      <c r="T34" s="198"/>
      <c r="U34" s="198"/>
    </row>
    <row r="35" spans="1:21" s="12" customFormat="1" x14ac:dyDescent="0.25">
      <c r="A35" s="201" t="s">
        <v>555</v>
      </c>
      <c r="B35" s="215" t="s">
        <v>31</v>
      </c>
      <c r="C35" s="215" t="s">
        <v>31</v>
      </c>
      <c r="D35" s="215" t="s">
        <v>31</v>
      </c>
      <c r="E35" s="215" t="s">
        <v>31</v>
      </c>
      <c r="F35" s="215" t="s">
        <v>31</v>
      </c>
      <c r="G35" s="215" t="s">
        <v>31</v>
      </c>
      <c r="H35" s="215" t="s">
        <v>31</v>
      </c>
      <c r="I35" s="215" t="s">
        <v>31</v>
      </c>
      <c r="J35" s="215" t="s">
        <v>31</v>
      </c>
      <c r="K35" s="215" t="s">
        <v>31</v>
      </c>
      <c r="L35" s="215" t="s">
        <v>31</v>
      </c>
      <c r="M35" s="215" t="s">
        <v>31</v>
      </c>
      <c r="N35" s="215" t="s">
        <v>31</v>
      </c>
      <c r="O35" s="215" t="s">
        <v>31</v>
      </c>
      <c r="P35" s="215" t="s">
        <v>31</v>
      </c>
      <c r="Q35" s="215" t="s">
        <v>31</v>
      </c>
      <c r="R35" s="198"/>
      <c r="S35" s="198"/>
      <c r="T35" s="198"/>
      <c r="U35" s="198"/>
    </row>
    <row r="36" spans="1:21" s="12" customFormat="1" x14ac:dyDescent="0.25">
      <c r="A36" s="201" t="s">
        <v>556</v>
      </c>
      <c r="B36" s="215" t="s">
        <v>31</v>
      </c>
      <c r="C36" s="215" t="s">
        <v>31</v>
      </c>
      <c r="D36" s="215" t="s">
        <v>31</v>
      </c>
      <c r="E36" s="215" t="s">
        <v>31</v>
      </c>
      <c r="F36" s="215" t="s">
        <v>31</v>
      </c>
      <c r="G36" s="215" t="s">
        <v>31</v>
      </c>
      <c r="H36" s="215" t="s">
        <v>31</v>
      </c>
      <c r="I36" s="215" t="s">
        <v>31</v>
      </c>
      <c r="J36" s="215" t="s">
        <v>31</v>
      </c>
      <c r="K36" s="215" t="s">
        <v>31</v>
      </c>
      <c r="L36" s="215" t="s">
        <v>31</v>
      </c>
      <c r="M36" s="215" t="s">
        <v>31</v>
      </c>
      <c r="N36" s="215" t="s">
        <v>31</v>
      </c>
      <c r="O36" s="215" t="s">
        <v>31</v>
      </c>
      <c r="P36" s="215" t="s">
        <v>31</v>
      </c>
      <c r="Q36" s="215" t="s">
        <v>31</v>
      </c>
      <c r="R36" s="198"/>
      <c r="S36" s="198"/>
      <c r="T36" s="198"/>
      <c r="U36" s="198"/>
    </row>
    <row r="37" spans="1:21" s="12" customFormat="1" x14ac:dyDescent="0.25">
      <c r="A37" s="201" t="s">
        <v>557</v>
      </c>
      <c r="B37" s="215" t="s">
        <v>31</v>
      </c>
      <c r="C37" s="215" t="s">
        <v>31</v>
      </c>
      <c r="D37" s="215" t="s">
        <v>31</v>
      </c>
      <c r="E37" s="215" t="s">
        <v>31</v>
      </c>
      <c r="F37" s="215" t="s">
        <v>31</v>
      </c>
      <c r="G37" s="215" t="s">
        <v>31</v>
      </c>
      <c r="H37" s="215" t="s">
        <v>31</v>
      </c>
      <c r="I37" s="215" t="s">
        <v>31</v>
      </c>
      <c r="J37" s="215" t="s">
        <v>31</v>
      </c>
      <c r="K37" s="215" t="s">
        <v>31</v>
      </c>
      <c r="L37" s="215" t="s">
        <v>31</v>
      </c>
      <c r="M37" s="215" t="s">
        <v>31</v>
      </c>
      <c r="N37" s="215" t="s">
        <v>31</v>
      </c>
      <c r="O37" s="215" t="s">
        <v>31</v>
      </c>
      <c r="P37" s="215" t="s">
        <v>31</v>
      </c>
      <c r="Q37" s="215" t="s">
        <v>31</v>
      </c>
      <c r="R37" s="198"/>
      <c r="S37" s="198"/>
      <c r="T37" s="198"/>
      <c r="U37" s="198"/>
    </row>
    <row r="38" spans="1:21" s="12" customFormat="1" x14ac:dyDescent="0.25">
      <c r="A38" s="201" t="s">
        <v>558</v>
      </c>
      <c r="B38" s="215" t="s">
        <v>31</v>
      </c>
      <c r="C38" s="215" t="s">
        <v>31</v>
      </c>
      <c r="D38" s="215" t="s">
        <v>31</v>
      </c>
      <c r="E38" s="215" t="s">
        <v>31</v>
      </c>
      <c r="F38" s="215" t="s">
        <v>31</v>
      </c>
      <c r="G38" s="215" t="s">
        <v>31</v>
      </c>
      <c r="H38" s="215" t="s">
        <v>31</v>
      </c>
      <c r="I38" s="215" t="s">
        <v>31</v>
      </c>
      <c r="J38" s="215" t="s">
        <v>31</v>
      </c>
      <c r="K38" s="215" t="s">
        <v>31</v>
      </c>
      <c r="L38" s="215" t="s">
        <v>31</v>
      </c>
      <c r="M38" s="215" t="s">
        <v>31</v>
      </c>
      <c r="N38" s="215" t="s">
        <v>31</v>
      </c>
      <c r="O38" s="215" t="s">
        <v>31</v>
      </c>
      <c r="P38" s="215" t="s">
        <v>31</v>
      </c>
      <c r="Q38" s="215" t="s">
        <v>31</v>
      </c>
      <c r="R38" s="198"/>
      <c r="S38" s="198"/>
      <c r="T38" s="198"/>
      <c r="U38" s="198"/>
    </row>
    <row r="39" spans="1:21" s="12" customFormat="1" x14ac:dyDescent="0.25">
      <c r="A39" s="201" t="s">
        <v>559</v>
      </c>
      <c r="B39" s="215" t="s">
        <v>31</v>
      </c>
      <c r="C39" s="215" t="s">
        <v>31</v>
      </c>
      <c r="D39" s="215" t="s">
        <v>31</v>
      </c>
      <c r="E39" s="215" t="s">
        <v>31</v>
      </c>
      <c r="F39" s="215" t="s">
        <v>31</v>
      </c>
      <c r="G39" s="215" t="s">
        <v>31</v>
      </c>
      <c r="H39" s="215" t="s">
        <v>31</v>
      </c>
      <c r="I39" s="215" t="s">
        <v>31</v>
      </c>
      <c r="J39" s="215" t="s">
        <v>31</v>
      </c>
      <c r="K39" s="215" t="s">
        <v>31</v>
      </c>
      <c r="L39" s="215" t="s">
        <v>31</v>
      </c>
      <c r="M39" s="215" t="s">
        <v>31</v>
      </c>
      <c r="N39" s="215" t="s">
        <v>31</v>
      </c>
      <c r="O39" s="215" t="s">
        <v>31</v>
      </c>
      <c r="P39" s="215" t="s">
        <v>31</v>
      </c>
      <c r="Q39" s="215" t="s">
        <v>31</v>
      </c>
      <c r="R39" s="198"/>
      <c r="S39" s="198"/>
      <c r="T39" s="198"/>
      <c r="U39" s="198"/>
    </row>
    <row r="40" spans="1:21" s="12" customFormat="1" x14ac:dyDescent="0.25">
      <c r="A40" s="201" t="s">
        <v>560</v>
      </c>
      <c r="B40" s="215" t="s">
        <v>31</v>
      </c>
      <c r="C40" s="215" t="s">
        <v>31</v>
      </c>
      <c r="D40" s="215" t="s">
        <v>31</v>
      </c>
      <c r="E40" s="215" t="s">
        <v>31</v>
      </c>
      <c r="F40" s="215" t="s">
        <v>31</v>
      </c>
      <c r="G40" s="215" t="s">
        <v>31</v>
      </c>
      <c r="H40" s="215" t="s">
        <v>31</v>
      </c>
      <c r="I40" s="215" t="s">
        <v>31</v>
      </c>
      <c r="J40" s="215" t="s">
        <v>31</v>
      </c>
      <c r="K40" s="215" t="s">
        <v>31</v>
      </c>
      <c r="L40" s="215" t="s">
        <v>31</v>
      </c>
      <c r="M40" s="215" t="s">
        <v>31</v>
      </c>
      <c r="N40" s="215" t="s">
        <v>31</v>
      </c>
      <c r="O40" s="215" t="s">
        <v>31</v>
      </c>
      <c r="P40" s="215" t="s">
        <v>31</v>
      </c>
      <c r="Q40" s="215" t="s">
        <v>31</v>
      </c>
      <c r="R40" s="198"/>
      <c r="S40" s="198"/>
      <c r="T40" s="198"/>
      <c r="U40" s="198"/>
    </row>
    <row r="41" spans="1:21" s="12" customFormat="1" x14ac:dyDescent="0.25">
      <c r="A41" s="201" t="s">
        <v>561</v>
      </c>
      <c r="B41" s="215" t="s">
        <v>31</v>
      </c>
      <c r="C41" s="215" t="s">
        <v>31</v>
      </c>
      <c r="D41" s="215" t="s">
        <v>31</v>
      </c>
      <c r="E41" s="215" t="s">
        <v>31</v>
      </c>
      <c r="F41" s="215" t="s">
        <v>31</v>
      </c>
      <c r="G41" s="215" t="s">
        <v>31</v>
      </c>
      <c r="H41" s="215" t="s">
        <v>31</v>
      </c>
      <c r="I41" s="215" t="s">
        <v>31</v>
      </c>
      <c r="J41" s="215" t="s">
        <v>31</v>
      </c>
      <c r="K41" s="215" t="s">
        <v>31</v>
      </c>
      <c r="L41" s="215" t="s">
        <v>31</v>
      </c>
      <c r="M41" s="215" t="s">
        <v>31</v>
      </c>
      <c r="N41" s="215" t="s">
        <v>31</v>
      </c>
      <c r="O41" s="215" t="s">
        <v>31</v>
      </c>
      <c r="P41" s="215" t="s">
        <v>31</v>
      </c>
      <c r="Q41" s="215" t="s">
        <v>31</v>
      </c>
      <c r="R41" s="198"/>
      <c r="S41" s="198"/>
      <c r="T41" s="198"/>
      <c r="U41" s="198"/>
    </row>
    <row r="42" spans="1:21" s="12" customFormat="1" x14ac:dyDescent="0.25">
      <c r="A42" s="201" t="s">
        <v>562</v>
      </c>
      <c r="B42" s="215" t="s">
        <v>31</v>
      </c>
      <c r="C42" s="215" t="s">
        <v>31</v>
      </c>
      <c r="D42" s="215" t="s">
        <v>31</v>
      </c>
      <c r="E42" s="215" t="s">
        <v>31</v>
      </c>
      <c r="F42" s="215" t="s">
        <v>31</v>
      </c>
      <c r="G42" s="215" t="s">
        <v>31</v>
      </c>
      <c r="H42" s="215" t="s">
        <v>31</v>
      </c>
      <c r="I42" s="215" t="s">
        <v>31</v>
      </c>
      <c r="J42" s="215" t="s">
        <v>31</v>
      </c>
      <c r="K42" s="215" t="s">
        <v>31</v>
      </c>
      <c r="L42" s="215" t="s">
        <v>31</v>
      </c>
      <c r="M42" s="215" t="s">
        <v>31</v>
      </c>
      <c r="N42" s="215" t="s">
        <v>31</v>
      </c>
      <c r="O42" s="215" t="s">
        <v>31</v>
      </c>
      <c r="P42" s="215" t="s">
        <v>31</v>
      </c>
      <c r="Q42" s="215" t="s">
        <v>31</v>
      </c>
      <c r="R42" s="198"/>
      <c r="S42" s="198"/>
      <c r="T42" s="198"/>
      <c r="U42" s="198"/>
    </row>
    <row r="43" spans="1:21" s="12" customFormat="1" x14ac:dyDescent="0.25">
      <c r="A43" s="201" t="s">
        <v>563</v>
      </c>
      <c r="B43" s="215" t="s">
        <v>31</v>
      </c>
      <c r="C43" s="215" t="s">
        <v>31</v>
      </c>
      <c r="D43" s="215" t="s">
        <v>31</v>
      </c>
      <c r="E43" s="215" t="s">
        <v>31</v>
      </c>
      <c r="F43" s="215" t="s">
        <v>31</v>
      </c>
      <c r="G43" s="215" t="s">
        <v>31</v>
      </c>
      <c r="H43" s="215" t="s">
        <v>31</v>
      </c>
      <c r="I43" s="215" t="s">
        <v>31</v>
      </c>
      <c r="J43" s="215" t="s">
        <v>31</v>
      </c>
      <c r="K43" s="215" t="s">
        <v>31</v>
      </c>
      <c r="L43" s="215" t="s">
        <v>31</v>
      </c>
      <c r="M43" s="215" t="s">
        <v>31</v>
      </c>
      <c r="N43" s="215" t="s">
        <v>31</v>
      </c>
      <c r="O43" s="215" t="s">
        <v>31</v>
      </c>
      <c r="P43" s="215" t="s">
        <v>31</v>
      </c>
      <c r="Q43" s="215" t="s">
        <v>31</v>
      </c>
      <c r="R43" s="198"/>
      <c r="S43" s="198"/>
      <c r="T43" s="198"/>
      <c r="U43" s="198"/>
    </row>
    <row r="44" spans="1:21" s="12" customFormat="1" x14ac:dyDescent="0.25">
      <c r="A44" s="201" t="s">
        <v>564</v>
      </c>
      <c r="B44" s="215" t="s">
        <v>31</v>
      </c>
      <c r="C44" s="215" t="s">
        <v>31</v>
      </c>
      <c r="D44" s="215" t="s">
        <v>31</v>
      </c>
      <c r="E44" s="215" t="s">
        <v>31</v>
      </c>
      <c r="F44" s="215" t="s">
        <v>31</v>
      </c>
      <c r="G44" s="215" t="s">
        <v>31</v>
      </c>
      <c r="H44" s="215" t="s">
        <v>31</v>
      </c>
      <c r="I44" s="215" t="s">
        <v>31</v>
      </c>
      <c r="J44" s="215" t="s">
        <v>31</v>
      </c>
      <c r="K44" s="215" t="s">
        <v>31</v>
      </c>
      <c r="L44" s="215" t="s">
        <v>31</v>
      </c>
      <c r="M44" s="215" t="s">
        <v>31</v>
      </c>
      <c r="N44" s="215" t="s">
        <v>31</v>
      </c>
      <c r="O44" s="215" t="s">
        <v>31</v>
      </c>
      <c r="P44" s="215" t="s">
        <v>31</v>
      </c>
      <c r="Q44" s="215" t="s">
        <v>31</v>
      </c>
      <c r="R44" s="198"/>
      <c r="S44" s="198"/>
      <c r="T44" s="198"/>
      <c r="U44" s="198"/>
    </row>
    <row r="45" spans="1:21" s="12" customFormat="1" x14ac:dyDescent="0.25">
      <c r="A45" s="201" t="s">
        <v>565</v>
      </c>
      <c r="B45" s="215" t="s">
        <v>31</v>
      </c>
      <c r="C45" s="215" t="s">
        <v>31</v>
      </c>
      <c r="D45" s="215" t="s">
        <v>31</v>
      </c>
      <c r="E45" s="215" t="s">
        <v>31</v>
      </c>
      <c r="F45" s="215" t="s">
        <v>31</v>
      </c>
      <c r="G45" s="215" t="s">
        <v>31</v>
      </c>
      <c r="H45" s="215" t="s">
        <v>31</v>
      </c>
      <c r="I45" s="215" t="s">
        <v>31</v>
      </c>
      <c r="J45" s="215" t="s">
        <v>31</v>
      </c>
      <c r="K45" s="215" t="s">
        <v>31</v>
      </c>
      <c r="L45" s="215" t="s">
        <v>31</v>
      </c>
      <c r="M45" s="215" t="s">
        <v>31</v>
      </c>
      <c r="N45" s="215" t="s">
        <v>31</v>
      </c>
      <c r="O45" s="215" t="s">
        <v>31</v>
      </c>
      <c r="P45" s="215" t="s">
        <v>31</v>
      </c>
      <c r="Q45" s="215" t="s">
        <v>31</v>
      </c>
      <c r="R45" s="198"/>
      <c r="S45" s="198"/>
      <c r="T45" s="198"/>
      <c r="U45" s="198"/>
    </row>
    <row r="46" spans="1:21" s="12" customFormat="1" x14ac:dyDescent="0.25">
      <c r="A46" s="201" t="s">
        <v>566</v>
      </c>
      <c r="B46" s="215" t="s">
        <v>31</v>
      </c>
      <c r="C46" s="215" t="s">
        <v>31</v>
      </c>
      <c r="D46" s="215" t="s">
        <v>31</v>
      </c>
      <c r="E46" s="215" t="s">
        <v>31</v>
      </c>
      <c r="F46" s="215" t="s">
        <v>31</v>
      </c>
      <c r="G46" s="215" t="s">
        <v>31</v>
      </c>
      <c r="H46" s="215" t="s">
        <v>31</v>
      </c>
      <c r="I46" s="215" t="s">
        <v>31</v>
      </c>
      <c r="J46" s="215" t="s">
        <v>31</v>
      </c>
      <c r="K46" s="215" t="s">
        <v>31</v>
      </c>
      <c r="L46" s="215" t="s">
        <v>31</v>
      </c>
      <c r="M46" s="215" t="s">
        <v>31</v>
      </c>
      <c r="N46" s="215" t="s">
        <v>31</v>
      </c>
      <c r="O46" s="215" t="s">
        <v>31</v>
      </c>
      <c r="P46" s="215" t="s">
        <v>31</v>
      </c>
      <c r="Q46" s="215" t="s">
        <v>31</v>
      </c>
      <c r="R46" s="198"/>
      <c r="S46" s="198"/>
      <c r="T46" s="198"/>
      <c r="U46" s="198"/>
    </row>
    <row r="47" spans="1:21" s="12" customFormat="1" x14ac:dyDescent="0.25">
      <c r="A47" s="201" t="s">
        <v>567</v>
      </c>
      <c r="B47" s="215" t="s">
        <v>31</v>
      </c>
      <c r="C47" s="215" t="s">
        <v>31</v>
      </c>
      <c r="D47" s="215" t="s">
        <v>31</v>
      </c>
      <c r="E47" s="215" t="s">
        <v>31</v>
      </c>
      <c r="F47" s="215" t="s">
        <v>31</v>
      </c>
      <c r="G47" s="215" t="s">
        <v>31</v>
      </c>
      <c r="H47" s="215" t="s">
        <v>31</v>
      </c>
      <c r="I47" s="215" t="s">
        <v>31</v>
      </c>
      <c r="J47" s="215" t="s">
        <v>31</v>
      </c>
      <c r="K47" s="215" t="s">
        <v>31</v>
      </c>
      <c r="L47" s="215" t="s">
        <v>31</v>
      </c>
      <c r="M47" s="215" t="s">
        <v>31</v>
      </c>
      <c r="N47" s="215" t="s">
        <v>31</v>
      </c>
      <c r="O47" s="215" t="s">
        <v>31</v>
      </c>
      <c r="P47" s="215" t="s">
        <v>31</v>
      </c>
      <c r="Q47" s="215" t="s">
        <v>31</v>
      </c>
      <c r="R47" s="198"/>
      <c r="S47" s="198"/>
      <c r="T47" s="198"/>
      <c r="U47" s="198"/>
    </row>
    <row r="48" spans="1:21" s="12" customFormat="1" x14ac:dyDescent="0.25">
      <c r="A48" s="201" t="s">
        <v>568</v>
      </c>
      <c r="B48" s="215" t="s">
        <v>31</v>
      </c>
      <c r="C48" s="215" t="s">
        <v>31</v>
      </c>
      <c r="D48" s="215" t="s">
        <v>31</v>
      </c>
      <c r="E48" s="215" t="s">
        <v>31</v>
      </c>
      <c r="F48" s="215" t="s">
        <v>31</v>
      </c>
      <c r="G48" s="215" t="s">
        <v>31</v>
      </c>
      <c r="H48" s="215" t="s">
        <v>31</v>
      </c>
      <c r="I48" s="215" t="s">
        <v>31</v>
      </c>
      <c r="J48" s="215" t="s">
        <v>31</v>
      </c>
      <c r="K48" s="215" t="s">
        <v>31</v>
      </c>
      <c r="L48" s="215" t="s">
        <v>31</v>
      </c>
      <c r="M48" s="215" t="s">
        <v>31</v>
      </c>
      <c r="N48" s="215" t="s">
        <v>31</v>
      </c>
      <c r="O48" s="215" t="s">
        <v>31</v>
      </c>
      <c r="P48" s="215" t="s">
        <v>31</v>
      </c>
      <c r="Q48" s="215" t="s">
        <v>31</v>
      </c>
      <c r="R48" s="198"/>
      <c r="S48" s="198"/>
      <c r="T48" s="198"/>
      <c r="U48" s="198"/>
    </row>
    <row r="49" spans="1:21" s="12" customFormat="1" x14ac:dyDescent="0.25">
      <c r="A49" s="201" t="s">
        <v>569</v>
      </c>
      <c r="B49" s="215" t="s">
        <v>31</v>
      </c>
      <c r="C49" s="215" t="s">
        <v>31</v>
      </c>
      <c r="D49" s="215" t="s">
        <v>31</v>
      </c>
      <c r="E49" s="215" t="s">
        <v>31</v>
      </c>
      <c r="F49" s="215" t="s">
        <v>31</v>
      </c>
      <c r="G49" s="215" t="s">
        <v>31</v>
      </c>
      <c r="H49" s="215" t="s">
        <v>31</v>
      </c>
      <c r="I49" s="215" t="s">
        <v>31</v>
      </c>
      <c r="J49" s="215" t="s">
        <v>31</v>
      </c>
      <c r="K49" s="215" t="s">
        <v>31</v>
      </c>
      <c r="L49" s="215" t="s">
        <v>31</v>
      </c>
      <c r="M49" s="215" t="s">
        <v>31</v>
      </c>
      <c r="N49" s="215" t="s">
        <v>31</v>
      </c>
      <c r="O49" s="215" t="s">
        <v>31</v>
      </c>
      <c r="P49" s="215" t="s">
        <v>31</v>
      </c>
      <c r="Q49" s="215" t="s">
        <v>31</v>
      </c>
      <c r="R49" s="198"/>
      <c r="S49" s="198"/>
      <c r="T49" s="198"/>
      <c r="U49" s="198"/>
    </row>
    <row r="50" spans="1:21" s="12" customFormat="1" x14ac:dyDescent="0.25">
      <c r="A50" s="201" t="s">
        <v>570</v>
      </c>
      <c r="B50" s="215" t="s">
        <v>31</v>
      </c>
      <c r="C50" s="215" t="s">
        <v>31</v>
      </c>
      <c r="D50" s="215" t="s">
        <v>31</v>
      </c>
      <c r="E50" s="215" t="s">
        <v>31</v>
      </c>
      <c r="F50" s="215" t="s">
        <v>31</v>
      </c>
      <c r="G50" s="215" t="s">
        <v>31</v>
      </c>
      <c r="H50" s="215" t="s">
        <v>31</v>
      </c>
      <c r="I50" s="215" t="s">
        <v>31</v>
      </c>
      <c r="J50" s="215" t="s">
        <v>31</v>
      </c>
      <c r="K50" s="215" t="s">
        <v>31</v>
      </c>
      <c r="L50" s="215" t="s">
        <v>31</v>
      </c>
      <c r="M50" s="215" t="s">
        <v>31</v>
      </c>
      <c r="N50" s="215" t="s">
        <v>31</v>
      </c>
      <c r="O50" s="215" t="s">
        <v>31</v>
      </c>
      <c r="P50" s="215" t="s">
        <v>31</v>
      </c>
      <c r="Q50" s="215" t="s">
        <v>31</v>
      </c>
      <c r="R50" s="198"/>
      <c r="S50" s="198"/>
      <c r="T50" s="198"/>
      <c r="U50" s="198"/>
    </row>
    <row r="51" spans="1:21" s="12" customFormat="1" x14ac:dyDescent="0.25">
      <c r="A51" s="201" t="s">
        <v>571</v>
      </c>
      <c r="B51" s="215" t="s">
        <v>31</v>
      </c>
      <c r="C51" s="215" t="s">
        <v>31</v>
      </c>
      <c r="D51" s="215" t="s">
        <v>31</v>
      </c>
      <c r="E51" s="215" t="s">
        <v>31</v>
      </c>
      <c r="F51" s="215" t="s">
        <v>31</v>
      </c>
      <c r="G51" s="215" t="s">
        <v>31</v>
      </c>
      <c r="H51" s="215" t="s">
        <v>31</v>
      </c>
      <c r="I51" s="215" t="s">
        <v>31</v>
      </c>
      <c r="J51" s="215" t="s">
        <v>31</v>
      </c>
      <c r="K51" s="215" t="s">
        <v>31</v>
      </c>
      <c r="L51" s="215" t="s">
        <v>31</v>
      </c>
      <c r="M51" s="215" t="s">
        <v>31</v>
      </c>
      <c r="N51" s="215" t="s">
        <v>31</v>
      </c>
      <c r="O51" s="215" t="s">
        <v>31</v>
      </c>
      <c r="P51" s="215" t="s">
        <v>31</v>
      </c>
      <c r="Q51" s="215" t="s">
        <v>31</v>
      </c>
      <c r="R51" s="198"/>
      <c r="S51" s="198"/>
      <c r="T51" s="198"/>
      <c r="U51" s="198"/>
    </row>
    <row r="52" spans="1:21" s="12" customFormat="1" x14ac:dyDescent="0.25">
      <c r="A52" s="201" t="s">
        <v>572</v>
      </c>
      <c r="B52" s="215" t="s">
        <v>31</v>
      </c>
      <c r="C52" s="215" t="s">
        <v>31</v>
      </c>
      <c r="D52" s="215" t="s">
        <v>31</v>
      </c>
      <c r="E52" s="215" t="s">
        <v>31</v>
      </c>
      <c r="F52" s="215" t="s">
        <v>31</v>
      </c>
      <c r="G52" s="215" t="s">
        <v>31</v>
      </c>
      <c r="H52" s="215" t="s">
        <v>31</v>
      </c>
      <c r="I52" s="215" t="s">
        <v>31</v>
      </c>
      <c r="J52" s="215" t="s">
        <v>31</v>
      </c>
      <c r="K52" s="215" t="s">
        <v>31</v>
      </c>
      <c r="L52" s="215" t="s">
        <v>31</v>
      </c>
      <c r="M52" s="215" t="s">
        <v>31</v>
      </c>
      <c r="N52" s="215" t="s">
        <v>31</v>
      </c>
      <c r="O52" s="215" t="s">
        <v>31</v>
      </c>
      <c r="P52" s="215" t="s">
        <v>31</v>
      </c>
      <c r="Q52" s="215" t="s">
        <v>31</v>
      </c>
      <c r="R52" s="198"/>
      <c r="S52" s="198"/>
      <c r="T52" s="198"/>
      <c r="U52" s="198"/>
    </row>
    <row r="53" spans="1:21" s="12" customFormat="1" x14ac:dyDescent="0.25">
      <c r="A53" s="201" t="s">
        <v>573</v>
      </c>
      <c r="B53" s="215" t="s">
        <v>31</v>
      </c>
      <c r="C53" s="215" t="s">
        <v>31</v>
      </c>
      <c r="D53" s="215" t="s">
        <v>31</v>
      </c>
      <c r="E53" s="215" t="s">
        <v>31</v>
      </c>
      <c r="F53" s="215" t="s">
        <v>31</v>
      </c>
      <c r="G53" s="215" t="s">
        <v>31</v>
      </c>
      <c r="H53" s="215" t="s">
        <v>31</v>
      </c>
      <c r="I53" s="215" t="s">
        <v>31</v>
      </c>
      <c r="J53" s="215" t="s">
        <v>31</v>
      </c>
      <c r="K53" s="215" t="s">
        <v>31</v>
      </c>
      <c r="L53" s="215" t="s">
        <v>31</v>
      </c>
      <c r="M53" s="215" t="s">
        <v>31</v>
      </c>
      <c r="N53" s="215" t="s">
        <v>31</v>
      </c>
      <c r="O53" s="215" t="s">
        <v>31</v>
      </c>
      <c r="P53" s="215" t="s">
        <v>31</v>
      </c>
      <c r="Q53" s="215" t="s">
        <v>31</v>
      </c>
      <c r="R53" s="198"/>
      <c r="S53" s="198"/>
      <c r="T53" s="198"/>
      <c r="U53" s="198"/>
    </row>
    <row r="54" spans="1:21" s="12" customFormat="1" x14ac:dyDescent="0.25">
      <c r="A54" s="201" t="s">
        <v>574</v>
      </c>
      <c r="B54" s="215" t="s">
        <v>31</v>
      </c>
      <c r="C54" s="215" t="s">
        <v>31</v>
      </c>
      <c r="D54" s="215" t="s">
        <v>31</v>
      </c>
      <c r="E54" s="215" t="s">
        <v>31</v>
      </c>
      <c r="F54" s="215" t="s">
        <v>31</v>
      </c>
      <c r="G54" s="215" t="s">
        <v>31</v>
      </c>
      <c r="H54" s="215" t="s">
        <v>31</v>
      </c>
      <c r="I54" s="215" t="s">
        <v>31</v>
      </c>
      <c r="J54" s="215" t="s">
        <v>31</v>
      </c>
      <c r="K54" s="215" t="s">
        <v>31</v>
      </c>
      <c r="L54" s="215" t="s">
        <v>31</v>
      </c>
      <c r="M54" s="215" t="s">
        <v>31</v>
      </c>
      <c r="N54" s="215" t="s">
        <v>31</v>
      </c>
      <c r="O54" s="215" t="s">
        <v>31</v>
      </c>
      <c r="P54" s="215" t="s">
        <v>31</v>
      </c>
      <c r="Q54" s="215" t="s">
        <v>31</v>
      </c>
      <c r="R54" s="198"/>
      <c r="S54" s="198"/>
      <c r="T54" s="198"/>
      <c r="U54" s="198"/>
    </row>
    <row r="55" spans="1:21" s="12" customFormat="1" x14ac:dyDescent="0.25">
      <c r="A55" s="201" t="s">
        <v>575</v>
      </c>
      <c r="B55" s="215" t="s">
        <v>31</v>
      </c>
      <c r="C55" s="215" t="s">
        <v>31</v>
      </c>
      <c r="D55" s="215" t="s">
        <v>31</v>
      </c>
      <c r="E55" s="215" t="s">
        <v>31</v>
      </c>
      <c r="F55" s="215" t="s">
        <v>31</v>
      </c>
      <c r="G55" s="215" t="s">
        <v>31</v>
      </c>
      <c r="H55" s="215" t="s">
        <v>31</v>
      </c>
      <c r="I55" s="215" t="s">
        <v>31</v>
      </c>
      <c r="J55" s="215" t="s">
        <v>31</v>
      </c>
      <c r="K55" s="215" t="s">
        <v>31</v>
      </c>
      <c r="L55" s="215" t="s">
        <v>31</v>
      </c>
      <c r="M55" s="215" t="s">
        <v>31</v>
      </c>
      <c r="N55" s="215" t="s">
        <v>31</v>
      </c>
      <c r="O55" s="215" t="s">
        <v>31</v>
      </c>
      <c r="P55" s="215" t="s">
        <v>31</v>
      </c>
      <c r="Q55" s="215" t="s">
        <v>31</v>
      </c>
      <c r="R55" s="198"/>
      <c r="S55" s="198"/>
      <c r="T55" s="198"/>
      <c r="U55" s="198"/>
    </row>
    <row r="56" spans="1:21" s="12" customFormat="1" x14ac:dyDescent="0.25">
      <c r="A56" s="201" t="s">
        <v>576</v>
      </c>
      <c r="B56" s="215" t="s">
        <v>31</v>
      </c>
      <c r="C56" s="215" t="s">
        <v>31</v>
      </c>
      <c r="D56" s="215" t="s">
        <v>31</v>
      </c>
      <c r="E56" s="215" t="s">
        <v>31</v>
      </c>
      <c r="F56" s="215" t="s">
        <v>31</v>
      </c>
      <c r="G56" s="215" t="s">
        <v>31</v>
      </c>
      <c r="H56" s="215" t="s">
        <v>31</v>
      </c>
      <c r="I56" s="215" t="s">
        <v>31</v>
      </c>
      <c r="J56" s="215" t="s">
        <v>31</v>
      </c>
      <c r="K56" s="215" t="s">
        <v>31</v>
      </c>
      <c r="L56" s="215" t="s">
        <v>31</v>
      </c>
      <c r="M56" s="215" t="s">
        <v>31</v>
      </c>
      <c r="N56" s="215" t="s">
        <v>31</v>
      </c>
      <c r="O56" s="215" t="s">
        <v>31</v>
      </c>
      <c r="P56" s="215" t="s">
        <v>31</v>
      </c>
      <c r="Q56" s="215" t="s">
        <v>31</v>
      </c>
      <c r="R56" s="198"/>
      <c r="S56" s="198"/>
      <c r="T56" s="198"/>
      <c r="U56" s="198"/>
    </row>
    <row r="57" spans="1:21" s="12" customFormat="1" x14ac:dyDescent="0.25">
      <c r="A57" s="201" t="s">
        <v>577</v>
      </c>
      <c r="B57" s="215" t="s">
        <v>31</v>
      </c>
      <c r="C57" s="215" t="s">
        <v>31</v>
      </c>
      <c r="D57" s="215" t="s">
        <v>31</v>
      </c>
      <c r="E57" s="215" t="s">
        <v>31</v>
      </c>
      <c r="F57" s="215" t="s">
        <v>31</v>
      </c>
      <c r="G57" s="215" t="s">
        <v>31</v>
      </c>
      <c r="H57" s="215" t="s">
        <v>31</v>
      </c>
      <c r="I57" s="215" t="s">
        <v>31</v>
      </c>
      <c r="J57" s="215" t="s">
        <v>31</v>
      </c>
      <c r="K57" s="215" t="s">
        <v>31</v>
      </c>
      <c r="L57" s="215" t="s">
        <v>31</v>
      </c>
      <c r="M57" s="215" t="s">
        <v>31</v>
      </c>
      <c r="N57" s="215" t="s">
        <v>31</v>
      </c>
      <c r="O57" s="215" t="s">
        <v>31</v>
      </c>
      <c r="P57" s="215" t="s">
        <v>31</v>
      </c>
      <c r="Q57" s="215" t="s">
        <v>31</v>
      </c>
      <c r="R57" s="198"/>
      <c r="S57" s="198"/>
      <c r="T57" s="198"/>
      <c r="U57" s="198"/>
    </row>
    <row r="58" spans="1:21" s="12" customFormat="1" x14ac:dyDescent="0.25">
      <c r="A58" s="201" t="s">
        <v>578</v>
      </c>
      <c r="B58" s="215" t="s">
        <v>31</v>
      </c>
      <c r="C58" s="215" t="s">
        <v>31</v>
      </c>
      <c r="D58" s="215" t="s">
        <v>31</v>
      </c>
      <c r="E58" s="215" t="s">
        <v>31</v>
      </c>
      <c r="F58" s="215" t="s">
        <v>31</v>
      </c>
      <c r="G58" s="215" t="s">
        <v>31</v>
      </c>
      <c r="H58" s="215" t="s">
        <v>31</v>
      </c>
      <c r="I58" s="215" t="s">
        <v>31</v>
      </c>
      <c r="J58" s="215" t="s">
        <v>31</v>
      </c>
      <c r="K58" s="215" t="s">
        <v>31</v>
      </c>
      <c r="L58" s="215" t="s">
        <v>31</v>
      </c>
      <c r="M58" s="215" t="s">
        <v>31</v>
      </c>
      <c r="N58" s="215" t="s">
        <v>31</v>
      </c>
      <c r="O58" s="215" t="s">
        <v>31</v>
      </c>
      <c r="P58" s="215" t="s">
        <v>31</v>
      </c>
      <c r="Q58" s="215" t="s">
        <v>31</v>
      </c>
      <c r="R58" s="198"/>
      <c r="S58" s="198"/>
      <c r="T58" s="198"/>
      <c r="U58" s="198"/>
    </row>
    <row r="59" spans="1:21" s="12" customFormat="1" x14ac:dyDescent="0.25">
      <c r="A59" s="201" t="s">
        <v>579</v>
      </c>
      <c r="B59" s="215" t="s">
        <v>31</v>
      </c>
      <c r="C59" s="215" t="s">
        <v>31</v>
      </c>
      <c r="D59" s="215" t="s">
        <v>31</v>
      </c>
      <c r="E59" s="215" t="s">
        <v>31</v>
      </c>
      <c r="F59" s="215" t="s">
        <v>31</v>
      </c>
      <c r="G59" s="215" t="s">
        <v>31</v>
      </c>
      <c r="H59" s="215" t="s">
        <v>31</v>
      </c>
      <c r="I59" s="215" t="s">
        <v>31</v>
      </c>
      <c r="J59" s="215" t="s">
        <v>31</v>
      </c>
      <c r="K59" s="215" t="s">
        <v>31</v>
      </c>
      <c r="L59" s="215" t="s">
        <v>31</v>
      </c>
      <c r="M59" s="215" t="s">
        <v>31</v>
      </c>
      <c r="N59" s="215" t="s">
        <v>31</v>
      </c>
      <c r="O59" s="215" t="s">
        <v>31</v>
      </c>
      <c r="P59" s="215" t="s">
        <v>31</v>
      </c>
      <c r="Q59" s="215" t="s">
        <v>31</v>
      </c>
      <c r="R59" s="198"/>
      <c r="S59" s="198"/>
      <c r="T59" s="198"/>
      <c r="U59" s="198"/>
    </row>
    <row r="60" spans="1:21" s="12" customFormat="1" x14ac:dyDescent="0.25">
      <c r="A60" s="201" t="s">
        <v>580</v>
      </c>
      <c r="B60" s="215" t="s">
        <v>31</v>
      </c>
      <c r="C60" s="215" t="s">
        <v>31</v>
      </c>
      <c r="D60" s="215" t="s">
        <v>31</v>
      </c>
      <c r="E60" s="215" t="s">
        <v>31</v>
      </c>
      <c r="F60" s="215" t="s">
        <v>31</v>
      </c>
      <c r="G60" s="215" t="s">
        <v>31</v>
      </c>
      <c r="H60" s="215" t="s">
        <v>31</v>
      </c>
      <c r="I60" s="215" t="s">
        <v>31</v>
      </c>
      <c r="J60" s="215" t="s">
        <v>31</v>
      </c>
      <c r="K60" s="215" t="s">
        <v>31</v>
      </c>
      <c r="L60" s="215" t="s">
        <v>31</v>
      </c>
      <c r="M60" s="215" t="s">
        <v>31</v>
      </c>
      <c r="N60" s="215" t="s">
        <v>31</v>
      </c>
      <c r="O60" s="215" t="s">
        <v>31</v>
      </c>
      <c r="P60" s="215" t="s">
        <v>31</v>
      </c>
      <c r="Q60" s="215" t="s">
        <v>31</v>
      </c>
      <c r="R60" s="198"/>
      <c r="S60" s="198"/>
      <c r="T60" s="198"/>
      <c r="U60" s="198"/>
    </row>
    <row r="61" spans="1:21" s="12" customFormat="1" x14ac:dyDescent="0.25">
      <c r="A61" s="201" t="s">
        <v>581</v>
      </c>
      <c r="B61" s="215" t="s">
        <v>31</v>
      </c>
      <c r="C61" s="215" t="s">
        <v>31</v>
      </c>
      <c r="D61" s="215" t="s">
        <v>31</v>
      </c>
      <c r="E61" s="215" t="s">
        <v>31</v>
      </c>
      <c r="F61" s="215" t="s">
        <v>31</v>
      </c>
      <c r="G61" s="215" t="s">
        <v>31</v>
      </c>
      <c r="H61" s="215" t="s">
        <v>31</v>
      </c>
      <c r="I61" s="215" t="s">
        <v>31</v>
      </c>
      <c r="J61" s="215" t="s">
        <v>31</v>
      </c>
      <c r="K61" s="215" t="s">
        <v>31</v>
      </c>
      <c r="L61" s="215" t="s">
        <v>31</v>
      </c>
      <c r="M61" s="215" t="s">
        <v>31</v>
      </c>
      <c r="N61" s="215" t="s">
        <v>31</v>
      </c>
      <c r="O61" s="215" t="s">
        <v>31</v>
      </c>
      <c r="P61" s="215" t="s">
        <v>31</v>
      </c>
      <c r="Q61" s="215" t="s">
        <v>31</v>
      </c>
      <c r="R61" s="198"/>
      <c r="S61" s="198"/>
      <c r="T61" s="198"/>
      <c r="U61" s="198"/>
    </row>
    <row r="62" spans="1:21" s="12" customFormat="1" x14ac:dyDescent="0.25">
      <c r="A62" s="201" t="s">
        <v>582</v>
      </c>
      <c r="B62" s="215" t="s">
        <v>31</v>
      </c>
      <c r="C62" s="215" t="s">
        <v>31</v>
      </c>
      <c r="D62" s="215" t="s">
        <v>31</v>
      </c>
      <c r="E62" s="215" t="s">
        <v>31</v>
      </c>
      <c r="F62" s="215" t="s">
        <v>31</v>
      </c>
      <c r="G62" s="215" t="s">
        <v>31</v>
      </c>
      <c r="H62" s="215" t="s">
        <v>31</v>
      </c>
      <c r="I62" s="215" t="s">
        <v>31</v>
      </c>
      <c r="J62" s="215" t="s">
        <v>31</v>
      </c>
      <c r="K62" s="215" t="s">
        <v>31</v>
      </c>
      <c r="L62" s="215" t="s">
        <v>31</v>
      </c>
      <c r="M62" s="215" t="s">
        <v>31</v>
      </c>
      <c r="N62" s="215" t="s">
        <v>31</v>
      </c>
      <c r="O62" s="215" t="s">
        <v>31</v>
      </c>
      <c r="P62" s="215" t="s">
        <v>31</v>
      </c>
      <c r="Q62" s="215" t="s">
        <v>31</v>
      </c>
      <c r="R62" s="198"/>
      <c r="S62" s="198"/>
      <c r="T62" s="198"/>
      <c r="U62" s="198"/>
    </row>
    <row r="63" spans="1:21" s="12" customFormat="1" x14ac:dyDescent="0.25">
      <c r="A63" s="201" t="s">
        <v>583</v>
      </c>
      <c r="B63" s="215" t="s">
        <v>31</v>
      </c>
      <c r="C63" s="215" t="s">
        <v>31</v>
      </c>
      <c r="D63" s="215" t="s">
        <v>31</v>
      </c>
      <c r="E63" s="215" t="s">
        <v>31</v>
      </c>
      <c r="F63" s="215" t="s">
        <v>31</v>
      </c>
      <c r="G63" s="215" t="s">
        <v>31</v>
      </c>
      <c r="H63" s="215" t="s">
        <v>31</v>
      </c>
      <c r="I63" s="215" t="s">
        <v>31</v>
      </c>
      <c r="J63" s="215" t="s">
        <v>31</v>
      </c>
      <c r="K63" s="215" t="s">
        <v>31</v>
      </c>
      <c r="L63" s="215" t="s">
        <v>31</v>
      </c>
      <c r="M63" s="215" t="s">
        <v>31</v>
      </c>
      <c r="N63" s="215" t="s">
        <v>31</v>
      </c>
      <c r="O63" s="215" t="s">
        <v>31</v>
      </c>
      <c r="P63" s="215" t="s">
        <v>31</v>
      </c>
      <c r="Q63" s="215" t="s">
        <v>31</v>
      </c>
      <c r="R63" s="198"/>
      <c r="S63" s="198"/>
      <c r="T63" s="198"/>
      <c r="U63" s="198"/>
    </row>
    <row r="64" spans="1:21" s="12" customFormat="1" x14ac:dyDescent="0.25">
      <c r="A64" s="201" t="s">
        <v>584</v>
      </c>
      <c r="B64" s="215" t="s">
        <v>31</v>
      </c>
      <c r="C64" s="215" t="s">
        <v>31</v>
      </c>
      <c r="D64" s="215" t="s">
        <v>31</v>
      </c>
      <c r="E64" s="215" t="s">
        <v>31</v>
      </c>
      <c r="F64" s="215" t="s">
        <v>31</v>
      </c>
      <c r="G64" s="215" t="s">
        <v>31</v>
      </c>
      <c r="H64" s="215" t="s">
        <v>31</v>
      </c>
      <c r="I64" s="215" t="s">
        <v>31</v>
      </c>
      <c r="J64" s="215" t="s">
        <v>31</v>
      </c>
      <c r="K64" s="215" t="s">
        <v>31</v>
      </c>
      <c r="L64" s="215" t="s">
        <v>31</v>
      </c>
      <c r="M64" s="215" t="s">
        <v>31</v>
      </c>
      <c r="N64" s="215" t="s">
        <v>31</v>
      </c>
      <c r="O64" s="215" t="s">
        <v>31</v>
      </c>
      <c r="P64" s="215" t="s">
        <v>31</v>
      </c>
      <c r="Q64" s="215" t="s">
        <v>31</v>
      </c>
      <c r="R64" s="198"/>
      <c r="S64" s="198"/>
      <c r="T64" s="198"/>
      <c r="U64" s="198"/>
    </row>
    <row r="65" spans="1:21" s="12" customFormat="1" x14ac:dyDescent="0.25">
      <c r="A65" s="201" t="s">
        <v>585</v>
      </c>
      <c r="B65" s="215" t="s">
        <v>31</v>
      </c>
      <c r="C65" s="215" t="s">
        <v>31</v>
      </c>
      <c r="D65" s="215" t="s">
        <v>31</v>
      </c>
      <c r="E65" s="215" t="s">
        <v>31</v>
      </c>
      <c r="F65" s="215" t="s">
        <v>31</v>
      </c>
      <c r="G65" s="215" t="s">
        <v>31</v>
      </c>
      <c r="H65" s="215" t="s">
        <v>31</v>
      </c>
      <c r="I65" s="215" t="s">
        <v>31</v>
      </c>
      <c r="J65" s="215" t="s">
        <v>31</v>
      </c>
      <c r="K65" s="215" t="s">
        <v>31</v>
      </c>
      <c r="L65" s="215" t="s">
        <v>31</v>
      </c>
      <c r="M65" s="215" t="s">
        <v>31</v>
      </c>
      <c r="N65" s="215" t="s">
        <v>31</v>
      </c>
      <c r="O65" s="215" t="s">
        <v>31</v>
      </c>
      <c r="P65" s="215" t="s">
        <v>31</v>
      </c>
      <c r="Q65" s="215" t="s">
        <v>31</v>
      </c>
      <c r="R65" s="198"/>
      <c r="S65" s="198"/>
      <c r="T65" s="198"/>
      <c r="U65" s="198"/>
    </row>
    <row r="66" spans="1:21" s="12" customFormat="1" x14ac:dyDescent="0.25">
      <c r="A66" s="201" t="s">
        <v>586</v>
      </c>
      <c r="B66" s="215" t="s">
        <v>31</v>
      </c>
      <c r="C66" s="215" t="s">
        <v>31</v>
      </c>
      <c r="D66" s="215" t="s">
        <v>31</v>
      </c>
      <c r="E66" s="215" t="s">
        <v>31</v>
      </c>
      <c r="F66" s="215" t="s">
        <v>31</v>
      </c>
      <c r="G66" s="215" t="s">
        <v>31</v>
      </c>
      <c r="H66" s="215" t="s">
        <v>31</v>
      </c>
      <c r="I66" s="215" t="s">
        <v>31</v>
      </c>
      <c r="J66" s="215" t="s">
        <v>31</v>
      </c>
      <c r="K66" s="215" t="s">
        <v>31</v>
      </c>
      <c r="L66" s="215" t="s">
        <v>31</v>
      </c>
      <c r="M66" s="215" t="s">
        <v>31</v>
      </c>
      <c r="N66" s="215" t="s">
        <v>31</v>
      </c>
      <c r="O66" s="215" t="s">
        <v>31</v>
      </c>
      <c r="P66" s="215" t="s">
        <v>31</v>
      </c>
      <c r="Q66" s="215" t="s">
        <v>31</v>
      </c>
      <c r="R66" s="198"/>
      <c r="S66" s="198"/>
      <c r="T66" s="198"/>
      <c r="U66" s="198"/>
    </row>
    <row r="67" spans="1:21" s="12" customFormat="1" x14ac:dyDescent="0.25">
      <c r="A67" s="201" t="s">
        <v>587</v>
      </c>
      <c r="B67" s="215" t="s">
        <v>31</v>
      </c>
      <c r="C67" s="215" t="s">
        <v>31</v>
      </c>
      <c r="D67" s="215" t="s">
        <v>31</v>
      </c>
      <c r="E67" s="215" t="s">
        <v>31</v>
      </c>
      <c r="F67" s="215" t="s">
        <v>31</v>
      </c>
      <c r="G67" s="215" t="s">
        <v>31</v>
      </c>
      <c r="H67" s="215" t="s">
        <v>31</v>
      </c>
      <c r="I67" s="215" t="s">
        <v>31</v>
      </c>
      <c r="J67" s="215" t="s">
        <v>31</v>
      </c>
      <c r="K67" s="215" t="s">
        <v>31</v>
      </c>
      <c r="L67" s="215" t="s">
        <v>31</v>
      </c>
      <c r="M67" s="215" t="s">
        <v>31</v>
      </c>
      <c r="N67" s="215" t="s">
        <v>31</v>
      </c>
      <c r="O67" s="215" t="s">
        <v>31</v>
      </c>
      <c r="P67" s="215" t="s">
        <v>31</v>
      </c>
      <c r="Q67" s="215" t="s">
        <v>31</v>
      </c>
      <c r="R67" s="198"/>
      <c r="S67" s="198"/>
      <c r="T67" s="198"/>
      <c r="U67" s="198"/>
    </row>
    <row r="68" spans="1:21" s="12" customFormat="1" x14ac:dyDescent="0.25">
      <c r="A68" s="201" t="s">
        <v>588</v>
      </c>
      <c r="B68" s="215" t="s">
        <v>31</v>
      </c>
      <c r="C68" s="215" t="s">
        <v>31</v>
      </c>
      <c r="D68" s="215" t="s">
        <v>31</v>
      </c>
      <c r="E68" s="215" t="s">
        <v>31</v>
      </c>
      <c r="F68" s="215" t="s">
        <v>31</v>
      </c>
      <c r="G68" s="215" t="s">
        <v>31</v>
      </c>
      <c r="H68" s="215" t="s">
        <v>31</v>
      </c>
      <c r="I68" s="215" t="s">
        <v>31</v>
      </c>
      <c r="J68" s="215" t="s">
        <v>31</v>
      </c>
      <c r="K68" s="215" t="s">
        <v>31</v>
      </c>
      <c r="L68" s="215" t="s">
        <v>31</v>
      </c>
      <c r="M68" s="215" t="s">
        <v>31</v>
      </c>
      <c r="N68" s="215" t="s">
        <v>31</v>
      </c>
      <c r="O68" s="215" t="s">
        <v>31</v>
      </c>
      <c r="P68" s="215" t="s">
        <v>31</v>
      </c>
      <c r="Q68" s="215" t="s">
        <v>31</v>
      </c>
      <c r="R68" s="198"/>
      <c r="S68" s="198"/>
      <c r="T68" s="198"/>
      <c r="U68" s="198"/>
    </row>
    <row r="69" spans="1:21" s="12" customFormat="1" x14ac:dyDescent="0.25">
      <c r="A69" s="201" t="s">
        <v>589</v>
      </c>
      <c r="B69" s="215" t="s">
        <v>31</v>
      </c>
      <c r="C69" s="215" t="s">
        <v>31</v>
      </c>
      <c r="D69" s="215" t="s">
        <v>31</v>
      </c>
      <c r="E69" s="215" t="s">
        <v>31</v>
      </c>
      <c r="F69" s="215" t="s">
        <v>31</v>
      </c>
      <c r="G69" s="215" t="s">
        <v>31</v>
      </c>
      <c r="H69" s="215" t="s">
        <v>31</v>
      </c>
      <c r="I69" s="215" t="s">
        <v>31</v>
      </c>
      <c r="J69" s="215" t="s">
        <v>31</v>
      </c>
      <c r="K69" s="215" t="s">
        <v>31</v>
      </c>
      <c r="L69" s="215" t="s">
        <v>31</v>
      </c>
      <c r="M69" s="215" t="s">
        <v>31</v>
      </c>
      <c r="N69" s="215" t="s">
        <v>31</v>
      </c>
      <c r="O69" s="215" t="s">
        <v>31</v>
      </c>
      <c r="P69" s="215" t="s">
        <v>31</v>
      </c>
      <c r="Q69" s="215" t="s">
        <v>31</v>
      </c>
      <c r="R69" s="198"/>
      <c r="S69" s="198"/>
      <c r="T69" s="198"/>
      <c r="U69" s="198"/>
    </row>
    <row r="70" spans="1:21" s="12" customFormat="1" x14ac:dyDescent="0.25">
      <c r="A70" s="201" t="s">
        <v>590</v>
      </c>
      <c r="B70" s="215" t="s">
        <v>31</v>
      </c>
      <c r="C70" s="215" t="s">
        <v>31</v>
      </c>
      <c r="D70" s="215" t="s">
        <v>31</v>
      </c>
      <c r="E70" s="215" t="s">
        <v>31</v>
      </c>
      <c r="F70" s="215" t="s">
        <v>31</v>
      </c>
      <c r="G70" s="215" t="s">
        <v>31</v>
      </c>
      <c r="H70" s="215" t="s">
        <v>31</v>
      </c>
      <c r="I70" s="215" t="s">
        <v>31</v>
      </c>
      <c r="J70" s="215" t="s">
        <v>31</v>
      </c>
      <c r="K70" s="215" t="s">
        <v>31</v>
      </c>
      <c r="L70" s="215" t="s">
        <v>31</v>
      </c>
      <c r="M70" s="215" t="s">
        <v>31</v>
      </c>
      <c r="N70" s="215" t="s">
        <v>31</v>
      </c>
      <c r="O70" s="215" t="s">
        <v>31</v>
      </c>
      <c r="P70" s="215" t="s">
        <v>31</v>
      </c>
      <c r="Q70" s="215" t="s">
        <v>31</v>
      </c>
      <c r="R70" s="198"/>
      <c r="S70" s="198"/>
      <c r="T70" s="198"/>
      <c r="U70" s="198"/>
    </row>
    <row r="71" spans="1:21" s="12" customFormat="1" x14ac:dyDescent="0.25">
      <c r="A71" s="201" t="s">
        <v>591</v>
      </c>
      <c r="B71" s="215" t="s">
        <v>31</v>
      </c>
      <c r="C71" s="215" t="s">
        <v>31</v>
      </c>
      <c r="D71" s="215" t="s">
        <v>31</v>
      </c>
      <c r="E71" s="215" t="s">
        <v>31</v>
      </c>
      <c r="F71" s="215" t="s">
        <v>31</v>
      </c>
      <c r="G71" s="215" t="s">
        <v>31</v>
      </c>
      <c r="H71" s="215" t="s">
        <v>31</v>
      </c>
      <c r="I71" s="215" t="s">
        <v>31</v>
      </c>
      <c r="J71" s="215" t="s">
        <v>31</v>
      </c>
      <c r="K71" s="215" t="s">
        <v>31</v>
      </c>
      <c r="L71" s="215" t="s">
        <v>31</v>
      </c>
      <c r="M71" s="215" t="s">
        <v>31</v>
      </c>
      <c r="N71" s="215" t="s">
        <v>31</v>
      </c>
      <c r="O71" s="215" t="s">
        <v>31</v>
      </c>
      <c r="P71" s="215" t="s">
        <v>31</v>
      </c>
      <c r="Q71" s="215" t="s">
        <v>31</v>
      </c>
      <c r="R71" s="198"/>
      <c r="S71" s="198"/>
      <c r="T71" s="198"/>
      <c r="U71" s="198"/>
    </row>
    <row r="72" spans="1:21" s="12" customFormat="1" x14ac:dyDescent="0.25">
      <c r="A72" s="201" t="s">
        <v>592</v>
      </c>
      <c r="B72" s="215" t="s">
        <v>31</v>
      </c>
      <c r="C72" s="215" t="s">
        <v>31</v>
      </c>
      <c r="D72" s="215" t="s">
        <v>31</v>
      </c>
      <c r="E72" s="215" t="s">
        <v>31</v>
      </c>
      <c r="F72" s="215" t="s">
        <v>31</v>
      </c>
      <c r="G72" s="215" t="s">
        <v>31</v>
      </c>
      <c r="H72" s="215" t="s">
        <v>31</v>
      </c>
      <c r="I72" s="215" t="s">
        <v>31</v>
      </c>
      <c r="J72" s="215" t="s">
        <v>31</v>
      </c>
      <c r="K72" s="215" t="s">
        <v>31</v>
      </c>
      <c r="L72" s="215" t="s">
        <v>31</v>
      </c>
      <c r="M72" s="215" t="s">
        <v>31</v>
      </c>
      <c r="N72" s="215" t="s">
        <v>31</v>
      </c>
      <c r="O72" s="215" t="s">
        <v>31</v>
      </c>
      <c r="P72" s="215" t="s">
        <v>31</v>
      </c>
      <c r="Q72" s="215" t="s">
        <v>31</v>
      </c>
      <c r="R72" s="198"/>
      <c r="S72" s="198"/>
      <c r="T72" s="198"/>
      <c r="U72" s="198"/>
    </row>
    <row r="73" spans="1:21" s="12" customFormat="1" x14ac:dyDescent="0.25">
      <c r="A73" s="201" t="s">
        <v>593</v>
      </c>
      <c r="B73" s="215" t="s">
        <v>31</v>
      </c>
      <c r="C73" s="215" t="s">
        <v>31</v>
      </c>
      <c r="D73" s="215" t="s">
        <v>31</v>
      </c>
      <c r="E73" s="215" t="s">
        <v>31</v>
      </c>
      <c r="F73" s="215" t="s">
        <v>31</v>
      </c>
      <c r="G73" s="215" t="s">
        <v>31</v>
      </c>
      <c r="H73" s="215" t="s">
        <v>31</v>
      </c>
      <c r="I73" s="215" t="s">
        <v>31</v>
      </c>
      <c r="J73" s="215" t="s">
        <v>31</v>
      </c>
      <c r="K73" s="215" t="s">
        <v>31</v>
      </c>
      <c r="L73" s="215" t="s">
        <v>31</v>
      </c>
      <c r="M73" s="215" t="s">
        <v>31</v>
      </c>
      <c r="N73" s="215" t="s">
        <v>31</v>
      </c>
      <c r="O73" s="215" t="s">
        <v>31</v>
      </c>
      <c r="P73" s="215" t="s">
        <v>31</v>
      </c>
      <c r="Q73" s="215" t="s">
        <v>31</v>
      </c>
      <c r="R73" s="198"/>
      <c r="S73" s="198"/>
      <c r="T73" s="198"/>
      <c r="U73" s="198"/>
    </row>
    <row r="74" spans="1:21" s="12" customFormat="1" x14ac:dyDescent="0.25">
      <c r="A74" s="201" t="s">
        <v>594</v>
      </c>
      <c r="B74" s="215" t="s">
        <v>31</v>
      </c>
      <c r="C74" s="215" t="s">
        <v>31</v>
      </c>
      <c r="D74" s="215" t="s">
        <v>31</v>
      </c>
      <c r="E74" s="215" t="s">
        <v>31</v>
      </c>
      <c r="F74" s="215" t="s">
        <v>31</v>
      </c>
      <c r="G74" s="215" t="s">
        <v>31</v>
      </c>
      <c r="H74" s="215" t="s">
        <v>31</v>
      </c>
      <c r="I74" s="215" t="s">
        <v>31</v>
      </c>
      <c r="J74" s="215" t="s">
        <v>31</v>
      </c>
      <c r="K74" s="215" t="s">
        <v>31</v>
      </c>
      <c r="L74" s="215" t="s">
        <v>31</v>
      </c>
      <c r="M74" s="215" t="s">
        <v>31</v>
      </c>
      <c r="N74" s="215" t="s">
        <v>31</v>
      </c>
      <c r="O74" s="215" t="s">
        <v>31</v>
      </c>
      <c r="P74" s="215" t="s">
        <v>31</v>
      </c>
      <c r="Q74" s="215" t="s">
        <v>31</v>
      </c>
      <c r="R74" s="198"/>
      <c r="S74" s="198"/>
      <c r="T74" s="198"/>
      <c r="U74" s="198"/>
    </row>
    <row r="75" spans="1:21" s="12" customFormat="1" x14ac:dyDescent="0.25">
      <c r="A75" s="201" t="s">
        <v>595</v>
      </c>
      <c r="B75" s="215" t="s">
        <v>31</v>
      </c>
      <c r="C75" s="215" t="s">
        <v>31</v>
      </c>
      <c r="D75" s="215" t="s">
        <v>31</v>
      </c>
      <c r="E75" s="215" t="s">
        <v>31</v>
      </c>
      <c r="F75" s="215" t="s">
        <v>31</v>
      </c>
      <c r="G75" s="215" t="s">
        <v>31</v>
      </c>
      <c r="H75" s="215" t="s">
        <v>31</v>
      </c>
      <c r="I75" s="215" t="s">
        <v>31</v>
      </c>
      <c r="J75" s="215" t="s">
        <v>31</v>
      </c>
      <c r="K75" s="215" t="s">
        <v>31</v>
      </c>
      <c r="L75" s="215" t="s">
        <v>31</v>
      </c>
      <c r="M75" s="215" t="s">
        <v>31</v>
      </c>
      <c r="N75" s="215" t="s">
        <v>31</v>
      </c>
      <c r="O75" s="215" t="s">
        <v>31</v>
      </c>
      <c r="P75" s="215" t="s">
        <v>31</v>
      </c>
      <c r="Q75" s="215" t="s">
        <v>31</v>
      </c>
      <c r="R75" s="198"/>
      <c r="S75" s="198"/>
      <c r="T75" s="198"/>
      <c r="U75" s="198"/>
    </row>
    <row r="76" spans="1:21" s="12" customFormat="1" x14ac:dyDescent="0.25">
      <c r="A76" s="201" t="s">
        <v>596</v>
      </c>
      <c r="B76" s="215" t="s">
        <v>31</v>
      </c>
      <c r="C76" s="215" t="s">
        <v>31</v>
      </c>
      <c r="D76" s="215" t="s">
        <v>31</v>
      </c>
      <c r="E76" s="215" t="s">
        <v>31</v>
      </c>
      <c r="F76" s="215" t="s">
        <v>31</v>
      </c>
      <c r="G76" s="215" t="s">
        <v>31</v>
      </c>
      <c r="H76" s="215" t="s">
        <v>31</v>
      </c>
      <c r="I76" s="215" t="s">
        <v>31</v>
      </c>
      <c r="J76" s="215" t="s">
        <v>31</v>
      </c>
      <c r="K76" s="215" t="s">
        <v>31</v>
      </c>
      <c r="L76" s="215" t="s">
        <v>31</v>
      </c>
      <c r="M76" s="215" t="s">
        <v>31</v>
      </c>
      <c r="N76" s="215" t="s">
        <v>31</v>
      </c>
      <c r="O76" s="215" t="s">
        <v>31</v>
      </c>
      <c r="P76" s="215" t="s">
        <v>31</v>
      </c>
      <c r="Q76" s="215" t="s">
        <v>31</v>
      </c>
      <c r="R76" s="198"/>
      <c r="S76" s="198"/>
      <c r="T76" s="198"/>
      <c r="U76" s="198"/>
    </row>
    <row r="77" spans="1:21" s="12" customFormat="1" x14ac:dyDescent="0.25">
      <c r="A77" s="201" t="s">
        <v>597</v>
      </c>
      <c r="B77" s="215" t="s">
        <v>31</v>
      </c>
      <c r="C77" s="215" t="s">
        <v>31</v>
      </c>
      <c r="D77" s="215" t="s">
        <v>31</v>
      </c>
      <c r="E77" s="215" t="s">
        <v>31</v>
      </c>
      <c r="F77" s="215" t="s">
        <v>31</v>
      </c>
      <c r="G77" s="215" t="s">
        <v>31</v>
      </c>
      <c r="H77" s="215" t="s">
        <v>31</v>
      </c>
      <c r="I77" s="215" t="s">
        <v>31</v>
      </c>
      <c r="J77" s="215" t="s">
        <v>31</v>
      </c>
      <c r="K77" s="215" t="s">
        <v>31</v>
      </c>
      <c r="L77" s="215" t="s">
        <v>31</v>
      </c>
      <c r="M77" s="215" t="s">
        <v>31</v>
      </c>
      <c r="N77" s="215" t="s">
        <v>31</v>
      </c>
      <c r="O77" s="215" t="s">
        <v>31</v>
      </c>
      <c r="P77" s="215" t="s">
        <v>31</v>
      </c>
      <c r="Q77" s="215" t="s">
        <v>31</v>
      </c>
      <c r="R77" s="198"/>
      <c r="S77" s="198"/>
      <c r="T77" s="198"/>
      <c r="U77" s="198"/>
    </row>
    <row r="78" spans="1:21" s="12" customFormat="1" x14ac:dyDescent="0.25">
      <c r="A78" s="201" t="s">
        <v>598</v>
      </c>
      <c r="B78" s="215" t="s">
        <v>31</v>
      </c>
      <c r="C78" s="215" t="s">
        <v>31</v>
      </c>
      <c r="D78" s="215" t="s">
        <v>31</v>
      </c>
      <c r="E78" s="215" t="s">
        <v>31</v>
      </c>
      <c r="F78" s="215" t="s">
        <v>31</v>
      </c>
      <c r="G78" s="215" t="s">
        <v>31</v>
      </c>
      <c r="H78" s="215" t="s">
        <v>31</v>
      </c>
      <c r="I78" s="215" t="s">
        <v>31</v>
      </c>
      <c r="J78" s="215" t="s">
        <v>31</v>
      </c>
      <c r="K78" s="215" t="s">
        <v>31</v>
      </c>
      <c r="L78" s="215" t="s">
        <v>31</v>
      </c>
      <c r="M78" s="215" t="s">
        <v>31</v>
      </c>
      <c r="N78" s="215" t="s">
        <v>31</v>
      </c>
      <c r="O78" s="215" t="s">
        <v>31</v>
      </c>
      <c r="P78" s="215" t="s">
        <v>31</v>
      </c>
      <c r="Q78" s="215" t="s">
        <v>31</v>
      </c>
      <c r="R78" s="198"/>
      <c r="S78" s="198"/>
      <c r="T78" s="198"/>
      <c r="U78" s="198"/>
    </row>
    <row r="79" spans="1:21" s="12" customFormat="1" x14ac:dyDescent="0.25">
      <c r="A79" s="201" t="s">
        <v>599</v>
      </c>
      <c r="B79" s="215" t="s">
        <v>31</v>
      </c>
      <c r="C79" s="215" t="s">
        <v>31</v>
      </c>
      <c r="D79" s="215" t="s">
        <v>31</v>
      </c>
      <c r="E79" s="215" t="s">
        <v>31</v>
      </c>
      <c r="F79" s="215" t="s">
        <v>31</v>
      </c>
      <c r="G79" s="215" t="s">
        <v>31</v>
      </c>
      <c r="H79" s="215" t="s">
        <v>31</v>
      </c>
      <c r="I79" s="215" t="s">
        <v>31</v>
      </c>
      <c r="J79" s="215" t="s">
        <v>31</v>
      </c>
      <c r="K79" s="215" t="s">
        <v>31</v>
      </c>
      <c r="L79" s="215" t="s">
        <v>31</v>
      </c>
      <c r="M79" s="215" t="s">
        <v>31</v>
      </c>
      <c r="N79" s="215" t="s">
        <v>31</v>
      </c>
      <c r="O79" s="215" t="s">
        <v>31</v>
      </c>
      <c r="P79" s="215" t="s">
        <v>31</v>
      </c>
      <c r="Q79" s="215" t="s">
        <v>31</v>
      </c>
      <c r="R79" s="198"/>
      <c r="S79" s="198"/>
      <c r="T79" s="198"/>
      <c r="U79" s="198"/>
    </row>
    <row r="80" spans="1:21" s="12" customFormat="1" x14ac:dyDescent="0.25">
      <c r="A80" s="201" t="s">
        <v>600</v>
      </c>
      <c r="B80" s="215" t="s">
        <v>31</v>
      </c>
      <c r="C80" s="215" t="s">
        <v>31</v>
      </c>
      <c r="D80" s="215" t="s">
        <v>31</v>
      </c>
      <c r="E80" s="215" t="s">
        <v>31</v>
      </c>
      <c r="F80" s="215" t="s">
        <v>31</v>
      </c>
      <c r="G80" s="215" t="s">
        <v>31</v>
      </c>
      <c r="H80" s="215" t="s">
        <v>31</v>
      </c>
      <c r="I80" s="215" t="s">
        <v>31</v>
      </c>
      <c r="J80" s="215" t="s">
        <v>31</v>
      </c>
      <c r="K80" s="215" t="s">
        <v>31</v>
      </c>
      <c r="L80" s="215" t="s">
        <v>31</v>
      </c>
      <c r="M80" s="215" t="s">
        <v>31</v>
      </c>
      <c r="N80" s="215" t="s">
        <v>31</v>
      </c>
      <c r="O80" s="215" t="s">
        <v>31</v>
      </c>
      <c r="P80" s="215" t="s">
        <v>31</v>
      </c>
      <c r="Q80" s="215" t="s">
        <v>31</v>
      </c>
      <c r="R80" s="198"/>
      <c r="S80" s="198"/>
      <c r="T80" s="198"/>
      <c r="U80" s="198"/>
    </row>
    <row r="81" spans="1:26" s="12" customFormat="1" x14ac:dyDescent="0.25">
      <c r="A81" s="201" t="s">
        <v>601</v>
      </c>
      <c r="B81" s="215" t="s">
        <v>31</v>
      </c>
      <c r="C81" s="215" t="s">
        <v>31</v>
      </c>
      <c r="D81" s="215" t="s">
        <v>31</v>
      </c>
      <c r="E81" s="215" t="s">
        <v>31</v>
      </c>
      <c r="F81" s="215" t="s">
        <v>31</v>
      </c>
      <c r="G81" s="215" t="s">
        <v>31</v>
      </c>
      <c r="H81" s="215" t="s">
        <v>31</v>
      </c>
      <c r="I81" s="215" t="s">
        <v>31</v>
      </c>
      <c r="J81" s="215" t="s">
        <v>31</v>
      </c>
      <c r="K81" s="215" t="s">
        <v>31</v>
      </c>
      <c r="L81" s="215" t="s">
        <v>31</v>
      </c>
      <c r="M81" s="215" t="s">
        <v>31</v>
      </c>
      <c r="N81" s="215" t="s">
        <v>31</v>
      </c>
      <c r="O81" s="215" t="s">
        <v>31</v>
      </c>
      <c r="P81" s="215" t="s">
        <v>31</v>
      </c>
      <c r="Q81" s="215" t="s">
        <v>31</v>
      </c>
      <c r="R81" s="198"/>
      <c r="S81" s="198"/>
      <c r="T81" s="198"/>
      <c r="U81" s="198"/>
    </row>
    <row r="82" spans="1:26" s="12" customFormat="1" x14ac:dyDescent="0.25">
      <c r="A82" s="201" t="s">
        <v>602</v>
      </c>
      <c r="B82" s="215" t="s">
        <v>31</v>
      </c>
      <c r="C82" s="215" t="s">
        <v>31</v>
      </c>
      <c r="D82" s="215" t="s">
        <v>31</v>
      </c>
      <c r="E82" s="215" t="s">
        <v>31</v>
      </c>
      <c r="F82" s="215" t="s">
        <v>31</v>
      </c>
      <c r="G82" s="215" t="s">
        <v>31</v>
      </c>
      <c r="H82" s="215" t="s">
        <v>31</v>
      </c>
      <c r="I82" s="215" t="s">
        <v>31</v>
      </c>
      <c r="J82" s="215" t="s">
        <v>31</v>
      </c>
      <c r="K82" s="215" t="s">
        <v>31</v>
      </c>
      <c r="L82" s="215" t="s">
        <v>31</v>
      </c>
      <c r="M82" s="215" t="s">
        <v>31</v>
      </c>
      <c r="N82" s="215" t="s">
        <v>31</v>
      </c>
      <c r="O82" s="215" t="s">
        <v>31</v>
      </c>
      <c r="P82" s="215" t="s">
        <v>31</v>
      </c>
      <c r="Q82" s="215" t="s">
        <v>31</v>
      </c>
      <c r="R82" s="198"/>
      <c r="S82" s="198"/>
      <c r="T82" s="198"/>
      <c r="U82" s="198"/>
    </row>
    <row r="83" spans="1:26" s="12" customFormat="1" x14ac:dyDescent="0.25">
      <c r="A83" s="201" t="s">
        <v>603</v>
      </c>
      <c r="B83" s="215" t="s">
        <v>31</v>
      </c>
      <c r="C83" s="215" t="s">
        <v>31</v>
      </c>
      <c r="D83" s="215" t="s">
        <v>31</v>
      </c>
      <c r="E83" s="215" t="s">
        <v>31</v>
      </c>
      <c r="F83" s="215" t="s">
        <v>31</v>
      </c>
      <c r="G83" s="215" t="s">
        <v>31</v>
      </c>
      <c r="H83" s="215" t="s">
        <v>31</v>
      </c>
      <c r="I83" s="215" t="s">
        <v>31</v>
      </c>
      <c r="J83" s="215" t="s">
        <v>31</v>
      </c>
      <c r="K83" s="215" t="s">
        <v>31</v>
      </c>
      <c r="L83" s="215" t="s">
        <v>31</v>
      </c>
      <c r="M83" s="215" t="s">
        <v>31</v>
      </c>
      <c r="N83" s="215" t="s">
        <v>31</v>
      </c>
      <c r="O83" s="215" t="s">
        <v>31</v>
      </c>
      <c r="P83" s="215" t="s">
        <v>31</v>
      </c>
      <c r="Q83" s="215" t="s">
        <v>31</v>
      </c>
      <c r="R83" s="198"/>
      <c r="S83" s="198"/>
      <c r="T83" s="198"/>
      <c r="U83" s="198"/>
    </row>
    <row r="84" spans="1:26" s="12" customFormat="1" x14ac:dyDescent="0.25">
      <c r="A84" s="201" t="s">
        <v>604</v>
      </c>
      <c r="B84" s="215" t="s">
        <v>31</v>
      </c>
      <c r="C84" s="215" t="s">
        <v>31</v>
      </c>
      <c r="D84" s="215" t="s">
        <v>31</v>
      </c>
      <c r="E84" s="215" t="s">
        <v>31</v>
      </c>
      <c r="F84" s="215" t="s">
        <v>31</v>
      </c>
      <c r="G84" s="215" t="s">
        <v>31</v>
      </c>
      <c r="H84" s="215" t="s">
        <v>31</v>
      </c>
      <c r="I84" s="215" t="s">
        <v>31</v>
      </c>
      <c r="J84" s="215" t="s">
        <v>31</v>
      </c>
      <c r="K84" s="215" t="s">
        <v>31</v>
      </c>
      <c r="L84" s="215" t="s">
        <v>31</v>
      </c>
      <c r="M84" s="215" t="s">
        <v>31</v>
      </c>
      <c r="N84" s="215" t="s">
        <v>31</v>
      </c>
      <c r="O84" s="215" t="s">
        <v>31</v>
      </c>
      <c r="P84" s="215" t="s">
        <v>31</v>
      </c>
      <c r="Q84" s="215" t="s">
        <v>31</v>
      </c>
      <c r="R84" s="198"/>
      <c r="S84" s="198"/>
      <c r="T84" s="198"/>
      <c r="U84" s="198"/>
    </row>
    <row r="85" spans="1:26" s="12" customFormat="1" x14ac:dyDescent="0.25">
      <c r="A85" s="201" t="s">
        <v>605</v>
      </c>
      <c r="B85" s="215" t="s">
        <v>31</v>
      </c>
      <c r="C85" s="215" t="s">
        <v>31</v>
      </c>
      <c r="D85" s="215" t="s">
        <v>31</v>
      </c>
      <c r="E85" s="215" t="s">
        <v>31</v>
      </c>
      <c r="F85" s="215" t="s">
        <v>31</v>
      </c>
      <c r="G85" s="215" t="s">
        <v>31</v>
      </c>
      <c r="H85" s="215" t="s">
        <v>31</v>
      </c>
      <c r="I85" s="215" t="s">
        <v>31</v>
      </c>
      <c r="J85" s="215" t="s">
        <v>31</v>
      </c>
      <c r="K85" s="215" t="s">
        <v>31</v>
      </c>
      <c r="L85" s="215" t="s">
        <v>31</v>
      </c>
      <c r="M85" s="215" t="s">
        <v>31</v>
      </c>
      <c r="N85" s="215" t="s">
        <v>31</v>
      </c>
      <c r="O85" s="215" t="s">
        <v>31</v>
      </c>
      <c r="P85" s="215" t="s">
        <v>31</v>
      </c>
      <c r="Q85" s="215" t="s">
        <v>31</v>
      </c>
      <c r="R85" s="198"/>
      <c r="S85" s="198"/>
      <c r="T85" s="198"/>
      <c r="U85" s="198"/>
    </row>
    <row r="86" spans="1:26" s="12" customFormat="1" x14ac:dyDescent="0.25">
      <c r="A86" s="201" t="s">
        <v>606</v>
      </c>
      <c r="B86" s="215" t="s">
        <v>31</v>
      </c>
      <c r="C86" s="215" t="s">
        <v>31</v>
      </c>
      <c r="D86" s="215" t="s">
        <v>31</v>
      </c>
      <c r="E86" s="215" t="s">
        <v>31</v>
      </c>
      <c r="F86" s="215" t="s">
        <v>31</v>
      </c>
      <c r="G86" s="215" t="s">
        <v>31</v>
      </c>
      <c r="H86" s="215" t="s">
        <v>31</v>
      </c>
      <c r="I86" s="215" t="s">
        <v>31</v>
      </c>
      <c r="J86" s="215" t="s">
        <v>31</v>
      </c>
      <c r="K86" s="215" t="s">
        <v>31</v>
      </c>
      <c r="L86" s="215" t="s">
        <v>31</v>
      </c>
      <c r="M86" s="215" t="s">
        <v>31</v>
      </c>
      <c r="N86" s="215" t="s">
        <v>31</v>
      </c>
      <c r="O86" s="215" t="s">
        <v>31</v>
      </c>
      <c r="P86" s="215" t="s">
        <v>31</v>
      </c>
      <c r="Q86" s="215" t="s">
        <v>31</v>
      </c>
      <c r="R86" s="198"/>
      <c r="S86" s="198"/>
      <c r="T86" s="198"/>
      <c r="U86" s="198"/>
    </row>
    <row r="87" spans="1:26" s="12" customFormat="1" x14ac:dyDescent="0.25">
      <c r="A87" s="201" t="s">
        <v>607</v>
      </c>
      <c r="B87" s="215" t="s">
        <v>31</v>
      </c>
      <c r="C87" s="215" t="s">
        <v>31</v>
      </c>
      <c r="D87" s="215" t="s">
        <v>31</v>
      </c>
      <c r="E87" s="215" t="s">
        <v>31</v>
      </c>
      <c r="F87" s="215" t="s">
        <v>31</v>
      </c>
      <c r="G87" s="215" t="s">
        <v>31</v>
      </c>
      <c r="H87" s="215" t="s">
        <v>31</v>
      </c>
      <c r="I87" s="215" t="s">
        <v>31</v>
      </c>
      <c r="J87" s="215" t="s">
        <v>31</v>
      </c>
      <c r="K87" s="215" t="s">
        <v>31</v>
      </c>
      <c r="L87" s="215" t="s">
        <v>31</v>
      </c>
      <c r="M87" s="215" t="s">
        <v>31</v>
      </c>
      <c r="N87" s="215" t="s">
        <v>31</v>
      </c>
      <c r="O87" s="215" t="s">
        <v>31</v>
      </c>
      <c r="P87" s="215" t="s">
        <v>31</v>
      </c>
      <c r="Q87" s="215" t="s">
        <v>31</v>
      </c>
      <c r="R87" s="198"/>
      <c r="S87" s="198"/>
      <c r="T87" s="198"/>
      <c r="U87" s="198"/>
    </row>
    <row r="88" spans="1:26" s="12" customFormat="1" x14ac:dyDescent="0.25">
      <c r="A88" s="201" t="s">
        <v>608</v>
      </c>
      <c r="B88" s="215" t="s">
        <v>31</v>
      </c>
      <c r="C88" s="215" t="s">
        <v>31</v>
      </c>
      <c r="D88" s="215" t="s">
        <v>31</v>
      </c>
      <c r="E88" s="215" t="s">
        <v>31</v>
      </c>
      <c r="F88" s="215" t="s">
        <v>31</v>
      </c>
      <c r="G88" s="215" t="s">
        <v>31</v>
      </c>
      <c r="H88" s="215" t="s">
        <v>31</v>
      </c>
      <c r="I88" s="215" t="s">
        <v>31</v>
      </c>
      <c r="J88" s="215" t="s">
        <v>31</v>
      </c>
      <c r="K88" s="215" t="s">
        <v>31</v>
      </c>
      <c r="L88" s="215" t="s">
        <v>31</v>
      </c>
      <c r="M88" s="215" t="s">
        <v>31</v>
      </c>
      <c r="N88" s="215" t="s">
        <v>31</v>
      </c>
      <c r="O88" s="215" t="s">
        <v>31</v>
      </c>
      <c r="P88" s="215" t="s">
        <v>31</v>
      </c>
      <c r="Q88" s="215" t="s">
        <v>31</v>
      </c>
      <c r="R88" s="198"/>
      <c r="S88" s="198"/>
      <c r="T88" s="198"/>
      <c r="U88" s="198"/>
    </row>
    <row r="89" spans="1:26" s="12" customFormat="1" x14ac:dyDescent="0.25">
      <c r="A89" s="201" t="s">
        <v>609</v>
      </c>
      <c r="B89" s="215" t="s">
        <v>31</v>
      </c>
      <c r="C89" s="215" t="s">
        <v>31</v>
      </c>
      <c r="D89" s="215" t="s">
        <v>31</v>
      </c>
      <c r="E89" s="215" t="s">
        <v>31</v>
      </c>
      <c r="F89" s="215" t="s">
        <v>31</v>
      </c>
      <c r="G89" s="215" t="s">
        <v>31</v>
      </c>
      <c r="H89" s="215" t="s">
        <v>31</v>
      </c>
      <c r="I89" s="215" t="s">
        <v>31</v>
      </c>
      <c r="J89" s="215" t="s">
        <v>31</v>
      </c>
      <c r="K89" s="215" t="s">
        <v>31</v>
      </c>
      <c r="L89" s="215" t="s">
        <v>31</v>
      </c>
      <c r="M89" s="215" t="s">
        <v>31</v>
      </c>
      <c r="N89" s="215" t="s">
        <v>31</v>
      </c>
      <c r="O89" s="215" t="s">
        <v>31</v>
      </c>
      <c r="P89" s="215" t="s">
        <v>31</v>
      </c>
      <c r="Q89" s="215" t="s">
        <v>31</v>
      </c>
      <c r="R89" s="198"/>
      <c r="S89" s="198"/>
      <c r="T89" s="198"/>
      <c r="U89" s="198"/>
    </row>
    <row r="90" spans="1:26" s="12" customFormat="1" x14ac:dyDescent="0.25">
      <c r="A90" s="201" t="s">
        <v>610</v>
      </c>
      <c r="B90" s="215" t="s">
        <v>31</v>
      </c>
      <c r="C90" s="215" t="s">
        <v>31</v>
      </c>
      <c r="D90" s="215" t="s">
        <v>31</v>
      </c>
      <c r="E90" s="215" t="s">
        <v>31</v>
      </c>
      <c r="F90" s="215" t="s">
        <v>31</v>
      </c>
      <c r="G90" s="215" t="s">
        <v>31</v>
      </c>
      <c r="H90" s="215" t="s">
        <v>31</v>
      </c>
      <c r="I90" s="215" t="s">
        <v>31</v>
      </c>
      <c r="J90" s="215" t="s">
        <v>31</v>
      </c>
      <c r="K90" s="215" t="s">
        <v>31</v>
      </c>
      <c r="L90" s="215" t="s">
        <v>31</v>
      </c>
      <c r="M90" s="215" t="s">
        <v>31</v>
      </c>
      <c r="N90" s="215" t="s">
        <v>31</v>
      </c>
      <c r="O90" s="215" t="s">
        <v>31</v>
      </c>
      <c r="P90" s="215" t="s">
        <v>31</v>
      </c>
      <c r="Q90" s="215" t="s">
        <v>31</v>
      </c>
      <c r="R90" s="198"/>
      <c r="S90" s="198"/>
      <c r="T90" s="198"/>
      <c r="U90" s="198"/>
    </row>
    <row r="91" spans="1:26" s="12" customFormat="1" x14ac:dyDescent="0.25">
      <c r="A91" s="201" t="s">
        <v>611</v>
      </c>
      <c r="B91" s="215" t="s">
        <v>31</v>
      </c>
      <c r="C91" s="215" t="s">
        <v>31</v>
      </c>
      <c r="D91" s="215" t="s">
        <v>31</v>
      </c>
      <c r="E91" s="215" t="s">
        <v>31</v>
      </c>
      <c r="F91" s="215" t="s">
        <v>31</v>
      </c>
      <c r="G91" s="215" t="s">
        <v>31</v>
      </c>
      <c r="H91" s="215" t="s">
        <v>31</v>
      </c>
      <c r="I91" s="215" t="s">
        <v>31</v>
      </c>
      <c r="J91" s="215" t="s">
        <v>31</v>
      </c>
      <c r="K91" s="215" t="s">
        <v>31</v>
      </c>
      <c r="L91" s="215" t="s">
        <v>31</v>
      </c>
      <c r="M91" s="215" t="s">
        <v>31</v>
      </c>
      <c r="N91" s="215" t="s">
        <v>31</v>
      </c>
      <c r="O91" s="215" t="s">
        <v>31</v>
      </c>
      <c r="P91" s="215" t="s">
        <v>31</v>
      </c>
      <c r="Q91" s="215" t="s">
        <v>31</v>
      </c>
      <c r="R91" s="198"/>
      <c r="S91" s="198"/>
      <c r="T91" s="198"/>
      <c r="U91" s="198"/>
    </row>
    <row r="92" spans="1:26" s="12" customFormat="1" x14ac:dyDescent="0.25">
      <c r="A92" s="201" t="s">
        <v>612</v>
      </c>
      <c r="B92" s="215" t="s">
        <v>31</v>
      </c>
      <c r="C92" s="215" t="s">
        <v>31</v>
      </c>
      <c r="D92" s="215" t="s">
        <v>31</v>
      </c>
      <c r="E92" s="215" t="s">
        <v>31</v>
      </c>
      <c r="F92" s="215" t="s">
        <v>31</v>
      </c>
      <c r="G92" s="215" t="s">
        <v>31</v>
      </c>
      <c r="H92" s="215" t="s">
        <v>31</v>
      </c>
      <c r="I92" s="215" t="s">
        <v>31</v>
      </c>
      <c r="J92" s="215" t="s">
        <v>31</v>
      </c>
      <c r="K92" s="215" t="s">
        <v>31</v>
      </c>
      <c r="L92" s="215" t="s">
        <v>31</v>
      </c>
      <c r="M92" s="215" t="s">
        <v>31</v>
      </c>
      <c r="N92" s="215" t="s">
        <v>31</v>
      </c>
      <c r="O92" s="215" t="s">
        <v>31</v>
      </c>
      <c r="P92" s="215" t="s">
        <v>31</v>
      </c>
      <c r="Q92" s="215" t="s">
        <v>31</v>
      </c>
      <c r="R92" s="198"/>
      <c r="S92" s="198"/>
      <c r="T92" s="198"/>
      <c r="U92" s="198"/>
    </row>
    <row r="93" spans="1:26" s="12" customFormat="1" x14ac:dyDescent="0.25">
      <c r="A93" s="201" t="s">
        <v>613</v>
      </c>
      <c r="B93" s="215" t="s">
        <v>31</v>
      </c>
      <c r="C93" s="215" t="s">
        <v>31</v>
      </c>
      <c r="D93" s="215" t="s">
        <v>31</v>
      </c>
      <c r="E93" s="215" t="s">
        <v>31</v>
      </c>
      <c r="F93" s="215" t="s">
        <v>31</v>
      </c>
      <c r="G93" s="215" t="s">
        <v>31</v>
      </c>
      <c r="H93" s="215" t="s">
        <v>31</v>
      </c>
      <c r="I93" s="215" t="s">
        <v>31</v>
      </c>
      <c r="J93" s="215" t="s">
        <v>31</v>
      </c>
      <c r="K93" s="215" t="s">
        <v>31</v>
      </c>
      <c r="L93" s="215" t="s">
        <v>31</v>
      </c>
      <c r="M93" s="215" t="s">
        <v>31</v>
      </c>
      <c r="N93" s="215" t="s">
        <v>31</v>
      </c>
      <c r="O93" s="215" t="s">
        <v>31</v>
      </c>
      <c r="P93" s="215" t="s">
        <v>31</v>
      </c>
      <c r="Q93" s="215" t="s">
        <v>31</v>
      </c>
      <c r="R93" s="198"/>
      <c r="S93" s="198"/>
      <c r="T93" s="198"/>
      <c r="U93" s="198"/>
    </row>
    <row r="94" spans="1:26" s="12" customFormat="1" x14ac:dyDescent="0.25">
      <c r="A94" s="201" t="s">
        <v>614</v>
      </c>
      <c r="B94" s="215" t="s">
        <v>31</v>
      </c>
      <c r="C94" s="215" t="s">
        <v>31</v>
      </c>
      <c r="D94" s="215" t="s">
        <v>31</v>
      </c>
      <c r="E94" s="215" t="s">
        <v>31</v>
      </c>
      <c r="F94" s="215" t="s">
        <v>31</v>
      </c>
      <c r="G94" s="215" t="s">
        <v>31</v>
      </c>
      <c r="H94" s="215" t="s">
        <v>31</v>
      </c>
      <c r="I94" s="215" t="s">
        <v>31</v>
      </c>
      <c r="J94" s="215" t="s">
        <v>31</v>
      </c>
      <c r="K94" s="215" t="s">
        <v>31</v>
      </c>
      <c r="L94" s="215" t="s">
        <v>31</v>
      </c>
      <c r="M94" s="215" t="s">
        <v>31</v>
      </c>
      <c r="N94" s="215" t="s">
        <v>31</v>
      </c>
      <c r="O94" s="215" t="s">
        <v>31</v>
      </c>
      <c r="P94" s="215" t="s">
        <v>31</v>
      </c>
      <c r="Q94" s="215" t="s">
        <v>31</v>
      </c>
      <c r="R94" s="198"/>
      <c r="S94" s="198"/>
      <c r="T94" s="198"/>
      <c r="U94" s="198"/>
    </row>
    <row r="95" spans="1:26" s="12" customFormat="1" x14ac:dyDescent="0.25">
      <c r="A95" s="201" t="s">
        <v>615</v>
      </c>
      <c r="B95" s="215" t="s">
        <v>31</v>
      </c>
      <c r="C95" s="215" t="s">
        <v>31</v>
      </c>
      <c r="D95" s="215" t="s">
        <v>31</v>
      </c>
      <c r="E95" s="215" t="s">
        <v>31</v>
      </c>
      <c r="F95" s="215" t="s">
        <v>31</v>
      </c>
      <c r="G95" s="215" t="s">
        <v>31</v>
      </c>
      <c r="H95" s="215" t="s">
        <v>31</v>
      </c>
      <c r="I95" s="215" t="s">
        <v>31</v>
      </c>
      <c r="J95" s="215" t="s">
        <v>31</v>
      </c>
      <c r="K95" s="215" t="s">
        <v>31</v>
      </c>
      <c r="L95" s="215" t="s">
        <v>31</v>
      </c>
      <c r="M95" s="215" t="s">
        <v>31</v>
      </c>
      <c r="N95" s="215" t="s">
        <v>31</v>
      </c>
      <c r="O95" s="215" t="s">
        <v>31</v>
      </c>
      <c r="P95" s="215" t="s">
        <v>31</v>
      </c>
      <c r="Q95" s="215" t="s">
        <v>31</v>
      </c>
      <c r="R95" s="198"/>
      <c r="S95" s="198"/>
      <c r="T95" s="198"/>
      <c r="U95" s="198"/>
    </row>
    <row r="96" spans="1:26" s="12" customFormat="1" x14ac:dyDescent="0.25">
      <c r="A96" s="201" t="s">
        <v>616</v>
      </c>
      <c r="B96" s="215" t="s">
        <v>31</v>
      </c>
      <c r="C96" s="215" t="s">
        <v>31</v>
      </c>
      <c r="D96" s="215" t="s">
        <v>31</v>
      </c>
      <c r="E96" s="215" t="s">
        <v>31</v>
      </c>
      <c r="F96" s="215" t="s">
        <v>31</v>
      </c>
      <c r="G96" s="215" t="s">
        <v>31</v>
      </c>
      <c r="H96" s="215" t="s">
        <v>31</v>
      </c>
      <c r="I96" s="215" t="s">
        <v>31</v>
      </c>
      <c r="J96" s="215" t="s">
        <v>31</v>
      </c>
      <c r="K96" s="215" t="s">
        <v>31</v>
      </c>
      <c r="L96" s="215" t="s">
        <v>31</v>
      </c>
      <c r="M96" s="215" t="s">
        <v>31</v>
      </c>
      <c r="N96" s="215" t="s">
        <v>31</v>
      </c>
      <c r="O96" s="215" t="s">
        <v>31</v>
      </c>
      <c r="P96" s="215" t="s">
        <v>31</v>
      </c>
      <c r="Q96" s="215" t="s">
        <v>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617</v>
      </c>
      <c r="B97" s="215" t="s">
        <v>31</v>
      </c>
      <c r="C97" s="215" t="s">
        <v>31</v>
      </c>
      <c r="D97" s="215" t="s">
        <v>31</v>
      </c>
      <c r="E97" s="215" t="s">
        <v>31</v>
      </c>
      <c r="F97" s="215" t="s">
        <v>31</v>
      </c>
      <c r="G97" s="215" t="s">
        <v>31</v>
      </c>
      <c r="H97" s="215" t="s">
        <v>31</v>
      </c>
      <c r="I97" s="215" t="s">
        <v>31</v>
      </c>
      <c r="J97" s="215" t="s">
        <v>31</v>
      </c>
      <c r="K97" s="215" t="s">
        <v>31</v>
      </c>
      <c r="L97" s="215" t="s">
        <v>31</v>
      </c>
      <c r="M97" s="215" t="s">
        <v>31</v>
      </c>
      <c r="N97" s="215" t="s">
        <v>31</v>
      </c>
      <c r="O97" s="215" t="s">
        <v>31</v>
      </c>
      <c r="P97" s="215" t="s">
        <v>31</v>
      </c>
      <c r="Q97" s="215" t="s">
        <v>31</v>
      </c>
      <c r="R97" s="198"/>
      <c r="S97" s="198"/>
      <c r="T97" s="198"/>
      <c r="U97" s="198"/>
    </row>
    <row r="98" spans="1:33" s="12" customFormat="1" x14ac:dyDescent="0.25">
      <c r="A98" s="201" t="s">
        <v>618</v>
      </c>
      <c r="B98" s="215" t="s">
        <v>31</v>
      </c>
      <c r="C98" s="215" t="s">
        <v>31</v>
      </c>
      <c r="D98" s="215" t="s">
        <v>31</v>
      </c>
      <c r="E98" s="215" t="s">
        <v>31</v>
      </c>
      <c r="F98" s="215" t="s">
        <v>31</v>
      </c>
      <c r="G98" s="215" t="s">
        <v>31</v>
      </c>
      <c r="H98" s="215" t="s">
        <v>31</v>
      </c>
      <c r="I98" s="215" t="s">
        <v>31</v>
      </c>
      <c r="J98" s="215" t="s">
        <v>31</v>
      </c>
      <c r="K98" s="215" t="s">
        <v>31</v>
      </c>
      <c r="L98" s="215" t="s">
        <v>31</v>
      </c>
      <c r="M98" s="215" t="s">
        <v>31</v>
      </c>
      <c r="N98" s="215" t="s">
        <v>31</v>
      </c>
      <c r="O98" s="215" t="s">
        <v>31</v>
      </c>
      <c r="P98" s="215" t="s">
        <v>31</v>
      </c>
      <c r="Q98" s="215" t="s">
        <v>31</v>
      </c>
      <c r="R98" s="198"/>
      <c r="S98" s="198"/>
      <c r="T98" s="198"/>
      <c r="U98" s="198"/>
    </row>
    <row r="99" spans="1:33" s="12" customFormat="1" x14ac:dyDescent="0.25">
      <c r="A99" s="201" t="s">
        <v>619</v>
      </c>
      <c r="B99" s="215" t="s">
        <v>31</v>
      </c>
      <c r="C99" s="215" t="s">
        <v>31</v>
      </c>
      <c r="D99" s="215" t="s">
        <v>31</v>
      </c>
      <c r="E99" s="215" t="s">
        <v>31</v>
      </c>
      <c r="F99" s="215" t="s">
        <v>31</v>
      </c>
      <c r="G99" s="215" t="s">
        <v>31</v>
      </c>
      <c r="H99" s="215" t="s">
        <v>31</v>
      </c>
      <c r="I99" s="215" t="s">
        <v>31</v>
      </c>
      <c r="J99" s="215" t="s">
        <v>31</v>
      </c>
      <c r="K99" s="215" t="s">
        <v>31</v>
      </c>
      <c r="L99" s="215" t="s">
        <v>31</v>
      </c>
      <c r="M99" s="215" t="s">
        <v>31</v>
      </c>
      <c r="N99" s="215" t="s">
        <v>31</v>
      </c>
      <c r="O99" s="215" t="s">
        <v>31</v>
      </c>
      <c r="P99" s="215" t="s">
        <v>31</v>
      </c>
      <c r="Q99" s="215" t="s">
        <v>31</v>
      </c>
      <c r="R99" s="198"/>
      <c r="S99" s="198"/>
      <c r="T99" s="198"/>
      <c r="U99" s="198"/>
    </row>
    <row r="100" spans="1:33" s="12" customFormat="1" x14ac:dyDescent="0.25">
      <c r="A100" s="201" t="s">
        <v>620</v>
      </c>
      <c r="B100" s="215" t="s">
        <v>31</v>
      </c>
      <c r="C100" s="215" t="s">
        <v>31</v>
      </c>
      <c r="D100" s="215" t="s">
        <v>31</v>
      </c>
      <c r="E100" s="215" t="s">
        <v>31</v>
      </c>
      <c r="F100" s="215" t="s">
        <v>31</v>
      </c>
      <c r="G100" s="215" t="s">
        <v>31</v>
      </c>
      <c r="H100" s="215" t="s">
        <v>31</v>
      </c>
      <c r="I100" s="215" t="s">
        <v>31</v>
      </c>
      <c r="J100" s="215" t="s">
        <v>31</v>
      </c>
      <c r="K100" s="215" t="s">
        <v>31</v>
      </c>
      <c r="L100" s="215" t="s">
        <v>31</v>
      </c>
      <c r="M100" s="215" t="s">
        <v>31</v>
      </c>
      <c r="N100" s="215" t="s">
        <v>31</v>
      </c>
      <c r="O100" s="215" t="s">
        <v>31</v>
      </c>
      <c r="P100" s="215" t="s">
        <v>31</v>
      </c>
      <c r="Q100" s="215" t="s">
        <v>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621</v>
      </c>
      <c r="B101" s="215" t="s">
        <v>31</v>
      </c>
      <c r="C101" s="215" t="s">
        <v>31</v>
      </c>
      <c r="D101" s="215" t="s">
        <v>31</v>
      </c>
      <c r="E101" s="215" t="s">
        <v>31</v>
      </c>
      <c r="F101" s="215" t="s">
        <v>31</v>
      </c>
      <c r="G101" s="215" t="s">
        <v>31</v>
      </c>
      <c r="H101" s="215" t="s">
        <v>31</v>
      </c>
      <c r="I101" s="215" t="s">
        <v>31</v>
      </c>
      <c r="J101" s="215" t="s">
        <v>31</v>
      </c>
      <c r="K101" s="215" t="s">
        <v>31</v>
      </c>
      <c r="L101" s="215" t="s">
        <v>31</v>
      </c>
      <c r="M101" s="215" t="s">
        <v>31</v>
      </c>
      <c r="N101" s="215" t="s">
        <v>31</v>
      </c>
      <c r="O101" s="215" t="s">
        <v>31</v>
      </c>
      <c r="P101" s="215" t="s">
        <v>31</v>
      </c>
      <c r="Q101" s="215" t="s">
        <v>31</v>
      </c>
      <c r="R101" s="198"/>
      <c r="S101" s="198"/>
      <c r="T101" s="198"/>
      <c r="U101" s="198"/>
    </row>
    <row r="102" spans="1:33" s="12" customFormat="1" x14ac:dyDescent="0.25">
      <c r="A102" s="201" t="s">
        <v>622</v>
      </c>
      <c r="B102" s="215" t="s">
        <v>31</v>
      </c>
      <c r="C102" s="215" t="s">
        <v>31</v>
      </c>
      <c r="D102" s="215" t="s">
        <v>31</v>
      </c>
      <c r="E102" s="215" t="s">
        <v>31</v>
      </c>
      <c r="F102" s="215" t="s">
        <v>31</v>
      </c>
      <c r="G102" s="215" t="s">
        <v>31</v>
      </c>
      <c r="H102" s="215" t="s">
        <v>31</v>
      </c>
      <c r="I102" s="215" t="s">
        <v>31</v>
      </c>
      <c r="J102" s="215" t="s">
        <v>31</v>
      </c>
      <c r="K102" s="215" t="s">
        <v>31</v>
      </c>
      <c r="L102" s="215" t="s">
        <v>31</v>
      </c>
      <c r="M102" s="215" t="s">
        <v>31</v>
      </c>
      <c r="N102" s="215" t="s">
        <v>31</v>
      </c>
      <c r="O102" s="215" t="s">
        <v>31</v>
      </c>
      <c r="P102" s="215" t="s">
        <v>31</v>
      </c>
      <c r="Q102" s="215" t="s">
        <v>31</v>
      </c>
      <c r="R102" s="198"/>
      <c r="S102" s="198"/>
      <c r="T102" s="198"/>
      <c r="U102" s="198"/>
    </row>
    <row r="103" spans="1:33" s="12" customFormat="1" x14ac:dyDescent="0.25">
      <c r="A103" s="201" t="s">
        <v>623</v>
      </c>
      <c r="B103" s="215" t="s">
        <v>31</v>
      </c>
      <c r="C103" s="215" t="s">
        <v>31</v>
      </c>
      <c r="D103" s="215" t="s">
        <v>31</v>
      </c>
      <c r="E103" s="215" t="s">
        <v>31</v>
      </c>
      <c r="F103" s="215" t="s">
        <v>31</v>
      </c>
      <c r="G103" s="215" t="s">
        <v>31</v>
      </c>
      <c r="H103" s="215" t="s">
        <v>31</v>
      </c>
      <c r="I103" s="215" t="s">
        <v>31</v>
      </c>
      <c r="J103" s="215" t="s">
        <v>31</v>
      </c>
      <c r="K103" s="215" t="s">
        <v>31</v>
      </c>
      <c r="L103" s="215" t="s">
        <v>31</v>
      </c>
      <c r="M103" s="215" t="s">
        <v>31</v>
      </c>
      <c r="N103" s="215" t="s">
        <v>31</v>
      </c>
      <c r="O103" s="215" t="s">
        <v>31</v>
      </c>
      <c r="P103" s="215" t="s">
        <v>31</v>
      </c>
      <c r="Q103" s="215" t="s">
        <v>31</v>
      </c>
      <c r="R103" s="198"/>
      <c r="S103" s="198"/>
      <c r="T103" s="198"/>
      <c r="U103" s="198"/>
    </row>
    <row r="104" spans="1:33" s="12" customFormat="1" x14ac:dyDescent="0.25">
      <c r="A104" s="201" t="s">
        <v>624</v>
      </c>
      <c r="B104" s="215" t="s">
        <v>31</v>
      </c>
      <c r="C104" s="215" t="s">
        <v>31</v>
      </c>
      <c r="D104" s="215" t="s">
        <v>31</v>
      </c>
      <c r="E104" s="215" t="s">
        <v>31</v>
      </c>
      <c r="F104" s="215" t="s">
        <v>31</v>
      </c>
      <c r="G104" s="215" t="s">
        <v>31</v>
      </c>
      <c r="H104" s="215" t="s">
        <v>31</v>
      </c>
      <c r="I104" s="215" t="s">
        <v>31</v>
      </c>
      <c r="J104" s="215" t="s">
        <v>31</v>
      </c>
      <c r="K104" s="215" t="s">
        <v>31</v>
      </c>
      <c r="L104" s="215" t="s">
        <v>31</v>
      </c>
      <c r="M104" s="215" t="s">
        <v>31</v>
      </c>
      <c r="N104" s="215" t="s">
        <v>31</v>
      </c>
      <c r="O104" s="215" t="s">
        <v>31</v>
      </c>
      <c r="P104" s="215" t="s">
        <v>31</v>
      </c>
      <c r="Q104" s="215" t="s">
        <v>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60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76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COUNT(B9:B104)+96</f>
        <v>96</v>
      </c>
      <c r="C110" s="66">
        <f t="shared" ref="C110:Q110" si="4">COUNT(C9:C104)+96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625</v>
      </c>
      <c r="B9" s="215" t="s">
        <v>31</v>
      </c>
      <c r="C9" s="215" t="s">
        <v>31</v>
      </c>
      <c r="D9" s="215" t="s">
        <v>31</v>
      </c>
      <c r="E9" s="215" t="s">
        <v>31</v>
      </c>
      <c r="F9" s="215" t="s">
        <v>31</v>
      </c>
      <c r="G9" s="215" t="s">
        <v>31</v>
      </c>
      <c r="H9" s="215" t="s">
        <v>31</v>
      </c>
      <c r="I9" s="215" t="s">
        <v>31</v>
      </c>
      <c r="J9" s="215" t="s">
        <v>31</v>
      </c>
      <c r="K9" s="215" t="s">
        <v>31</v>
      </c>
      <c r="L9" s="215" t="s">
        <v>31</v>
      </c>
      <c r="M9" s="215" t="s">
        <v>31</v>
      </c>
      <c r="N9" s="215" t="s">
        <v>31</v>
      </c>
      <c r="O9" s="215" t="s">
        <v>31</v>
      </c>
      <c r="P9" s="215" t="s">
        <v>31</v>
      </c>
      <c r="Q9" s="215" t="s">
        <v>31</v>
      </c>
      <c r="R9" s="198"/>
      <c r="S9" s="198"/>
      <c r="T9" s="198"/>
      <c r="U9" s="198"/>
    </row>
    <row r="10" spans="1:21" s="12" customFormat="1" x14ac:dyDescent="0.25">
      <c r="A10" s="201" t="s">
        <v>626</v>
      </c>
      <c r="B10" s="215" t="s">
        <v>31</v>
      </c>
      <c r="C10" s="215" t="s">
        <v>31</v>
      </c>
      <c r="D10" s="215" t="s">
        <v>31</v>
      </c>
      <c r="E10" s="215" t="s">
        <v>31</v>
      </c>
      <c r="F10" s="215" t="s">
        <v>31</v>
      </c>
      <c r="G10" s="215" t="s">
        <v>31</v>
      </c>
      <c r="H10" s="215" t="s">
        <v>31</v>
      </c>
      <c r="I10" s="215" t="s">
        <v>31</v>
      </c>
      <c r="J10" s="215" t="s">
        <v>31</v>
      </c>
      <c r="K10" s="215" t="s">
        <v>31</v>
      </c>
      <c r="L10" s="215" t="s">
        <v>31</v>
      </c>
      <c r="M10" s="215" t="s">
        <v>31</v>
      </c>
      <c r="N10" s="215" t="s">
        <v>31</v>
      </c>
      <c r="O10" s="215" t="s">
        <v>31</v>
      </c>
      <c r="P10" s="215" t="s">
        <v>31</v>
      </c>
      <c r="Q10" s="215" t="s">
        <v>31</v>
      </c>
      <c r="R10" s="198"/>
      <c r="S10" s="198"/>
      <c r="T10" s="198"/>
      <c r="U10" s="198"/>
    </row>
    <row r="11" spans="1:21" s="12" customFormat="1" x14ac:dyDescent="0.25">
      <c r="A11" s="201" t="s">
        <v>627</v>
      </c>
      <c r="B11" s="215" t="s">
        <v>31</v>
      </c>
      <c r="C11" s="215" t="s">
        <v>31</v>
      </c>
      <c r="D11" s="215" t="s">
        <v>31</v>
      </c>
      <c r="E11" s="215" t="s">
        <v>31</v>
      </c>
      <c r="F11" s="215" t="s">
        <v>31</v>
      </c>
      <c r="G11" s="215" t="s">
        <v>31</v>
      </c>
      <c r="H11" s="215" t="s">
        <v>31</v>
      </c>
      <c r="I11" s="215" t="s">
        <v>31</v>
      </c>
      <c r="J11" s="215" t="s">
        <v>31</v>
      </c>
      <c r="K11" s="215" t="s">
        <v>31</v>
      </c>
      <c r="L11" s="215" t="s">
        <v>31</v>
      </c>
      <c r="M11" s="215" t="s">
        <v>31</v>
      </c>
      <c r="N11" s="215" t="s">
        <v>31</v>
      </c>
      <c r="O11" s="215" t="s">
        <v>31</v>
      </c>
      <c r="P11" s="215" t="s">
        <v>31</v>
      </c>
      <c r="Q11" s="215" t="s">
        <v>31</v>
      </c>
      <c r="R11" s="198"/>
      <c r="S11" s="198"/>
      <c r="T11" s="198"/>
      <c r="U11" s="198"/>
    </row>
    <row r="12" spans="1:21" s="12" customFormat="1" x14ac:dyDescent="0.25">
      <c r="A12" s="201" t="s">
        <v>628</v>
      </c>
      <c r="B12" s="215" t="s">
        <v>31</v>
      </c>
      <c r="C12" s="215" t="s">
        <v>31</v>
      </c>
      <c r="D12" s="215" t="s">
        <v>31</v>
      </c>
      <c r="E12" s="215" t="s">
        <v>31</v>
      </c>
      <c r="F12" s="215" t="s">
        <v>31</v>
      </c>
      <c r="G12" s="215" t="s">
        <v>31</v>
      </c>
      <c r="H12" s="215" t="s">
        <v>31</v>
      </c>
      <c r="I12" s="215" t="s">
        <v>31</v>
      </c>
      <c r="J12" s="215" t="s">
        <v>31</v>
      </c>
      <c r="K12" s="215" t="s">
        <v>31</v>
      </c>
      <c r="L12" s="215" t="s">
        <v>31</v>
      </c>
      <c r="M12" s="215" t="s">
        <v>31</v>
      </c>
      <c r="N12" s="215" t="s">
        <v>31</v>
      </c>
      <c r="O12" s="215" t="s">
        <v>31</v>
      </c>
      <c r="P12" s="215" t="s">
        <v>31</v>
      </c>
      <c r="Q12" s="215" t="s">
        <v>31</v>
      </c>
      <c r="R12" s="198"/>
      <c r="S12" s="198"/>
      <c r="T12" s="198"/>
      <c r="U12" s="198"/>
    </row>
    <row r="13" spans="1:21" s="12" customFormat="1" x14ac:dyDescent="0.25">
      <c r="A13" s="201" t="s">
        <v>629</v>
      </c>
      <c r="B13" s="215" t="s">
        <v>31</v>
      </c>
      <c r="C13" s="215" t="s">
        <v>31</v>
      </c>
      <c r="D13" s="215" t="s">
        <v>31</v>
      </c>
      <c r="E13" s="215" t="s">
        <v>31</v>
      </c>
      <c r="F13" s="215" t="s">
        <v>31</v>
      </c>
      <c r="G13" s="215" t="s">
        <v>31</v>
      </c>
      <c r="H13" s="215" t="s">
        <v>31</v>
      </c>
      <c r="I13" s="215" t="s">
        <v>31</v>
      </c>
      <c r="J13" s="215" t="s">
        <v>31</v>
      </c>
      <c r="K13" s="215" t="s">
        <v>31</v>
      </c>
      <c r="L13" s="215" t="s">
        <v>31</v>
      </c>
      <c r="M13" s="215" t="s">
        <v>31</v>
      </c>
      <c r="N13" s="215" t="s">
        <v>31</v>
      </c>
      <c r="O13" s="215" t="s">
        <v>31</v>
      </c>
      <c r="P13" s="215" t="s">
        <v>31</v>
      </c>
      <c r="Q13" s="215" t="s">
        <v>31</v>
      </c>
      <c r="R13" s="198"/>
      <c r="S13" s="198"/>
      <c r="T13" s="198"/>
      <c r="U13" s="198"/>
    </row>
    <row r="14" spans="1:21" s="12" customFormat="1" x14ac:dyDescent="0.25">
      <c r="A14" s="201" t="s">
        <v>630</v>
      </c>
      <c r="B14" s="215" t="s">
        <v>31</v>
      </c>
      <c r="C14" s="215" t="s">
        <v>31</v>
      </c>
      <c r="D14" s="215" t="s">
        <v>31</v>
      </c>
      <c r="E14" s="215" t="s">
        <v>31</v>
      </c>
      <c r="F14" s="215" t="s">
        <v>31</v>
      </c>
      <c r="G14" s="215" t="s">
        <v>31</v>
      </c>
      <c r="H14" s="215" t="s">
        <v>31</v>
      </c>
      <c r="I14" s="215" t="s">
        <v>31</v>
      </c>
      <c r="J14" s="215" t="s">
        <v>31</v>
      </c>
      <c r="K14" s="215" t="s">
        <v>31</v>
      </c>
      <c r="L14" s="215" t="s">
        <v>31</v>
      </c>
      <c r="M14" s="215" t="s">
        <v>31</v>
      </c>
      <c r="N14" s="215" t="s">
        <v>31</v>
      </c>
      <c r="O14" s="215" t="s">
        <v>31</v>
      </c>
      <c r="P14" s="215" t="s">
        <v>31</v>
      </c>
      <c r="Q14" s="215" t="s">
        <v>31</v>
      </c>
      <c r="R14" s="198"/>
      <c r="S14" s="198"/>
      <c r="T14" s="198"/>
      <c r="U14" s="198"/>
    </row>
    <row r="15" spans="1:21" s="12" customFormat="1" x14ac:dyDescent="0.25">
      <c r="A15" s="201" t="s">
        <v>631</v>
      </c>
      <c r="B15" s="215" t="s">
        <v>31</v>
      </c>
      <c r="C15" s="215" t="s">
        <v>31</v>
      </c>
      <c r="D15" s="215" t="s">
        <v>31</v>
      </c>
      <c r="E15" s="215" t="s">
        <v>31</v>
      </c>
      <c r="F15" s="215" t="s">
        <v>31</v>
      </c>
      <c r="G15" s="215" t="s">
        <v>31</v>
      </c>
      <c r="H15" s="215" t="s">
        <v>31</v>
      </c>
      <c r="I15" s="215" t="s">
        <v>31</v>
      </c>
      <c r="J15" s="215" t="s">
        <v>31</v>
      </c>
      <c r="K15" s="215" t="s">
        <v>31</v>
      </c>
      <c r="L15" s="215" t="s">
        <v>31</v>
      </c>
      <c r="M15" s="215" t="s">
        <v>31</v>
      </c>
      <c r="N15" s="215" t="s">
        <v>31</v>
      </c>
      <c r="O15" s="215" t="s">
        <v>31</v>
      </c>
      <c r="P15" s="215" t="s">
        <v>31</v>
      </c>
      <c r="Q15" s="215" t="s">
        <v>31</v>
      </c>
      <c r="R15" s="198"/>
      <c r="S15" s="198"/>
      <c r="T15" s="198"/>
      <c r="U15" s="198"/>
    </row>
    <row r="16" spans="1:21" s="12" customFormat="1" x14ac:dyDescent="0.25">
      <c r="A16" s="201" t="s">
        <v>632</v>
      </c>
      <c r="B16" s="215" t="s">
        <v>31</v>
      </c>
      <c r="C16" s="215" t="s">
        <v>31</v>
      </c>
      <c r="D16" s="215" t="s">
        <v>31</v>
      </c>
      <c r="E16" s="215" t="s">
        <v>31</v>
      </c>
      <c r="F16" s="215" t="s">
        <v>31</v>
      </c>
      <c r="G16" s="215" t="s">
        <v>31</v>
      </c>
      <c r="H16" s="215" t="s">
        <v>31</v>
      </c>
      <c r="I16" s="215" t="s">
        <v>31</v>
      </c>
      <c r="J16" s="215" t="s">
        <v>31</v>
      </c>
      <c r="K16" s="215" t="s">
        <v>31</v>
      </c>
      <c r="L16" s="215" t="s">
        <v>31</v>
      </c>
      <c r="M16" s="215" t="s">
        <v>31</v>
      </c>
      <c r="N16" s="215" t="s">
        <v>31</v>
      </c>
      <c r="O16" s="215" t="s">
        <v>31</v>
      </c>
      <c r="P16" s="215" t="s">
        <v>31</v>
      </c>
      <c r="Q16" s="215" t="s">
        <v>31</v>
      </c>
      <c r="R16" s="198"/>
      <c r="S16" s="198"/>
      <c r="T16" s="198"/>
      <c r="U16" s="198"/>
    </row>
    <row r="17" spans="1:21" s="12" customFormat="1" x14ac:dyDescent="0.25">
      <c r="A17" s="201" t="s">
        <v>633</v>
      </c>
      <c r="B17" s="215" t="s">
        <v>31</v>
      </c>
      <c r="C17" s="215" t="s">
        <v>31</v>
      </c>
      <c r="D17" s="215" t="s">
        <v>31</v>
      </c>
      <c r="E17" s="215" t="s">
        <v>31</v>
      </c>
      <c r="F17" s="215" t="s">
        <v>31</v>
      </c>
      <c r="G17" s="215" t="s">
        <v>31</v>
      </c>
      <c r="H17" s="215" t="s">
        <v>31</v>
      </c>
      <c r="I17" s="215" t="s">
        <v>31</v>
      </c>
      <c r="J17" s="215" t="s">
        <v>31</v>
      </c>
      <c r="K17" s="215" t="s">
        <v>31</v>
      </c>
      <c r="L17" s="215" t="s">
        <v>31</v>
      </c>
      <c r="M17" s="215" t="s">
        <v>31</v>
      </c>
      <c r="N17" s="215" t="s">
        <v>31</v>
      </c>
      <c r="O17" s="215" t="s">
        <v>31</v>
      </c>
      <c r="P17" s="215" t="s">
        <v>31</v>
      </c>
      <c r="Q17" s="215" t="s">
        <v>31</v>
      </c>
      <c r="R17" s="198"/>
      <c r="S17" s="198"/>
      <c r="T17" s="198"/>
      <c r="U17" s="198"/>
    </row>
    <row r="18" spans="1:21" s="12" customFormat="1" x14ac:dyDescent="0.25">
      <c r="A18" s="201" t="s">
        <v>634</v>
      </c>
      <c r="B18" s="215" t="s">
        <v>31</v>
      </c>
      <c r="C18" s="215" t="s">
        <v>31</v>
      </c>
      <c r="D18" s="215" t="s">
        <v>31</v>
      </c>
      <c r="E18" s="215" t="s">
        <v>31</v>
      </c>
      <c r="F18" s="215" t="s">
        <v>31</v>
      </c>
      <c r="G18" s="215" t="s">
        <v>31</v>
      </c>
      <c r="H18" s="215" t="s">
        <v>31</v>
      </c>
      <c r="I18" s="215" t="s">
        <v>31</v>
      </c>
      <c r="J18" s="215" t="s">
        <v>31</v>
      </c>
      <c r="K18" s="215" t="s">
        <v>31</v>
      </c>
      <c r="L18" s="215" t="s">
        <v>31</v>
      </c>
      <c r="M18" s="215" t="s">
        <v>31</v>
      </c>
      <c r="N18" s="215" t="s">
        <v>31</v>
      </c>
      <c r="O18" s="215" t="s">
        <v>31</v>
      </c>
      <c r="P18" s="215" t="s">
        <v>31</v>
      </c>
      <c r="Q18" s="215" t="s">
        <v>31</v>
      </c>
      <c r="R18" s="198"/>
      <c r="S18" s="198"/>
      <c r="T18" s="198"/>
      <c r="U18" s="198"/>
    </row>
    <row r="19" spans="1:21" s="12" customFormat="1" x14ac:dyDescent="0.25">
      <c r="A19" s="201" t="s">
        <v>635</v>
      </c>
      <c r="B19" s="215" t="s">
        <v>31</v>
      </c>
      <c r="C19" s="215" t="s">
        <v>31</v>
      </c>
      <c r="D19" s="215" t="s">
        <v>31</v>
      </c>
      <c r="E19" s="215" t="s">
        <v>31</v>
      </c>
      <c r="F19" s="215" t="s">
        <v>31</v>
      </c>
      <c r="G19" s="215" t="s">
        <v>31</v>
      </c>
      <c r="H19" s="215" t="s">
        <v>31</v>
      </c>
      <c r="I19" s="215" t="s">
        <v>31</v>
      </c>
      <c r="J19" s="215" t="s">
        <v>31</v>
      </c>
      <c r="K19" s="215" t="s">
        <v>31</v>
      </c>
      <c r="L19" s="215" t="s">
        <v>31</v>
      </c>
      <c r="M19" s="215" t="s">
        <v>31</v>
      </c>
      <c r="N19" s="215" t="s">
        <v>31</v>
      </c>
      <c r="O19" s="215" t="s">
        <v>31</v>
      </c>
      <c r="P19" s="215" t="s">
        <v>31</v>
      </c>
      <c r="Q19" s="215" t="s">
        <v>31</v>
      </c>
      <c r="R19" s="198"/>
      <c r="S19" s="198"/>
      <c r="T19" s="198"/>
      <c r="U19" s="198"/>
    </row>
    <row r="20" spans="1:21" s="12" customFormat="1" x14ac:dyDescent="0.25">
      <c r="A20" s="201" t="s">
        <v>636</v>
      </c>
      <c r="B20" s="215" t="s">
        <v>31</v>
      </c>
      <c r="C20" s="215" t="s">
        <v>31</v>
      </c>
      <c r="D20" s="215" t="s">
        <v>31</v>
      </c>
      <c r="E20" s="215" t="s">
        <v>31</v>
      </c>
      <c r="F20" s="215" t="s">
        <v>31</v>
      </c>
      <c r="G20" s="215" t="s">
        <v>31</v>
      </c>
      <c r="H20" s="215" t="s">
        <v>31</v>
      </c>
      <c r="I20" s="215" t="s">
        <v>31</v>
      </c>
      <c r="J20" s="215" t="s">
        <v>31</v>
      </c>
      <c r="K20" s="215" t="s">
        <v>31</v>
      </c>
      <c r="L20" s="215" t="s">
        <v>31</v>
      </c>
      <c r="M20" s="215" t="s">
        <v>31</v>
      </c>
      <c r="N20" s="215" t="s">
        <v>31</v>
      </c>
      <c r="O20" s="215" t="s">
        <v>31</v>
      </c>
      <c r="P20" s="215" t="s">
        <v>31</v>
      </c>
      <c r="Q20" s="215" t="s">
        <v>31</v>
      </c>
      <c r="R20" s="198"/>
      <c r="S20" s="198"/>
      <c r="T20" s="198"/>
      <c r="U20" s="198"/>
    </row>
    <row r="21" spans="1:21" s="12" customFormat="1" x14ac:dyDescent="0.25">
      <c r="A21" s="201" t="s">
        <v>637</v>
      </c>
      <c r="B21" s="215" t="s">
        <v>31</v>
      </c>
      <c r="C21" s="215" t="s">
        <v>31</v>
      </c>
      <c r="D21" s="215" t="s">
        <v>31</v>
      </c>
      <c r="E21" s="215" t="s">
        <v>31</v>
      </c>
      <c r="F21" s="215" t="s">
        <v>31</v>
      </c>
      <c r="G21" s="215" t="s">
        <v>31</v>
      </c>
      <c r="H21" s="215" t="s">
        <v>31</v>
      </c>
      <c r="I21" s="215" t="s">
        <v>31</v>
      </c>
      <c r="J21" s="215" t="s">
        <v>31</v>
      </c>
      <c r="K21" s="215" t="s">
        <v>31</v>
      </c>
      <c r="L21" s="215" t="s">
        <v>31</v>
      </c>
      <c r="M21" s="215" t="s">
        <v>31</v>
      </c>
      <c r="N21" s="215" t="s">
        <v>31</v>
      </c>
      <c r="O21" s="215" t="s">
        <v>31</v>
      </c>
      <c r="P21" s="215" t="s">
        <v>31</v>
      </c>
      <c r="Q21" s="215" t="s">
        <v>31</v>
      </c>
      <c r="R21" s="198"/>
      <c r="S21" s="198"/>
      <c r="T21" s="198"/>
      <c r="U21" s="198"/>
    </row>
    <row r="22" spans="1:21" s="12" customFormat="1" x14ac:dyDescent="0.25">
      <c r="A22" s="201" t="s">
        <v>638</v>
      </c>
      <c r="B22" s="215" t="s">
        <v>31</v>
      </c>
      <c r="C22" s="215" t="s">
        <v>31</v>
      </c>
      <c r="D22" s="215" t="s">
        <v>31</v>
      </c>
      <c r="E22" s="215" t="s">
        <v>31</v>
      </c>
      <c r="F22" s="215" t="s">
        <v>31</v>
      </c>
      <c r="G22" s="215" t="s">
        <v>31</v>
      </c>
      <c r="H22" s="215" t="s">
        <v>31</v>
      </c>
      <c r="I22" s="215" t="s">
        <v>31</v>
      </c>
      <c r="J22" s="215" t="s">
        <v>31</v>
      </c>
      <c r="K22" s="215" t="s">
        <v>31</v>
      </c>
      <c r="L22" s="215" t="s">
        <v>31</v>
      </c>
      <c r="M22" s="215" t="s">
        <v>31</v>
      </c>
      <c r="N22" s="215" t="s">
        <v>31</v>
      </c>
      <c r="O22" s="215" t="s">
        <v>31</v>
      </c>
      <c r="P22" s="215" t="s">
        <v>31</v>
      </c>
      <c r="Q22" s="215" t="s">
        <v>31</v>
      </c>
      <c r="R22" s="198"/>
      <c r="S22" s="198"/>
      <c r="T22" s="198"/>
      <c r="U22" s="198"/>
    </row>
    <row r="23" spans="1:21" s="12" customFormat="1" x14ac:dyDescent="0.25">
      <c r="A23" s="201" t="s">
        <v>639</v>
      </c>
      <c r="B23" s="215" t="s">
        <v>31</v>
      </c>
      <c r="C23" s="215" t="s">
        <v>31</v>
      </c>
      <c r="D23" s="215" t="s">
        <v>31</v>
      </c>
      <c r="E23" s="215" t="s">
        <v>31</v>
      </c>
      <c r="F23" s="215" t="s">
        <v>31</v>
      </c>
      <c r="G23" s="215" t="s">
        <v>31</v>
      </c>
      <c r="H23" s="215" t="s">
        <v>31</v>
      </c>
      <c r="I23" s="215" t="s">
        <v>31</v>
      </c>
      <c r="J23" s="215" t="s">
        <v>31</v>
      </c>
      <c r="K23" s="215" t="s">
        <v>31</v>
      </c>
      <c r="L23" s="215" t="s">
        <v>31</v>
      </c>
      <c r="M23" s="215" t="s">
        <v>31</v>
      </c>
      <c r="N23" s="215" t="s">
        <v>31</v>
      </c>
      <c r="O23" s="215" t="s">
        <v>31</v>
      </c>
      <c r="P23" s="215" t="s">
        <v>31</v>
      </c>
      <c r="Q23" s="215" t="s">
        <v>31</v>
      </c>
      <c r="R23" s="198"/>
      <c r="S23" s="198"/>
      <c r="T23" s="198"/>
      <c r="U23" s="198"/>
    </row>
    <row r="24" spans="1:21" s="12" customFormat="1" x14ac:dyDescent="0.25">
      <c r="A24" s="201" t="s">
        <v>640</v>
      </c>
      <c r="B24" s="215" t="s">
        <v>31</v>
      </c>
      <c r="C24" s="215" t="s">
        <v>31</v>
      </c>
      <c r="D24" s="215" t="s">
        <v>31</v>
      </c>
      <c r="E24" s="215" t="s">
        <v>31</v>
      </c>
      <c r="F24" s="215" t="s">
        <v>31</v>
      </c>
      <c r="G24" s="215" t="s">
        <v>31</v>
      </c>
      <c r="H24" s="215" t="s">
        <v>31</v>
      </c>
      <c r="I24" s="215" t="s">
        <v>31</v>
      </c>
      <c r="J24" s="215" t="s">
        <v>31</v>
      </c>
      <c r="K24" s="215" t="s">
        <v>31</v>
      </c>
      <c r="L24" s="215" t="s">
        <v>31</v>
      </c>
      <c r="M24" s="215" t="s">
        <v>31</v>
      </c>
      <c r="N24" s="215" t="s">
        <v>31</v>
      </c>
      <c r="O24" s="215" t="s">
        <v>31</v>
      </c>
      <c r="P24" s="215" t="s">
        <v>31</v>
      </c>
      <c r="Q24" s="215" t="s">
        <v>31</v>
      </c>
      <c r="R24" s="198"/>
      <c r="S24" s="198"/>
      <c r="T24" s="198"/>
      <c r="U24" s="198"/>
    </row>
    <row r="25" spans="1:21" s="12" customFormat="1" x14ac:dyDescent="0.25">
      <c r="A25" s="201" t="s">
        <v>641</v>
      </c>
      <c r="B25" s="215" t="s">
        <v>31</v>
      </c>
      <c r="C25" s="215" t="s">
        <v>31</v>
      </c>
      <c r="D25" s="215" t="s">
        <v>31</v>
      </c>
      <c r="E25" s="215" t="s">
        <v>31</v>
      </c>
      <c r="F25" s="215" t="s">
        <v>31</v>
      </c>
      <c r="G25" s="215" t="s">
        <v>31</v>
      </c>
      <c r="H25" s="215" t="s">
        <v>31</v>
      </c>
      <c r="I25" s="215" t="s">
        <v>31</v>
      </c>
      <c r="J25" s="215" t="s">
        <v>31</v>
      </c>
      <c r="K25" s="215" t="s">
        <v>31</v>
      </c>
      <c r="L25" s="215" t="s">
        <v>31</v>
      </c>
      <c r="M25" s="215" t="s">
        <v>31</v>
      </c>
      <c r="N25" s="215" t="s">
        <v>31</v>
      </c>
      <c r="O25" s="215" t="s">
        <v>31</v>
      </c>
      <c r="P25" s="215" t="s">
        <v>31</v>
      </c>
      <c r="Q25" s="215" t="s">
        <v>31</v>
      </c>
      <c r="R25" s="198"/>
      <c r="S25" s="198"/>
      <c r="T25" s="198"/>
      <c r="U25" s="198"/>
    </row>
    <row r="26" spans="1:21" s="12" customFormat="1" x14ac:dyDescent="0.25">
      <c r="A26" s="201" t="s">
        <v>642</v>
      </c>
      <c r="B26" s="215" t="s">
        <v>31</v>
      </c>
      <c r="C26" s="215" t="s">
        <v>31</v>
      </c>
      <c r="D26" s="215" t="s">
        <v>31</v>
      </c>
      <c r="E26" s="215" t="s">
        <v>31</v>
      </c>
      <c r="F26" s="215" t="s">
        <v>31</v>
      </c>
      <c r="G26" s="215" t="s">
        <v>31</v>
      </c>
      <c r="H26" s="215" t="s">
        <v>31</v>
      </c>
      <c r="I26" s="215" t="s">
        <v>31</v>
      </c>
      <c r="J26" s="215" t="s">
        <v>31</v>
      </c>
      <c r="K26" s="215" t="s">
        <v>31</v>
      </c>
      <c r="L26" s="215" t="s">
        <v>31</v>
      </c>
      <c r="M26" s="215" t="s">
        <v>31</v>
      </c>
      <c r="N26" s="215" t="s">
        <v>31</v>
      </c>
      <c r="O26" s="215" t="s">
        <v>31</v>
      </c>
      <c r="P26" s="215" t="s">
        <v>31</v>
      </c>
      <c r="Q26" s="215" t="s">
        <v>31</v>
      </c>
      <c r="R26" s="198"/>
      <c r="S26" s="198"/>
      <c r="T26" s="198"/>
      <c r="U26" s="198"/>
    </row>
    <row r="27" spans="1:21" s="12" customFormat="1" x14ac:dyDescent="0.25">
      <c r="A27" s="201" t="s">
        <v>643</v>
      </c>
      <c r="B27" s="215" t="s">
        <v>31</v>
      </c>
      <c r="C27" s="215" t="s">
        <v>31</v>
      </c>
      <c r="D27" s="215" t="s">
        <v>31</v>
      </c>
      <c r="E27" s="215" t="s">
        <v>31</v>
      </c>
      <c r="F27" s="215" t="s">
        <v>31</v>
      </c>
      <c r="G27" s="215" t="s">
        <v>31</v>
      </c>
      <c r="H27" s="215" t="s">
        <v>31</v>
      </c>
      <c r="I27" s="215" t="s">
        <v>31</v>
      </c>
      <c r="J27" s="215" t="s">
        <v>31</v>
      </c>
      <c r="K27" s="215" t="s">
        <v>31</v>
      </c>
      <c r="L27" s="215" t="s">
        <v>31</v>
      </c>
      <c r="M27" s="215" t="s">
        <v>31</v>
      </c>
      <c r="N27" s="215" t="s">
        <v>31</v>
      </c>
      <c r="O27" s="215" t="s">
        <v>31</v>
      </c>
      <c r="P27" s="215" t="s">
        <v>31</v>
      </c>
      <c r="Q27" s="215" t="s">
        <v>31</v>
      </c>
      <c r="R27" s="198"/>
      <c r="S27" s="198"/>
      <c r="T27" s="198"/>
      <c r="U27" s="198"/>
    </row>
    <row r="28" spans="1:21" s="12" customFormat="1" x14ac:dyDescent="0.25">
      <c r="A28" s="201" t="s">
        <v>644</v>
      </c>
      <c r="B28" s="215" t="s">
        <v>31</v>
      </c>
      <c r="C28" s="215" t="s">
        <v>31</v>
      </c>
      <c r="D28" s="215" t="s">
        <v>31</v>
      </c>
      <c r="E28" s="215" t="s">
        <v>31</v>
      </c>
      <c r="F28" s="215" t="s">
        <v>31</v>
      </c>
      <c r="G28" s="215" t="s">
        <v>31</v>
      </c>
      <c r="H28" s="215" t="s">
        <v>31</v>
      </c>
      <c r="I28" s="215" t="s">
        <v>31</v>
      </c>
      <c r="J28" s="215" t="s">
        <v>31</v>
      </c>
      <c r="K28" s="215" t="s">
        <v>31</v>
      </c>
      <c r="L28" s="215" t="s">
        <v>31</v>
      </c>
      <c r="M28" s="215" t="s">
        <v>31</v>
      </c>
      <c r="N28" s="215" t="s">
        <v>31</v>
      </c>
      <c r="O28" s="215" t="s">
        <v>31</v>
      </c>
      <c r="P28" s="215" t="s">
        <v>31</v>
      </c>
      <c r="Q28" s="215" t="s">
        <v>31</v>
      </c>
      <c r="R28" s="198"/>
      <c r="S28" s="198"/>
      <c r="T28" s="198"/>
      <c r="U28" s="198"/>
    </row>
    <row r="29" spans="1:21" s="12" customFormat="1" x14ac:dyDescent="0.25">
      <c r="A29" s="201" t="s">
        <v>645</v>
      </c>
      <c r="B29" s="215" t="s">
        <v>31</v>
      </c>
      <c r="C29" s="215" t="s">
        <v>31</v>
      </c>
      <c r="D29" s="215" t="s">
        <v>31</v>
      </c>
      <c r="E29" s="215" t="s">
        <v>31</v>
      </c>
      <c r="F29" s="215" t="s">
        <v>31</v>
      </c>
      <c r="G29" s="215" t="s">
        <v>31</v>
      </c>
      <c r="H29" s="215" t="s">
        <v>31</v>
      </c>
      <c r="I29" s="215" t="s">
        <v>31</v>
      </c>
      <c r="J29" s="215" t="s">
        <v>31</v>
      </c>
      <c r="K29" s="215" t="s">
        <v>31</v>
      </c>
      <c r="L29" s="215" t="s">
        <v>31</v>
      </c>
      <c r="M29" s="215" t="s">
        <v>31</v>
      </c>
      <c r="N29" s="215" t="s">
        <v>31</v>
      </c>
      <c r="O29" s="215" t="s">
        <v>31</v>
      </c>
      <c r="P29" s="215" t="s">
        <v>31</v>
      </c>
      <c r="Q29" s="215" t="s">
        <v>31</v>
      </c>
      <c r="R29" s="198"/>
      <c r="S29" s="198"/>
      <c r="T29" s="198"/>
      <c r="U29" s="198"/>
    </row>
    <row r="30" spans="1:21" s="12" customFormat="1" x14ac:dyDescent="0.25">
      <c r="A30" s="201" t="s">
        <v>646</v>
      </c>
      <c r="B30" s="215" t="s">
        <v>31</v>
      </c>
      <c r="C30" s="215" t="s">
        <v>31</v>
      </c>
      <c r="D30" s="215" t="s">
        <v>31</v>
      </c>
      <c r="E30" s="215" t="s">
        <v>31</v>
      </c>
      <c r="F30" s="215" t="s">
        <v>31</v>
      </c>
      <c r="G30" s="215" t="s">
        <v>31</v>
      </c>
      <c r="H30" s="215" t="s">
        <v>31</v>
      </c>
      <c r="I30" s="215" t="s">
        <v>31</v>
      </c>
      <c r="J30" s="215" t="s">
        <v>31</v>
      </c>
      <c r="K30" s="215" t="s">
        <v>31</v>
      </c>
      <c r="L30" s="215" t="s">
        <v>31</v>
      </c>
      <c r="M30" s="215" t="s">
        <v>31</v>
      </c>
      <c r="N30" s="215" t="s">
        <v>31</v>
      </c>
      <c r="O30" s="215" t="s">
        <v>31</v>
      </c>
      <c r="P30" s="215" t="s">
        <v>31</v>
      </c>
      <c r="Q30" s="215" t="s">
        <v>31</v>
      </c>
      <c r="R30" s="198"/>
      <c r="S30" s="198"/>
      <c r="T30" s="198"/>
      <c r="U30" s="198"/>
    </row>
    <row r="31" spans="1:21" s="12" customFormat="1" x14ac:dyDescent="0.25">
      <c r="A31" s="201" t="s">
        <v>647</v>
      </c>
      <c r="B31" s="215" t="s">
        <v>31</v>
      </c>
      <c r="C31" s="215" t="s">
        <v>31</v>
      </c>
      <c r="D31" s="215" t="s">
        <v>31</v>
      </c>
      <c r="E31" s="215" t="s">
        <v>31</v>
      </c>
      <c r="F31" s="215" t="s">
        <v>31</v>
      </c>
      <c r="G31" s="215" t="s">
        <v>31</v>
      </c>
      <c r="H31" s="215" t="s">
        <v>31</v>
      </c>
      <c r="I31" s="215" t="s">
        <v>31</v>
      </c>
      <c r="J31" s="215" t="s">
        <v>31</v>
      </c>
      <c r="K31" s="215" t="s">
        <v>31</v>
      </c>
      <c r="L31" s="215" t="s">
        <v>31</v>
      </c>
      <c r="M31" s="215" t="s">
        <v>31</v>
      </c>
      <c r="N31" s="215" t="s">
        <v>31</v>
      </c>
      <c r="O31" s="215" t="s">
        <v>31</v>
      </c>
      <c r="P31" s="215" t="s">
        <v>31</v>
      </c>
      <c r="Q31" s="215" t="s">
        <v>31</v>
      </c>
      <c r="R31" s="198"/>
      <c r="S31" s="198"/>
      <c r="T31" s="198"/>
      <c r="U31" s="198"/>
    </row>
    <row r="32" spans="1:21" s="12" customFormat="1" x14ac:dyDescent="0.25">
      <c r="A32" s="201" t="s">
        <v>648</v>
      </c>
      <c r="B32" s="215" t="s">
        <v>31</v>
      </c>
      <c r="C32" s="215" t="s">
        <v>31</v>
      </c>
      <c r="D32" s="215" t="s">
        <v>31</v>
      </c>
      <c r="E32" s="215" t="s">
        <v>31</v>
      </c>
      <c r="F32" s="215" t="s">
        <v>31</v>
      </c>
      <c r="G32" s="215" t="s">
        <v>31</v>
      </c>
      <c r="H32" s="215" t="s">
        <v>31</v>
      </c>
      <c r="I32" s="215" t="s">
        <v>31</v>
      </c>
      <c r="J32" s="215" t="s">
        <v>31</v>
      </c>
      <c r="K32" s="215" t="s">
        <v>31</v>
      </c>
      <c r="L32" s="215" t="s">
        <v>31</v>
      </c>
      <c r="M32" s="215" t="s">
        <v>31</v>
      </c>
      <c r="N32" s="215" t="s">
        <v>31</v>
      </c>
      <c r="O32" s="215" t="s">
        <v>31</v>
      </c>
      <c r="P32" s="215" t="s">
        <v>31</v>
      </c>
      <c r="Q32" s="215" t="s">
        <v>31</v>
      </c>
      <c r="R32" s="198"/>
      <c r="S32" s="198"/>
      <c r="T32" s="198"/>
      <c r="U32" s="198"/>
    </row>
    <row r="33" spans="1:21" s="12" customFormat="1" x14ac:dyDescent="0.25">
      <c r="A33" s="201" t="s">
        <v>649</v>
      </c>
      <c r="B33" s="215" t="s">
        <v>31</v>
      </c>
      <c r="C33" s="215" t="s">
        <v>31</v>
      </c>
      <c r="D33" s="215" t="s">
        <v>31</v>
      </c>
      <c r="E33" s="215" t="s">
        <v>31</v>
      </c>
      <c r="F33" s="215" t="s">
        <v>31</v>
      </c>
      <c r="G33" s="215" t="s">
        <v>31</v>
      </c>
      <c r="H33" s="215" t="s">
        <v>31</v>
      </c>
      <c r="I33" s="215" t="s">
        <v>31</v>
      </c>
      <c r="J33" s="215" t="s">
        <v>31</v>
      </c>
      <c r="K33" s="215" t="s">
        <v>31</v>
      </c>
      <c r="L33" s="215" t="s">
        <v>31</v>
      </c>
      <c r="M33" s="215" t="s">
        <v>31</v>
      </c>
      <c r="N33" s="215" t="s">
        <v>31</v>
      </c>
      <c r="O33" s="215" t="s">
        <v>31</v>
      </c>
      <c r="P33" s="215" t="s">
        <v>31</v>
      </c>
      <c r="Q33" s="215" t="s">
        <v>31</v>
      </c>
      <c r="R33" s="198"/>
      <c r="S33" s="198"/>
      <c r="T33" s="198"/>
      <c r="U33" s="198"/>
    </row>
    <row r="34" spans="1:21" s="12" customFormat="1" x14ac:dyDescent="0.25">
      <c r="A34" s="201" t="s">
        <v>650</v>
      </c>
      <c r="B34" s="215" t="s">
        <v>31</v>
      </c>
      <c r="C34" s="215" t="s">
        <v>31</v>
      </c>
      <c r="D34" s="215" t="s">
        <v>31</v>
      </c>
      <c r="E34" s="215" t="s">
        <v>31</v>
      </c>
      <c r="F34" s="215" t="s">
        <v>31</v>
      </c>
      <c r="G34" s="215" t="s">
        <v>31</v>
      </c>
      <c r="H34" s="215" t="s">
        <v>31</v>
      </c>
      <c r="I34" s="215" t="s">
        <v>31</v>
      </c>
      <c r="J34" s="215" t="s">
        <v>31</v>
      </c>
      <c r="K34" s="215" t="s">
        <v>31</v>
      </c>
      <c r="L34" s="215" t="s">
        <v>31</v>
      </c>
      <c r="M34" s="215" t="s">
        <v>31</v>
      </c>
      <c r="N34" s="215" t="s">
        <v>31</v>
      </c>
      <c r="O34" s="215" t="s">
        <v>31</v>
      </c>
      <c r="P34" s="215" t="s">
        <v>31</v>
      </c>
      <c r="Q34" s="215" t="s">
        <v>31</v>
      </c>
      <c r="R34" s="198"/>
      <c r="S34" s="198"/>
      <c r="T34" s="198"/>
      <c r="U34" s="198"/>
    </row>
    <row r="35" spans="1:21" s="12" customFormat="1" x14ac:dyDescent="0.25">
      <c r="A35" s="201" t="s">
        <v>651</v>
      </c>
      <c r="B35" s="215" t="s">
        <v>31</v>
      </c>
      <c r="C35" s="215" t="s">
        <v>31</v>
      </c>
      <c r="D35" s="215" t="s">
        <v>31</v>
      </c>
      <c r="E35" s="215" t="s">
        <v>31</v>
      </c>
      <c r="F35" s="215" t="s">
        <v>31</v>
      </c>
      <c r="G35" s="215" t="s">
        <v>31</v>
      </c>
      <c r="H35" s="215" t="s">
        <v>31</v>
      </c>
      <c r="I35" s="215" t="s">
        <v>31</v>
      </c>
      <c r="J35" s="215" t="s">
        <v>31</v>
      </c>
      <c r="K35" s="215" t="s">
        <v>31</v>
      </c>
      <c r="L35" s="215" t="s">
        <v>31</v>
      </c>
      <c r="M35" s="215" t="s">
        <v>31</v>
      </c>
      <c r="N35" s="215" t="s">
        <v>31</v>
      </c>
      <c r="O35" s="215" t="s">
        <v>31</v>
      </c>
      <c r="P35" s="215" t="s">
        <v>31</v>
      </c>
      <c r="Q35" s="215" t="s">
        <v>31</v>
      </c>
      <c r="R35" s="198"/>
      <c r="S35" s="198"/>
      <c r="T35" s="198"/>
      <c r="U35" s="198"/>
    </row>
    <row r="36" spans="1:21" s="12" customFormat="1" x14ac:dyDescent="0.25">
      <c r="A36" s="201" t="s">
        <v>652</v>
      </c>
      <c r="B36" s="215" t="s">
        <v>31</v>
      </c>
      <c r="C36" s="215" t="s">
        <v>31</v>
      </c>
      <c r="D36" s="215" t="s">
        <v>31</v>
      </c>
      <c r="E36" s="215" t="s">
        <v>31</v>
      </c>
      <c r="F36" s="215" t="s">
        <v>31</v>
      </c>
      <c r="G36" s="215" t="s">
        <v>31</v>
      </c>
      <c r="H36" s="215" t="s">
        <v>31</v>
      </c>
      <c r="I36" s="215" t="s">
        <v>31</v>
      </c>
      <c r="J36" s="215" t="s">
        <v>31</v>
      </c>
      <c r="K36" s="215" t="s">
        <v>31</v>
      </c>
      <c r="L36" s="215" t="s">
        <v>31</v>
      </c>
      <c r="M36" s="215" t="s">
        <v>31</v>
      </c>
      <c r="N36" s="215" t="s">
        <v>31</v>
      </c>
      <c r="O36" s="215" t="s">
        <v>31</v>
      </c>
      <c r="P36" s="215" t="s">
        <v>31</v>
      </c>
      <c r="Q36" s="215" t="s">
        <v>31</v>
      </c>
      <c r="R36" s="198"/>
      <c r="S36" s="198"/>
      <c r="T36" s="198"/>
      <c r="U36" s="198"/>
    </row>
    <row r="37" spans="1:21" s="12" customFormat="1" x14ac:dyDescent="0.25">
      <c r="A37" s="201" t="s">
        <v>653</v>
      </c>
      <c r="B37" s="215" t="s">
        <v>31</v>
      </c>
      <c r="C37" s="215" t="s">
        <v>31</v>
      </c>
      <c r="D37" s="215" t="s">
        <v>31</v>
      </c>
      <c r="E37" s="215" t="s">
        <v>31</v>
      </c>
      <c r="F37" s="215" t="s">
        <v>31</v>
      </c>
      <c r="G37" s="215" t="s">
        <v>31</v>
      </c>
      <c r="H37" s="215" t="s">
        <v>31</v>
      </c>
      <c r="I37" s="215" t="s">
        <v>31</v>
      </c>
      <c r="J37" s="215" t="s">
        <v>31</v>
      </c>
      <c r="K37" s="215" t="s">
        <v>31</v>
      </c>
      <c r="L37" s="215" t="s">
        <v>31</v>
      </c>
      <c r="M37" s="215" t="s">
        <v>31</v>
      </c>
      <c r="N37" s="215" t="s">
        <v>31</v>
      </c>
      <c r="O37" s="215" t="s">
        <v>31</v>
      </c>
      <c r="P37" s="215" t="s">
        <v>31</v>
      </c>
      <c r="Q37" s="215" t="s">
        <v>31</v>
      </c>
      <c r="R37" s="198"/>
      <c r="S37" s="198"/>
      <c r="T37" s="198"/>
      <c r="U37" s="198"/>
    </row>
    <row r="38" spans="1:21" s="12" customFormat="1" x14ac:dyDescent="0.25">
      <c r="A38" s="201" t="s">
        <v>654</v>
      </c>
      <c r="B38" s="215" t="s">
        <v>31</v>
      </c>
      <c r="C38" s="215" t="s">
        <v>31</v>
      </c>
      <c r="D38" s="215" t="s">
        <v>31</v>
      </c>
      <c r="E38" s="215" t="s">
        <v>31</v>
      </c>
      <c r="F38" s="215" t="s">
        <v>31</v>
      </c>
      <c r="G38" s="215" t="s">
        <v>31</v>
      </c>
      <c r="H38" s="215" t="s">
        <v>31</v>
      </c>
      <c r="I38" s="215" t="s">
        <v>31</v>
      </c>
      <c r="J38" s="215" t="s">
        <v>31</v>
      </c>
      <c r="K38" s="215" t="s">
        <v>31</v>
      </c>
      <c r="L38" s="215" t="s">
        <v>31</v>
      </c>
      <c r="M38" s="215" t="s">
        <v>31</v>
      </c>
      <c r="N38" s="215" t="s">
        <v>31</v>
      </c>
      <c r="O38" s="215" t="s">
        <v>31</v>
      </c>
      <c r="P38" s="215" t="s">
        <v>31</v>
      </c>
      <c r="Q38" s="215" t="s">
        <v>31</v>
      </c>
      <c r="R38" s="198"/>
      <c r="S38" s="198"/>
      <c r="T38" s="198"/>
      <c r="U38" s="198"/>
    </row>
    <row r="39" spans="1:21" s="12" customFormat="1" x14ac:dyDescent="0.25">
      <c r="A39" s="201" t="s">
        <v>655</v>
      </c>
      <c r="B39" s="215" t="s">
        <v>31</v>
      </c>
      <c r="C39" s="215" t="s">
        <v>31</v>
      </c>
      <c r="D39" s="215" t="s">
        <v>31</v>
      </c>
      <c r="E39" s="215" t="s">
        <v>31</v>
      </c>
      <c r="F39" s="215" t="s">
        <v>31</v>
      </c>
      <c r="G39" s="215" t="s">
        <v>31</v>
      </c>
      <c r="H39" s="215" t="s">
        <v>31</v>
      </c>
      <c r="I39" s="215" t="s">
        <v>31</v>
      </c>
      <c r="J39" s="215" t="s">
        <v>31</v>
      </c>
      <c r="K39" s="215" t="s">
        <v>31</v>
      </c>
      <c r="L39" s="215" t="s">
        <v>31</v>
      </c>
      <c r="M39" s="215" t="s">
        <v>31</v>
      </c>
      <c r="N39" s="215" t="s">
        <v>31</v>
      </c>
      <c r="O39" s="215" t="s">
        <v>31</v>
      </c>
      <c r="P39" s="215" t="s">
        <v>31</v>
      </c>
      <c r="Q39" s="215" t="s">
        <v>31</v>
      </c>
      <c r="R39" s="198"/>
      <c r="S39" s="198"/>
      <c r="T39" s="198"/>
      <c r="U39" s="198"/>
    </row>
    <row r="40" spans="1:21" s="12" customFormat="1" x14ac:dyDescent="0.25">
      <c r="A40" s="201" t="s">
        <v>656</v>
      </c>
      <c r="B40" s="215" t="s">
        <v>31</v>
      </c>
      <c r="C40" s="215" t="s">
        <v>31</v>
      </c>
      <c r="D40" s="215" t="s">
        <v>31</v>
      </c>
      <c r="E40" s="215" t="s">
        <v>31</v>
      </c>
      <c r="F40" s="215" t="s">
        <v>31</v>
      </c>
      <c r="G40" s="215" t="s">
        <v>31</v>
      </c>
      <c r="H40" s="215" t="s">
        <v>31</v>
      </c>
      <c r="I40" s="215" t="s">
        <v>31</v>
      </c>
      <c r="J40" s="215" t="s">
        <v>31</v>
      </c>
      <c r="K40" s="215" t="s">
        <v>31</v>
      </c>
      <c r="L40" s="215" t="s">
        <v>31</v>
      </c>
      <c r="M40" s="215" t="s">
        <v>31</v>
      </c>
      <c r="N40" s="215" t="s">
        <v>31</v>
      </c>
      <c r="O40" s="215" t="s">
        <v>31</v>
      </c>
      <c r="P40" s="215" t="s">
        <v>31</v>
      </c>
      <c r="Q40" s="215" t="s">
        <v>31</v>
      </c>
      <c r="R40" s="198"/>
      <c r="S40" s="198"/>
      <c r="T40" s="198"/>
      <c r="U40" s="198"/>
    </row>
    <row r="41" spans="1:21" s="12" customFormat="1" x14ac:dyDescent="0.25">
      <c r="A41" s="201" t="s">
        <v>657</v>
      </c>
      <c r="B41" s="215" t="s">
        <v>31</v>
      </c>
      <c r="C41" s="215" t="s">
        <v>31</v>
      </c>
      <c r="D41" s="215" t="s">
        <v>31</v>
      </c>
      <c r="E41" s="215" t="s">
        <v>31</v>
      </c>
      <c r="F41" s="215" t="s">
        <v>31</v>
      </c>
      <c r="G41" s="215" t="s">
        <v>31</v>
      </c>
      <c r="H41" s="215" t="s">
        <v>31</v>
      </c>
      <c r="I41" s="215" t="s">
        <v>31</v>
      </c>
      <c r="J41" s="215" t="s">
        <v>31</v>
      </c>
      <c r="K41" s="215" t="s">
        <v>31</v>
      </c>
      <c r="L41" s="215" t="s">
        <v>31</v>
      </c>
      <c r="M41" s="215" t="s">
        <v>31</v>
      </c>
      <c r="N41" s="215" t="s">
        <v>31</v>
      </c>
      <c r="O41" s="215" t="s">
        <v>31</v>
      </c>
      <c r="P41" s="215" t="s">
        <v>31</v>
      </c>
      <c r="Q41" s="215" t="s">
        <v>31</v>
      </c>
      <c r="R41" s="198"/>
      <c r="S41" s="198"/>
      <c r="T41" s="198"/>
      <c r="U41" s="198"/>
    </row>
    <row r="42" spans="1:21" s="12" customFormat="1" x14ac:dyDescent="0.25">
      <c r="A42" s="201" t="s">
        <v>658</v>
      </c>
      <c r="B42" s="215" t="s">
        <v>31</v>
      </c>
      <c r="C42" s="215" t="s">
        <v>31</v>
      </c>
      <c r="D42" s="215" t="s">
        <v>31</v>
      </c>
      <c r="E42" s="215" t="s">
        <v>31</v>
      </c>
      <c r="F42" s="215" t="s">
        <v>31</v>
      </c>
      <c r="G42" s="215" t="s">
        <v>31</v>
      </c>
      <c r="H42" s="215" t="s">
        <v>31</v>
      </c>
      <c r="I42" s="215" t="s">
        <v>31</v>
      </c>
      <c r="J42" s="215" t="s">
        <v>31</v>
      </c>
      <c r="K42" s="215" t="s">
        <v>31</v>
      </c>
      <c r="L42" s="215" t="s">
        <v>31</v>
      </c>
      <c r="M42" s="215" t="s">
        <v>31</v>
      </c>
      <c r="N42" s="215" t="s">
        <v>31</v>
      </c>
      <c r="O42" s="215" t="s">
        <v>31</v>
      </c>
      <c r="P42" s="215" t="s">
        <v>31</v>
      </c>
      <c r="Q42" s="215" t="s">
        <v>31</v>
      </c>
      <c r="R42" s="198"/>
      <c r="S42" s="198"/>
      <c r="T42" s="198"/>
      <c r="U42" s="198"/>
    </row>
    <row r="43" spans="1:21" s="12" customFormat="1" x14ac:dyDescent="0.25">
      <c r="A43" s="201" t="s">
        <v>659</v>
      </c>
      <c r="B43" s="215" t="s">
        <v>31</v>
      </c>
      <c r="C43" s="215" t="s">
        <v>31</v>
      </c>
      <c r="D43" s="215" t="s">
        <v>31</v>
      </c>
      <c r="E43" s="215" t="s">
        <v>31</v>
      </c>
      <c r="F43" s="215" t="s">
        <v>31</v>
      </c>
      <c r="G43" s="215" t="s">
        <v>31</v>
      </c>
      <c r="H43" s="215" t="s">
        <v>31</v>
      </c>
      <c r="I43" s="215" t="s">
        <v>31</v>
      </c>
      <c r="J43" s="215" t="s">
        <v>31</v>
      </c>
      <c r="K43" s="215" t="s">
        <v>31</v>
      </c>
      <c r="L43" s="215" t="s">
        <v>31</v>
      </c>
      <c r="M43" s="215" t="s">
        <v>31</v>
      </c>
      <c r="N43" s="215" t="s">
        <v>31</v>
      </c>
      <c r="O43" s="215" t="s">
        <v>31</v>
      </c>
      <c r="P43" s="215" t="s">
        <v>31</v>
      </c>
      <c r="Q43" s="215" t="s">
        <v>31</v>
      </c>
      <c r="R43" s="198"/>
      <c r="S43" s="198"/>
      <c r="T43" s="198"/>
      <c r="U43" s="198"/>
    </row>
    <row r="44" spans="1:21" s="12" customFormat="1" x14ac:dyDescent="0.25">
      <c r="A44" s="201" t="s">
        <v>660</v>
      </c>
      <c r="B44" s="215" t="s">
        <v>31</v>
      </c>
      <c r="C44" s="215" t="s">
        <v>31</v>
      </c>
      <c r="D44" s="215" t="s">
        <v>31</v>
      </c>
      <c r="E44" s="215" t="s">
        <v>31</v>
      </c>
      <c r="F44" s="215" t="s">
        <v>31</v>
      </c>
      <c r="G44" s="215" t="s">
        <v>31</v>
      </c>
      <c r="H44" s="215" t="s">
        <v>31</v>
      </c>
      <c r="I44" s="215" t="s">
        <v>31</v>
      </c>
      <c r="J44" s="215" t="s">
        <v>31</v>
      </c>
      <c r="K44" s="215" t="s">
        <v>31</v>
      </c>
      <c r="L44" s="215" t="s">
        <v>31</v>
      </c>
      <c r="M44" s="215" t="s">
        <v>31</v>
      </c>
      <c r="N44" s="215" t="s">
        <v>31</v>
      </c>
      <c r="O44" s="215" t="s">
        <v>31</v>
      </c>
      <c r="P44" s="215" t="s">
        <v>31</v>
      </c>
      <c r="Q44" s="215" t="s">
        <v>31</v>
      </c>
      <c r="R44" s="198"/>
      <c r="S44" s="198"/>
      <c r="T44" s="198"/>
      <c r="U44" s="198"/>
    </row>
    <row r="45" spans="1:21" s="12" customFormat="1" x14ac:dyDescent="0.25">
      <c r="A45" s="201" t="s">
        <v>661</v>
      </c>
      <c r="B45" s="215" t="s">
        <v>31</v>
      </c>
      <c r="C45" s="215" t="s">
        <v>31</v>
      </c>
      <c r="D45" s="215" t="s">
        <v>31</v>
      </c>
      <c r="E45" s="215" t="s">
        <v>31</v>
      </c>
      <c r="F45" s="215" t="s">
        <v>31</v>
      </c>
      <c r="G45" s="215" t="s">
        <v>31</v>
      </c>
      <c r="H45" s="215" t="s">
        <v>31</v>
      </c>
      <c r="I45" s="215" t="s">
        <v>31</v>
      </c>
      <c r="J45" s="215" t="s">
        <v>31</v>
      </c>
      <c r="K45" s="215" t="s">
        <v>31</v>
      </c>
      <c r="L45" s="215" t="s">
        <v>31</v>
      </c>
      <c r="M45" s="215" t="s">
        <v>31</v>
      </c>
      <c r="N45" s="215" t="s">
        <v>31</v>
      </c>
      <c r="O45" s="215" t="s">
        <v>31</v>
      </c>
      <c r="P45" s="215" t="s">
        <v>31</v>
      </c>
      <c r="Q45" s="215" t="s">
        <v>31</v>
      </c>
      <c r="R45" s="198"/>
      <c r="S45" s="198"/>
      <c r="T45" s="198"/>
      <c r="U45" s="198"/>
    </row>
    <row r="46" spans="1:21" s="12" customFormat="1" x14ac:dyDescent="0.25">
      <c r="A46" s="201" t="s">
        <v>662</v>
      </c>
      <c r="B46" s="215" t="s">
        <v>31</v>
      </c>
      <c r="C46" s="215" t="s">
        <v>31</v>
      </c>
      <c r="D46" s="215" t="s">
        <v>31</v>
      </c>
      <c r="E46" s="215" t="s">
        <v>31</v>
      </c>
      <c r="F46" s="215" t="s">
        <v>31</v>
      </c>
      <c r="G46" s="215" t="s">
        <v>31</v>
      </c>
      <c r="H46" s="215" t="s">
        <v>31</v>
      </c>
      <c r="I46" s="215" t="s">
        <v>31</v>
      </c>
      <c r="J46" s="215" t="s">
        <v>31</v>
      </c>
      <c r="K46" s="215" t="s">
        <v>31</v>
      </c>
      <c r="L46" s="215" t="s">
        <v>31</v>
      </c>
      <c r="M46" s="215" t="s">
        <v>31</v>
      </c>
      <c r="N46" s="215" t="s">
        <v>31</v>
      </c>
      <c r="O46" s="215" t="s">
        <v>31</v>
      </c>
      <c r="P46" s="215" t="s">
        <v>31</v>
      </c>
      <c r="Q46" s="215" t="s">
        <v>31</v>
      </c>
      <c r="R46" s="198"/>
      <c r="S46" s="198"/>
      <c r="T46" s="198"/>
      <c r="U46" s="198"/>
    </row>
    <row r="47" spans="1:21" s="12" customFormat="1" x14ac:dyDescent="0.25">
      <c r="A47" s="201" t="s">
        <v>663</v>
      </c>
      <c r="B47" s="215" t="s">
        <v>31</v>
      </c>
      <c r="C47" s="215" t="s">
        <v>31</v>
      </c>
      <c r="D47" s="215" t="s">
        <v>31</v>
      </c>
      <c r="E47" s="215" t="s">
        <v>31</v>
      </c>
      <c r="F47" s="215" t="s">
        <v>31</v>
      </c>
      <c r="G47" s="215" t="s">
        <v>31</v>
      </c>
      <c r="H47" s="215" t="s">
        <v>31</v>
      </c>
      <c r="I47" s="215" t="s">
        <v>31</v>
      </c>
      <c r="J47" s="215" t="s">
        <v>31</v>
      </c>
      <c r="K47" s="215" t="s">
        <v>31</v>
      </c>
      <c r="L47" s="215" t="s">
        <v>31</v>
      </c>
      <c r="M47" s="215" t="s">
        <v>31</v>
      </c>
      <c r="N47" s="215" t="s">
        <v>31</v>
      </c>
      <c r="O47" s="215" t="s">
        <v>31</v>
      </c>
      <c r="P47" s="215" t="s">
        <v>31</v>
      </c>
      <c r="Q47" s="215" t="s">
        <v>31</v>
      </c>
      <c r="R47" s="198"/>
      <c r="S47" s="198"/>
      <c r="T47" s="198"/>
      <c r="U47" s="198"/>
    </row>
    <row r="48" spans="1:21" s="12" customFormat="1" x14ac:dyDescent="0.25">
      <c r="A48" s="201" t="s">
        <v>664</v>
      </c>
      <c r="B48" s="215" t="s">
        <v>31</v>
      </c>
      <c r="C48" s="215" t="s">
        <v>31</v>
      </c>
      <c r="D48" s="215" t="s">
        <v>31</v>
      </c>
      <c r="E48" s="215" t="s">
        <v>31</v>
      </c>
      <c r="F48" s="215" t="s">
        <v>31</v>
      </c>
      <c r="G48" s="215" t="s">
        <v>31</v>
      </c>
      <c r="H48" s="215" t="s">
        <v>31</v>
      </c>
      <c r="I48" s="215" t="s">
        <v>31</v>
      </c>
      <c r="J48" s="215" t="s">
        <v>31</v>
      </c>
      <c r="K48" s="215" t="s">
        <v>31</v>
      </c>
      <c r="L48" s="215" t="s">
        <v>31</v>
      </c>
      <c r="M48" s="215" t="s">
        <v>31</v>
      </c>
      <c r="N48" s="215" t="s">
        <v>31</v>
      </c>
      <c r="O48" s="215" t="s">
        <v>31</v>
      </c>
      <c r="P48" s="215" t="s">
        <v>31</v>
      </c>
      <c r="Q48" s="215" t="s">
        <v>31</v>
      </c>
      <c r="R48" s="198"/>
      <c r="S48" s="198"/>
      <c r="T48" s="198"/>
      <c r="U48" s="198"/>
    </row>
    <row r="49" spans="1:21" s="12" customFormat="1" x14ac:dyDescent="0.25">
      <c r="A49" s="201" t="s">
        <v>665</v>
      </c>
      <c r="B49" s="215" t="s">
        <v>31</v>
      </c>
      <c r="C49" s="215" t="s">
        <v>31</v>
      </c>
      <c r="D49" s="215" t="s">
        <v>31</v>
      </c>
      <c r="E49" s="215" t="s">
        <v>31</v>
      </c>
      <c r="F49" s="215" t="s">
        <v>31</v>
      </c>
      <c r="G49" s="215" t="s">
        <v>31</v>
      </c>
      <c r="H49" s="215" t="s">
        <v>31</v>
      </c>
      <c r="I49" s="215" t="s">
        <v>31</v>
      </c>
      <c r="J49" s="215" t="s">
        <v>31</v>
      </c>
      <c r="K49" s="215" t="s">
        <v>31</v>
      </c>
      <c r="L49" s="215" t="s">
        <v>31</v>
      </c>
      <c r="M49" s="215" t="s">
        <v>31</v>
      </c>
      <c r="N49" s="215" t="s">
        <v>31</v>
      </c>
      <c r="O49" s="215" t="s">
        <v>31</v>
      </c>
      <c r="P49" s="215" t="s">
        <v>31</v>
      </c>
      <c r="Q49" s="215" t="s">
        <v>31</v>
      </c>
      <c r="R49" s="198"/>
      <c r="S49" s="198"/>
      <c r="T49" s="198"/>
      <c r="U49" s="198"/>
    </row>
    <row r="50" spans="1:21" s="12" customFormat="1" x14ac:dyDescent="0.25">
      <c r="A50" s="201" t="s">
        <v>666</v>
      </c>
      <c r="B50" s="215" t="s">
        <v>31</v>
      </c>
      <c r="C50" s="215" t="s">
        <v>31</v>
      </c>
      <c r="D50" s="215" t="s">
        <v>31</v>
      </c>
      <c r="E50" s="215" t="s">
        <v>31</v>
      </c>
      <c r="F50" s="215" t="s">
        <v>31</v>
      </c>
      <c r="G50" s="215" t="s">
        <v>31</v>
      </c>
      <c r="H50" s="215" t="s">
        <v>31</v>
      </c>
      <c r="I50" s="215" t="s">
        <v>31</v>
      </c>
      <c r="J50" s="215" t="s">
        <v>31</v>
      </c>
      <c r="K50" s="215" t="s">
        <v>31</v>
      </c>
      <c r="L50" s="215" t="s">
        <v>31</v>
      </c>
      <c r="M50" s="215" t="s">
        <v>31</v>
      </c>
      <c r="N50" s="215" t="s">
        <v>31</v>
      </c>
      <c r="O50" s="215" t="s">
        <v>31</v>
      </c>
      <c r="P50" s="215" t="s">
        <v>31</v>
      </c>
      <c r="Q50" s="215" t="s">
        <v>31</v>
      </c>
      <c r="R50" s="198"/>
      <c r="S50" s="198"/>
      <c r="T50" s="198"/>
      <c r="U50" s="198"/>
    </row>
    <row r="51" spans="1:21" s="12" customFormat="1" x14ac:dyDescent="0.25">
      <c r="A51" s="201" t="s">
        <v>667</v>
      </c>
      <c r="B51" s="215" t="s">
        <v>31</v>
      </c>
      <c r="C51" s="215" t="s">
        <v>31</v>
      </c>
      <c r="D51" s="215" t="s">
        <v>31</v>
      </c>
      <c r="E51" s="215" t="s">
        <v>31</v>
      </c>
      <c r="F51" s="215" t="s">
        <v>31</v>
      </c>
      <c r="G51" s="215" t="s">
        <v>31</v>
      </c>
      <c r="H51" s="215" t="s">
        <v>31</v>
      </c>
      <c r="I51" s="215" t="s">
        <v>31</v>
      </c>
      <c r="J51" s="215" t="s">
        <v>31</v>
      </c>
      <c r="K51" s="215" t="s">
        <v>31</v>
      </c>
      <c r="L51" s="215" t="s">
        <v>31</v>
      </c>
      <c r="M51" s="215" t="s">
        <v>31</v>
      </c>
      <c r="N51" s="215" t="s">
        <v>31</v>
      </c>
      <c r="O51" s="215" t="s">
        <v>31</v>
      </c>
      <c r="P51" s="215" t="s">
        <v>31</v>
      </c>
      <c r="Q51" s="215" t="s">
        <v>31</v>
      </c>
      <c r="R51" s="198"/>
      <c r="S51" s="198"/>
      <c r="T51" s="198"/>
      <c r="U51" s="198"/>
    </row>
    <row r="52" spans="1:21" s="12" customFormat="1" x14ac:dyDescent="0.25">
      <c r="A52" s="201" t="s">
        <v>668</v>
      </c>
      <c r="B52" s="215" t="s">
        <v>31</v>
      </c>
      <c r="C52" s="215" t="s">
        <v>31</v>
      </c>
      <c r="D52" s="215" t="s">
        <v>31</v>
      </c>
      <c r="E52" s="215" t="s">
        <v>31</v>
      </c>
      <c r="F52" s="215" t="s">
        <v>31</v>
      </c>
      <c r="G52" s="215" t="s">
        <v>31</v>
      </c>
      <c r="H52" s="215" t="s">
        <v>31</v>
      </c>
      <c r="I52" s="215" t="s">
        <v>31</v>
      </c>
      <c r="J52" s="215" t="s">
        <v>31</v>
      </c>
      <c r="K52" s="215" t="s">
        <v>31</v>
      </c>
      <c r="L52" s="215" t="s">
        <v>31</v>
      </c>
      <c r="M52" s="215" t="s">
        <v>31</v>
      </c>
      <c r="N52" s="215" t="s">
        <v>31</v>
      </c>
      <c r="O52" s="215" t="s">
        <v>31</v>
      </c>
      <c r="P52" s="215" t="s">
        <v>31</v>
      </c>
      <c r="Q52" s="215" t="s">
        <v>31</v>
      </c>
      <c r="R52" s="198"/>
      <c r="S52" s="198"/>
      <c r="T52" s="198"/>
      <c r="U52" s="198"/>
    </row>
    <row r="53" spans="1:21" s="12" customFormat="1" x14ac:dyDescent="0.25">
      <c r="A53" s="201" t="s">
        <v>669</v>
      </c>
      <c r="B53" s="215" t="s">
        <v>31</v>
      </c>
      <c r="C53" s="215" t="s">
        <v>31</v>
      </c>
      <c r="D53" s="215" t="s">
        <v>31</v>
      </c>
      <c r="E53" s="215" t="s">
        <v>31</v>
      </c>
      <c r="F53" s="215" t="s">
        <v>31</v>
      </c>
      <c r="G53" s="215" t="s">
        <v>31</v>
      </c>
      <c r="H53" s="215" t="s">
        <v>31</v>
      </c>
      <c r="I53" s="215" t="s">
        <v>31</v>
      </c>
      <c r="J53" s="215" t="s">
        <v>31</v>
      </c>
      <c r="K53" s="215" t="s">
        <v>31</v>
      </c>
      <c r="L53" s="215" t="s">
        <v>31</v>
      </c>
      <c r="M53" s="215" t="s">
        <v>31</v>
      </c>
      <c r="N53" s="215" t="s">
        <v>31</v>
      </c>
      <c r="O53" s="215" t="s">
        <v>31</v>
      </c>
      <c r="P53" s="215" t="s">
        <v>31</v>
      </c>
      <c r="Q53" s="215" t="s">
        <v>31</v>
      </c>
      <c r="R53" s="198"/>
      <c r="S53" s="198"/>
      <c r="T53" s="198"/>
      <c r="U53" s="198"/>
    </row>
    <row r="54" spans="1:21" s="12" customFormat="1" x14ac:dyDescent="0.25">
      <c r="A54" s="201" t="s">
        <v>670</v>
      </c>
      <c r="B54" s="215" t="s">
        <v>31</v>
      </c>
      <c r="C54" s="215" t="s">
        <v>31</v>
      </c>
      <c r="D54" s="215" t="s">
        <v>31</v>
      </c>
      <c r="E54" s="215" t="s">
        <v>31</v>
      </c>
      <c r="F54" s="215" t="s">
        <v>31</v>
      </c>
      <c r="G54" s="215" t="s">
        <v>31</v>
      </c>
      <c r="H54" s="215" t="s">
        <v>31</v>
      </c>
      <c r="I54" s="215" t="s">
        <v>31</v>
      </c>
      <c r="J54" s="215" t="s">
        <v>31</v>
      </c>
      <c r="K54" s="215" t="s">
        <v>31</v>
      </c>
      <c r="L54" s="215" t="s">
        <v>31</v>
      </c>
      <c r="M54" s="215" t="s">
        <v>31</v>
      </c>
      <c r="N54" s="215" t="s">
        <v>31</v>
      </c>
      <c r="O54" s="215" t="s">
        <v>31</v>
      </c>
      <c r="P54" s="215" t="s">
        <v>31</v>
      </c>
      <c r="Q54" s="215" t="s">
        <v>31</v>
      </c>
      <c r="R54" s="198"/>
      <c r="S54" s="198"/>
      <c r="T54" s="198"/>
      <c r="U54" s="198"/>
    </row>
    <row r="55" spans="1:21" s="12" customFormat="1" x14ac:dyDescent="0.25">
      <c r="A55" s="201" t="s">
        <v>671</v>
      </c>
      <c r="B55" s="215" t="s">
        <v>31</v>
      </c>
      <c r="C55" s="215" t="s">
        <v>31</v>
      </c>
      <c r="D55" s="215" t="s">
        <v>31</v>
      </c>
      <c r="E55" s="215" t="s">
        <v>31</v>
      </c>
      <c r="F55" s="215" t="s">
        <v>31</v>
      </c>
      <c r="G55" s="215" t="s">
        <v>31</v>
      </c>
      <c r="H55" s="215" t="s">
        <v>31</v>
      </c>
      <c r="I55" s="215" t="s">
        <v>31</v>
      </c>
      <c r="J55" s="215" t="s">
        <v>31</v>
      </c>
      <c r="K55" s="215" t="s">
        <v>31</v>
      </c>
      <c r="L55" s="215" t="s">
        <v>31</v>
      </c>
      <c r="M55" s="215" t="s">
        <v>31</v>
      </c>
      <c r="N55" s="215" t="s">
        <v>31</v>
      </c>
      <c r="O55" s="215" t="s">
        <v>31</v>
      </c>
      <c r="P55" s="215" t="s">
        <v>31</v>
      </c>
      <c r="Q55" s="215" t="s">
        <v>31</v>
      </c>
      <c r="R55" s="198"/>
      <c r="S55" s="198"/>
      <c r="T55" s="198"/>
      <c r="U55" s="198"/>
    </row>
    <row r="56" spans="1:21" s="12" customFormat="1" x14ac:dyDescent="0.25">
      <c r="A56" s="201" t="s">
        <v>672</v>
      </c>
      <c r="B56" s="215" t="s">
        <v>31</v>
      </c>
      <c r="C56" s="215" t="s">
        <v>31</v>
      </c>
      <c r="D56" s="215" t="s">
        <v>31</v>
      </c>
      <c r="E56" s="215" t="s">
        <v>31</v>
      </c>
      <c r="F56" s="215" t="s">
        <v>31</v>
      </c>
      <c r="G56" s="215" t="s">
        <v>31</v>
      </c>
      <c r="H56" s="215" t="s">
        <v>31</v>
      </c>
      <c r="I56" s="215" t="s">
        <v>31</v>
      </c>
      <c r="J56" s="215" t="s">
        <v>31</v>
      </c>
      <c r="K56" s="215" t="s">
        <v>31</v>
      </c>
      <c r="L56" s="215" t="s">
        <v>31</v>
      </c>
      <c r="M56" s="215" t="s">
        <v>31</v>
      </c>
      <c r="N56" s="215" t="s">
        <v>31</v>
      </c>
      <c r="O56" s="215" t="s">
        <v>31</v>
      </c>
      <c r="P56" s="215" t="s">
        <v>31</v>
      </c>
      <c r="Q56" s="215" t="s">
        <v>31</v>
      </c>
      <c r="R56" s="198"/>
      <c r="S56" s="198"/>
      <c r="T56" s="198"/>
      <c r="U56" s="198"/>
    </row>
    <row r="57" spans="1:21" s="12" customFormat="1" x14ac:dyDescent="0.25">
      <c r="A57" s="201" t="s">
        <v>673</v>
      </c>
      <c r="B57" s="215" t="s">
        <v>31</v>
      </c>
      <c r="C57" s="215" t="s">
        <v>31</v>
      </c>
      <c r="D57" s="215" t="s">
        <v>31</v>
      </c>
      <c r="E57" s="215" t="s">
        <v>31</v>
      </c>
      <c r="F57" s="215" t="s">
        <v>31</v>
      </c>
      <c r="G57" s="215" t="s">
        <v>31</v>
      </c>
      <c r="H57" s="215" t="s">
        <v>31</v>
      </c>
      <c r="I57" s="215" t="s">
        <v>31</v>
      </c>
      <c r="J57" s="215" t="s">
        <v>31</v>
      </c>
      <c r="K57" s="215" t="s">
        <v>31</v>
      </c>
      <c r="L57" s="215" t="s">
        <v>31</v>
      </c>
      <c r="M57" s="215" t="s">
        <v>31</v>
      </c>
      <c r="N57" s="215" t="s">
        <v>31</v>
      </c>
      <c r="O57" s="215" t="s">
        <v>31</v>
      </c>
      <c r="P57" s="215" t="s">
        <v>31</v>
      </c>
      <c r="Q57" s="215" t="s">
        <v>31</v>
      </c>
      <c r="R57" s="198"/>
      <c r="S57" s="198"/>
      <c r="T57" s="198"/>
      <c r="U57" s="198"/>
    </row>
    <row r="58" spans="1:21" s="12" customFormat="1" x14ac:dyDescent="0.25">
      <c r="A58" s="201" t="s">
        <v>674</v>
      </c>
      <c r="B58" s="215" t="s">
        <v>31</v>
      </c>
      <c r="C58" s="215" t="s">
        <v>31</v>
      </c>
      <c r="D58" s="215" t="s">
        <v>31</v>
      </c>
      <c r="E58" s="215" t="s">
        <v>31</v>
      </c>
      <c r="F58" s="215" t="s">
        <v>31</v>
      </c>
      <c r="G58" s="215" t="s">
        <v>31</v>
      </c>
      <c r="H58" s="215" t="s">
        <v>31</v>
      </c>
      <c r="I58" s="215" t="s">
        <v>31</v>
      </c>
      <c r="J58" s="215" t="s">
        <v>31</v>
      </c>
      <c r="K58" s="215" t="s">
        <v>31</v>
      </c>
      <c r="L58" s="215" t="s">
        <v>31</v>
      </c>
      <c r="M58" s="215" t="s">
        <v>31</v>
      </c>
      <c r="N58" s="215" t="s">
        <v>31</v>
      </c>
      <c r="O58" s="215" t="s">
        <v>31</v>
      </c>
      <c r="P58" s="215" t="s">
        <v>31</v>
      </c>
      <c r="Q58" s="215" t="s">
        <v>31</v>
      </c>
      <c r="R58" s="198"/>
      <c r="S58" s="198"/>
      <c r="T58" s="198"/>
      <c r="U58" s="198"/>
    </row>
    <row r="59" spans="1:21" s="12" customFormat="1" x14ac:dyDescent="0.25">
      <c r="A59" s="201" t="s">
        <v>675</v>
      </c>
      <c r="B59" s="215" t="s">
        <v>31</v>
      </c>
      <c r="C59" s="215" t="s">
        <v>31</v>
      </c>
      <c r="D59" s="215" t="s">
        <v>31</v>
      </c>
      <c r="E59" s="215" t="s">
        <v>31</v>
      </c>
      <c r="F59" s="215" t="s">
        <v>31</v>
      </c>
      <c r="G59" s="215" t="s">
        <v>31</v>
      </c>
      <c r="H59" s="215" t="s">
        <v>31</v>
      </c>
      <c r="I59" s="215" t="s">
        <v>31</v>
      </c>
      <c r="J59" s="215" t="s">
        <v>31</v>
      </c>
      <c r="K59" s="215" t="s">
        <v>31</v>
      </c>
      <c r="L59" s="215" t="s">
        <v>31</v>
      </c>
      <c r="M59" s="215" t="s">
        <v>31</v>
      </c>
      <c r="N59" s="215" t="s">
        <v>31</v>
      </c>
      <c r="O59" s="215" t="s">
        <v>31</v>
      </c>
      <c r="P59" s="215" t="s">
        <v>31</v>
      </c>
      <c r="Q59" s="215" t="s">
        <v>31</v>
      </c>
      <c r="R59" s="198"/>
      <c r="S59" s="198"/>
      <c r="T59" s="198"/>
      <c r="U59" s="198"/>
    </row>
    <row r="60" spans="1:21" s="12" customFormat="1" x14ac:dyDescent="0.25">
      <c r="A60" s="201" t="s">
        <v>676</v>
      </c>
      <c r="B60" s="215" t="s">
        <v>31</v>
      </c>
      <c r="C60" s="215" t="s">
        <v>31</v>
      </c>
      <c r="D60" s="215" t="s">
        <v>31</v>
      </c>
      <c r="E60" s="215" t="s">
        <v>31</v>
      </c>
      <c r="F60" s="215" t="s">
        <v>31</v>
      </c>
      <c r="G60" s="215" t="s">
        <v>31</v>
      </c>
      <c r="H60" s="215" t="s">
        <v>31</v>
      </c>
      <c r="I60" s="215" t="s">
        <v>31</v>
      </c>
      <c r="J60" s="215" t="s">
        <v>31</v>
      </c>
      <c r="K60" s="215" t="s">
        <v>31</v>
      </c>
      <c r="L60" s="215" t="s">
        <v>31</v>
      </c>
      <c r="M60" s="215" t="s">
        <v>31</v>
      </c>
      <c r="N60" s="215" t="s">
        <v>31</v>
      </c>
      <c r="O60" s="215" t="s">
        <v>31</v>
      </c>
      <c r="P60" s="215" t="s">
        <v>31</v>
      </c>
      <c r="Q60" s="215" t="s">
        <v>31</v>
      </c>
      <c r="R60" s="198"/>
      <c r="S60" s="198"/>
      <c r="T60" s="198"/>
      <c r="U60" s="198"/>
    </row>
    <row r="61" spans="1:21" s="12" customFormat="1" x14ac:dyDescent="0.25">
      <c r="A61" s="201" t="s">
        <v>677</v>
      </c>
      <c r="B61" s="215" t="s">
        <v>31</v>
      </c>
      <c r="C61" s="215" t="s">
        <v>31</v>
      </c>
      <c r="D61" s="215" t="s">
        <v>31</v>
      </c>
      <c r="E61" s="215" t="s">
        <v>31</v>
      </c>
      <c r="F61" s="215" t="s">
        <v>31</v>
      </c>
      <c r="G61" s="215" t="s">
        <v>31</v>
      </c>
      <c r="H61" s="215" t="s">
        <v>31</v>
      </c>
      <c r="I61" s="215" t="s">
        <v>31</v>
      </c>
      <c r="J61" s="215" t="s">
        <v>31</v>
      </c>
      <c r="K61" s="215" t="s">
        <v>31</v>
      </c>
      <c r="L61" s="215" t="s">
        <v>31</v>
      </c>
      <c r="M61" s="215" t="s">
        <v>31</v>
      </c>
      <c r="N61" s="215" t="s">
        <v>31</v>
      </c>
      <c r="O61" s="215" t="s">
        <v>31</v>
      </c>
      <c r="P61" s="215" t="s">
        <v>31</v>
      </c>
      <c r="Q61" s="215" t="s">
        <v>31</v>
      </c>
      <c r="R61" s="198"/>
      <c r="S61" s="198"/>
      <c r="T61" s="198"/>
      <c r="U61" s="198"/>
    </row>
    <row r="62" spans="1:21" s="12" customFormat="1" x14ac:dyDescent="0.25">
      <c r="A62" s="201" t="s">
        <v>678</v>
      </c>
      <c r="B62" s="215" t="s">
        <v>31</v>
      </c>
      <c r="C62" s="215" t="s">
        <v>31</v>
      </c>
      <c r="D62" s="215" t="s">
        <v>31</v>
      </c>
      <c r="E62" s="215" t="s">
        <v>31</v>
      </c>
      <c r="F62" s="215" t="s">
        <v>31</v>
      </c>
      <c r="G62" s="215" t="s">
        <v>31</v>
      </c>
      <c r="H62" s="215" t="s">
        <v>31</v>
      </c>
      <c r="I62" s="215" t="s">
        <v>31</v>
      </c>
      <c r="J62" s="215" t="s">
        <v>31</v>
      </c>
      <c r="K62" s="215" t="s">
        <v>31</v>
      </c>
      <c r="L62" s="215" t="s">
        <v>31</v>
      </c>
      <c r="M62" s="215" t="s">
        <v>31</v>
      </c>
      <c r="N62" s="215" t="s">
        <v>31</v>
      </c>
      <c r="O62" s="215" t="s">
        <v>31</v>
      </c>
      <c r="P62" s="215" t="s">
        <v>31</v>
      </c>
      <c r="Q62" s="215" t="s">
        <v>31</v>
      </c>
      <c r="R62" s="198"/>
      <c r="S62" s="198"/>
      <c r="T62" s="198"/>
      <c r="U62" s="198"/>
    </row>
    <row r="63" spans="1:21" s="12" customFormat="1" x14ac:dyDescent="0.25">
      <c r="A63" s="201" t="s">
        <v>679</v>
      </c>
      <c r="B63" s="215" t="s">
        <v>31</v>
      </c>
      <c r="C63" s="215" t="s">
        <v>31</v>
      </c>
      <c r="D63" s="215" t="s">
        <v>31</v>
      </c>
      <c r="E63" s="215" t="s">
        <v>31</v>
      </c>
      <c r="F63" s="215" t="s">
        <v>31</v>
      </c>
      <c r="G63" s="215" t="s">
        <v>31</v>
      </c>
      <c r="H63" s="215" t="s">
        <v>31</v>
      </c>
      <c r="I63" s="215" t="s">
        <v>31</v>
      </c>
      <c r="J63" s="215" t="s">
        <v>31</v>
      </c>
      <c r="K63" s="215" t="s">
        <v>31</v>
      </c>
      <c r="L63" s="215" t="s">
        <v>31</v>
      </c>
      <c r="M63" s="215" t="s">
        <v>31</v>
      </c>
      <c r="N63" s="215" t="s">
        <v>31</v>
      </c>
      <c r="O63" s="215" t="s">
        <v>31</v>
      </c>
      <c r="P63" s="215" t="s">
        <v>31</v>
      </c>
      <c r="Q63" s="215" t="s">
        <v>31</v>
      </c>
      <c r="R63" s="198"/>
      <c r="S63" s="198"/>
      <c r="T63" s="198"/>
      <c r="U63" s="198"/>
    </row>
    <row r="64" spans="1:21" s="12" customFormat="1" x14ac:dyDescent="0.25">
      <c r="A64" s="201" t="s">
        <v>680</v>
      </c>
      <c r="B64" s="215" t="s">
        <v>31</v>
      </c>
      <c r="C64" s="215" t="s">
        <v>31</v>
      </c>
      <c r="D64" s="215" t="s">
        <v>31</v>
      </c>
      <c r="E64" s="215" t="s">
        <v>31</v>
      </c>
      <c r="F64" s="215" t="s">
        <v>31</v>
      </c>
      <c r="G64" s="215" t="s">
        <v>31</v>
      </c>
      <c r="H64" s="215" t="s">
        <v>31</v>
      </c>
      <c r="I64" s="215" t="s">
        <v>31</v>
      </c>
      <c r="J64" s="215" t="s">
        <v>31</v>
      </c>
      <c r="K64" s="215" t="s">
        <v>31</v>
      </c>
      <c r="L64" s="215" t="s">
        <v>31</v>
      </c>
      <c r="M64" s="215" t="s">
        <v>31</v>
      </c>
      <c r="N64" s="215" t="s">
        <v>31</v>
      </c>
      <c r="O64" s="215" t="s">
        <v>31</v>
      </c>
      <c r="P64" s="215" t="s">
        <v>31</v>
      </c>
      <c r="Q64" s="215" t="s">
        <v>31</v>
      </c>
      <c r="R64" s="198"/>
      <c r="S64" s="198"/>
      <c r="T64" s="198"/>
      <c r="U64" s="198"/>
    </row>
    <row r="65" spans="1:21" s="12" customFormat="1" x14ac:dyDescent="0.25">
      <c r="A65" s="201" t="s">
        <v>681</v>
      </c>
      <c r="B65" s="215" t="s">
        <v>31</v>
      </c>
      <c r="C65" s="215" t="s">
        <v>31</v>
      </c>
      <c r="D65" s="215" t="s">
        <v>31</v>
      </c>
      <c r="E65" s="215" t="s">
        <v>31</v>
      </c>
      <c r="F65" s="215" t="s">
        <v>31</v>
      </c>
      <c r="G65" s="215" t="s">
        <v>31</v>
      </c>
      <c r="H65" s="215" t="s">
        <v>31</v>
      </c>
      <c r="I65" s="215" t="s">
        <v>31</v>
      </c>
      <c r="J65" s="215" t="s">
        <v>31</v>
      </c>
      <c r="K65" s="215" t="s">
        <v>31</v>
      </c>
      <c r="L65" s="215" t="s">
        <v>31</v>
      </c>
      <c r="M65" s="215" t="s">
        <v>31</v>
      </c>
      <c r="N65" s="215" t="s">
        <v>31</v>
      </c>
      <c r="O65" s="215" t="s">
        <v>31</v>
      </c>
      <c r="P65" s="215" t="s">
        <v>31</v>
      </c>
      <c r="Q65" s="215" t="s">
        <v>31</v>
      </c>
      <c r="R65" s="198"/>
      <c r="S65" s="198"/>
      <c r="T65" s="198"/>
      <c r="U65" s="198"/>
    </row>
    <row r="66" spans="1:21" s="12" customFormat="1" x14ac:dyDescent="0.25">
      <c r="A66" s="201" t="s">
        <v>682</v>
      </c>
      <c r="B66" s="215" t="s">
        <v>31</v>
      </c>
      <c r="C66" s="215" t="s">
        <v>31</v>
      </c>
      <c r="D66" s="215" t="s">
        <v>31</v>
      </c>
      <c r="E66" s="215" t="s">
        <v>31</v>
      </c>
      <c r="F66" s="215" t="s">
        <v>31</v>
      </c>
      <c r="G66" s="215" t="s">
        <v>31</v>
      </c>
      <c r="H66" s="215" t="s">
        <v>31</v>
      </c>
      <c r="I66" s="215" t="s">
        <v>31</v>
      </c>
      <c r="J66" s="215" t="s">
        <v>31</v>
      </c>
      <c r="K66" s="215" t="s">
        <v>31</v>
      </c>
      <c r="L66" s="215" t="s">
        <v>31</v>
      </c>
      <c r="M66" s="215" t="s">
        <v>31</v>
      </c>
      <c r="N66" s="215" t="s">
        <v>31</v>
      </c>
      <c r="O66" s="215" t="s">
        <v>31</v>
      </c>
      <c r="P66" s="215" t="s">
        <v>31</v>
      </c>
      <c r="Q66" s="215" t="s">
        <v>31</v>
      </c>
      <c r="R66" s="198"/>
      <c r="S66" s="198"/>
      <c r="T66" s="198"/>
      <c r="U66" s="198"/>
    </row>
    <row r="67" spans="1:21" s="12" customFormat="1" x14ac:dyDescent="0.25">
      <c r="A67" s="201" t="s">
        <v>683</v>
      </c>
      <c r="B67" s="215" t="s">
        <v>31</v>
      </c>
      <c r="C67" s="215" t="s">
        <v>31</v>
      </c>
      <c r="D67" s="215" t="s">
        <v>31</v>
      </c>
      <c r="E67" s="215" t="s">
        <v>31</v>
      </c>
      <c r="F67" s="215" t="s">
        <v>31</v>
      </c>
      <c r="G67" s="215" t="s">
        <v>31</v>
      </c>
      <c r="H67" s="215" t="s">
        <v>31</v>
      </c>
      <c r="I67" s="215" t="s">
        <v>31</v>
      </c>
      <c r="J67" s="215" t="s">
        <v>31</v>
      </c>
      <c r="K67" s="215" t="s">
        <v>31</v>
      </c>
      <c r="L67" s="215" t="s">
        <v>31</v>
      </c>
      <c r="M67" s="215" t="s">
        <v>31</v>
      </c>
      <c r="N67" s="215" t="s">
        <v>31</v>
      </c>
      <c r="O67" s="215" t="s">
        <v>31</v>
      </c>
      <c r="P67" s="215" t="s">
        <v>31</v>
      </c>
      <c r="Q67" s="215" t="s">
        <v>31</v>
      </c>
      <c r="R67" s="198"/>
      <c r="S67" s="198"/>
      <c r="T67" s="198"/>
      <c r="U67" s="198"/>
    </row>
    <row r="68" spans="1:21" s="12" customFormat="1" x14ac:dyDescent="0.25">
      <c r="A68" s="201" t="s">
        <v>684</v>
      </c>
      <c r="B68" s="215" t="s">
        <v>31</v>
      </c>
      <c r="C68" s="215" t="s">
        <v>31</v>
      </c>
      <c r="D68" s="215" t="s">
        <v>31</v>
      </c>
      <c r="E68" s="215" t="s">
        <v>31</v>
      </c>
      <c r="F68" s="215" t="s">
        <v>31</v>
      </c>
      <c r="G68" s="215" t="s">
        <v>31</v>
      </c>
      <c r="H68" s="215" t="s">
        <v>31</v>
      </c>
      <c r="I68" s="215" t="s">
        <v>31</v>
      </c>
      <c r="J68" s="215" t="s">
        <v>31</v>
      </c>
      <c r="K68" s="215" t="s">
        <v>31</v>
      </c>
      <c r="L68" s="215" t="s">
        <v>31</v>
      </c>
      <c r="M68" s="215" t="s">
        <v>31</v>
      </c>
      <c r="N68" s="215" t="s">
        <v>31</v>
      </c>
      <c r="O68" s="215" t="s">
        <v>31</v>
      </c>
      <c r="P68" s="215" t="s">
        <v>31</v>
      </c>
      <c r="Q68" s="215" t="s">
        <v>31</v>
      </c>
      <c r="R68" s="198"/>
      <c r="S68" s="198"/>
      <c r="T68" s="198"/>
      <c r="U68" s="198"/>
    </row>
    <row r="69" spans="1:21" s="12" customFormat="1" x14ac:dyDescent="0.25">
      <c r="A69" s="201" t="s">
        <v>685</v>
      </c>
      <c r="B69" s="215" t="s">
        <v>31</v>
      </c>
      <c r="C69" s="215" t="s">
        <v>31</v>
      </c>
      <c r="D69" s="215" t="s">
        <v>31</v>
      </c>
      <c r="E69" s="215" t="s">
        <v>31</v>
      </c>
      <c r="F69" s="215" t="s">
        <v>31</v>
      </c>
      <c r="G69" s="215" t="s">
        <v>31</v>
      </c>
      <c r="H69" s="215" t="s">
        <v>31</v>
      </c>
      <c r="I69" s="215" t="s">
        <v>31</v>
      </c>
      <c r="J69" s="215" t="s">
        <v>31</v>
      </c>
      <c r="K69" s="215" t="s">
        <v>31</v>
      </c>
      <c r="L69" s="215" t="s">
        <v>31</v>
      </c>
      <c r="M69" s="215" t="s">
        <v>31</v>
      </c>
      <c r="N69" s="215" t="s">
        <v>31</v>
      </c>
      <c r="O69" s="215" t="s">
        <v>31</v>
      </c>
      <c r="P69" s="215" t="s">
        <v>31</v>
      </c>
      <c r="Q69" s="215" t="s">
        <v>31</v>
      </c>
      <c r="R69" s="198"/>
      <c r="S69" s="198"/>
      <c r="T69" s="198"/>
      <c r="U69" s="198"/>
    </row>
    <row r="70" spans="1:21" s="12" customFormat="1" x14ac:dyDescent="0.25">
      <c r="A70" s="201" t="s">
        <v>686</v>
      </c>
      <c r="B70" s="215" t="s">
        <v>31</v>
      </c>
      <c r="C70" s="215" t="s">
        <v>31</v>
      </c>
      <c r="D70" s="215" t="s">
        <v>31</v>
      </c>
      <c r="E70" s="215" t="s">
        <v>31</v>
      </c>
      <c r="F70" s="215" t="s">
        <v>31</v>
      </c>
      <c r="G70" s="215" t="s">
        <v>31</v>
      </c>
      <c r="H70" s="215" t="s">
        <v>31</v>
      </c>
      <c r="I70" s="215" t="s">
        <v>31</v>
      </c>
      <c r="J70" s="215" t="s">
        <v>31</v>
      </c>
      <c r="K70" s="215" t="s">
        <v>31</v>
      </c>
      <c r="L70" s="215" t="s">
        <v>31</v>
      </c>
      <c r="M70" s="215" t="s">
        <v>31</v>
      </c>
      <c r="N70" s="215" t="s">
        <v>31</v>
      </c>
      <c r="O70" s="215" t="s">
        <v>31</v>
      </c>
      <c r="P70" s="215" t="s">
        <v>31</v>
      </c>
      <c r="Q70" s="215" t="s">
        <v>31</v>
      </c>
      <c r="R70" s="198"/>
      <c r="S70" s="198"/>
      <c r="T70" s="198"/>
      <c r="U70" s="198"/>
    </row>
    <row r="71" spans="1:21" s="12" customFormat="1" x14ac:dyDescent="0.25">
      <c r="A71" s="201" t="s">
        <v>687</v>
      </c>
      <c r="B71" s="215" t="s">
        <v>31</v>
      </c>
      <c r="C71" s="215" t="s">
        <v>31</v>
      </c>
      <c r="D71" s="215" t="s">
        <v>31</v>
      </c>
      <c r="E71" s="215" t="s">
        <v>31</v>
      </c>
      <c r="F71" s="215" t="s">
        <v>31</v>
      </c>
      <c r="G71" s="215" t="s">
        <v>31</v>
      </c>
      <c r="H71" s="215" t="s">
        <v>31</v>
      </c>
      <c r="I71" s="215" t="s">
        <v>31</v>
      </c>
      <c r="J71" s="215" t="s">
        <v>31</v>
      </c>
      <c r="K71" s="215" t="s">
        <v>31</v>
      </c>
      <c r="L71" s="215" t="s">
        <v>31</v>
      </c>
      <c r="M71" s="215" t="s">
        <v>31</v>
      </c>
      <c r="N71" s="215" t="s">
        <v>31</v>
      </c>
      <c r="O71" s="215" t="s">
        <v>31</v>
      </c>
      <c r="P71" s="215" t="s">
        <v>31</v>
      </c>
      <c r="Q71" s="215" t="s">
        <v>31</v>
      </c>
      <c r="R71" s="198"/>
      <c r="S71" s="198"/>
      <c r="T71" s="198"/>
      <c r="U71" s="198"/>
    </row>
    <row r="72" spans="1:21" s="12" customFormat="1" x14ac:dyDescent="0.25">
      <c r="A72" s="201" t="s">
        <v>688</v>
      </c>
      <c r="B72" s="215" t="s">
        <v>31</v>
      </c>
      <c r="C72" s="215" t="s">
        <v>31</v>
      </c>
      <c r="D72" s="215" t="s">
        <v>31</v>
      </c>
      <c r="E72" s="215" t="s">
        <v>31</v>
      </c>
      <c r="F72" s="215" t="s">
        <v>31</v>
      </c>
      <c r="G72" s="215" t="s">
        <v>31</v>
      </c>
      <c r="H72" s="215" t="s">
        <v>31</v>
      </c>
      <c r="I72" s="215" t="s">
        <v>31</v>
      </c>
      <c r="J72" s="215" t="s">
        <v>31</v>
      </c>
      <c r="K72" s="215" t="s">
        <v>31</v>
      </c>
      <c r="L72" s="215" t="s">
        <v>31</v>
      </c>
      <c r="M72" s="215" t="s">
        <v>31</v>
      </c>
      <c r="N72" s="215" t="s">
        <v>31</v>
      </c>
      <c r="O72" s="215" t="s">
        <v>31</v>
      </c>
      <c r="P72" s="215" t="s">
        <v>31</v>
      </c>
      <c r="Q72" s="215" t="s">
        <v>31</v>
      </c>
      <c r="R72" s="198"/>
      <c r="S72" s="198"/>
      <c r="T72" s="198"/>
      <c r="U72" s="198"/>
    </row>
    <row r="73" spans="1:21" s="12" customFormat="1" x14ac:dyDescent="0.25">
      <c r="A73" s="201" t="s">
        <v>689</v>
      </c>
      <c r="B73" s="215" t="s">
        <v>31</v>
      </c>
      <c r="C73" s="215" t="s">
        <v>31</v>
      </c>
      <c r="D73" s="215" t="s">
        <v>31</v>
      </c>
      <c r="E73" s="215" t="s">
        <v>31</v>
      </c>
      <c r="F73" s="215" t="s">
        <v>31</v>
      </c>
      <c r="G73" s="215" t="s">
        <v>31</v>
      </c>
      <c r="H73" s="215" t="s">
        <v>31</v>
      </c>
      <c r="I73" s="215" t="s">
        <v>31</v>
      </c>
      <c r="J73" s="215" t="s">
        <v>31</v>
      </c>
      <c r="K73" s="215" t="s">
        <v>31</v>
      </c>
      <c r="L73" s="215" t="s">
        <v>31</v>
      </c>
      <c r="M73" s="215" t="s">
        <v>31</v>
      </c>
      <c r="N73" s="215" t="s">
        <v>31</v>
      </c>
      <c r="O73" s="215" t="s">
        <v>31</v>
      </c>
      <c r="P73" s="215" t="s">
        <v>31</v>
      </c>
      <c r="Q73" s="215" t="s">
        <v>31</v>
      </c>
      <c r="R73" s="198"/>
      <c r="S73" s="198"/>
      <c r="T73" s="198"/>
      <c r="U73" s="198"/>
    </row>
    <row r="74" spans="1:21" s="12" customFormat="1" x14ac:dyDescent="0.25">
      <c r="A74" s="201" t="s">
        <v>690</v>
      </c>
      <c r="B74" s="215" t="s">
        <v>31</v>
      </c>
      <c r="C74" s="215" t="s">
        <v>31</v>
      </c>
      <c r="D74" s="215" t="s">
        <v>31</v>
      </c>
      <c r="E74" s="215" t="s">
        <v>31</v>
      </c>
      <c r="F74" s="215" t="s">
        <v>31</v>
      </c>
      <c r="G74" s="215" t="s">
        <v>31</v>
      </c>
      <c r="H74" s="215" t="s">
        <v>31</v>
      </c>
      <c r="I74" s="215" t="s">
        <v>31</v>
      </c>
      <c r="J74" s="215" t="s">
        <v>31</v>
      </c>
      <c r="K74" s="215" t="s">
        <v>31</v>
      </c>
      <c r="L74" s="215" t="s">
        <v>31</v>
      </c>
      <c r="M74" s="215" t="s">
        <v>31</v>
      </c>
      <c r="N74" s="215" t="s">
        <v>31</v>
      </c>
      <c r="O74" s="215" t="s">
        <v>31</v>
      </c>
      <c r="P74" s="215" t="s">
        <v>31</v>
      </c>
      <c r="Q74" s="215" t="s">
        <v>31</v>
      </c>
      <c r="R74" s="198"/>
      <c r="S74" s="198"/>
      <c r="T74" s="198"/>
      <c r="U74" s="198"/>
    </row>
    <row r="75" spans="1:21" s="12" customFormat="1" x14ac:dyDescent="0.25">
      <c r="A75" s="201" t="s">
        <v>691</v>
      </c>
      <c r="B75" s="215" t="s">
        <v>31</v>
      </c>
      <c r="C75" s="215" t="s">
        <v>31</v>
      </c>
      <c r="D75" s="215" t="s">
        <v>31</v>
      </c>
      <c r="E75" s="215" t="s">
        <v>31</v>
      </c>
      <c r="F75" s="215" t="s">
        <v>31</v>
      </c>
      <c r="G75" s="215" t="s">
        <v>31</v>
      </c>
      <c r="H75" s="215" t="s">
        <v>31</v>
      </c>
      <c r="I75" s="215" t="s">
        <v>31</v>
      </c>
      <c r="J75" s="215" t="s">
        <v>31</v>
      </c>
      <c r="K75" s="215" t="s">
        <v>31</v>
      </c>
      <c r="L75" s="215" t="s">
        <v>31</v>
      </c>
      <c r="M75" s="215" t="s">
        <v>31</v>
      </c>
      <c r="N75" s="215" t="s">
        <v>31</v>
      </c>
      <c r="O75" s="215" t="s">
        <v>31</v>
      </c>
      <c r="P75" s="215" t="s">
        <v>31</v>
      </c>
      <c r="Q75" s="215" t="s">
        <v>31</v>
      </c>
      <c r="R75" s="198"/>
      <c r="S75" s="198"/>
      <c r="T75" s="198"/>
      <c r="U75" s="198"/>
    </row>
    <row r="76" spans="1:21" s="12" customFormat="1" x14ac:dyDescent="0.25">
      <c r="A76" s="201" t="s">
        <v>692</v>
      </c>
      <c r="B76" s="215" t="s">
        <v>31</v>
      </c>
      <c r="C76" s="215" t="s">
        <v>31</v>
      </c>
      <c r="D76" s="215" t="s">
        <v>31</v>
      </c>
      <c r="E76" s="215" t="s">
        <v>31</v>
      </c>
      <c r="F76" s="215" t="s">
        <v>31</v>
      </c>
      <c r="G76" s="215" t="s">
        <v>31</v>
      </c>
      <c r="H76" s="215" t="s">
        <v>31</v>
      </c>
      <c r="I76" s="215" t="s">
        <v>31</v>
      </c>
      <c r="J76" s="215" t="s">
        <v>31</v>
      </c>
      <c r="K76" s="215" t="s">
        <v>31</v>
      </c>
      <c r="L76" s="215" t="s">
        <v>31</v>
      </c>
      <c r="M76" s="215" t="s">
        <v>31</v>
      </c>
      <c r="N76" s="215" t="s">
        <v>31</v>
      </c>
      <c r="O76" s="215" t="s">
        <v>31</v>
      </c>
      <c r="P76" s="215" t="s">
        <v>31</v>
      </c>
      <c r="Q76" s="215" t="s">
        <v>31</v>
      </c>
      <c r="R76" s="198"/>
      <c r="S76" s="198"/>
      <c r="T76" s="198"/>
      <c r="U76" s="198"/>
    </row>
    <row r="77" spans="1:21" s="12" customFormat="1" x14ac:dyDescent="0.25">
      <c r="A77" s="201" t="s">
        <v>693</v>
      </c>
      <c r="B77" s="215" t="s">
        <v>31</v>
      </c>
      <c r="C77" s="215" t="s">
        <v>31</v>
      </c>
      <c r="D77" s="215" t="s">
        <v>31</v>
      </c>
      <c r="E77" s="215" t="s">
        <v>31</v>
      </c>
      <c r="F77" s="215" t="s">
        <v>31</v>
      </c>
      <c r="G77" s="215" t="s">
        <v>31</v>
      </c>
      <c r="H77" s="215" t="s">
        <v>31</v>
      </c>
      <c r="I77" s="215" t="s">
        <v>31</v>
      </c>
      <c r="J77" s="215" t="s">
        <v>31</v>
      </c>
      <c r="K77" s="215" t="s">
        <v>31</v>
      </c>
      <c r="L77" s="215" t="s">
        <v>31</v>
      </c>
      <c r="M77" s="215" t="s">
        <v>31</v>
      </c>
      <c r="N77" s="215" t="s">
        <v>31</v>
      </c>
      <c r="O77" s="215" t="s">
        <v>31</v>
      </c>
      <c r="P77" s="215" t="s">
        <v>31</v>
      </c>
      <c r="Q77" s="215" t="s">
        <v>31</v>
      </c>
      <c r="R77" s="198"/>
      <c r="S77" s="198"/>
      <c r="T77" s="198"/>
      <c r="U77" s="198"/>
    </row>
    <row r="78" spans="1:21" s="12" customFormat="1" x14ac:dyDescent="0.25">
      <c r="A78" s="201" t="s">
        <v>694</v>
      </c>
      <c r="B78" s="215" t="s">
        <v>31</v>
      </c>
      <c r="C78" s="215" t="s">
        <v>31</v>
      </c>
      <c r="D78" s="215" t="s">
        <v>31</v>
      </c>
      <c r="E78" s="215" t="s">
        <v>31</v>
      </c>
      <c r="F78" s="215" t="s">
        <v>31</v>
      </c>
      <c r="G78" s="215" t="s">
        <v>31</v>
      </c>
      <c r="H78" s="215" t="s">
        <v>31</v>
      </c>
      <c r="I78" s="215" t="s">
        <v>31</v>
      </c>
      <c r="J78" s="215" t="s">
        <v>31</v>
      </c>
      <c r="K78" s="215" t="s">
        <v>31</v>
      </c>
      <c r="L78" s="215" t="s">
        <v>31</v>
      </c>
      <c r="M78" s="215" t="s">
        <v>31</v>
      </c>
      <c r="N78" s="215" t="s">
        <v>31</v>
      </c>
      <c r="O78" s="215" t="s">
        <v>31</v>
      </c>
      <c r="P78" s="215" t="s">
        <v>31</v>
      </c>
      <c r="Q78" s="215" t="s">
        <v>31</v>
      </c>
      <c r="R78" s="198"/>
      <c r="S78" s="198"/>
      <c r="T78" s="198"/>
      <c r="U78" s="198"/>
    </row>
    <row r="79" spans="1:21" s="12" customFormat="1" x14ac:dyDescent="0.25">
      <c r="A79" s="201" t="s">
        <v>695</v>
      </c>
      <c r="B79" s="215" t="s">
        <v>31</v>
      </c>
      <c r="C79" s="215" t="s">
        <v>31</v>
      </c>
      <c r="D79" s="215" t="s">
        <v>31</v>
      </c>
      <c r="E79" s="215" t="s">
        <v>31</v>
      </c>
      <c r="F79" s="215" t="s">
        <v>31</v>
      </c>
      <c r="G79" s="215" t="s">
        <v>31</v>
      </c>
      <c r="H79" s="215" t="s">
        <v>31</v>
      </c>
      <c r="I79" s="215" t="s">
        <v>31</v>
      </c>
      <c r="J79" s="215" t="s">
        <v>31</v>
      </c>
      <c r="K79" s="215" t="s">
        <v>31</v>
      </c>
      <c r="L79" s="215" t="s">
        <v>31</v>
      </c>
      <c r="M79" s="215" t="s">
        <v>31</v>
      </c>
      <c r="N79" s="215" t="s">
        <v>31</v>
      </c>
      <c r="O79" s="215" t="s">
        <v>31</v>
      </c>
      <c r="P79" s="215" t="s">
        <v>31</v>
      </c>
      <c r="Q79" s="215" t="s">
        <v>31</v>
      </c>
      <c r="R79" s="198"/>
      <c r="S79" s="198"/>
      <c r="T79" s="198"/>
      <c r="U79" s="198"/>
    </row>
    <row r="80" spans="1:21" s="12" customFormat="1" x14ac:dyDescent="0.25">
      <c r="A80" s="201" t="s">
        <v>696</v>
      </c>
      <c r="B80" s="215" t="s">
        <v>31</v>
      </c>
      <c r="C80" s="215" t="s">
        <v>31</v>
      </c>
      <c r="D80" s="215" t="s">
        <v>31</v>
      </c>
      <c r="E80" s="215" t="s">
        <v>31</v>
      </c>
      <c r="F80" s="215" t="s">
        <v>31</v>
      </c>
      <c r="G80" s="215" t="s">
        <v>31</v>
      </c>
      <c r="H80" s="215" t="s">
        <v>31</v>
      </c>
      <c r="I80" s="215" t="s">
        <v>31</v>
      </c>
      <c r="J80" s="215" t="s">
        <v>31</v>
      </c>
      <c r="K80" s="215" t="s">
        <v>31</v>
      </c>
      <c r="L80" s="215" t="s">
        <v>31</v>
      </c>
      <c r="M80" s="215" t="s">
        <v>31</v>
      </c>
      <c r="N80" s="215" t="s">
        <v>31</v>
      </c>
      <c r="O80" s="215" t="s">
        <v>31</v>
      </c>
      <c r="P80" s="215" t="s">
        <v>31</v>
      </c>
      <c r="Q80" s="215" t="s">
        <v>31</v>
      </c>
      <c r="R80" s="198"/>
      <c r="S80" s="198"/>
      <c r="T80" s="198"/>
      <c r="U80" s="198"/>
    </row>
    <row r="81" spans="1:26" s="12" customFormat="1" x14ac:dyDescent="0.25">
      <c r="A81" s="201" t="s">
        <v>697</v>
      </c>
      <c r="B81" s="215" t="s">
        <v>31</v>
      </c>
      <c r="C81" s="215" t="s">
        <v>31</v>
      </c>
      <c r="D81" s="215" t="s">
        <v>31</v>
      </c>
      <c r="E81" s="215" t="s">
        <v>31</v>
      </c>
      <c r="F81" s="215" t="s">
        <v>31</v>
      </c>
      <c r="G81" s="215" t="s">
        <v>31</v>
      </c>
      <c r="H81" s="215" t="s">
        <v>31</v>
      </c>
      <c r="I81" s="215" t="s">
        <v>31</v>
      </c>
      <c r="J81" s="215" t="s">
        <v>31</v>
      </c>
      <c r="K81" s="215" t="s">
        <v>31</v>
      </c>
      <c r="L81" s="215" t="s">
        <v>31</v>
      </c>
      <c r="M81" s="215" t="s">
        <v>31</v>
      </c>
      <c r="N81" s="215" t="s">
        <v>31</v>
      </c>
      <c r="O81" s="215" t="s">
        <v>31</v>
      </c>
      <c r="P81" s="215" t="s">
        <v>31</v>
      </c>
      <c r="Q81" s="215" t="s">
        <v>31</v>
      </c>
      <c r="R81" s="198"/>
      <c r="S81" s="198"/>
      <c r="T81" s="198"/>
      <c r="U81" s="198"/>
    </row>
    <row r="82" spans="1:26" s="12" customFormat="1" x14ac:dyDescent="0.25">
      <c r="A82" s="201" t="s">
        <v>698</v>
      </c>
      <c r="B82" s="215" t="s">
        <v>31</v>
      </c>
      <c r="C82" s="215" t="s">
        <v>31</v>
      </c>
      <c r="D82" s="215" t="s">
        <v>31</v>
      </c>
      <c r="E82" s="215" t="s">
        <v>31</v>
      </c>
      <c r="F82" s="215" t="s">
        <v>31</v>
      </c>
      <c r="G82" s="215" t="s">
        <v>31</v>
      </c>
      <c r="H82" s="215" t="s">
        <v>31</v>
      </c>
      <c r="I82" s="215" t="s">
        <v>31</v>
      </c>
      <c r="J82" s="215" t="s">
        <v>31</v>
      </c>
      <c r="K82" s="215" t="s">
        <v>31</v>
      </c>
      <c r="L82" s="215" t="s">
        <v>31</v>
      </c>
      <c r="M82" s="215" t="s">
        <v>31</v>
      </c>
      <c r="N82" s="215" t="s">
        <v>31</v>
      </c>
      <c r="O82" s="215" t="s">
        <v>31</v>
      </c>
      <c r="P82" s="215" t="s">
        <v>31</v>
      </c>
      <c r="Q82" s="215" t="s">
        <v>31</v>
      </c>
      <c r="R82" s="198"/>
      <c r="S82" s="198"/>
      <c r="T82" s="198"/>
      <c r="U82" s="198"/>
    </row>
    <row r="83" spans="1:26" s="12" customFormat="1" x14ac:dyDescent="0.25">
      <c r="A83" s="201" t="s">
        <v>699</v>
      </c>
      <c r="B83" s="215" t="s">
        <v>31</v>
      </c>
      <c r="C83" s="215" t="s">
        <v>31</v>
      </c>
      <c r="D83" s="215" t="s">
        <v>31</v>
      </c>
      <c r="E83" s="215" t="s">
        <v>31</v>
      </c>
      <c r="F83" s="215" t="s">
        <v>31</v>
      </c>
      <c r="G83" s="215" t="s">
        <v>31</v>
      </c>
      <c r="H83" s="215" t="s">
        <v>31</v>
      </c>
      <c r="I83" s="215" t="s">
        <v>31</v>
      </c>
      <c r="J83" s="215" t="s">
        <v>31</v>
      </c>
      <c r="K83" s="215" t="s">
        <v>31</v>
      </c>
      <c r="L83" s="215" t="s">
        <v>31</v>
      </c>
      <c r="M83" s="215" t="s">
        <v>31</v>
      </c>
      <c r="N83" s="215" t="s">
        <v>31</v>
      </c>
      <c r="O83" s="215" t="s">
        <v>31</v>
      </c>
      <c r="P83" s="215" t="s">
        <v>31</v>
      </c>
      <c r="Q83" s="215" t="s">
        <v>31</v>
      </c>
      <c r="R83" s="198"/>
      <c r="S83" s="198"/>
      <c r="T83" s="198"/>
      <c r="U83" s="198"/>
    </row>
    <row r="84" spans="1:26" s="12" customFormat="1" x14ac:dyDescent="0.25">
      <c r="A84" s="201" t="s">
        <v>700</v>
      </c>
      <c r="B84" s="215" t="s">
        <v>31</v>
      </c>
      <c r="C84" s="215" t="s">
        <v>31</v>
      </c>
      <c r="D84" s="215" t="s">
        <v>31</v>
      </c>
      <c r="E84" s="215" t="s">
        <v>31</v>
      </c>
      <c r="F84" s="215" t="s">
        <v>31</v>
      </c>
      <c r="G84" s="215" t="s">
        <v>31</v>
      </c>
      <c r="H84" s="215" t="s">
        <v>31</v>
      </c>
      <c r="I84" s="215" t="s">
        <v>31</v>
      </c>
      <c r="J84" s="215" t="s">
        <v>31</v>
      </c>
      <c r="K84" s="215" t="s">
        <v>31</v>
      </c>
      <c r="L84" s="215" t="s">
        <v>31</v>
      </c>
      <c r="M84" s="215" t="s">
        <v>31</v>
      </c>
      <c r="N84" s="215" t="s">
        <v>31</v>
      </c>
      <c r="O84" s="215" t="s">
        <v>31</v>
      </c>
      <c r="P84" s="215" t="s">
        <v>31</v>
      </c>
      <c r="Q84" s="215" t="s">
        <v>31</v>
      </c>
      <c r="R84" s="198"/>
      <c r="S84" s="198"/>
      <c r="T84" s="198"/>
      <c r="U84" s="198"/>
    </row>
    <row r="85" spans="1:26" s="12" customFormat="1" x14ac:dyDescent="0.25">
      <c r="A85" s="201" t="s">
        <v>701</v>
      </c>
      <c r="B85" s="215" t="s">
        <v>31</v>
      </c>
      <c r="C85" s="215" t="s">
        <v>31</v>
      </c>
      <c r="D85" s="215" t="s">
        <v>31</v>
      </c>
      <c r="E85" s="215" t="s">
        <v>31</v>
      </c>
      <c r="F85" s="215" t="s">
        <v>31</v>
      </c>
      <c r="G85" s="215" t="s">
        <v>31</v>
      </c>
      <c r="H85" s="215" t="s">
        <v>31</v>
      </c>
      <c r="I85" s="215" t="s">
        <v>31</v>
      </c>
      <c r="J85" s="215" t="s">
        <v>31</v>
      </c>
      <c r="K85" s="215" t="s">
        <v>31</v>
      </c>
      <c r="L85" s="215" t="s">
        <v>31</v>
      </c>
      <c r="M85" s="215" t="s">
        <v>31</v>
      </c>
      <c r="N85" s="215" t="s">
        <v>31</v>
      </c>
      <c r="O85" s="215" t="s">
        <v>31</v>
      </c>
      <c r="P85" s="215" t="s">
        <v>31</v>
      </c>
      <c r="Q85" s="215" t="s">
        <v>31</v>
      </c>
      <c r="R85" s="198"/>
      <c r="S85" s="198"/>
      <c r="T85" s="198"/>
      <c r="U85" s="198"/>
    </row>
    <row r="86" spans="1:26" s="12" customFormat="1" x14ac:dyDescent="0.25">
      <c r="A86" s="201" t="s">
        <v>702</v>
      </c>
      <c r="B86" s="215" t="s">
        <v>31</v>
      </c>
      <c r="C86" s="215" t="s">
        <v>31</v>
      </c>
      <c r="D86" s="215" t="s">
        <v>31</v>
      </c>
      <c r="E86" s="215" t="s">
        <v>31</v>
      </c>
      <c r="F86" s="215" t="s">
        <v>31</v>
      </c>
      <c r="G86" s="215" t="s">
        <v>31</v>
      </c>
      <c r="H86" s="215" t="s">
        <v>31</v>
      </c>
      <c r="I86" s="215" t="s">
        <v>31</v>
      </c>
      <c r="J86" s="215" t="s">
        <v>31</v>
      </c>
      <c r="K86" s="215" t="s">
        <v>31</v>
      </c>
      <c r="L86" s="215" t="s">
        <v>31</v>
      </c>
      <c r="M86" s="215" t="s">
        <v>31</v>
      </c>
      <c r="N86" s="215" t="s">
        <v>31</v>
      </c>
      <c r="O86" s="215" t="s">
        <v>31</v>
      </c>
      <c r="P86" s="215" t="s">
        <v>31</v>
      </c>
      <c r="Q86" s="215" t="s">
        <v>31</v>
      </c>
      <c r="R86" s="198"/>
      <c r="S86" s="198"/>
      <c r="T86" s="198"/>
      <c r="U86" s="198"/>
    </row>
    <row r="87" spans="1:26" s="12" customFormat="1" x14ac:dyDescent="0.25">
      <c r="A87" s="201" t="s">
        <v>703</v>
      </c>
      <c r="B87" s="215" t="s">
        <v>31</v>
      </c>
      <c r="C87" s="215" t="s">
        <v>31</v>
      </c>
      <c r="D87" s="215" t="s">
        <v>31</v>
      </c>
      <c r="E87" s="215" t="s">
        <v>31</v>
      </c>
      <c r="F87" s="215" t="s">
        <v>31</v>
      </c>
      <c r="G87" s="215" t="s">
        <v>31</v>
      </c>
      <c r="H87" s="215" t="s">
        <v>31</v>
      </c>
      <c r="I87" s="215" t="s">
        <v>31</v>
      </c>
      <c r="J87" s="215" t="s">
        <v>31</v>
      </c>
      <c r="K87" s="215" t="s">
        <v>31</v>
      </c>
      <c r="L87" s="215" t="s">
        <v>31</v>
      </c>
      <c r="M87" s="215" t="s">
        <v>31</v>
      </c>
      <c r="N87" s="215" t="s">
        <v>31</v>
      </c>
      <c r="O87" s="215" t="s">
        <v>31</v>
      </c>
      <c r="P87" s="215" t="s">
        <v>31</v>
      </c>
      <c r="Q87" s="215" t="s">
        <v>31</v>
      </c>
      <c r="R87" s="198"/>
      <c r="S87" s="198"/>
      <c r="T87" s="198"/>
      <c r="U87" s="198"/>
    </row>
    <row r="88" spans="1:26" s="12" customFormat="1" x14ac:dyDescent="0.25">
      <c r="A88" s="201" t="s">
        <v>704</v>
      </c>
      <c r="B88" s="215" t="s">
        <v>31</v>
      </c>
      <c r="C88" s="215" t="s">
        <v>31</v>
      </c>
      <c r="D88" s="215" t="s">
        <v>31</v>
      </c>
      <c r="E88" s="215" t="s">
        <v>31</v>
      </c>
      <c r="F88" s="215" t="s">
        <v>31</v>
      </c>
      <c r="G88" s="215" t="s">
        <v>31</v>
      </c>
      <c r="H88" s="215" t="s">
        <v>31</v>
      </c>
      <c r="I88" s="215" t="s">
        <v>31</v>
      </c>
      <c r="J88" s="215" t="s">
        <v>31</v>
      </c>
      <c r="K88" s="215" t="s">
        <v>31</v>
      </c>
      <c r="L88" s="215" t="s">
        <v>31</v>
      </c>
      <c r="M88" s="215" t="s">
        <v>31</v>
      </c>
      <c r="N88" s="215" t="s">
        <v>31</v>
      </c>
      <c r="O88" s="215" t="s">
        <v>31</v>
      </c>
      <c r="P88" s="215" t="s">
        <v>31</v>
      </c>
      <c r="Q88" s="215" t="s">
        <v>31</v>
      </c>
      <c r="R88" s="198"/>
      <c r="S88" s="198"/>
      <c r="T88" s="198"/>
      <c r="U88" s="198"/>
    </row>
    <row r="89" spans="1:26" s="12" customFormat="1" x14ac:dyDescent="0.25">
      <c r="A89" s="201" t="s">
        <v>705</v>
      </c>
      <c r="B89" s="215" t="s">
        <v>31</v>
      </c>
      <c r="C89" s="215" t="s">
        <v>31</v>
      </c>
      <c r="D89" s="215" t="s">
        <v>31</v>
      </c>
      <c r="E89" s="215" t="s">
        <v>31</v>
      </c>
      <c r="F89" s="215" t="s">
        <v>31</v>
      </c>
      <c r="G89" s="215" t="s">
        <v>31</v>
      </c>
      <c r="H89" s="215" t="s">
        <v>31</v>
      </c>
      <c r="I89" s="215" t="s">
        <v>31</v>
      </c>
      <c r="J89" s="215" t="s">
        <v>31</v>
      </c>
      <c r="K89" s="215" t="s">
        <v>31</v>
      </c>
      <c r="L89" s="215" t="s">
        <v>31</v>
      </c>
      <c r="M89" s="215" t="s">
        <v>31</v>
      </c>
      <c r="N89" s="215" t="s">
        <v>31</v>
      </c>
      <c r="O89" s="215" t="s">
        <v>31</v>
      </c>
      <c r="P89" s="215" t="s">
        <v>31</v>
      </c>
      <c r="Q89" s="215" t="s">
        <v>31</v>
      </c>
      <c r="R89" s="198"/>
      <c r="S89" s="198"/>
      <c r="T89" s="198"/>
      <c r="U89" s="198"/>
    </row>
    <row r="90" spans="1:26" s="12" customFormat="1" x14ac:dyDescent="0.25">
      <c r="A90" s="201" t="s">
        <v>706</v>
      </c>
      <c r="B90" s="215" t="s">
        <v>31</v>
      </c>
      <c r="C90" s="215" t="s">
        <v>31</v>
      </c>
      <c r="D90" s="215" t="s">
        <v>31</v>
      </c>
      <c r="E90" s="215" t="s">
        <v>31</v>
      </c>
      <c r="F90" s="215" t="s">
        <v>31</v>
      </c>
      <c r="G90" s="215" t="s">
        <v>31</v>
      </c>
      <c r="H90" s="215" t="s">
        <v>31</v>
      </c>
      <c r="I90" s="215" t="s">
        <v>31</v>
      </c>
      <c r="J90" s="215" t="s">
        <v>31</v>
      </c>
      <c r="K90" s="215" t="s">
        <v>31</v>
      </c>
      <c r="L90" s="215" t="s">
        <v>31</v>
      </c>
      <c r="M90" s="215" t="s">
        <v>31</v>
      </c>
      <c r="N90" s="215" t="s">
        <v>31</v>
      </c>
      <c r="O90" s="215" t="s">
        <v>31</v>
      </c>
      <c r="P90" s="215" t="s">
        <v>31</v>
      </c>
      <c r="Q90" s="215" t="s">
        <v>31</v>
      </c>
      <c r="R90" s="198"/>
      <c r="S90" s="198"/>
      <c r="T90" s="198"/>
      <c r="U90" s="198"/>
    </row>
    <row r="91" spans="1:26" s="12" customFormat="1" x14ac:dyDescent="0.25">
      <c r="A91" s="201" t="s">
        <v>707</v>
      </c>
      <c r="B91" s="215" t="s">
        <v>31</v>
      </c>
      <c r="C91" s="215" t="s">
        <v>31</v>
      </c>
      <c r="D91" s="215" t="s">
        <v>31</v>
      </c>
      <c r="E91" s="215" t="s">
        <v>31</v>
      </c>
      <c r="F91" s="215" t="s">
        <v>31</v>
      </c>
      <c r="G91" s="215" t="s">
        <v>31</v>
      </c>
      <c r="H91" s="215" t="s">
        <v>31</v>
      </c>
      <c r="I91" s="215" t="s">
        <v>31</v>
      </c>
      <c r="J91" s="215" t="s">
        <v>31</v>
      </c>
      <c r="K91" s="215" t="s">
        <v>31</v>
      </c>
      <c r="L91" s="215" t="s">
        <v>31</v>
      </c>
      <c r="M91" s="215" t="s">
        <v>31</v>
      </c>
      <c r="N91" s="215" t="s">
        <v>31</v>
      </c>
      <c r="O91" s="215" t="s">
        <v>31</v>
      </c>
      <c r="P91" s="215" t="s">
        <v>31</v>
      </c>
      <c r="Q91" s="215" t="s">
        <v>31</v>
      </c>
      <c r="R91" s="198"/>
      <c r="S91" s="198"/>
      <c r="T91" s="198"/>
      <c r="U91" s="198"/>
    </row>
    <row r="92" spans="1:26" s="12" customFormat="1" x14ac:dyDescent="0.25">
      <c r="A92" s="201" t="s">
        <v>708</v>
      </c>
      <c r="B92" s="215" t="s">
        <v>31</v>
      </c>
      <c r="C92" s="215" t="s">
        <v>31</v>
      </c>
      <c r="D92" s="215" t="s">
        <v>31</v>
      </c>
      <c r="E92" s="215" t="s">
        <v>31</v>
      </c>
      <c r="F92" s="215" t="s">
        <v>31</v>
      </c>
      <c r="G92" s="215" t="s">
        <v>31</v>
      </c>
      <c r="H92" s="215" t="s">
        <v>31</v>
      </c>
      <c r="I92" s="215" t="s">
        <v>31</v>
      </c>
      <c r="J92" s="215" t="s">
        <v>31</v>
      </c>
      <c r="K92" s="215" t="s">
        <v>31</v>
      </c>
      <c r="L92" s="215" t="s">
        <v>31</v>
      </c>
      <c r="M92" s="215" t="s">
        <v>31</v>
      </c>
      <c r="N92" s="215" t="s">
        <v>31</v>
      </c>
      <c r="O92" s="215" t="s">
        <v>31</v>
      </c>
      <c r="P92" s="215" t="s">
        <v>31</v>
      </c>
      <c r="Q92" s="215" t="s">
        <v>31</v>
      </c>
      <c r="R92" s="198"/>
      <c r="S92" s="198"/>
      <c r="T92" s="198"/>
      <c r="U92" s="198"/>
    </row>
    <row r="93" spans="1:26" s="12" customFormat="1" x14ac:dyDescent="0.25">
      <c r="A93" s="201" t="s">
        <v>709</v>
      </c>
      <c r="B93" s="215" t="s">
        <v>31</v>
      </c>
      <c r="C93" s="215" t="s">
        <v>31</v>
      </c>
      <c r="D93" s="215" t="s">
        <v>31</v>
      </c>
      <c r="E93" s="215" t="s">
        <v>31</v>
      </c>
      <c r="F93" s="215" t="s">
        <v>31</v>
      </c>
      <c r="G93" s="215" t="s">
        <v>31</v>
      </c>
      <c r="H93" s="215" t="s">
        <v>31</v>
      </c>
      <c r="I93" s="215" t="s">
        <v>31</v>
      </c>
      <c r="J93" s="215" t="s">
        <v>31</v>
      </c>
      <c r="K93" s="215" t="s">
        <v>31</v>
      </c>
      <c r="L93" s="215" t="s">
        <v>31</v>
      </c>
      <c r="M93" s="215" t="s">
        <v>31</v>
      </c>
      <c r="N93" s="215" t="s">
        <v>31</v>
      </c>
      <c r="O93" s="215" t="s">
        <v>31</v>
      </c>
      <c r="P93" s="215" t="s">
        <v>31</v>
      </c>
      <c r="Q93" s="215" t="s">
        <v>31</v>
      </c>
      <c r="R93" s="198"/>
      <c r="S93" s="198"/>
      <c r="T93" s="198"/>
      <c r="U93" s="198"/>
    </row>
    <row r="94" spans="1:26" s="12" customFormat="1" x14ac:dyDescent="0.25">
      <c r="A94" s="201" t="s">
        <v>710</v>
      </c>
      <c r="B94" s="215" t="s">
        <v>31</v>
      </c>
      <c r="C94" s="215" t="s">
        <v>31</v>
      </c>
      <c r="D94" s="215" t="s">
        <v>31</v>
      </c>
      <c r="E94" s="215" t="s">
        <v>31</v>
      </c>
      <c r="F94" s="215" t="s">
        <v>31</v>
      </c>
      <c r="G94" s="215" t="s">
        <v>31</v>
      </c>
      <c r="H94" s="215" t="s">
        <v>31</v>
      </c>
      <c r="I94" s="215" t="s">
        <v>31</v>
      </c>
      <c r="J94" s="215" t="s">
        <v>31</v>
      </c>
      <c r="K94" s="215" t="s">
        <v>31</v>
      </c>
      <c r="L94" s="215" t="s">
        <v>31</v>
      </c>
      <c r="M94" s="215" t="s">
        <v>31</v>
      </c>
      <c r="N94" s="215" t="s">
        <v>31</v>
      </c>
      <c r="O94" s="215" t="s">
        <v>31</v>
      </c>
      <c r="P94" s="215" t="s">
        <v>31</v>
      </c>
      <c r="Q94" s="215" t="s">
        <v>31</v>
      </c>
      <c r="R94" s="198"/>
      <c r="S94" s="198"/>
      <c r="T94" s="198"/>
      <c r="U94" s="198"/>
    </row>
    <row r="95" spans="1:26" s="12" customFormat="1" x14ac:dyDescent="0.25">
      <c r="A95" s="201" t="s">
        <v>711</v>
      </c>
      <c r="B95" s="215" t="s">
        <v>31</v>
      </c>
      <c r="C95" s="215" t="s">
        <v>31</v>
      </c>
      <c r="D95" s="215" t="s">
        <v>31</v>
      </c>
      <c r="E95" s="215" t="s">
        <v>31</v>
      </c>
      <c r="F95" s="215" t="s">
        <v>31</v>
      </c>
      <c r="G95" s="215" t="s">
        <v>31</v>
      </c>
      <c r="H95" s="215" t="s">
        <v>31</v>
      </c>
      <c r="I95" s="215" t="s">
        <v>31</v>
      </c>
      <c r="J95" s="215" t="s">
        <v>31</v>
      </c>
      <c r="K95" s="215" t="s">
        <v>31</v>
      </c>
      <c r="L95" s="215" t="s">
        <v>31</v>
      </c>
      <c r="M95" s="215" t="s">
        <v>31</v>
      </c>
      <c r="N95" s="215" t="s">
        <v>31</v>
      </c>
      <c r="O95" s="215" t="s">
        <v>31</v>
      </c>
      <c r="P95" s="215" t="s">
        <v>31</v>
      </c>
      <c r="Q95" s="215" t="s">
        <v>31</v>
      </c>
      <c r="R95" s="198"/>
      <c r="S95" s="198"/>
      <c r="T95" s="198"/>
      <c r="U95" s="198"/>
    </row>
    <row r="96" spans="1:26" s="12" customFormat="1" x14ac:dyDescent="0.25">
      <c r="A96" s="201" t="s">
        <v>712</v>
      </c>
      <c r="B96" s="215" t="s">
        <v>31</v>
      </c>
      <c r="C96" s="215" t="s">
        <v>31</v>
      </c>
      <c r="D96" s="215" t="s">
        <v>31</v>
      </c>
      <c r="E96" s="215" t="s">
        <v>31</v>
      </c>
      <c r="F96" s="215" t="s">
        <v>31</v>
      </c>
      <c r="G96" s="215" t="s">
        <v>31</v>
      </c>
      <c r="H96" s="215" t="s">
        <v>31</v>
      </c>
      <c r="I96" s="215" t="s">
        <v>31</v>
      </c>
      <c r="J96" s="215" t="s">
        <v>31</v>
      </c>
      <c r="K96" s="215" t="s">
        <v>31</v>
      </c>
      <c r="L96" s="215" t="s">
        <v>31</v>
      </c>
      <c r="M96" s="215" t="s">
        <v>31</v>
      </c>
      <c r="N96" s="215" t="s">
        <v>31</v>
      </c>
      <c r="O96" s="215" t="s">
        <v>31</v>
      </c>
      <c r="P96" s="215" t="s">
        <v>31</v>
      </c>
      <c r="Q96" s="215" t="s">
        <v>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713</v>
      </c>
      <c r="B97" s="215" t="s">
        <v>31</v>
      </c>
      <c r="C97" s="215" t="s">
        <v>31</v>
      </c>
      <c r="D97" s="215" t="s">
        <v>31</v>
      </c>
      <c r="E97" s="215" t="s">
        <v>31</v>
      </c>
      <c r="F97" s="215" t="s">
        <v>31</v>
      </c>
      <c r="G97" s="215" t="s">
        <v>31</v>
      </c>
      <c r="H97" s="215" t="s">
        <v>31</v>
      </c>
      <c r="I97" s="215" t="s">
        <v>31</v>
      </c>
      <c r="J97" s="215" t="s">
        <v>31</v>
      </c>
      <c r="K97" s="215" t="s">
        <v>31</v>
      </c>
      <c r="L97" s="215" t="s">
        <v>31</v>
      </c>
      <c r="M97" s="215" t="s">
        <v>31</v>
      </c>
      <c r="N97" s="215" t="s">
        <v>31</v>
      </c>
      <c r="O97" s="215" t="s">
        <v>31</v>
      </c>
      <c r="P97" s="215" t="s">
        <v>31</v>
      </c>
      <c r="Q97" s="215" t="s">
        <v>31</v>
      </c>
      <c r="R97" s="198"/>
      <c r="S97" s="198"/>
      <c r="T97" s="198"/>
      <c r="U97" s="198"/>
    </row>
    <row r="98" spans="1:33" s="12" customFormat="1" x14ac:dyDescent="0.25">
      <c r="A98" s="201" t="s">
        <v>714</v>
      </c>
      <c r="B98" s="215" t="s">
        <v>31</v>
      </c>
      <c r="C98" s="215" t="s">
        <v>31</v>
      </c>
      <c r="D98" s="215" t="s">
        <v>31</v>
      </c>
      <c r="E98" s="215" t="s">
        <v>31</v>
      </c>
      <c r="F98" s="215" t="s">
        <v>31</v>
      </c>
      <c r="G98" s="215" t="s">
        <v>31</v>
      </c>
      <c r="H98" s="215" t="s">
        <v>31</v>
      </c>
      <c r="I98" s="215" t="s">
        <v>31</v>
      </c>
      <c r="J98" s="215" t="s">
        <v>31</v>
      </c>
      <c r="K98" s="215" t="s">
        <v>31</v>
      </c>
      <c r="L98" s="215" t="s">
        <v>31</v>
      </c>
      <c r="M98" s="215" t="s">
        <v>31</v>
      </c>
      <c r="N98" s="215" t="s">
        <v>31</v>
      </c>
      <c r="O98" s="215" t="s">
        <v>31</v>
      </c>
      <c r="P98" s="215" t="s">
        <v>31</v>
      </c>
      <c r="Q98" s="215" t="s">
        <v>31</v>
      </c>
      <c r="R98" s="198"/>
      <c r="S98" s="198"/>
      <c r="T98" s="198"/>
      <c r="U98" s="198"/>
    </row>
    <row r="99" spans="1:33" s="12" customFormat="1" x14ac:dyDescent="0.25">
      <c r="A99" s="201" t="s">
        <v>715</v>
      </c>
      <c r="B99" s="215" t="s">
        <v>31</v>
      </c>
      <c r="C99" s="215" t="s">
        <v>31</v>
      </c>
      <c r="D99" s="215" t="s">
        <v>31</v>
      </c>
      <c r="E99" s="215" t="s">
        <v>31</v>
      </c>
      <c r="F99" s="215" t="s">
        <v>31</v>
      </c>
      <c r="G99" s="215" t="s">
        <v>31</v>
      </c>
      <c r="H99" s="215" t="s">
        <v>31</v>
      </c>
      <c r="I99" s="215" t="s">
        <v>31</v>
      </c>
      <c r="J99" s="215" t="s">
        <v>31</v>
      </c>
      <c r="K99" s="215" t="s">
        <v>31</v>
      </c>
      <c r="L99" s="215" t="s">
        <v>31</v>
      </c>
      <c r="M99" s="215" t="s">
        <v>31</v>
      </c>
      <c r="N99" s="215" t="s">
        <v>31</v>
      </c>
      <c r="O99" s="215" t="s">
        <v>31</v>
      </c>
      <c r="P99" s="215" t="s">
        <v>31</v>
      </c>
      <c r="Q99" s="215" t="s">
        <v>31</v>
      </c>
      <c r="R99" s="198"/>
      <c r="S99" s="198"/>
      <c r="T99" s="198"/>
      <c r="U99" s="198"/>
    </row>
    <row r="100" spans="1:33" s="12" customFormat="1" x14ac:dyDescent="0.25">
      <c r="A100" s="201" t="s">
        <v>716</v>
      </c>
      <c r="B100" s="215" t="s">
        <v>31</v>
      </c>
      <c r="C100" s="215" t="s">
        <v>31</v>
      </c>
      <c r="D100" s="215" t="s">
        <v>31</v>
      </c>
      <c r="E100" s="215" t="s">
        <v>31</v>
      </c>
      <c r="F100" s="215" t="s">
        <v>31</v>
      </c>
      <c r="G100" s="215" t="s">
        <v>31</v>
      </c>
      <c r="H100" s="215" t="s">
        <v>31</v>
      </c>
      <c r="I100" s="215" t="s">
        <v>31</v>
      </c>
      <c r="J100" s="215" t="s">
        <v>31</v>
      </c>
      <c r="K100" s="215" t="s">
        <v>31</v>
      </c>
      <c r="L100" s="215" t="s">
        <v>31</v>
      </c>
      <c r="M100" s="215" t="s">
        <v>31</v>
      </c>
      <c r="N100" s="215" t="s">
        <v>31</v>
      </c>
      <c r="O100" s="215" t="s">
        <v>31</v>
      </c>
      <c r="P100" s="215" t="s">
        <v>31</v>
      </c>
      <c r="Q100" s="215" t="s">
        <v>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717</v>
      </c>
      <c r="B101" s="215" t="s">
        <v>31</v>
      </c>
      <c r="C101" s="215" t="s">
        <v>31</v>
      </c>
      <c r="D101" s="215" t="s">
        <v>31</v>
      </c>
      <c r="E101" s="215" t="s">
        <v>31</v>
      </c>
      <c r="F101" s="215" t="s">
        <v>31</v>
      </c>
      <c r="G101" s="215" t="s">
        <v>31</v>
      </c>
      <c r="H101" s="215" t="s">
        <v>31</v>
      </c>
      <c r="I101" s="215" t="s">
        <v>31</v>
      </c>
      <c r="J101" s="215" t="s">
        <v>31</v>
      </c>
      <c r="K101" s="215" t="s">
        <v>31</v>
      </c>
      <c r="L101" s="215" t="s">
        <v>31</v>
      </c>
      <c r="M101" s="215" t="s">
        <v>31</v>
      </c>
      <c r="N101" s="215" t="s">
        <v>31</v>
      </c>
      <c r="O101" s="215" t="s">
        <v>31</v>
      </c>
      <c r="P101" s="215" t="s">
        <v>31</v>
      </c>
      <c r="Q101" s="215" t="s">
        <v>31</v>
      </c>
      <c r="R101" s="198"/>
      <c r="S101" s="198"/>
      <c r="T101" s="198"/>
      <c r="U101" s="198"/>
    </row>
    <row r="102" spans="1:33" s="12" customFormat="1" x14ac:dyDescent="0.25">
      <c r="A102" s="201" t="s">
        <v>718</v>
      </c>
      <c r="B102" s="215" t="s">
        <v>31</v>
      </c>
      <c r="C102" s="215" t="s">
        <v>31</v>
      </c>
      <c r="D102" s="215" t="s">
        <v>31</v>
      </c>
      <c r="E102" s="215" t="s">
        <v>31</v>
      </c>
      <c r="F102" s="215" t="s">
        <v>31</v>
      </c>
      <c r="G102" s="215" t="s">
        <v>31</v>
      </c>
      <c r="H102" s="215" t="s">
        <v>31</v>
      </c>
      <c r="I102" s="215" t="s">
        <v>31</v>
      </c>
      <c r="J102" s="215" t="s">
        <v>31</v>
      </c>
      <c r="K102" s="215" t="s">
        <v>31</v>
      </c>
      <c r="L102" s="215" t="s">
        <v>31</v>
      </c>
      <c r="M102" s="215" t="s">
        <v>31</v>
      </c>
      <c r="N102" s="215" t="s">
        <v>31</v>
      </c>
      <c r="O102" s="215" t="s">
        <v>31</v>
      </c>
      <c r="P102" s="215" t="s">
        <v>31</v>
      </c>
      <c r="Q102" s="215" t="s">
        <v>31</v>
      </c>
      <c r="R102" s="198"/>
      <c r="S102" s="198"/>
      <c r="T102" s="198"/>
      <c r="U102" s="198"/>
    </row>
    <row r="103" spans="1:33" s="12" customFormat="1" x14ac:dyDescent="0.25">
      <c r="A103" s="201" t="s">
        <v>719</v>
      </c>
      <c r="B103" s="215" t="s">
        <v>31</v>
      </c>
      <c r="C103" s="215" t="s">
        <v>31</v>
      </c>
      <c r="D103" s="215" t="s">
        <v>31</v>
      </c>
      <c r="E103" s="215" t="s">
        <v>31</v>
      </c>
      <c r="F103" s="215" t="s">
        <v>31</v>
      </c>
      <c r="G103" s="215" t="s">
        <v>31</v>
      </c>
      <c r="H103" s="215" t="s">
        <v>31</v>
      </c>
      <c r="I103" s="215" t="s">
        <v>31</v>
      </c>
      <c r="J103" s="215" t="s">
        <v>31</v>
      </c>
      <c r="K103" s="215" t="s">
        <v>31</v>
      </c>
      <c r="L103" s="215" t="s">
        <v>31</v>
      </c>
      <c r="M103" s="215" t="s">
        <v>31</v>
      </c>
      <c r="N103" s="215" t="s">
        <v>31</v>
      </c>
      <c r="O103" s="215" t="s">
        <v>31</v>
      </c>
      <c r="P103" s="215" t="s">
        <v>31</v>
      </c>
      <c r="Q103" s="215" t="s">
        <v>31</v>
      </c>
      <c r="R103" s="198"/>
      <c r="S103" s="198"/>
      <c r="T103" s="198"/>
      <c r="U103" s="198"/>
    </row>
    <row r="104" spans="1:33" s="12" customFormat="1" x14ac:dyDescent="0.25">
      <c r="A104" s="201" t="s">
        <v>720</v>
      </c>
      <c r="B104" s="215" t="s">
        <v>31</v>
      </c>
      <c r="C104" s="215" t="s">
        <v>31</v>
      </c>
      <c r="D104" s="215" t="s">
        <v>31</v>
      </c>
      <c r="E104" s="215" t="s">
        <v>31</v>
      </c>
      <c r="F104" s="215" t="s">
        <v>31</v>
      </c>
      <c r="G104" s="215" t="s">
        <v>31</v>
      </c>
      <c r="H104" s="215" t="s">
        <v>31</v>
      </c>
      <c r="I104" s="215" t="s">
        <v>31</v>
      </c>
      <c r="J104" s="215" t="s">
        <v>31</v>
      </c>
      <c r="K104" s="215" t="s">
        <v>31</v>
      </c>
      <c r="L104" s="215" t="s">
        <v>31</v>
      </c>
      <c r="M104" s="215" t="s">
        <v>31</v>
      </c>
      <c r="N104" s="215" t="s">
        <v>31</v>
      </c>
      <c r="O104" s="215" t="s">
        <v>31</v>
      </c>
      <c r="P104" s="215" t="s">
        <v>31</v>
      </c>
      <c r="Q104" s="215" t="s">
        <v>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60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76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COUNT(B9:B104)+96</f>
        <v>96</v>
      </c>
      <c r="C110" s="66">
        <f t="shared" ref="C110:Q110" si="4">COUNT(C9:C104)+96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721</v>
      </c>
      <c r="B9" s="215" t="s">
        <v>31</v>
      </c>
      <c r="C9" s="215" t="s">
        <v>31</v>
      </c>
      <c r="D9" s="215" t="s">
        <v>31</v>
      </c>
      <c r="E9" s="215" t="s">
        <v>31</v>
      </c>
      <c r="F9" s="215" t="s">
        <v>31</v>
      </c>
      <c r="G9" s="215" t="s">
        <v>31</v>
      </c>
      <c r="H9" s="215" t="s">
        <v>31</v>
      </c>
      <c r="I9" s="215" t="s">
        <v>31</v>
      </c>
      <c r="J9" s="215" t="s">
        <v>31</v>
      </c>
      <c r="K9" s="215" t="s">
        <v>31</v>
      </c>
      <c r="L9" s="215" t="s">
        <v>31</v>
      </c>
      <c r="M9" s="215" t="s">
        <v>31</v>
      </c>
      <c r="N9" s="215" t="s">
        <v>31</v>
      </c>
      <c r="O9" s="215" t="s">
        <v>31</v>
      </c>
      <c r="P9" s="215" t="s">
        <v>31</v>
      </c>
      <c r="Q9" s="215" t="s">
        <v>31</v>
      </c>
      <c r="R9" s="198"/>
      <c r="S9" s="198"/>
      <c r="T9" s="198"/>
      <c r="U9" s="198"/>
    </row>
    <row r="10" spans="1:21" s="12" customFormat="1" x14ac:dyDescent="0.25">
      <c r="A10" s="201" t="s">
        <v>722</v>
      </c>
      <c r="B10" s="215" t="s">
        <v>31</v>
      </c>
      <c r="C10" s="215" t="s">
        <v>31</v>
      </c>
      <c r="D10" s="215" t="s">
        <v>31</v>
      </c>
      <c r="E10" s="215" t="s">
        <v>31</v>
      </c>
      <c r="F10" s="215" t="s">
        <v>31</v>
      </c>
      <c r="G10" s="215" t="s">
        <v>31</v>
      </c>
      <c r="H10" s="215" t="s">
        <v>31</v>
      </c>
      <c r="I10" s="215" t="s">
        <v>31</v>
      </c>
      <c r="J10" s="215" t="s">
        <v>31</v>
      </c>
      <c r="K10" s="215" t="s">
        <v>31</v>
      </c>
      <c r="L10" s="215" t="s">
        <v>31</v>
      </c>
      <c r="M10" s="215" t="s">
        <v>31</v>
      </c>
      <c r="N10" s="215" t="s">
        <v>31</v>
      </c>
      <c r="O10" s="215" t="s">
        <v>31</v>
      </c>
      <c r="P10" s="215" t="s">
        <v>31</v>
      </c>
      <c r="Q10" s="215" t="s">
        <v>31</v>
      </c>
      <c r="R10" s="198"/>
      <c r="S10" s="198"/>
      <c r="T10" s="198"/>
      <c r="U10" s="198"/>
    </row>
    <row r="11" spans="1:21" s="12" customFormat="1" x14ac:dyDescent="0.25">
      <c r="A11" s="201" t="s">
        <v>723</v>
      </c>
      <c r="B11" s="215" t="s">
        <v>31</v>
      </c>
      <c r="C11" s="215" t="s">
        <v>31</v>
      </c>
      <c r="D11" s="215" t="s">
        <v>31</v>
      </c>
      <c r="E11" s="215" t="s">
        <v>31</v>
      </c>
      <c r="F11" s="215" t="s">
        <v>31</v>
      </c>
      <c r="G11" s="215" t="s">
        <v>31</v>
      </c>
      <c r="H11" s="215" t="s">
        <v>31</v>
      </c>
      <c r="I11" s="215" t="s">
        <v>31</v>
      </c>
      <c r="J11" s="215" t="s">
        <v>31</v>
      </c>
      <c r="K11" s="215" t="s">
        <v>31</v>
      </c>
      <c r="L11" s="215" t="s">
        <v>31</v>
      </c>
      <c r="M11" s="215" t="s">
        <v>31</v>
      </c>
      <c r="N11" s="215" t="s">
        <v>31</v>
      </c>
      <c r="O11" s="215" t="s">
        <v>31</v>
      </c>
      <c r="P11" s="215" t="s">
        <v>31</v>
      </c>
      <c r="Q11" s="215" t="s">
        <v>31</v>
      </c>
      <c r="R11" s="198"/>
      <c r="S11" s="198"/>
      <c r="T11" s="198"/>
      <c r="U11" s="198"/>
    </row>
    <row r="12" spans="1:21" s="12" customFormat="1" x14ac:dyDescent="0.25">
      <c r="A12" s="201" t="s">
        <v>724</v>
      </c>
      <c r="B12" s="215" t="s">
        <v>31</v>
      </c>
      <c r="C12" s="215" t="s">
        <v>31</v>
      </c>
      <c r="D12" s="215" t="s">
        <v>31</v>
      </c>
      <c r="E12" s="215" t="s">
        <v>31</v>
      </c>
      <c r="F12" s="215" t="s">
        <v>31</v>
      </c>
      <c r="G12" s="215" t="s">
        <v>31</v>
      </c>
      <c r="H12" s="215" t="s">
        <v>31</v>
      </c>
      <c r="I12" s="215" t="s">
        <v>31</v>
      </c>
      <c r="J12" s="215" t="s">
        <v>31</v>
      </c>
      <c r="K12" s="215" t="s">
        <v>31</v>
      </c>
      <c r="L12" s="215" t="s">
        <v>31</v>
      </c>
      <c r="M12" s="215" t="s">
        <v>31</v>
      </c>
      <c r="N12" s="215" t="s">
        <v>31</v>
      </c>
      <c r="O12" s="215" t="s">
        <v>31</v>
      </c>
      <c r="P12" s="215" t="s">
        <v>31</v>
      </c>
      <c r="Q12" s="215" t="s">
        <v>31</v>
      </c>
      <c r="R12" s="198"/>
      <c r="S12" s="198"/>
      <c r="T12" s="198"/>
      <c r="U12" s="198"/>
    </row>
    <row r="13" spans="1:21" s="12" customFormat="1" x14ac:dyDescent="0.25">
      <c r="A13" s="201" t="s">
        <v>725</v>
      </c>
      <c r="B13" s="215" t="s">
        <v>31</v>
      </c>
      <c r="C13" s="215" t="s">
        <v>31</v>
      </c>
      <c r="D13" s="215" t="s">
        <v>31</v>
      </c>
      <c r="E13" s="215" t="s">
        <v>31</v>
      </c>
      <c r="F13" s="215" t="s">
        <v>31</v>
      </c>
      <c r="G13" s="215" t="s">
        <v>31</v>
      </c>
      <c r="H13" s="215" t="s">
        <v>31</v>
      </c>
      <c r="I13" s="215" t="s">
        <v>31</v>
      </c>
      <c r="J13" s="215" t="s">
        <v>31</v>
      </c>
      <c r="K13" s="215" t="s">
        <v>31</v>
      </c>
      <c r="L13" s="215" t="s">
        <v>31</v>
      </c>
      <c r="M13" s="215" t="s">
        <v>31</v>
      </c>
      <c r="N13" s="215" t="s">
        <v>31</v>
      </c>
      <c r="O13" s="215" t="s">
        <v>31</v>
      </c>
      <c r="P13" s="215" t="s">
        <v>31</v>
      </c>
      <c r="Q13" s="215" t="s">
        <v>31</v>
      </c>
      <c r="R13" s="198"/>
      <c r="S13" s="198"/>
      <c r="T13" s="198"/>
      <c r="U13" s="198"/>
    </row>
    <row r="14" spans="1:21" s="12" customFormat="1" x14ac:dyDescent="0.25">
      <c r="A14" s="201" t="s">
        <v>726</v>
      </c>
      <c r="B14" s="215" t="s">
        <v>31</v>
      </c>
      <c r="C14" s="215" t="s">
        <v>31</v>
      </c>
      <c r="D14" s="215" t="s">
        <v>31</v>
      </c>
      <c r="E14" s="215" t="s">
        <v>31</v>
      </c>
      <c r="F14" s="215" t="s">
        <v>31</v>
      </c>
      <c r="G14" s="215" t="s">
        <v>31</v>
      </c>
      <c r="H14" s="215" t="s">
        <v>31</v>
      </c>
      <c r="I14" s="215" t="s">
        <v>31</v>
      </c>
      <c r="J14" s="215" t="s">
        <v>31</v>
      </c>
      <c r="K14" s="215" t="s">
        <v>31</v>
      </c>
      <c r="L14" s="215" t="s">
        <v>31</v>
      </c>
      <c r="M14" s="215" t="s">
        <v>31</v>
      </c>
      <c r="N14" s="215" t="s">
        <v>31</v>
      </c>
      <c r="O14" s="215" t="s">
        <v>31</v>
      </c>
      <c r="P14" s="215" t="s">
        <v>31</v>
      </c>
      <c r="Q14" s="215" t="s">
        <v>31</v>
      </c>
      <c r="R14" s="198"/>
      <c r="S14" s="198"/>
      <c r="T14" s="198"/>
      <c r="U14" s="198"/>
    </row>
    <row r="15" spans="1:21" s="12" customFormat="1" x14ac:dyDescent="0.25">
      <c r="A15" s="201" t="s">
        <v>727</v>
      </c>
      <c r="B15" s="215" t="s">
        <v>31</v>
      </c>
      <c r="C15" s="215" t="s">
        <v>31</v>
      </c>
      <c r="D15" s="215" t="s">
        <v>31</v>
      </c>
      <c r="E15" s="215" t="s">
        <v>31</v>
      </c>
      <c r="F15" s="215" t="s">
        <v>31</v>
      </c>
      <c r="G15" s="215" t="s">
        <v>31</v>
      </c>
      <c r="H15" s="215" t="s">
        <v>31</v>
      </c>
      <c r="I15" s="215" t="s">
        <v>31</v>
      </c>
      <c r="J15" s="215" t="s">
        <v>31</v>
      </c>
      <c r="K15" s="215" t="s">
        <v>31</v>
      </c>
      <c r="L15" s="215" t="s">
        <v>31</v>
      </c>
      <c r="M15" s="215" t="s">
        <v>31</v>
      </c>
      <c r="N15" s="215" t="s">
        <v>31</v>
      </c>
      <c r="O15" s="215" t="s">
        <v>31</v>
      </c>
      <c r="P15" s="215" t="s">
        <v>31</v>
      </c>
      <c r="Q15" s="215" t="s">
        <v>31</v>
      </c>
      <c r="R15" s="198"/>
      <c r="S15" s="198"/>
      <c r="T15" s="198"/>
      <c r="U15" s="198"/>
    </row>
    <row r="16" spans="1:21" s="12" customFormat="1" x14ac:dyDescent="0.25">
      <c r="A16" s="201" t="s">
        <v>728</v>
      </c>
      <c r="B16" s="215" t="s">
        <v>31</v>
      </c>
      <c r="C16" s="215" t="s">
        <v>31</v>
      </c>
      <c r="D16" s="215" t="s">
        <v>31</v>
      </c>
      <c r="E16" s="215" t="s">
        <v>31</v>
      </c>
      <c r="F16" s="215" t="s">
        <v>31</v>
      </c>
      <c r="G16" s="215" t="s">
        <v>31</v>
      </c>
      <c r="H16" s="215" t="s">
        <v>31</v>
      </c>
      <c r="I16" s="215" t="s">
        <v>31</v>
      </c>
      <c r="J16" s="215" t="s">
        <v>31</v>
      </c>
      <c r="K16" s="215" t="s">
        <v>31</v>
      </c>
      <c r="L16" s="215" t="s">
        <v>31</v>
      </c>
      <c r="M16" s="215" t="s">
        <v>31</v>
      </c>
      <c r="N16" s="215" t="s">
        <v>31</v>
      </c>
      <c r="O16" s="215" t="s">
        <v>31</v>
      </c>
      <c r="P16" s="215" t="s">
        <v>31</v>
      </c>
      <c r="Q16" s="215" t="s">
        <v>31</v>
      </c>
      <c r="R16" s="198"/>
      <c r="S16" s="198"/>
      <c r="T16" s="198"/>
      <c r="U16" s="198"/>
    </row>
    <row r="17" spans="1:21" s="12" customFormat="1" x14ac:dyDescent="0.25">
      <c r="A17" s="201" t="s">
        <v>729</v>
      </c>
      <c r="B17" s="215" t="s">
        <v>31</v>
      </c>
      <c r="C17" s="215" t="s">
        <v>31</v>
      </c>
      <c r="D17" s="215" t="s">
        <v>31</v>
      </c>
      <c r="E17" s="215" t="s">
        <v>31</v>
      </c>
      <c r="F17" s="215" t="s">
        <v>31</v>
      </c>
      <c r="G17" s="215" t="s">
        <v>31</v>
      </c>
      <c r="H17" s="215" t="s">
        <v>31</v>
      </c>
      <c r="I17" s="215" t="s">
        <v>31</v>
      </c>
      <c r="J17" s="215" t="s">
        <v>31</v>
      </c>
      <c r="K17" s="215" t="s">
        <v>31</v>
      </c>
      <c r="L17" s="215" t="s">
        <v>31</v>
      </c>
      <c r="M17" s="215" t="s">
        <v>31</v>
      </c>
      <c r="N17" s="215" t="s">
        <v>31</v>
      </c>
      <c r="O17" s="215" t="s">
        <v>31</v>
      </c>
      <c r="P17" s="215" t="s">
        <v>31</v>
      </c>
      <c r="Q17" s="215" t="s">
        <v>31</v>
      </c>
      <c r="R17" s="198"/>
      <c r="S17" s="198"/>
      <c r="T17" s="198"/>
      <c r="U17" s="198"/>
    </row>
    <row r="18" spans="1:21" s="12" customFormat="1" x14ac:dyDescent="0.25">
      <c r="A18" s="201" t="s">
        <v>730</v>
      </c>
      <c r="B18" s="215" t="s">
        <v>31</v>
      </c>
      <c r="C18" s="215" t="s">
        <v>31</v>
      </c>
      <c r="D18" s="215" t="s">
        <v>31</v>
      </c>
      <c r="E18" s="215" t="s">
        <v>31</v>
      </c>
      <c r="F18" s="215" t="s">
        <v>31</v>
      </c>
      <c r="G18" s="215" t="s">
        <v>31</v>
      </c>
      <c r="H18" s="215" t="s">
        <v>31</v>
      </c>
      <c r="I18" s="215" t="s">
        <v>31</v>
      </c>
      <c r="J18" s="215" t="s">
        <v>31</v>
      </c>
      <c r="K18" s="215" t="s">
        <v>31</v>
      </c>
      <c r="L18" s="215" t="s">
        <v>31</v>
      </c>
      <c r="M18" s="215" t="s">
        <v>31</v>
      </c>
      <c r="N18" s="215" t="s">
        <v>31</v>
      </c>
      <c r="O18" s="215" t="s">
        <v>31</v>
      </c>
      <c r="P18" s="215" t="s">
        <v>31</v>
      </c>
      <c r="Q18" s="215" t="s">
        <v>31</v>
      </c>
      <c r="R18" s="198"/>
      <c r="S18" s="198"/>
      <c r="T18" s="198"/>
      <c r="U18" s="198"/>
    </row>
    <row r="19" spans="1:21" s="12" customFormat="1" x14ac:dyDescent="0.25">
      <c r="A19" s="201" t="s">
        <v>731</v>
      </c>
      <c r="B19" s="215" t="s">
        <v>31</v>
      </c>
      <c r="C19" s="215" t="s">
        <v>31</v>
      </c>
      <c r="D19" s="215" t="s">
        <v>31</v>
      </c>
      <c r="E19" s="215" t="s">
        <v>31</v>
      </c>
      <c r="F19" s="215" t="s">
        <v>31</v>
      </c>
      <c r="G19" s="215" t="s">
        <v>31</v>
      </c>
      <c r="H19" s="215" t="s">
        <v>31</v>
      </c>
      <c r="I19" s="215" t="s">
        <v>31</v>
      </c>
      <c r="J19" s="215" t="s">
        <v>31</v>
      </c>
      <c r="K19" s="215" t="s">
        <v>31</v>
      </c>
      <c r="L19" s="215" t="s">
        <v>31</v>
      </c>
      <c r="M19" s="215" t="s">
        <v>31</v>
      </c>
      <c r="N19" s="215" t="s">
        <v>31</v>
      </c>
      <c r="O19" s="215" t="s">
        <v>31</v>
      </c>
      <c r="P19" s="215" t="s">
        <v>31</v>
      </c>
      <c r="Q19" s="215" t="s">
        <v>31</v>
      </c>
      <c r="R19" s="198"/>
      <c r="S19" s="198"/>
      <c r="T19" s="198"/>
      <c r="U19" s="198"/>
    </row>
    <row r="20" spans="1:21" s="12" customFormat="1" x14ac:dyDescent="0.25">
      <c r="A20" s="201" t="s">
        <v>732</v>
      </c>
      <c r="B20" s="215" t="s">
        <v>31</v>
      </c>
      <c r="C20" s="215" t="s">
        <v>31</v>
      </c>
      <c r="D20" s="215" t="s">
        <v>31</v>
      </c>
      <c r="E20" s="215" t="s">
        <v>31</v>
      </c>
      <c r="F20" s="215" t="s">
        <v>31</v>
      </c>
      <c r="G20" s="215" t="s">
        <v>31</v>
      </c>
      <c r="H20" s="215" t="s">
        <v>31</v>
      </c>
      <c r="I20" s="215" t="s">
        <v>31</v>
      </c>
      <c r="J20" s="215" t="s">
        <v>31</v>
      </c>
      <c r="K20" s="215" t="s">
        <v>31</v>
      </c>
      <c r="L20" s="215" t="s">
        <v>31</v>
      </c>
      <c r="M20" s="215" t="s">
        <v>31</v>
      </c>
      <c r="N20" s="215" t="s">
        <v>31</v>
      </c>
      <c r="O20" s="215" t="s">
        <v>31</v>
      </c>
      <c r="P20" s="215" t="s">
        <v>31</v>
      </c>
      <c r="Q20" s="215" t="s">
        <v>31</v>
      </c>
      <c r="R20" s="198"/>
      <c r="S20" s="198"/>
      <c r="T20" s="198"/>
      <c r="U20" s="198"/>
    </row>
    <row r="21" spans="1:21" s="12" customFormat="1" x14ac:dyDescent="0.25">
      <c r="A21" s="201" t="s">
        <v>733</v>
      </c>
      <c r="B21" s="215" t="s">
        <v>31</v>
      </c>
      <c r="C21" s="215" t="s">
        <v>31</v>
      </c>
      <c r="D21" s="215" t="s">
        <v>31</v>
      </c>
      <c r="E21" s="215" t="s">
        <v>31</v>
      </c>
      <c r="F21" s="215" t="s">
        <v>31</v>
      </c>
      <c r="G21" s="215" t="s">
        <v>31</v>
      </c>
      <c r="H21" s="215" t="s">
        <v>31</v>
      </c>
      <c r="I21" s="215" t="s">
        <v>31</v>
      </c>
      <c r="J21" s="215" t="s">
        <v>31</v>
      </c>
      <c r="K21" s="215" t="s">
        <v>31</v>
      </c>
      <c r="L21" s="215" t="s">
        <v>31</v>
      </c>
      <c r="M21" s="215" t="s">
        <v>31</v>
      </c>
      <c r="N21" s="215" t="s">
        <v>31</v>
      </c>
      <c r="O21" s="215" t="s">
        <v>31</v>
      </c>
      <c r="P21" s="215" t="s">
        <v>31</v>
      </c>
      <c r="Q21" s="215" t="s">
        <v>31</v>
      </c>
      <c r="R21" s="198"/>
      <c r="S21" s="198"/>
      <c r="T21" s="198"/>
      <c r="U21" s="198"/>
    </row>
    <row r="22" spans="1:21" s="12" customFormat="1" x14ac:dyDescent="0.25">
      <c r="A22" s="201" t="s">
        <v>734</v>
      </c>
      <c r="B22" s="215" t="s">
        <v>31</v>
      </c>
      <c r="C22" s="215" t="s">
        <v>31</v>
      </c>
      <c r="D22" s="215" t="s">
        <v>31</v>
      </c>
      <c r="E22" s="215" t="s">
        <v>31</v>
      </c>
      <c r="F22" s="215" t="s">
        <v>31</v>
      </c>
      <c r="G22" s="215" t="s">
        <v>31</v>
      </c>
      <c r="H22" s="215" t="s">
        <v>31</v>
      </c>
      <c r="I22" s="215" t="s">
        <v>31</v>
      </c>
      <c r="J22" s="215" t="s">
        <v>31</v>
      </c>
      <c r="K22" s="215" t="s">
        <v>31</v>
      </c>
      <c r="L22" s="215" t="s">
        <v>31</v>
      </c>
      <c r="M22" s="215" t="s">
        <v>31</v>
      </c>
      <c r="N22" s="215" t="s">
        <v>31</v>
      </c>
      <c r="O22" s="215" t="s">
        <v>31</v>
      </c>
      <c r="P22" s="215" t="s">
        <v>31</v>
      </c>
      <c r="Q22" s="215" t="s">
        <v>31</v>
      </c>
      <c r="R22" s="198"/>
      <c r="S22" s="198"/>
      <c r="T22" s="198"/>
      <c r="U22" s="198"/>
    </row>
    <row r="23" spans="1:21" s="12" customFormat="1" x14ac:dyDescent="0.25">
      <c r="A23" s="201" t="s">
        <v>735</v>
      </c>
      <c r="B23" s="215" t="s">
        <v>31</v>
      </c>
      <c r="C23" s="215" t="s">
        <v>31</v>
      </c>
      <c r="D23" s="215" t="s">
        <v>31</v>
      </c>
      <c r="E23" s="215" t="s">
        <v>31</v>
      </c>
      <c r="F23" s="215" t="s">
        <v>31</v>
      </c>
      <c r="G23" s="215" t="s">
        <v>31</v>
      </c>
      <c r="H23" s="215" t="s">
        <v>31</v>
      </c>
      <c r="I23" s="215" t="s">
        <v>31</v>
      </c>
      <c r="J23" s="215" t="s">
        <v>31</v>
      </c>
      <c r="K23" s="215" t="s">
        <v>31</v>
      </c>
      <c r="L23" s="215" t="s">
        <v>31</v>
      </c>
      <c r="M23" s="215" t="s">
        <v>31</v>
      </c>
      <c r="N23" s="215" t="s">
        <v>31</v>
      </c>
      <c r="O23" s="215" t="s">
        <v>31</v>
      </c>
      <c r="P23" s="215" t="s">
        <v>31</v>
      </c>
      <c r="Q23" s="215" t="s">
        <v>31</v>
      </c>
      <c r="R23" s="198"/>
      <c r="S23" s="198"/>
      <c r="T23" s="198"/>
      <c r="U23" s="198"/>
    </row>
    <row r="24" spans="1:21" s="12" customFormat="1" x14ac:dyDescent="0.25">
      <c r="A24" s="201" t="s">
        <v>736</v>
      </c>
      <c r="B24" s="215" t="s">
        <v>31</v>
      </c>
      <c r="C24" s="215" t="s">
        <v>31</v>
      </c>
      <c r="D24" s="215" t="s">
        <v>31</v>
      </c>
      <c r="E24" s="215" t="s">
        <v>31</v>
      </c>
      <c r="F24" s="215" t="s">
        <v>31</v>
      </c>
      <c r="G24" s="215" t="s">
        <v>31</v>
      </c>
      <c r="H24" s="215" t="s">
        <v>31</v>
      </c>
      <c r="I24" s="215" t="s">
        <v>31</v>
      </c>
      <c r="J24" s="215" t="s">
        <v>31</v>
      </c>
      <c r="K24" s="215" t="s">
        <v>31</v>
      </c>
      <c r="L24" s="215" t="s">
        <v>31</v>
      </c>
      <c r="M24" s="215" t="s">
        <v>31</v>
      </c>
      <c r="N24" s="215" t="s">
        <v>31</v>
      </c>
      <c r="O24" s="215" t="s">
        <v>31</v>
      </c>
      <c r="P24" s="215" t="s">
        <v>31</v>
      </c>
      <c r="Q24" s="215" t="s">
        <v>31</v>
      </c>
      <c r="R24" s="198"/>
      <c r="S24" s="198"/>
      <c r="T24" s="198"/>
      <c r="U24" s="198"/>
    </row>
    <row r="25" spans="1:21" s="12" customFormat="1" x14ac:dyDescent="0.25">
      <c r="A25" s="201" t="s">
        <v>737</v>
      </c>
      <c r="B25" s="215" t="s">
        <v>31</v>
      </c>
      <c r="C25" s="215" t="s">
        <v>31</v>
      </c>
      <c r="D25" s="215" t="s">
        <v>31</v>
      </c>
      <c r="E25" s="215" t="s">
        <v>31</v>
      </c>
      <c r="F25" s="215" t="s">
        <v>31</v>
      </c>
      <c r="G25" s="215" t="s">
        <v>31</v>
      </c>
      <c r="H25" s="215" t="s">
        <v>31</v>
      </c>
      <c r="I25" s="215" t="s">
        <v>31</v>
      </c>
      <c r="J25" s="215" t="s">
        <v>31</v>
      </c>
      <c r="K25" s="215" t="s">
        <v>31</v>
      </c>
      <c r="L25" s="215" t="s">
        <v>31</v>
      </c>
      <c r="M25" s="215" t="s">
        <v>31</v>
      </c>
      <c r="N25" s="215" t="s">
        <v>31</v>
      </c>
      <c r="O25" s="215" t="s">
        <v>31</v>
      </c>
      <c r="P25" s="215" t="s">
        <v>31</v>
      </c>
      <c r="Q25" s="215" t="s">
        <v>31</v>
      </c>
      <c r="R25" s="198"/>
      <c r="S25" s="198"/>
      <c r="T25" s="198"/>
      <c r="U25" s="198"/>
    </row>
    <row r="26" spans="1:21" s="12" customFormat="1" x14ac:dyDescent="0.25">
      <c r="A26" s="201" t="s">
        <v>738</v>
      </c>
      <c r="B26" s="215" t="s">
        <v>31</v>
      </c>
      <c r="C26" s="215" t="s">
        <v>31</v>
      </c>
      <c r="D26" s="215" t="s">
        <v>31</v>
      </c>
      <c r="E26" s="215" t="s">
        <v>31</v>
      </c>
      <c r="F26" s="215" t="s">
        <v>31</v>
      </c>
      <c r="G26" s="215" t="s">
        <v>31</v>
      </c>
      <c r="H26" s="215" t="s">
        <v>31</v>
      </c>
      <c r="I26" s="215" t="s">
        <v>31</v>
      </c>
      <c r="J26" s="215" t="s">
        <v>31</v>
      </c>
      <c r="K26" s="215" t="s">
        <v>31</v>
      </c>
      <c r="L26" s="215" t="s">
        <v>31</v>
      </c>
      <c r="M26" s="215" t="s">
        <v>31</v>
      </c>
      <c r="N26" s="215" t="s">
        <v>31</v>
      </c>
      <c r="O26" s="215" t="s">
        <v>31</v>
      </c>
      <c r="P26" s="215" t="s">
        <v>31</v>
      </c>
      <c r="Q26" s="215" t="s">
        <v>31</v>
      </c>
      <c r="R26" s="198"/>
      <c r="S26" s="198"/>
      <c r="T26" s="198"/>
      <c r="U26" s="198"/>
    </row>
    <row r="27" spans="1:21" s="12" customFormat="1" x14ac:dyDescent="0.25">
      <c r="A27" s="201" t="s">
        <v>739</v>
      </c>
      <c r="B27" s="215" t="s">
        <v>31</v>
      </c>
      <c r="C27" s="215" t="s">
        <v>31</v>
      </c>
      <c r="D27" s="215" t="s">
        <v>31</v>
      </c>
      <c r="E27" s="215" t="s">
        <v>31</v>
      </c>
      <c r="F27" s="215" t="s">
        <v>31</v>
      </c>
      <c r="G27" s="215" t="s">
        <v>31</v>
      </c>
      <c r="H27" s="215" t="s">
        <v>31</v>
      </c>
      <c r="I27" s="215" t="s">
        <v>31</v>
      </c>
      <c r="J27" s="215" t="s">
        <v>31</v>
      </c>
      <c r="K27" s="215" t="s">
        <v>31</v>
      </c>
      <c r="L27" s="215" t="s">
        <v>31</v>
      </c>
      <c r="M27" s="215" t="s">
        <v>31</v>
      </c>
      <c r="N27" s="215" t="s">
        <v>31</v>
      </c>
      <c r="O27" s="215" t="s">
        <v>31</v>
      </c>
      <c r="P27" s="215" t="s">
        <v>31</v>
      </c>
      <c r="Q27" s="215" t="s">
        <v>31</v>
      </c>
      <c r="R27" s="198"/>
      <c r="S27" s="198"/>
      <c r="T27" s="198"/>
      <c r="U27" s="198"/>
    </row>
    <row r="28" spans="1:21" s="12" customFormat="1" x14ac:dyDescent="0.25">
      <c r="A28" s="201" t="s">
        <v>740</v>
      </c>
      <c r="B28" s="215" t="s">
        <v>31</v>
      </c>
      <c r="C28" s="215" t="s">
        <v>31</v>
      </c>
      <c r="D28" s="215" t="s">
        <v>31</v>
      </c>
      <c r="E28" s="215" t="s">
        <v>31</v>
      </c>
      <c r="F28" s="215" t="s">
        <v>31</v>
      </c>
      <c r="G28" s="215" t="s">
        <v>31</v>
      </c>
      <c r="H28" s="215" t="s">
        <v>31</v>
      </c>
      <c r="I28" s="215" t="s">
        <v>31</v>
      </c>
      <c r="J28" s="215" t="s">
        <v>31</v>
      </c>
      <c r="K28" s="215" t="s">
        <v>31</v>
      </c>
      <c r="L28" s="215" t="s">
        <v>31</v>
      </c>
      <c r="M28" s="215" t="s">
        <v>31</v>
      </c>
      <c r="N28" s="215" t="s">
        <v>31</v>
      </c>
      <c r="O28" s="215" t="s">
        <v>31</v>
      </c>
      <c r="P28" s="215" t="s">
        <v>31</v>
      </c>
      <c r="Q28" s="215" t="s">
        <v>31</v>
      </c>
      <c r="R28" s="198"/>
      <c r="S28" s="198"/>
      <c r="T28" s="198"/>
      <c r="U28" s="198"/>
    </row>
    <row r="29" spans="1:21" s="12" customFormat="1" x14ac:dyDescent="0.25">
      <c r="A29" s="201" t="s">
        <v>741</v>
      </c>
      <c r="B29" s="215" t="s">
        <v>31</v>
      </c>
      <c r="C29" s="215" t="s">
        <v>31</v>
      </c>
      <c r="D29" s="215" t="s">
        <v>31</v>
      </c>
      <c r="E29" s="215" t="s">
        <v>31</v>
      </c>
      <c r="F29" s="215" t="s">
        <v>31</v>
      </c>
      <c r="G29" s="215" t="s">
        <v>31</v>
      </c>
      <c r="H29" s="215" t="s">
        <v>31</v>
      </c>
      <c r="I29" s="215" t="s">
        <v>31</v>
      </c>
      <c r="J29" s="215" t="s">
        <v>31</v>
      </c>
      <c r="K29" s="215" t="s">
        <v>31</v>
      </c>
      <c r="L29" s="215" t="s">
        <v>31</v>
      </c>
      <c r="M29" s="215" t="s">
        <v>31</v>
      </c>
      <c r="N29" s="215" t="s">
        <v>31</v>
      </c>
      <c r="O29" s="215" t="s">
        <v>31</v>
      </c>
      <c r="P29" s="215" t="s">
        <v>31</v>
      </c>
      <c r="Q29" s="215" t="s">
        <v>31</v>
      </c>
      <c r="R29" s="198"/>
      <c r="S29" s="198"/>
      <c r="T29" s="198"/>
      <c r="U29" s="198"/>
    </row>
    <row r="30" spans="1:21" s="12" customFormat="1" x14ac:dyDescent="0.25">
      <c r="A30" s="201" t="s">
        <v>742</v>
      </c>
      <c r="B30" s="215" t="s">
        <v>31</v>
      </c>
      <c r="C30" s="215" t="s">
        <v>31</v>
      </c>
      <c r="D30" s="215" t="s">
        <v>31</v>
      </c>
      <c r="E30" s="215" t="s">
        <v>31</v>
      </c>
      <c r="F30" s="215" t="s">
        <v>31</v>
      </c>
      <c r="G30" s="215" t="s">
        <v>31</v>
      </c>
      <c r="H30" s="215" t="s">
        <v>31</v>
      </c>
      <c r="I30" s="215" t="s">
        <v>31</v>
      </c>
      <c r="J30" s="215" t="s">
        <v>31</v>
      </c>
      <c r="K30" s="215" t="s">
        <v>31</v>
      </c>
      <c r="L30" s="215" t="s">
        <v>31</v>
      </c>
      <c r="M30" s="215" t="s">
        <v>31</v>
      </c>
      <c r="N30" s="215" t="s">
        <v>31</v>
      </c>
      <c r="O30" s="215" t="s">
        <v>31</v>
      </c>
      <c r="P30" s="215" t="s">
        <v>31</v>
      </c>
      <c r="Q30" s="215" t="s">
        <v>31</v>
      </c>
      <c r="R30" s="198"/>
      <c r="S30" s="198"/>
      <c r="T30" s="198"/>
      <c r="U30" s="198"/>
    </row>
    <row r="31" spans="1:21" s="12" customFormat="1" x14ac:dyDescent="0.25">
      <c r="A31" s="201" t="s">
        <v>743</v>
      </c>
      <c r="B31" s="215" t="s">
        <v>31</v>
      </c>
      <c r="C31" s="215" t="s">
        <v>31</v>
      </c>
      <c r="D31" s="215" t="s">
        <v>31</v>
      </c>
      <c r="E31" s="215" t="s">
        <v>31</v>
      </c>
      <c r="F31" s="215" t="s">
        <v>31</v>
      </c>
      <c r="G31" s="215" t="s">
        <v>31</v>
      </c>
      <c r="H31" s="215" t="s">
        <v>31</v>
      </c>
      <c r="I31" s="215" t="s">
        <v>31</v>
      </c>
      <c r="J31" s="215" t="s">
        <v>31</v>
      </c>
      <c r="K31" s="215" t="s">
        <v>31</v>
      </c>
      <c r="L31" s="215" t="s">
        <v>31</v>
      </c>
      <c r="M31" s="215" t="s">
        <v>31</v>
      </c>
      <c r="N31" s="215" t="s">
        <v>31</v>
      </c>
      <c r="O31" s="215" t="s">
        <v>31</v>
      </c>
      <c r="P31" s="215" t="s">
        <v>31</v>
      </c>
      <c r="Q31" s="215" t="s">
        <v>31</v>
      </c>
      <c r="R31" s="198"/>
      <c r="S31" s="198"/>
      <c r="T31" s="198"/>
      <c r="U31" s="198"/>
    </row>
    <row r="32" spans="1:21" s="12" customFormat="1" x14ac:dyDescent="0.25">
      <c r="A32" s="201" t="s">
        <v>744</v>
      </c>
      <c r="B32" s="215" t="s">
        <v>31</v>
      </c>
      <c r="C32" s="215" t="s">
        <v>31</v>
      </c>
      <c r="D32" s="215" t="s">
        <v>31</v>
      </c>
      <c r="E32" s="215" t="s">
        <v>31</v>
      </c>
      <c r="F32" s="215" t="s">
        <v>31</v>
      </c>
      <c r="G32" s="215" t="s">
        <v>31</v>
      </c>
      <c r="H32" s="215" t="s">
        <v>31</v>
      </c>
      <c r="I32" s="215" t="s">
        <v>31</v>
      </c>
      <c r="J32" s="215" t="s">
        <v>31</v>
      </c>
      <c r="K32" s="215" t="s">
        <v>31</v>
      </c>
      <c r="L32" s="215" t="s">
        <v>31</v>
      </c>
      <c r="M32" s="215" t="s">
        <v>31</v>
      </c>
      <c r="N32" s="215" t="s">
        <v>31</v>
      </c>
      <c r="O32" s="215" t="s">
        <v>31</v>
      </c>
      <c r="P32" s="215" t="s">
        <v>31</v>
      </c>
      <c r="Q32" s="215" t="s">
        <v>31</v>
      </c>
      <c r="R32" s="198"/>
      <c r="S32" s="198"/>
      <c r="T32" s="198"/>
      <c r="U32" s="198"/>
    </row>
    <row r="33" spans="1:21" s="12" customFormat="1" x14ac:dyDescent="0.25">
      <c r="A33" s="201" t="s">
        <v>745</v>
      </c>
      <c r="B33" s="215" t="s">
        <v>31</v>
      </c>
      <c r="C33" s="215" t="s">
        <v>31</v>
      </c>
      <c r="D33" s="215" t="s">
        <v>31</v>
      </c>
      <c r="E33" s="215" t="s">
        <v>31</v>
      </c>
      <c r="F33" s="215" t="s">
        <v>31</v>
      </c>
      <c r="G33" s="215" t="s">
        <v>31</v>
      </c>
      <c r="H33" s="215" t="s">
        <v>31</v>
      </c>
      <c r="I33" s="215" t="s">
        <v>31</v>
      </c>
      <c r="J33" s="215" t="s">
        <v>31</v>
      </c>
      <c r="K33" s="215" t="s">
        <v>31</v>
      </c>
      <c r="L33" s="215" t="s">
        <v>31</v>
      </c>
      <c r="M33" s="215" t="s">
        <v>31</v>
      </c>
      <c r="N33" s="215" t="s">
        <v>31</v>
      </c>
      <c r="O33" s="215" t="s">
        <v>31</v>
      </c>
      <c r="P33" s="215" t="s">
        <v>31</v>
      </c>
      <c r="Q33" s="215" t="s">
        <v>31</v>
      </c>
      <c r="R33" s="198"/>
      <c r="S33" s="198"/>
      <c r="T33" s="198"/>
      <c r="U33" s="198"/>
    </row>
    <row r="34" spans="1:21" s="12" customFormat="1" x14ac:dyDescent="0.25">
      <c r="A34" s="201" t="s">
        <v>746</v>
      </c>
      <c r="B34" s="215" t="s">
        <v>31</v>
      </c>
      <c r="C34" s="215" t="s">
        <v>31</v>
      </c>
      <c r="D34" s="215" t="s">
        <v>31</v>
      </c>
      <c r="E34" s="215" t="s">
        <v>31</v>
      </c>
      <c r="F34" s="215" t="s">
        <v>31</v>
      </c>
      <c r="G34" s="215" t="s">
        <v>31</v>
      </c>
      <c r="H34" s="215" t="s">
        <v>31</v>
      </c>
      <c r="I34" s="215" t="s">
        <v>31</v>
      </c>
      <c r="J34" s="215" t="s">
        <v>31</v>
      </c>
      <c r="K34" s="215" t="s">
        <v>31</v>
      </c>
      <c r="L34" s="215" t="s">
        <v>31</v>
      </c>
      <c r="M34" s="215" t="s">
        <v>31</v>
      </c>
      <c r="N34" s="215" t="s">
        <v>31</v>
      </c>
      <c r="O34" s="215" t="s">
        <v>31</v>
      </c>
      <c r="P34" s="215" t="s">
        <v>31</v>
      </c>
      <c r="Q34" s="215" t="s">
        <v>31</v>
      </c>
      <c r="R34" s="198"/>
      <c r="S34" s="198"/>
      <c r="T34" s="198"/>
      <c r="U34" s="198"/>
    </row>
    <row r="35" spans="1:21" s="12" customFormat="1" x14ac:dyDescent="0.25">
      <c r="A35" s="201" t="s">
        <v>747</v>
      </c>
      <c r="B35" s="215" t="s">
        <v>31</v>
      </c>
      <c r="C35" s="215" t="s">
        <v>31</v>
      </c>
      <c r="D35" s="215" t="s">
        <v>31</v>
      </c>
      <c r="E35" s="215" t="s">
        <v>31</v>
      </c>
      <c r="F35" s="215" t="s">
        <v>31</v>
      </c>
      <c r="G35" s="215" t="s">
        <v>31</v>
      </c>
      <c r="H35" s="215" t="s">
        <v>31</v>
      </c>
      <c r="I35" s="215" t="s">
        <v>31</v>
      </c>
      <c r="J35" s="215" t="s">
        <v>31</v>
      </c>
      <c r="K35" s="215" t="s">
        <v>31</v>
      </c>
      <c r="L35" s="215" t="s">
        <v>31</v>
      </c>
      <c r="M35" s="215" t="s">
        <v>31</v>
      </c>
      <c r="N35" s="215" t="s">
        <v>31</v>
      </c>
      <c r="O35" s="215" t="s">
        <v>31</v>
      </c>
      <c r="P35" s="215" t="s">
        <v>31</v>
      </c>
      <c r="Q35" s="215" t="s">
        <v>31</v>
      </c>
      <c r="R35" s="198"/>
      <c r="S35" s="198"/>
      <c r="T35" s="198"/>
      <c r="U35" s="198"/>
    </row>
    <row r="36" spans="1:21" s="12" customFormat="1" x14ac:dyDescent="0.25">
      <c r="A36" s="201" t="s">
        <v>748</v>
      </c>
      <c r="B36" s="215" t="s">
        <v>31</v>
      </c>
      <c r="C36" s="215" t="s">
        <v>31</v>
      </c>
      <c r="D36" s="215" t="s">
        <v>31</v>
      </c>
      <c r="E36" s="215" t="s">
        <v>31</v>
      </c>
      <c r="F36" s="215" t="s">
        <v>31</v>
      </c>
      <c r="G36" s="215" t="s">
        <v>31</v>
      </c>
      <c r="H36" s="215" t="s">
        <v>31</v>
      </c>
      <c r="I36" s="215" t="s">
        <v>31</v>
      </c>
      <c r="J36" s="215" t="s">
        <v>31</v>
      </c>
      <c r="K36" s="215" t="s">
        <v>31</v>
      </c>
      <c r="L36" s="215" t="s">
        <v>31</v>
      </c>
      <c r="M36" s="215" t="s">
        <v>31</v>
      </c>
      <c r="N36" s="215" t="s">
        <v>31</v>
      </c>
      <c r="O36" s="215" t="s">
        <v>31</v>
      </c>
      <c r="P36" s="215" t="s">
        <v>31</v>
      </c>
      <c r="Q36" s="215" t="s">
        <v>31</v>
      </c>
      <c r="R36" s="198"/>
      <c r="S36" s="198"/>
      <c r="T36" s="198"/>
      <c r="U36" s="198"/>
    </row>
    <row r="37" spans="1:21" s="12" customFormat="1" x14ac:dyDescent="0.25">
      <c r="A37" s="201" t="s">
        <v>749</v>
      </c>
      <c r="B37" s="215" t="s">
        <v>31</v>
      </c>
      <c r="C37" s="215" t="s">
        <v>31</v>
      </c>
      <c r="D37" s="215" t="s">
        <v>31</v>
      </c>
      <c r="E37" s="215" t="s">
        <v>31</v>
      </c>
      <c r="F37" s="215" t="s">
        <v>31</v>
      </c>
      <c r="G37" s="215" t="s">
        <v>31</v>
      </c>
      <c r="H37" s="215" t="s">
        <v>31</v>
      </c>
      <c r="I37" s="215" t="s">
        <v>31</v>
      </c>
      <c r="J37" s="215" t="s">
        <v>31</v>
      </c>
      <c r="K37" s="215" t="s">
        <v>31</v>
      </c>
      <c r="L37" s="215" t="s">
        <v>31</v>
      </c>
      <c r="M37" s="215" t="s">
        <v>31</v>
      </c>
      <c r="N37" s="215" t="s">
        <v>31</v>
      </c>
      <c r="O37" s="215" t="s">
        <v>31</v>
      </c>
      <c r="P37" s="215" t="s">
        <v>31</v>
      </c>
      <c r="Q37" s="215" t="s">
        <v>31</v>
      </c>
      <c r="R37" s="198"/>
      <c r="S37" s="198"/>
      <c r="T37" s="198"/>
      <c r="U37" s="198"/>
    </row>
    <row r="38" spans="1:21" s="12" customFormat="1" x14ac:dyDescent="0.25">
      <c r="A38" s="201" t="s">
        <v>750</v>
      </c>
      <c r="B38" s="215" t="s">
        <v>31</v>
      </c>
      <c r="C38" s="215" t="s">
        <v>31</v>
      </c>
      <c r="D38" s="215" t="s">
        <v>31</v>
      </c>
      <c r="E38" s="215" t="s">
        <v>31</v>
      </c>
      <c r="F38" s="215" t="s">
        <v>31</v>
      </c>
      <c r="G38" s="215" t="s">
        <v>31</v>
      </c>
      <c r="H38" s="215" t="s">
        <v>31</v>
      </c>
      <c r="I38" s="215" t="s">
        <v>31</v>
      </c>
      <c r="J38" s="215" t="s">
        <v>31</v>
      </c>
      <c r="K38" s="215" t="s">
        <v>31</v>
      </c>
      <c r="L38" s="215" t="s">
        <v>31</v>
      </c>
      <c r="M38" s="215" t="s">
        <v>31</v>
      </c>
      <c r="N38" s="215" t="s">
        <v>31</v>
      </c>
      <c r="O38" s="215" t="s">
        <v>31</v>
      </c>
      <c r="P38" s="215" t="s">
        <v>31</v>
      </c>
      <c r="Q38" s="215" t="s">
        <v>31</v>
      </c>
      <c r="R38" s="198"/>
      <c r="S38" s="198"/>
      <c r="T38" s="198"/>
      <c r="U38" s="198"/>
    </row>
    <row r="39" spans="1:21" s="12" customFormat="1" x14ac:dyDescent="0.25">
      <c r="A39" s="201" t="s">
        <v>751</v>
      </c>
      <c r="B39" s="215" t="s">
        <v>31</v>
      </c>
      <c r="C39" s="215" t="s">
        <v>31</v>
      </c>
      <c r="D39" s="215" t="s">
        <v>31</v>
      </c>
      <c r="E39" s="215" t="s">
        <v>31</v>
      </c>
      <c r="F39" s="215" t="s">
        <v>31</v>
      </c>
      <c r="G39" s="215" t="s">
        <v>31</v>
      </c>
      <c r="H39" s="215" t="s">
        <v>31</v>
      </c>
      <c r="I39" s="215" t="s">
        <v>31</v>
      </c>
      <c r="J39" s="215" t="s">
        <v>31</v>
      </c>
      <c r="K39" s="215" t="s">
        <v>31</v>
      </c>
      <c r="L39" s="215" t="s">
        <v>31</v>
      </c>
      <c r="M39" s="215" t="s">
        <v>31</v>
      </c>
      <c r="N39" s="215" t="s">
        <v>31</v>
      </c>
      <c r="O39" s="215" t="s">
        <v>31</v>
      </c>
      <c r="P39" s="215" t="s">
        <v>31</v>
      </c>
      <c r="Q39" s="215" t="s">
        <v>31</v>
      </c>
      <c r="R39" s="198"/>
      <c r="S39" s="198"/>
      <c r="T39" s="198"/>
      <c r="U39" s="198"/>
    </row>
    <row r="40" spans="1:21" s="12" customFormat="1" x14ac:dyDescent="0.25">
      <c r="A40" s="201" t="s">
        <v>752</v>
      </c>
      <c r="B40" s="215" t="s">
        <v>31</v>
      </c>
      <c r="C40" s="215" t="s">
        <v>31</v>
      </c>
      <c r="D40" s="215" t="s">
        <v>31</v>
      </c>
      <c r="E40" s="215" t="s">
        <v>31</v>
      </c>
      <c r="F40" s="215" t="s">
        <v>31</v>
      </c>
      <c r="G40" s="215" t="s">
        <v>31</v>
      </c>
      <c r="H40" s="215" t="s">
        <v>31</v>
      </c>
      <c r="I40" s="215" t="s">
        <v>31</v>
      </c>
      <c r="J40" s="215" t="s">
        <v>31</v>
      </c>
      <c r="K40" s="215" t="s">
        <v>31</v>
      </c>
      <c r="L40" s="215" t="s">
        <v>31</v>
      </c>
      <c r="M40" s="215" t="s">
        <v>31</v>
      </c>
      <c r="N40" s="215" t="s">
        <v>31</v>
      </c>
      <c r="O40" s="215" t="s">
        <v>31</v>
      </c>
      <c r="P40" s="215" t="s">
        <v>31</v>
      </c>
      <c r="Q40" s="215" t="s">
        <v>31</v>
      </c>
      <c r="R40" s="198"/>
      <c r="S40" s="198"/>
      <c r="T40" s="198"/>
      <c r="U40" s="198"/>
    </row>
    <row r="41" spans="1:21" s="12" customFormat="1" x14ac:dyDescent="0.25">
      <c r="A41" s="201" t="s">
        <v>753</v>
      </c>
      <c r="B41" s="215" t="s">
        <v>31</v>
      </c>
      <c r="C41" s="215" t="s">
        <v>31</v>
      </c>
      <c r="D41" s="215" t="s">
        <v>31</v>
      </c>
      <c r="E41" s="215" t="s">
        <v>31</v>
      </c>
      <c r="F41" s="215" t="s">
        <v>31</v>
      </c>
      <c r="G41" s="215" t="s">
        <v>31</v>
      </c>
      <c r="H41" s="215" t="s">
        <v>31</v>
      </c>
      <c r="I41" s="215" t="s">
        <v>31</v>
      </c>
      <c r="J41" s="215" t="s">
        <v>31</v>
      </c>
      <c r="K41" s="215" t="s">
        <v>31</v>
      </c>
      <c r="L41" s="215" t="s">
        <v>31</v>
      </c>
      <c r="M41" s="215" t="s">
        <v>31</v>
      </c>
      <c r="N41" s="215" t="s">
        <v>31</v>
      </c>
      <c r="O41" s="215" t="s">
        <v>31</v>
      </c>
      <c r="P41" s="215" t="s">
        <v>31</v>
      </c>
      <c r="Q41" s="215" t="s">
        <v>31</v>
      </c>
      <c r="R41" s="198"/>
      <c r="S41" s="198"/>
      <c r="T41" s="198"/>
      <c r="U41" s="198"/>
    </row>
    <row r="42" spans="1:21" s="12" customFormat="1" x14ac:dyDescent="0.25">
      <c r="A42" s="201" t="s">
        <v>754</v>
      </c>
      <c r="B42" s="215" t="s">
        <v>31</v>
      </c>
      <c r="C42" s="215" t="s">
        <v>31</v>
      </c>
      <c r="D42" s="215" t="s">
        <v>31</v>
      </c>
      <c r="E42" s="215" t="s">
        <v>31</v>
      </c>
      <c r="F42" s="215" t="s">
        <v>31</v>
      </c>
      <c r="G42" s="215" t="s">
        <v>31</v>
      </c>
      <c r="H42" s="215" t="s">
        <v>31</v>
      </c>
      <c r="I42" s="215" t="s">
        <v>31</v>
      </c>
      <c r="J42" s="215" t="s">
        <v>31</v>
      </c>
      <c r="K42" s="215" t="s">
        <v>31</v>
      </c>
      <c r="L42" s="215" t="s">
        <v>31</v>
      </c>
      <c r="M42" s="215" t="s">
        <v>31</v>
      </c>
      <c r="N42" s="215" t="s">
        <v>31</v>
      </c>
      <c r="O42" s="215" t="s">
        <v>31</v>
      </c>
      <c r="P42" s="215" t="s">
        <v>31</v>
      </c>
      <c r="Q42" s="215" t="s">
        <v>31</v>
      </c>
      <c r="R42" s="198"/>
      <c r="S42" s="198"/>
      <c r="T42" s="198"/>
      <c r="U42" s="198"/>
    </row>
    <row r="43" spans="1:21" s="12" customFormat="1" x14ac:dyDescent="0.25">
      <c r="A43" s="201" t="s">
        <v>755</v>
      </c>
      <c r="B43" s="215" t="s">
        <v>31</v>
      </c>
      <c r="C43" s="215" t="s">
        <v>31</v>
      </c>
      <c r="D43" s="215" t="s">
        <v>31</v>
      </c>
      <c r="E43" s="215" t="s">
        <v>31</v>
      </c>
      <c r="F43" s="215" t="s">
        <v>31</v>
      </c>
      <c r="G43" s="215" t="s">
        <v>31</v>
      </c>
      <c r="H43" s="215" t="s">
        <v>31</v>
      </c>
      <c r="I43" s="215" t="s">
        <v>31</v>
      </c>
      <c r="J43" s="215" t="s">
        <v>31</v>
      </c>
      <c r="K43" s="215" t="s">
        <v>31</v>
      </c>
      <c r="L43" s="215" t="s">
        <v>31</v>
      </c>
      <c r="M43" s="215" t="s">
        <v>31</v>
      </c>
      <c r="N43" s="215" t="s">
        <v>31</v>
      </c>
      <c r="O43" s="215" t="s">
        <v>31</v>
      </c>
      <c r="P43" s="215" t="s">
        <v>31</v>
      </c>
      <c r="Q43" s="215" t="s">
        <v>31</v>
      </c>
      <c r="R43" s="198"/>
      <c r="S43" s="198"/>
      <c r="T43" s="198"/>
      <c r="U43" s="198"/>
    </row>
    <row r="44" spans="1:21" s="12" customFormat="1" x14ac:dyDescent="0.25">
      <c r="A44" s="201" t="s">
        <v>756</v>
      </c>
      <c r="B44" s="215" t="s">
        <v>31</v>
      </c>
      <c r="C44" s="215" t="s">
        <v>31</v>
      </c>
      <c r="D44" s="215" t="s">
        <v>31</v>
      </c>
      <c r="E44" s="215" t="s">
        <v>31</v>
      </c>
      <c r="F44" s="215" t="s">
        <v>31</v>
      </c>
      <c r="G44" s="215" t="s">
        <v>31</v>
      </c>
      <c r="H44" s="215" t="s">
        <v>31</v>
      </c>
      <c r="I44" s="215" t="s">
        <v>31</v>
      </c>
      <c r="J44" s="215" t="s">
        <v>31</v>
      </c>
      <c r="K44" s="215" t="s">
        <v>31</v>
      </c>
      <c r="L44" s="215" t="s">
        <v>31</v>
      </c>
      <c r="M44" s="215" t="s">
        <v>31</v>
      </c>
      <c r="N44" s="215" t="s">
        <v>31</v>
      </c>
      <c r="O44" s="215" t="s">
        <v>31</v>
      </c>
      <c r="P44" s="215" t="s">
        <v>31</v>
      </c>
      <c r="Q44" s="215" t="s">
        <v>31</v>
      </c>
      <c r="R44" s="198"/>
      <c r="S44" s="198"/>
      <c r="T44" s="198"/>
      <c r="U44" s="198"/>
    </row>
    <row r="45" spans="1:21" s="12" customFormat="1" x14ac:dyDescent="0.25">
      <c r="A45" s="201" t="s">
        <v>757</v>
      </c>
      <c r="B45" s="215" t="s">
        <v>31</v>
      </c>
      <c r="C45" s="215" t="s">
        <v>31</v>
      </c>
      <c r="D45" s="215" t="s">
        <v>31</v>
      </c>
      <c r="E45" s="215" t="s">
        <v>31</v>
      </c>
      <c r="F45" s="215" t="s">
        <v>31</v>
      </c>
      <c r="G45" s="215" t="s">
        <v>31</v>
      </c>
      <c r="H45" s="215" t="s">
        <v>31</v>
      </c>
      <c r="I45" s="215" t="s">
        <v>31</v>
      </c>
      <c r="J45" s="215" t="s">
        <v>31</v>
      </c>
      <c r="K45" s="215" t="s">
        <v>31</v>
      </c>
      <c r="L45" s="215" t="s">
        <v>31</v>
      </c>
      <c r="M45" s="215" t="s">
        <v>31</v>
      </c>
      <c r="N45" s="215" t="s">
        <v>31</v>
      </c>
      <c r="O45" s="215" t="s">
        <v>31</v>
      </c>
      <c r="P45" s="215" t="s">
        <v>31</v>
      </c>
      <c r="Q45" s="215" t="s">
        <v>31</v>
      </c>
      <c r="R45" s="198"/>
      <c r="S45" s="198"/>
      <c r="T45" s="198"/>
      <c r="U45" s="198"/>
    </row>
    <row r="46" spans="1:21" s="12" customFormat="1" x14ac:dyDescent="0.25">
      <c r="A46" s="201" t="s">
        <v>758</v>
      </c>
      <c r="B46" s="215" t="s">
        <v>31</v>
      </c>
      <c r="C46" s="215" t="s">
        <v>31</v>
      </c>
      <c r="D46" s="215" t="s">
        <v>31</v>
      </c>
      <c r="E46" s="215" t="s">
        <v>31</v>
      </c>
      <c r="F46" s="215" t="s">
        <v>31</v>
      </c>
      <c r="G46" s="215" t="s">
        <v>31</v>
      </c>
      <c r="H46" s="215" t="s">
        <v>31</v>
      </c>
      <c r="I46" s="215" t="s">
        <v>31</v>
      </c>
      <c r="J46" s="215" t="s">
        <v>31</v>
      </c>
      <c r="K46" s="215" t="s">
        <v>31</v>
      </c>
      <c r="L46" s="215" t="s">
        <v>31</v>
      </c>
      <c r="M46" s="215" t="s">
        <v>31</v>
      </c>
      <c r="N46" s="215" t="s">
        <v>31</v>
      </c>
      <c r="O46" s="215" t="s">
        <v>31</v>
      </c>
      <c r="P46" s="215" t="s">
        <v>31</v>
      </c>
      <c r="Q46" s="215" t="s">
        <v>31</v>
      </c>
      <c r="R46" s="198"/>
      <c r="S46" s="198"/>
      <c r="T46" s="198"/>
      <c r="U46" s="198"/>
    </row>
    <row r="47" spans="1:21" s="12" customFormat="1" x14ac:dyDescent="0.25">
      <c r="A47" s="201" t="s">
        <v>759</v>
      </c>
      <c r="B47" s="215" t="s">
        <v>31</v>
      </c>
      <c r="C47" s="215" t="s">
        <v>31</v>
      </c>
      <c r="D47" s="215" t="s">
        <v>31</v>
      </c>
      <c r="E47" s="215" t="s">
        <v>31</v>
      </c>
      <c r="F47" s="215" t="s">
        <v>31</v>
      </c>
      <c r="G47" s="215" t="s">
        <v>31</v>
      </c>
      <c r="H47" s="215" t="s">
        <v>31</v>
      </c>
      <c r="I47" s="215" t="s">
        <v>31</v>
      </c>
      <c r="J47" s="215" t="s">
        <v>31</v>
      </c>
      <c r="K47" s="215" t="s">
        <v>31</v>
      </c>
      <c r="L47" s="215" t="s">
        <v>31</v>
      </c>
      <c r="M47" s="215" t="s">
        <v>31</v>
      </c>
      <c r="N47" s="215" t="s">
        <v>31</v>
      </c>
      <c r="O47" s="215" t="s">
        <v>31</v>
      </c>
      <c r="P47" s="215" t="s">
        <v>31</v>
      </c>
      <c r="Q47" s="215" t="s">
        <v>31</v>
      </c>
      <c r="R47" s="198"/>
      <c r="S47" s="198"/>
      <c r="T47" s="198"/>
      <c r="U47" s="198"/>
    </row>
    <row r="48" spans="1:21" s="12" customFormat="1" x14ac:dyDescent="0.25">
      <c r="A48" s="201" t="s">
        <v>760</v>
      </c>
      <c r="B48" s="215" t="s">
        <v>31</v>
      </c>
      <c r="C48" s="215" t="s">
        <v>31</v>
      </c>
      <c r="D48" s="215" t="s">
        <v>31</v>
      </c>
      <c r="E48" s="215" t="s">
        <v>31</v>
      </c>
      <c r="F48" s="215" t="s">
        <v>31</v>
      </c>
      <c r="G48" s="215" t="s">
        <v>31</v>
      </c>
      <c r="H48" s="215" t="s">
        <v>31</v>
      </c>
      <c r="I48" s="215" t="s">
        <v>31</v>
      </c>
      <c r="J48" s="215" t="s">
        <v>31</v>
      </c>
      <c r="K48" s="215" t="s">
        <v>31</v>
      </c>
      <c r="L48" s="215" t="s">
        <v>31</v>
      </c>
      <c r="M48" s="215" t="s">
        <v>31</v>
      </c>
      <c r="N48" s="215" t="s">
        <v>31</v>
      </c>
      <c r="O48" s="215" t="s">
        <v>31</v>
      </c>
      <c r="P48" s="215" t="s">
        <v>31</v>
      </c>
      <c r="Q48" s="215" t="s">
        <v>31</v>
      </c>
      <c r="R48" s="198"/>
      <c r="S48" s="198"/>
      <c r="T48" s="198"/>
      <c r="U48" s="198"/>
    </row>
    <row r="49" spans="1:21" s="12" customFormat="1" x14ac:dyDescent="0.25">
      <c r="A49" s="201" t="s">
        <v>761</v>
      </c>
      <c r="B49" s="215" t="s">
        <v>31</v>
      </c>
      <c r="C49" s="215" t="s">
        <v>31</v>
      </c>
      <c r="D49" s="215" t="s">
        <v>31</v>
      </c>
      <c r="E49" s="215" t="s">
        <v>31</v>
      </c>
      <c r="F49" s="215" t="s">
        <v>31</v>
      </c>
      <c r="G49" s="215" t="s">
        <v>31</v>
      </c>
      <c r="H49" s="215" t="s">
        <v>31</v>
      </c>
      <c r="I49" s="215" t="s">
        <v>31</v>
      </c>
      <c r="J49" s="215" t="s">
        <v>31</v>
      </c>
      <c r="K49" s="215" t="s">
        <v>31</v>
      </c>
      <c r="L49" s="215" t="s">
        <v>31</v>
      </c>
      <c r="M49" s="215" t="s">
        <v>31</v>
      </c>
      <c r="N49" s="215" t="s">
        <v>31</v>
      </c>
      <c r="O49" s="215" t="s">
        <v>31</v>
      </c>
      <c r="P49" s="215" t="s">
        <v>31</v>
      </c>
      <c r="Q49" s="215" t="s">
        <v>31</v>
      </c>
      <c r="R49" s="198"/>
      <c r="S49" s="198"/>
      <c r="T49" s="198"/>
      <c r="U49" s="198"/>
    </row>
    <row r="50" spans="1:21" s="12" customFormat="1" x14ac:dyDescent="0.25">
      <c r="A50" s="201" t="s">
        <v>762</v>
      </c>
      <c r="B50" s="215" t="s">
        <v>31</v>
      </c>
      <c r="C50" s="215" t="s">
        <v>31</v>
      </c>
      <c r="D50" s="215" t="s">
        <v>31</v>
      </c>
      <c r="E50" s="215" t="s">
        <v>31</v>
      </c>
      <c r="F50" s="215" t="s">
        <v>31</v>
      </c>
      <c r="G50" s="215" t="s">
        <v>31</v>
      </c>
      <c r="H50" s="215" t="s">
        <v>31</v>
      </c>
      <c r="I50" s="215" t="s">
        <v>31</v>
      </c>
      <c r="J50" s="215" t="s">
        <v>31</v>
      </c>
      <c r="K50" s="215" t="s">
        <v>31</v>
      </c>
      <c r="L50" s="215" t="s">
        <v>31</v>
      </c>
      <c r="M50" s="215" t="s">
        <v>31</v>
      </c>
      <c r="N50" s="215" t="s">
        <v>31</v>
      </c>
      <c r="O50" s="215" t="s">
        <v>31</v>
      </c>
      <c r="P50" s="215" t="s">
        <v>31</v>
      </c>
      <c r="Q50" s="215" t="s">
        <v>31</v>
      </c>
      <c r="R50" s="198"/>
      <c r="S50" s="198"/>
      <c r="T50" s="198"/>
      <c r="U50" s="198"/>
    </row>
    <row r="51" spans="1:21" s="12" customFormat="1" x14ac:dyDescent="0.25">
      <c r="A51" s="201" t="s">
        <v>763</v>
      </c>
      <c r="B51" s="215" t="s">
        <v>31</v>
      </c>
      <c r="C51" s="215" t="s">
        <v>31</v>
      </c>
      <c r="D51" s="215" t="s">
        <v>31</v>
      </c>
      <c r="E51" s="215" t="s">
        <v>31</v>
      </c>
      <c r="F51" s="215" t="s">
        <v>31</v>
      </c>
      <c r="G51" s="215" t="s">
        <v>31</v>
      </c>
      <c r="H51" s="215" t="s">
        <v>31</v>
      </c>
      <c r="I51" s="215" t="s">
        <v>31</v>
      </c>
      <c r="J51" s="215" t="s">
        <v>31</v>
      </c>
      <c r="K51" s="215" t="s">
        <v>31</v>
      </c>
      <c r="L51" s="215" t="s">
        <v>31</v>
      </c>
      <c r="M51" s="215" t="s">
        <v>31</v>
      </c>
      <c r="N51" s="215" t="s">
        <v>31</v>
      </c>
      <c r="O51" s="215" t="s">
        <v>31</v>
      </c>
      <c r="P51" s="215" t="s">
        <v>31</v>
      </c>
      <c r="Q51" s="215" t="s">
        <v>31</v>
      </c>
      <c r="R51" s="198"/>
      <c r="S51" s="198"/>
      <c r="T51" s="198"/>
      <c r="U51" s="198"/>
    </row>
    <row r="52" spans="1:21" s="12" customFormat="1" x14ac:dyDescent="0.25">
      <c r="A52" s="201" t="s">
        <v>764</v>
      </c>
      <c r="B52" s="215" t="s">
        <v>31</v>
      </c>
      <c r="C52" s="215" t="s">
        <v>31</v>
      </c>
      <c r="D52" s="215" t="s">
        <v>31</v>
      </c>
      <c r="E52" s="215" t="s">
        <v>31</v>
      </c>
      <c r="F52" s="215" t="s">
        <v>31</v>
      </c>
      <c r="G52" s="215" t="s">
        <v>31</v>
      </c>
      <c r="H52" s="215" t="s">
        <v>31</v>
      </c>
      <c r="I52" s="215" t="s">
        <v>31</v>
      </c>
      <c r="J52" s="215" t="s">
        <v>31</v>
      </c>
      <c r="K52" s="215" t="s">
        <v>31</v>
      </c>
      <c r="L52" s="215" t="s">
        <v>31</v>
      </c>
      <c r="M52" s="215" t="s">
        <v>31</v>
      </c>
      <c r="N52" s="215" t="s">
        <v>31</v>
      </c>
      <c r="O52" s="215" t="s">
        <v>31</v>
      </c>
      <c r="P52" s="215" t="s">
        <v>31</v>
      </c>
      <c r="Q52" s="215" t="s">
        <v>31</v>
      </c>
      <c r="R52" s="198"/>
      <c r="S52" s="198"/>
      <c r="T52" s="198"/>
      <c r="U52" s="198"/>
    </row>
    <row r="53" spans="1:21" s="12" customFormat="1" x14ac:dyDescent="0.25">
      <c r="A53" s="201" t="s">
        <v>765</v>
      </c>
      <c r="B53" s="215" t="s">
        <v>31</v>
      </c>
      <c r="C53" s="215" t="s">
        <v>31</v>
      </c>
      <c r="D53" s="215" t="s">
        <v>31</v>
      </c>
      <c r="E53" s="215" t="s">
        <v>31</v>
      </c>
      <c r="F53" s="215" t="s">
        <v>31</v>
      </c>
      <c r="G53" s="215" t="s">
        <v>31</v>
      </c>
      <c r="H53" s="215" t="s">
        <v>31</v>
      </c>
      <c r="I53" s="215" t="s">
        <v>31</v>
      </c>
      <c r="J53" s="215" t="s">
        <v>31</v>
      </c>
      <c r="K53" s="215" t="s">
        <v>31</v>
      </c>
      <c r="L53" s="215" t="s">
        <v>31</v>
      </c>
      <c r="M53" s="215" t="s">
        <v>31</v>
      </c>
      <c r="N53" s="215" t="s">
        <v>31</v>
      </c>
      <c r="O53" s="215" t="s">
        <v>31</v>
      </c>
      <c r="P53" s="215" t="s">
        <v>31</v>
      </c>
      <c r="Q53" s="215" t="s">
        <v>31</v>
      </c>
      <c r="R53" s="198"/>
      <c r="S53" s="198"/>
      <c r="T53" s="198"/>
      <c r="U53" s="198"/>
    </row>
    <row r="54" spans="1:21" s="12" customFormat="1" x14ac:dyDescent="0.25">
      <c r="A54" s="201" t="s">
        <v>766</v>
      </c>
      <c r="B54" s="215" t="s">
        <v>31</v>
      </c>
      <c r="C54" s="215" t="s">
        <v>31</v>
      </c>
      <c r="D54" s="215" t="s">
        <v>31</v>
      </c>
      <c r="E54" s="215" t="s">
        <v>31</v>
      </c>
      <c r="F54" s="215" t="s">
        <v>31</v>
      </c>
      <c r="G54" s="215" t="s">
        <v>31</v>
      </c>
      <c r="H54" s="215" t="s">
        <v>31</v>
      </c>
      <c r="I54" s="215" t="s">
        <v>31</v>
      </c>
      <c r="J54" s="215" t="s">
        <v>31</v>
      </c>
      <c r="K54" s="215" t="s">
        <v>31</v>
      </c>
      <c r="L54" s="215" t="s">
        <v>31</v>
      </c>
      <c r="M54" s="215" t="s">
        <v>31</v>
      </c>
      <c r="N54" s="215" t="s">
        <v>31</v>
      </c>
      <c r="O54" s="215" t="s">
        <v>31</v>
      </c>
      <c r="P54" s="215" t="s">
        <v>31</v>
      </c>
      <c r="Q54" s="215" t="s">
        <v>31</v>
      </c>
      <c r="R54" s="198"/>
      <c r="S54" s="198"/>
      <c r="T54" s="198"/>
      <c r="U54" s="198"/>
    </row>
    <row r="55" spans="1:21" s="12" customFormat="1" x14ac:dyDescent="0.25">
      <c r="A55" s="201" t="s">
        <v>767</v>
      </c>
      <c r="B55" s="215" t="s">
        <v>31</v>
      </c>
      <c r="C55" s="215" t="s">
        <v>31</v>
      </c>
      <c r="D55" s="215" t="s">
        <v>31</v>
      </c>
      <c r="E55" s="215" t="s">
        <v>31</v>
      </c>
      <c r="F55" s="215" t="s">
        <v>31</v>
      </c>
      <c r="G55" s="215" t="s">
        <v>31</v>
      </c>
      <c r="H55" s="215" t="s">
        <v>31</v>
      </c>
      <c r="I55" s="215" t="s">
        <v>31</v>
      </c>
      <c r="J55" s="215" t="s">
        <v>31</v>
      </c>
      <c r="K55" s="215" t="s">
        <v>31</v>
      </c>
      <c r="L55" s="215" t="s">
        <v>31</v>
      </c>
      <c r="M55" s="215" t="s">
        <v>31</v>
      </c>
      <c r="N55" s="215" t="s">
        <v>31</v>
      </c>
      <c r="O55" s="215" t="s">
        <v>31</v>
      </c>
      <c r="P55" s="215" t="s">
        <v>31</v>
      </c>
      <c r="Q55" s="215" t="s">
        <v>31</v>
      </c>
      <c r="R55" s="198"/>
      <c r="S55" s="198"/>
      <c r="T55" s="198"/>
      <c r="U55" s="198"/>
    </row>
    <row r="56" spans="1:21" s="12" customFormat="1" x14ac:dyDescent="0.25">
      <c r="A56" s="201" t="s">
        <v>768</v>
      </c>
      <c r="B56" s="215" t="s">
        <v>31</v>
      </c>
      <c r="C56" s="215" t="s">
        <v>31</v>
      </c>
      <c r="D56" s="215" t="s">
        <v>31</v>
      </c>
      <c r="E56" s="215" t="s">
        <v>31</v>
      </c>
      <c r="F56" s="215" t="s">
        <v>31</v>
      </c>
      <c r="G56" s="215" t="s">
        <v>31</v>
      </c>
      <c r="H56" s="215" t="s">
        <v>31</v>
      </c>
      <c r="I56" s="215" t="s">
        <v>31</v>
      </c>
      <c r="J56" s="215" t="s">
        <v>31</v>
      </c>
      <c r="K56" s="215" t="s">
        <v>31</v>
      </c>
      <c r="L56" s="215" t="s">
        <v>31</v>
      </c>
      <c r="M56" s="215" t="s">
        <v>31</v>
      </c>
      <c r="N56" s="215" t="s">
        <v>31</v>
      </c>
      <c r="O56" s="215" t="s">
        <v>31</v>
      </c>
      <c r="P56" s="215" t="s">
        <v>31</v>
      </c>
      <c r="Q56" s="215" t="s">
        <v>31</v>
      </c>
      <c r="R56" s="198"/>
      <c r="S56" s="198"/>
      <c r="T56" s="198"/>
      <c r="U56" s="198"/>
    </row>
    <row r="57" spans="1:21" s="12" customFormat="1" x14ac:dyDescent="0.25">
      <c r="A57" s="201" t="s">
        <v>769</v>
      </c>
      <c r="B57" s="215" t="s">
        <v>31</v>
      </c>
      <c r="C57" s="215" t="s">
        <v>31</v>
      </c>
      <c r="D57" s="215" t="s">
        <v>31</v>
      </c>
      <c r="E57" s="215" t="s">
        <v>31</v>
      </c>
      <c r="F57" s="215" t="s">
        <v>31</v>
      </c>
      <c r="G57" s="215" t="s">
        <v>31</v>
      </c>
      <c r="H57" s="215" t="s">
        <v>31</v>
      </c>
      <c r="I57" s="215" t="s">
        <v>31</v>
      </c>
      <c r="J57" s="215" t="s">
        <v>31</v>
      </c>
      <c r="K57" s="215" t="s">
        <v>31</v>
      </c>
      <c r="L57" s="215" t="s">
        <v>31</v>
      </c>
      <c r="M57" s="215" t="s">
        <v>31</v>
      </c>
      <c r="N57" s="215" t="s">
        <v>31</v>
      </c>
      <c r="O57" s="215" t="s">
        <v>31</v>
      </c>
      <c r="P57" s="215" t="s">
        <v>31</v>
      </c>
      <c r="Q57" s="215" t="s">
        <v>31</v>
      </c>
      <c r="R57" s="198"/>
      <c r="S57" s="198"/>
      <c r="T57" s="198"/>
      <c r="U57" s="198"/>
    </row>
    <row r="58" spans="1:21" s="12" customFormat="1" x14ac:dyDescent="0.25">
      <c r="A58" s="201" t="s">
        <v>770</v>
      </c>
      <c r="B58" s="215" t="s">
        <v>31</v>
      </c>
      <c r="C58" s="215" t="s">
        <v>31</v>
      </c>
      <c r="D58" s="215" t="s">
        <v>31</v>
      </c>
      <c r="E58" s="215" t="s">
        <v>31</v>
      </c>
      <c r="F58" s="215" t="s">
        <v>31</v>
      </c>
      <c r="G58" s="215" t="s">
        <v>31</v>
      </c>
      <c r="H58" s="215" t="s">
        <v>31</v>
      </c>
      <c r="I58" s="215" t="s">
        <v>31</v>
      </c>
      <c r="J58" s="215" t="s">
        <v>31</v>
      </c>
      <c r="K58" s="215" t="s">
        <v>31</v>
      </c>
      <c r="L58" s="215" t="s">
        <v>31</v>
      </c>
      <c r="M58" s="215" t="s">
        <v>31</v>
      </c>
      <c r="N58" s="215" t="s">
        <v>31</v>
      </c>
      <c r="O58" s="215" t="s">
        <v>31</v>
      </c>
      <c r="P58" s="215" t="s">
        <v>31</v>
      </c>
      <c r="Q58" s="215" t="s">
        <v>31</v>
      </c>
      <c r="R58" s="198"/>
      <c r="S58" s="198"/>
      <c r="T58" s="198"/>
      <c r="U58" s="198"/>
    </row>
    <row r="59" spans="1:21" s="12" customFormat="1" x14ac:dyDescent="0.25">
      <c r="A59" s="201" t="s">
        <v>771</v>
      </c>
      <c r="B59" s="215" t="s">
        <v>31</v>
      </c>
      <c r="C59" s="215" t="s">
        <v>31</v>
      </c>
      <c r="D59" s="215" t="s">
        <v>31</v>
      </c>
      <c r="E59" s="215" t="s">
        <v>31</v>
      </c>
      <c r="F59" s="215" t="s">
        <v>31</v>
      </c>
      <c r="G59" s="215" t="s">
        <v>31</v>
      </c>
      <c r="H59" s="215" t="s">
        <v>31</v>
      </c>
      <c r="I59" s="215" t="s">
        <v>31</v>
      </c>
      <c r="J59" s="215" t="s">
        <v>31</v>
      </c>
      <c r="K59" s="215" t="s">
        <v>31</v>
      </c>
      <c r="L59" s="215" t="s">
        <v>31</v>
      </c>
      <c r="M59" s="215" t="s">
        <v>31</v>
      </c>
      <c r="N59" s="215" t="s">
        <v>31</v>
      </c>
      <c r="O59" s="215" t="s">
        <v>31</v>
      </c>
      <c r="P59" s="215" t="s">
        <v>31</v>
      </c>
      <c r="Q59" s="215" t="s">
        <v>31</v>
      </c>
      <c r="R59" s="198"/>
      <c r="S59" s="198"/>
      <c r="T59" s="198"/>
      <c r="U59" s="198"/>
    </row>
    <row r="60" spans="1:21" s="12" customFormat="1" x14ac:dyDescent="0.25">
      <c r="A60" s="201" t="s">
        <v>772</v>
      </c>
      <c r="B60" s="215" t="s">
        <v>31</v>
      </c>
      <c r="C60" s="215" t="s">
        <v>31</v>
      </c>
      <c r="D60" s="215" t="s">
        <v>31</v>
      </c>
      <c r="E60" s="215" t="s">
        <v>31</v>
      </c>
      <c r="F60" s="215" t="s">
        <v>31</v>
      </c>
      <c r="G60" s="215" t="s">
        <v>31</v>
      </c>
      <c r="H60" s="215" t="s">
        <v>31</v>
      </c>
      <c r="I60" s="215" t="s">
        <v>31</v>
      </c>
      <c r="J60" s="215" t="s">
        <v>31</v>
      </c>
      <c r="K60" s="215" t="s">
        <v>31</v>
      </c>
      <c r="L60" s="215" t="s">
        <v>31</v>
      </c>
      <c r="M60" s="215" t="s">
        <v>31</v>
      </c>
      <c r="N60" s="215" t="s">
        <v>31</v>
      </c>
      <c r="O60" s="215" t="s">
        <v>31</v>
      </c>
      <c r="P60" s="215" t="s">
        <v>31</v>
      </c>
      <c r="Q60" s="215" t="s">
        <v>31</v>
      </c>
      <c r="R60" s="198"/>
      <c r="S60" s="198"/>
      <c r="T60" s="198"/>
      <c r="U60" s="198"/>
    </row>
    <row r="61" spans="1:21" s="12" customFormat="1" x14ac:dyDescent="0.25">
      <c r="A61" s="201" t="s">
        <v>773</v>
      </c>
      <c r="B61" s="215" t="s">
        <v>31</v>
      </c>
      <c r="C61" s="215" t="s">
        <v>31</v>
      </c>
      <c r="D61" s="215" t="s">
        <v>31</v>
      </c>
      <c r="E61" s="215" t="s">
        <v>31</v>
      </c>
      <c r="F61" s="215" t="s">
        <v>31</v>
      </c>
      <c r="G61" s="215" t="s">
        <v>31</v>
      </c>
      <c r="H61" s="215" t="s">
        <v>31</v>
      </c>
      <c r="I61" s="215" t="s">
        <v>31</v>
      </c>
      <c r="J61" s="215" t="s">
        <v>31</v>
      </c>
      <c r="K61" s="215" t="s">
        <v>31</v>
      </c>
      <c r="L61" s="215" t="s">
        <v>31</v>
      </c>
      <c r="M61" s="215" t="s">
        <v>31</v>
      </c>
      <c r="N61" s="215" t="s">
        <v>31</v>
      </c>
      <c r="O61" s="215" t="s">
        <v>31</v>
      </c>
      <c r="P61" s="215" t="s">
        <v>31</v>
      </c>
      <c r="Q61" s="215" t="s">
        <v>31</v>
      </c>
      <c r="R61" s="198"/>
      <c r="S61" s="198"/>
      <c r="T61" s="198"/>
      <c r="U61" s="198"/>
    </row>
    <row r="62" spans="1:21" s="12" customFormat="1" x14ac:dyDescent="0.25">
      <c r="A62" s="201" t="s">
        <v>774</v>
      </c>
      <c r="B62" s="215" t="s">
        <v>31</v>
      </c>
      <c r="C62" s="215" t="s">
        <v>31</v>
      </c>
      <c r="D62" s="215" t="s">
        <v>31</v>
      </c>
      <c r="E62" s="215" t="s">
        <v>31</v>
      </c>
      <c r="F62" s="215" t="s">
        <v>31</v>
      </c>
      <c r="G62" s="215" t="s">
        <v>31</v>
      </c>
      <c r="H62" s="215" t="s">
        <v>31</v>
      </c>
      <c r="I62" s="215" t="s">
        <v>31</v>
      </c>
      <c r="J62" s="215" t="s">
        <v>31</v>
      </c>
      <c r="K62" s="215" t="s">
        <v>31</v>
      </c>
      <c r="L62" s="215" t="s">
        <v>31</v>
      </c>
      <c r="M62" s="215" t="s">
        <v>31</v>
      </c>
      <c r="N62" s="215" t="s">
        <v>31</v>
      </c>
      <c r="O62" s="215" t="s">
        <v>31</v>
      </c>
      <c r="P62" s="215" t="s">
        <v>31</v>
      </c>
      <c r="Q62" s="215" t="s">
        <v>31</v>
      </c>
      <c r="R62" s="198"/>
      <c r="S62" s="198"/>
      <c r="T62" s="198"/>
      <c r="U62" s="198"/>
    </row>
    <row r="63" spans="1:21" s="12" customFormat="1" x14ac:dyDescent="0.25">
      <c r="A63" s="201" t="s">
        <v>775</v>
      </c>
      <c r="B63" s="215" t="s">
        <v>31</v>
      </c>
      <c r="C63" s="215" t="s">
        <v>31</v>
      </c>
      <c r="D63" s="215" t="s">
        <v>31</v>
      </c>
      <c r="E63" s="215" t="s">
        <v>31</v>
      </c>
      <c r="F63" s="215" t="s">
        <v>31</v>
      </c>
      <c r="G63" s="215" t="s">
        <v>31</v>
      </c>
      <c r="H63" s="215" t="s">
        <v>31</v>
      </c>
      <c r="I63" s="215" t="s">
        <v>31</v>
      </c>
      <c r="J63" s="215" t="s">
        <v>31</v>
      </c>
      <c r="K63" s="215" t="s">
        <v>31</v>
      </c>
      <c r="L63" s="215" t="s">
        <v>31</v>
      </c>
      <c r="M63" s="215" t="s">
        <v>31</v>
      </c>
      <c r="N63" s="215" t="s">
        <v>31</v>
      </c>
      <c r="O63" s="215" t="s">
        <v>31</v>
      </c>
      <c r="P63" s="215" t="s">
        <v>31</v>
      </c>
      <c r="Q63" s="215" t="s">
        <v>31</v>
      </c>
      <c r="R63" s="198"/>
      <c r="S63" s="198"/>
      <c r="T63" s="198"/>
      <c r="U63" s="198"/>
    </row>
    <row r="64" spans="1:21" s="12" customFormat="1" x14ac:dyDescent="0.25">
      <c r="A64" s="201" t="s">
        <v>776</v>
      </c>
      <c r="B64" s="215" t="s">
        <v>31</v>
      </c>
      <c r="C64" s="215" t="s">
        <v>31</v>
      </c>
      <c r="D64" s="215" t="s">
        <v>31</v>
      </c>
      <c r="E64" s="215" t="s">
        <v>31</v>
      </c>
      <c r="F64" s="215" t="s">
        <v>31</v>
      </c>
      <c r="G64" s="215" t="s">
        <v>31</v>
      </c>
      <c r="H64" s="215" t="s">
        <v>31</v>
      </c>
      <c r="I64" s="215" t="s">
        <v>31</v>
      </c>
      <c r="J64" s="215" t="s">
        <v>31</v>
      </c>
      <c r="K64" s="215" t="s">
        <v>31</v>
      </c>
      <c r="L64" s="215" t="s">
        <v>31</v>
      </c>
      <c r="M64" s="215" t="s">
        <v>31</v>
      </c>
      <c r="N64" s="215" t="s">
        <v>31</v>
      </c>
      <c r="O64" s="215" t="s">
        <v>31</v>
      </c>
      <c r="P64" s="215" t="s">
        <v>31</v>
      </c>
      <c r="Q64" s="215" t="s">
        <v>31</v>
      </c>
      <c r="R64" s="198"/>
      <c r="S64" s="198"/>
      <c r="T64" s="198"/>
      <c r="U64" s="198"/>
    </row>
    <row r="65" spans="1:21" s="12" customFormat="1" x14ac:dyDescent="0.25">
      <c r="A65" s="201" t="s">
        <v>777</v>
      </c>
      <c r="B65" s="215" t="s">
        <v>31</v>
      </c>
      <c r="C65" s="215" t="s">
        <v>31</v>
      </c>
      <c r="D65" s="215" t="s">
        <v>31</v>
      </c>
      <c r="E65" s="215" t="s">
        <v>31</v>
      </c>
      <c r="F65" s="215" t="s">
        <v>31</v>
      </c>
      <c r="G65" s="215" t="s">
        <v>31</v>
      </c>
      <c r="H65" s="215" t="s">
        <v>31</v>
      </c>
      <c r="I65" s="215" t="s">
        <v>31</v>
      </c>
      <c r="J65" s="215" t="s">
        <v>31</v>
      </c>
      <c r="K65" s="215" t="s">
        <v>31</v>
      </c>
      <c r="L65" s="215" t="s">
        <v>31</v>
      </c>
      <c r="M65" s="215" t="s">
        <v>31</v>
      </c>
      <c r="N65" s="215" t="s">
        <v>31</v>
      </c>
      <c r="O65" s="215" t="s">
        <v>31</v>
      </c>
      <c r="P65" s="215" t="s">
        <v>31</v>
      </c>
      <c r="Q65" s="215" t="s">
        <v>31</v>
      </c>
      <c r="R65" s="198"/>
      <c r="S65" s="198"/>
      <c r="T65" s="198"/>
      <c r="U65" s="198"/>
    </row>
    <row r="66" spans="1:21" s="12" customFormat="1" x14ac:dyDescent="0.25">
      <c r="A66" s="201" t="s">
        <v>778</v>
      </c>
      <c r="B66" s="215" t="s">
        <v>31</v>
      </c>
      <c r="C66" s="215" t="s">
        <v>31</v>
      </c>
      <c r="D66" s="215" t="s">
        <v>31</v>
      </c>
      <c r="E66" s="215" t="s">
        <v>31</v>
      </c>
      <c r="F66" s="215" t="s">
        <v>31</v>
      </c>
      <c r="G66" s="215" t="s">
        <v>31</v>
      </c>
      <c r="H66" s="215" t="s">
        <v>31</v>
      </c>
      <c r="I66" s="215" t="s">
        <v>31</v>
      </c>
      <c r="J66" s="215" t="s">
        <v>31</v>
      </c>
      <c r="K66" s="215" t="s">
        <v>31</v>
      </c>
      <c r="L66" s="215" t="s">
        <v>31</v>
      </c>
      <c r="M66" s="215" t="s">
        <v>31</v>
      </c>
      <c r="N66" s="215" t="s">
        <v>31</v>
      </c>
      <c r="O66" s="215" t="s">
        <v>31</v>
      </c>
      <c r="P66" s="215" t="s">
        <v>31</v>
      </c>
      <c r="Q66" s="215" t="s">
        <v>31</v>
      </c>
      <c r="R66" s="198"/>
      <c r="S66" s="198"/>
      <c r="T66" s="198"/>
      <c r="U66" s="198"/>
    </row>
    <row r="67" spans="1:21" s="12" customFormat="1" x14ac:dyDescent="0.25">
      <c r="A67" s="201" t="s">
        <v>779</v>
      </c>
      <c r="B67" s="215" t="s">
        <v>31</v>
      </c>
      <c r="C67" s="215" t="s">
        <v>31</v>
      </c>
      <c r="D67" s="215" t="s">
        <v>31</v>
      </c>
      <c r="E67" s="215" t="s">
        <v>31</v>
      </c>
      <c r="F67" s="215" t="s">
        <v>31</v>
      </c>
      <c r="G67" s="215" t="s">
        <v>31</v>
      </c>
      <c r="H67" s="215" t="s">
        <v>31</v>
      </c>
      <c r="I67" s="215" t="s">
        <v>31</v>
      </c>
      <c r="J67" s="215" t="s">
        <v>31</v>
      </c>
      <c r="K67" s="215" t="s">
        <v>31</v>
      </c>
      <c r="L67" s="215" t="s">
        <v>31</v>
      </c>
      <c r="M67" s="215" t="s">
        <v>31</v>
      </c>
      <c r="N67" s="215" t="s">
        <v>31</v>
      </c>
      <c r="O67" s="215" t="s">
        <v>31</v>
      </c>
      <c r="P67" s="215" t="s">
        <v>31</v>
      </c>
      <c r="Q67" s="215" t="s">
        <v>31</v>
      </c>
      <c r="R67" s="198"/>
      <c r="S67" s="198"/>
      <c r="T67" s="198"/>
      <c r="U67" s="198"/>
    </row>
    <row r="68" spans="1:21" s="12" customFormat="1" x14ac:dyDescent="0.25">
      <c r="A68" s="201" t="s">
        <v>780</v>
      </c>
      <c r="B68" s="215" t="s">
        <v>31</v>
      </c>
      <c r="C68" s="215" t="s">
        <v>31</v>
      </c>
      <c r="D68" s="215" t="s">
        <v>31</v>
      </c>
      <c r="E68" s="215" t="s">
        <v>31</v>
      </c>
      <c r="F68" s="215" t="s">
        <v>31</v>
      </c>
      <c r="G68" s="215" t="s">
        <v>31</v>
      </c>
      <c r="H68" s="215" t="s">
        <v>31</v>
      </c>
      <c r="I68" s="215" t="s">
        <v>31</v>
      </c>
      <c r="J68" s="215" t="s">
        <v>31</v>
      </c>
      <c r="K68" s="215" t="s">
        <v>31</v>
      </c>
      <c r="L68" s="215" t="s">
        <v>31</v>
      </c>
      <c r="M68" s="215" t="s">
        <v>31</v>
      </c>
      <c r="N68" s="215" t="s">
        <v>31</v>
      </c>
      <c r="O68" s="215" t="s">
        <v>31</v>
      </c>
      <c r="P68" s="215" t="s">
        <v>31</v>
      </c>
      <c r="Q68" s="215" t="s">
        <v>31</v>
      </c>
      <c r="R68" s="198"/>
      <c r="S68" s="198"/>
      <c r="T68" s="198"/>
      <c r="U68" s="198"/>
    </row>
    <row r="69" spans="1:21" s="12" customFormat="1" x14ac:dyDescent="0.25">
      <c r="A69" s="201" t="s">
        <v>781</v>
      </c>
      <c r="B69" s="215" t="s">
        <v>31</v>
      </c>
      <c r="C69" s="215" t="s">
        <v>31</v>
      </c>
      <c r="D69" s="215" t="s">
        <v>31</v>
      </c>
      <c r="E69" s="215" t="s">
        <v>31</v>
      </c>
      <c r="F69" s="215" t="s">
        <v>31</v>
      </c>
      <c r="G69" s="215" t="s">
        <v>31</v>
      </c>
      <c r="H69" s="215" t="s">
        <v>31</v>
      </c>
      <c r="I69" s="215" t="s">
        <v>31</v>
      </c>
      <c r="J69" s="215" t="s">
        <v>31</v>
      </c>
      <c r="K69" s="215" t="s">
        <v>31</v>
      </c>
      <c r="L69" s="215" t="s">
        <v>31</v>
      </c>
      <c r="M69" s="215" t="s">
        <v>31</v>
      </c>
      <c r="N69" s="215" t="s">
        <v>31</v>
      </c>
      <c r="O69" s="215" t="s">
        <v>31</v>
      </c>
      <c r="P69" s="215" t="s">
        <v>31</v>
      </c>
      <c r="Q69" s="215" t="s">
        <v>31</v>
      </c>
      <c r="R69" s="198"/>
      <c r="S69" s="198"/>
      <c r="T69" s="198"/>
      <c r="U69" s="198"/>
    </row>
    <row r="70" spans="1:21" s="12" customFormat="1" x14ac:dyDescent="0.25">
      <c r="A70" s="201" t="s">
        <v>782</v>
      </c>
      <c r="B70" s="215" t="s">
        <v>31</v>
      </c>
      <c r="C70" s="215" t="s">
        <v>31</v>
      </c>
      <c r="D70" s="215" t="s">
        <v>31</v>
      </c>
      <c r="E70" s="215" t="s">
        <v>31</v>
      </c>
      <c r="F70" s="215" t="s">
        <v>31</v>
      </c>
      <c r="G70" s="215" t="s">
        <v>31</v>
      </c>
      <c r="H70" s="215" t="s">
        <v>31</v>
      </c>
      <c r="I70" s="215" t="s">
        <v>31</v>
      </c>
      <c r="J70" s="215" t="s">
        <v>31</v>
      </c>
      <c r="K70" s="215" t="s">
        <v>31</v>
      </c>
      <c r="L70" s="215" t="s">
        <v>31</v>
      </c>
      <c r="M70" s="215" t="s">
        <v>31</v>
      </c>
      <c r="N70" s="215" t="s">
        <v>31</v>
      </c>
      <c r="O70" s="215" t="s">
        <v>31</v>
      </c>
      <c r="P70" s="215" t="s">
        <v>31</v>
      </c>
      <c r="Q70" s="215" t="s">
        <v>31</v>
      </c>
      <c r="R70" s="198"/>
      <c r="S70" s="198"/>
      <c r="T70" s="198"/>
      <c r="U70" s="198"/>
    </row>
    <row r="71" spans="1:21" s="12" customFormat="1" x14ac:dyDescent="0.25">
      <c r="A71" s="201" t="s">
        <v>783</v>
      </c>
      <c r="B71" s="215" t="s">
        <v>31</v>
      </c>
      <c r="C71" s="215" t="s">
        <v>31</v>
      </c>
      <c r="D71" s="215" t="s">
        <v>31</v>
      </c>
      <c r="E71" s="215" t="s">
        <v>31</v>
      </c>
      <c r="F71" s="215" t="s">
        <v>31</v>
      </c>
      <c r="G71" s="215" t="s">
        <v>31</v>
      </c>
      <c r="H71" s="215" t="s">
        <v>31</v>
      </c>
      <c r="I71" s="215" t="s">
        <v>31</v>
      </c>
      <c r="J71" s="215" t="s">
        <v>31</v>
      </c>
      <c r="K71" s="215" t="s">
        <v>31</v>
      </c>
      <c r="L71" s="215" t="s">
        <v>31</v>
      </c>
      <c r="M71" s="215" t="s">
        <v>31</v>
      </c>
      <c r="N71" s="215" t="s">
        <v>31</v>
      </c>
      <c r="O71" s="215" t="s">
        <v>31</v>
      </c>
      <c r="P71" s="215" t="s">
        <v>31</v>
      </c>
      <c r="Q71" s="215" t="s">
        <v>31</v>
      </c>
      <c r="R71" s="198"/>
      <c r="S71" s="198"/>
      <c r="T71" s="198"/>
      <c r="U71" s="198"/>
    </row>
    <row r="72" spans="1:21" s="12" customFormat="1" x14ac:dyDescent="0.25">
      <c r="A72" s="201" t="s">
        <v>784</v>
      </c>
      <c r="B72" s="215" t="s">
        <v>31</v>
      </c>
      <c r="C72" s="215" t="s">
        <v>31</v>
      </c>
      <c r="D72" s="215" t="s">
        <v>31</v>
      </c>
      <c r="E72" s="215" t="s">
        <v>31</v>
      </c>
      <c r="F72" s="215" t="s">
        <v>31</v>
      </c>
      <c r="G72" s="215" t="s">
        <v>31</v>
      </c>
      <c r="H72" s="215" t="s">
        <v>31</v>
      </c>
      <c r="I72" s="215" t="s">
        <v>31</v>
      </c>
      <c r="J72" s="215" t="s">
        <v>31</v>
      </c>
      <c r="K72" s="215" t="s">
        <v>31</v>
      </c>
      <c r="L72" s="215" t="s">
        <v>31</v>
      </c>
      <c r="M72" s="215" t="s">
        <v>31</v>
      </c>
      <c r="N72" s="215" t="s">
        <v>31</v>
      </c>
      <c r="O72" s="215" t="s">
        <v>31</v>
      </c>
      <c r="P72" s="215" t="s">
        <v>31</v>
      </c>
      <c r="Q72" s="215" t="s">
        <v>31</v>
      </c>
      <c r="R72" s="198"/>
      <c r="S72" s="198"/>
      <c r="T72" s="198"/>
      <c r="U72" s="198"/>
    </row>
    <row r="73" spans="1:21" s="12" customFormat="1" x14ac:dyDescent="0.25">
      <c r="A73" s="201" t="s">
        <v>785</v>
      </c>
      <c r="B73" s="215" t="s">
        <v>31</v>
      </c>
      <c r="C73" s="215" t="s">
        <v>31</v>
      </c>
      <c r="D73" s="215" t="s">
        <v>31</v>
      </c>
      <c r="E73" s="215" t="s">
        <v>31</v>
      </c>
      <c r="F73" s="215" t="s">
        <v>31</v>
      </c>
      <c r="G73" s="215" t="s">
        <v>31</v>
      </c>
      <c r="H73" s="215" t="s">
        <v>31</v>
      </c>
      <c r="I73" s="215" t="s">
        <v>31</v>
      </c>
      <c r="J73" s="215" t="s">
        <v>31</v>
      </c>
      <c r="K73" s="215" t="s">
        <v>31</v>
      </c>
      <c r="L73" s="215" t="s">
        <v>31</v>
      </c>
      <c r="M73" s="215" t="s">
        <v>31</v>
      </c>
      <c r="N73" s="215" t="s">
        <v>31</v>
      </c>
      <c r="O73" s="215" t="s">
        <v>31</v>
      </c>
      <c r="P73" s="215" t="s">
        <v>31</v>
      </c>
      <c r="Q73" s="215" t="s">
        <v>31</v>
      </c>
      <c r="R73" s="198"/>
      <c r="S73" s="198"/>
      <c r="T73" s="198"/>
      <c r="U73" s="198"/>
    </row>
    <row r="74" spans="1:21" s="12" customFormat="1" x14ac:dyDescent="0.25">
      <c r="A74" s="201" t="s">
        <v>786</v>
      </c>
      <c r="B74" s="215" t="s">
        <v>31</v>
      </c>
      <c r="C74" s="215" t="s">
        <v>31</v>
      </c>
      <c r="D74" s="215" t="s">
        <v>31</v>
      </c>
      <c r="E74" s="215" t="s">
        <v>31</v>
      </c>
      <c r="F74" s="215" t="s">
        <v>31</v>
      </c>
      <c r="G74" s="215" t="s">
        <v>31</v>
      </c>
      <c r="H74" s="215" t="s">
        <v>31</v>
      </c>
      <c r="I74" s="215" t="s">
        <v>31</v>
      </c>
      <c r="J74" s="215" t="s">
        <v>31</v>
      </c>
      <c r="K74" s="215" t="s">
        <v>31</v>
      </c>
      <c r="L74" s="215" t="s">
        <v>31</v>
      </c>
      <c r="M74" s="215" t="s">
        <v>31</v>
      </c>
      <c r="N74" s="215" t="s">
        <v>31</v>
      </c>
      <c r="O74" s="215" t="s">
        <v>31</v>
      </c>
      <c r="P74" s="215" t="s">
        <v>31</v>
      </c>
      <c r="Q74" s="215" t="s">
        <v>31</v>
      </c>
      <c r="R74" s="198"/>
      <c r="S74" s="198"/>
      <c r="T74" s="198"/>
      <c r="U74" s="198"/>
    </row>
    <row r="75" spans="1:21" s="12" customFormat="1" x14ac:dyDescent="0.25">
      <c r="A75" s="201" t="s">
        <v>787</v>
      </c>
      <c r="B75" s="215" t="s">
        <v>31</v>
      </c>
      <c r="C75" s="215" t="s">
        <v>31</v>
      </c>
      <c r="D75" s="215" t="s">
        <v>31</v>
      </c>
      <c r="E75" s="215" t="s">
        <v>31</v>
      </c>
      <c r="F75" s="215" t="s">
        <v>31</v>
      </c>
      <c r="G75" s="215" t="s">
        <v>31</v>
      </c>
      <c r="H75" s="215" t="s">
        <v>31</v>
      </c>
      <c r="I75" s="215" t="s">
        <v>31</v>
      </c>
      <c r="J75" s="215" t="s">
        <v>31</v>
      </c>
      <c r="K75" s="215" t="s">
        <v>31</v>
      </c>
      <c r="L75" s="215" t="s">
        <v>31</v>
      </c>
      <c r="M75" s="215" t="s">
        <v>31</v>
      </c>
      <c r="N75" s="215" t="s">
        <v>31</v>
      </c>
      <c r="O75" s="215" t="s">
        <v>31</v>
      </c>
      <c r="P75" s="215" t="s">
        <v>31</v>
      </c>
      <c r="Q75" s="215" t="s">
        <v>31</v>
      </c>
      <c r="R75" s="198"/>
      <c r="S75" s="198"/>
      <c r="T75" s="198"/>
      <c r="U75" s="198"/>
    </row>
    <row r="76" spans="1:21" s="12" customFormat="1" x14ac:dyDescent="0.25">
      <c r="A76" s="201" t="s">
        <v>788</v>
      </c>
      <c r="B76" s="215" t="s">
        <v>31</v>
      </c>
      <c r="C76" s="215" t="s">
        <v>31</v>
      </c>
      <c r="D76" s="215" t="s">
        <v>31</v>
      </c>
      <c r="E76" s="215" t="s">
        <v>31</v>
      </c>
      <c r="F76" s="215" t="s">
        <v>31</v>
      </c>
      <c r="G76" s="215" t="s">
        <v>31</v>
      </c>
      <c r="H76" s="215" t="s">
        <v>31</v>
      </c>
      <c r="I76" s="215" t="s">
        <v>31</v>
      </c>
      <c r="J76" s="215" t="s">
        <v>31</v>
      </c>
      <c r="K76" s="215" t="s">
        <v>31</v>
      </c>
      <c r="L76" s="215" t="s">
        <v>31</v>
      </c>
      <c r="M76" s="215" t="s">
        <v>31</v>
      </c>
      <c r="N76" s="215" t="s">
        <v>31</v>
      </c>
      <c r="O76" s="215" t="s">
        <v>31</v>
      </c>
      <c r="P76" s="215" t="s">
        <v>31</v>
      </c>
      <c r="Q76" s="215" t="s">
        <v>31</v>
      </c>
      <c r="R76" s="198"/>
      <c r="S76" s="198"/>
      <c r="T76" s="198"/>
      <c r="U76" s="198"/>
    </row>
    <row r="77" spans="1:21" s="12" customFormat="1" x14ac:dyDescent="0.25">
      <c r="A77" s="201" t="s">
        <v>789</v>
      </c>
      <c r="B77" s="215" t="s">
        <v>31</v>
      </c>
      <c r="C77" s="215" t="s">
        <v>31</v>
      </c>
      <c r="D77" s="215" t="s">
        <v>31</v>
      </c>
      <c r="E77" s="215" t="s">
        <v>31</v>
      </c>
      <c r="F77" s="215" t="s">
        <v>31</v>
      </c>
      <c r="G77" s="215" t="s">
        <v>31</v>
      </c>
      <c r="H77" s="215" t="s">
        <v>31</v>
      </c>
      <c r="I77" s="215" t="s">
        <v>31</v>
      </c>
      <c r="J77" s="215" t="s">
        <v>31</v>
      </c>
      <c r="K77" s="215" t="s">
        <v>31</v>
      </c>
      <c r="L77" s="215" t="s">
        <v>31</v>
      </c>
      <c r="M77" s="215" t="s">
        <v>31</v>
      </c>
      <c r="N77" s="215" t="s">
        <v>31</v>
      </c>
      <c r="O77" s="215" t="s">
        <v>31</v>
      </c>
      <c r="P77" s="215" t="s">
        <v>31</v>
      </c>
      <c r="Q77" s="215" t="s">
        <v>31</v>
      </c>
      <c r="R77" s="198"/>
      <c r="S77" s="198"/>
      <c r="T77" s="198"/>
      <c r="U77" s="198"/>
    </row>
    <row r="78" spans="1:21" s="12" customFormat="1" x14ac:dyDescent="0.25">
      <c r="A78" s="201" t="s">
        <v>790</v>
      </c>
      <c r="B78" s="215" t="s">
        <v>31</v>
      </c>
      <c r="C78" s="215" t="s">
        <v>31</v>
      </c>
      <c r="D78" s="215" t="s">
        <v>31</v>
      </c>
      <c r="E78" s="215" t="s">
        <v>31</v>
      </c>
      <c r="F78" s="215" t="s">
        <v>31</v>
      </c>
      <c r="G78" s="215" t="s">
        <v>31</v>
      </c>
      <c r="H78" s="215" t="s">
        <v>31</v>
      </c>
      <c r="I78" s="215" t="s">
        <v>31</v>
      </c>
      <c r="J78" s="215" t="s">
        <v>31</v>
      </c>
      <c r="K78" s="215" t="s">
        <v>31</v>
      </c>
      <c r="L78" s="215" t="s">
        <v>31</v>
      </c>
      <c r="M78" s="215" t="s">
        <v>31</v>
      </c>
      <c r="N78" s="215" t="s">
        <v>31</v>
      </c>
      <c r="O78" s="215" t="s">
        <v>31</v>
      </c>
      <c r="P78" s="215" t="s">
        <v>31</v>
      </c>
      <c r="Q78" s="215" t="s">
        <v>31</v>
      </c>
      <c r="R78" s="198"/>
      <c r="S78" s="198"/>
      <c r="T78" s="198"/>
      <c r="U78" s="198"/>
    </row>
    <row r="79" spans="1:21" s="12" customFormat="1" x14ac:dyDescent="0.25">
      <c r="A79" s="201" t="s">
        <v>791</v>
      </c>
      <c r="B79" s="215" t="s">
        <v>31</v>
      </c>
      <c r="C79" s="215" t="s">
        <v>31</v>
      </c>
      <c r="D79" s="215" t="s">
        <v>31</v>
      </c>
      <c r="E79" s="215" t="s">
        <v>31</v>
      </c>
      <c r="F79" s="215" t="s">
        <v>31</v>
      </c>
      <c r="G79" s="215" t="s">
        <v>31</v>
      </c>
      <c r="H79" s="215" t="s">
        <v>31</v>
      </c>
      <c r="I79" s="215" t="s">
        <v>31</v>
      </c>
      <c r="J79" s="215" t="s">
        <v>31</v>
      </c>
      <c r="K79" s="215" t="s">
        <v>31</v>
      </c>
      <c r="L79" s="215" t="s">
        <v>31</v>
      </c>
      <c r="M79" s="215" t="s">
        <v>31</v>
      </c>
      <c r="N79" s="215" t="s">
        <v>31</v>
      </c>
      <c r="O79" s="215" t="s">
        <v>31</v>
      </c>
      <c r="P79" s="215" t="s">
        <v>31</v>
      </c>
      <c r="Q79" s="215" t="s">
        <v>31</v>
      </c>
      <c r="R79" s="198"/>
      <c r="S79" s="198"/>
      <c r="T79" s="198"/>
      <c r="U79" s="198"/>
    </row>
    <row r="80" spans="1:21" s="12" customFormat="1" x14ac:dyDescent="0.25">
      <c r="A80" s="201" t="s">
        <v>792</v>
      </c>
      <c r="B80" s="215" t="s">
        <v>31</v>
      </c>
      <c r="C80" s="215" t="s">
        <v>31</v>
      </c>
      <c r="D80" s="215" t="s">
        <v>31</v>
      </c>
      <c r="E80" s="215" t="s">
        <v>31</v>
      </c>
      <c r="F80" s="215" t="s">
        <v>31</v>
      </c>
      <c r="G80" s="215" t="s">
        <v>31</v>
      </c>
      <c r="H80" s="215" t="s">
        <v>31</v>
      </c>
      <c r="I80" s="215" t="s">
        <v>31</v>
      </c>
      <c r="J80" s="215" t="s">
        <v>31</v>
      </c>
      <c r="K80" s="215" t="s">
        <v>31</v>
      </c>
      <c r="L80" s="215" t="s">
        <v>31</v>
      </c>
      <c r="M80" s="215" t="s">
        <v>31</v>
      </c>
      <c r="N80" s="215" t="s">
        <v>31</v>
      </c>
      <c r="O80" s="215" t="s">
        <v>31</v>
      </c>
      <c r="P80" s="215" t="s">
        <v>31</v>
      </c>
      <c r="Q80" s="215" t="s">
        <v>31</v>
      </c>
      <c r="R80" s="198"/>
      <c r="S80" s="198"/>
      <c r="T80" s="198"/>
      <c r="U80" s="198"/>
    </row>
    <row r="81" spans="1:26" s="12" customFormat="1" x14ac:dyDescent="0.25">
      <c r="A81" s="201" t="s">
        <v>793</v>
      </c>
      <c r="B81" s="215" t="s">
        <v>31</v>
      </c>
      <c r="C81" s="215" t="s">
        <v>31</v>
      </c>
      <c r="D81" s="215" t="s">
        <v>31</v>
      </c>
      <c r="E81" s="215" t="s">
        <v>31</v>
      </c>
      <c r="F81" s="215" t="s">
        <v>31</v>
      </c>
      <c r="G81" s="215" t="s">
        <v>31</v>
      </c>
      <c r="H81" s="215" t="s">
        <v>31</v>
      </c>
      <c r="I81" s="215" t="s">
        <v>31</v>
      </c>
      <c r="J81" s="215" t="s">
        <v>31</v>
      </c>
      <c r="K81" s="215" t="s">
        <v>31</v>
      </c>
      <c r="L81" s="215" t="s">
        <v>31</v>
      </c>
      <c r="M81" s="215" t="s">
        <v>31</v>
      </c>
      <c r="N81" s="215" t="s">
        <v>31</v>
      </c>
      <c r="O81" s="215" t="s">
        <v>31</v>
      </c>
      <c r="P81" s="215" t="s">
        <v>31</v>
      </c>
      <c r="Q81" s="215" t="s">
        <v>31</v>
      </c>
      <c r="R81" s="198"/>
      <c r="S81" s="198"/>
      <c r="T81" s="198"/>
      <c r="U81" s="198"/>
    </row>
    <row r="82" spans="1:26" s="12" customFormat="1" x14ac:dyDescent="0.25">
      <c r="A82" s="201" t="s">
        <v>794</v>
      </c>
      <c r="B82" s="215" t="s">
        <v>31</v>
      </c>
      <c r="C82" s="215" t="s">
        <v>31</v>
      </c>
      <c r="D82" s="215" t="s">
        <v>31</v>
      </c>
      <c r="E82" s="215" t="s">
        <v>31</v>
      </c>
      <c r="F82" s="215" t="s">
        <v>31</v>
      </c>
      <c r="G82" s="215" t="s">
        <v>31</v>
      </c>
      <c r="H82" s="215" t="s">
        <v>31</v>
      </c>
      <c r="I82" s="215" t="s">
        <v>31</v>
      </c>
      <c r="J82" s="215" t="s">
        <v>31</v>
      </c>
      <c r="K82" s="215" t="s">
        <v>31</v>
      </c>
      <c r="L82" s="215" t="s">
        <v>31</v>
      </c>
      <c r="M82" s="215" t="s">
        <v>31</v>
      </c>
      <c r="N82" s="215" t="s">
        <v>31</v>
      </c>
      <c r="O82" s="215" t="s">
        <v>31</v>
      </c>
      <c r="P82" s="215" t="s">
        <v>31</v>
      </c>
      <c r="Q82" s="215" t="s">
        <v>31</v>
      </c>
      <c r="R82" s="198"/>
      <c r="S82" s="198"/>
      <c r="T82" s="198"/>
      <c r="U82" s="198"/>
    </row>
    <row r="83" spans="1:26" s="12" customFormat="1" x14ac:dyDescent="0.25">
      <c r="A83" s="201" t="s">
        <v>795</v>
      </c>
      <c r="B83" s="215" t="s">
        <v>31</v>
      </c>
      <c r="C83" s="215" t="s">
        <v>31</v>
      </c>
      <c r="D83" s="215" t="s">
        <v>31</v>
      </c>
      <c r="E83" s="215" t="s">
        <v>31</v>
      </c>
      <c r="F83" s="215" t="s">
        <v>31</v>
      </c>
      <c r="G83" s="215" t="s">
        <v>31</v>
      </c>
      <c r="H83" s="215" t="s">
        <v>31</v>
      </c>
      <c r="I83" s="215" t="s">
        <v>31</v>
      </c>
      <c r="J83" s="215" t="s">
        <v>31</v>
      </c>
      <c r="K83" s="215" t="s">
        <v>31</v>
      </c>
      <c r="L83" s="215" t="s">
        <v>31</v>
      </c>
      <c r="M83" s="215" t="s">
        <v>31</v>
      </c>
      <c r="N83" s="215" t="s">
        <v>31</v>
      </c>
      <c r="O83" s="215" t="s">
        <v>31</v>
      </c>
      <c r="P83" s="215" t="s">
        <v>31</v>
      </c>
      <c r="Q83" s="215" t="s">
        <v>31</v>
      </c>
      <c r="R83" s="198"/>
      <c r="S83" s="198"/>
      <c r="T83" s="198"/>
      <c r="U83" s="198"/>
    </row>
    <row r="84" spans="1:26" s="12" customFormat="1" x14ac:dyDescent="0.25">
      <c r="A84" s="201" t="s">
        <v>796</v>
      </c>
      <c r="B84" s="215" t="s">
        <v>31</v>
      </c>
      <c r="C84" s="215" t="s">
        <v>31</v>
      </c>
      <c r="D84" s="215" t="s">
        <v>31</v>
      </c>
      <c r="E84" s="215" t="s">
        <v>31</v>
      </c>
      <c r="F84" s="215" t="s">
        <v>31</v>
      </c>
      <c r="G84" s="215" t="s">
        <v>31</v>
      </c>
      <c r="H84" s="215" t="s">
        <v>31</v>
      </c>
      <c r="I84" s="215" t="s">
        <v>31</v>
      </c>
      <c r="J84" s="215" t="s">
        <v>31</v>
      </c>
      <c r="K84" s="215" t="s">
        <v>31</v>
      </c>
      <c r="L84" s="215" t="s">
        <v>31</v>
      </c>
      <c r="M84" s="215" t="s">
        <v>31</v>
      </c>
      <c r="N84" s="215" t="s">
        <v>31</v>
      </c>
      <c r="O84" s="215" t="s">
        <v>31</v>
      </c>
      <c r="P84" s="215" t="s">
        <v>31</v>
      </c>
      <c r="Q84" s="215" t="s">
        <v>31</v>
      </c>
      <c r="R84" s="198"/>
      <c r="S84" s="198"/>
      <c r="T84" s="198"/>
      <c r="U84" s="198"/>
    </row>
    <row r="85" spans="1:26" s="12" customFormat="1" x14ac:dyDescent="0.25">
      <c r="A85" s="201" t="s">
        <v>797</v>
      </c>
      <c r="B85" s="215" t="s">
        <v>31</v>
      </c>
      <c r="C85" s="215" t="s">
        <v>31</v>
      </c>
      <c r="D85" s="215" t="s">
        <v>31</v>
      </c>
      <c r="E85" s="215" t="s">
        <v>31</v>
      </c>
      <c r="F85" s="215" t="s">
        <v>31</v>
      </c>
      <c r="G85" s="215" t="s">
        <v>31</v>
      </c>
      <c r="H85" s="215" t="s">
        <v>31</v>
      </c>
      <c r="I85" s="215" t="s">
        <v>31</v>
      </c>
      <c r="J85" s="215" t="s">
        <v>31</v>
      </c>
      <c r="K85" s="215" t="s">
        <v>31</v>
      </c>
      <c r="L85" s="215" t="s">
        <v>31</v>
      </c>
      <c r="M85" s="215" t="s">
        <v>31</v>
      </c>
      <c r="N85" s="215" t="s">
        <v>31</v>
      </c>
      <c r="O85" s="215" t="s">
        <v>31</v>
      </c>
      <c r="P85" s="215" t="s">
        <v>31</v>
      </c>
      <c r="Q85" s="215" t="s">
        <v>31</v>
      </c>
      <c r="R85" s="198"/>
      <c r="S85" s="198"/>
      <c r="T85" s="198"/>
      <c r="U85" s="198"/>
    </row>
    <row r="86" spans="1:26" s="12" customFormat="1" x14ac:dyDescent="0.25">
      <c r="A86" s="201" t="s">
        <v>798</v>
      </c>
      <c r="B86" s="215" t="s">
        <v>31</v>
      </c>
      <c r="C86" s="215" t="s">
        <v>31</v>
      </c>
      <c r="D86" s="215" t="s">
        <v>31</v>
      </c>
      <c r="E86" s="215" t="s">
        <v>31</v>
      </c>
      <c r="F86" s="215" t="s">
        <v>31</v>
      </c>
      <c r="G86" s="215" t="s">
        <v>31</v>
      </c>
      <c r="H86" s="215" t="s">
        <v>31</v>
      </c>
      <c r="I86" s="215" t="s">
        <v>31</v>
      </c>
      <c r="J86" s="215" t="s">
        <v>31</v>
      </c>
      <c r="K86" s="215" t="s">
        <v>31</v>
      </c>
      <c r="L86" s="215" t="s">
        <v>31</v>
      </c>
      <c r="M86" s="215" t="s">
        <v>31</v>
      </c>
      <c r="N86" s="215" t="s">
        <v>31</v>
      </c>
      <c r="O86" s="215" t="s">
        <v>31</v>
      </c>
      <c r="P86" s="215" t="s">
        <v>31</v>
      </c>
      <c r="Q86" s="215" t="s">
        <v>31</v>
      </c>
      <c r="R86" s="198"/>
      <c r="S86" s="198"/>
      <c r="T86" s="198"/>
      <c r="U86" s="198"/>
    </row>
    <row r="87" spans="1:26" s="12" customFormat="1" x14ac:dyDescent="0.25">
      <c r="A87" s="201" t="s">
        <v>799</v>
      </c>
      <c r="B87" s="215" t="s">
        <v>31</v>
      </c>
      <c r="C87" s="215" t="s">
        <v>31</v>
      </c>
      <c r="D87" s="215" t="s">
        <v>31</v>
      </c>
      <c r="E87" s="215" t="s">
        <v>31</v>
      </c>
      <c r="F87" s="215" t="s">
        <v>31</v>
      </c>
      <c r="G87" s="215" t="s">
        <v>31</v>
      </c>
      <c r="H87" s="215" t="s">
        <v>31</v>
      </c>
      <c r="I87" s="215" t="s">
        <v>31</v>
      </c>
      <c r="J87" s="215" t="s">
        <v>31</v>
      </c>
      <c r="K87" s="215" t="s">
        <v>31</v>
      </c>
      <c r="L87" s="215" t="s">
        <v>31</v>
      </c>
      <c r="M87" s="215" t="s">
        <v>31</v>
      </c>
      <c r="N87" s="215" t="s">
        <v>31</v>
      </c>
      <c r="O87" s="215" t="s">
        <v>31</v>
      </c>
      <c r="P87" s="215" t="s">
        <v>31</v>
      </c>
      <c r="Q87" s="215" t="s">
        <v>31</v>
      </c>
      <c r="R87" s="198"/>
      <c r="S87" s="198"/>
      <c r="T87" s="198"/>
      <c r="U87" s="198"/>
    </row>
    <row r="88" spans="1:26" s="12" customFormat="1" x14ac:dyDescent="0.25">
      <c r="A88" s="201" t="s">
        <v>800</v>
      </c>
      <c r="B88" s="215" t="s">
        <v>31</v>
      </c>
      <c r="C88" s="215" t="s">
        <v>31</v>
      </c>
      <c r="D88" s="215" t="s">
        <v>31</v>
      </c>
      <c r="E88" s="215" t="s">
        <v>31</v>
      </c>
      <c r="F88" s="215" t="s">
        <v>31</v>
      </c>
      <c r="G88" s="215" t="s">
        <v>31</v>
      </c>
      <c r="H88" s="215" t="s">
        <v>31</v>
      </c>
      <c r="I88" s="215" t="s">
        <v>31</v>
      </c>
      <c r="J88" s="215" t="s">
        <v>31</v>
      </c>
      <c r="K88" s="215" t="s">
        <v>31</v>
      </c>
      <c r="L88" s="215" t="s">
        <v>31</v>
      </c>
      <c r="M88" s="215" t="s">
        <v>31</v>
      </c>
      <c r="N88" s="215" t="s">
        <v>31</v>
      </c>
      <c r="O88" s="215" t="s">
        <v>31</v>
      </c>
      <c r="P88" s="215" t="s">
        <v>31</v>
      </c>
      <c r="Q88" s="215" t="s">
        <v>31</v>
      </c>
      <c r="R88" s="198"/>
      <c r="S88" s="198"/>
      <c r="T88" s="198"/>
      <c r="U88" s="198"/>
    </row>
    <row r="89" spans="1:26" s="12" customFormat="1" x14ac:dyDescent="0.25">
      <c r="A89" s="201" t="s">
        <v>801</v>
      </c>
      <c r="B89" s="215" t="s">
        <v>31</v>
      </c>
      <c r="C89" s="215" t="s">
        <v>31</v>
      </c>
      <c r="D89" s="215" t="s">
        <v>31</v>
      </c>
      <c r="E89" s="215" t="s">
        <v>31</v>
      </c>
      <c r="F89" s="215" t="s">
        <v>31</v>
      </c>
      <c r="G89" s="215" t="s">
        <v>31</v>
      </c>
      <c r="H89" s="215" t="s">
        <v>31</v>
      </c>
      <c r="I89" s="215" t="s">
        <v>31</v>
      </c>
      <c r="J89" s="215" t="s">
        <v>31</v>
      </c>
      <c r="K89" s="215" t="s">
        <v>31</v>
      </c>
      <c r="L89" s="215" t="s">
        <v>31</v>
      </c>
      <c r="M89" s="215" t="s">
        <v>31</v>
      </c>
      <c r="N89" s="215" t="s">
        <v>31</v>
      </c>
      <c r="O89" s="215" t="s">
        <v>31</v>
      </c>
      <c r="P89" s="215" t="s">
        <v>31</v>
      </c>
      <c r="Q89" s="215" t="s">
        <v>31</v>
      </c>
      <c r="R89" s="198"/>
      <c r="S89" s="198"/>
      <c r="T89" s="198"/>
      <c r="U89" s="198"/>
    </row>
    <row r="90" spans="1:26" s="12" customFormat="1" x14ac:dyDescent="0.25">
      <c r="A90" s="201" t="s">
        <v>802</v>
      </c>
      <c r="B90" s="215" t="s">
        <v>31</v>
      </c>
      <c r="C90" s="215" t="s">
        <v>31</v>
      </c>
      <c r="D90" s="215" t="s">
        <v>31</v>
      </c>
      <c r="E90" s="215" t="s">
        <v>31</v>
      </c>
      <c r="F90" s="215" t="s">
        <v>31</v>
      </c>
      <c r="G90" s="215" t="s">
        <v>31</v>
      </c>
      <c r="H90" s="215" t="s">
        <v>31</v>
      </c>
      <c r="I90" s="215" t="s">
        <v>31</v>
      </c>
      <c r="J90" s="215" t="s">
        <v>31</v>
      </c>
      <c r="K90" s="215" t="s">
        <v>31</v>
      </c>
      <c r="L90" s="215" t="s">
        <v>31</v>
      </c>
      <c r="M90" s="215" t="s">
        <v>31</v>
      </c>
      <c r="N90" s="215" t="s">
        <v>31</v>
      </c>
      <c r="O90" s="215" t="s">
        <v>31</v>
      </c>
      <c r="P90" s="215" t="s">
        <v>31</v>
      </c>
      <c r="Q90" s="215" t="s">
        <v>31</v>
      </c>
      <c r="R90" s="198"/>
      <c r="S90" s="198"/>
      <c r="T90" s="198"/>
      <c r="U90" s="198"/>
    </row>
    <row r="91" spans="1:26" s="12" customFormat="1" x14ac:dyDescent="0.25">
      <c r="A91" s="201" t="s">
        <v>803</v>
      </c>
      <c r="B91" s="215" t="s">
        <v>31</v>
      </c>
      <c r="C91" s="215" t="s">
        <v>31</v>
      </c>
      <c r="D91" s="215" t="s">
        <v>31</v>
      </c>
      <c r="E91" s="215" t="s">
        <v>31</v>
      </c>
      <c r="F91" s="215" t="s">
        <v>31</v>
      </c>
      <c r="G91" s="215" t="s">
        <v>31</v>
      </c>
      <c r="H91" s="215" t="s">
        <v>31</v>
      </c>
      <c r="I91" s="215" t="s">
        <v>31</v>
      </c>
      <c r="J91" s="215" t="s">
        <v>31</v>
      </c>
      <c r="K91" s="215" t="s">
        <v>31</v>
      </c>
      <c r="L91" s="215" t="s">
        <v>31</v>
      </c>
      <c r="M91" s="215" t="s">
        <v>31</v>
      </c>
      <c r="N91" s="215" t="s">
        <v>31</v>
      </c>
      <c r="O91" s="215" t="s">
        <v>31</v>
      </c>
      <c r="P91" s="215" t="s">
        <v>31</v>
      </c>
      <c r="Q91" s="215" t="s">
        <v>31</v>
      </c>
      <c r="R91" s="198"/>
      <c r="S91" s="198"/>
      <c r="T91" s="198"/>
      <c r="U91" s="198"/>
    </row>
    <row r="92" spans="1:26" s="12" customFormat="1" x14ac:dyDescent="0.25">
      <c r="A92" s="201" t="s">
        <v>804</v>
      </c>
      <c r="B92" s="215" t="s">
        <v>31</v>
      </c>
      <c r="C92" s="215" t="s">
        <v>31</v>
      </c>
      <c r="D92" s="215" t="s">
        <v>31</v>
      </c>
      <c r="E92" s="215" t="s">
        <v>31</v>
      </c>
      <c r="F92" s="215" t="s">
        <v>31</v>
      </c>
      <c r="G92" s="215" t="s">
        <v>31</v>
      </c>
      <c r="H92" s="215" t="s">
        <v>31</v>
      </c>
      <c r="I92" s="215" t="s">
        <v>31</v>
      </c>
      <c r="J92" s="215" t="s">
        <v>31</v>
      </c>
      <c r="K92" s="215" t="s">
        <v>31</v>
      </c>
      <c r="L92" s="215" t="s">
        <v>31</v>
      </c>
      <c r="M92" s="215" t="s">
        <v>31</v>
      </c>
      <c r="N92" s="215" t="s">
        <v>31</v>
      </c>
      <c r="O92" s="215" t="s">
        <v>31</v>
      </c>
      <c r="P92" s="215" t="s">
        <v>31</v>
      </c>
      <c r="Q92" s="215" t="s">
        <v>31</v>
      </c>
      <c r="R92" s="198"/>
      <c r="S92" s="198"/>
      <c r="T92" s="198"/>
      <c r="U92" s="198"/>
    </row>
    <row r="93" spans="1:26" s="12" customFormat="1" x14ac:dyDescent="0.25">
      <c r="A93" s="201" t="s">
        <v>805</v>
      </c>
      <c r="B93" s="215" t="s">
        <v>31</v>
      </c>
      <c r="C93" s="215" t="s">
        <v>31</v>
      </c>
      <c r="D93" s="215" t="s">
        <v>31</v>
      </c>
      <c r="E93" s="215" t="s">
        <v>31</v>
      </c>
      <c r="F93" s="215" t="s">
        <v>31</v>
      </c>
      <c r="G93" s="215" t="s">
        <v>31</v>
      </c>
      <c r="H93" s="215" t="s">
        <v>31</v>
      </c>
      <c r="I93" s="215" t="s">
        <v>31</v>
      </c>
      <c r="J93" s="215" t="s">
        <v>31</v>
      </c>
      <c r="K93" s="215" t="s">
        <v>31</v>
      </c>
      <c r="L93" s="215" t="s">
        <v>31</v>
      </c>
      <c r="M93" s="215" t="s">
        <v>31</v>
      </c>
      <c r="N93" s="215" t="s">
        <v>31</v>
      </c>
      <c r="O93" s="215" t="s">
        <v>31</v>
      </c>
      <c r="P93" s="215" t="s">
        <v>31</v>
      </c>
      <c r="Q93" s="215" t="s">
        <v>31</v>
      </c>
      <c r="R93" s="198"/>
      <c r="S93" s="198"/>
      <c r="T93" s="198"/>
      <c r="U93" s="198"/>
    </row>
    <row r="94" spans="1:26" s="12" customFormat="1" x14ac:dyDescent="0.25">
      <c r="A94" s="201" t="s">
        <v>806</v>
      </c>
      <c r="B94" s="215" t="s">
        <v>31</v>
      </c>
      <c r="C94" s="215" t="s">
        <v>31</v>
      </c>
      <c r="D94" s="215" t="s">
        <v>31</v>
      </c>
      <c r="E94" s="215" t="s">
        <v>31</v>
      </c>
      <c r="F94" s="215" t="s">
        <v>31</v>
      </c>
      <c r="G94" s="215" t="s">
        <v>31</v>
      </c>
      <c r="H94" s="215" t="s">
        <v>31</v>
      </c>
      <c r="I94" s="215" t="s">
        <v>31</v>
      </c>
      <c r="J94" s="215" t="s">
        <v>31</v>
      </c>
      <c r="K94" s="215" t="s">
        <v>31</v>
      </c>
      <c r="L94" s="215" t="s">
        <v>31</v>
      </c>
      <c r="M94" s="215" t="s">
        <v>31</v>
      </c>
      <c r="N94" s="215" t="s">
        <v>31</v>
      </c>
      <c r="O94" s="215" t="s">
        <v>31</v>
      </c>
      <c r="P94" s="215" t="s">
        <v>31</v>
      </c>
      <c r="Q94" s="215" t="s">
        <v>31</v>
      </c>
      <c r="R94" s="198"/>
      <c r="S94" s="198"/>
      <c r="T94" s="198"/>
      <c r="U94" s="198"/>
    </row>
    <row r="95" spans="1:26" s="12" customFormat="1" x14ac:dyDescent="0.25">
      <c r="A95" s="201" t="s">
        <v>807</v>
      </c>
      <c r="B95" s="215" t="s">
        <v>31</v>
      </c>
      <c r="C95" s="215" t="s">
        <v>31</v>
      </c>
      <c r="D95" s="215" t="s">
        <v>31</v>
      </c>
      <c r="E95" s="215" t="s">
        <v>31</v>
      </c>
      <c r="F95" s="215" t="s">
        <v>31</v>
      </c>
      <c r="G95" s="215" t="s">
        <v>31</v>
      </c>
      <c r="H95" s="215" t="s">
        <v>31</v>
      </c>
      <c r="I95" s="215" t="s">
        <v>31</v>
      </c>
      <c r="J95" s="215" t="s">
        <v>31</v>
      </c>
      <c r="K95" s="215" t="s">
        <v>31</v>
      </c>
      <c r="L95" s="215" t="s">
        <v>31</v>
      </c>
      <c r="M95" s="215" t="s">
        <v>31</v>
      </c>
      <c r="N95" s="215" t="s">
        <v>31</v>
      </c>
      <c r="O95" s="215" t="s">
        <v>31</v>
      </c>
      <c r="P95" s="215" t="s">
        <v>31</v>
      </c>
      <c r="Q95" s="215" t="s">
        <v>31</v>
      </c>
      <c r="R95" s="198"/>
      <c r="S95" s="198"/>
      <c r="T95" s="198"/>
      <c r="U95" s="198"/>
    </row>
    <row r="96" spans="1:26" s="12" customFormat="1" x14ac:dyDescent="0.25">
      <c r="A96" s="201" t="s">
        <v>808</v>
      </c>
      <c r="B96" s="215" t="s">
        <v>31</v>
      </c>
      <c r="C96" s="215" t="s">
        <v>31</v>
      </c>
      <c r="D96" s="215" t="s">
        <v>31</v>
      </c>
      <c r="E96" s="215" t="s">
        <v>31</v>
      </c>
      <c r="F96" s="215" t="s">
        <v>31</v>
      </c>
      <c r="G96" s="215" t="s">
        <v>31</v>
      </c>
      <c r="H96" s="215" t="s">
        <v>31</v>
      </c>
      <c r="I96" s="215" t="s">
        <v>31</v>
      </c>
      <c r="J96" s="215" t="s">
        <v>31</v>
      </c>
      <c r="K96" s="215" t="s">
        <v>31</v>
      </c>
      <c r="L96" s="215" t="s">
        <v>31</v>
      </c>
      <c r="M96" s="215" t="s">
        <v>31</v>
      </c>
      <c r="N96" s="215" t="s">
        <v>31</v>
      </c>
      <c r="O96" s="215" t="s">
        <v>31</v>
      </c>
      <c r="P96" s="215" t="s">
        <v>31</v>
      </c>
      <c r="Q96" s="215" t="s">
        <v>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809</v>
      </c>
      <c r="B97" s="215" t="s">
        <v>31</v>
      </c>
      <c r="C97" s="215" t="s">
        <v>31</v>
      </c>
      <c r="D97" s="215" t="s">
        <v>31</v>
      </c>
      <c r="E97" s="215" t="s">
        <v>31</v>
      </c>
      <c r="F97" s="215" t="s">
        <v>31</v>
      </c>
      <c r="G97" s="215" t="s">
        <v>31</v>
      </c>
      <c r="H97" s="215" t="s">
        <v>31</v>
      </c>
      <c r="I97" s="215" t="s">
        <v>31</v>
      </c>
      <c r="J97" s="215" t="s">
        <v>31</v>
      </c>
      <c r="K97" s="215" t="s">
        <v>31</v>
      </c>
      <c r="L97" s="215" t="s">
        <v>31</v>
      </c>
      <c r="M97" s="215" t="s">
        <v>31</v>
      </c>
      <c r="N97" s="215" t="s">
        <v>31</v>
      </c>
      <c r="O97" s="215" t="s">
        <v>31</v>
      </c>
      <c r="P97" s="215" t="s">
        <v>31</v>
      </c>
      <c r="Q97" s="215" t="s">
        <v>31</v>
      </c>
      <c r="R97" s="198"/>
      <c r="S97" s="198"/>
      <c r="T97" s="198"/>
      <c r="U97" s="198"/>
    </row>
    <row r="98" spans="1:33" s="12" customFormat="1" x14ac:dyDescent="0.25">
      <c r="A98" s="201" t="s">
        <v>810</v>
      </c>
      <c r="B98" s="215" t="s">
        <v>31</v>
      </c>
      <c r="C98" s="215" t="s">
        <v>31</v>
      </c>
      <c r="D98" s="215" t="s">
        <v>31</v>
      </c>
      <c r="E98" s="215" t="s">
        <v>31</v>
      </c>
      <c r="F98" s="215" t="s">
        <v>31</v>
      </c>
      <c r="G98" s="215" t="s">
        <v>31</v>
      </c>
      <c r="H98" s="215" t="s">
        <v>31</v>
      </c>
      <c r="I98" s="215" t="s">
        <v>31</v>
      </c>
      <c r="J98" s="215" t="s">
        <v>31</v>
      </c>
      <c r="K98" s="215" t="s">
        <v>31</v>
      </c>
      <c r="L98" s="215" t="s">
        <v>31</v>
      </c>
      <c r="M98" s="215" t="s">
        <v>31</v>
      </c>
      <c r="N98" s="215" t="s">
        <v>31</v>
      </c>
      <c r="O98" s="215" t="s">
        <v>31</v>
      </c>
      <c r="P98" s="215" t="s">
        <v>31</v>
      </c>
      <c r="Q98" s="215" t="s">
        <v>31</v>
      </c>
      <c r="R98" s="198"/>
      <c r="S98" s="198"/>
      <c r="T98" s="198"/>
      <c r="U98" s="198"/>
    </row>
    <row r="99" spans="1:33" s="12" customFormat="1" x14ac:dyDescent="0.25">
      <c r="A99" s="201" t="s">
        <v>811</v>
      </c>
      <c r="B99" s="215" t="s">
        <v>31</v>
      </c>
      <c r="C99" s="215" t="s">
        <v>31</v>
      </c>
      <c r="D99" s="215" t="s">
        <v>31</v>
      </c>
      <c r="E99" s="215" t="s">
        <v>31</v>
      </c>
      <c r="F99" s="215" t="s">
        <v>31</v>
      </c>
      <c r="G99" s="215" t="s">
        <v>31</v>
      </c>
      <c r="H99" s="215" t="s">
        <v>31</v>
      </c>
      <c r="I99" s="215" t="s">
        <v>31</v>
      </c>
      <c r="J99" s="215" t="s">
        <v>31</v>
      </c>
      <c r="K99" s="215" t="s">
        <v>31</v>
      </c>
      <c r="L99" s="215" t="s">
        <v>31</v>
      </c>
      <c r="M99" s="215" t="s">
        <v>31</v>
      </c>
      <c r="N99" s="215" t="s">
        <v>31</v>
      </c>
      <c r="O99" s="215" t="s">
        <v>31</v>
      </c>
      <c r="P99" s="215" t="s">
        <v>31</v>
      </c>
      <c r="Q99" s="215" t="s">
        <v>31</v>
      </c>
      <c r="R99" s="198"/>
      <c r="S99" s="198"/>
      <c r="T99" s="198"/>
      <c r="U99" s="198"/>
    </row>
    <row r="100" spans="1:33" s="12" customFormat="1" x14ac:dyDescent="0.25">
      <c r="A100" s="201" t="s">
        <v>812</v>
      </c>
      <c r="B100" s="215" t="s">
        <v>31</v>
      </c>
      <c r="C100" s="215" t="s">
        <v>31</v>
      </c>
      <c r="D100" s="215" t="s">
        <v>31</v>
      </c>
      <c r="E100" s="215" t="s">
        <v>31</v>
      </c>
      <c r="F100" s="215" t="s">
        <v>31</v>
      </c>
      <c r="G100" s="215" t="s">
        <v>31</v>
      </c>
      <c r="H100" s="215" t="s">
        <v>31</v>
      </c>
      <c r="I100" s="215" t="s">
        <v>31</v>
      </c>
      <c r="J100" s="215" t="s">
        <v>31</v>
      </c>
      <c r="K100" s="215" t="s">
        <v>31</v>
      </c>
      <c r="L100" s="215" t="s">
        <v>31</v>
      </c>
      <c r="M100" s="215" t="s">
        <v>31</v>
      </c>
      <c r="N100" s="215" t="s">
        <v>31</v>
      </c>
      <c r="O100" s="215" t="s">
        <v>31</v>
      </c>
      <c r="P100" s="215" t="s">
        <v>31</v>
      </c>
      <c r="Q100" s="215" t="s">
        <v>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813</v>
      </c>
      <c r="B101" s="215" t="s">
        <v>31</v>
      </c>
      <c r="C101" s="215" t="s">
        <v>31</v>
      </c>
      <c r="D101" s="215" t="s">
        <v>31</v>
      </c>
      <c r="E101" s="215" t="s">
        <v>31</v>
      </c>
      <c r="F101" s="215" t="s">
        <v>31</v>
      </c>
      <c r="G101" s="215" t="s">
        <v>31</v>
      </c>
      <c r="H101" s="215" t="s">
        <v>31</v>
      </c>
      <c r="I101" s="215" t="s">
        <v>31</v>
      </c>
      <c r="J101" s="215" t="s">
        <v>31</v>
      </c>
      <c r="K101" s="215" t="s">
        <v>31</v>
      </c>
      <c r="L101" s="215" t="s">
        <v>31</v>
      </c>
      <c r="M101" s="215" t="s">
        <v>31</v>
      </c>
      <c r="N101" s="215" t="s">
        <v>31</v>
      </c>
      <c r="O101" s="215" t="s">
        <v>31</v>
      </c>
      <c r="P101" s="215" t="s">
        <v>31</v>
      </c>
      <c r="Q101" s="215" t="s">
        <v>31</v>
      </c>
      <c r="R101" s="198"/>
      <c r="S101" s="198"/>
      <c r="T101" s="198"/>
      <c r="U101" s="198"/>
    </row>
    <row r="102" spans="1:33" s="12" customFormat="1" x14ac:dyDescent="0.25">
      <c r="A102" s="201" t="s">
        <v>814</v>
      </c>
      <c r="B102" s="215" t="s">
        <v>31</v>
      </c>
      <c r="C102" s="215" t="s">
        <v>31</v>
      </c>
      <c r="D102" s="215" t="s">
        <v>31</v>
      </c>
      <c r="E102" s="215" t="s">
        <v>31</v>
      </c>
      <c r="F102" s="215" t="s">
        <v>31</v>
      </c>
      <c r="G102" s="215" t="s">
        <v>31</v>
      </c>
      <c r="H102" s="215" t="s">
        <v>31</v>
      </c>
      <c r="I102" s="215" t="s">
        <v>31</v>
      </c>
      <c r="J102" s="215" t="s">
        <v>31</v>
      </c>
      <c r="K102" s="215" t="s">
        <v>31</v>
      </c>
      <c r="L102" s="215" t="s">
        <v>31</v>
      </c>
      <c r="M102" s="215" t="s">
        <v>31</v>
      </c>
      <c r="N102" s="215" t="s">
        <v>31</v>
      </c>
      <c r="O102" s="215" t="s">
        <v>31</v>
      </c>
      <c r="P102" s="215" t="s">
        <v>31</v>
      </c>
      <c r="Q102" s="215" t="s">
        <v>31</v>
      </c>
      <c r="R102" s="198"/>
      <c r="S102" s="198"/>
      <c r="T102" s="198"/>
      <c r="U102" s="198"/>
    </row>
    <row r="103" spans="1:33" s="12" customFormat="1" x14ac:dyDescent="0.25">
      <c r="A103" s="201" t="s">
        <v>815</v>
      </c>
      <c r="B103" s="215" t="s">
        <v>31</v>
      </c>
      <c r="C103" s="215" t="s">
        <v>31</v>
      </c>
      <c r="D103" s="215" t="s">
        <v>31</v>
      </c>
      <c r="E103" s="215" t="s">
        <v>31</v>
      </c>
      <c r="F103" s="215" t="s">
        <v>31</v>
      </c>
      <c r="G103" s="215" t="s">
        <v>31</v>
      </c>
      <c r="H103" s="215" t="s">
        <v>31</v>
      </c>
      <c r="I103" s="215" t="s">
        <v>31</v>
      </c>
      <c r="J103" s="215" t="s">
        <v>31</v>
      </c>
      <c r="K103" s="215" t="s">
        <v>31</v>
      </c>
      <c r="L103" s="215" t="s">
        <v>31</v>
      </c>
      <c r="M103" s="215" t="s">
        <v>31</v>
      </c>
      <c r="N103" s="215" t="s">
        <v>31</v>
      </c>
      <c r="O103" s="215" t="s">
        <v>31</v>
      </c>
      <c r="P103" s="215" t="s">
        <v>31</v>
      </c>
      <c r="Q103" s="215" t="s">
        <v>31</v>
      </c>
      <c r="R103" s="198"/>
      <c r="S103" s="198"/>
      <c r="T103" s="198"/>
      <c r="U103" s="198"/>
    </row>
    <row r="104" spans="1:33" s="12" customFormat="1" x14ac:dyDescent="0.25">
      <c r="A104" s="201" t="s">
        <v>816</v>
      </c>
      <c r="B104" s="215" t="s">
        <v>31</v>
      </c>
      <c r="C104" s="215" t="s">
        <v>31</v>
      </c>
      <c r="D104" s="215" t="s">
        <v>31</v>
      </c>
      <c r="E104" s="215" t="s">
        <v>31</v>
      </c>
      <c r="F104" s="215" t="s">
        <v>31</v>
      </c>
      <c r="G104" s="215" t="s">
        <v>31</v>
      </c>
      <c r="H104" s="215" t="s">
        <v>31</v>
      </c>
      <c r="I104" s="215" t="s">
        <v>31</v>
      </c>
      <c r="J104" s="215" t="s">
        <v>31</v>
      </c>
      <c r="K104" s="215" t="s">
        <v>31</v>
      </c>
      <c r="L104" s="215" t="s">
        <v>31</v>
      </c>
      <c r="M104" s="215" t="s">
        <v>31</v>
      </c>
      <c r="N104" s="215" t="s">
        <v>31</v>
      </c>
      <c r="O104" s="215" t="s">
        <v>31</v>
      </c>
      <c r="P104" s="215" t="s">
        <v>31</v>
      </c>
      <c r="Q104" s="215" t="s">
        <v>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60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76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COUNT(B9:B104)+96</f>
        <v>96</v>
      </c>
      <c r="C110" s="66">
        <f t="shared" ref="C110:Q110" si="4">COUNT(C9:C104)+96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817</v>
      </c>
      <c r="B9" s="215" t="s">
        <v>31</v>
      </c>
      <c r="C9" s="215" t="s">
        <v>31</v>
      </c>
      <c r="D9" s="215" t="s">
        <v>31</v>
      </c>
      <c r="E9" s="215" t="s">
        <v>31</v>
      </c>
      <c r="F9" s="215" t="s">
        <v>31</v>
      </c>
      <c r="G9" s="215" t="s">
        <v>31</v>
      </c>
      <c r="H9" s="215" t="s">
        <v>31</v>
      </c>
      <c r="I9" s="215" t="s">
        <v>31</v>
      </c>
      <c r="J9" s="215" t="s">
        <v>31</v>
      </c>
      <c r="K9" s="215" t="s">
        <v>31</v>
      </c>
      <c r="L9" s="215" t="s">
        <v>31</v>
      </c>
      <c r="M9" s="215" t="s">
        <v>31</v>
      </c>
      <c r="N9" s="215" t="s">
        <v>31</v>
      </c>
      <c r="O9" s="215" t="s">
        <v>31</v>
      </c>
      <c r="P9" s="215" t="s">
        <v>31</v>
      </c>
      <c r="Q9" s="215" t="s">
        <v>31</v>
      </c>
      <c r="R9" s="198"/>
      <c r="S9" s="198"/>
      <c r="T9" s="198"/>
      <c r="U9" s="198"/>
    </row>
    <row r="10" spans="1:21" s="12" customFormat="1" x14ac:dyDescent="0.25">
      <c r="A10" s="201" t="s">
        <v>818</v>
      </c>
      <c r="B10" s="215" t="s">
        <v>31</v>
      </c>
      <c r="C10" s="215" t="s">
        <v>31</v>
      </c>
      <c r="D10" s="215" t="s">
        <v>31</v>
      </c>
      <c r="E10" s="215" t="s">
        <v>31</v>
      </c>
      <c r="F10" s="215" t="s">
        <v>31</v>
      </c>
      <c r="G10" s="215" t="s">
        <v>31</v>
      </c>
      <c r="H10" s="215" t="s">
        <v>31</v>
      </c>
      <c r="I10" s="215" t="s">
        <v>31</v>
      </c>
      <c r="J10" s="215" t="s">
        <v>31</v>
      </c>
      <c r="K10" s="215" t="s">
        <v>31</v>
      </c>
      <c r="L10" s="215" t="s">
        <v>31</v>
      </c>
      <c r="M10" s="215" t="s">
        <v>31</v>
      </c>
      <c r="N10" s="215" t="s">
        <v>31</v>
      </c>
      <c r="O10" s="215" t="s">
        <v>31</v>
      </c>
      <c r="P10" s="215" t="s">
        <v>31</v>
      </c>
      <c r="Q10" s="215" t="s">
        <v>31</v>
      </c>
      <c r="R10" s="198"/>
      <c r="S10" s="198"/>
      <c r="T10" s="198"/>
      <c r="U10" s="198"/>
    </row>
    <row r="11" spans="1:21" s="12" customFormat="1" x14ac:dyDescent="0.25">
      <c r="A11" s="201" t="s">
        <v>819</v>
      </c>
      <c r="B11" s="215" t="s">
        <v>31</v>
      </c>
      <c r="C11" s="215" t="s">
        <v>31</v>
      </c>
      <c r="D11" s="215" t="s">
        <v>31</v>
      </c>
      <c r="E11" s="215" t="s">
        <v>31</v>
      </c>
      <c r="F11" s="215" t="s">
        <v>31</v>
      </c>
      <c r="G11" s="215" t="s">
        <v>31</v>
      </c>
      <c r="H11" s="215" t="s">
        <v>31</v>
      </c>
      <c r="I11" s="215" t="s">
        <v>31</v>
      </c>
      <c r="J11" s="215" t="s">
        <v>31</v>
      </c>
      <c r="K11" s="215" t="s">
        <v>31</v>
      </c>
      <c r="L11" s="215" t="s">
        <v>31</v>
      </c>
      <c r="M11" s="215" t="s">
        <v>31</v>
      </c>
      <c r="N11" s="215" t="s">
        <v>31</v>
      </c>
      <c r="O11" s="215" t="s">
        <v>31</v>
      </c>
      <c r="P11" s="215" t="s">
        <v>31</v>
      </c>
      <c r="Q11" s="215" t="s">
        <v>31</v>
      </c>
      <c r="R11" s="198"/>
      <c r="S11" s="198"/>
      <c r="T11" s="198"/>
      <c r="U11" s="198"/>
    </row>
    <row r="12" spans="1:21" s="12" customFormat="1" x14ac:dyDescent="0.25">
      <c r="A12" s="201" t="s">
        <v>820</v>
      </c>
      <c r="B12" s="215" t="s">
        <v>31</v>
      </c>
      <c r="C12" s="215" t="s">
        <v>31</v>
      </c>
      <c r="D12" s="215" t="s">
        <v>31</v>
      </c>
      <c r="E12" s="215" t="s">
        <v>31</v>
      </c>
      <c r="F12" s="215" t="s">
        <v>31</v>
      </c>
      <c r="G12" s="215" t="s">
        <v>31</v>
      </c>
      <c r="H12" s="215" t="s">
        <v>31</v>
      </c>
      <c r="I12" s="215" t="s">
        <v>31</v>
      </c>
      <c r="J12" s="215" t="s">
        <v>31</v>
      </c>
      <c r="K12" s="215" t="s">
        <v>31</v>
      </c>
      <c r="L12" s="215" t="s">
        <v>31</v>
      </c>
      <c r="M12" s="215" t="s">
        <v>31</v>
      </c>
      <c r="N12" s="215" t="s">
        <v>31</v>
      </c>
      <c r="O12" s="215" t="s">
        <v>31</v>
      </c>
      <c r="P12" s="215" t="s">
        <v>31</v>
      </c>
      <c r="Q12" s="215" t="s">
        <v>31</v>
      </c>
      <c r="R12" s="198"/>
      <c r="S12" s="198"/>
      <c r="T12" s="198"/>
      <c r="U12" s="198"/>
    </row>
    <row r="13" spans="1:21" s="12" customFormat="1" x14ac:dyDescent="0.25">
      <c r="A13" s="201" t="s">
        <v>821</v>
      </c>
      <c r="B13" s="215" t="s">
        <v>31</v>
      </c>
      <c r="C13" s="215" t="s">
        <v>31</v>
      </c>
      <c r="D13" s="215" t="s">
        <v>31</v>
      </c>
      <c r="E13" s="215" t="s">
        <v>31</v>
      </c>
      <c r="F13" s="215" t="s">
        <v>31</v>
      </c>
      <c r="G13" s="215" t="s">
        <v>31</v>
      </c>
      <c r="H13" s="215" t="s">
        <v>31</v>
      </c>
      <c r="I13" s="215" t="s">
        <v>31</v>
      </c>
      <c r="J13" s="215" t="s">
        <v>31</v>
      </c>
      <c r="K13" s="215" t="s">
        <v>31</v>
      </c>
      <c r="L13" s="215" t="s">
        <v>31</v>
      </c>
      <c r="M13" s="215" t="s">
        <v>31</v>
      </c>
      <c r="N13" s="215" t="s">
        <v>31</v>
      </c>
      <c r="O13" s="215" t="s">
        <v>31</v>
      </c>
      <c r="P13" s="215" t="s">
        <v>31</v>
      </c>
      <c r="Q13" s="215" t="s">
        <v>31</v>
      </c>
      <c r="R13" s="198"/>
      <c r="S13" s="198"/>
      <c r="T13" s="198"/>
      <c r="U13" s="198"/>
    </row>
    <row r="14" spans="1:21" s="12" customFormat="1" x14ac:dyDescent="0.25">
      <c r="A14" s="201" t="s">
        <v>822</v>
      </c>
      <c r="B14" s="215" t="s">
        <v>31</v>
      </c>
      <c r="C14" s="215" t="s">
        <v>31</v>
      </c>
      <c r="D14" s="215" t="s">
        <v>31</v>
      </c>
      <c r="E14" s="215" t="s">
        <v>31</v>
      </c>
      <c r="F14" s="215" t="s">
        <v>31</v>
      </c>
      <c r="G14" s="215" t="s">
        <v>31</v>
      </c>
      <c r="H14" s="215" t="s">
        <v>31</v>
      </c>
      <c r="I14" s="215" t="s">
        <v>31</v>
      </c>
      <c r="J14" s="215" t="s">
        <v>31</v>
      </c>
      <c r="K14" s="215" t="s">
        <v>31</v>
      </c>
      <c r="L14" s="215" t="s">
        <v>31</v>
      </c>
      <c r="M14" s="215" t="s">
        <v>31</v>
      </c>
      <c r="N14" s="215" t="s">
        <v>31</v>
      </c>
      <c r="O14" s="215" t="s">
        <v>31</v>
      </c>
      <c r="P14" s="215" t="s">
        <v>31</v>
      </c>
      <c r="Q14" s="215" t="s">
        <v>31</v>
      </c>
      <c r="R14" s="198"/>
      <c r="S14" s="198"/>
      <c r="T14" s="198"/>
      <c r="U14" s="198"/>
    </row>
    <row r="15" spans="1:21" s="12" customFormat="1" x14ac:dyDescent="0.25">
      <c r="A15" s="201" t="s">
        <v>823</v>
      </c>
      <c r="B15" s="215" t="s">
        <v>31</v>
      </c>
      <c r="C15" s="215" t="s">
        <v>31</v>
      </c>
      <c r="D15" s="215" t="s">
        <v>31</v>
      </c>
      <c r="E15" s="215" t="s">
        <v>31</v>
      </c>
      <c r="F15" s="215" t="s">
        <v>31</v>
      </c>
      <c r="G15" s="215" t="s">
        <v>31</v>
      </c>
      <c r="H15" s="215" t="s">
        <v>31</v>
      </c>
      <c r="I15" s="215" t="s">
        <v>31</v>
      </c>
      <c r="J15" s="215" t="s">
        <v>31</v>
      </c>
      <c r="K15" s="215" t="s">
        <v>31</v>
      </c>
      <c r="L15" s="215" t="s">
        <v>31</v>
      </c>
      <c r="M15" s="215" t="s">
        <v>31</v>
      </c>
      <c r="N15" s="215" t="s">
        <v>31</v>
      </c>
      <c r="O15" s="215" t="s">
        <v>31</v>
      </c>
      <c r="P15" s="215" t="s">
        <v>31</v>
      </c>
      <c r="Q15" s="215" t="s">
        <v>31</v>
      </c>
      <c r="R15" s="198"/>
      <c r="S15" s="198"/>
      <c r="T15" s="198"/>
      <c r="U15" s="198"/>
    </row>
    <row r="16" spans="1:21" s="12" customFormat="1" x14ac:dyDescent="0.25">
      <c r="A16" s="201" t="s">
        <v>824</v>
      </c>
      <c r="B16" s="215" t="s">
        <v>31</v>
      </c>
      <c r="C16" s="215" t="s">
        <v>31</v>
      </c>
      <c r="D16" s="215" t="s">
        <v>31</v>
      </c>
      <c r="E16" s="215" t="s">
        <v>31</v>
      </c>
      <c r="F16" s="215" t="s">
        <v>31</v>
      </c>
      <c r="G16" s="215" t="s">
        <v>31</v>
      </c>
      <c r="H16" s="215" t="s">
        <v>31</v>
      </c>
      <c r="I16" s="215" t="s">
        <v>31</v>
      </c>
      <c r="J16" s="215" t="s">
        <v>31</v>
      </c>
      <c r="K16" s="215" t="s">
        <v>31</v>
      </c>
      <c r="L16" s="215" t="s">
        <v>31</v>
      </c>
      <c r="M16" s="215" t="s">
        <v>31</v>
      </c>
      <c r="N16" s="215" t="s">
        <v>31</v>
      </c>
      <c r="O16" s="215" t="s">
        <v>31</v>
      </c>
      <c r="P16" s="215" t="s">
        <v>31</v>
      </c>
      <c r="Q16" s="215" t="s">
        <v>31</v>
      </c>
      <c r="R16" s="198"/>
      <c r="S16" s="198"/>
      <c r="T16" s="198"/>
      <c r="U16" s="198"/>
    </row>
    <row r="17" spans="1:21" s="12" customFormat="1" x14ac:dyDescent="0.25">
      <c r="A17" s="201" t="s">
        <v>825</v>
      </c>
      <c r="B17" s="215" t="s">
        <v>31</v>
      </c>
      <c r="C17" s="215" t="s">
        <v>31</v>
      </c>
      <c r="D17" s="215" t="s">
        <v>31</v>
      </c>
      <c r="E17" s="215" t="s">
        <v>31</v>
      </c>
      <c r="F17" s="215" t="s">
        <v>31</v>
      </c>
      <c r="G17" s="215" t="s">
        <v>31</v>
      </c>
      <c r="H17" s="215" t="s">
        <v>31</v>
      </c>
      <c r="I17" s="215" t="s">
        <v>31</v>
      </c>
      <c r="J17" s="215" t="s">
        <v>31</v>
      </c>
      <c r="K17" s="215" t="s">
        <v>31</v>
      </c>
      <c r="L17" s="215" t="s">
        <v>31</v>
      </c>
      <c r="M17" s="215" t="s">
        <v>31</v>
      </c>
      <c r="N17" s="215" t="s">
        <v>31</v>
      </c>
      <c r="O17" s="215" t="s">
        <v>31</v>
      </c>
      <c r="P17" s="215" t="s">
        <v>31</v>
      </c>
      <c r="Q17" s="215" t="s">
        <v>31</v>
      </c>
      <c r="R17" s="198"/>
      <c r="S17" s="198"/>
      <c r="T17" s="198"/>
      <c r="U17" s="198"/>
    </row>
    <row r="18" spans="1:21" s="12" customFormat="1" x14ac:dyDescent="0.25">
      <c r="A18" s="201" t="s">
        <v>826</v>
      </c>
      <c r="B18" s="215" t="s">
        <v>31</v>
      </c>
      <c r="C18" s="215" t="s">
        <v>31</v>
      </c>
      <c r="D18" s="215" t="s">
        <v>31</v>
      </c>
      <c r="E18" s="215" t="s">
        <v>31</v>
      </c>
      <c r="F18" s="215" t="s">
        <v>31</v>
      </c>
      <c r="G18" s="215" t="s">
        <v>31</v>
      </c>
      <c r="H18" s="215" t="s">
        <v>31</v>
      </c>
      <c r="I18" s="215" t="s">
        <v>31</v>
      </c>
      <c r="J18" s="215" t="s">
        <v>31</v>
      </c>
      <c r="K18" s="215" t="s">
        <v>31</v>
      </c>
      <c r="L18" s="215" t="s">
        <v>31</v>
      </c>
      <c r="M18" s="215" t="s">
        <v>31</v>
      </c>
      <c r="N18" s="215" t="s">
        <v>31</v>
      </c>
      <c r="O18" s="215" t="s">
        <v>31</v>
      </c>
      <c r="P18" s="215" t="s">
        <v>31</v>
      </c>
      <c r="Q18" s="215" t="s">
        <v>31</v>
      </c>
      <c r="R18" s="198"/>
      <c r="S18" s="198"/>
      <c r="T18" s="198"/>
      <c r="U18" s="198"/>
    </row>
    <row r="19" spans="1:21" s="12" customFormat="1" x14ac:dyDescent="0.25">
      <c r="A19" s="201" t="s">
        <v>827</v>
      </c>
      <c r="B19" s="215" t="s">
        <v>31</v>
      </c>
      <c r="C19" s="215" t="s">
        <v>31</v>
      </c>
      <c r="D19" s="215" t="s">
        <v>31</v>
      </c>
      <c r="E19" s="215" t="s">
        <v>31</v>
      </c>
      <c r="F19" s="215" t="s">
        <v>31</v>
      </c>
      <c r="G19" s="215" t="s">
        <v>31</v>
      </c>
      <c r="H19" s="215" t="s">
        <v>31</v>
      </c>
      <c r="I19" s="215" t="s">
        <v>31</v>
      </c>
      <c r="J19" s="215" t="s">
        <v>31</v>
      </c>
      <c r="K19" s="215" t="s">
        <v>31</v>
      </c>
      <c r="L19" s="215" t="s">
        <v>31</v>
      </c>
      <c r="M19" s="215" t="s">
        <v>31</v>
      </c>
      <c r="N19" s="215" t="s">
        <v>31</v>
      </c>
      <c r="O19" s="215" t="s">
        <v>31</v>
      </c>
      <c r="P19" s="215" t="s">
        <v>31</v>
      </c>
      <c r="Q19" s="215" t="s">
        <v>31</v>
      </c>
      <c r="R19" s="198"/>
      <c r="S19" s="198"/>
      <c r="T19" s="198"/>
      <c r="U19" s="198"/>
    </row>
    <row r="20" spans="1:21" s="12" customFormat="1" x14ac:dyDescent="0.25">
      <c r="A20" s="201" t="s">
        <v>828</v>
      </c>
      <c r="B20" s="215" t="s">
        <v>31</v>
      </c>
      <c r="C20" s="215" t="s">
        <v>31</v>
      </c>
      <c r="D20" s="215" t="s">
        <v>31</v>
      </c>
      <c r="E20" s="215" t="s">
        <v>31</v>
      </c>
      <c r="F20" s="215" t="s">
        <v>31</v>
      </c>
      <c r="G20" s="215" t="s">
        <v>31</v>
      </c>
      <c r="H20" s="215" t="s">
        <v>31</v>
      </c>
      <c r="I20" s="215" t="s">
        <v>31</v>
      </c>
      <c r="J20" s="215" t="s">
        <v>31</v>
      </c>
      <c r="K20" s="215" t="s">
        <v>31</v>
      </c>
      <c r="L20" s="215" t="s">
        <v>31</v>
      </c>
      <c r="M20" s="215" t="s">
        <v>31</v>
      </c>
      <c r="N20" s="215" t="s">
        <v>31</v>
      </c>
      <c r="O20" s="215" t="s">
        <v>31</v>
      </c>
      <c r="P20" s="215" t="s">
        <v>31</v>
      </c>
      <c r="Q20" s="215" t="s">
        <v>31</v>
      </c>
      <c r="R20" s="198"/>
      <c r="S20" s="198"/>
      <c r="T20" s="198"/>
      <c r="U20" s="198"/>
    </row>
    <row r="21" spans="1:21" s="12" customFormat="1" x14ac:dyDescent="0.25">
      <c r="A21" s="201" t="s">
        <v>829</v>
      </c>
      <c r="B21" s="215" t="s">
        <v>31</v>
      </c>
      <c r="C21" s="215" t="s">
        <v>31</v>
      </c>
      <c r="D21" s="215" t="s">
        <v>31</v>
      </c>
      <c r="E21" s="215" t="s">
        <v>31</v>
      </c>
      <c r="F21" s="215" t="s">
        <v>31</v>
      </c>
      <c r="G21" s="215" t="s">
        <v>31</v>
      </c>
      <c r="H21" s="215" t="s">
        <v>31</v>
      </c>
      <c r="I21" s="215" t="s">
        <v>31</v>
      </c>
      <c r="J21" s="215" t="s">
        <v>31</v>
      </c>
      <c r="K21" s="215" t="s">
        <v>31</v>
      </c>
      <c r="L21" s="215" t="s">
        <v>31</v>
      </c>
      <c r="M21" s="215" t="s">
        <v>31</v>
      </c>
      <c r="N21" s="215" t="s">
        <v>31</v>
      </c>
      <c r="O21" s="215" t="s">
        <v>31</v>
      </c>
      <c r="P21" s="215" t="s">
        <v>31</v>
      </c>
      <c r="Q21" s="215" t="s">
        <v>31</v>
      </c>
      <c r="R21" s="198"/>
      <c r="S21" s="198"/>
      <c r="T21" s="198"/>
      <c r="U21" s="198"/>
    </row>
    <row r="22" spans="1:21" s="12" customFormat="1" x14ac:dyDescent="0.25">
      <c r="A22" s="201" t="s">
        <v>830</v>
      </c>
      <c r="B22" s="215" t="s">
        <v>31</v>
      </c>
      <c r="C22" s="215" t="s">
        <v>31</v>
      </c>
      <c r="D22" s="215" t="s">
        <v>31</v>
      </c>
      <c r="E22" s="215" t="s">
        <v>31</v>
      </c>
      <c r="F22" s="215" t="s">
        <v>31</v>
      </c>
      <c r="G22" s="215" t="s">
        <v>31</v>
      </c>
      <c r="H22" s="215" t="s">
        <v>31</v>
      </c>
      <c r="I22" s="215" t="s">
        <v>31</v>
      </c>
      <c r="J22" s="215" t="s">
        <v>31</v>
      </c>
      <c r="K22" s="215" t="s">
        <v>31</v>
      </c>
      <c r="L22" s="215" t="s">
        <v>31</v>
      </c>
      <c r="M22" s="215" t="s">
        <v>31</v>
      </c>
      <c r="N22" s="215" t="s">
        <v>31</v>
      </c>
      <c r="O22" s="215" t="s">
        <v>31</v>
      </c>
      <c r="P22" s="215" t="s">
        <v>31</v>
      </c>
      <c r="Q22" s="215" t="s">
        <v>31</v>
      </c>
      <c r="R22" s="198"/>
      <c r="S22" s="198"/>
      <c r="T22" s="198"/>
      <c r="U22" s="198"/>
    </row>
    <row r="23" spans="1:21" s="12" customFormat="1" x14ac:dyDescent="0.25">
      <c r="A23" s="201" t="s">
        <v>831</v>
      </c>
      <c r="B23" s="215" t="s">
        <v>31</v>
      </c>
      <c r="C23" s="215" t="s">
        <v>31</v>
      </c>
      <c r="D23" s="215" t="s">
        <v>31</v>
      </c>
      <c r="E23" s="215" t="s">
        <v>31</v>
      </c>
      <c r="F23" s="215" t="s">
        <v>31</v>
      </c>
      <c r="G23" s="215" t="s">
        <v>31</v>
      </c>
      <c r="H23" s="215" t="s">
        <v>31</v>
      </c>
      <c r="I23" s="215" t="s">
        <v>31</v>
      </c>
      <c r="J23" s="215" t="s">
        <v>31</v>
      </c>
      <c r="K23" s="215" t="s">
        <v>31</v>
      </c>
      <c r="L23" s="215" t="s">
        <v>31</v>
      </c>
      <c r="M23" s="215" t="s">
        <v>31</v>
      </c>
      <c r="N23" s="215" t="s">
        <v>31</v>
      </c>
      <c r="O23" s="215" t="s">
        <v>31</v>
      </c>
      <c r="P23" s="215" t="s">
        <v>31</v>
      </c>
      <c r="Q23" s="215" t="s">
        <v>31</v>
      </c>
      <c r="R23" s="198"/>
      <c r="S23" s="198"/>
      <c r="T23" s="198"/>
      <c r="U23" s="198"/>
    </row>
    <row r="24" spans="1:21" s="12" customFormat="1" x14ac:dyDescent="0.25">
      <c r="A24" s="201" t="s">
        <v>832</v>
      </c>
      <c r="B24" s="215" t="s">
        <v>31</v>
      </c>
      <c r="C24" s="215" t="s">
        <v>31</v>
      </c>
      <c r="D24" s="215" t="s">
        <v>31</v>
      </c>
      <c r="E24" s="215" t="s">
        <v>31</v>
      </c>
      <c r="F24" s="215" t="s">
        <v>31</v>
      </c>
      <c r="G24" s="215" t="s">
        <v>31</v>
      </c>
      <c r="H24" s="215" t="s">
        <v>31</v>
      </c>
      <c r="I24" s="215" t="s">
        <v>31</v>
      </c>
      <c r="J24" s="215" t="s">
        <v>31</v>
      </c>
      <c r="K24" s="215" t="s">
        <v>31</v>
      </c>
      <c r="L24" s="215" t="s">
        <v>31</v>
      </c>
      <c r="M24" s="215" t="s">
        <v>31</v>
      </c>
      <c r="N24" s="215" t="s">
        <v>31</v>
      </c>
      <c r="O24" s="215" t="s">
        <v>31</v>
      </c>
      <c r="P24" s="215" t="s">
        <v>31</v>
      </c>
      <c r="Q24" s="215" t="s">
        <v>31</v>
      </c>
      <c r="R24" s="198"/>
      <c r="S24" s="198"/>
      <c r="T24" s="198"/>
      <c r="U24" s="198"/>
    </row>
    <row r="25" spans="1:21" s="12" customFormat="1" x14ac:dyDescent="0.25">
      <c r="A25" s="201" t="s">
        <v>833</v>
      </c>
      <c r="B25" s="215" t="s">
        <v>31</v>
      </c>
      <c r="C25" s="215" t="s">
        <v>31</v>
      </c>
      <c r="D25" s="215" t="s">
        <v>31</v>
      </c>
      <c r="E25" s="215" t="s">
        <v>31</v>
      </c>
      <c r="F25" s="215" t="s">
        <v>31</v>
      </c>
      <c r="G25" s="215" t="s">
        <v>31</v>
      </c>
      <c r="H25" s="215" t="s">
        <v>31</v>
      </c>
      <c r="I25" s="215" t="s">
        <v>31</v>
      </c>
      <c r="J25" s="215" t="s">
        <v>31</v>
      </c>
      <c r="K25" s="215" t="s">
        <v>31</v>
      </c>
      <c r="L25" s="215" t="s">
        <v>31</v>
      </c>
      <c r="M25" s="215" t="s">
        <v>31</v>
      </c>
      <c r="N25" s="215" t="s">
        <v>31</v>
      </c>
      <c r="O25" s="215" t="s">
        <v>31</v>
      </c>
      <c r="P25" s="215" t="s">
        <v>31</v>
      </c>
      <c r="Q25" s="215" t="s">
        <v>31</v>
      </c>
      <c r="R25" s="198"/>
      <c r="S25" s="198"/>
      <c r="T25" s="198"/>
      <c r="U25" s="198"/>
    </row>
    <row r="26" spans="1:21" s="12" customFormat="1" x14ac:dyDescent="0.25">
      <c r="A26" s="201" t="s">
        <v>834</v>
      </c>
      <c r="B26" s="215" t="s">
        <v>31</v>
      </c>
      <c r="C26" s="215" t="s">
        <v>31</v>
      </c>
      <c r="D26" s="215" t="s">
        <v>31</v>
      </c>
      <c r="E26" s="215" t="s">
        <v>31</v>
      </c>
      <c r="F26" s="215" t="s">
        <v>31</v>
      </c>
      <c r="G26" s="215" t="s">
        <v>31</v>
      </c>
      <c r="H26" s="215" t="s">
        <v>31</v>
      </c>
      <c r="I26" s="215" t="s">
        <v>31</v>
      </c>
      <c r="J26" s="215" t="s">
        <v>31</v>
      </c>
      <c r="K26" s="215" t="s">
        <v>31</v>
      </c>
      <c r="L26" s="215" t="s">
        <v>31</v>
      </c>
      <c r="M26" s="215" t="s">
        <v>31</v>
      </c>
      <c r="N26" s="215" t="s">
        <v>31</v>
      </c>
      <c r="O26" s="215" t="s">
        <v>31</v>
      </c>
      <c r="P26" s="215" t="s">
        <v>31</v>
      </c>
      <c r="Q26" s="215" t="s">
        <v>31</v>
      </c>
      <c r="R26" s="198"/>
      <c r="S26" s="198"/>
      <c r="T26" s="198"/>
      <c r="U26" s="198"/>
    </row>
    <row r="27" spans="1:21" s="12" customFormat="1" x14ac:dyDescent="0.25">
      <c r="A27" s="201" t="s">
        <v>835</v>
      </c>
      <c r="B27" s="215" t="s">
        <v>31</v>
      </c>
      <c r="C27" s="215" t="s">
        <v>31</v>
      </c>
      <c r="D27" s="215" t="s">
        <v>31</v>
      </c>
      <c r="E27" s="215" t="s">
        <v>31</v>
      </c>
      <c r="F27" s="215" t="s">
        <v>31</v>
      </c>
      <c r="G27" s="215" t="s">
        <v>31</v>
      </c>
      <c r="H27" s="215" t="s">
        <v>31</v>
      </c>
      <c r="I27" s="215" t="s">
        <v>31</v>
      </c>
      <c r="J27" s="215" t="s">
        <v>31</v>
      </c>
      <c r="K27" s="215" t="s">
        <v>31</v>
      </c>
      <c r="L27" s="215" t="s">
        <v>31</v>
      </c>
      <c r="M27" s="215" t="s">
        <v>31</v>
      </c>
      <c r="N27" s="215" t="s">
        <v>31</v>
      </c>
      <c r="O27" s="215" t="s">
        <v>31</v>
      </c>
      <c r="P27" s="215" t="s">
        <v>31</v>
      </c>
      <c r="Q27" s="215" t="s">
        <v>31</v>
      </c>
      <c r="R27" s="198"/>
      <c r="S27" s="198"/>
      <c r="T27" s="198"/>
      <c r="U27" s="198"/>
    </row>
    <row r="28" spans="1:21" s="12" customFormat="1" x14ac:dyDescent="0.25">
      <c r="A28" s="201" t="s">
        <v>836</v>
      </c>
      <c r="B28" s="215" t="s">
        <v>31</v>
      </c>
      <c r="C28" s="215" t="s">
        <v>31</v>
      </c>
      <c r="D28" s="215" t="s">
        <v>31</v>
      </c>
      <c r="E28" s="215" t="s">
        <v>31</v>
      </c>
      <c r="F28" s="215" t="s">
        <v>31</v>
      </c>
      <c r="G28" s="215" t="s">
        <v>31</v>
      </c>
      <c r="H28" s="215" t="s">
        <v>31</v>
      </c>
      <c r="I28" s="215" t="s">
        <v>31</v>
      </c>
      <c r="J28" s="215" t="s">
        <v>31</v>
      </c>
      <c r="K28" s="215" t="s">
        <v>31</v>
      </c>
      <c r="L28" s="215" t="s">
        <v>31</v>
      </c>
      <c r="M28" s="215" t="s">
        <v>31</v>
      </c>
      <c r="N28" s="215" t="s">
        <v>31</v>
      </c>
      <c r="O28" s="215" t="s">
        <v>31</v>
      </c>
      <c r="P28" s="215" t="s">
        <v>31</v>
      </c>
      <c r="Q28" s="215" t="s">
        <v>31</v>
      </c>
      <c r="R28" s="198"/>
      <c r="S28" s="198"/>
      <c r="T28" s="198"/>
      <c r="U28" s="198"/>
    </row>
    <row r="29" spans="1:21" s="12" customFormat="1" x14ac:dyDescent="0.25">
      <c r="A29" s="201" t="s">
        <v>837</v>
      </c>
      <c r="B29" s="215" t="s">
        <v>31</v>
      </c>
      <c r="C29" s="215" t="s">
        <v>31</v>
      </c>
      <c r="D29" s="215" t="s">
        <v>31</v>
      </c>
      <c r="E29" s="215" t="s">
        <v>31</v>
      </c>
      <c r="F29" s="215" t="s">
        <v>31</v>
      </c>
      <c r="G29" s="215" t="s">
        <v>31</v>
      </c>
      <c r="H29" s="215" t="s">
        <v>31</v>
      </c>
      <c r="I29" s="215" t="s">
        <v>31</v>
      </c>
      <c r="J29" s="215" t="s">
        <v>31</v>
      </c>
      <c r="K29" s="215" t="s">
        <v>31</v>
      </c>
      <c r="L29" s="215" t="s">
        <v>31</v>
      </c>
      <c r="M29" s="215" t="s">
        <v>31</v>
      </c>
      <c r="N29" s="215" t="s">
        <v>31</v>
      </c>
      <c r="O29" s="215" t="s">
        <v>31</v>
      </c>
      <c r="P29" s="215" t="s">
        <v>31</v>
      </c>
      <c r="Q29" s="215" t="s">
        <v>31</v>
      </c>
      <c r="R29" s="198"/>
      <c r="S29" s="198"/>
      <c r="T29" s="198"/>
      <c r="U29" s="198"/>
    </row>
    <row r="30" spans="1:21" s="12" customFormat="1" x14ac:dyDescent="0.25">
      <c r="A30" s="201" t="s">
        <v>838</v>
      </c>
      <c r="B30" s="215" t="s">
        <v>31</v>
      </c>
      <c r="C30" s="215" t="s">
        <v>31</v>
      </c>
      <c r="D30" s="215" t="s">
        <v>31</v>
      </c>
      <c r="E30" s="215" t="s">
        <v>31</v>
      </c>
      <c r="F30" s="215" t="s">
        <v>31</v>
      </c>
      <c r="G30" s="215" t="s">
        <v>31</v>
      </c>
      <c r="H30" s="215" t="s">
        <v>31</v>
      </c>
      <c r="I30" s="215" t="s">
        <v>31</v>
      </c>
      <c r="J30" s="215" t="s">
        <v>31</v>
      </c>
      <c r="K30" s="215" t="s">
        <v>31</v>
      </c>
      <c r="L30" s="215" t="s">
        <v>31</v>
      </c>
      <c r="M30" s="215" t="s">
        <v>31</v>
      </c>
      <c r="N30" s="215" t="s">
        <v>31</v>
      </c>
      <c r="O30" s="215" t="s">
        <v>31</v>
      </c>
      <c r="P30" s="215" t="s">
        <v>31</v>
      </c>
      <c r="Q30" s="215" t="s">
        <v>31</v>
      </c>
      <c r="R30" s="198"/>
      <c r="S30" s="198"/>
      <c r="T30" s="198"/>
      <c r="U30" s="198"/>
    </row>
    <row r="31" spans="1:21" s="12" customFormat="1" x14ac:dyDescent="0.25">
      <c r="A31" s="201" t="s">
        <v>839</v>
      </c>
      <c r="B31" s="215" t="s">
        <v>31</v>
      </c>
      <c r="C31" s="215" t="s">
        <v>31</v>
      </c>
      <c r="D31" s="215" t="s">
        <v>31</v>
      </c>
      <c r="E31" s="215" t="s">
        <v>31</v>
      </c>
      <c r="F31" s="215" t="s">
        <v>31</v>
      </c>
      <c r="G31" s="215" t="s">
        <v>31</v>
      </c>
      <c r="H31" s="215" t="s">
        <v>31</v>
      </c>
      <c r="I31" s="215" t="s">
        <v>31</v>
      </c>
      <c r="J31" s="215" t="s">
        <v>31</v>
      </c>
      <c r="K31" s="215" t="s">
        <v>31</v>
      </c>
      <c r="L31" s="215" t="s">
        <v>31</v>
      </c>
      <c r="M31" s="215" t="s">
        <v>31</v>
      </c>
      <c r="N31" s="215" t="s">
        <v>31</v>
      </c>
      <c r="O31" s="215" t="s">
        <v>31</v>
      </c>
      <c r="P31" s="215" t="s">
        <v>31</v>
      </c>
      <c r="Q31" s="215" t="s">
        <v>31</v>
      </c>
      <c r="R31" s="198"/>
      <c r="S31" s="198"/>
      <c r="T31" s="198"/>
      <c r="U31" s="198"/>
    </row>
    <row r="32" spans="1:21" s="12" customFormat="1" x14ac:dyDescent="0.25">
      <c r="A32" s="201" t="s">
        <v>840</v>
      </c>
      <c r="B32" s="215" t="s">
        <v>31</v>
      </c>
      <c r="C32" s="215" t="s">
        <v>31</v>
      </c>
      <c r="D32" s="215" t="s">
        <v>31</v>
      </c>
      <c r="E32" s="215" t="s">
        <v>31</v>
      </c>
      <c r="F32" s="215" t="s">
        <v>31</v>
      </c>
      <c r="G32" s="215" t="s">
        <v>31</v>
      </c>
      <c r="H32" s="215" t="s">
        <v>31</v>
      </c>
      <c r="I32" s="215" t="s">
        <v>31</v>
      </c>
      <c r="J32" s="215" t="s">
        <v>31</v>
      </c>
      <c r="K32" s="215" t="s">
        <v>31</v>
      </c>
      <c r="L32" s="215" t="s">
        <v>31</v>
      </c>
      <c r="M32" s="215" t="s">
        <v>31</v>
      </c>
      <c r="N32" s="215" t="s">
        <v>31</v>
      </c>
      <c r="O32" s="215" t="s">
        <v>31</v>
      </c>
      <c r="P32" s="215" t="s">
        <v>31</v>
      </c>
      <c r="Q32" s="215" t="s">
        <v>31</v>
      </c>
      <c r="R32" s="198"/>
      <c r="S32" s="198"/>
      <c r="T32" s="198"/>
      <c r="U32" s="198"/>
    </row>
    <row r="33" spans="1:21" s="12" customFormat="1" x14ac:dyDescent="0.25">
      <c r="A33" s="201" t="s">
        <v>841</v>
      </c>
      <c r="B33" s="215" t="s">
        <v>31</v>
      </c>
      <c r="C33" s="215" t="s">
        <v>31</v>
      </c>
      <c r="D33" s="215" t="s">
        <v>31</v>
      </c>
      <c r="E33" s="215" t="s">
        <v>31</v>
      </c>
      <c r="F33" s="215" t="s">
        <v>31</v>
      </c>
      <c r="G33" s="215" t="s">
        <v>31</v>
      </c>
      <c r="H33" s="215" t="s">
        <v>31</v>
      </c>
      <c r="I33" s="215" t="s">
        <v>31</v>
      </c>
      <c r="J33" s="215" t="s">
        <v>31</v>
      </c>
      <c r="K33" s="215" t="s">
        <v>31</v>
      </c>
      <c r="L33" s="215" t="s">
        <v>31</v>
      </c>
      <c r="M33" s="215" t="s">
        <v>31</v>
      </c>
      <c r="N33" s="215" t="s">
        <v>31</v>
      </c>
      <c r="O33" s="215" t="s">
        <v>31</v>
      </c>
      <c r="P33" s="215" t="s">
        <v>31</v>
      </c>
      <c r="Q33" s="215" t="s">
        <v>31</v>
      </c>
      <c r="R33" s="198"/>
      <c r="S33" s="198"/>
      <c r="T33" s="198"/>
      <c r="U33" s="198"/>
    </row>
    <row r="34" spans="1:21" s="12" customFormat="1" x14ac:dyDescent="0.25">
      <c r="A34" s="201" t="s">
        <v>842</v>
      </c>
      <c r="B34" s="215" t="s">
        <v>31</v>
      </c>
      <c r="C34" s="215" t="s">
        <v>31</v>
      </c>
      <c r="D34" s="215" t="s">
        <v>31</v>
      </c>
      <c r="E34" s="215" t="s">
        <v>31</v>
      </c>
      <c r="F34" s="215" t="s">
        <v>31</v>
      </c>
      <c r="G34" s="215" t="s">
        <v>31</v>
      </c>
      <c r="H34" s="215" t="s">
        <v>31</v>
      </c>
      <c r="I34" s="215" t="s">
        <v>31</v>
      </c>
      <c r="J34" s="215" t="s">
        <v>31</v>
      </c>
      <c r="K34" s="215" t="s">
        <v>31</v>
      </c>
      <c r="L34" s="215" t="s">
        <v>31</v>
      </c>
      <c r="M34" s="215" t="s">
        <v>31</v>
      </c>
      <c r="N34" s="215" t="s">
        <v>31</v>
      </c>
      <c r="O34" s="215" t="s">
        <v>31</v>
      </c>
      <c r="P34" s="215" t="s">
        <v>31</v>
      </c>
      <c r="Q34" s="215" t="s">
        <v>31</v>
      </c>
      <c r="R34" s="198"/>
      <c r="S34" s="198"/>
      <c r="T34" s="198"/>
      <c r="U34" s="198"/>
    </row>
    <row r="35" spans="1:21" s="12" customFormat="1" x14ac:dyDescent="0.25">
      <c r="A35" s="201" t="s">
        <v>843</v>
      </c>
      <c r="B35" s="215" t="s">
        <v>31</v>
      </c>
      <c r="C35" s="215" t="s">
        <v>31</v>
      </c>
      <c r="D35" s="215" t="s">
        <v>31</v>
      </c>
      <c r="E35" s="215" t="s">
        <v>31</v>
      </c>
      <c r="F35" s="215" t="s">
        <v>31</v>
      </c>
      <c r="G35" s="215" t="s">
        <v>31</v>
      </c>
      <c r="H35" s="215" t="s">
        <v>31</v>
      </c>
      <c r="I35" s="215" t="s">
        <v>31</v>
      </c>
      <c r="J35" s="215" t="s">
        <v>31</v>
      </c>
      <c r="K35" s="215" t="s">
        <v>31</v>
      </c>
      <c r="L35" s="215" t="s">
        <v>31</v>
      </c>
      <c r="M35" s="215" t="s">
        <v>31</v>
      </c>
      <c r="N35" s="215" t="s">
        <v>31</v>
      </c>
      <c r="O35" s="215" t="s">
        <v>31</v>
      </c>
      <c r="P35" s="215" t="s">
        <v>31</v>
      </c>
      <c r="Q35" s="215" t="s">
        <v>31</v>
      </c>
      <c r="R35" s="198"/>
      <c r="S35" s="198"/>
      <c r="T35" s="198"/>
      <c r="U35" s="198"/>
    </row>
    <row r="36" spans="1:21" s="12" customFormat="1" x14ac:dyDescent="0.25">
      <c r="A36" s="201" t="s">
        <v>844</v>
      </c>
      <c r="B36" s="215" t="s">
        <v>31</v>
      </c>
      <c r="C36" s="215" t="s">
        <v>31</v>
      </c>
      <c r="D36" s="215" t="s">
        <v>31</v>
      </c>
      <c r="E36" s="215" t="s">
        <v>31</v>
      </c>
      <c r="F36" s="215" t="s">
        <v>31</v>
      </c>
      <c r="G36" s="215" t="s">
        <v>31</v>
      </c>
      <c r="H36" s="215" t="s">
        <v>31</v>
      </c>
      <c r="I36" s="215" t="s">
        <v>31</v>
      </c>
      <c r="J36" s="215" t="s">
        <v>31</v>
      </c>
      <c r="K36" s="215" t="s">
        <v>31</v>
      </c>
      <c r="L36" s="215" t="s">
        <v>31</v>
      </c>
      <c r="M36" s="215" t="s">
        <v>31</v>
      </c>
      <c r="N36" s="215" t="s">
        <v>31</v>
      </c>
      <c r="O36" s="215" t="s">
        <v>31</v>
      </c>
      <c r="P36" s="215" t="s">
        <v>31</v>
      </c>
      <c r="Q36" s="215" t="s">
        <v>31</v>
      </c>
      <c r="R36" s="198"/>
      <c r="S36" s="198"/>
      <c r="T36" s="198"/>
      <c r="U36" s="198"/>
    </row>
    <row r="37" spans="1:21" s="12" customFormat="1" x14ac:dyDescent="0.25">
      <c r="A37" s="201" t="s">
        <v>845</v>
      </c>
      <c r="B37" s="215" t="s">
        <v>31</v>
      </c>
      <c r="C37" s="215" t="s">
        <v>31</v>
      </c>
      <c r="D37" s="215" t="s">
        <v>31</v>
      </c>
      <c r="E37" s="215" t="s">
        <v>31</v>
      </c>
      <c r="F37" s="215" t="s">
        <v>31</v>
      </c>
      <c r="G37" s="215" t="s">
        <v>31</v>
      </c>
      <c r="H37" s="215" t="s">
        <v>31</v>
      </c>
      <c r="I37" s="215" t="s">
        <v>31</v>
      </c>
      <c r="J37" s="215" t="s">
        <v>31</v>
      </c>
      <c r="K37" s="215" t="s">
        <v>31</v>
      </c>
      <c r="L37" s="215" t="s">
        <v>31</v>
      </c>
      <c r="M37" s="215" t="s">
        <v>31</v>
      </c>
      <c r="N37" s="215" t="s">
        <v>31</v>
      </c>
      <c r="O37" s="215" t="s">
        <v>31</v>
      </c>
      <c r="P37" s="215" t="s">
        <v>31</v>
      </c>
      <c r="Q37" s="215" t="s">
        <v>31</v>
      </c>
      <c r="R37" s="198"/>
      <c r="S37" s="198"/>
      <c r="T37" s="198"/>
      <c r="U37" s="198"/>
    </row>
    <row r="38" spans="1:21" s="12" customFormat="1" x14ac:dyDescent="0.25">
      <c r="A38" s="201" t="s">
        <v>846</v>
      </c>
      <c r="B38" s="215" t="s">
        <v>31</v>
      </c>
      <c r="C38" s="215" t="s">
        <v>31</v>
      </c>
      <c r="D38" s="215" t="s">
        <v>31</v>
      </c>
      <c r="E38" s="215" t="s">
        <v>31</v>
      </c>
      <c r="F38" s="215" t="s">
        <v>31</v>
      </c>
      <c r="G38" s="215" t="s">
        <v>31</v>
      </c>
      <c r="H38" s="215" t="s">
        <v>31</v>
      </c>
      <c r="I38" s="215" t="s">
        <v>31</v>
      </c>
      <c r="J38" s="215" t="s">
        <v>31</v>
      </c>
      <c r="K38" s="215" t="s">
        <v>31</v>
      </c>
      <c r="L38" s="215" t="s">
        <v>31</v>
      </c>
      <c r="M38" s="215" t="s">
        <v>31</v>
      </c>
      <c r="N38" s="215" t="s">
        <v>31</v>
      </c>
      <c r="O38" s="215" t="s">
        <v>31</v>
      </c>
      <c r="P38" s="215" t="s">
        <v>31</v>
      </c>
      <c r="Q38" s="215" t="s">
        <v>31</v>
      </c>
      <c r="R38" s="198"/>
      <c r="S38" s="198"/>
      <c r="T38" s="198"/>
      <c r="U38" s="198"/>
    </row>
    <row r="39" spans="1:21" s="12" customFormat="1" x14ac:dyDescent="0.25">
      <c r="A39" s="201" t="s">
        <v>847</v>
      </c>
      <c r="B39" s="215" t="s">
        <v>31</v>
      </c>
      <c r="C39" s="215" t="s">
        <v>31</v>
      </c>
      <c r="D39" s="215" t="s">
        <v>31</v>
      </c>
      <c r="E39" s="215" t="s">
        <v>31</v>
      </c>
      <c r="F39" s="215" t="s">
        <v>31</v>
      </c>
      <c r="G39" s="215" t="s">
        <v>31</v>
      </c>
      <c r="H39" s="215" t="s">
        <v>31</v>
      </c>
      <c r="I39" s="215" t="s">
        <v>31</v>
      </c>
      <c r="J39" s="215" t="s">
        <v>31</v>
      </c>
      <c r="K39" s="215" t="s">
        <v>31</v>
      </c>
      <c r="L39" s="215" t="s">
        <v>31</v>
      </c>
      <c r="M39" s="215" t="s">
        <v>31</v>
      </c>
      <c r="N39" s="215" t="s">
        <v>31</v>
      </c>
      <c r="O39" s="215" t="s">
        <v>31</v>
      </c>
      <c r="P39" s="215" t="s">
        <v>31</v>
      </c>
      <c r="Q39" s="215" t="s">
        <v>31</v>
      </c>
      <c r="R39" s="198"/>
      <c r="S39" s="198"/>
      <c r="T39" s="198"/>
      <c r="U39" s="198"/>
    </row>
    <row r="40" spans="1:21" s="12" customFormat="1" x14ac:dyDescent="0.25">
      <c r="A40" s="201" t="s">
        <v>848</v>
      </c>
      <c r="B40" s="215" t="s">
        <v>31</v>
      </c>
      <c r="C40" s="215" t="s">
        <v>31</v>
      </c>
      <c r="D40" s="215" t="s">
        <v>31</v>
      </c>
      <c r="E40" s="215" t="s">
        <v>31</v>
      </c>
      <c r="F40" s="215" t="s">
        <v>31</v>
      </c>
      <c r="G40" s="215" t="s">
        <v>31</v>
      </c>
      <c r="H40" s="215" t="s">
        <v>31</v>
      </c>
      <c r="I40" s="215" t="s">
        <v>31</v>
      </c>
      <c r="J40" s="215" t="s">
        <v>31</v>
      </c>
      <c r="K40" s="215" t="s">
        <v>31</v>
      </c>
      <c r="L40" s="215" t="s">
        <v>31</v>
      </c>
      <c r="M40" s="215" t="s">
        <v>31</v>
      </c>
      <c r="N40" s="215" t="s">
        <v>31</v>
      </c>
      <c r="O40" s="215" t="s">
        <v>31</v>
      </c>
      <c r="P40" s="215" t="s">
        <v>31</v>
      </c>
      <c r="Q40" s="215" t="s">
        <v>31</v>
      </c>
      <c r="R40" s="198"/>
      <c r="S40" s="198"/>
      <c r="T40" s="198"/>
      <c r="U40" s="198"/>
    </row>
    <row r="41" spans="1:21" s="12" customFormat="1" x14ac:dyDescent="0.25">
      <c r="A41" s="201" t="s">
        <v>849</v>
      </c>
      <c r="B41" s="215" t="s">
        <v>31</v>
      </c>
      <c r="C41" s="215" t="s">
        <v>31</v>
      </c>
      <c r="D41" s="215" t="s">
        <v>31</v>
      </c>
      <c r="E41" s="215" t="s">
        <v>31</v>
      </c>
      <c r="F41" s="215" t="s">
        <v>31</v>
      </c>
      <c r="G41" s="215" t="s">
        <v>31</v>
      </c>
      <c r="H41" s="215" t="s">
        <v>31</v>
      </c>
      <c r="I41" s="215" t="s">
        <v>31</v>
      </c>
      <c r="J41" s="215" t="s">
        <v>31</v>
      </c>
      <c r="K41" s="215" t="s">
        <v>31</v>
      </c>
      <c r="L41" s="215" t="s">
        <v>31</v>
      </c>
      <c r="M41" s="215" t="s">
        <v>31</v>
      </c>
      <c r="N41" s="215" t="s">
        <v>31</v>
      </c>
      <c r="O41" s="215" t="s">
        <v>31</v>
      </c>
      <c r="P41" s="215" t="s">
        <v>31</v>
      </c>
      <c r="Q41" s="215" t="s">
        <v>31</v>
      </c>
      <c r="R41" s="198"/>
      <c r="S41" s="198"/>
      <c r="T41" s="198"/>
      <c r="U41" s="198"/>
    </row>
    <row r="42" spans="1:21" s="12" customFormat="1" x14ac:dyDescent="0.25">
      <c r="A42" s="201" t="s">
        <v>850</v>
      </c>
      <c r="B42" s="215" t="s">
        <v>31</v>
      </c>
      <c r="C42" s="215" t="s">
        <v>31</v>
      </c>
      <c r="D42" s="215" t="s">
        <v>31</v>
      </c>
      <c r="E42" s="215" t="s">
        <v>31</v>
      </c>
      <c r="F42" s="215" t="s">
        <v>31</v>
      </c>
      <c r="G42" s="215" t="s">
        <v>31</v>
      </c>
      <c r="H42" s="215" t="s">
        <v>31</v>
      </c>
      <c r="I42" s="215" t="s">
        <v>31</v>
      </c>
      <c r="J42" s="215" t="s">
        <v>31</v>
      </c>
      <c r="K42" s="215" t="s">
        <v>31</v>
      </c>
      <c r="L42" s="215" t="s">
        <v>31</v>
      </c>
      <c r="M42" s="215" t="s">
        <v>31</v>
      </c>
      <c r="N42" s="215" t="s">
        <v>31</v>
      </c>
      <c r="O42" s="215" t="s">
        <v>31</v>
      </c>
      <c r="P42" s="215" t="s">
        <v>31</v>
      </c>
      <c r="Q42" s="215" t="s">
        <v>31</v>
      </c>
      <c r="R42" s="198"/>
      <c r="S42" s="198"/>
      <c r="T42" s="198"/>
      <c r="U42" s="198"/>
    </row>
    <row r="43" spans="1:21" s="12" customFormat="1" x14ac:dyDescent="0.25">
      <c r="A43" s="201" t="s">
        <v>851</v>
      </c>
      <c r="B43" s="215" t="s">
        <v>31</v>
      </c>
      <c r="C43" s="215" t="s">
        <v>31</v>
      </c>
      <c r="D43" s="215" t="s">
        <v>31</v>
      </c>
      <c r="E43" s="215" t="s">
        <v>31</v>
      </c>
      <c r="F43" s="215" t="s">
        <v>31</v>
      </c>
      <c r="G43" s="215" t="s">
        <v>31</v>
      </c>
      <c r="H43" s="215" t="s">
        <v>31</v>
      </c>
      <c r="I43" s="215" t="s">
        <v>31</v>
      </c>
      <c r="J43" s="215" t="s">
        <v>31</v>
      </c>
      <c r="K43" s="215" t="s">
        <v>31</v>
      </c>
      <c r="L43" s="215" t="s">
        <v>31</v>
      </c>
      <c r="M43" s="215" t="s">
        <v>31</v>
      </c>
      <c r="N43" s="215" t="s">
        <v>31</v>
      </c>
      <c r="O43" s="215" t="s">
        <v>31</v>
      </c>
      <c r="P43" s="215" t="s">
        <v>31</v>
      </c>
      <c r="Q43" s="215" t="s">
        <v>31</v>
      </c>
      <c r="R43" s="198"/>
      <c r="S43" s="198"/>
      <c r="T43" s="198"/>
      <c r="U43" s="198"/>
    </row>
    <row r="44" spans="1:21" s="12" customFormat="1" x14ac:dyDescent="0.25">
      <c r="A44" s="201" t="s">
        <v>852</v>
      </c>
      <c r="B44" s="215" t="s">
        <v>31</v>
      </c>
      <c r="C44" s="215" t="s">
        <v>31</v>
      </c>
      <c r="D44" s="215" t="s">
        <v>31</v>
      </c>
      <c r="E44" s="215" t="s">
        <v>31</v>
      </c>
      <c r="F44" s="215" t="s">
        <v>31</v>
      </c>
      <c r="G44" s="215" t="s">
        <v>31</v>
      </c>
      <c r="H44" s="215" t="s">
        <v>31</v>
      </c>
      <c r="I44" s="215" t="s">
        <v>31</v>
      </c>
      <c r="J44" s="215" t="s">
        <v>31</v>
      </c>
      <c r="K44" s="215" t="s">
        <v>31</v>
      </c>
      <c r="L44" s="215" t="s">
        <v>31</v>
      </c>
      <c r="M44" s="215" t="s">
        <v>31</v>
      </c>
      <c r="N44" s="215" t="s">
        <v>31</v>
      </c>
      <c r="O44" s="215" t="s">
        <v>31</v>
      </c>
      <c r="P44" s="215" t="s">
        <v>31</v>
      </c>
      <c r="Q44" s="215" t="s">
        <v>31</v>
      </c>
      <c r="R44" s="198"/>
      <c r="S44" s="198"/>
      <c r="T44" s="198"/>
      <c r="U44" s="198"/>
    </row>
    <row r="45" spans="1:21" s="12" customFormat="1" x14ac:dyDescent="0.25">
      <c r="A45" s="201" t="s">
        <v>853</v>
      </c>
      <c r="B45" s="215" t="s">
        <v>31</v>
      </c>
      <c r="C45" s="215" t="s">
        <v>31</v>
      </c>
      <c r="D45" s="215" t="s">
        <v>31</v>
      </c>
      <c r="E45" s="215" t="s">
        <v>31</v>
      </c>
      <c r="F45" s="215" t="s">
        <v>31</v>
      </c>
      <c r="G45" s="215" t="s">
        <v>31</v>
      </c>
      <c r="H45" s="215" t="s">
        <v>31</v>
      </c>
      <c r="I45" s="215" t="s">
        <v>31</v>
      </c>
      <c r="J45" s="215" t="s">
        <v>31</v>
      </c>
      <c r="K45" s="215" t="s">
        <v>31</v>
      </c>
      <c r="L45" s="215" t="s">
        <v>31</v>
      </c>
      <c r="M45" s="215" t="s">
        <v>31</v>
      </c>
      <c r="N45" s="215" t="s">
        <v>31</v>
      </c>
      <c r="O45" s="215" t="s">
        <v>31</v>
      </c>
      <c r="P45" s="215" t="s">
        <v>31</v>
      </c>
      <c r="Q45" s="215" t="s">
        <v>31</v>
      </c>
      <c r="R45" s="198"/>
      <c r="S45" s="198"/>
      <c r="T45" s="198"/>
      <c r="U45" s="198"/>
    </row>
    <row r="46" spans="1:21" s="12" customFormat="1" x14ac:dyDescent="0.25">
      <c r="A46" s="201" t="s">
        <v>854</v>
      </c>
      <c r="B46" s="215" t="s">
        <v>31</v>
      </c>
      <c r="C46" s="215" t="s">
        <v>31</v>
      </c>
      <c r="D46" s="215" t="s">
        <v>31</v>
      </c>
      <c r="E46" s="215" t="s">
        <v>31</v>
      </c>
      <c r="F46" s="215" t="s">
        <v>31</v>
      </c>
      <c r="G46" s="215" t="s">
        <v>31</v>
      </c>
      <c r="H46" s="215" t="s">
        <v>31</v>
      </c>
      <c r="I46" s="215" t="s">
        <v>31</v>
      </c>
      <c r="J46" s="215" t="s">
        <v>31</v>
      </c>
      <c r="K46" s="215" t="s">
        <v>31</v>
      </c>
      <c r="L46" s="215" t="s">
        <v>31</v>
      </c>
      <c r="M46" s="215" t="s">
        <v>31</v>
      </c>
      <c r="N46" s="215" t="s">
        <v>31</v>
      </c>
      <c r="O46" s="215" t="s">
        <v>31</v>
      </c>
      <c r="P46" s="215" t="s">
        <v>31</v>
      </c>
      <c r="Q46" s="215" t="s">
        <v>31</v>
      </c>
      <c r="R46" s="198"/>
      <c r="S46" s="198"/>
      <c r="T46" s="198"/>
      <c r="U46" s="198"/>
    </row>
    <row r="47" spans="1:21" s="12" customFormat="1" x14ac:dyDescent="0.25">
      <c r="A47" s="201" t="s">
        <v>855</v>
      </c>
      <c r="B47" s="215" t="s">
        <v>31</v>
      </c>
      <c r="C47" s="215" t="s">
        <v>31</v>
      </c>
      <c r="D47" s="215" t="s">
        <v>31</v>
      </c>
      <c r="E47" s="215" t="s">
        <v>31</v>
      </c>
      <c r="F47" s="215" t="s">
        <v>31</v>
      </c>
      <c r="G47" s="215" t="s">
        <v>31</v>
      </c>
      <c r="H47" s="215" t="s">
        <v>31</v>
      </c>
      <c r="I47" s="215" t="s">
        <v>31</v>
      </c>
      <c r="J47" s="215" t="s">
        <v>31</v>
      </c>
      <c r="K47" s="215" t="s">
        <v>31</v>
      </c>
      <c r="L47" s="215" t="s">
        <v>31</v>
      </c>
      <c r="M47" s="215" t="s">
        <v>31</v>
      </c>
      <c r="N47" s="215" t="s">
        <v>31</v>
      </c>
      <c r="O47" s="215" t="s">
        <v>31</v>
      </c>
      <c r="P47" s="215" t="s">
        <v>31</v>
      </c>
      <c r="Q47" s="215" t="s">
        <v>31</v>
      </c>
      <c r="R47" s="198"/>
      <c r="S47" s="198"/>
      <c r="T47" s="198"/>
      <c r="U47" s="198"/>
    </row>
    <row r="48" spans="1:21" s="12" customFormat="1" x14ac:dyDescent="0.25">
      <c r="A48" s="201" t="s">
        <v>856</v>
      </c>
      <c r="B48" s="215" t="s">
        <v>31</v>
      </c>
      <c r="C48" s="215" t="s">
        <v>31</v>
      </c>
      <c r="D48" s="215" t="s">
        <v>31</v>
      </c>
      <c r="E48" s="215" t="s">
        <v>31</v>
      </c>
      <c r="F48" s="215" t="s">
        <v>31</v>
      </c>
      <c r="G48" s="215" t="s">
        <v>31</v>
      </c>
      <c r="H48" s="215" t="s">
        <v>31</v>
      </c>
      <c r="I48" s="215" t="s">
        <v>31</v>
      </c>
      <c r="J48" s="215" t="s">
        <v>31</v>
      </c>
      <c r="K48" s="215" t="s">
        <v>31</v>
      </c>
      <c r="L48" s="215" t="s">
        <v>31</v>
      </c>
      <c r="M48" s="215" t="s">
        <v>31</v>
      </c>
      <c r="N48" s="215" t="s">
        <v>31</v>
      </c>
      <c r="O48" s="215" t="s">
        <v>31</v>
      </c>
      <c r="P48" s="215" t="s">
        <v>31</v>
      </c>
      <c r="Q48" s="215" t="s">
        <v>31</v>
      </c>
      <c r="R48" s="198"/>
      <c r="S48" s="198"/>
      <c r="T48" s="198"/>
      <c r="U48" s="198"/>
    </row>
    <row r="49" spans="1:21" s="12" customFormat="1" x14ac:dyDescent="0.25">
      <c r="A49" s="201" t="s">
        <v>857</v>
      </c>
      <c r="B49" s="215" t="s">
        <v>31</v>
      </c>
      <c r="C49" s="215" t="s">
        <v>31</v>
      </c>
      <c r="D49" s="215" t="s">
        <v>31</v>
      </c>
      <c r="E49" s="215" t="s">
        <v>31</v>
      </c>
      <c r="F49" s="215" t="s">
        <v>31</v>
      </c>
      <c r="G49" s="215" t="s">
        <v>31</v>
      </c>
      <c r="H49" s="215" t="s">
        <v>31</v>
      </c>
      <c r="I49" s="215" t="s">
        <v>31</v>
      </c>
      <c r="J49" s="215" t="s">
        <v>31</v>
      </c>
      <c r="K49" s="215" t="s">
        <v>31</v>
      </c>
      <c r="L49" s="215" t="s">
        <v>31</v>
      </c>
      <c r="M49" s="215" t="s">
        <v>31</v>
      </c>
      <c r="N49" s="215" t="s">
        <v>31</v>
      </c>
      <c r="O49" s="215" t="s">
        <v>31</v>
      </c>
      <c r="P49" s="215" t="s">
        <v>31</v>
      </c>
      <c r="Q49" s="215" t="s">
        <v>31</v>
      </c>
      <c r="R49" s="198"/>
      <c r="S49" s="198"/>
      <c r="T49" s="198"/>
      <c r="U49" s="198"/>
    </row>
    <row r="50" spans="1:21" s="12" customFormat="1" x14ac:dyDescent="0.25">
      <c r="A50" s="201" t="s">
        <v>858</v>
      </c>
      <c r="B50" s="215" t="s">
        <v>31</v>
      </c>
      <c r="C50" s="215" t="s">
        <v>31</v>
      </c>
      <c r="D50" s="215" t="s">
        <v>31</v>
      </c>
      <c r="E50" s="215" t="s">
        <v>31</v>
      </c>
      <c r="F50" s="215" t="s">
        <v>31</v>
      </c>
      <c r="G50" s="215" t="s">
        <v>31</v>
      </c>
      <c r="H50" s="215" t="s">
        <v>31</v>
      </c>
      <c r="I50" s="215" t="s">
        <v>31</v>
      </c>
      <c r="J50" s="215" t="s">
        <v>31</v>
      </c>
      <c r="K50" s="215" t="s">
        <v>31</v>
      </c>
      <c r="L50" s="215" t="s">
        <v>31</v>
      </c>
      <c r="M50" s="215" t="s">
        <v>31</v>
      </c>
      <c r="N50" s="215" t="s">
        <v>31</v>
      </c>
      <c r="O50" s="215" t="s">
        <v>31</v>
      </c>
      <c r="P50" s="215" t="s">
        <v>31</v>
      </c>
      <c r="Q50" s="215" t="s">
        <v>31</v>
      </c>
      <c r="R50" s="198"/>
      <c r="S50" s="198"/>
      <c r="T50" s="198"/>
      <c r="U50" s="198"/>
    </row>
    <row r="51" spans="1:21" s="12" customFormat="1" x14ac:dyDescent="0.25">
      <c r="A51" s="201" t="s">
        <v>859</v>
      </c>
      <c r="B51" s="215" t="s">
        <v>31</v>
      </c>
      <c r="C51" s="215" t="s">
        <v>31</v>
      </c>
      <c r="D51" s="215" t="s">
        <v>31</v>
      </c>
      <c r="E51" s="215" t="s">
        <v>31</v>
      </c>
      <c r="F51" s="215" t="s">
        <v>31</v>
      </c>
      <c r="G51" s="215" t="s">
        <v>31</v>
      </c>
      <c r="H51" s="215" t="s">
        <v>31</v>
      </c>
      <c r="I51" s="215" t="s">
        <v>31</v>
      </c>
      <c r="J51" s="215" t="s">
        <v>31</v>
      </c>
      <c r="K51" s="215" t="s">
        <v>31</v>
      </c>
      <c r="L51" s="215" t="s">
        <v>31</v>
      </c>
      <c r="M51" s="215" t="s">
        <v>31</v>
      </c>
      <c r="N51" s="215" t="s">
        <v>31</v>
      </c>
      <c r="O51" s="215" t="s">
        <v>31</v>
      </c>
      <c r="P51" s="215" t="s">
        <v>31</v>
      </c>
      <c r="Q51" s="215" t="s">
        <v>31</v>
      </c>
      <c r="R51" s="198"/>
      <c r="S51" s="198"/>
      <c r="T51" s="198"/>
      <c r="U51" s="198"/>
    </row>
    <row r="52" spans="1:21" s="12" customFormat="1" x14ac:dyDescent="0.25">
      <c r="A52" s="201" t="s">
        <v>860</v>
      </c>
      <c r="B52" s="215" t="s">
        <v>31</v>
      </c>
      <c r="C52" s="215" t="s">
        <v>31</v>
      </c>
      <c r="D52" s="215" t="s">
        <v>31</v>
      </c>
      <c r="E52" s="215" t="s">
        <v>31</v>
      </c>
      <c r="F52" s="215" t="s">
        <v>31</v>
      </c>
      <c r="G52" s="215" t="s">
        <v>31</v>
      </c>
      <c r="H52" s="215" t="s">
        <v>31</v>
      </c>
      <c r="I52" s="215" t="s">
        <v>31</v>
      </c>
      <c r="J52" s="215" t="s">
        <v>31</v>
      </c>
      <c r="K52" s="215" t="s">
        <v>31</v>
      </c>
      <c r="L52" s="215" t="s">
        <v>31</v>
      </c>
      <c r="M52" s="215" t="s">
        <v>31</v>
      </c>
      <c r="N52" s="215" t="s">
        <v>31</v>
      </c>
      <c r="O52" s="215" t="s">
        <v>31</v>
      </c>
      <c r="P52" s="215" t="s">
        <v>31</v>
      </c>
      <c r="Q52" s="215" t="s">
        <v>31</v>
      </c>
      <c r="R52" s="198"/>
      <c r="S52" s="198"/>
      <c r="T52" s="198"/>
      <c r="U52" s="198"/>
    </row>
    <row r="53" spans="1:21" s="12" customFormat="1" x14ac:dyDescent="0.25">
      <c r="A53" s="201" t="s">
        <v>861</v>
      </c>
      <c r="B53" s="215" t="s">
        <v>31</v>
      </c>
      <c r="C53" s="215" t="s">
        <v>31</v>
      </c>
      <c r="D53" s="215" t="s">
        <v>31</v>
      </c>
      <c r="E53" s="215" t="s">
        <v>31</v>
      </c>
      <c r="F53" s="215" t="s">
        <v>31</v>
      </c>
      <c r="G53" s="215" t="s">
        <v>31</v>
      </c>
      <c r="H53" s="215" t="s">
        <v>31</v>
      </c>
      <c r="I53" s="215" t="s">
        <v>31</v>
      </c>
      <c r="J53" s="215" t="s">
        <v>31</v>
      </c>
      <c r="K53" s="215" t="s">
        <v>31</v>
      </c>
      <c r="L53" s="215" t="s">
        <v>31</v>
      </c>
      <c r="M53" s="215" t="s">
        <v>31</v>
      </c>
      <c r="N53" s="215" t="s">
        <v>31</v>
      </c>
      <c r="O53" s="215" t="s">
        <v>31</v>
      </c>
      <c r="P53" s="215" t="s">
        <v>31</v>
      </c>
      <c r="Q53" s="215" t="s">
        <v>31</v>
      </c>
      <c r="R53" s="198"/>
      <c r="S53" s="198"/>
      <c r="T53" s="198"/>
      <c r="U53" s="198"/>
    </row>
    <row r="54" spans="1:21" s="12" customFormat="1" x14ac:dyDescent="0.25">
      <c r="A54" s="201" t="s">
        <v>862</v>
      </c>
      <c r="B54" s="215" t="s">
        <v>31</v>
      </c>
      <c r="C54" s="215" t="s">
        <v>31</v>
      </c>
      <c r="D54" s="215" t="s">
        <v>31</v>
      </c>
      <c r="E54" s="215" t="s">
        <v>31</v>
      </c>
      <c r="F54" s="215" t="s">
        <v>31</v>
      </c>
      <c r="G54" s="215" t="s">
        <v>31</v>
      </c>
      <c r="H54" s="215" t="s">
        <v>31</v>
      </c>
      <c r="I54" s="215" t="s">
        <v>31</v>
      </c>
      <c r="J54" s="215" t="s">
        <v>31</v>
      </c>
      <c r="K54" s="215" t="s">
        <v>31</v>
      </c>
      <c r="L54" s="215" t="s">
        <v>31</v>
      </c>
      <c r="M54" s="215" t="s">
        <v>31</v>
      </c>
      <c r="N54" s="215" t="s">
        <v>31</v>
      </c>
      <c r="O54" s="215" t="s">
        <v>31</v>
      </c>
      <c r="P54" s="215" t="s">
        <v>31</v>
      </c>
      <c r="Q54" s="215" t="s">
        <v>31</v>
      </c>
      <c r="R54" s="198"/>
      <c r="S54" s="198"/>
      <c r="T54" s="198"/>
      <c r="U54" s="198"/>
    </row>
    <row r="55" spans="1:21" s="12" customFormat="1" x14ac:dyDescent="0.25">
      <c r="A55" s="201" t="s">
        <v>863</v>
      </c>
      <c r="B55" s="215" t="s">
        <v>31</v>
      </c>
      <c r="C55" s="215" t="s">
        <v>31</v>
      </c>
      <c r="D55" s="215" t="s">
        <v>31</v>
      </c>
      <c r="E55" s="215" t="s">
        <v>31</v>
      </c>
      <c r="F55" s="215" t="s">
        <v>31</v>
      </c>
      <c r="G55" s="215" t="s">
        <v>31</v>
      </c>
      <c r="H55" s="215" t="s">
        <v>31</v>
      </c>
      <c r="I55" s="215" t="s">
        <v>31</v>
      </c>
      <c r="J55" s="215" t="s">
        <v>31</v>
      </c>
      <c r="K55" s="215" t="s">
        <v>31</v>
      </c>
      <c r="L55" s="215" t="s">
        <v>31</v>
      </c>
      <c r="M55" s="215" t="s">
        <v>31</v>
      </c>
      <c r="N55" s="215" t="s">
        <v>31</v>
      </c>
      <c r="O55" s="215" t="s">
        <v>31</v>
      </c>
      <c r="P55" s="215" t="s">
        <v>31</v>
      </c>
      <c r="Q55" s="215" t="s">
        <v>31</v>
      </c>
      <c r="R55" s="198"/>
      <c r="S55" s="198"/>
      <c r="T55" s="198"/>
      <c r="U55" s="198"/>
    </row>
    <row r="56" spans="1:21" s="12" customFormat="1" x14ac:dyDescent="0.25">
      <c r="A56" s="201" t="s">
        <v>864</v>
      </c>
      <c r="B56" s="215" t="s">
        <v>31</v>
      </c>
      <c r="C56" s="215" t="s">
        <v>31</v>
      </c>
      <c r="D56" s="215" t="s">
        <v>31</v>
      </c>
      <c r="E56" s="215" t="s">
        <v>31</v>
      </c>
      <c r="F56" s="215" t="s">
        <v>31</v>
      </c>
      <c r="G56" s="215" t="s">
        <v>31</v>
      </c>
      <c r="H56" s="215" t="s">
        <v>31</v>
      </c>
      <c r="I56" s="215" t="s">
        <v>31</v>
      </c>
      <c r="J56" s="215" t="s">
        <v>31</v>
      </c>
      <c r="K56" s="215" t="s">
        <v>31</v>
      </c>
      <c r="L56" s="215" t="s">
        <v>31</v>
      </c>
      <c r="M56" s="215" t="s">
        <v>31</v>
      </c>
      <c r="N56" s="215" t="s">
        <v>31</v>
      </c>
      <c r="O56" s="215" t="s">
        <v>31</v>
      </c>
      <c r="P56" s="215" t="s">
        <v>31</v>
      </c>
      <c r="Q56" s="215" t="s">
        <v>31</v>
      </c>
      <c r="R56" s="198"/>
      <c r="S56" s="198"/>
      <c r="T56" s="198"/>
      <c r="U56" s="198"/>
    </row>
    <row r="57" spans="1:21" s="12" customFormat="1" x14ac:dyDescent="0.25">
      <c r="A57" s="201" t="s">
        <v>865</v>
      </c>
      <c r="B57" s="215" t="s">
        <v>31</v>
      </c>
      <c r="C57" s="215" t="s">
        <v>31</v>
      </c>
      <c r="D57" s="215" t="s">
        <v>31</v>
      </c>
      <c r="E57" s="215" t="s">
        <v>31</v>
      </c>
      <c r="F57" s="215" t="s">
        <v>31</v>
      </c>
      <c r="G57" s="215" t="s">
        <v>31</v>
      </c>
      <c r="H57" s="215" t="s">
        <v>31</v>
      </c>
      <c r="I57" s="215" t="s">
        <v>31</v>
      </c>
      <c r="J57" s="215" t="s">
        <v>31</v>
      </c>
      <c r="K57" s="215" t="s">
        <v>31</v>
      </c>
      <c r="L57" s="215" t="s">
        <v>31</v>
      </c>
      <c r="M57" s="215" t="s">
        <v>31</v>
      </c>
      <c r="N57" s="215" t="s">
        <v>31</v>
      </c>
      <c r="O57" s="215" t="s">
        <v>31</v>
      </c>
      <c r="P57" s="215" t="s">
        <v>31</v>
      </c>
      <c r="Q57" s="215" t="s">
        <v>31</v>
      </c>
      <c r="R57" s="198"/>
      <c r="S57" s="198"/>
      <c r="T57" s="198"/>
      <c r="U57" s="198"/>
    </row>
    <row r="58" spans="1:21" s="12" customFormat="1" x14ac:dyDescent="0.25">
      <c r="A58" s="201" t="s">
        <v>866</v>
      </c>
      <c r="B58" s="215" t="s">
        <v>31</v>
      </c>
      <c r="C58" s="215" t="s">
        <v>31</v>
      </c>
      <c r="D58" s="215" t="s">
        <v>31</v>
      </c>
      <c r="E58" s="215" t="s">
        <v>31</v>
      </c>
      <c r="F58" s="215" t="s">
        <v>31</v>
      </c>
      <c r="G58" s="215" t="s">
        <v>31</v>
      </c>
      <c r="H58" s="215" t="s">
        <v>31</v>
      </c>
      <c r="I58" s="215" t="s">
        <v>31</v>
      </c>
      <c r="J58" s="215" t="s">
        <v>31</v>
      </c>
      <c r="K58" s="215" t="s">
        <v>31</v>
      </c>
      <c r="L58" s="215" t="s">
        <v>31</v>
      </c>
      <c r="M58" s="215" t="s">
        <v>31</v>
      </c>
      <c r="N58" s="215" t="s">
        <v>31</v>
      </c>
      <c r="O58" s="215" t="s">
        <v>31</v>
      </c>
      <c r="P58" s="215" t="s">
        <v>31</v>
      </c>
      <c r="Q58" s="215" t="s">
        <v>31</v>
      </c>
      <c r="R58" s="198"/>
      <c r="S58" s="198"/>
      <c r="T58" s="198"/>
      <c r="U58" s="198"/>
    </row>
    <row r="59" spans="1:21" s="12" customFormat="1" x14ac:dyDescent="0.25">
      <c r="A59" s="201" t="s">
        <v>867</v>
      </c>
      <c r="B59" s="215" t="s">
        <v>31</v>
      </c>
      <c r="C59" s="215" t="s">
        <v>31</v>
      </c>
      <c r="D59" s="215" t="s">
        <v>31</v>
      </c>
      <c r="E59" s="215" t="s">
        <v>31</v>
      </c>
      <c r="F59" s="215" t="s">
        <v>31</v>
      </c>
      <c r="G59" s="215" t="s">
        <v>31</v>
      </c>
      <c r="H59" s="215" t="s">
        <v>31</v>
      </c>
      <c r="I59" s="215" t="s">
        <v>31</v>
      </c>
      <c r="J59" s="215" t="s">
        <v>31</v>
      </c>
      <c r="K59" s="215" t="s">
        <v>31</v>
      </c>
      <c r="L59" s="215" t="s">
        <v>31</v>
      </c>
      <c r="M59" s="215" t="s">
        <v>31</v>
      </c>
      <c r="N59" s="215" t="s">
        <v>31</v>
      </c>
      <c r="O59" s="215" t="s">
        <v>31</v>
      </c>
      <c r="P59" s="215" t="s">
        <v>31</v>
      </c>
      <c r="Q59" s="215" t="s">
        <v>31</v>
      </c>
      <c r="R59" s="198"/>
      <c r="S59" s="198"/>
      <c r="T59" s="198"/>
      <c r="U59" s="198"/>
    </row>
    <row r="60" spans="1:21" s="12" customFormat="1" x14ac:dyDescent="0.25">
      <c r="A60" s="201" t="s">
        <v>868</v>
      </c>
      <c r="B60" s="215" t="s">
        <v>31</v>
      </c>
      <c r="C60" s="215" t="s">
        <v>31</v>
      </c>
      <c r="D60" s="215" t="s">
        <v>31</v>
      </c>
      <c r="E60" s="215" t="s">
        <v>31</v>
      </c>
      <c r="F60" s="215" t="s">
        <v>31</v>
      </c>
      <c r="G60" s="215" t="s">
        <v>31</v>
      </c>
      <c r="H60" s="215" t="s">
        <v>31</v>
      </c>
      <c r="I60" s="215" t="s">
        <v>31</v>
      </c>
      <c r="J60" s="215" t="s">
        <v>31</v>
      </c>
      <c r="K60" s="215" t="s">
        <v>31</v>
      </c>
      <c r="L60" s="215" t="s">
        <v>31</v>
      </c>
      <c r="M60" s="215" t="s">
        <v>31</v>
      </c>
      <c r="N60" s="215" t="s">
        <v>31</v>
      </c>
      <c r="O60" s="215" t="s">
        <v>31</v>
      </c>
      <c r="P60" s="215" t="s">
        <v>31</v>
      </c>
      <c r="Q60" s="215" t="s">
        <v>31</v>
      </c>
      <c r="R60" s="198"/>
      <c r="S60" s="198"/>
      <c r="T60" s="198"/>
      <c r="U60" s="198"/>
    </row>
    <row r="61" spans="1:21" s="12" customFormat="1" x14ac:dyDescent="0.25">
      <c r="A61" s="201" t="s">
        <v>869</v>
      </c>
      <c r="B61" s="215" t="s">
        <v>31</v>
      </c>
      <c r="C61" s="215" t="s">
        <v>31</v>
      </c>
      <c r="D61" s="215" t="s">
        <v>31</v>
      </c>
      <c r="E61" s="215" t="s">
        <v>31</v>
      </c>
      <c r="F61" s="215" t="s">
        <v>31</v>
      </c>
      <c r="G61" s="215" t="s">
        <v>31</v>
      </c>
      <c r="H61" s="215" t="s">
        <v>31</v>
      </c>
      <c r="I61" s="215" t="s">
        <v>31</v>
      </c>
      <c r="J61" s="215" t="s">
        <v>31</v>
      </c>
      <c r="K61" s="215" t="s">
        <v>31</v>
      </c>
      <c r="L61" s="215" t="s">
        <v>31</v>
      </c>
      <c r="M61" s="215" t="s">
        <v>31</v>
      </c>
      <c r="N61" s="215" t="s">
        <v>31</v>
      </c>
      <c r="O61" s="215" t="s">
        <v>31</v>
      </c>
      <c r="P61" s="215" t="s">
        <v>31</v>
      </c>
      <c r="Q61" s="215" t="s">
        <v>31</v>
      </c>
      <c r="R61" s="198"/>
      <c r="S61" s="198"/>
      <c r="T61" s="198"/>
      <c r="U61" s="198"/>
    </row>
    <row r="62" spans="1:21" s="12" customFormat="1" x14ac:dyDescent="0.25">
      <c r="A62" s="201" t="s">
        <v>870</v>
      </c>
      <c r="B62" s="215" t="s">
        <v>31</v>
      </c>
      <c r="C62" s="215" t="s">
        <v>31</v>
      </c>
      <c r="D62" s="215" t="s">
        <v>31</v>
      </c>
      <c r="E62" s="215" t="s">
        <v>31</v>
      </c>
      <c r="F62" s="215" t="s">
        <v>31</v>
      </c>
      <c r="G62" s="215" t="s">
        <v>31</v>
      </c>
      <c r="H62" s="215" t="s">
        <v>31</v>
      </c>
      <c r="I62" s="215" t="s">
        <v>31</v>
      </c>
      <c r="J62" s="215" t="s">
        <v>31</v>
      </c>
      <c r="K62" s="215" t="s">
        <v>31</v>
      </c>
      <c r="L62" s="215" t="s">
        <v>31</v>
      </c>
      <c r="M62" s="215" t="s">
        <v>31</v>
      </c>
      <c r="N62" s="215" t="s">
        <v>31</v>
      </c>
      <c r="O62" s="215" t="s">
        <v>31</v>
      </c>
      <c r="P62" s="215" t="s">
        <v>31</v>
      </c>
      <c r="Q62" s="215" t="s">
        <v>31</v>
      </c>
      <c r="R62" s="198"/>
      <c r="S62" s="198"/>
      <c r="T62" s="198"/>
      <c r="U62" s="198"/>
    </row>
    <row r="63" spans="1:21" s="12" customFormat="1" x14ac:dyDescent="0.25">
      <c r="A63" s="201" t="s">
        <v>871</v>
      </c>
      <c r="B63" s="215" t="s">
        <v>31</v>
      </c>
      <c r="C63" s="215" t="s">
        <v>31</v>
      </c>
      <c r="D63" s="215" t="s">
        <v>31</v>
      </c>
      <c r="E63" s="215" t="s">
        <v>31</v>
      </c>
      <c r="F63" s="215" t="s">
        <v>31</v>
      </c>
      <c r="G63" s="215" t="s">
        <v>31</v>
      </c>
      <c r="H63" s="215" t="s">
        <v>31</v>
      </c>
      <c r="I63" s="215" t="s">
        <v>31</v>
      </c>
      <c r="J63" s="215" t="s">
        <v>31</v>
      </c>
      <c r="K63" s="215" t="s">
        <v>31</v>
      </c>
      <c r="L63" s="215" t="s">
        <v>31</v>
      </c>
      <c r="M63" s="215" t="s">
        <v>31</v>
      </c>
      <c r="N63" s="215" t="s">
        <v>31</v>
      </c>
      <c r="O63" s="215" t="s">
        <v>31</v>
      </c>
      <c r="P63" s="215" t="s">
        <v>31</v>
      </c>
      <c r="Q63" s="215" t="s">
        <v>31</v>
      </c>
      <c r="R63" s="198"/>
      <c r="S63" s="198"/>
      <c r="T63" s="198"/>
      <c r="U63" s="198"/>
    </row>
    <row r="64" spans="1:21" s="12" customFormat="1" x14ac:dyDescent="0.25">
      <c r="A64" s="201" t="s">
        <v>872</v>
      </c>
      <c r="B64" s="215" t="s">
        <v>31</v>
      </c>
      <c r="C64" s="215" t="s">
        <v>31</v>
      </c>
      <c r="D64" s="215" t="s">
        <v>31</v>
      </c>
      <c r="E64" s="215" t="s">
        <v>31</v>
      </c>
      <c r="F64" s="215" t="s">
        <v>31</v>
      </c>
      <c r="G64" s="215" t="s">
        <v>31</v>
      </c>
      <c r="H64" s="215" t="s">
        <v>31</v>
      </c>
      <c r="I64" s="215" t="s">
        <v>31</v>
      </c>
      <c r="J64" s="215" t="s">
        <v>31</v>
      </c>
      <c r="K64" s="215" t="s">
        <v>31</v>
      </c>
      <c r="L64" s="215" t="s">
        <v>31</v>
      </c>
      <c r="M64" s="215" t="s">
        <v>31</v>
      </c>
      <c r="N64" s="215" t="s">
        <v>31</v>
      </c>
      <c r="O64" s="215" t="s">
        <v>31</v>
      </c>
      <c r="P64" s="215" t="s">
        <v>31</v>
      </c>
      <c r="Q64" s="215" t="s">
        <v>31</v>
      </c>
      <c r="R64" s="198"/>
      <c r="S64" s="198"/>
      <c r="T64" s="198"/>
      <c r="U64" s="198"/>
    </row>
    <row r="65" spans="1:21" s="12" customFormat="1" x14ac:dyDescent="0.25">
      <c r="A65" s="201" t="s">
        <v>873</v>
      </c>
      <c r="B65" s="215" t="s">
        <v>31</v>
      </c>
      <c r="C65" s="215" t="s">
        <v>31</v>
      </c>
      <c r="D65" s="215" t="s">
        <v>31</v>
      </c>
      <c r="E65" s="215" t="s">
        <v>31</v>
      </c>
      <c r="F65" s="215" t="s">
        <v>31</v>
      </c>
      <c r="G65" s="215" t="s">
        <v>31</v>
      </c>
      <c r="H65" s="215" t="s">
        <v>31</v>
      </c>
      <c r="I65" s="215" t="s">
        <v>31</v>
      </c>
      <c r="J65" s="215" t="s">
        <v>31</v>
      </c>
      <c r="K65" s="215" t="s">
        <v>31</v>
      </c>
      <c r="L65" s="215" t="s">
        <v>31</v>
      </c>
      <c r="M65" s="215" t="s">
        <v>31</v>
      </c>
      <c r="N65" s="215" t="s">
        <v>31</v>
      </c>
      <c r="O65" s="215" t="s">
        <v>31</v>
      </c>
      <c r="P65" s="215" t="s">
        <v>31</v>
      </c>
      <c r="Q65" s="215" t="s">
        <v>31</v>
      </c>
      <c r="R65" s="198"/>
      <c r="S65" s="198"/>
      <c r="T65" s="198"/>
      <c r="U65" s="198"/>
    </row>
    <row r="66" spans="1:21" s="12" customFormat="1" x14ac:dyDescent="0.25">
      <c r="A66" s="201" t="s">
        <v>874</v>
      </c>
      <c r="B66" s="215" t="s">
        <v>31</v>
      </c>
      <c r="C66" s="215" t="s">
        <v>31</v>
      </c>
      <c r="D66" s="215" t="s">
        <v>31</v>
      </c>
      <c r="E66" s="215" t="s">
        <v>31</v>
      </c>
      <c r="F66" s="215" t="s">
        <v>31</v>
      </c>
      <c r="G66" s="215" t="s">
        <v>31</v>
      </c>
      <c r="H66" s="215" t="s">
        <v>31</v>
      </c>
      <c r="I66" s="215" t="s">
        <v>31</v>
      </c>
      <c r="J66" s="215" t="s">
        <v>31</v>
      </c>
      <c r="K66" s="215" t="s">
        <v>31</v>
      </c>
      <c r="L66" s="215" t="s">
        <v>31</v>
      </c>
      <c r="M66" s="215" t="s">
        <v>31</v>
      </c>
      <c r="N66" s="215" t="s">
        <v>31</v>
      </c>
      <c r="O66" s="215" t="s">
        <v>31</v>
      </c>
      <c r="P66" s="215" t="s">
        <v>31</v>
      </c>
      <c r="Q66" s="215" t="s">
        <v>31</v>
      </c>
      <c r="R66" s="198"/>
      <c r="S66" s="198"/>
      <c r="T66" s="198"/>
      <c r="U66" s="198"/>
    </row>
    <row r="67" spans="1:21" s="12" customFormat="1" x14ac:dyDescent="0.25">
      <c r="A67" s="201" t="s">
        <v>875</v>
      </c>
      <c r="B67" s="215" t="s">
        <v>31</v>
      </c>
      <c r="C67" s="215" t="s">
        <v>31</v>
      </c>
      <c r="D67" s="215" t="s">
        <v>31</v>
      </c>
      <c r="E67" s="215" t="s">
        <v>31</v>
      </c>
      <c r="F67" s="215" t="s">
        <v>31</v>
      </c>
      <c r="G67" s="215" t="s">
        <v>31</v>
      </c>
      <c r="H67" s="215" t="s">
        <v>31</v>
      </c>
      <c r="I67" s="215" t="s">
        <v>31</v>
      </c>
      <c r="J67" s="215" t="s">
        <v>31</v>
      </c>
      <c r="K67" s="215" t="s">
        <v>31</v>
      </c>
      <c r="L67" s="215" t="s">
        <v>31</v>
      </c>
      <c r="M67" s="215" t="s">
        <v>31</v>
      </c>
      <c r="N67" s="215" t="s">
        <v>31</v>
      </c>
      <c r="O67" s="215" t="s">
        <v>31</v>
      </c>
      <c r="P67" s="215" t="s">
        <v>31</v>
      </c>
      <c r="Q67" s="215" t="s">
        <v>31</v>
      </c>
      <c r="R67" s="198"/>
      <c r="S67" s="198"/>
      <c r="T67" s="198"/>
      <c r="U67" s="198"/>
    </row>
    <row r="68" spans="1:21" s="12" customFormat="1" x14ac:dyDescent="0.25">
      <c r="A68" s="201" t="s">
        <v>876</v>
      </c>
      <c r="B68" s="215" t="s">
        <v>31</v>
      </c>
      <c r="C68" s="215" t="s">
        <v>31</v>
      </c>
      <c r="D68" s="215" t="s">
        <v>31</v>
      </c>
      <c r="E68" s="215" t="s">
        <v>31</v>
      </c>
      <c r="F68" s="215" t="s">
        <v>31</v>
      </c>
      <c r="G68" s="215" t="s">
        <v>31</v>
      </c>
      <c r="H68" s="215" t="s">
        <v>31</v>
      </c>
      <c r="I68" s="215" t="s">
        <v>31</v>
      </c>
      <c r="J68" s="215" t="s">
        <v>31</v>
      </c>
      <c r="K68" s="215" t="s">
        <v>31</v>
      </c>
      <c r="L68" s="215" t="s">
        <v>31</v>
      </c>
      <c r="M68" s="215" t="s">
        <v>31</v>
      </c>
      <c r="N68" s="215" t="s">
        <v>31</v>
      </c>
      <c r="O68" s="215" t="s">
        <v>31</v>
      </c>
      <c r="P68" s="215" t="s">
        <v>31</v>
      </c>
      <c r="Q68" s="215" t="s">
        <v>31</v>
      </c>
      <c r="R68" s="198"/>
      <c r="S68" s="198"/>
      <c r="T68" s="198"/>
      <c r="U68" s="198"/>
    </row>
    <row r="69" spans="1:21" s="12" customFormat="1" x14ac:dyDescent="0.25">
      <c r="A69" s="201" t="s">
        <v>877</v>
      </c>
      <c r="B69" s="215" t="s">
        <v>31</v>
      </c>
      <c r="C69" s="215" t="s">
        <v>31</v>
      </c>
      <c r="D69" s="215" t="s">
        <v>31</v>
      </c>
      <c r="E69" s="215" t="s">
        <v>31</v>
      </c>
      <c r="F69" s="215" t="s">
        <v>31</v>
      </c>
      <c r="G69" s="215" t="s">
        <v>31</v>
      </c>
      <c r="H69" s="215" t="s">
        <v>31</v>
      </c>
      <c r="I69" s="215" t="s">
        <v>31</v>
      </c>
      <c r="J69" s="215" t="s">
        <v>31</v>
      </c>
      <c r="K69" s="215" t="s">
        <v>31</v>
      </c>
      <c r="L69" s="215" t="s">
        <v>31</v>
      </c>
      <c r="M69" s="215" t="s">
        <v>31</v>
      </c>
      <c r="N69" s="215" t="s">
        <v>31</v>
      </c>
      <c r="O69" s="215" t="s">
        <v>31</v>
      </c>
      <c r="P69" s="215" t="s">
        <v>31</v>
      </c>
      <c r="Q69" s="215" t="s">
        <v>31</v>
      </c>
      <c r="R69" s="198"/>
      <c r="S69" s="198"/>
      <c r="T69" s="198"/>
      <c r="U69" s="198"/>
    </row>
    <row r="70" spans="1:21" s="12" customFormat="1" x14ac:dyDescent="0.25">
      <c r="A70" s="201" t="s">
        <v>878</v>
      </c>
      <c r="B70" s="215" t="s">
        <v>31</v>
      </c>
      <c r="C70" s="215" t="s">
        <v>31</v>
      </c>
      <c r="D70" s="215" t="s">
        <v>31</v>
      </c>
      <c r="E70" s="215" t="s">
        <v>31</v>
      </c>
      <c r="F70" s="215" t="s">
        <v>31</v>
      </c>
      <c r="G70" s="215" t="s">
        <v>31</v>
      </c>
      <c r="H70" s="215" t="s">
        <v>31</v>
      </c>
      <c r="I70" s="215" t="s">
        <v>31</v>
      </c>
      <c r="J70" s="215" t="s">
        <v>31</v>
      </c>
      <c r="K70" s="215" t="s">
        <v>31</v>
      </c>
      <c r="L70" s="215" t="s">
        <v>31</v>
      </c>
      <c r="M70" s="215" t="s">
        <v>31</v>
      </c>
      <c r="N70" s="215" t="s">
        <v>31</v>
      </c>
      <c r="O70" s="215" t="s">
        <v>31</v>
      </c>
      <c r="P70" s="215" t="s">
        <v>31</v>
      </c>
      <c r="Q70" s="215" t="s">
        <v>31</v>
      </c>
      <c r="R70" s="198"/>
      <c r="S70" s="198"/>
      <c r="T70" s="198"/>
      <c r="U70" s="198"/>
    </row>
    <row r="71" spans="1:21" s="12" customFormat="1" x14ac:dyDescent="0.25">
      <c r="A71" s="201" t="s">
        <v>879</v>
      </c>
      <c r="B71" s="215" t="s">
        <v>31</v>
      </c>
      <c r="C71" s="215" t="s">
        <v>31</v>
      </c>
      <c r="D71" s="215" t="s">
        <v>31</v>
      </c>
      <c r="E71" s="215" t="s">
        <v>31</v>
      </c>
      <c r="F71" s="215" t="s">
        <v>31</v>
      </c>
      <c r="G71" s="215" t="s">
        <v>31</v>
      </c>
      <c r="H71" s="215" t="s">
        <v>31</v>
      </c>
      <c r="I71" s="215" t="s">
        <v>31</v>
      </c>
      <c r="J71" s="215" t="s">
        <v>31</v>
      </c>
      <c r="K71" s="215" t="s">
        <v>31</v>
      </c>
      <c r="L71" s="215" t="s">
        <v>31</v>
      </c>
      <c r="M71" s="215" t="s">
        <v>31</v>
      </c>
      <c r="N71" s="215" t="s">
        <v>31</v>
      </c>
      <c r="O71" s="215" t="s">
        <v>31</v>
      </c>
      <c r="P71" s="215" t="s">
        <v>31</v>
      </c>
      <c r="Q71" s="215" t="s">
        <v>31</v>
      </c>
      <c r="R71" s="198"/>
      <c r="S71" s="198"/>
      <c r="T71" s="198"/>
      <c r="U71" s="198"/>
    </row>
    <row r="72" spans="1:21" s="12" customFormat="1" x14ac:dyDescent="0.25">
      <c r="A72" s="201" t="s">
        <v>880</v>
      </c>
      <c r="B72" s="215" t="s">
        <v>31</v>
      </c>
      <c r="C72" s="215" t="s">
        <v>31</v>
      </c>
      <c r="D72" s="215" t="s">
        <v>31</v>
      </c>
      <c r="E72" s="215" t="s">
        <v>31</v>
      </c>
      <c r="F72" s="215" t="s">
        <v>31</v>
      </c>
      <c r="G72" s="215" t="s">
        <v>31</v>
      </c>
      <c r="H72" s="215" t="s">
        <v>31</v>
      </c>
      <c r="I72" s="215" t="s">
        <v>31</v>
      </c>
      <c r="J72" s="215" t="s">
        <v>31</v>
      </c>
      <c r="K72" s="215" t="s">
        <v>31</v>
      </c>
      <c r="L72" s="215" t="s">
        <v>31</v>
      </c>
      <c r="M72" s="215" t="s">
        <v>31</v>
      </c>
      <c r="N72" s="215" t="s">
        <v>31</v>
      </c>
      <c r="O72" s="215" t="s">
        <v>31</v>
      </c>
      <c r="P72" s="215" t="s">
        <v>31</v>
      </c>
      <c r="Q72" s="215" t="s">
        <v>31</v>
      </c>
      <c r="R72" s="198"/>
      <c r="S72" s="198"/>
      <c r="T72" s="198"/>
      <c r="U72" s="198"/>
    </row>
    <row r="73" spans="1:21" s="12" customFormat="1" x14ac:dyDescent="0.25">
      <c r="A73" s="201" t="s">
        <v>881</v>
      </c>
      <c r="B73" s="215" t="s">
        <v>31</v>
      </c>
      <c r="C73" s="215" t="s">
        <v>31</v>
      </c>
      <c r="D73" s="215" t="s">
        <v>31</v>
      </c>
      <c r="E73" s="215" t="s">
        <v>31</v>
      </c>
      <c r="F73" s="215" t="s">
        <v>31</v>
      </c>
      <c r="G73" s="215" t="s">
        <v>31</v>
      </c>
      <c r="H73" s="215" t="s">
        <v>31</v>
      </c>
      <c r="I73" s="215" t="s">
        <v>31</v>
      </c>
      <c r="J73" s="215" t="s">
        <v>31</v>
      </c>
      <c r="K73" s="215" t="s">
        <v>31</v>
      </c>
      <c r="L73" s="215" t="s">
        <v>31</v>
      </c>
      <c r="M73" s="215" t="s">
        <v>31</v>
      </c>
      <c r="N73" s="215" t="s">
        <v>31</v>
      </c>
      <c r="O73" s="215" t="s">
        <v>31</v>
      </c>
      <c r="P73" s="215" t="s">
        <v>31</v>
      </c>
      <c r="Q73" s="215" t="s">
        <v>31</v>
      </c>
      <c r="R73" s="198"/>
      <c r="S73" s="198"/>
      <c r="T73" s="198"/>
      <c r="U73" s="198"/>
    </row>
    <row r="74" spans="1:21" s="12" customFormat="1" x14ac:dyDescent="0.25">
      <c r="A74" s="201" t="s">
        <v>882</v>
      </c>
      <c r="B74" s="215" t="s">
        <v>31</v>
      </c>
      <c r="C74" s="215" t="s">
        <v>31</v>
      </c>
      <c r="D74" s="215" t="s">
        <v>31</v>
      </c>
      <c r="E74" s="215" t="s">
        <v>31</v>
      </c>
      <c r="F74" s="215" t="s">
        <v>31</v>
      </c>
      <c r="G74" s="215" t="s">
        <v>31</v>
      </c>
      <c r="H74" s="215" t="s">
        <v>31</v>
      </c>
      <c r="I74" s="215" t="s">
        <v>31</v>
      </c>
      <c r="J74" s="215" t="s">
        <v>31</v>
      </c>
      <c r="K74" s="215" t="s">
        <v>31</v>
      </c>
      <c r="L74" s="215" t="s">
        <v>31</v>
      </c>
      <c r="M74" s="215" t="s">
        <v>31</v>
      </c>
      <c r="N74" s="215" t="s">
        <v>31</v>
      </c>
      <c r="O74" s="215" t="s">
        <v>31</v>
      </c>
      <c r="P74" s="215" t="s">
        <v>31</v>
      </c>
      <c r="Q74" s="215" t="s">
        <v>31</v>
      </c>
      <c r="R74" s="198"/>
      <c r="S74" s="198"/>
      <c r="T74" s="198"/>
      <c r="U74" s="198"/>
    </row>
    <row r="75" spans="1:21" s="12" customFormat="1" x14ac:dyDescent="0.25">
      <c r="A75" s="201" t="s">
        <v>883</v>
      </c>
      <c r="B75" s="215" t="s">
        <v>31</v>
      </c>
      <c r="C75" s="215" t="s">
        <v>31</v>
      </c>
      <c r="D75" s="215" t="s">
        <v>31</v>
      </c>
      <c r="E75" s="215" t="s">
        <v>31</v>
      </c>
      <c r="F75" s="215" t="s">
        <v>31</v>
      </c>
      <c r="G75" s="215" t="s">
        <v>31</v>
      </c>
      <c r="H75" s="215" t="s">
        <v>31</v>
      </c>
      <c r="I75" s="215" t="s">
        <v>31</v>
      </c>
      <c r="J75" s="215" t="s">
        <v>31</v>
      </c>
      <c r="K75" s="215" t="s">
        <v>31</v>
      </c>
      <c r="L75" s="215" t="s">
        <v>31</v>
      </c>
      <c r="M75" s="215" t="s">
        <v>31</v>
      </c>
      <c r="N75" s="215" t="s">
        <v>31</v>
      </c>
      <c r="O75" s="215" t="s">
        <v>31</v>
      </c>
      <c r="P75" s="215" t="s">
        <v>31</v>
      </c>
      <c r="Q75" s="215" t="s">
        <v>31</v>
      </c>
      <c r="R75" s="198"/>
      <c r="S75" s="198"/>
      <c r="T75" s="198"/>
      <c r="U75" s="198"/>
    </row>
    <row r="76" spans="1:21" s="12" customFormat="1" x14ac:dyDescent="0.25">
      <c r="A76" s="201" t="s">
        <v>884</v>
      </c>
      <c r="B76" s="215" t="s">
        <v>31</v>
      </c>
      <c r="C76" s="215" t="s">
        <v>31</v>
      </c>
      <c r="D76" s="215" t="s">
        <v>31</v>
      </c>
      <c r="E76" s="215" t="s">
        <v>31</v>
      </c>
      <c r="F76" s="215" t="s">
        <v>31</v>
      </c>
      <c r="G76" s="215" t="s">
        <v>31</v>
      </c>
      <c r="H76" s="215" t="s">
        <v>31</v>
      </c>
      <c r="I76" s="215" t="s">
        <v>31</v>
      </c>
      <c r="J76" s="215" t="s">
        <v>31</v>
      </c>
      <c r="K76" s="215" t="s">
        <v>31</v>
      </c>
      <c r="L76" s="215" t="s">
        <v>31</v>
      </c>
      <c r="M76" s="215" t="s">
        <v>31</v>
      </c>
      <c r="N76" s="215" t="s">
        <v>31</v>
      </c>
      <c r="O76" s="215" t="s">
        <v>31</v>
      </c>
      <c r="P76" s="215" t="s">
        <v>31</v>
      </c>
      <c r="Q76" s="215" t="s">
        <v>31</v>
      </c>
      <c r="R76" s="198"/>
      <c r="S76" s="198"/>
      <c r="T76" s="198"/>
      <c r="U76" s="198"/>
    </row>
    <row r="77" spans="1:21" s="12" customFormat="1" x14ac:dyDescent="0.25">
      <c r="A77" s="201" t="s">
        <v>885</v>
      </c>
      <c r="B77" s="215" t="s">
        <v>31</v>
      </c>
      <c r="C77" s="215" t="s">
        <v>31</v>
      </c>
      <c r="D77" s="215" t="s">
        <v>31</v>
      </c>
      <c r="E77" s="215" t="s">
        <v>31</v>
      </c>
      <c r="F77" s="215" t="s">
        <v>31</v>
      </c>
      <c r="G77" s="215" t="s">
        <v>31</v>
      </c>
      <c r="H77" s="215" t="s">
        <v>31</v>
      </c>
      <c r="I77" s="215" t="s">
        <v>31</v>
      </c>
      <c r="J77" s="215" t="s">
        <v>31</v>
      </c>
      <c r="K77" s="215" t="s">
        <v>31</v>
      </c>
      <c r="L77" s="215" t="s">
        <v>31</v>
      </c>
      <c r="M77" s="215" t="s">
        <v>31</v>
      </c>
      <c r="N77" s="215" t="s">
        <v>31</v>
      </c>
      <c r="O77" s="215" t="s">
        <v>31</v>
      </c>
      <c r="P77" s="215" t="s">
        <v>31</v>
      </c>
      <c r="Q77" s="215" t="s">
        <v>31</v>
      </c>
      <c r="R77" s="198"/>
      <c r="S77" s="198"/>
      <c r="T77" s="198"/>
      <c r="U77" s="198"/>
    </row>
    <row r="78" spans="1:21" s="12" customFormat="1" x14ac:dyDescent="0.25">
      <c r="A78" s="201" t="s">
        <v>886</v>
      </c>
      <c r="B78" s="215" t="s">
        <v>31</v>
      </c>
      <c r="C78" s="215" t="s">
        <v>31</v>
      </c>
      <c r="D78" s="215" t="s">
        <v>31</v>
      </c>
      <c r="E78" s="215" t="s">
        <v>31</v>
      </c>
      <c r="F78" s="215" t="s">
        <v>31</v>
      </c>
      <c r="G78" s="215" t="s">
        <v>31</v>
      </c>
      <c r="H78" s="215" t="s">
        <v>31</v>
      </c>
      <c r="I78" s="215" t="s">
        <v>31</v>
      </c>
      <c r="J78" s="215" t="s">
        <v>31</v>
      </c>
      <c r="K78" s="215" t="s">
        <v>31</v>
      </c>
      <c r="L78" s="215" t="s">
        <v>31</v>
      </c>
      <c r="M78" s="215" t="s">
        <v>31</v>
      </c>
      <c r="N78" s="215" t="s">
        <v>31</v>
      </c>
      <c r="O78" s="215" t="s">
        <v>31</v>
      </c>
      <c r="P78" s="215" t="s">
        <v>31</v>
      </c>
      <c r="Q78" s="215" t="s">
        <v>31</v>
      </c>
      <c r="R78" s="198"/>
      <c r="S78" s="198"/>
      <c r="T78" s="198"/>
      <c r="U78" s="198"/>
    </row>
    <row r="79" spans="1:21" s="12" customFormat="1" x14ac:dyDescent="0.25">
      <c r="A79" s="201" t="s">
        <v>887</v>
      </c>
      <c r="B79" s="215" t="s">
        <v>31</v>
      </c>
      <c r="C79" s="215" t="s">
        <v>31</v>
      </c>
      <c r="D79" s="215" t="s">
        <v>31</v>
      </c>
      <c r="E79" s="215" t="s">
        <v>31</v>
      </c>
      <c r="F79" s="215" t="s">
        <v>31</v>
      </c>
      <c r="G79" s="215" t="s">
        <v>31</v>
      </c>
      <c r="H79" s="215" t="s">
        <v>31</v>
      </c>
      <c r="I79" s="215" t="s">
        <v>31</v>
      </c>
      <c r="J79" s="215" t="s">
        <v>31</v>
      </c>
      <c r="K79" s="215" t="s">
        <v>31</v>
      </c>
      <c r="L79" s="215" t="s">
        <v>31</v>
      </c>
      <c r="M79" s="215" t="s">
        <v>31</v>
      </c>
      <c r="N79" s="215" t="s">
        <v>31</v>
      </c>
      <c r="O79" s="215" t="s">
        <v>31</v>
      </c>
      <c r="P79" s="215" t="s">
        <v>31</v>
      </c>
      <c r="Q79" s="215" t="s">
        <v>31</v>
      </c>
      <c r="R79" s="198"/>
      <c r="S79" s="198"/>
      <c r="T79" s="198"/>
      <c r="U79" s="198"/>
    </row>
    <row r="80" spans="1:21" s="12" customFormat="1" x14ac:dyDescent="0.25">
      <c r="A80" s="201" t="s">
        <v>888</v>
      </c>
      <c r="B80" s="215" t="s">
        <v>31</v>
      </c>
      <c r="C80" s="215" t="s">
        <v>31</v>
      </c>
      <c r="D80" s="215" t="s">
        <v>31</v>
      </c>
      <c r="E80" s="215" t="s">
        <v>31</v>
      </c>
      <c r="F80" s="215" t="s">
        <v>31</v>
      </c>
      <c r="G80" s="215" t="s">
        <v>31</v>
      </c>
      <c r="H80" s="215" t="s">
        <v>31</v>
      </c>
      <c r="I80" s="215" t="s">
        <v>31</v>
      </c>
      <c r="J80" s="215" t="s">
        <v>31</v>
      </c>
      <c r="K80" s="215" t="s">
        <v>31</v>
      </c>
      <c r="L80" s="215" t="s">
        <v>31</v>
      </c>
      <c r="M80" s="215" t="s">
        <v>31</v>
      </c>
      <c r="N80" s="215" t="s">
        <v>31</v>
      </c>
      <c r="O80" s="215" t="s">
        <v>31</v>
      </c>
      <c r="P80" s="215" t="s">
        <v>31</v>
      </c>
      <c r="Q80" s="215" t="s">
        <v>31</v>
      </c>
      <c r="R80" s="198"/>
      <c r="S80" s="198"/>
      <c r="T80" s="198"/>
      <c r="U80" s="198"/>
    </row>
    <row r="81" spans="1:26" s="12" customFormat="1" x14ac:dyDescent="0.25">
      <c r="A81" s="201" t="s">
        <v>889</v>
      </c>
      <c r="B81" s="215" t="s">
        <v>31</v>
      </c>
      <c r="C81" s="215" t="s">
        <v>31</v>
      </c>
      <c r="D81" s="215" t="s">
        <v>31</v>
      </c>
      <c r="E81" s="215" t="s">
        <v>31</v>
      </c>
      <c r="F81" s="215" t="s">
        <v>31</v>
      </c>
      <c r="G81" s="215" t="s">
        <v>31</v>
      </c>
      <c r="H81" s="215" t="s">
        <v>31</v>
      </c>
      <c r="I81" s="215" t="s">
        <v>31</v>
      </c>
      <c r="J81" s="215" t="s">
        <v>31</v>
      </c>
      <c r="K81" s="215" t="s">
        <v>31</v>
      </c>
      <c r="L81" s="215" t="s">
        <v>31</v>
      </c>
      <c r="M81" s="215" t="s">
        <v>31</v>
      </c>
      <c r="N81" s="215" t="s">
        <v>31</v>
      </c>
      <c r="O81" s="215" t="s">
        <v>31</v>
      </c>
      <c r="P81" s="215" t="s">
        <v>31</v>
      </c>
      <c r="Q81" s="215" t="s">
        <v>31</v>
      </c>
      <c r="R81" s="198"/>
      <c r="S81" s="198"/>
      <c r="T81" s="198"/>
      <c r="U81" s="198"/>
    </row>
    <row r="82" spans="1:26" s="12" customFormat="1" x14ac:dyDescent="0.25">
      <c r="A82" s="201" t="s">
        <v>890</v>
      </c>
      <c r="B82" s="215" t="s">
        <v>31</v>
      </c>
      <c r="C82" s="215" t="s">
        <v>31</v>
      </c>
      <c r="D82" s="215" t="s">
        <v>31</v>
      </c>
      <c r="E82" s="215" t="s">
        <v>31</v>
      </c>
      <c r="F82" s="215" t="s">
        <v>31</v>
      </c>
      <c r="G82" s="215" t="s">
        <v>31</v>
      </c>
      <c r="H82" s="215" t="s">
        <v>31</v>
      </c>
      <c r="I82" s="215" t="s">
        <v>31</v>
      </c>
      <c r="J82" s="215" t="s">
        <v>31</v>
      </c>
      <c r="K82" s="215" t="s">
        <v>31</v>
      </c>
      <c r="L82" s="215" t="s">
        <v>31</v>
      </c>
      <c r="M82" s="215" t="s">
        <v>31</v>
      </c>
      <c r="N82" s="215" t="s">
        <v>31</v>
      </c>
      <c r="O82" s="215" t="s">
        <v>31</v>
      </c>
      <c r="P82" s="215" t="s">
        <v>31</v>
      </c>
      <c r="Q82" s="215" t="s">
        <v>31</v>
      </c>
      <c r="R82" s="198"/>
      <c r="S82" s="198"/>
      <c r="T82" s="198"/>
      <c r="U82" s="198"/>
    </row>
    <row r="83" spans="1:26" s="12" customFormat="1" x14ac:dyDescent="0.25">
      <c r="A83" s="201" t="s">
        <v>891</v>
      </c>
      <c r="B83" s="215" t="s">
        <v>31</v>
      </c>
      <c r="C83" s="215" t="s">
        <v>31</v>
      </c>
      <c r="D83" s="215" t="s">
        <v>31</v>
      </c>
      <c r="E83" s="215" t="s">
        <v>31</v>
      </c>
      <c r="F83" s="215" t="s">
        <v>31</v>
      </c>
      <c r="G83" s="215" t="s">
        <v>31</v>
      </c>
      <c r="H83" s="215" t="s">
        <v>31</v>
      </c>
      <c r="I83" s="215" t="s">
        <v>31</v>
      </c>
      <c r="J83" s="215" t="s">
        <v>31</v>
      </c>
      <c r="K83" s="215" t="s">
        <v>31</v>
      </c>
      <c r="L83" s="215" t="s">
        <v>31</v>
      </c>
      <c r="M83" s="215" t="s">
        <v>31</v>
      </c>
      <c r="N83" s="215" t="s">
        <v>31</v>
      </c>
      <c r="O83" s="215" t="s">
        <v>31</v>
      </c>
      <c r="P83" s="215" t="s">
        <v>31</v>
      </c>
      <c r="Q83" s="215" t="s">
        <v>31</v>
      </c>
      <c r="R83" s="198"/>
      <c r="S83" s="198"/>
      <c r="T83" s="198"/>
      <c r="U83" s="198"/>
    </row>
    <row r="84" spans="1:26" s="12" customFormat="1" x14ac:dyDescent="0.25">
      <c r="A84" s="201" t="s">
        <v>892</v>
      </c>
      <c r="B84" s="215" t="s">
        <v>31</v>
      </c>
      <c r="C84" s="215" t="s">
        <v>31</v>
      </c>
      <c r="D84" s="215" t="s">
        <v>31</v>
      </c>
      <c r="E84" s="215" t="s">
        <v>31</v>
      </c>
      <c r="F84" s="215" t="s">
        <v>31</v>
      </c>
      <c r="G84" s="215" t="s">
        <v>31</v>
      </c>
      <c r="H84" s="215" t="s">
        <v>31</v>
      </c>
      <c r="I84" s="215" t="s">
        <v>31</v>
      </c>
      <c r="J84" s="215" t="s">
        <v>31</v>
      </c>
      <c r="K84" s="215" t="s">
        <v>31</v>
      </c>
      <c r="L84" s="215" t="s">
        <v>31</v>
      </c>
      <c r="M84" s="215" t="s">
        <v>31</v>
      </c>
      <c r="N84" s="215" t="s">
        <v>31</v>
      </c>
      <c r="O84" s="215" t="s">
        <v>31</v>
      </c>
      <c r="P84" s="215" t="s">
        <v>31</v>
      </c>
      <c r="Q84" s="215" t="s">
        <v>31</v>
      </c>
      <c r="R84" s="198"/>
      <c r="S84" s="198"/>
      <c r="T84" s="198"/>
      <c r="U84" s="198"/>
    </row>
    <row r="85" spans="1:26" s="12" customFormat="1" x14ac:dyDescent="0.25">
      <c r="A85" s="201" t="s">
        <v>893</v>
      </c>
      <c r="B85" s="215" t="s">
        <v>31</v>
      </c>
      <c r="C85" s="215" t="s">
        <v>31</v>
      </c>
      <c r="D85" s="215" t="s">
        <v>31</v>
      </c>
      <c r="E85" s="215" t="s">
        <v>31</v>
      </c>
      <c r="F85" s="215" t="s">
        <v>31</v>
      </c>
      <c r="G85" s="215" t="s">
        <v>31</v>
      </c>
      <c r="H85" s="215" t="s">
        <v>31</v>
      </c>
      <c r="I85" s="215" t="s">
        <v>31</v>
      </c>
      <c r="J85" s="215" t="s">
        <v>31</v>
      </c>
      <c r="K85" s="215" t="s">
        <v>31</v>
      </c>
      <c r="L85" s="215" t="s">
        <v>31</v>
      </c>
      <c r="M85" s="215" t="s">
        <v>31</v>
      </c>
      <c r="N85" s="215" t="s">
        <v>31</v>
      </c>
      <c r="O85" s="215" t="s">
        <v>31</v>
      </c>
      <c r="P85" s="215" t="s">
        <v>31</v>
      </c>
      <c r="Q85" s="215" t="s">
        <v>31</v>
      </c>
      <c r="R85" s="198"/>
      <c r="S85" s="198"/>
      <c r="T85" s="198"/>
      <c r="U85" s="198"/>
    </row>
    <row r="86" spans="1:26" s="12" customFormat="1" x14ac:dyDescent="0.25">
      <c r="A86" s="201" t="s">
        <v>894</v>
      </c>
      <c r="B86" s="215" t="s">
        <v>31</v>
      </c>
      <c r="C86" s="215" t="s">
        <v>31</v>
      </c>
      <c r="D86" s="215" t="s">
        <v>31</v>
      </c>
      <c r="E86" s="215" t="s">
        <v>31</v>
      </c>
      <c r="F86" s="215" t="s">
        <v>31</v>
      </c>
      <c r="G86" s="215" t="s">
        <v>31</v>
      </c>
      <c r="H86" s="215" t="s">
        <v>31</v>
      </c>
      <c r="I86" s="215" t="s">
        <v>31</v>
      </c>
      <c r="J86" s="215" t="s">
        <v>31</v>
      </c>
      <c r="K86" s="215" t="s">
        <v>31</v>
      </c>
      <c r="L86" s="215" t="s">
        <v>31</v>
      </c>
      <c r="M86" s="215" t="s">
        <v>31</v>
      </c>
      <c r="N86" s="215" t="s">
        <v>31</v>
      </c>
      <c r="O86" s="215" t="s">
        <v>31</v>
      </c>
      <c r="P86" s="215" t="s">
        <v>31</v>
      </c>
      <c r="Q86" s="215" t="s">
        <v>31</v>
      </c>
      <c r="R86" s="198"/>
      <c r="S86" s="198"/>
      <c r="T86" s="198"/>
      <c r="U86" s="198"/>
    </row>
    <row r="87" spans="1:26" s="12" customFormat="1" x14ac:dyDescent="0.25">
      <c r="A87" s="201" t="s">
        <v>895</v>
      </c>
      <c r="B87" s="215" t="s">
        <v>31</v>
      </c>
      <c r="C87" s="215" t="s">
        <v>31</v>
      </c>
      <c r="D87" s="215" t="s">
        <v>31</v>
      </c>
      <c r="E87" s="215" t="s">
        <v>31</v>
      </c>
      <c r="F87" s="215" t="s">
        <v>31</v>
      </c>
      <c r="G87" s="215" t="s">
        <v>31</v>
      </c>
      <c r="H87" s="215" t="s">
        <v>31</v>
      </c>
      <c r="I87" s="215" t="s">
        <v>31</v>
      </c>
      <c r="J87" s="215" t="s">
        <v>31</v>
      </c>
      <c r="K87" s="215" t="s">
        <v>31</v>
      </c>
      <c r="L87" s="215" t="s">
        <v>31</v>
      </c>
      <c r="M87" s="215" t="s">
        <v>31</v>
      </c>
      <c r="N87" s="215" t="s">
        <v>31</v>
      </c>
      <c r="O87" s="215" t="s">
        <v>31</v>
      </c>
      <c r="P87" s="215" t="s">
        <v>31</v>
      </c>
      <c r="Q87" s="215" t="s">
        <v>31</v>
      </c>
      <c r="R87" s="198"/>
      <c r="S87" s="198"/>
      <c r="T87" s="198"/>
      <c r="U87" s="198"/>
    </row>
    <row r="88" spans="1:26" s="12" customFormat="1" x14ac:dyDescent="0.25">
      <c r="A88" s="201" t="s">
        <v>896</v>
      </c>
      <c r="B88" s="215" t="s">
        <v>31</v>
      </c>
      <c r="C88" s="215" t="s">
        <v>31</v>
      </c>
      <c r="D88" s="215" t="s">
        <v>31</v>
      </c>
      <c r="E88" s="215" t="s">
        <v>31</v>
      </c>
      <c r="F88" s="215" t="s">
        <v>31</v>
      </c>
      <c r="G88" s="215" t="s">
        <v>31</v>
      </c>
      <c r="H88" s="215" t="s">
        <v>31</v>
      </c>
      <c r="I88" s="215" t="s">
        <v>31</v>
      </c>
      <c r="J88" s="215" t="s">
        <v>31</v>
      </c>
      <c r="K88" s="215" t="s">
        <v>31</v>
      </c>
      <c r="L88" s="215" t="s">
        <v>31</v>
      </c>
      <c r="M88" s="215" t="s">
        <v>31</v>
      </c>
      <c r="N88" s="215" t="s">
        <v>31</v>
      </c>
      <c r="O88" s="215" t="s">
        <v>31</v>
      </c>
      <c r="P88" s="215" t="s">
        <v>31</v>
      </c>
      <c r="Q88" s="215" t="s">
        <v>31</v>
      </c>
      <c r="R88" s="198"/>
      <c r="S88" s="198"/>
      <c r="T88" s="198"/>
      <c r="U88" s="198"/>
    </row>
    <row r="89" spans="1:26" s="12" customFormat="1" x14ac:dyDescent="0.25">
      <c r="A89" s="201" t="s">
        <v>897</v>
      </c>
      <c r="B89" s="215" t="s">
        <v>31</v>
      </c>
      <c r="C89" s="215" t="s">
        <v>31</v>
      </c>
      <c r="D89" s="215" t="s">
        <v>31</v>
      </c>
      <c r="E89" s="215" t="s">
        <v>31</v>
      </c>
      <c r="F89" s="215" t="s">
        <v>31</v>
      </c>
      <c r="G89" s="215" t="s">
        <v>31</v>
      </c>
      <c r="H89" s="215" t="s">
        <v>31</v>
      </c>
      <c r="I89" s="215" t="s">
        <v>31</v>
      </c>
      <c r="J89" s="215" t="s">
        <v>31</v>
      </c>
      <c r="K89" s="215" t="s">
        <v>31</v>
      </c>
      <c r="L89" s="215" t="s">
        <v>31</v>
      </c>
      <c r="M89" s="215" t="s">
        <v>31</v>
      </c>
      <c r="N89" s="215" t="s">
        <v>31</v>
      </c>
      <c r="O89" s="215" t="s">
        <v>31</v>
      </c>
      <c r="P89" s="215" t="s">
        <v>31</v>
      </c>
      <c r="Q89" s="215" t="s">
        <v>31</v>
      </c>
      <c r="R89" s="198"/>
      <c r="S89" s="198"/>
      <c r="T89" s="198"/>
      <c r="U89" s="198"/>
    </row>
    <row r="90" spans="1:26" s="12" customFormat="1" x14ac:dyDescent="0.25">
      <c r="A90" s="201" t="s">
        <v>898</v>
      </c>
      <c r="B90" s="215" t="s">
        <v>31</v>
      </c>
      <c r="C90" s="215" t="s">
        <v>31</v>
      </c>
      <c r="D90" s="215" t="s">
        <v>31</v>
      </c>
      <c r="E90" s="215" t="s">
        <v>31</v>
      </c>
      <c r="F90" s="215" t="s">
        <v>31</v>
      </c>
      <c r="G90" s="215" t="s">
        <v>31</v>
      </c>
      <c r="H90" s="215" t="s">
        <v>31</v>
      </c>
      <c r="I90" s="215" t="s">
        <v>31</v>
      </c>
      <c r="J90" s="215" t="s">
        <v>31</v>
      </c>
      <c r="K90" s="215" t="s">
        <v>31</v>
      </c>
      <c r="L90" s="215" t="s">
        <v>31</v>
      </c>
      <c r="M90" s="215" t="s">
        <v>31</v>
      </c>
      <c r="N90" s="215" t="s">
        <v>31</v>
      </c>
      <c r="O90" s="215" t="s">
        <v>31</v>
      </c>
      <c r="P90" s="215" t="s">
        <v>31</v>
      </c>
      <c r="Q90" s="215" t="s">
        <v>31</v>
      </c>
      <c r="R90" s="198"/>
      <c r="S90" s="198"/>
      <c r="T90" s="198"/>
      <c r="U90" s="198"/>
    </row>
    <row r="91" spans="1:26" s="12" customFormat="1" x14ac:dyDescent="0.25">
      <c r="A91" s="201" t="s">
        <v>899</v>
      </c>
      <c r="B91" s="215" t="s">
        <v>31</v>
      </c>
      <c r="C91" s="215" t="s">
        <v>31</v>
      </c>
      <c r="D91" s="215" t="s">
        <v>31</v>
      </c>
      <c r="E91" s="215" t="s">
        <v>31</v>
      </c>
      <c r="F91" s="215" t="s">
        <v>31</v>
      </c>
      <c r="G91" s="215" t="s">
        <v>31</v>
      </c>
      <c r="H91" s="215" t="s">
        <v>31</v>
      </c>
      <c r="I91" s="215" t="s">
        <v>31</v>
      </c>
      <c r="J91" s="215" t="s">
        <v>31</v>
      </c>
      <c r="K91" s="215" t="s">
        <v>31</v>
      </c>
      <c r="L91" s="215" t="s">
        <v>31</v>
      </c>
      <c r="M91" s="215" t="s">
        <v>31</v>
      </c>
      <c r="N91" s="215" t="s">
        <v>31</v>
      </c>
      <c r="O91" s="215" t="s">
        <v>31</v>
      </c>
      <c r="P91" s="215" t="s">
        <v>31</v>
      </c>
      <c r="Q91" s="215" t="s">
        <v>31</v>
      </c>
      <c r="R91" s="198"/>
      <c r="S91" s="198"/>
      <c r="T91" s="198"/>
      <c r="U91" s="198"/>
    </row>
    <row r="92" spans="1:26" s="12" customFormat="1" x14ac:dyDescent="0.25">
      <c r="A92" s="201" t="s">
        <v>900</v>
      </c>
      <c r="B92" s="215" t="s">
        <v>31</v>
      </c>
      <c r="C92" s="215" t="s">
        <v>31</v>
      </c>
      <c r="D92" s="215" t="s">
        <v>31</v>
      </c>
      <c r="E92" s="215" t="s">
        <v>31</v>
      </c>
      <c r="F92" s="215" t="s">
        <v>31</v>
      </c>
      <c r="G92" s="215" t="s">
        <v>31</v>
      </c>
      <c r="H92" s="215" t="s">
        <v>31</v>
      </c>
      <c r="I92" s="215" t="s">
        <v>31</v>
      </c>
      <c r="J92" s="215" t="s">
        <v>31</v>
      </c>
      <c r="K92" s="215" t="s">
        <v>31</v>
      </c>
      <c r="L92" s="215" t="s">
        <v>31</v>
      </c>
      <c r="M92" s="215" t="s">
        <v>31</v>
      </c>
      <c r="N92" s="215" t="s">
        <v>31</v>
      </c>
      <c r="O92" s="215" t="s">
        <v>31</v>
      </c>
      <c r="P92" s="215" t="s">
        <v>31</v>
      </c>
      <c r="Q92" s="215" t="s">
        <v>31</v>
      </c>
      <c r="R92" s="198"/>
      <c r="S92" s="198"/>
      <c r="T92" s="198"/>
      <c r="U92" s="198"/>
    </row>
    <row r="93" spans="1:26" s="12" customFormat="1" x14ac:dyDescent="0.25">
      <c r="A93" s="201" t="s">
        <v>901</v>
      </c>
      <c r="B93" s="215" t="s">
        <v>31</v>
      </c>
      <c r="C93" s="215" t="s">
        <v>31</v>
      </c>
      <c r="D93" s="215" t="s">
        <v>31</v>
      </c>
      <c r="E93" s="215" t="s">
        <v>31</v>
      </c>
      <c r="F93" s="215" t="s">
        <v>31</v>
      </c>
      <c r="G93" s="215" t="s">
        <v>31</v>
      </c>
      <c r="H93" s="215" t="s">
        <v>31</v>
      </c>
      <c r="I93" s="215" t="s">
        <v>31</v>
      </c>
      <c r="J93" s="215" t="s">
        <v>31</v>
      </c>
      <c r="K93" s="215" t="s">
        <v>31</v>
      </c>
      <c r="L93" s="215" t="s">
        <v>31</v>
      </c>
      <c r="M93" s="215" t="s">
        <v>31</v>
      </c>
      <c r="N93" s="215" t="s">
        <v>31</v>
      </c>
      <c r="O93" s="215" t="s">
        <v>31</v>
      </c>
      <c r="P93" s="215" t="s">
        <v>31</v>
      </c>
      <c r="Q93" s="215" t="s">
        <v>31</v>
      </c>
      <c r="R93" s="198"/>
      <c r="S93" s="198"/>
      <c r="T93" s="198"/>
      <c r="U93" s="198"/>
    </row>
    <row r="94" spans="1:26" s="12" customFormat="1" x14ac:dyDescent="0.25">
      <c r="A94" s="201" t="s">
        <v>902</v>
      </c>
      <c r="B94" s="215" t="s">
        <v>31</v>
      </c>
      <c r="C94" s="215" t="s">
        <v>31</v>
      </c>
      <c r="D94" s="215" t="s">
        <v>31</v>
      </c>
      <c r="E94" s="215" t="s">
        <v>31</v>
      </c>
      <c r="F94" s="215" t="s">
        <v>31</v>
      </c>
      <c r="G94" s="215" t="s">
        <v>31</v>
      </c>
      <c r="H94" s="215" t="s">
        <v>31</v>
      </c>
      <c r="I94" s="215" t="s">
        <v>31</v>
      </c>
      <c r="J94" s="215" t="s">
        <v>31</v>
      </c>
      <c r="K94" s="215" t="s">
        <v>31</v>
      </c>
      <c r="L94" s="215" t="s">
        <v>31</v>
      </c>
      <c r="M94" s="215" t="s">
        <v>31</v>
      </c>
      <c r="N94" s="215" t="s">
        <v>31</v>
      </c>
      <c r="O94" s="215" t="s">
        <v>31</v>
      </c>
      <c r="P94" s="215" t="s">
        <v>31</v>
      </c>
      <c r="Q94" s="215" t="s">
        <v>31</v>
      </c>
      <c r="R94" s="198"/>
      <c r="S94" s="198"/>
      <c r="T94" s="198"/>
      <c r="U94" s="198"/>
    </row>
    <row r="95" spans="1:26" s="12" customFormat="1" x14ac:dyDescent="0.25">
      <c r="A95" s="201" t="s">
        <v>903</v>
      </c>
      <c r="B95" s="215" t="s">
        <v>31</v>
      </c>
      <c r="C95" s="215" t="s">
        <v>31</v>
      </c>
      <c r="D95" s="215" t="s">
        <v>31</v>
      </c>
      <c r="E95" s="215" t="s">
        <v>31</v>
      </c>
      <c r="F95" s="215" t="s">
        <v>31</v>
      </c>
      <c r="G95" s="215" t="s">
        <v>31</v>
      </c>
      <c r="H95" s="215" t="s">
        <v>31</v>
      </c>
      <c r="I95" s="215" t="s">
        <v>31</v>
      </c>
      <c r="J95" s="215" t="s">
        <v>31</v>
      </c>
      <c r="K95" s="215" t="s">
        <v>31</v>
      </c>
      <c r="L95" s="215" t="s">
        <v>31</v>
      </c>
      <c r="M95" s="215" t="s">
        <v>31</v>
      </c>
      <c r="N95" s="215" t="s">
        <v>31</v>
      </c>
      <c r="O95" s="215" t="s">
        <v>31</v>
      </c>
      <c r="P95" s="215" t="s">
        <v>31</v>
      </c>
      <c r="Q95" s="215" t="s">
        <v>31</v>
      </c>
      <c r="R95" s="198"/>
      <c r="S95" s="198"/>
      <c r="T95" s="198"/>
      <c r="U95" s="198"/>
    </row>
    <row r="96" spans="1:26" s="12" customFormat="1" x14ac:dyDescent="0.25">
      <c r="A96" s="201" t="s">
        <v>904</v>
      </c>
      <c r="B96" s="215" t="s">
        <v>31</v>
      </c>
      <c r="C96" s="215" t="s">
        <v>31</v>
      </c>
      <c r="D96" s="215" t="s">
        <v>31</v>
      </c>
      <c r="E96" s="215" t="s">
        <v>31</v>
      </c>
      <c r="F96" s="215" t="s">
        <v>31</v>
      </c>
      <c r="G96" s="215" t="s">
        <v>31</v>
      </c>
      <c r="H96" s="215" t="s">
        <v>31</v>
      </c>
      <c r="I96" s="215" t="s">
        <v>31</v>
      </c>
      <c r="J96" s="215" t="s">
        <v>31</v>
      </c>
      <c r="K96" s="215" t="s">
        <v>31</v>
      </c>
      <c r="L96" s="215" t="s">
        <v>31</v>
      </c>
      <c r="M96" s="215" t="s">
        <v>31</v>
      </c>
      <c r="N96" s="215" t="s">
        <v>31</v>
      </c>
      <c r="O96" s="215" t="s">
        <v>31</v>
      </c>
      <c r="P96" s="215" t="s">
        <v>31</v>
      </c>
      <c r="Q96" s="215" t="s">
        <v>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905</v>
      </c>
      <c r="B97" s="215" t="s">
        <v>31</v>
      </c>
      <c r="C97" s="215" t="s">
        <v>31</v>
      </c>
      <c r="D97" s="215" t="s">
        <v>31</v>
      </c>
      <c r="E97" s="215" t="s">
        <v>31</v>
      </c>
      <c r="F97" s="215" t="s">
        <v>31</v>
      </c>
      <c r="G97" s="215" t="s">
        <v>31</v>
      </c>
      <c r="H97" s="215" t="s">
        <v>31</v>
      </c>
      <c r="I97" s="215" t="s">
        <v>31</v>
      </c>
      <c r="J97" s="215" t="s">
        <v>31</v>
      </c>
      <c r="K97" s="215" t="s">
        <v>31</v>
      </c>
      <c r="L97" s="215" t="s">
        <v>31</v>
      </c>
      <c r="M97" s="215" t="s">
        <v>31</v>
      </c>
      <c r="N97" s="215" t="s">
        <v>31</v>
      </c>
      <c r="O97" s="215" t="s">
        <v>31</v>
      </c>
      <c r="P97" s="215" t="s">
        <v>31</v>
      </c>
      <c r="Q97" s="215" t="s">
        <v>31</v>
      </c>
      <c r="R97" s="198"/>
      <c r="S97" s="198"/>
      <c r="T97" s="198"/>
      <c r="U97" s="198"/>
    </row>
    <row r="98" spans="1:33" s="12" customFormat="1" x14ac:dyDescent="0.25">
      <c r="A98" s="201" t="s">
        <v>906</v>
      </c>
      <c r="B98" s="215" t="s">
        <v>31</v>
      </c>
      <c r="C98" s="215" t="s">
        <v>31</v>
      </c>
      <c r="D98" s="215" t="s">
        <v>31</v>
      </c>
      <c r="E98" s="215" t="s">
        <v>31</v>
      </c>
      <c r="F98" s="215" t="s">
        <v>31</v>
      </c>
      <c r="G98" s="215" t="s">
        <v>31</v>
      </c>
      <c r="H98" s="215" t="s">
        <v>31</v>
      </c>
      <c r="I98" s="215" t="s">
        <v>31</v>
      </c>
      <c r="J98" s="215" t="s">
        <v>31</v>
      </c>
      <c r="K98" s="215" t="s">
        <v>31</v>
      </c>
      <c r="L98" s="215" t="s">
        <v>31</v>
      </c>
      <c r="M98" s="215" t="s">
        <v>31</v>
      </c>
      <c r="N98" s="215" t="s">
        <v>31</v>
      </c>
      <c r="O98" s="215" t="s">
        <v>31</v>
      </c>
      <c r="P98" s="215" t="s">
        <v>31</v>
      </c>
      <c r="Q98" s="215" t="s">
        <v>31</v>
      </c>
      <c r="R98" s="198"/>
      <c r="S98" s="198"/>
      <c r="T98" s="198"/>
      <c r="U98" s="198"/>
    </row>
    <row r="99" spans="1:33" s="12" customFormat="1" x14ac:dyDescent="0.25">
      <c r="A99" s="201" t="s">
        <v>907</v>
      </c>
      <c r="B99" s="215" t="s">
        <v>31</v>
      </c>
      <c r="C99" s="215" t="s">
        <v>31</v>
      </c>
      <c r="D99" s="215" t="s">
        <v>31</v>
      </c>
      <c r="E99" s="215" t="s">
        <v>31</v>
      </c>
      <c r="F99" s="215" t="s">
        <v>31</v>
      </c>
      <c r="G99" s="215" t="s">
        <v>31</v>
      </c>
      <c r="H99" s="215" t="s">
        <v>31</v>
      </c>
      <c r="I99" s="215" t="s">
        <v>31</v>
      </c>
      <c r="J99" s="215" t="s">
        <v>31</v>
      </c>
      <c r="K99" s="215" t="s">
        <v>31</v>
      </c>
      <c r="L99" s="215" t="s">
        <v>31</v>
      </c>
      <c r="M99" s="215" t="s">
        <v>31</v>
      </c>
      <c r="N99" s="215" t="s">
        <v>31</v>
      </c>
      <c r="O99" s="215" t="s">
        <v>31</v>
      </c>
      <c r="P99" s="215" t="s">
        <v>31</v>
      </c>
      <c r="Q99" s="215" t="s">
        <v>31</v>
      </c>
      <c r="R99" s="198"/>
      <c r="S99" s="198"/>
      <c r="T99" s="198"/>
      <c r="U99" s="198"/>
    </row>
    <row r="100" spans="1:33" s="12" customFormat="1" x14ac:dyDescent="0.25">
      <c r="A100" s="201" t="s">
        <v>908</v>
      </c>
      <c r="B100" s="215" t="s">
        <v>31</v>
      </c>
      <c r="C100" s="215" t="s">
        <v>31</v>
      </c>
      <c r="D100" s="215" t="s">
        <v>31</v>
      </c>
      <c r="E100" s="215" t="s">
        <v>31</v>
      </c>
      <c r="F100" s="215" t="s">
        <v>31</v>
      </c>
      <c r="G100" s="215" t="s">
        <v>31</v>
      </c>
      <c r="H100" s="215" t="s">
        <v>31</v>
      </c>
      <c r="I100" s="215" t="s">
        <v>31</v>
      </c>
      <c r="J100" s="215" t="s">
        <v>31</v>
      </c>
      <c r="K100" s="215" t="s">
        <v>31</v>
      </c>
      <c r="L100" s="215" t="s">
        <v>31</v>
      </c>
      <c r="M100" s="215" t="s">
        <v>31</v>
      </c>
      <c r="N100" s="215" t="s">
        <v>31</v>
      </c>
      <c r="O100" s="215" t="s">
        <v>31</v>
      </c>
      <c r="P100" s="215" t="s">
        <v>31</v>
      </c>
      <c r="Q100" s="215" t="s">
        <v>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909</v>
      </c>
      <c r="B101" s="215" t="s">
        <v>31</v>
      </c>
      <c r="C101" s="215" t="s">
        <v>31</v>
      </c>
      <c r="D101" s="215" t="s">
        <v>31</v>
      </c>
      <c r="E101" s="215" t="s">
        <v>31</v>
      </c>
      <c r="F101" s="215" t="s">
        <v>31</v>
      </c>
      <c r="G101" s="215" t="s">
        <v>31</v>
      </c>
      <c r="H101" s="215" t="s">
        <v>31</v>
      </c>
      <c r="I101" s="215" t="s">
        <v>31</v>
      </c>
      <c r="J101" s="215" t="s">
        <v>31</v>
      </c>
      <c r="K101" s="215" t="s">
        <v>31</v>
      </c>
      <c r="L101" s="215" t="s">
        <v>31</v>
      </c>
      <c r="M101" s="215" t="s">
        <v>31</v>
      </c>
      <c r="N101" s="215" t="s">
        <v>31</v>
      </c>
      <c r="O101" s="215" t="s">
        <v>31</v>
      </c>
      <c r="P101" s="215" t="s">
        <v>31</v>
      </c>
      <c r="Q101" s="215" t="s">
        <v>31</v>
      </c>
      <c r="R101" s="198"/>
      <c r="S101" s="198"/>
      <c r="T101" s="198"/>
      <c r="U101" s="198"/>
    </row>
    <row r="102" spans="1:33" s="12" customFormat="1" x14ac:dyDescent="0.25">
      <c r="A102" s="201" t="s">
        <v>910</v>
      </c>
      <c r="B102" s="215" t="s">
        <v>31</v>
      </c>
      <c r="C102" s="215" t="s">
        <v>31</v>
      </c>
      <c r="D102" s="215" t="s">
        <v>31</v>
      </c>
      <c r="E102" s="215" t="s">
        <v>31</v>
      </c>
      <c r="F102" s="215" t="s">
        <v>31</v>
      </c>
      <c r="G102" s="215" t="s">
        <v>31</v>
      </c>
      <c r="H102" s="215" t="s">
        <v>31</v>
      </c>
      <c r="I102" s="215" t="s">
        <v>31</v>
      </c>
      <c r="J102" s="215" t="s">
        <v>31</v>
      </c>
      <c r="K102" s="215" t="s">
        <v>31</v>
      </c>
      <c r="L102" s="215" t="s">
        <v>31</v>
      </c>
      <c r="M102" s="215" t="s">
        <v>31</v>
      </c>
      <c r="N102" s="215" t="s">
        <v>31</v>
      </c>
      <c r="O102" s="215" t="s">
        <v>31</v>
      </c>
      <c r="P102" s="215" t="s">
        <v>31</v>
      </c>
      <c r="Q102" s="215" t="s">
        <v>31</v>
      </c>
      <c r="R102" s="198"/>
      <c r="S102" s="198"/>
      <c r="T102" s="198"/>
      <c r="U102" s="198"/>
    </row>
    <row r="103" spans="1:33" s="12" customFormat="1" x14ac:dyDescent="0.25">
      <c r="A103" s="201" t="s">
        <v>911</v>
      </c>
      <c r="B103" s="215" t="s">
        <v>31</v>
      </c>
      <c r="C103" s="215" t="s">
        <v>31</v>
      </c>
      <c r="D103" s="215" t="s">
        <v>31</v>
      </c>
      <c r="E103" s="215" t="s">
        <v>31</v>
      </c>
      <c r="F103" s="215" t="s">
        <v>31</v>
      </c>
      <c r="G103" s="215" t="s">
        <v>31</v>
      </c>
      <c r="H103" s="215" t="s">
        <v>31</v>
      </c>
      <c r="I103" s="215" t="s">
        <v>31</v>
      </c>
      <c r="J103" s="215" t="s">
        <v>31</v>
      </c>
      <c r="K103" s="215" t="s">
        <v>31</v>
      </c>
      <c r="L103" s="215" t="s">
        <v>31</v>
      </c>
      <c r="M103" s="215" t="s">
        <v>31</v>
      </c>
      <c r="N103" s="215" t="s">
        <v>31</v>
      </c>
      <c r="O103" s="215" t="s">
        <v>31</v>
      </c>
      <c r="P103" s="215" t="s">
        <v>31</v>
      </c>
      <c r="Q103" s="215" t="s">
        <v>31</v>
      </c>
      <c r="R103" s="198"/>
      <c r="S103" s="198"/>
      <c r="T103" s="198"/>
      <c r="U103" s="198"/>
    </row>
    <row r="104" spans="1:33" s="12" customFormat="1" x14ac:dyDescent="0.25">
      <c r="A104" s="201" t="s">
        <v>912</v>
      </c>
      <c r="B104" s="215" t="s">
        <v>31</v>
      </c>
      <c r="C104" s="215" t="s">
        <v>31</v>
      </c>
      <c r="D104" s="215" t="s">
        <v>31</v>
      </c>
      <c r="E104" s="215" t="s">
        <v>31</v>
      </c>
      <c r="F104" s="215" t="s">
        <v>31</v>
      </c>
      <c r="G104" s="215" t="s">
        <v>31</v>
      </c>
      <c r="H104" s="215" t="s">
        <v>31</v>
      </c>
      <c r="I104" s="215" t="s">
        <v>31</v>
      </c>
      <c r="J104" s="215" t="s">
        <v>31</v>
      </c>
      <c r="K104" s="215" t="s">
        <v>31</v>
      </c>
      <c r="L104" s="215" t="s">
        <v>31</v>
      </c>
      <c r="M104" s="215" t="s">
        <v>31</v>
      </c>
      <c r="N104" s="215" t="s">
        <v>31</v>
      </c>
      <c r="O104" s="215" t="s">
        <v>31</v>
      </c>
      <c r="P104" s="215" t="s">
        <v>31</v>
      </c>
      <c r="Q104" s="215" t="s">
        <v>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60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76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COUNT(B9:B104)+96</f>
        <v>96</v>
      </c>
      <c r="C110" s="66">
        <f t="shared" ref="C110:Q110" si="4">COUNT(C9:C104)+96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>IF(I110&gt;=87,"&gt;90%",IF(I110&lt;=87,"&lt;90%"))</f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913</v>
      </c>
      <c r="B9" s="215" t="s">
        <v>31</v>
      </c>
      <c r="C9" s="215" t="s">
        <v>31</v>
      </c>
      <c r="D9" s="215" t="s">
        <v>31</v>
      </c>
      <c r="E9" s="215" t="s">
        <v>31</v>
      </c>
      <c r="F9" s="215" t="s">
        <v>31</v>
      </c>
      <c r="G9" s="215" t="s">
        <v>31</v>
      </c>
      <c r="H9" s="215" t="s">
        <v>31</v>
      </c>
      <c r="I9" s="215" t="s">
        <v>31</v>
      </c>
      <c r="J9" s="215" t="s">
        <v>31</v>
      </c>
      <c r="K9" s="215" t="s">
        <v>31</v>
      </c>
      <c r="L9" s="215" t="s">
        <v>31</v>
      </c>
      <c r="M9" s="215" t="s">
        <v>31</v>
      </c>
      <c r="N9" s="215" t="s">
        <v>31</v>
      </c>
      <c r="O9" s="215" t="s">
        <v>31</v>
      </c>
      <c r="P9" s="215" t="s">
        <v>31</v>
      </c>
      <c r="Q9" s="215" t="s">
        <v>31</v>
      </c>
      <c r="R9" s="198"/>
      <c r="S9" s="198"/>
      <c r="T9" s="198"/>
      <c r="U9" s="198"/>
    </row>
    <row r="10" spans="1:21" s="12" customFormat="1" x14ac:dyDescent="0.25">
      <c r="A10" s="201" t="s">
        <v>914</v>
      </c>
      <c r="B10" s="215" t="s">
        <v>31</v>
      </c>
      <c r="C10" s="215" t="s">
        <v>31</v>
      </c>
      <c r="D10" s="215" t="s">
        <v>31</v>
      </c>
      <c r="E10" s="215" t="s">
        <v>31</v>
      </c>
      <c r="F10" s="215" t="s">
        <v>31</v>
      </c>
      <c r="G10" s="215" t="s">
        <v>31</v>
      </c>
      <c r="H10" s="215" t="s">
        <v>31</v>
      </c>
      <c r="I10" s="215" t="s">
        <v>31</v>
      </c>
      <c r="J10" s="215" t="s">
        <v>31</v>
      </c>
      <c r="K10" s="215" t="s">
        <v>31</v>
      </c>
      <c r="L10" s="215" t="s">
        <v>31</v>
      </c>
      <c r="M10" s="215" t="s">
        <v>31</v>
      </c>
      <c r="N10" s="215" t="s">
        <v>31</v>
      </c>
      <c r="O10" s="215" t="s">
        <v>31</v>
      </c>
      <c r="P10" s="215" t="s">
        <v>31</v>
      </c>
      <c r="Q10" s="215" t="s">
        <v>31</v>
      </c>
      <c r="R10" s="198"/>
      <c r="S10" s="198"/>
      <c r="T10" s="198"/>
      <c r="U10" s="198"/>
    </row>
    <row r="11" spans="1:21" s="12" customFormat="1" x14ac:dyDescent="0.25">
      <c r="A11" s="201" t="s">
        <v>915</v>
      </c>
      <c r="B11" s="215" t="s">
        <v>31</v>
      </c>
      <c r="C11" s="215" t="s">
        <v>31</v>
      </c>
      <c r="D11" s="215" t="s">
        <v>31</v>
      </c>
      <c r="E11" s="215" t="s">
        <v>31</v>
      </c>
      <c r="F11" s="215" t="s">
        <v>31</v>
      </c>
      <c r="G11" s="215" t="s">
        <v>31</v>
      </c>
      <c r="H11" s="215" t="s">
        <v>31</v>
      </c>
      <c r="I11" s="215" t="s">
        <v>31</v>
      </c>
      <c r="J11" s="215" t="s">
        <v>31</v>
      </c>
      <c r="K11" s="215" t="s">
        <v>31</v>
      </c>
      <c r="L11" s="215" t="s">
        <v>31</v>
      </c>
      <c r="M11" s="215" t="s">
        <v>31</v>
      </c>
      <c r="N11" s="215" t="s">
        <v>31</v>
      </c>
      <c r="O11" s="215" t="s">
        <v>31</v>
      </c>
      <c r="P11" s="215" t="s">
        <v>31</v>
      </c>
      <c r="Q11" s="215" t="s">
        <v>31</v>
      </c>
      <c r="R11" s="198"/>
      <c r="S11" s="198"/>
      <c r="T11" s="198"/>
      <c r="U11" s="198"/>
    </row>
    <row r="12" spans="1:21" s="12" customFormat="1" x14ac:dyDescent="0.25">
      <c r="A12" s="201" t="s">
        <v>916</v>
      </c>
      <c r="B12" s="215" t="s">
        <v>31</v>
      </c>
      <c r="C12" s="215" t="s">
        <v>31</v>
      </c>
      <c r="D12" s="215" t="s">
        <v>31</v>
      </c>
      <c r="E12" s="215" t="s">
        <v>31</v>
      </c>
      <c r="F12" s="215" t="s">
        <v>31</v>
      </c>
      <c r="G12" s="215" t="s">
        <v>31</v>
      </c>
      <c r="H12" s="215" t="s">
        <v>31</v>
      </c>
      <c r="I12" s="215" t="s">
        <v>31</v>
      </c>
      <c r="J12" s="215" t="s">
        <v>31</v>
      </c>
      <c r="K12" s="215" t="s">
        <v>31</v>
      </c>
      <c r="L12" s="215" t="s">
        <v>31</v>
      </c>
      <c r="M12" s="215" t="s">
        <v>31</v>
      </c>
      <c r="N12" s="215" t="s">
        <v>31</v>
      </c>
      <c r="O12" s="215" t="s">
        <v>31</v>
      </c>
      <c r="P12" s="215" t="s">
        <v>31</v>
      </c>
      <c r="Q12" s="215" t="s">
        <v>31</v>
      </c>
      <c r="R12" s="198"/>
      <c r="S12" s="198"/>
      <c r="T12" s="198"/>
      <c r="U12" s="198"/>
    </row>
    <row r="13" spans="1:21" s="12" customFormat="1" x14ac:dyDescent="0.25">
      <c r="A13" s="201" t="s">
        <v>917</v>
      </c>
      <c r="B13" s="215" t="s">
        <v>31</v>
      </c>
      <c r="C13" s="215" t="s">
        <v>31</v>
      </c>
      <c r="D13" s="215" t="s">
        <v>31</v>
      </c>
      <c r="E13" s="215" t="s">
        <v>31</v>
      </c>
      <c r="F13" s="215" t="s">
        <v>31</v>
      </c>
      <c r="G13" s="215" t="s">
        <v>31</v>
      </c>
      <c r="H13" s="215" t="s">
        <v>31</v>
      </c>
      <c r="I13" s="215" t="s">
        <v>31</v>
      </c>
      <c r="J13" s="215" t="s">
        <v>31</v>
      </c>
      <c r="K13" s="215" t="s">
        <v>31</v>
      </c>
      <c r="L13" s="215" t="s">
        <v>31</v>
      </c>
      <c r="M13" s="215" t="s">
        <v>31</v>
      </c>
      <c r="N13" s="215" t="s">
        <v>31</v>
      </c>
      <c r="O13" s="215" t="s">
        <v>31</v>
      </c>
      <c r="P13" s="215" t="s">
        <v>31</v>
      </c>
      <c r="Q13" s="215" t="s">
        <v>31</v>
      </c>
      <c r="R13" s="198"/>
      <c r="S13" s="198"/>
      <c r="T13" s="198"/>
      <c r="U13" s="198"/>
    </row>
    <row r="14" spans="1:21" s="12" customFormat="1" x14ac:dyDescent="0.25">
      <c r="A14" s="201" t="s">
        <v>918</v>
      </c>
      <c r="B14" s="215" t="s">
        <v>31</v>
      </c>
      <c r="C14" s="215" t="s">
        <v>31</v>
      </c>
      <c r="D14" s="215" t="s">
        <v>31</v>
      </c>
      <c r="E14" s="215" t="s">
        <v>31</v>
      </c>
      <c r="F14" s="215" t="s">
        <v>31</v>
      </c>
      <c r="G14" s="215" t="s">
        <v>31</v>
      </c>
      <c r="H14" s="215" t="s">
        <v>31</v>
      </c>
      <c r="I14" s="215" t="s">
        <v>31</v>
      </c>
      <c r="J14" s="215" t="s">
        <v>31</v>
      </c>
      <c r="K14" s="215" t="s">
        <v>31</v>
      </c>
      <c r="L14" s="215" t="s">
        <v>31</v>
      </c>
      <c r="M14" s="215" t="s">
        <v>31</v>
      </c>
      <c r="N14" s="215" t="s">
        <v>31</v>
      </c>
      <c r="O14" s="215" t="s">
        <v>31</v>
      </c>
      <c r="P14" s="215" t="s">
        <v>31</v>
      </c>
      <c r="Q14" s="215" t="s">
        <v>31</v>
      </c>
      <c r="R14" s="198"/>
      <c r="S14" s="198"/>
      <c r="T14" s="198"/>
      <c r="U14" s="198"/>
    </row>
    <row r="15" spans="1:21" s="12" customFormat="1" x14ac:dyDescent="0.25">
      <c r="A15" s="201" t="s">
        <v>919</v>
      </c>
      <c r="B15" s="215" t="s">
        <v>31</v>
      </c>
      <c r="C15" s="215" t="s">
        <v>31</v>
      </c>
      <c r="D15" s="215" t="s">
        <v>31</v>
      </c>
      <c r="E15" s="215" t="s">
        <v>31</v>
      </c>
      <c r="F15" s="215" t="s">
        <v>31</v>
      </c>
      <c r="G15" s="215" t="s">
        <v>31</v>
      </c>
      <c r="H15" s="215" t="s">
        <v>31</v>
      </c>
      <c r="I15" s="215" t="s">
        <v>31</v>
      </c>
      <c r="J15" s="215" t="s">
        <v>31</v>
      </c>
      <c r="K15" s="215" t="s">
        <v>31</v>
      </c>
      <c r="L15" s="215" t="s">
        <v>31</v>
      </c>
      <c r="M15" s="215" t="s">
        <v>31</v>
      </c>
      <c r="N15" s="215" t="s">
        <v>31</v>
      </c>
      <c r="O15" s="215" t="s">
        <v>31</v>
      </c>
      <c r="P15" s="215" t="s">
        <v>31</v>
      </c>
      <c r="Q15" s="215" t="s">
        <v>31</v>
      </c>
      <c r="R15" s="198"/>
      <c r="S15" s="198"/>
      <c r="T15" s="198"/>
      <c r="U15" s="198"/>
    </row>
    <row r="16" spans="1:21" s="12" customFormat="1" x14ac:dyDescent="0.25">
      <c r="A16" s="201" t="s">
        <v>920</v>
      </c>
      <c r="B16" s="215" t="s">
        <v>31</v>
      </c>
      <c r="C16" s="215" t="s">
        <v>31</v>
      </c>
      <c r="D16" s="215" t="s">
        <v>31</v>
      </c>
      <c r="E16" s="215" t="s">
        <v>31</v>
      </c>
      <c r="F16" s="215" t="s">
        <v>31</v>
      </c>
      <c r="G16" s="215" t="s">
        <v>31</v>
      </c>
      <c r="H16" s="215" t="s">
        <v>31</v>
      </c>
      <c r="I16" s="215" t="s">
        <v>31</v>
      </c>
      <c r="J16" s="215" t="s">
        <v>31</v>
      </c>
      <c r="K16" s="215" t="s">
        <v>31</v>
      </c>
      <c r="L16" s="215" t="s">
        <v>31</v>
      </c>
      <c r="M16" s="215" t="s">
        <v>31</v>
      </c>
      <c r="N16" s="215" t="s">
        <v>31</v>
      </c>
      <c r="O16" s="215" t="s">
        <v>31</v>
      </c>
      <c r="P16" s="215" t="s">
        <v>31</v>
      </c>
      <c r="Q16" s="215" t="s">
        <v>31</v>
      </c>
      <c r="R16" s="198"/>
      <c r="S16" s="198"/>
      <c r="T16" s="198"/>
      <c r="U16" s="198"/>
    </row>
    <row r="17" spans="1:21" s="12" customFormat="1" x14ac:dyDescent="0.25">
      <c r="A17" s="201" t="s">
        <v>921</v>
      </c>
      <c r="B17" s="215" t="s">
        <v>31</v>
      </c>
      <c r="C17" s="215" t="s">
        <v>31</v>
      </c>
      <c r="D17" s="215" t="s">
        <v>31</v>
      </c>
      <c r="E17" s="215" t="s">
        <v>31</v>
      </c>
      <c r="F17" s="215" t="s">
        <v>31</v>
      </c>
      <c r="G17" s="215" t="s">
        <v>31</v>
      </c>
      <c r="H17" s="215" t="s">
        <v>31</v>
      </c>
      <c r="I17" s="215" t="s">
        <v>31</v>
      </c>
      <c r="J17" s="215" t="s">
        <v>31</v>
      </c>
      <c r="K17" s="215" t="s">
        <v>31</v>
      </c>
      <c r="L17" s="215" t="s">
        <v>31</v>
      </c>
      <c r="M17" s="215" t="s">
        <v>31</v>
      </c>
      <c r="N17" s="215" t="s">
        <v>31</v>
      </c>
      <c r="O17" s="215" t="s">
        <v>31</v>
      </c>
      <c r="P17" s="215" t="s">
        <v>31</v>
      </c>
      <c r="Q17" s="215" t="s">
        <v>31</v>
      </c>
      <c r="R17" s="198"/>
      <c r="S17" s="198"/>
      <c r="T17" s="198"/>
      <c r="U17" s="198"/>
    </row>
    <row r="18" spans="1:21" s="12" customFormat="1" x14ac:dyDescent="0.25">
      <c r="A18" s="201" t="s">
        <v>922</v>
      </c>
      <c r="B18" s="215" t="s">
        <v>31</v>
      </c>
      <c r="C18" s="215" t="s">
        <v>31</v>
      </c>
      <c r="D18" s="215" t="s">
        <v>31</v>
      </c>
      <c r="E18" s="215" t="s">
        <v>31</v>
      </c>
      <c r="F18" s="215" t="s">
        <v>31</v>
      </c>
      <c r="G18" s="215" t="s">
        <v>31</v>
      </c>
      <c r="H18" s="215" t="s">
        <v>31</v>
      </c>
      <c r="I18" s="215" t="s">
        <v>31</v>
      </c>
      <c r="J18" s="215" t="s">
        <v>31</v>
      </c>
      <c r="K18" s="215" t="s">
        <v>31</v>
      </c>
      <c r="L18" s="215" t="s">
        <v>31</v>
      </c>
      <c r="M18" s="215" t="s">
        <v>31</v>
      </c>
      <c r="N18" s="215" t="s">
        <v>31</v>
      </c>
      <c r="O18" s="215" t="s">
        <v>31</v>
      </c>
      <c r="P18" s="215" t="s">
        <v>31</v>
      </c>
      <c r="Q18" s="215" t="s">
        <v>31</v>
      </c>
      <c r="R18" s="198"/>
      <c r="S18" s="198"/>
      <c r="T18" s="198"/>
      <c r="U18" s="198"/>
    </row>
    <row r="19" spans="1:21" s="12" customFormat="1" x14ac:dyDescent="0.25">
      <c r="A19" s="201" t="s">
        <v>923</v>
      </c>
      <c r="B19" s="215" t="s">
        <v>31</v>
      </c>
      <c r="C19" s="215" t="s">
        <v>31</v>
      </c>
      <c r="D19" s="215" t="s">
        <v>31</v>
      </c>
      <c r="E19" s="215" t="s">
        <v>31</v>
      </c>
      <c r="F19" s="215" t="s">
        <v>31</v>
      </c>
      <c r="G19" s="215" t="s">
        <v>31</v>
      </c>
      <c r="H19" s="215" t="s">
        <v>31</v>
      </c>
      <c r="I19" s="215" t="s">
        <v>31</v>
      </c>
      <c r="J19" s="215" t="s">
        <v>31</v>
      </c>
      <c r="K19" s="215" t="s">
        <v>31</v>
      </c>
      <c r="L19" s="215" t="s">
        <v>31</v>
      </c>
      <c r="M19" s="215" t="s">
        <v>31</v>
      </c>
      <c r="N19" s="215" t="s">
        <v>31</v>
      </c>
      <c r="O19" s="215" t="s">
        <v>31</v>
      </c>
      <c r="P19" s="215" t="s">
        <v>31</v>
      </c>
      <c r="Q19" s="215" t="s">
        <v>31</v>
      </c>
      <c r="R19" s="198"/>
      <c r="S19" s="198"/>
      <c r="T19" s="198"/>
      <c r="U19" s="198"/>
    </row>
    <row r="20" spans="1:21" s="12" customFormat="1" x14ac:dyDescent="0.25">
      <c r="A20" s="201" t="s">
        <v>924</v>
      </c>
      <c r="B20" s="215" t="s">
        <v>31</v>
      </c>
      <c r="C20" s="215" t="s">
        <v>31</v>
      </c>
      <c r="D20" s="215" t="s">
        <v>31</v>
      </c>
      <c r="E20" s="215" t="s">
        <v>31</v>
      </c>
      <c r="F20" s="215" t="s">
        <v>31</v>
      </c>
      <c r="G20" s="215" t="s">
        <v>31</v>
      </c>
      <c r="H20" s="215" t="s">
        <v>31</v>
      </c>
      <c r="I20" s="215" t="s">
        <v>31</v>
      </c>
      <c r="J20" s="215" t="s">
        <v>31</v>
      </c>
      <c r="K20" s="215" t="s">
        <v>31</v>
      </c>
      <c r="L20" s="215" t="s">
        <v>31</v>
      </c>
      <c r="M20" s="215" t="s">
        <v>31</v>
      </c>
      <c r="N20" s="215" t="s">
        <v>31</v>
      </c>
      <c r="O20" s="215" t="s">
        <v>31</v>
      </c>
      <c r="P20" s="215" t="s">
        <v>31</v>
      </c>
      <c r="Q20" s="215" t="s">
        <v>31</v>
      </c>
      <c r="R20" s="198"/>
      <c r="S20" s="198"/>
      <c r="T20" s="198"/>
      <c r="U20" s="198"/>
    </row>
    <row r="21" spans="1:21" s="12" customFormat="1" x14ac:dyDescent="0.25">
      <c r="A21" s="201" t="s">
        <v>925</v>
      </c>
      <c r="B21" s="215" t="s">
        <v>31</v>
      </c>
      <c r="C21" s="215" t="s">
        <v>31</v>
      </c>
      <c r="D21" s="215" t="s">
        <v>31</v>
      </c>
      <c r="E21" s="215" t="s">
        <v>31</v>
      </c>
      <c r="F21" s="215" t="s">
        <v>31</v>
      </c>
      <c r="G21" s="215" t="s">
        <v>31</v>
      </c>
      <c r="H21" s="215" t="s">
        <v>31</v>
      </c>
      <c r="I21" s="215" t="s">
        <v>31</v>
      </c>
      <c r="J21" s="215" t="s">
        <v>31</v>
      </c>
      <c r="K21" s="215" t="s">
        <v>31</v>
      </c>
      <c r="L21" s="215" t="s">
        <v>31</v>
      </c>
      <c r="M21" s="215" t="s">
        <v>31</v>
      </c>
      <c r="N21" s="215" t="s">
        <v>31</v>
      </c>
      <c r="O21" s="215" t="s">
        <v>31</v>
      </c>
      <c r="P21" s="215" t="s">
        <v>31</v>
      </c>
      <c r="Q21" s="215" t="s">
        <v>31</v>
      </c>
      <c r="R21" s="198"/>
      <c r="S21" s="198"/>
      <c r="T21" s="198"/>
      <c r="U21" s="198"/>
    </row>
    <row r="22" spans="1:21" s="12" customFormat="1" x14ac:dyDescent="0.25">
      <c r="A22" s="201" t="s">
        <v>926</v>
      </c>
      <c r="B22" s="215" t="s">
        <v>31</v>
      </c>
      <c r="C22" s="215" t="s">
        <v>31</v>
      </c>
      <c r="D22" s="215" t="s">
        <v>31</v>
      </c>
      <c r="E22" s="215" t="s">
        <v>31</v>
      </c>
      <c r="F22" s="215" t="s">
        <v>31</v>
      </c>
      <c r="G22" s="215" t="s">
        <v>31</v>
      </c>
      <c r="H22" s="215" t="s">
        <v>31</v>
      </c>
      <c r="I22" s="215" t="s">
        <v>31</v>
      </c>
      <c r="J22" s="215" t="s">
        <v>31</v>
      </c>
      <c r="K22" s="215" t="s">
        <v>31</v>
      </c>
      <c r="L22" s="215" t="s">
        <v>31</v>
      </c>
      <c r="M22" s="215" t="s">
        <v>31</v>
      </c>
      <c r="N22" s="215" t="s">
        <v>31</v>
      </c>
      <c r="O22" s="215" t="s">
        <v>31</v>
      </c>
      <c r="P22" s="215" t="s">
        <v>31</v>
      </c>
      <c r="Q22" s="215" t="s">
        <v>31</v>
      </c>
      <c r="R22" s="198"/>
      <c r="S22" s="198"/>
      <c r="T22" s="198"/>
      <c r="U22" s="198"/>
    </row>
    <row r="23" spans="1:21" s="12" customFormat="1" x14ac:dyDescent="0.25">
      <c r="A23" s="201" t="s">
        <v>927</v>
      </c>
      <c r="B23" s="215" t="s">
        <v>31</v>
      </c>
      <c r="C23" s="215" t="s">
        <v>31</v>
      </c>
      <c r="D23" s="215" t="s">
        <v>31</v>
      </c>
      <c r="E23" s="215" t="s">
        <v>31</v>
      </c>
      <c r="F23" s="215" t="s">
        <v>31</v>
      </c>
      <c r="G23" s="215" t="s">
        <v>31</v>
      </c>
      <c r="H23" s="215" t="s">
        <v>31</v>
      </c>
      <c r="I23" s="215" t="s">
        <v>31</v>
      </c>
      <c r="J23" s="215" t="s">
        <v>31</v>
      </c>
      <c r="K23" s="215" t="s">
        <v>31</v>
      </c>
      <c r="L23" s="215" t="s">
        <v>31</v>
      </c>
      <c r="M23" s="215" t="s">
        <v>31</v>
      </c>
      <c r="N23" s="215" t="s">
        <v>31</v>
      </c>
      <c r="O23" s="215" t="s">
        <v>31</v>
      </c>
      <c r="P23" s="215" t="s">
        <v>31</v>
      </c>
      <c r="Q23" s="215" t="s">
        <v>31</v>
      </c>
      <c r="R23" s="198"/>
      <c r="S23" s="198"/>
      <c r="T23" s="198"/>
      <c r="U23" s="198"/>
    </row>
    <row r="24" spans="1:21" s="12" customFormat="1" x14ac:dyDescent="0.25">
      <c r="A24" s="201" t="s">
        <v>928</v>
      </c>
      <c r="B24" s="215" t="s">
        <v>31</v>
      </c>
      <c r="C24" s="215" t="s">
        <v>31</v>
      </c>
      <c r="D24" s="215" t="s">
        <v>31</v>
      </c>
      <c r="E24" s="215" t="s">
        <v>31</v>
      </c>
      <c r="F24" s="215" t="s">
        <v>31</v>
      </c>
      <c r="G24" s="215" t="s">
        <v>31</v>
      </c>
      <c r="H24" s="215" t="s">
        <v>31</v>
      </c>
      <c r="I24" s="215" t="s">
        <v>31</v>
      </c>
      <c r="J24" s="215" t="s">
        <v>31</v>
      </c>
      <c r="K24" s="215" t="s">
        <v>31</v>
      </c>
      <c r="L24" s="215" t="s">
        <v>31</v>
      </c>
      <c r="M24" s="215" t="s">
        <v>31</v>
      </c>
      <c r="N24" s="215" t="s">
        <v>31</v>
      </c>
      <c r="O24" s="215" t="s">
        <v>31</v>
      </c>
      <c r="P24" s="215" t="s">
        <v>31</v>
      </c>
      <c r="Q24" s="215" t="s">
        <v>31</v>
      </c>
      <c r="R24" s="198"/>
      <c r="S24" s="198"/>
      <c r="T24" s="198"/>
      <c r="U24" s="198"/>
    </row>
    <row r="25" spans="1:21" s="12" customFormat="1" x14ac:dyDescent="0.25">
      <c r="A25" s="201" t="s">
        <v>929</v>
      </c>
      <c r="B25" s="215" t="s">
        <v>31</v>
      </c>
      <c r="C25" s="215" t="s">
        <v>31</v>
      </c>
      <c r="D25" s="215" t="s">
        <v>31</v>
      </c>
      <c r="E25" s="215" t="s">
        <v>31</v>
      </c>
      <c r="F25" s="215" t="s">
        <v>31</v>
      </c>
      <c r="G25" s="215" t="s">
        <v>31</v>
      </c>
      <c r="H25" s="215" t="s">
        <v>31</v>
      </c>
      <c r="I25" s="215" t="s">
        <v>31</v>
      </c>
      <c r="J25" s="215" t="s">
        <v>31</v>
      </c>
      <c r="K25" s="215" t="s">
        <v>31</v>
      </c>
      <c r="L25" s="215" t="s">
        <v>31</v>
      </c>
      <c r="M25" s="215" t="s">
        <v>31</v>
      </c>
      <c r="N25" s="215" t="s">
        <v>31</v>
      </c>
      <c r="O25" s="215" t="s">
        <v>31</v>
      </c>
      <c r="P25" s="215" t="s">
        <v>31</v>
      </c>
      <c r="Q25" s="215" t="s">
        <v>31</v>
      </c>
      <c r="R25" s="198"/>
      <c r="S25" s="198"/>
      <c r="T25" s="198"/>
      <c r="U25" s="198"/>
    </row>
    <row r="26" spans="1:21" s="12" customFormat="1" x14ac:dyDescent="0.25">
      <c r="A26" s="201" t="s">
        <v>930</v>
      </c>
      <c r="B26" s="215" t="s">
        <v>31</v>
      </c>
      <c r="C26" s="215" t="s">
        <v>31</v>
      </c>
      <c r="D26" s="215" t="s">
        <v>31</v>
      </c>
      <c r="E26" s="215" t="s">
        <v>31</v>
      </c>
      <c r="F26" s="215" t="s">
        <v>31</v>
      </c>
      <c r="G26" s="215" t="s">
        <v>31</v>
      </c>
      <c r="H26" s="215" t="s">
        <v>31</v>
      </c>
      <c r="I26" s="215" t="s">
        <v>31</v>
      </c>
      <c r="J26" s="215" t="s">
        <v>31</v>
      </c>
      <c r="K26" s="215" t="s">
        <v>31</v>
      </c>
      <c r="L26" s="215" t="s">
        <v>31</v>
      </c>
      <c r="M26" s="215" t="s">
        <v>31</v>
      </c>
      <c r="N26" s="215" t="s">
        <v>31</v>
      </c>
      <c r="O26" s="215" t="s">
        <v>31</v>
      </c>
      <c r="P26" s="215" t="s">
        <v>31</v>
      </c>
      <c r="Q26" s="215" t="s">
        <v>31</v>
      </c>
      <c r="R26" s="198"/>
      <c r="S26" s="198"/>
      <c r="T26" s="198"/>
      <c r="U26" s="198"/>
    </row>
    <row r="27" spans="1:21" s="12" customFormat="1" x14ac:dyDescent="0.25">
      <c r="A27" s="201" t="s">
        <v>931</v>
      </c>
      <c r="B27" s="215" t="s">
        <v>31</v>
      </c>
      <c r="C27" s="215" t="s">
        <v>31</v>
      </c>
      <c r="D27" s="215" t="s">
        <v>31</v>
      </c>
      <c r="E27" s="215" t="s">
        <v>31</v>
      </c>
      <c r="F27" s="215" t="s">
        <v>31</v>
      </c>
      <c r="G27" s="215" t="s">
        <v>31</v>
      </c>
      <c r="H27" s="215" t="s">
        <v>31</v>
      </c>
      <c r="I27" s="215" t="s">
        <v>31</v>
      </c>
      <c r="J27" s="215" t="s">
        <v>31</v>
      </c>
      <c r="K27" s="215" t="s">
        <v>31</v>
      </c>
      <c r="L27" s="215" t="s">
        <v>31</v>
      </c>
      <c r="M27" s="215" t="s">
        <v>31</v>
      </c>
      <c r="N27" s="215" t="s">
        <v>31</v>
      </c>
      <c r="O27" s="215" t="s">
        <v>31</v>
      </c>
      <c r="P27" s="215" t="s">
        <v>31</v>
      </c>
      <c r="Q27" s="215" t="s">
        <v>31</v>
      </c>
      <c r="R27" s="198"/>
      <c r="S27" s="198"/>
      <c r="T27" s="198"/>
      <c r="U27" s="198"/>
    </row>
    <row r="28" spans="1:21" s="12" customFormat="1" x14ac:dyDescent="0.25">
      <c r="A28" s="201" t="s">
        <v>932</v>
      </c>
      <c r="B28" s="215" t="s">
        <v>31</v>
      </c>
      <c r="C28" s="215" t="s">
        <v>31</v>
      </c>
      <c r="D28" s="215" t="s">
        <v>31</v>
      </c>
      <c r="E28" s="215" t="s">
        <v>31</v>
      </c>
      <c r="F28" s="215" t="s">
        <v>31</v>
      </c>
      <c r="G28" s="215" t="s">
        <v>31</v>
      </c>
      <c r="H28" s="215" t="s">
        <v>31</v>
      </c>
      <c r="I28" s="215" t="s">
        <v>31</v>
      </c>
      <c r="J28" s="215" t="s">
        <v>31</v>
      </c>
      <c r="K28" s="215" t="s">
        <v>31</v>
      </c>
      <c r="L28" s="215" t="s">
        <v>31</v>
      </c>
      <c r="M28" s="215" t="s">
        <v>31</v>
      </c>
      <c r="N28" s="215" t="s">
        <v>31</v>
      </c>
      <c r="O28" s="215" t="s">
        <v>31</v>
      </c>
      <c r="P28" s="215" t="s">
        <v>31</v>
      </c>
      <c r="Q28" s="215" t="s">
        <v>31</v>
      </c>
      <c r="R28" s="198"/>
      <c r="S28" s="198"/>
      <c r="T28" s="198"/>
      <c r="U28" s="198"/>
    </row>
    <row r="29" spans="1:21" s="12" customFormat="1" x14ac:dyDescent="0.25">
      <c r="A29" s="201" t="s">
        <v>933</v>
      </c>
      <c r="B29" s="215" t="s">
        <v>31</v>
      </c>
      <c r="C29" s="215" t="s">
        <v>31</v>
      </c>
      <c r="D29" s="215" t="s">
        <v>31</v>
      </c>
      <c r="E29" s="215" t="s">
        <v>31</v>
      </c>
      <c r="F29" s="215" t="s">
        <v>31</v>
      </c>
      <c r="G29" s="215" t="s">
        <v>31</v>
      </c>
      <c r="H29" s="215" t="s">
        <v>31</v>
      </c>
      <c r="I29" s="215" t="s">
        <v>31</v>
      </c>
      <c r="J29" s="215" t="s">
        <v>31</v>
      </c>
      <c r="K29" s="215" t="s">
        <v>31</v>
      </c>
      <c r="L29" s="215" t="s">
        <v>31</v>
      </c>
      <c r="M29" s="215" t="s">
        <v>31</v>
      </c>
      <c r="N29" s="215" t="s">
        <v>31</v>
      </c>
      <c r="O29" s="215" t="s">
        <v>31</v>
      </c>
      <c r="P29" s="215" t="s">
        <v>31</v>
      </c>
      <c r="Q29" s="215" t="s">
        <v>31</v>
      </c>
      <c r="R29" s="198"/>
      <c r="S29" s="198"/>
      <c r="T29" s="198"/>
      <c r="U29" s="198"/>
    </row>
    <row r="30" spans="1:21" s="12" customFormat="1" x14ac:dyDescent="0.25">
      <c r="A30" s="201" t="s">
        <v>934</v>
      </c>
      <c r="B30" s="215" t="s">
        <v>31</v>
      </c>
      <c r="C30" s="215" t="s">
        <v>31</v>
      </c>
      <c r="D30" s="215" t="s">
        <v>31</v>
      </c>
      <c r="E30" s="215" t="s">
        <v>31</v>
      </c>
      <c r="F30" s="215" t="s">
        <v>31</v>
      </c>
      <c r="G30" s="215" t="s">
        <v>31</v>
      </c>
      <c r="H30" s="215" t="s">
        <v>31</v>
      </c>
      <c r="I30" s="215" t="s">
        <v>31</v>
      </c>
      <c r="J30" s="215" t="s">
        <v>31</v>
      </c>
      <c r="K30" s="215" t="s">
        <v>31</v>
      </c>
      <c r="L30" s="215" t="s">
        <v>31</v>
      </c>
      <c r="M30" s="215" t="s">
        <v>31</v>
      </c>
      <c r="N30" s="215" t="s">
        <v>31</v>
      </c>
      <c r="O30" s="215" t="s">
        <v>31</v>
      </c>
      <c r="P30" s="215" t="s">
        <v>31</v>
      </c>
      <c r="Q30" s="215" t="s">
        <v>31</v>
      </c>
      <c r="R30" s="198"/>
      <c r="S30" s="198"/>
      <c r="T30" s="198"/>
      <c r="U30" s="198"/>
    </row>
    <row r="31" spans="1:21" s="12" customFormat="1" x14ac:dyDescent="0.25">
      <c r="A31" s="201" t="s">
        <v>935</v>
      </c>
      <c r="B31" s="215" t="s">
        <v>31</v>
      </c>
      <c r="C31" s="215" t="s">
        <v>31</v>
      </c>
      <c r="D31" s="215" t="s">
        <v>31</v>
      </c>
      <c r="E31" s="215" t="s">
        <v>31</v>
      </c>
      <c r="F31" s="215" t="s">
        <v>31</v>
      </c>
      <c r="G31" s="215" t="s">
        <v>31</v>
      </c>
      <c r="H31" s="215" t="s">
        <v>31</v>
      </c>
      <c r="I31" s="215" t="s">
        <v>31</v>
      </c>
      <c r="J31" s="215" t="s">
        <v>31</v>
      </c>
      <c r="K31" s="215" t="s">
        <v>31</v>
      </c>
      <c r="L31" s="215" t="s">
        <v>31</v>
      </c>
      <c r="M31" s="215" t="s">
        <v>31</v>
      </c>
      <c r="N31" s="215" t="s">
        <v>31</v>
      </c>
      <c r="O31" s="215" t="s">
        <v>31</v>
      </c>
      <c r="P31" s="215" t="s">
        <v>31</v>
      </c>
      <c r="Q31" s="215" t="s">
        <v>31</v>
      </c>
      <c r="R31" s="198"/>
      <c r="S31" s="198"/>
      <c r="T31" s="198"/>
      <c r="U31" s="198"/>
    </row>
    <row r="32" spans="1:21" s="12" customFormat="1" x14ac:dyDescent="0.25">
      <c r="A32" s="201" t="s">
        <v>936</v>
      </c>
      <c r="B32" s="215" t="s">
        <v>31</v>
      </c>
      <c r="C32" s="215" t="s">
        <v>31</v>
      </c>
      <c r="D32" s="215" t="s">
        <v>31</v>
      </c>
      <c r="E32" s="215" t="s">
        <v>31</v>
      </c>
      <c r="F32" s="215" t="s">
        <v>31</v>
      </c>
      <c r="G32" s="215" t="s">
        <v>31</v>
      </c>
      <c r="H32" s="215" t="s">
        <v>31</v>
      </c>
      <c r="I32" s="215" t="s">
        <v>31</v>
      </c>
      <c r="J32" s="215" t="s">
        <v>31</v>
      </c>
      <c r="K32" s="215" t="s">
        <v>31</v>
      </c>
      <c r="L32" s="215" t="s">
        <v>31</v>
      </c>
      <c r="M32" s="215" t="s">
        <v>31</v>
      </c>
      <c r="N32" s="215" t="s">
        <v>31</v>
      </c>
      <c r="O32" s="215" t="s">
        <v>31</v>
      </c>
      <c r="P32" s="215" t="s">
        <v>31</v>
      </c>
      <c r="Q32" s="215" t="s">
        <v>31</v>
      </c>
      <c r="R32" s="198"/>
      <c r="S32" s="198"/>
      <c r="T32" s="198"/>
      <c r="U32" s="198"/>
    </row>
    <row r="33" spans="1:21" s="12" customFormat="1" x14ac:dyDescent="0.25">
      <c r="A33" s="201" t="s">
        <v>937</v>
      </c>
      <c r="B33" s="215" t="s">
        <v>31</v>
      </c>
      <c r="C33" s="215" t="s">
        <v>31</v>
      </c>
      <c r="D33" s="215" t="s">
        <v>31</v>
      </c>
      <c r="E33" s="215" t="s">
        <v>31</v>
      </c>
      <c r="F33" s="215" t="s">
        <v>31</v>
      </c>
      <c r="G33" s="215" t="s">
        <v>31</v>
      </c>
      <c r="H33" s="215" t="s">
        <v>31</v>
      </c>
      <c r="I33" s="215" t="s">
        <v>31</v>
      </c>
      <c r="J33" s="215" t="s">
        <v>31</v>
      </c>
      <c r="K33" s="215" t="s">
        <v>31</v>
      </c>
      <c r="L33" s="215" t="s">
        <v>31</v>
      </c>
      <c r="M33" s="215" t="s">
        <v>31</v>
      </c>
      <c r="N33" s="215" t="s">
        <v>31</v>
      </c>
      <c r="O33" s="215" t="s">
        <v>31</v>
      </c>
      <c r="P33" s="215" t="s">
        <v>31</v>
      </c>
      <c r="Q33" s="215" t="s">
        <v>31</v>
      </c>
      <c r="R33" s="198"/>
      <c r="S33" s="198"/>
      <c r="T33" s="198"/>
      <c r="U33" s="198"/>
    </row>
    <row r="34" spans="1:21" s="12" customFormat="1" x14ac:dyDescent="0.25">
      <c r="A34" s="201" t="s">
        <v>938</v>
      </c>
      <c r="B34" s="215" t="s">
        <v>31</v>
      </c>
      <c r="C34" s="215" t="s">
        <v>31</v>
      </c>
      <c r="D34" s="215" t="s">
        <v>31</v>
      </c>
      <c r="E34" s="215" t="s">
        <v>31</v>
      </c>
      <c r="F34" s="215" t="s">
        <v>31</v>
      </c>
      <c r="G34" s="215" t="s">
        <v>31</v>
      </c>
      <c r="H34" s="215" t="s">
        <v>31</v>
      </c>
      <c r="I34" s="215" t="s">
        <v>31</v>
      </c>
      <c r="J34" s="215" t="s">
        <v>31</v>
      </c>
      <c r="K34" s="215" t="s">
        <v>31</v>
      </c>
      <c r="L34" s="215" t="s">
        <v>31</v>
      </c>
      <c r="M34" s="215" t="s">
        <v>31</v>
      </c>
      <c r="N34" s="215" t="s">
        <v>31</v>
      </c>
      <c r="O34" s="215" t="s">
        <v>31</v>
      </c>
      <c r="P34" s="215" t="s">
        <v>31</v>
      </c>
      <c r="Q34" s="215" t="s">
        <v>31</v>
      </c>
      <c r="R34" s="198"/>
      <c r="S34" s="198"/>
      <c r="T34" s="198"/>
      <c r="U34" s="198"/>
    </row>
    <row r="35" spans="1:21" s="12" customFormat="1" x14ac:dyDescent="0.25">
      <c r="A35" s="201" t="s">
        <v>939</v>
      </c>
      <c r="B35" s="215" t="s">
        <v>31</v>
      </c>
      <c r="C35" s="215" t="s">
        <v>31</v>
      </c>
      <c r="D35" s="215" t="s">
        <v>31</v>
      </c>
      <c r="E35" s="215" t="s">
        <v>31</v>
      </c>
      <c r="F35" s="215" t="s">
        <v>31</v>
      </c>
      <c r="G35" s="215" t="s">
        <v>31</v>
      </c>
      <c r="H35" s="215" t="s">
        <v>31</v>
      </c>
      <c r="I35" s="215" t="s">
        <v>31</v>
      </c>
      <c r="J35" s="215" t="s">
        <v>31</v>
      </c>
      <c r="K35" s="215" t="s">
        <v>31</v>
      </c>
      <c r="L35" s="215" t="s">
        <v>31</v>
      </c>
      <c r="M35" s="215" t="s">
        <v>31</v>
      </c>
      <c r="N35" s="215" t="s">
        <v>31</v>
      </c>
      <c r="O35" s="215" t="s">
        <v>31</v>
      </c>
      <c r="P35" s="215" t="s">
        <v>31</v>
      </c>
      <c r="Q35" s="215" t="s">
        <v>31</v>
      </c>
      <c r="R35" s="198"/>
      <c r="S35" s="198"/>
      <c r="T35" s="198"/>
      <c r="U35" s="198"/>
    </row>
    <row r="36" spans="1:21" s="12" customFormat="1" x14ac:dyDescent="0.25">
      <c r="A36" s="201" t="s">
        <v>940</v>
      </c>
      <c r="B36" s="215" t="s">
        <v>31</v>
      </c>
      <c r="C36" s="215" t="s">
        <v>31</v>
      </c>
      <c r="D36" s="215" t="s">
        <v>31</v>
      </c>
      <c r="E36" s="215" t="s">
        <v>31</v>
      </c>
      <c r="F36" s="215" t="s">
        <v>31</v>
      </c>
      <c r="G36" s="215" t="s">
        <v>31</v>
      </c>
      <c r="H36" s="215" t="s">
        <v>31</v>
      </c>
      <c r="I36" s="215" t="s">
        <v>31</v>
      </c>
      <c r="J36" s="215" t="s">
        <v>31</v>
      </c>
      <c r="K36" s="215" t="s">
        <v>31</v>
      </c>
      <c r="L36" s="215" t="s">
        <v>31</v>
      </c>
      <c r="M36" s="215" t="s">
        <v>31</v>
      </c>
      <c r="N36" s="215" t="s">
        <v>31</v>
      </c>
      <c r="O36" s="215" t="s">
        <v>31</v>
      </c>
      <c r="P36" s="215" t="s">
        <v>31</v>
      </c>
      <c r="Q36" s="215" t="s">
        <v>31</v>
      </c>
      <c r="R36" s="198"/>
      <c r="S36" s="198"/>
      <c r="T36" s="198"/>
      <c r="U36" s="198"/>
    </row>
    <row r="37" spans="1:21" s="12" customFormat="1" x14ac:dyDescent="0.25">
      <c r="A37" s="201" t="s">
        <v>941</v>
      </c>
      <c r="B37" s="215" t="s">
        <v>31</v>
      </c>
      <c r="C37" s="215" t="s">
        <v>31</v>
      </c>
      <c r="D37" s="215" t="s">
        <v>31</v>
      </c>
      <c r="E37" s="215" t="s">
        <v>31</v>
      </c>
      <c r="F37" s="215" t="s">
        <v>31</v>
      </c>
      <c r="G37" s="215" t="s">
        <v>31</v>
      </c>
      <c r="H37" s="215" t="s">
        <v>31</v>
      </c>
      <c r="I37" s="215" t="s">
        <v>31</v>
      </c>
      <c r="J37" s="215" t="s">
        <v>31</v>
      </c>
      <c r="K37" s="215" t="s">
        <v>31</v>
      </c>
      <c r="L37" s="215" t="s">
        <v>31</v>
      </c>
      <c r="M37" s="215" t="s">
        <v>31</v>
      </c>
      <c r="N37" s="215" t="s">
        <v>31</v>
      </c>
      <c r="O37" s="215" t="s">
        <v>31</v>
      </c>
      <c r="P37" s="215" t="s">
        <v>31</v>
      </c>
      <c r="Q37" s="215" t="s">
        <v>31</v>
      </c>
      <c r="R37" s="198"/>
      <c r="S37" s="198"/>
      <c r="T37" s="198"/>
      <c r="U37" s="198"/>
    </row>
    <row r="38" spans="1:21" s="12" customFormat="1" x14ac:dyDescent="0.25">
      <c r="A38" s="201" t="s">
        <v>942</v>
      </c>
      <c r="B38" s="215" t="s">
        <v>31</v>
      </c>
      <c r="C38" s="215" t="s">
        <v>31</v>
      </c>
      <c r="D38" s="215" t="s">
        <v>31</v>
      </c>
      <c r="E38" s="215" t="s">
        <v>31</v>
      </c>
      <c r="F38" s="215" t="s">
        <v>31</v>
      </c>
      <c r="G38" s="215" t="s">
        <v>31</v>
      </c>
      <c r="H38" s="215" t="s">
        <v>31</v>
      </c>
      <c r="I38" s="215" t="s">
        <v>31</v>
      </c>
      <c r="J38" s="215" t="s">
        <v>31</v>
      </c>
      <c r="K38" s="215" t="s">
        <v>31</v>
      </c>
      <c r="L38" s="215" t="s">
        <v>31</v>
      </c>
      <c r="M38" s="215" t="s">
        <v>31</v>
      </c>
      <c r="N38" s="215" t="s">
        <v>31</v>
      </c>
      <c r="O38" s="215" t="s">
        <v>31</v>
      </c>
      <c r="P38" s="215" t="s">
        <v>31</v>
      </c>
      <c r="Q38" s="215" t="s">
        <v>31</v>
      </c>
      <c r="R38" s="198"/>
      <c r="S38" s="198"/>
      <c r="T38" s="198"/>
      <c r="U38" s="198"/>
    </row>
    <row r="39" spans="1:21" s="12" customFormat="1" x14ac:dyDescent="0.25">
      <c r="A39" s="201" t="s">
        <v>943</v>
      </c>
      <c r="B39" s="215" t="s">
        <v>31</v>
      </c>
      <c r="C39" s="215" t="s">
        <v>31</v>
      </c>
      <c r="D39" s="215" t="s">
        <v>31</v>
      </c>
      <c r="E39" s="215" t="s">
        <v>31</v>
      </c>
      <c r="F39" s="215" t="s">
        <v>31</v>
      </c>
      <c r="G39" s="215" t="s">
        <v>31</v>
      </c>
      <c r="H39" s="215" t="s">
        <v>31</v>
      </c>
      <c r="I39" s="215" t="s">
        <v>31</v>
      </c>
      <c r="J39" s="215" t="s">
        <v>31</v>
      </c>
      <c r="K39" s="215" t="s">
        <v>31</v>
      </c>
      <c r="L39" s="215" t="s">
        <v>31</v>
      </c>
      <c r="M39" s="215" t="s">
        <v>31</v>
      </c>
      <c r="N39" s="215" t="s">
        <v>31</v>
      </c>
      <c r="O39" s="215" t="s">
        <v>31</v>
      </c>
      <c r="P39" s="215" t="s">
        <v>31</v>
      </c>
      <c r="Q39" s="215" t="s">
        <v>31</v>
      </c>
      <c r="R39" s="198"/>
      <c r="S39" s="198"/>
      <c r="T39" s="198"/>
      <c r="U39" s="198"/>
    </row>
    <row r="40" spans="1:21" s="12" customFormat="1" x14ac:dyDescent="0.25">
      <c r="A40" s="201" t="s">
        <v>944</v>
      </c>
      <c r="B40" s="215" t="s">
        <v>31</v>
      </c>
      <c r="C40" s="215" t="s">
        <v>31</v>
      </c>
      <c r="D40" s="215" t="s">
        <v>31</v>
      </c>
      <c r="E40" s="215" t="s">
        <v>31</v>
      </c>
      <c r="F40" s="215" t="s">
        <v>31</v>
      </c>
      <c r="G40" s="215" t="s">
        <v>31</v>
      </c>
      <c r="H40" s="215" t="s">
        <v>31</v>
      </c>
      <c r="I40" s="215" t="s">
        <v>31</v>
      </c>
      <c r="J40" s="215" t="s">
        <v>31</v>
      </c>
      <c r="K40" s="215" t="s">
        <v>31</v>
      </c>
      <c r="L40" s="215" t="s">
        <v>31</v>
      </c>
      <c r="M40" s="215" t="s">
        <v>31</v>
      </c>
      <c r="N40" s="215" t="s">
        <v>31</v>
      </c>
      <c r="O40" s="215" t="s">
        <v>31</v>
      </c>
      <c r="P40" s="215" t="s">
        <v>31</v>
      </c>
      <c r="Q40" s="215" t="s">
        <v>31</v>
      </c>
      <c r="R40" s="198"/>
      <c r="S40" s="198"/>
      <c r="T40" s="198"/>
      <c r="U40" s="198"/>
    </row>
    <row r="41" spans="1:21" s="12" customFormat="1" x14ac:dyDescent="0.25">
      <c r="A41" s="201" t="s">
        <v>945</v>
      </c>
      <c r="B41" s="215" t="s">
        <v>31</v>
      </c>
      <c r="C41" s="215" t="s">
        <v>31</v>
      </c>
      <c r="D41" s="215" t="s">
        <v>31</v>
      </c>
      <c r="E41" s="215" t="s">
        <v>31</v>
      </c>
      <c r="F41" s="215" t="s">
        <v>31</v>
      </c>
      <c r="G41" s="215" t="s">
        <v>31</v>
      </c>
      <c r="H41" s="215" t="s">
        <v>31</v>
      </c>
      <c r="I41" s="215" t="s">
        <v>31</v>
      </c>
      <c r="J41" s="215" t="s">
        <v>31</v>
      </c>
      <c r="K41" s="215" t="s">
        <v>31</v>
      </c>
      <c r="L41" s="215" t="s">
        <v>31</v>
      </c>
      <c r="M41" s="215" t="s">
        <v>31</v>
      </c>
      <c r="N41" s="215" t="s">
        <v>31</v>
      </c>
      <c r="O41" s="215" t="s">
        <v>31</v>
      </c>
      <c r="P41" s="215" t="s">
        <v>31</v>
      </c>
      <c r="Q41" s="215" t="s">
        <v>31</v>
      </c>
      <c r="R41" s="198"/>
      <c r="S41" s="198"/>
      <c r="T41" s="198"/>
      <c r="U41" s="198"/>
    </row>
    <row r="42" spans="1:21" s="12" customFormat="1" x14ac:dyDescent="0.25">
      <c r="A42" s="201" t="s">
        <v>946</v>
      </c>
      <c r="B42" s="215" t="s">
        <v>31</v>
      </c>
      <c r="C42" s="215" t="s">
        <v>31</v>
      </c>
      <c r="D42" s="215" t="s">
        <v>31</v>
      </c>
      <c r="E42" s="215" t="s">
        <v>31</v>
      </c>
      <c r="F42" s="215" t="s">
        <v>31</v>
      </c>
      <c r="G42" s="215" t="s">
        <v>31</v>
      </c>
      <c r="H42" s="215" t="s">
        <v>31</v>
      </c>
      <c r="I42" s="215" t="s">
        <v>31</v>
      </c>
      <c r="J42" s="215" t="s">
        <v>31</v>
      </c>
      <c r="K42" s="215" t="s">
        <v>31</v>
      </c>
      <c r="L42" s="215" t="s">
        <v>31</v>
      </c>
      <c r="M42" s="215" t="s">
        <v>31</v>
      </c>
      <c r="N42" s="215" t="s">
        <v>31</v>
      </c>
      <c r="O42" s="215" t="s">
        <v>31</v>
      </c>
      <c r="P42" s="215" t="s">
        <v>31</v>
      </c>
      <c r="Q42" s="215" t="s">
        <v>31</v>
      </c>
      <c r="R42" s="198"/>
      <c r="S42" s="198"/>
      <c r="T42" s="198"/>
      <c r="U42" s="198"/>
    </row>
    <row r="43" spans="1:21" s="12" customFormat="1" x14ac:dyDescent="0.25">
      <c r="A43" s="201" t="s">
        <v>947</v>
      </c>
      <c r="B43" s="215" t="s">
        <v>31</v>
      </c>
      <c r="C43" s="215" t="s">
        <v>31</v>
      </c>
      <c r="D43" s="215" t="s">
        <v>31</v>
      </c>
      <c r="E43" s="215" t="s">
        <v>31</v>
      </c>
      <c r="F43" s="215" t="s">
        <v>31</v>
      </c>
      <c r="G43" s="215" t="s">
        <v>31</v>
      </c>
      <c r="H43" s="215" t="s">
        <v>31</v>
      </c>
      <c r="I43" s="215" t="s">
        <v>31</v>
      </c>
      <c r="J43" s="215" t="s">
        <v>31</v>
      </c>
      <c r="K43" s="215" t="s">
        <v>31</v>
      </c>
      <c r="L43" s="215" t="s">
        <v>31</v>
      </c>
      <c r="M43" s="215" t="s">
        <v>31</v>
      </c>
      <c r="N43" s="215" t="s">
        <v>31</v>
      </c>
      <c r="O43" s="215" t="s">
        <v>31</v>
      </c>
      <c r="P43" s="215" t="s">
        <v>31</v>
      </c>
      <c r="Q43" s="215" t="s">
        <v>31</v>
      </c>
      <c r="R43" s="198"/>
      <c r="S43" s="198"/>
      <c r="T43" s="198"/>
      <c r="U43" s="198"/>
    </row>
    <row r="44" spans="1:21" s="12" customFormat="1" x14ac:dyDescent="0.25">
      <c r="A44" s="201" t="s">
        <v>948</v>
      </c>
      <c r="B44" s="215" t="s">
        <v>31</v>
      </c>
      <c r="C44" s="215" t="s">
        <v>31</v>
      </c>
      <c r="D44" s="215" t="s">
        <v>31</v>
      </c>
      <c r="E44" s="215" t="s">
        <v>31</v>
      </c>
      <c r="F44" s="215" t="s">
        <v>31</v>
      </c>
      <c r="G44" s="215" t="s">
        <v>31</v>
      </c>
      <c r="H44" s="215" t="s">
        <v>31</v>
      </c>
      <c r="I44" s="215" t="s">
        <v>31</v>
      </c>
      <c r="J44" s="215" t="s">
        <v>31</v>
      </c>
      <c r="K44" s="215" t="s">
        <v>31</v>
      </c>
      <c r="L44" s="215" t="s">
        <v>31</v>
      </c>
      <c r="M44" s="215" t="s">
        <v>31</v>
      </c>
      <c r="N44" s="215" t="s">
        <v>31</v>
      </c>
      <c r="O44" s="215" t="s">
        <v>31</v>
      </c>
      <c r="P44" s="215" t="s">
        <v>31</v>
      </c>
      <c r="Q44" s="215" t="s">
        <v>31</v>
      </c>
      <c r="R44" s="198"/>
      <c r="S44" s="198"/>
      <c r="T44" s="198"/>
      <c r="U44" s="198"/>
    </row>
    <row r="45" spans="1:21" s="12" customFormat="1" x14ac:dyDescent="0.25">
      <c r="A45" s="201" t="s">
        <v>949</v>
      </c>
      <c r="B45" s="215" t="s">
        <v>31</v>
      </c>
      <c r="C45" s="215" t="s">
        <v>31</v>
      </c>
      <c r="D45" s="215" t="s">
        <v>31</v>
      </c>
      <c r="E45" s="215" t="s">
        <v>31</v>
      </c>
      <c r="F45" s="215" t="s">
        <v>31</v>
      </c>
      <c r="G45" s="215" t="s">
        <v>31</v>
      </c>
      <c r="H45" s="215" t="s">
        <v>31</v>
      </c>
      <c r="I45" s="215" t="s">
        <v>31</v>
      </c>
      <c r="J45" s="215" t="s">
        <v>31</v>
      </c>
      <c r="K45" s="215" t="s">
        <v>31</v>
      </c>
      <c r="L45" s="215" t="s">
        <v>31</v>
      </c>
      <c r="M45" s="215" t="s">
        <v>31</v>
      </c>
      <c r="N45" s="215" t="s">
        <v>31</v>
      </c>
      <c r="O45" s="215" t="s">
        <v>31</v>
      </c>
      <c r="P45" s="215" t="s">
        <v>31</v>
      </c>
      <c r="Q45" s="215" t="s">
        <v>31</v>
      </c>
      <c r="R45" s="198"/>
      <c r="S45" s="198"/>
      <c r="T45" s="198"/>
      <c r="U45" s="198"/>
    </row>
    <row r="46" spans="1:21" s="12" customFormat="1" x14ac:dyDescent="0.25">
      <c r="A46" s="201" t="s">
        <v>950</v>
      </c>
      <c r="B46" s="215" t="s">
        <v>31</v>
      </c>
      <c r="C46" s="215" t="s">
        <v>31</v>
      </c>
      <c r="D46" s="215" t="s">
        <v>31</v>
      </c>
      <c r="E46" s="215" t="s">
        <v>31</v>
      </c>
      <c r="F46" s="215" t="s">
        <v>31</v>
      </c>
      <c r="G46" s="215" t="s">
        <v>31</v>
      </c>
      <c r="H46" s="215" t="s">
        <v>31</v>
      </c>
      <c r="I46" s="215" t="s">
        <v>31</v>
      </c>
      <c r="J46" s="215" t="s">
        <v>31</v>
      </c>
      <c r="K46" s="215" t="s">
        <v>31</v>
      </c>
      <c r="L46" s="215" t="s">
        <v>31</v>
      </c>
      <c r="M46" s="215" t="s">
        <v>31</v>
      </c>
      <c r="N46" s="215" t="s">
        <v>31</v>
      </c>
      <c r="O46" s="215" t="s">
        <v>31</v>
      </c>
      <c r="P46" s="215" t="s">
        <v>31</v>
      </c>
      <c r="Q46" s="215" t="s">
        <v>31</v>
      </c>
      <c r="R46" s="198"/>
      <c r="S46" s="198"/>
      <c r="T46" s="198"/>
      <c r="U46" s="198"/>
    </row>
    <row r="47" spans="1:21" s="12" customFormat="1" x14ac:dyDescent="0.25">
      <c r="A47" s="201" t="s">
        <v>951</v>
      </c>
      <c r="B47" s="215" t="s">
        <v>31</v>
      </c>
      <c r="C47" s="215" t="s">
        <v>31</v>
      </c>
      <c r="D47" s="215" t="s">
        <v>31</v>
      </c>
      <c r="E47" s="215" t="s">
        <v>31</v>
      </c>
      <c r="F47" s="215" t="s">
        <v>31</v>
      </c>
      <c r="G47" s="215" t="s">
        <v>31</v>
      </c>
      <c r="H47" s="215" t="s">
        <v>31</v>
      </c>
      <c r="I47" s="215" t="s">
        <v>31</v>
      </c>
      <c r="J47" s="215" t="s">
        <v>31</v>
      </c>
      <c r="K47" s="215" t="s">
        <v>31</v>
      </c>
      <c r="L47" s="215" t="s">
        <v>31</v>
      </c>
      <c r="M47" s="215" t="s">
        <v>31</v>
      </c>
      <c r="N47" s="215" t="s">
        <v>31</v>
      </c>
      <c r="O47" s="215" t="s">
        <v>31</v>
      </c>
      <c r="P47" s="215" t="s">
        <v>31</v>
      </c>
      <c r="Q47" s="215" t="s">
        <v>31</v>
      </c>
      <c r="R47" s="198"/>
      <c r="S47" s="198"/>
      <c r="T47" s="198"/>
      <c r="U47" s="198"/>
    </row>
    <row r="48" spans="1:21" s="12" customFormat="1" x14ac:dyDescent="0.25">
      <c r="A48" s="201" t="s">
        <v>952</v>
      </c>
      <c r="B48" s="215" t="s">
        <v>31</v>
      </c>
      <c r="C48" s="215" t="s">
        <v>31</v>
      </c>
      <c r="D48" s="215" t="s">
        <v>31</v>
      </c>
      <c r="E48" s="215" t="s">
        <v>31</v>
      </c>
      <c r="F48" s="215" t="s">
        <v>31</v>
      </c>
      <c r="G48" s="215" t="s">
        <v>31</v>
      </c>
      <c r="H48" s="215" t="s">
        <v>31</v>
      </c>
      <c r="I48" s="215" t="s">
        <v>31</v>
      </c>
      <c r="J48" s="215" t="s">
        <v>31</v>
      </c>
      <c r="K48" s="215" t="s">
        <v>31</v>
      </c>
      <c r="L48" s="215" t="s">
        <v>31</v>
      </c>
      <c r="M48" s="215" t="s">
        <v>31</v>
      </c>
      <c r="N48" s="215" t="s">
        <v>31</v>
      </c>
      <c r="O48" s="215" t="s">
        <v>31</v>
      </c>
      <c r="P48" s="215" t="s">
        <v>31</v>
      </c>
      <c r="Q48" s="215" t="s">
        <v>31</v>
      </c>
      <c r="R48" s="198"/>
      <c r="S48" s="198"/>
      <c r="T48" s="198"/>
      <c r="U48" s="198"/>
    </row>
    <row r="49" spans="1:21" s="12" customFormat="1" x14ac:dyDescent="0.25">
      <c r="A49" s="201" t="s">
        <v>953</v>
      </c>
      <c r="B49" s="215" t="s">
        <v>31</v>
      </c>
      <c r="C49" s="215" t="s">
        <v>31</v>
      </c>
      <c r="D49" s="215" t="s">
        <v>31</v>
      </c>
      <c r="E49" s="215" t="s">
        <v>31</v>
      </c>
      <c r="F49" s="215" t="s">
        <v>31</v>
      </c>
      <c r="G49" s="215" t="s">
        <v>31</v>
      </c>
      <c r="H49" s="215" t="s">
        <v>31</v>
      </c>
      <c r="I49" s="215" t="s">
        <v>31</v>
      </c>
      <c r="J49" s="215" t="s">
        <v>31</v>
      </c>
      <c r="K49" s="215" t="s">
        <v>31</v>
      </c>
      <c r="L49" s="215" t="s">
        <v>31</v>
      </c>
      <c r="M49" s="215" t="s">
        <v>31</v>
      </c>
      <c r="N49" s="215" t="s">
        <v>31</v>
      </c>
      <c r="O49" s="215" t="s">
        <v>31</v>
      </c>
      <c r="P49" s="215" t="s">
        <v>31</v>
      </c>
      <c r="Q49" s="215" t="s">
        <v>31</v>
      </c>
      <c r="R49" s="198"/>
      <c r="S49" s="198"/>
      <c r="T49" s="198"/>
      <c r="U49" s="198"/>
    </row>
    <row r="50" spans="1:21" s="12" customFormat="1" x14ac:dyDescent="0.25">
      <c r="A50" s="201" t="s">
        <v>954</v>
      </c>
      <c r="B50" s="215" t="s">
        <v>31</v>
      </c>
      <c r="C50" s="215" t="s">
        <v>31</v>
      </c>
      <c r="D50" s="215" t="s">
        <v>31</v>
      </c>
      <c r="E50" s="215" t="s">
        <v>31</v>
      </c>
      <c r="F50" s="215" t="s">
        <v>31</v>
      </c>
      <c r="G50" s="215" t="s">
        <v>31</v>
      </c>
      <c r="H50" s="215" t="s">
        <v>31</v>
      </c>
      <c r="I50" s="215" t="s">
        <v>31</v>
      </c>
      <c r="J50" s="215" t="s">
        <v>31</v>
      </c>
      <c r="K50" s="215" t="s">
        <v>31</v>
      </c>
      <c r="L50" s="215" t="s">
        <v>31</v>
      </c>
      <c r="M50" s="215" t="s">
        <v>31</v>
      </c>
      <c r="N50" s="215" t="s">
        <v>31</v>
      </c>
      <c r="O50" s="215" t="s">
        <v>31</v>
      </c>
      <c r="P50" s="215" t="s">
        <v>31</v>
      </c>
      <c r="Q50" s="215" t="s">
        <v>31</v>
      </c>
      <c r="R50" s="198"/>
      <c r="S50" s="198"/>
      <c r="T50" s="198"/>
      <c r="U50" s="198"/>
    </row>
    <row r="51" spans="1:21" s="12" customFormat="1" x14ac:dyDescent="0.25">
      <c r="A51" s="201" t="s">
        <v>955</v>
      </c>
      <c r="B51" s="215" t="s">
        <v>31</v>
      </c>
      <c r="C51" s="215" t="s">
        <v>31</v>
      </c>
      <c r="D51" s="215" t="s">
        <v>31</v>
      </c>
      <c r="E51" s="215" t="s">
        <v>31</v>
      </c>
      <c r="F51" s="215" t="s">
        <v>31</v>
      </c>
      <c r="G51" s="215" t="s">
        <v>31</v>
      </c>
      <c r="H51" s="215" t="s">
        <v>31</v>
      </c>
      <c r="I51" s="215" t="s">
        <v>31</v>
      </c>
      <c r="J51" s="215" t="s">
        <v>31</v>
      </c>
      <c r="K51" s="215" t="s">
        <v>31</v>
      </c>
      <c r="L51" s="215" t="s">
        <v>31</v>
      </c>
      <c r="M51" s="215" t="s">
        <v>31</v>
      </c>
      <c r="N51" s="215" t="s">
        <v>31</v>
      </c>
      <c r="O51" s="215" t="s">
        <v>31</v>
      </c>
      <c r="P51" s="215" t="s">
        <v>31</v>
      </c>
      <c r="Q51" s="215" t="s">
        <v>31</v>
      </c>
      <c r="R51" s="198"/>
      <c r="S51" s="198"/>
      <c r="T51" s="198"/>
      <c r="U51" s="198"/>
    </row>
    <row r="52" spans="1:21" s="12" customFormat="1" x14ac:dyDescent="0.25">
      <c r="A52" s="201" t="s">
        <v>956</v>
      </c>
      <c r="B52" s="215" t="s">
        <v>31</v>
      </c>
      <c r="C52" s="215" t="s">
        <v>31</v>
      </c>
      <c r="D52" s="215" t="s">
        <v>31</v>
      </c>
      <c r="E52" s="215" t="s">
        <v>31</v>
      </c>
      <c r="F52" s="215" t="s">
        <v>31</v>
      </c>
      <c r="G52" s="215" t="s">
        <v>31</v>
      </c>
      <c r="H52" s="215" t="s">
        <v>31</v>
      </c>
      <c r="I52" s="215" t="s">
        <v>31</v>
      </c>
      <c r="J52" s="215" t="s">
        <v>31</v>
      </c>
      <c r="K52" s="215" t="s">
        <v>31</v>
      </c>
      <c r="L52" s="215" t="s">
        <v>31</v>
      </c>
      <c r="M52" s="215" t="s">
        <v>31</v>
      </c>
      <c r="N52" s="215" t="s">
        <v>31</v>
      </c>
      <c r="O52" s="215" t="s">
        <v>31</v>
      </c>
      <c r="P52" s="215" t="s">
        <v>31</v>
      </c>
      <c r="Q52" s="215" t="s">
        <v>31</v>
      </c>
      <c r="R52" s="198"/>
      <c r="S52" s="198"/>
      <c r="T52" s="198"/>
      <c r="U52" s="198"/>
    </row>
    <row r="53" spans="1:21" s="12" customFormat="1" x14ac:dyDescent="0.25">
      <c r="A53" s="201" t="s">
        <v>957</v>
      </c>
      <c r="B53" s="215" t="s">
        <v>31</v>
      </c>
      <c r="C53" s="215" t="s">
        <v>31</v>
      </c>
      <c r="D53" s="215" t="s">
        <v>31</v>
      </c>
      <c r="E53" s="215" t="s">
        <v>31</v>
      </c>
      <c r="F53" s="215" t="s">
        <v>31</v>
      </c>
      <c r="G53" s="215" t="s">
        <v>31</v>
      </c>
      <c r="H53" s="215" t="s">
        <v>31</v>
      </c>
      <c r="I53" s="215" t="s">
        <v>31</v>
      </c>
      <c r="J53" s="215" t="s">
        <v>31</v>
      </c>
      <c r="K53" s="215" t="s">
        <v>31</v>
      </c>
      <c r="L53" s="215" t="s">
        <v>31</v>
      </c>
      <c r="M53" s="215" t="s">
        <v>31</v>
      </c>
      <c r="N53" s="215" t="s">
        <v>31</v>
      </c>
      <c r="O53" s="215" t="s">
        <v>31</v>
      </c>
      <c r="P53" s="215" t="s">
        <v>31</v>
      </c>
      <c r="Q53" s="215" t="s">
        <v>31</v>
      </c>
      <c r="R53" s="198"/>
      <c r="S53" s="198"/>
      <c r="T53" s="198"/>
      <c r="U53" s="198"/>
    </row>
    <row r="54" spans="1:21" s="12" customFormat="1" x14ac:dyDescent="0.25">
      <c r="A54" s="201" t="s">
        <v>958</v>
      </c>
      <c r="B54" s="215" t="s">
        <v>31</v>
      </c>
      <c r="C54" s="215" t="s">
        <v>31</v>
      </c>
      <c r="D54" s="215" t="s">
        <v>31</v>
      </c>
      <c r="E54" s="215" t="s">
        <v>31</v>
      </c>
      <c r="F54" s="215" t="s">
        <v>31</v>
      </c>
      <c r="G54" s="215" t="s">
        <v>31</v>
      </c>
      <c r="H54" s="215" t="s">
        <v>31</v>
      </c>
      <c r="I54" s="215" t="s">
        <v>31</v>
      </c>
      <c r="J54" s="215" t="s">
        <v>31</v>
      </c>
      <c r="K54" s="215" t="s">
        <v>31</v>
      </c>
      <c r="L54" s="215" t="s">
        <v>31</v>
      </c>
      <c r="M54" s="215" t="s">
        <v>31</v>
      </c>
      <c r="N54" s="215" t="s">
        <v>31</v>
      </c>
      <c r="O54" s="215" t="s">
        <v>31</v>
      </c>
      <c r="P54" s="215" t="s">
        <v>31</v>
      </c>
      <c r="Q54" s="215" t="s">
        <v>31</v>
      </c>
      <c r="R54" s="198"/>
      <c r="S54" s="198"/>
      <c r="T54" s="198"/>
      <c r="U54" s="198"/>
    </row>
    <row r="55" spans="1:21" s="12" customFormat="1" x14ac:dyDescent="0.25">
      <c r="A55" s="201" t="s">
        <v>959</v>
      </c>
      <c r="B55" s="215" t="s">
        <v>31</v>
      </c>
      <c r="C55" s="215" t="s">
        <v>31</v>
      </c>
      <c r="D55" s="215" t="s">
        <v>31</v>
      </c>
      <c r="E55" s="215" t="s">
        <v>31</v>
      </c>
      <c r="F55" s="215" t="s">
        <v>31</v>
      </c>
      <c r="G55" s="215" t="s">
        <v>31</v>
      </c>
      <c r="H55" s="215" t="s">
        <v>31</v>
      </c>
      <c r="I55" s="215" t="s">
        <v>31</v>
      </c>
      <c r="J55" s="215" t="s">
        <v>31</v>
      </c>
      <c r="K55" s="215" t="s">
        <v>31</v>
      </c>
      <c r="L55" s="215" t="s">
        <v>31</v>
      </c>
      <c r="M55" s="215" t="s">
        <v>31</v>
      </c>
      <c r="N55" s="215" t="s">
        <v>31</v>
      </c>
      <c r="O55" s="215" t="s">
        <v>31</v>
      </c>
      <c r="P55" s="215" t="s">
        <v>31</v>
      </c>
      <c r="Q55" s="215" t="s">
        <v>31</v>
      </c>
      <c r="R55" s="198"/>
      <c r="S55" s="198"/>
      <c r="T55" s="198"/>
      <c r="U55" s="198"/>
    </row>
    <row r="56" spans="1:21" s="12" customFormat="1" x14ac:dyDescent="0.25">
      <c r="A56" s="201" t="s">
        <v>960</v>
      </c>
      <c r="B56" s="215" t="s">
        <v>31</v>
      </c>
      <c r="C56" s="215" t="s">
        <v>31</v>
      </c>
      <c r="D56" s="215" t="s">
        <v>31</v>
      </c>
      <c r="E56" s="215" t="s">
        <v>31</v>
      </c>
      <c r="F56" s="215" t="s">
        <v>31</v>
      </c>
      <c r="G56" s="215" t="s">
        <v>31</v>
      </c>
      <c r="H56" s="215" t="s">
        <v>31</v>
      </c>
      <c r="I56" s="215" t="s">
        <v>31</v>
      </c>
      <c r="J56" s="215" t="s">
        <v>31</v>
      </c>
      <c r="K56" s="215" t="s">
        <v>31</v>
      </c>
      <c r="L56" s="215" t="s">
        <v>31</v>
      </c>
      <c r="M56" s="215" t="s">
        <v>31</v>
      </c>
      <c r="N56" s="215" t="s">
        <v>31</v>
      </c>
      <c r="O56" s="215" t="s">
        <v>31</v>
      </c>
      <c r="P56" s="215" t="s">
        <v>31</v>
      </c>
      <c r="Q56" s="215" t="s">
        <v>31</v>
      </c>
      <c r="R56" s="198"/>
      <c r="S56" s="198"/>
      <c r="T56" s="198"/>
      <c r="U56" s="198"/>
    </row>
    <row r="57" spans="1:21" s="12" customFormat="1" x14ac:dyDescent="0.25">
      <c r="A57" s="201" t="s">
        <v>961</v>
      </c>
      <c r="B57" s="215" t="s">
        <v>31</v>
      </c>
      <c r="C57" s="215" t="s">
        <v>31</v>
      </c>
      <c r="D57" s="215" t="s">
        <v>31</v>
      </c>
      <c r="E57" s="215" t="s">
        <v>31</v>
      </c>
      <c r="F57" s="215" t="s">
        <v>31</v>
      </c>
      <c r="G57" s="215" t="s">
        <v>31</v>
      </c>
      <c r="H57" s="215" t="s">
        <v>31</v>
      </c>
      <c r="I57" s="215" t="s">
        <v>31</v>
      </c>
      <c r="J57" s="215" t="s">
        <v>31</v>
      </c>
      <c r="K57" s="215" t="s">
        <v>31</v>
      </c>
      <c r="L57" s="215" t="s">
        <v>31</v>
      </c>
      <c r="M57" s="215" t="s">
        <v>31</v>
      </c>
      <c r="N57" s="215" t="s">
        <v>31</v>
      </c>
      <c r="O57" s="215" t="s">
        <v>31</v>
      </c>
      <c r="P57" s="215" t="s">
        <v>31</v>
      </c>
      <c r="Q57" s="215" t="s">
        <v>31</v>
      </c>
      <c r="R57" s="198"/>
      <c r="S57" s="198"/>
      <c r="T57" s="198"/>
      <c r="U57" s="198"/>
    </row>
    <row r="58" spans="1:21" s="12" customFormat="1" x14ac:dyDescent="0.25">
      <c r="A58" s="201" t="s">
        <v>962</v>
      </c>
      <c r="B58" s="215" t="s">
        <v>31</v>
      </c>
      <c r="C58" s="215" t="s">
        <v>31</v>
      </c>
      <c r="D58" s="215" t="s">
        <v>31</v>
      </c>
      <c r="E58" s="215" t="s">
        <v>31</v>
      </c>
      <c r="F58" s="215" t="s">
        <v>31</v>
      </c>
      <c r="G58" s="215" t="s">
        <v>31</v>
      </c>
      <c r="H58" s="215" t="s">
        <v>31</v>
      </c>
      <c r="I58" s="215" t="s">
        <v>31</v>
      </c>
      <c r="J58" s="215" t="s">
        <v>31</v>
      </c>
      <c r="K58" s="215" t="s">
        <v>31</v>
      </c>
      <c r="L58" s="215" t="s">
        <v>31</v>
      </c>
      <c r="M58" s="215" t="s">
        <v>31</v>
      </c>
      <c r="N58" s="215" t="s">
        <v>31</v>
      </c>
      <c r="O58" s="215" t="s">
        <v>31</v>
      </c>
      <c r="P58" s="215" t="s">
        <v>31</v>
      </c>
      <c r="Q58" s="215" t="s">
        <v>31</v>
      </c>
      <c r="R58" s="198"/>
      <c r="S58" s="198"/>
      <c r="T58" s="198"/>
      <c r="U58" s="198"/>
    </row>
    <row r="59" spans="1:21" s="12" customFormat="1" x14ac:dyDescent="0.25">
      <c r="A59" s="201" t="s">
        <v>963</v>
      </c>
      <c r="B59" s="215" t="s">
        <v>31</v>
      </c>
      <c r="C59" s="215" t="s">
        <v>31</v>
      </c>
      <c r="D59" s="215" t="s">
        <v>31</v>
      </c>
      <c r="E59" s="215" t="s">
        <v>31</v>
      </c>
      <c r="F59" s="215" t="s">
        <v>31</v>
      </c>
      <c r="G59" s="215" t="s">
        <v>31</v>
      </c>
      <c r="H59" s="215" t="s">
        <v>31</v>
      </c>
      <c r="I59" s="215" t="s">
        <v>31</v>
      </c>
      <c r="J59" s="215" t="s">
        <v>31</v>
      </c>
      <c r="K59" s="215" t="s">
        <v>31</v>
      </c>
      <c r="L59" s="215" t="s">
        <v>31</v>
      </c>
      <c r="M59" s="215" t="s">
        <v>31</v>
      </c>
      <c r="N59" s="215" t="s">
        <v>31</v>
      </c>
      <c r="O59" s="215" t="s">
        <v>31</v>
      </c>
      <c r="P59" s="215" t="s">
        <v>31</v>
      </c>
      <c r="Q59" s="215" t="s">
        <v>31</v>
      </c>
      <c r="R59" s="198"/>
      <c r="S59" s="198"/>
      <c r="T59" s="198"/>
      <c r="U59" s="198"/>
    </row>
    <row r="60" spans="1:21" s="12" customFormat="1" x14ac:dyDescent="0.25">
      <c r="A60" s="201" t="s">
        <v>964</v>
      </c>
      <c r="B60" s="215" t="s">
        <v>31</v>
      </c>
      <c r="C60" s="215" t="s">
        <v>31</v>
      </c>
      <c r="D60" s="215" t="s">
        <v>31</v>
      </c>
      <c r="E60" s="215" t="s">
        <v>31</v>
      </c>
      <c r="F60" s="215" t="s">
        <v>31</v>
      </c>
      <c r="G60" s="215" t="s">
        <v>31</v>
      </c>
      <c r="H60" s="215" t="s">
        <v>31</v>
      </c>
      <c r="I60" s="215" t="s">
        <v>31</v>
      </c>
      <c r="J60" s="215" t="s">
        <v>31</v>
      </c>
      <c r="K60" s="215" t="s">
        <v>31</v>
      </c>
      <c r="L60" s="215" t="s">
        <v>31</v>
      </c>
      <c r="M60" s="215" t="s">
        <v>31</v>
      </c>
      <c r="N60" s="215" t="s">
        <v>31</v>
      </c>
      <c r="O60" s="215" t="s">
        <v>31</v>
      </c>
      <c r="P60" s="215" t="s">
        <v>31</v>
      </c>
      <c r="Q60" s="215" t="s">
        <v>31</v>
      </c>
      <c r="R60" s="198"/>
      <c r="S60" s="198"/>
      <c r="T60" s="198"/>
      <c r="U60" s="198"/>
    </row>
    <row r="61" spans="1:21" s="12" customFormat="1" x14ac:dyDescent="0.25">
      <c r="A61" s="201" t="s">
        <v>965</v>
      </c>
      <c r="B61" s="215" t="s">
        <v>31</v>
      </c>
      <c r="C61" s="215" t="s">
        <v>31</v>
      </c>
      <c r="D61" s="215" t="s">
        <v>31</v>
      </c>
      <c r="E61" s="215" t="s">
        <v>31</v>
      </c>
      <c r="F61" s="215" t="s">
        <v>31</v>
      </c>
      <c r="G61" s="215" t="s">
        <v>31</v>
      </c>
      <c r="H61" s="215" t="s">
        <v>31</v>
      </c>
      <c r="I61" s="215" t="s">
        <v>31</v>
      </c>
      <c r="J61" s="215" t="s">
        <v>31</v>
      </c>
      <c r="K61" s="215" t="s">
        <v>31</v>
      </c>
      <c r="L61" s="215" t="s">
        <v>31</v>
      </c>
      <c r="M61" s="215" t="s">
        <v>31</v>
      </c>
      <c r="N61" s="215" t="s">
        <v>31</v>
      </c>
      <c r="O61" s="215" t="s">
        <v>31</v>
      </c>
      <c r="P61" s="215" t="s">
        <v>31</v>
      </c>
      <c r="Q61" s="215" t="s">
        <v>31</v>
      </c>
      <c r="R61" s="198"/>
      <c r="S61" s="198"/>
      <c r="T61" s="198"/>
      <c r="U61" s="198"/>
    </row>
    <row r="62" spans="1:21" s="12" customFormat="1" x14ac:dyDescent="0.25">
      <c r="A62" s="201" t="s">
        <v>966</v>
      </c>
      <c r="B62" s="215" t="s">
        <v>31</v>
      </c>
      <c r="C62" s="215" t="s">
        <v>31</v>
      </c>
      <c r="D62" s="215" t="s">
        <v>31</v>
      </c>
      <c r="E62" s="215" t="s">
        <v>31</v>
      </c>
      <c r="F62" s="215" t="s">
        <v>31</v>
      </c>
      <c r="G62" s="215" t="s">
        <v>31</v>
      </c>
      <c r="H62" s="215" t="s">
        <v>31</v>
      </c>
      <c r="I62" s="215" t="s">
        <v>31</v>
      </c>
      <c r="J62" s="215" t="s">
        <v>31</v>
      </c>
      <c r="K62" s="215" t="s">
        <v>31</v>
      </c>
      <c r="L62" s="215" t="s">
        <v>31</v>
      </c>
      <c r="M62" s="215" t="s">
        <v>31</v>
      </c>
      <c r="N62" s="215" t="s">
        <v>31</v>
      </c>
      <c r="O62" s="215" t="s">
        <v>31</v>
      </c>
      <c r="P62" s="215" t="s">
        <v>31</v>
      </c>
      <c r="Q62" s="215" t="s">
        <v>31</v>
      </c>
      <c r="R62" s="198"/>
      <c r="S62" s="198"/>
      <c r="T62" s="198"/>
      <c r="U62" s="198"/>
    </row>
    <row r="63" spans="1:21" s="12" customFormat="1" x14ac:dyDescent="0.25">
      <c r="A63" s="201" t="s">
        <v>967</v>
      </c>
      <c r="B63" s="215" t="s">
        <v>31</v>
      </c>
      <c r="C63" s="215" t="s">
        <v>31</v>
      </c>
      <c r="D63" s="215" t="s">
        <v>31</v>
      </c>
      <c r="E63" s="215" t="s">
        <v>31</v>
      </c>
      <c r="F63" s="215" t="s">
        <v>31</v>
      </c>
      <c r="G63" s="215" t="s">
        <v>31</v>
      </c>
      <c r="H63" s="215" t="s">
        <v>31</v>
      </c>
      <c r="I63" s="215" t="s">
        <v>31</v>
      </c>
      <c r="J63" s="215" t="s">
        <v>31</v>
      </c>
      <c r="K63" s="215" t="s">
        <v>31</v>
      </c>
      <c r="L63" s="215" t="s">
        <v>31</v>
      </c>
      <c r="M63" s="215" t="s">
        <v>31</v>
      </c>
      <c r="N63" s="215" t="s">
        <v>31</v>
      </c>
      <c r="O63" s="215" t="s">
        <v>31</v>
      </c>
      <c r="P63" s="215" t="s">
        <v>31</v>
      </c>
      <c r="Q63" s="215" t="s">
        <v>31</v>
      </c>
      <c r="R63" s="198"/>
      <c r="S63" s="198"/>
      <c r="T63" s="198"/>
      <c r="U63" s="198"/>
    </row>
    <row r="64" spans="1:21" s="12" customFormat="1" x14ac:dyDescent="0.25">
      <c r="A64" s="201" t="s">
        <v>968</v>
      </c>
      <c r="B64" s="215" t="s">
        <v>31</v>
      </c>
      <c r="C64" s="215" t="s">
        <v>31</v>
      </c>
      <c r="D64" s="215" t="s">
        <v>31</v>
      </c>
      <c r="E64" s="215" t="s">
        <v>31</v>
      </c>
      <c r="F64" s="215" t="s">
        <v>31</v>
      </c>
      <c r="G64" s="215" t="s">
        <v>31</v>
      </c>
      <c r="H64" s="215" t="s">
        <v>31</v>
      </c>
      <c r="I64" s="215" t="s">
        <v>31</v>
      </c>
      <c r="J64" s="215" t="s">
        <v>31</v>
      </c>
      <c r="K64" s="215" t="s">
        <v>31</v>
      </c>
      <c r="L64" s="215" t="s">
        <v>31</v>
      </c>
      <c r="M64" s="215" t="s">
        <v>31</v>
      </c>
      <c r="N64" s="215" t="s">
        <v>31</v>
      </c>
      <c r="O64" s="215" t="s">
        <v>31</v>
      </c>
      <c r="P64" s="215" t="s">
        <v>31</v>
      </c>
      <c r="Q64" s="215" t="s">
        <v>31</v>
      </c>
      <c r="R64" s="198"/>
      <c r="S64" s="198"/>
      <c r="T64" s="198"/>
      <c r="U64" s="198"/>
    </row>
    <row r="65" spans="1:21" s="12" customFormat="1" x14ac:dyDescent="0.25">
      <c r="A65" s="201" t="s">
        <v>969</v>
      </c>
      <c r="B65" s="215" t="s">
        <v>31</v>
      </c>
      <c r="C65" s="215" t="s">
        <v>31</v>
      </c>
      <c r="D65" s="215" t="s">
        <v>31</v>
      </c>
      <c r="E65" s="215" t="s">
        <v>31</v>
      </c>
      <c r="F65" s="215" t="s">
        <v>31</v>
      </c>
      <c r="G65" s="215" t="s">
        <v>31</v>
      </c>
      <c r="H65" s="215" t="s">
        <v>31</v>
      </c>
      <c r="I65" s="215" t="s">
        <v>31</v>
      </c>
      <c r="J65" s="215" t="s">
        <v>31</v>
      </c>
      <c r="K65" s="215" t="s">
        <v>31</v>
      </c>
      <c r="L65" s="215" t="s">
        <v>31</v>
      </c>
      <c r="M65" s="215" t="s">
        <v>31</v>
      </c>
      <c r="N65" s="215" t="s">
        <v>31</v>
      </c>
      <c r="O65" s="215" t="s">
        <v>31</v>
      </c>
      <c r="P65" s="215" t="s">
        <v>31</v>
      </c>
      <c r="Q65" s="215" t="s">
        <v>31</v>
      </c>
      <c r="R65" s="198"/>
      <c r="S65" s="198"/>
      <c r="T65" s="198"/>
      <c r="U65" s="198"/>
    </row>
    <row r="66" spans="1:21" s="12" customFormat="1" x14ac:dyDescent="0.25">
      <c r="A66" s="201" t="s">
        <v>970</v>
      </c>
      <c r="B66" s="215" t="s">
        <v>31</v>
      </c>
      <c r="C66" s="215" t="s">
        <v>31</v>
      </c>
      <c r="D66" s="215" t="s">
        <v>31</v>
      </c>
      <c r="E66" s="215" t="s">
        <v>31</v>
      </c>
      <c r="F66" s="215" t="s">
        <v>31</v>
      </c>
      <c r="G66" s="215" t="s">
        <v>31</v>
      </c>
      <c r="H66" s="215" t="s">
        <v>31</v>
      </c>
      <c r="I66" s="215" t="s">
        <v>31</v>
      </c>
      <c r="J66" s="215" t="s">
        <v>31</v>
      </c>
      <c r="K66" s="215" t="s">
        <v>31</v>
      </c>
      <c r="L66" s="215" t="s">
        <v>31</v>
      </c>
      <c r="M66" s="215" t="s">
        <v>31</v>
      </c>
      <c r="N66" s="215" t="s">
        <v>31</v>
      </c>
      <c r="O66" s="215" t="s">
        <v>31</v>
      </c>
      <c r="P66" s="215" t="s">
        <v>31</v>
      </c>
      <c r="Q66" s="215" t="s">
        <v>31</v>
      </c>
      <c r="R66" s="198"/>
      <c r="S66" s="198"/>
      <c r="T66" s="198"/>
      <c r="U66" s="198"/>
    </row>
    <row r="67" spans="1:21" s="12" customFormat="1" x14ac:dyDescent="0.25">
      <c r="A67" s="201" t="s">
        <v>971</v>
      </c>
      <c r="B67" s="215" t="s">
        <v>31</v>
      </c>
      <c r="C67" s="215" t="s">
        <v>31</v>
      </c>
      <c r="D67" s="215" t="s">
        <v>31</v>
      </c>
      <c r="E67" s="215" t="s">
        <v>31</v>
      </c>
      <c r="F67" s="215" t="s">
        <v>31</v>
      </c>
      <c r="G67" s="215" t="s">
        <v>31</v>
      </c>
      <c r="H67" s="215" t="s">
        <v>31</v>
      </c>
      <c r="I67" s="215" t="s">
        <v>31</v>
      </c>
      <c r="J67" s="215" t="s">
        <v>31</v>
      </c>
      <c r="K67" s="215" t="s">
        <v>31</v>
      </c>
      <c r="L67" s="215" t="s">
        <v>31</v>
      </c>
      <c r="M67" s="215" t="s">
        <v>31</v>
      </c>
      <c r="N67" s="215" t="s">
        <v>31</v>
      </c>
      <c r="O67" s="215" t="s">
        <v>31</v>
      </c>
      <c r="P67" s="215" t="s">
        <v>31</v>
      </c>
      <c r="Q67" s="215" t="s">
        <v>31</v>
      </c>
      <c r="R67" s="198"/>
      <c r="S67" s="198"/>
      <c r="T67" s="198"/>
      <c r="U67" s="198"/>
    </row>
    <row r="68" spans="1:21" s="12" customFormat="1" x14ac:dyDescent="0.25">
      <c r="A68" s="201" t="s">
        <v>972</v>
      </c>
      <c r="B68" s="215" t="s">
        <v>31</v>
      </c>
      <c r="C68" s="215" t="s">
        <v>31</v>
      </c>
      <c r="D68" s="215" t="s">
        <v>31</v>
      </c>
      <c r="E68" s="215" t="s">
        <v>31</v>
      </c>
      <c r="F68" s="215" t="s">
        <v>31</v>
      </c>
      <c r="G68" s="215" t="s">
        <v>31</v>
      </c>
      <c r="H68" s="215" t="s">
        <v>31</v>
      </c>
      <c r="I68" s="215" t="s">
        <v>31</v>
      </c>
      <c r="J68" s="215" t="s">
        <v>31</v>
      </c>
      <c r="K68" s="215" t="s">
        <v>31</v>
      </c>
      <c r="L68" s="215" t="s">
        <v>31</v>
      </c>
      <c r="M68" s="215" t="s">
        <v>31</v>
      </c>
      <c r="N68" s="215" t="s">
        <v>31</v>
      </c>
      <c r="O68" s="215" t="s">
        <v>31</v>
      </c>
      <c r="P68" s="215" t="s">
        <v>31</v>
      </c>
      <c r="Q68" s="215" t="s">
        <v>31</v>
      </c>
      <c r="R68" s="198"/>
      <c r="S68" s="198"/>
      <c r="T68" s="198"/>
      <c r="U68" s="198"/>
    </row>
    <row r="69" spans="1:21" s="12" customFormat="1" x14ac:dyDescent="0.25">
      <c r="A69" s="201" t="s">
        <v>973</v>
      </c>
      <c r="B69" s="215" t="s">
        <v>31</v>
      </c>
      <c r="C69" s="215" t="s">
        <v>31</v>
      </c>
      <c r="D69" s="215" t="s">
        <v>31</v>
      </c>
      <c r="E69" s="215" t="s">
        <v>31</v>
      </c>
      <c r="F69" s="215" t="s">
        <v>31</v>
      </c>
      <c r="G69" s="215" t="s">
        <v>31</v>
      </c>
      <c r="H69" s="215" t="s">
        <v>31</v>
      </c>
      <c r="I69" s="215" t="s">
        <v>31</v>
      </c>
      <c r="J69" s="215" t="s">
        <v>31</v>
      </c>
      <c r="K69" s="215" t="s">
        <v>31</v>
      </c>
      <c r="L69" s="215" t="s">
        <v>31</v>
      </c>
      <c r="M69" s="215" t="s">
        <v>31</v>
      </c>
      <c r="N69" s="215" t="s">
        <v>31</v>
      </c>
      <c r="O69" s="215" t="s">
        <v>31</v>
      </c>
      <c r="P69" s="215" t="s">
        <v>31</v>
      </c>
      <c r="Q69" s="215" t="s">
        <v>31</v>
      </c>
      <c r="R69" s="198"/>
      <c r="S69" s="198"/>
      <c r="T69" s="198"/>
      <c r="U69" s="198"/>
    </row>
    <row r="70" spans="1:21" s="12" customFormat="1" x14ac:dyDescent="0.25">
      <c r="A70" s="201" t="s">
        <v>974</v>
      </c>
      <c r="B70" s="215" t="s">
        <v>31</v>
      </c>
      <c r="C70" s="215" t="s">
        <v>31</v>
      </c>
      <c r="D70" s="215" t="s">
        <v>31</v>
      </c>
      <c r="E70" s="215" t="s">
        <v>31</v>
      </c>
      <c r="F70" s="215" t="s">
        <v>31</v>
      </c>
      <c r="G70" s="215" t="s">
        <v>31</v>
      </c>
      <c r="H70" s="215" t="s">
        <v>31</v>
      </c>
      <c r="I70" s="215" t="s">
        <v>31</v>
      </c>
      <c r="J70" s="215" t="s">
        <v>31</v>
      </c>
      <c r="K70" s="215" t="s">
        <v>31</v>
      </c>
      <c r="L70" s="215" t="s">
        <v>31</v>
      </c>
      <c r="M70" s="215" t="s">
        <v>31</v>
      </c>
      <c r="N70" s="215" t="s">
        <v>31</v>
      </c>
      <c r="O70" s="215" t="s">
        <v>31</v>
      </c>
      <c r="P70" s="215" t="s">
        <v>31</v>
      </c>
      <c r="Q70" s="215" t="s">
        <v>31</v>
      </c>
      <c r="R70" s="198"/>
      <c r="S70" s="198"/>
      <c r="T70" s="198"/>
      <c r="U70" s="198"/>
    </row>
    <row r="71" spans="1:21" s="12" customFormat="1" x14ac:dyDescent="0.25">
      <c r="A71" s="201" t="s">
        <v>975</v>
      </c>
      <c r="B71" s="215" t="s">
        <v>31</v>
      </c>
      <c r="C71" s="215" t="s">
        <v>31</v>
      </c>
      <c r="D71" s="215" t="s">
        <v>31</v>
      </c>
      <c r="E71" s="215" t="s">
        <v>31</v>
      </c>
      <c r="F71" s="215" t="s">
        <v>31</v>
      </c>
      <c r="G71" s="215" t="s">
        <v>31</v>
      </c>
      <c r="H71" s="215" t="s">
        <v>31</v>
      </c>
      <c r="I71" s="215" t="s">
        <v>31</v>
      </c>
      <c r="J71" s="215" t="s">
        <v>31</v>
      </c>
      <c r="K71" s="215" t="s">
        <v>31</v>
      </c>
      <c r="L71" s="215" t="s">
        <v>31</v>
      </c>
      <c r="M71" s="215" t="s">
        <v>31</v>
      </c>
      <c r="N71" s="215" t="s">
        <v>31</v>
      </c>
      <c r="O71" s="215" t="s">
        <v>31</v>
      </c>
      <c r="P71" s="215" t="s">
        <v>31</v>
      </c>
      <c r="Q71" s="215" t="s">
        <v>31</v>
      </c>
      <c r="R71" s="198"/>
      <c r="S71" s="198"/>
      <c r="T71" s="198"/>
      <c r="U71" s="198"/>
    </row>
    <row r="72" spans="1:21" s="12" customFormat="1" x14ac:dyDescent="0.25">
      <c r="A72" s="201" t="s">
        <v>976</v>
      </c>
      <c r="B72" s="215" t="s">
        <v>31</v>
      </c>
      <c r="C72" s="215" t="s">
        <v>31</v>
      </c>
      <c r="D72" s="215" t="s">
        <v>31</v>
      </c>
      <c r="E72" s="215" t="s">
        <v>31</v>
      </c>
      <c r="F72" s="215" t="s">
        <v>31</v>
      </c>
      <c r="G72" s="215" t="s">
        <v>31</v>
      </c>
      <c r="H72" s="215" t="s">
        <v>31</v>
      </c>
      <c r="I72" s="215" t="s">
        <v>31</v>
      </c>
      <c r="J72" s="215" t="s">
        <v>31</v>
      </c>
      <c r="K72" s="215" t="s">
        <v>31</v>
      </c>
      <c r="L72" s="215" t="s">
        <v>31</v>
      </c>
      <c r="M72" s="215" t="s">
        <v>31</v>
      </c>
      <c r="N72" s="215" t="s">
        <v>31</v>
      </c>
      <c r="O72" s="215" t="s">
        <v>31</v>
      </c>
      <c r="P72" s="215" t="s">
        <v>31</v>
      </c>
      <c r="Q72" s="215" t="s">
        <v>31</v>
      </c>
      <c r="R72" s="198"/>
      <c r="S72" s="198"/>
      <c r="T72" s="198"/>
      <c r="U72" s="198"/>
    </row>
    <row r="73" spans="1:21" s="12" customFormat="1" x14ac:dyDescent="0.25">
      <c r="A73" s="201" t="s">
        <v>977</v>
      </c>
      <c r="B73" s="215" t="s">
        <v>31</v>
      </c>
      <c r="C73" s="215" t="s">
        <v>31</v>
      </c>
      <c r="D73" s="215" t="s">
        <v>31</v>
      </c>
      <c r="E73" s="215" t="s">
        <v>31</v>
      </c>
      <c r="F73" s="215" t="s">
        <v>31</v>
      </c>
      <c r="G73" s="215" t="s">
        <v>31</v>
      </c>
      <c r="H73" s="215" t="s">
        <v>31</v>
      </c>
      <c r="I73" s="215" t="s">
        <v>31</v>
      </c>
      <c r="J73" s="215" t="s">
        <v>31</v>
      </c>
      <c r="K73" s="215" t="s">
        <v>31</v>
      </c>
      <c r="L73" s="215" t="s">
        <v>31</v>
      </c>
      <c r="M73" s="215" t="s">
        <v>31</v>
      </c>
      <c r="N73" s="215" t="s">
        <v>31</v>
      </c>
      <c r="O73" s="215" t="s">
        <v>31</v>
      </c>
      <c r="P73" s="215" t="s">
        <v>31</v>
      </c>
      <c r="Q73" s="215" t="s">
        <v>31</v>
      </c>
      <c r="R73" s="198"/>
      <c r="S73" s="198"/>
      <c r="T73" s="198"/>
      <c r="U73" s="198"/>
    </row>
    <row r="74" spans="1:21" s="12" customFormat="1" x14ac:dyDescent="0.25">
      <c r="A74" s="201" t="s">
        <v>978</v>
      </c>
      <c r="B74" s="215" t="s">
        <v>31</v>
      </c>
      <c r="C74" s="215" t="s">
        <v>31</v>
      </c>
      <c r="D74" s="215" t="s">
        <v>31</v>
      </c>
      <c r="E74" s="215" t="s">
        <v>31</v>
      </c>
      <c r="F74" s="215" t="s">
        <v>31</v>
      </c>
      <c r="G74" s="215" t="s">
        <v>31</v>
      </c>
      <c r="H74" s="215" t="s">
        <v>31</v>
      </c>
      <c r="I74" s="215" t="s">
        <v>31</v>
      </c>
      <c r="J74" s="215" t="s">
        <v>31</v>
      </c>
      <c r="K74" s="215" t="s">
        <v>31</v>
      </c>
      <c r="L74" s="215" t="s">
        <v>31</v>
      </c>
      <c r="M74" s="215" t="s">
        <v>31</v>
      </c>
      <c r="N74" s="215" t="s">
        <v>31</v>
      </c>
      <c r="O74" s="215" t="s">
        <v>31</v>
      </c>
      <c r="P74" s="215" t="s">
        <v>31</v>
      </c>
      <c r="Q74" s="215" t="s">
        <v>31</v>
      </c>
      <c r="R74" s="198"/>
      <c r="S74" s="198"/>
      <c r="T74" s="198"/>
      <c r="U74" s="198"/>
    </row>
    <row r="75" spans="1:21" s="12" customFormat="1" x14ac:dyDescent="0.25">
      <c r="A75" s="201" t="s">
        <v>979</v>
      </c>
      <c r="B75" s="215" t="s">
        <v>31</v>
      </c>
      <c r="C75" s="215" t="s">
        <v>31</v>
      </c>
      <c r="D75" s="215" t="s">
        <v>31</v>
      </c>
      <c r="E75" s="215" t="s">
        <v>31</v>
      </c>
      <c r="F75" s="215" t="s">
        <v>31</v>
      </c>
      <c r="G75" s="215" t="s">
        <v>31</v>
      </c>
      <c r="H75" s="215" t="s">
        <v>31</v>
      </c>
      <c r="I75" s="215" t="s">
        <v>31</v>
      </c>
      <c r="J75" s="215" t="s">
        <v>31</v>
      </c>
      <c r="K75" s="215" t="s">
        <v>31</v>
      </c>
      <c r="L75" s="215" t="s">
        <v>31</v>
      </c>
      <c r="M75" s="215" t="s">
        <v>31</v>
      </c>
      <c r="N75" s="215" t="s">
        <v>31</v>
      </c>
      <c r="O75" s="215" t="s">
        <v>31</v>
      </c>
      <c r="P75" s="215" t="s">
        <v>31</v>
      </c>
      <c r="Q75" s="215" t="s">
        <v>31</v>
      </c>
      <c r="R75" s="198"/>
      <c r="S75" s="198"/>
      <c r="T75" s="198"/>
      <c r="U75" s="198"/>
    </row>
    <row r="76" spans="1:21" s="12" customFormat="1" x14ac:dyDescent="0.25">
      <c r="A76" s="201" t="s">
        <v>980</v>
      </c>
      <c r="B76" s="215" t="s">
        <v>31</v>
      </c>
      <c r="C76" s="215" t="s">
        <v>31</v>
      </c>
      <c r="D76" s="215" t="s">
        <v>31</v>
      </c>
      <c r="E76" s="215" t="s">
        <v>31</v>
      </c>
      <c r="F76" s="215" t="s">
        <v>31</v>
      </c>
      <c r="G76" s="215" t="s">
        <v>31</v>
      </c>
      <c r="H76" s="215" t="s">
        <v>31</v>
      </c>
      <c r="I76" s="215" t="s">
        <v>31</v>
      </c>
      <c r="J76" s="215" t="s">
        <v>31</v>
      </c>
      <c r="K76" s="215" t="s">
        <v>31</v>
      </c>
      <c r="L76" s="215" t="s">
        <v>31</v>
      </c>
      <c r="M76" s="215" t="s">
        <v>31</v>
      </c>
      <c r="N76" s="215" t="s">
        <v>31</v>
      </c>
      <c r="O76" s="215" t="s">
        <v>31</v>
      </c>
      <c r="P76" s="215" t="s">
        <v>31</v>
      </c>
      <c r="Q76" s="215" t="s">
        <v>31</v>
      </c>
      <c r="R76" s="198"/>
      <c r="S76" s="198"/>
      <c r="T76" s="198"/>
      <c r="U76" s="198"/>
    </row>
    <row r="77" spans="1:21" s="12" customFormat="1" x14ac:dyDescent="0.25">
      <c r="A77" s="201" t="s">
        <v>981</v>
      </c>
      <c r="B77" s="215" t="s">
        <v>31</v>
      </c>
      <c r="C77" s="215" t="s">
        <v>31</v>
      </c>
      <c r="D77" s="215" t="s">
        <v>31</v>
      </c>
      <c r="E77" s="215" t="s">
        <v>31</v>
      </c>
      <c r="F77" s="215" t="s">
        <v>31</v>
      </c>
      <c r="G77" s="215" t="s">
        <v>31</v>
      </c>
      <c r="H77" s="215" t="s">
        <v>31</v>
      </c>
      <c r="I77" s="215" t="s">
        <v>31</v>
      </c>
      <c r="J77" s="215" t="s">
        <v>31</v>
      </c>
      <c r="K77" s="215" t="s">
        <v>31</v>
      </c>
      <c r="L77" s="215" t="s">
        <v>31</v>
      </c>
      <c r="M77" s="215" t="s">
        <v>31</v>
      </c>
      <c r="N77" s="215" t="s">
        <v>31</v>
      </c>
      <c r="O77" s="215" t="s">
        <v>31</v>
      </c>
      <c r="P77" s="215" t="s">
        <v>31</v>
      </c>
      <c r="Q77" s="215" t="s">
        <v>31</v>
      </c>
      <c r="R77" s="198"/>
      <c r="S77" s="198"/>
      <c r="T77" s="198"/>
      <c r="U77" s="198"/>
    </row>
    <row r="78" spans="1:21" s="12" customFormat="1" x14ac:dyDescent="0.25">
      <c r="A78" s="201" t="s">
        <v>982</v>
      </c>
      <c r="B78" s="215" t="s">
        <v>31</v>
      </c>
      <c r="C78" s="215" t="s">
        <v>31</v>
      </c>
      <c r="D78" s="215" t="s">
        <v>31</v>
      </c>
      <c r="E78" s="215" t="s">
        <v>31</v>
      </c>
      <c r="F78" s="215" t="s">
        <v>31</v>
      </c>
      <c r="G78" s="215" t="s">
        <v>31</v>
      </c>
      <c r="H78" s="215" t="s">
        <v>31</v>
      </c>
      <c r="I78" s="215" t="s">
        <v>31</v>
      </c>
      <c r="J78" s="215" t="s">
        <v>31</v>
      </c>
      <c r="K78" s="215" t="s">
        <v>31</v>
      </c>
      <c r="L78" s="215" t="s">
        <v>31</v>
      </c>
      <c r="M78" s="215" t="s">
        <v>31</v>
      </c>
      <c r="N78" s="215" t="s">
        <v>31</v>
      </c>
      <c r="O78" s="215" t="s">
        <v>31</v>
      </c>
      <c r="P78" s="215" t="s">
        <v>31</v>
      </c>
      <c r="Q78" s="215" t="s">
        <v>31</v>
      </c>
      <c r="R78" s="198"/>
      <c r="S78" s="198"/>
      <c r="T78" s="198"/>
      <c r="U78" s="198"/>
    </row>
    <row r="79" spans="1:21" s="12" customFormat="1" x14ac:dyDescent="0.25">
      <c r="A79" s="201" t="s">
        <v>983</v>
      </c>
      <c r="B79" s="215" t="s">
        <v>31</v>
      </c>
      <c r="C79" s="215" t="s">
        <v>31</v>
      </c>
      <c r="D79" s="215" t="s">
        <v>31</v>
      </c>
      <c r="E79" s="215" t="s">
        <v>31</v>
      </c>
      <c r="F79" s="215" t="s">
        <v>31</v>
      </c>
      <c r="G79" s="215" t="s">
        <v>31</v>
      </c>
      <c r="H79" s="215" t="s">
        <v>31</v>
      </c>
      <c r="I79" s="215" t="s">
        <v>31</v>
      </c>
      <c r="J79" s="215" t="s">
        <v>31</v>
      </c>
      <c r="K79" s="215" t="s">
        <v>31</v>
      </c>
      <c r="L79" s="215" t="s">
        <v>31</v>
      </c>
      <c r="M79" s="215" t="s">
        <v>31</v>
      </c>
      <c r="N79" s="215" t="s">
        <v>31</v>
      </c>
      <c r="O79" s="215" t="s">
        <v>31</v>
      </c>
      <c r="P79" s="215" t="s">
        <v>31</v>
      </c>
      <c r="Q79" s="215" t="s">
        <v>31</v>
      </c>
      <c r="R79" s="198"/>
      <c r="S79" s="198"/>
      <c r="T79" s="198"/>
      <c r="U79" s="198"/>
    </row>
    <row r="80" spans="1:21" s="12" customFormat="1" x14ac:dyDescent="0.25">
      <c r="A80" s="201" t="s">
        <v>984</v>
      </c>
      <c r="B80" s="215" t="s">
        <v>31</v>
      </c>
      <c r="C80" s="215" t="s">
        <v>31</v>
      </c>
      <c r="D80" s="215" t="s">
        <v>31</v>
      </c>
      <c r="E80" s="215" t="s">
        <v>31</v>
      </c>
      <c r="F80" s="215" t="s">
        <v>31</v>
      </c>
      <c r="G80" s="215" t="s">
        <v>31</v>
      </c>
      <c r="H80" s="215" t="s">
        <v>31</v>
      </c>
      <c r="I80" s="215" t="s">
        <v>31</v>
      </c>
      <c r="J80" s="215" t="s">
        <v>31</v>
      </c>
      <c r="K80" s="215" t="s">
        <v>31</v>
      </c>
      <c r="L80" s="215" t="s">
        <v>31</v>
      </c>
      <c r="M80" s="215" t="s">
        <v>31</v>
      </c>
      <c r="N80" s="215" t="s">
        <v>31</v>
      </c>
      <c r="O80" s="215" t="s">
        <v>31</v>
      </c>
      <c r="P80" s="215" t="s">
        <v>31</v>
      </c>
      <c r="Q80" s="215" t="s">
        <v>31</v>
      </c>
      <c r="R80" s="198"/>
      <c r="S80" s="198"/>
      <c r="T80" s="198"/>
      <c r="U80" s="198"/>
    </row>
    <row r="81" spans="1:26" s="12" customFormat="1" x14ac:dyDescent="0.25">
      <c r="A81" s="201" t="s">
        <v>985</v>
      </c>
      <c r="B81" s="215" t="s">
        <v>31</v>
      </c>
      <c r="C81" s="215" t="s">
        <v>31</v>
      </c>
      <c r="D81" s="215" t="s">
        <v>31</v>
      </c>
      <c r="E81" s="215" t="s">
        <v>31</v>
      </c>
      <c r="F81" s="215" t="s">
        <v>31</v>
      </c>
      <c r="G81" s="215" t="s">
        <v>31</v>
      </c>
      <c r="H81" s="215" t="s">
        <v>31</v>
      </c>
      <c r="I81" s="215" t="s">
        <v>31</v>
      </c>
      <c r="J81" s="215" t="s">
        <v>31</v>
      </c>
      <c r="K81" s="215" t="s">
        <v>31</v>
      </c>
      <c r="L81" s="215" t="s">
        <v>31</v>
      </c>
      <c r="M81" s="215" t="s">
        <v>31</v>
      </c>
      <c r="N81" s="215" t="s">
        <v>31</v>
      </c>
      <c r="O81" s="215" t="s">
        <v>31</v>
      </c>
      <c r="P81" s="215" t="s">
        <v>31</v>
      </c>
      <c r="Q81" s="215" t="s">
        <v>31</v>
      </c>
      <c r="R81" s="198"/>
      <c r="S81" s="198"/>
      <c r="T81" s="198"/>
      <c r="U81" s="198"/>
    </row>
    <row r="82" spans="1:26" s="12" customFormat="1" x14ac:dyDescent="0.25">
      <c r="A82" s="201" t="s">
        <v>986</v>
      </c>
      <c r="B82" s="215" t="s">
        <v>31</v>
      </c>
      <c r="C82" s="215" t="s">
        <v>31</v>
      </c>
      <c r="D82" s="215" t="s">
        <v>31</v>
      </c>
      <c r="E82" s="215" t="s">
        <v>31</v>
      </c>
      <c r="F82" s="215" t="s">
        <v>31</v>
      </c>
      <c r="G82" s="215" t="s">
        <v>31</v>
      </c>
      <c r="H82" s="215" t="s">
        <v>31</v>
      </c>
      <c r="I82" s="215" t="s">
        <v>31</v>
      </c>
      <c r="J82" s="215" t="s">
        <v>31</v>
      </c>
      <c r="K82" s="215" t="s">
        <v>31</v>
      </c>
      <c r="L82" s="215" t="s">
        <v>31</v>
      </c>
      <c r="M82" s="215" t="s">
        <v>31</v>
      </c>
      <c r="N82" s="215" t="s">
        <v>31</v>
      </c>
      <c r="O82" s="215" t="s">
        <v>31</v>
      </c>
      <c r="P82" s="215" t="s">
        <v>31</v>
      </c>
      <c r="Q82" s="215" t="s">
        <v>31</v>
      </c>
      <c r="R82" s="198"/>
      <c r="S82" s="198"/>
      <c r="T82" s="198"/>
      <c r="U82" s="198"/>
    </row>
    <row r="83" spans="1:26" s="12" customFormat="1" x14ac:dyDescent="0.25">
      <c r="A83" s="201" t="s">
        <v>987</v>
      </c>
      <c r="B83" s="215" t="s">
        <v>31</v>
      </c>
      <c r="C83" s="215" t="s">
        <v>31</v>
      </c>
      <c r="D83" s="215" t="s">
        <v>31</v>
      </c>
      <c r="E83" s="215" t="s">
        <v>31</v>
      </c>
      <c r="F83" s="215" t="s">
        <v>31</v>
      </c>
      <c r="G83" s="215" t="s">
        <v>31</v>
      </c>
      <c r="H83" s="215" t="s">
        <v>31</v>
      </c>
      <c r="I83" s="215" t="s">
        <v>31</v>
      </c>
      <c r="J83" s="215" t="s">
        <v>31</v>
      </c>
      <c r="K83" s="215" t="s">
        <v>31</v>
      </c>
      <c r="L83" s="215" t="s">
        <v>31</v>
      </c>
      <c r="M83" s="215" t="s">
        <v>31</v>
      </c>
      <c r="N83" s="215" t="s">
        <v>31</v>
      </c>
      <c r="O83" s="215" t="s">
        <v>31</v>
      </c>
      <c r="P83" s="215" t="s">
        <v>31</v>
      </c>
      <c r="Q83" s="215" t="s">
        <v>31</v>
      </c>
      <c r="R83" s="198"/>
      <c r="S83" s="198"/>
      <c r="T83" s="198"/>
      <c r="U83" s="198"/>
    </row>
    <row r="84" spans="1:26" s="12" customFormat="1" x14ac:dyDescent="0.25">
      <c r="A84" s="201" t="s">
        <v>988</v>
      </c>
      <c r="B84" s="215" t="s">
        <v>31</v>
      </c>
      <c r="C84" s="215" t="s">
        <v>31</v>
      </c>
      <c r="D84" s="215" t="s">
        <v>31</v>
      </c>
      <c r="E84" s="215" t="s">
        <v>31</v>
      </c>
      <c r="F84" s="215" t="s">
        <v>31</v>
      </c>
      <c r="G84" s="215" t="s">
        <v>31</v>
      </c>
      <c r="H84" s="215" t="s">
        <v>31</v>
      </c>
      <c r="I84" s="215" t="s">
        <v>31</v>
      </c>
      <c r="J84" s="215" t="s">
        <v>31</v>
      </c>
      <c r="K84" s="215" t="s">
        <v>31</v>
      </c>
      <c r="L84" s="215" t="s">
        <v>31</v>
      </c>
      <c r="M84" s="215" t="s">
        <v>31</v>
      </c>
      <c r="N84" s="215" t="s">
        <v>31</v>
      </c>
      <c r="O84" s="215" t="s">
        <v>31</v>
      </c>
      <c r="P84" s="215" t="s">
        <v>31</v>
      </c>
      <c r="Q84" s="215" t="s">
        <v>31</v>
      </c>
      <c r="R84" s="198"/>
      <c r="S84" s="198"/>
      <c r="T84" s="198"/>
      <c r="U84" s="198"/>
    </row>
    <row r="85" spans="1:26" s="12" customFormat="1" x14ac:dyDescent="0.25">
      <c r="A85" s="201" t="s">
        <v>989</v>
      </c>
      <c r="B85" s="215" t="s">
        <v>31</v>
      </c>
      <c r="C85" s="215" t="s">
        <v>31</v>
      </c>
      <c r="D85" s="215" t="s">
        <v>31</v>
      </c>
      <c r="E85" s="215" t="s">
        <v>31</v>
      </c>
      <c r="F85" s="215" t="s">
        <v>31</v>
      </c>
      <c r="G85" s="215" t="s">
        <v>31</v>
      </c>
      <c r="H85" s="215" t="s">
        <v>31</v>
      </c>
      <c r="I85" s="215" t="s">
        <v>31</v>
      </c>
      <c r="J85" s="215" t="s">
        <v>31</v>
      </c>
      <c r="K85" s="215" t="s">
        <v>31</v>
      </c>
      <c r="L85" s="215" t="s">
        <v>31</v>
      </c>
      <c r="M85" s="215" t="s">
        <v>31</v>
      </c>
      <c r="N85" s="215" t="s">
        <v>31</v>
      </c>
      <c r="O85" s="215" t="s">
        <v>31</v>
      </c>
      <c r="P85" s="215" t="s">
        <v>31</v>
      </c>
      <c r="Q85" s="215" t="s">
        <v>31</v>
      </c>
      <c r="R85" s="198"/>
      <c r="S85" s="198"/>
      <c r="T85" s="198"/>
      <c r="U85" s="198"/>
    </row>
    <row r="86" spans="1:26" s="12" customFormat="1" x14ac:dyDescent="0.25">
      <c r="A86" s="201" t="s">
        <v>990</v>
      </c>
      <c r="B86" s="215" t="s">
        <v>31</v>
      </c>
      <c r="C86" s="215" t="s">
        <v>31</v>
      </c>
      <c r="D86" s="215" t="s">
        <v>31</v>
      </c>
      <c r="E86" s="215" t="s">
        <v>31</v>
      </c>
      <c r="F86" s="215" t="s">
        <v>31</v>
      </c>
      <c r="G86" s="215" t="s">
        <v>31</v>
      </c>
      <c r="H86" s="215" t="s">
        <v>31</v>
      </c>
      <c r="I86" s="215" t="s">
        <v>31</v>
      </c>
      <c r="J86" s="215" t="s">
        <v>31</v>
      </c>
      <c r="K86" s="215" t="s">
        <v>31</v>
      </c>
      <c r="L86" s="215" t="s">
        <v>31</v>
      </c>
      <c r="M86" s="215" t="s">
        <v>31</v>
      </c>
      <c r="N86" s="215" t="s">
        <v>31</v>
      </c>
      <c r="O86" s="215" t="s">
        <v>31</v>
      </c>
      <c r="P86" s="215" t="s">
        <v>31</v>
      </c>
      <c r="Q86" s="215" t="s">
        <v>31</v>
      </c>
      <c r="R86" s="198"/>
      <c r="S86" s="198"/>
      <c r="T86" s="198"/>
      <c r="U86" s="198"/>
    </row>
    <row r="87" spans="1:26" s="12" customFormat="1" x14ac:dyDescent="0.25">
      <c r="A87" s="201" t="s">
        <v>991</v>
      </c>
      <c r="B87" s="215" t="s">
        <v>31</v>
      </c>
      <c r="C87" s="215" t="s">
        <v>31</v>
      </c>
      <c r="D87" s="215" t="s">
        <v>31</v>
      </c>
      <c r="E87" s="215" t="s">
        <v>31</v>
      </c>
      <c r="F87" s="215" t="s">
        <v>31</v>
      </c>
      <c r="G87" s="215" t="s">
        <v>31</v>
      </c>
      <c r="H87" s="215" t="s">
        <v>31</v>
      </c>
      <c r="I87" s="215" t="s">
        <v>31</v>
      </c>
      <c r="J87" s="215" t="s">
        <v>31</v>
      </c>
      <c r="K87" s="215" t="s">
        <v>31</v>
      </c>
      <c r="L87" s="215" t="s">
        <v>31</v>
      </c>
      <c r="M87" s="215" t="s">
        <v>31</v>
      </c>
      <c r="N87" s="215" t="s">
        <v>31</v>
      </c>
      <c r="O87" s="215" t="s">
        <v>31</v>
      </c>
      <c r="P87" s="215" t="s">
        <v>31</v>
      </c>
      <c r="Q87" s="215" t="s">
        <v>31</v>
      </c>
      <c r="R87" s="198"/>
      <c r="S87" s="198"/>
      <c r="T87" s="198"/>
      <c r="U87" s="198"/>
    </row>
    <row r="88" spans="1:26" s="12" customFormat="1" x14ac:dyDescent="0.25">
      <c r="A88" s="201" t="s">
        <v>992</v>
      </c>
      <c r="B88" s="215" t="s">
        <v>31</v>
      </c>
      <c r="C88" s="215" t="s">
        <v>31</v>
      </c>
      <c r="D88" s="215" t="s">
        <v>31</v>
      </c>
      <c r="E88" s="215" t="s">
        <v>31</v>
      </c>
      <c r="F88" s="215" t="s">
        <v>31</v>
      </c>
      <c r="G88" s="215" t="s">
        <v>31</v>
      </c>
      <c r="H88" s="215" t="s">
        <v>31</v>
      </c>
      <c r="I88" s="215" t="s">
        <v>31</v>
      </c>
      <c r="J88" s="215" t="s">
        <v>31</v>
      </c>
      <c r="K88" s="215" t="s">
        <v>31</v>
      </c>
      <c r="L88" s="215" t="s">
        <v>31</v>
      </c>
      <c r="M88" s="215" t="s">
        <v>31</v>
      </c>
      <c r="N88" s="215" t="s">
        <v>31</v>
      </c>
      <c r="O88" s="215" t="s">
        <v>31</v>
      </c>
      <c r="P88" s="215" t="s">
        <v>31</v>
      </c>
      <c r="Q88" s="215" t="s">
        <v>31</v>
      </c>
      <c r="R88" s="198"/>
      <c r="S88" s="198"/>
      <c r="T88" s="198"/>
      <c r="U88" s="198"/>
    </row>
    <row r="89" spans="1:26" s="12" customFormat="1" x14ac:dyDescent="0.25">
      <c r="A89" s="201" t="s">
        <v>993</v>
      </c>
      <c r="B89" s="215" t="s">
        <v>31</v>
      </c>
      <c r="C89" s="215" t="s">
        <v>31</v>
      </c>
      <c r="D89" s="215" t="s">
        <v>31</v>
      </c>
      <c r="E89" s="215" t="s">
        <v>31</v>
      </c>
      <c r="F89" s="215" t="s">
        <v>31</v>
      </c>
      <c r="G89" s="215" t="s">
        <v>31</v>
      </c>
      <c r="H89" s="215" t="s">
        <v>31</v>
      </c>
      <c r="I89" s="215" t="s">
        <v>31</v>
      </c>
      <c r="J89" s="215" t="s">
        <v>31</v>
      </c>
      <c r="K89" s="215" t="s">
        <v>31</v>
      </c>
      <c r="L89" s="215" t="s">
        <v>31</v>
      </c>
      <c r="M89" s="215" t="s">
        <v>31</v>
      </c>
      <c r="N89" s="215" t="s">
        <v>31</v>
      </c>
      <c r="O89" s="215" t="s">
        <v>31</v>
      </c>
      <c r="P89" s="215" t="s">
        <v>31</v>
      </c>
      <c r="Q89" s="215" t="s">
        <v>31</v>
      </c>
      <c r="R89" s="198"/>
      <c r="S89" s="198"/>
      <c r="T89" s="198"/>
      <c r="U89" s="198"/>
    </row>
    <row r="90" spans="1:26" s="12" customFormat="1" x14ac:dyDescent="0.25">
      <c r="A90" s="201" t="s">
        <v>994</v>
      </c>
      <c r="B90" s="215" t="s">
        <v>31</v>
      </c>
      <c r="C90" s="215" t="s">
        <v>31</v>
      </c>
      <c r="D90" s="215" t="s">
        <v>31</v>
      </c>
      <c r="E90" s="215" t="s">
        <v>31</v>
      </c>
      <c r="F90" s="215" t="s">
        <v>31</v>
      </c>
      <c r="G90" s="215" t="s">
        <v>31</v>
      </c>
      <c r="H90" s="215" t="s">
        <v>31</v>
      </c>
      <c r="I90" s="215" t="s">
        <v>31</v>
      </c>
      <c r="J90" s="215" t="s">
        <v>31</v>
      </c>
      <c r="K90" s="215" t="s">
        <v>31</v>
      </c>
      <c r="L90" s="215" t="s">
        <v>31</v>
      </c>
      <c r="M90" s="215" t="s">
        <v>31</v>
      </c>
      <c r="N90" s="215" t="s">
        <v>31</v>
      </c>
      <c r="O90" s="215" t="s">
        <v>31</v>
      </c>
      <c r="P90" s="215" t="s">
        <v>31</v>
      </c>
      <c r="Q90" s="215" t="s">
        <v>31</v>
      </c>
      <c r="R90" s="198"/>
      <c r="S90" s="198"/>
      <c r="T90" s="198"/>
      <c r="U90" s="198"/>
    </row>
    <row r="91" spans="1:26" s="12" customFormat="1" x14ac:dyDescent="0.25">
      <c r="A91" s="201" t="s">
        <v>995</v>
      </c>
      <c r="B91" s="215" t="s">
        <v>31</v>
      </c>
      <c r="C91" s="215" t="s">
        <v>31</v>
      </c>
      <c r="D91" s="215" t="s">
        <v>31</v>
      </c>
      <c r="E91" s="215" t="s">
        <v>31</v>
      </c>
      <c r="F91" s="215" t="s">
        <v>31</v>
      </c>
      <c r="G91" s="215" t="s">
        <v>31</v>
      </c>
      <c r="H91" s="215" t="s">
        <v>31</v>
      </c>
      <c r="I91" s="215" t="s">
        <v>31</v>
      </c>
      <c r="J91" s="215" t="s">
        <v>31</v>
      </c>
      <c r="K91" s="215" t="s">
        <v>31</v>
      </c>
      <c r="L91" s="215" t="s">
        <v>31</v>
      </c>
      <c r="M91" s="215" t="s">
        <v>31</v>
      </c>
      <c r="N91" s="215" t="s">
        <v>31</v>
      </c>
      <c r="O91" s="215" t="s">
        <v>31</v>
      </c>
      <c r="P91" s="215" t="s">
        <v>31</v>
      </c>
      <c r="Q91" s="215" t="s">
        <v>31</v>
      </c>
      <c r="R91" s="198"/>
      <c r="S91" s="198"/>
      <c r="T91" s="198"/>
      <c r="U91" s="198"/>
    </row>
    <row r="92" spans="1:26" s="12" customFormat="1" x14ac:dyDescent="0.25">
      <c r="A92" s="201" t="s">
        <v>996</v>
      </c>
      <c r="B92" s="215" t="s">
        <v>31</v>
      </c>
      <c r="C92" s="215" t="s">
        <v>31</v>
      </c>
      <c r="D92" s="215" t="s">
        <v>31</v>
      </c>
      <c r="E92" s="215" t="s">
        <v>31</v>
      </c>
      <c r="F92" s="215" t="s">
        <v>31</v>
      </c>
      <c r="G92" s="215" t="s">
        <v>31</v>
      </c>
      <c r="H92" s="215" t="s">
        <v>31</v>
      </c>
      <c r="I92" s="215" t="s">
        <v>31</v>
      </c>
      <c r="J92" s="215" t="s">
        <v>31</v>
      </c>
      <c r="K92" s="215" t="s">
        <v>31</v>
      </c>
      <c r="L92" s="215" t="s">
        <v>31</v>
      </c>
      <c r="M92" s="215" t="s">
        <v>31</v>
      </c>
      <c r="N92" s="215" t="s">
        <v>31</v>
      </c>
      <c r="O92" s="215" t="s">
        <v>31</v>
      </c>
      <c r="P92" s="215" t="s">
        <v>31</v>
      </c>
      <c r="Q92" s="215" t="s">
        <v>31</v>
      </c>
      <c r="R92" s="198"/>
      <c r="S92" s="198"/>
      <c r="T92" s="198"/>
      <c r="U92" s="198"/>
    </row>
    <row r="93" spans="1:26" s="12" customFormat="1" x14ac:dyDescent="0.25">
      <c r="A93" s="201" t="s">
        <v>997</v>
      </c>
      <c r="B93" s="215" t="s">
        <v>31</v>
      </c>
      <c r="C93" s="215" t="s">
        <v>31</v>
      </c>
      <c r="D93" s="215" t="s">
        <v>31</v>
      </c>
      <c r="E93" s="215" t="s">
        <v>31</v>
      </c>
      <c r="F93" s="215" t="s">
        <v>31</v>
      </c>
      <c r="G93" s="215" t="s">
        <v>31</v>
      </c>
      <c r="H93" s="215" t="s">
        <v>31</v>
      </c>
      <c r="I93" s="215" t="s">
        <v>31</v>
      </c>
      <c r="J93" s="215" t="s">
        <v>31</v>
      </c>
      <c r="K93" s="215" t="s">
        <v>31</v>
      </c>
      <c r="L93" s="215" t="s">
        <v>31</v>
      </c>
      <c r="M93" s="215" t="s">
        <v>31</v>
      </c>
      <c r="N93" s="215" t="s">
        <v>31</v>
      </c>
      <c r="O93" s="215" t="s">
        <v>31</v>
      </c>
      <c r="P93" s="215" t="s">
        <v>31</v>
      </c>
      <c r="Q93" s="215" t="s">
        <v>31</v>
      </c>
      <c r="R93" s="198"/>
      <c r="S93" s="198"/>
      <c r="T93" s="198"/>
      <c r="U93" s="198"/>
    </row>
    <row r="94" spans="1:26" s="12" customFormat="1" x14ac:dyDescent="0.25">
      <c r="A94" s="201" t="s">
        <v>998</v>
      </c>
      <c r="B94" s="215" t="s">
        <v>31</v>
      </c>
      <c r="C94" s="215" t="s">
        <v>31</v>
      </c>
      <c r="D94" s="215" t="s">
        <v>31</v>
      </c>
      <c r="E94" s="215" t="s">
        <v>31</v>
      </c>
      <c r="F94" s="215" t="s">
        <v>31</v>
      </c>
      <c r="G94" s="215" t="s">
        <v>31</v>
      </c>
      <c r="H94" s="215" t="s">
        <v>31</v>
      </c>
      <c r="I94" s="215" t="s">
        <v>31</v>
      </c>
      <c r="J94" s="215" t="s">
        <v>31</v>
      </c>
      <c r="K94" s="215" t="s">
        <v>31</v>
      </c>
      <c r="L94" s="215" t="s">
        <v>31</v>
      </c>
      <c r="M94" s="215" t="s">
        <v>31</v>
      </c>
      <c r="N94" s="215" t="s">
        <v>31</v>
      </c>
      <c r="O94" s="215" t="s">
        <v>31</v>
      </c>
      <c r="P94" s="215" t="s">
        <v>31</v>
      </c>
      <c r="Q94" s="215" t="s">
        <v>31</v>
      </c>
      <c r="R94" s="198"/>
      <c r="S94" s="198"/>
      <c r="T94" s="198"/>
      <c r="U94" s="198"/>
    </row>
    <row r="95" spans="1:26" s="12" customFormat="1" x14ac:dyDescent="0.25">
      <c r="A95" s="201" t="s">
        <v>999</v>
      </c>
      <c r="B95" s="215" t="s">
        <v>31</v>
      </c>
      <c r="C95" s="215" t="s">
        <v>31</v>
      </c>
      <c r="D95" s="215" t="s">
        <v>31</v>
      </c>
      <c r="E95" s="215" t="s">
        <v>31</v>
      </c>
      <c r="F95" s="215" t="s">
        <v>31</v>
      </c>
      <c r="G95" s="215" t="s">
        <v>31</v>
      </c>
      <c r="H95" s="215" t="s">
        <v>31</v>
      </c>
      <c r="I95" s="215" t="s">
        <v>31</v>
      </c>
      <c r="J95" s="215" t="s">
        <v>31</v>
      </c>
      <c r="K95" s="215" t="s">
        <v>31</v>
      </c>
      <c r="L95" s="215" t="s">
        <v>31</v>
      </c>
      <c r="M95" s="215" t="s">
        <v>31</v>
      </c>
      <c r="N95" s="215" t="s">
        <v>31</v>
      </c>
      <c r="O95" s="215" t="s">
        <v>31</v>
      </c>
      <c r="P95" s="215" t="s">
        <v>31</v>
      </c>
      <c r="Q95" s="215" t="s">
        <v>31</v>
      </c>
      <c r="R95" s="198"/>
      <c r="S95" s="198"/>
      <c r="T95" s="198"/>
      <c r="U95" s="198"/>
    </row>
    <row r="96" spans="1:26" s="12" customFormat="1" x14ac:dyDescent="0.25">
      <c r="A96" s="201" t="s">
        <v>1000</v>
      </c>
      <c r="B96" s="215" t="s">
        <v>31</v>
      </c>
      <c r="C96" s="215" t="s">
        <v>31</v>
      </c>
      <c r="D96" s="215" t="s">
        <v>31</v>
      </c>
      <c r="E96" s="215" t="s">
        <v>31</v>
      </c>
      <c r="F96" s="215" t="s">
        <v>31</v>
      </c>
      <c r="G96" s="215" t="s">
        <v>31</v>
      </c>
      <c r="H96" s="215" t="s">
        <v>31</v>
      </c>
      <c r="I96" s="215" t="s">
        <v>31</v>
      </c>
      <c r="J96" s="215" t="s">
        <v>31</v>
      </c>
      <c r="K96" s="215" t="s">
        <v>31</v>
      </c>
      <c r="L96" s="215" t="s">
        <v>31</v>
      </c>
      <c r="M96" s="215" t="s">
        <v>31</v>
      </c>
      <c r="N96" s="215" t="s">
        <v>31</v>
      </c>
      <c r="O96" s="215" t="s">
        <v>31</v>
      </c>
      <c r="P96" s="215" t="s">
        <v>31</v>
      </c>
      <c r="Q96" s="215" t="s">
        <v>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1001</v>
      </c>
      <c r="B97" s="215" t="s">
        <v>31</v>
      </c>
      <c r="C97" s="215" t="s">
        <v>31</v>
      </c>
      <c r="D97" s="215" t="s">
        <v>31</v>
      </c>
      <c r="E97" s="215" t="s">
        <v>31</v>
      </c>
      <c r="F97" s="215" t="s">
        <v>31</v>
      </c>
      <c r="G97" s="215" t="s">
        <v>31</v>
      </c>
      <c r="H97" s="215" t="s">
        <v>31</v>
      </c>
      <c r="I97" s="215" t="s">
        <v>31</v>
      </c>
      <c r="J97" s="215" t="s">
        <v>31</v>
      </c>
      <c r="K97" s="215" t="s">
        <v>31</v>
      </c>
      <c r="L97" s="215" t="s">
        <v>31</v>
      </c>
      <c r="M97" s="215" t="s">
        <v>31</v>
      </c>
      <c r="N97" s="215" t="s">
        <v>31</v>
      </c>
      <c r="O97" s="215" t="s">
        <v>31</v>
      </c>
      <c r="P97" s="215" t="s">
        <v>31</v>
      </c>
      <c r="Q97" s="215" t="s">
        <v>31</v>
      </c>
      <c r="R97" s="198"/>
      <c r="S97" s="198"/>
      <c r="T97" s="198"/>
      <c r="U97" s="198"/>
    </row>
    <row r="98" spans="1:33" s="12" customFormat="1" x14ac:dyDescent="0.25">
      <c r="A98" s="201" t="s">
        <v>1002</v>
      </c>
      <c r="B98" s="215" t="s">
        <v>31</v>
      </c>
      <c r="C98" s="215" t="s">
        <v>31</v>
      </c>
      <c r="D98" s="215" t="s">
        <v>31</v>
      </c>
      <c r="E98" s="215" t="s">
        <v>31</v>
      </c>
      <c r="F98" s="215" t="s">
        <v>31</v>
      </c>
      <c r="G98" s="215" t="s">
        <v>31</v>
      </c>
      <c r="H98" s="215" t="s">
        <v>31</v>
      </c>
      <c r="I98" s="215" t="s">
        <v>31</v>
      </c>
      <c r="J98" s="215" t="s">
        <v>31</v>
      </c>
      <c r="K98" s="215" t="s">
        <v>31</v>
      </c>
      <c r="L98" s="215" t="s">
        <v>31</v>
      </c>
      <c r="M98" s="215" t="s">
        <v>31</v>
      </c>
      <c r="N98" s="215" t="s">
        <v>31</v>
      </c>
      <c r="O98" s="215" t="s">
        <v>31</v>
      </c>
      <c r="P98" s="215" t="s">
        <v>31</v>
      </c>
      <c r="Q98" s="215" t="s">
        <v>31</v>
      </c>
      <c r="R98" s="198"/>
      <c r="S98" s="198"/>
      <c r="T98" s="198"/>
      <c r="U98" s="198"/>
    </row>
    <row r="99" spans="1:33" s="12" customFormat="1" x14ac:dyDescent="0.25">
      <c r="A99" s="201" t="s">
        <v>1003</v>
      </c>
      <c r="B99" s="215" t="s">
        <v>31</v>
      </c>
      <c r="C99" s="215" t="s">
        <v>31</v>
      </c>
      <c r="D99" s="215" t="s">
        <v>31</v>
      </c>
      <c r="E99" s="215" t="s">
        <v>31</v>
      </c>
      <c r="F99" s="215" t="s">
        <v>31</v>
      </c>
      <c r="G99" s="215" t="s">
        <v>31</v>
      </c>
      <c r="H99" s="215" t="s">
        <v>31</v>
      </c>
      <c r="I99" s="215" t="s">
        <v>31</v>
      </c>
      <c r="J99" s="215" t="s">
        <v>31</v>
      </c>
      <c r="K99" s="215" t="s">
        <v>31</v>
      </c>
      <c r="L99" s="215" t="s">
        <v>31</v>
      </c>
      <c r="M99" s="215" t="s">
        <v>31</v>
      </c>
      <c r="N99" s="215" t="s">
        <v>31</v>
      </c>
      <c r="O99" s="215" t="s">
        <v>31</v>
      </c>
      <c r="P99" s="215" t="s">
        <v>31</v>
      </c>
      <c r="Q99" s="215" t="s">
        <v>31</v>
      </c>
      <c r="R99" s="198"/>
      <c r="S99" s="198"/>
      <c r="T99" s="198"/>
      <c r="U99" s="198"/>
    </row>
    <row r="100" spans="1:33" s="12" customFormat="1" x14ac:dyDescent="0.25">
      <c r="A100" s="201" t="s">
        <v>1004</v>
      </c>
      <c r="B100" s="215" t="s">
        <v>31</v>
      </c>
      <c r="C100" s="215" t="s">
        <v>31</v>
      </c>
      <c r="D100" s="215" t="s">
        <v>31</v>
      </c>
      <c r="E100" s="215" t="s">
        <v>31</v>
      </c>
      <c r="F100" s="215" t="s">
        <v>31</v>
      </c>
      <c r="G100" s="215" t="s">
        <v>31</v>
      </c>
      <c r="H100" s="215" t="s">
        <v>31</v>
      </c>
      <c r="I100" s="215" t="s">
        <v>31</v>
      </c>
      <c r="J100" s="215" t="s">
        <v>31</v>
      </c>
      <c r="K100" s="215" t="s">
        <v>31</v>
      </c>
      <c r="L100" s="215" t="s">
        <v>31</v>
      </c>
      <c r="M100" s="215" t="s">
        <v>31</v>
      </c>
      <c r="N100" s="215" t="s">
        <v>31</v>
      </c>
      <c r="O100" s="215" t="s">
        <v>31</v>
      </c>
      <c r="P100" s="215" t="s">
        <v>31</v>
      </c>
      <c r="Q100" s="215" t="s">
        <v>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1005</v>
      </c>
      <c r="B101" s="215" t="s">
        <v>31</v>
      </c>
      <c r="C101" s="215" t="s">
        <v>31</v>
      </c>
      <c r="D101" s="215" t="s">
        <v>31</v>
      </c>
      <c r="E101" s="215" t="s">
        <v>31</v>
      </c>
      <c r="F101" s="215" t="s">
        <v>31</v>
      </c>
      <c r="G101" s="215" t="s">
        <v>31</v>
      </c>
      <c r="H101" s="215" t="s">
        <v>31</v>
      </c>
      <c r="I101" s="215" t="s">
        <v>31</v>
      </c>
      <c r="J101" s="215" t="s">
        <v>31</v>
      </c>
      <c r="K101" s="215" t="s">
        <v>31</v>
      </c>
      <c r="L101" s="215" t="s">
        <v>31</v>
      </c>
      <c r="M101" s="215" t="s">
        <v>31</v>
      </c>
      <c r="N101" s="215" t="s">
        <v>31</v>
      </c>
      <c r="O101" s="215" t="s">
        <v>31</v>
      </c>
      <c r="P101" s="215" t="s">
        <v>31</v>
      </c>
      <c r="Q101" s="215" t="s">
        <v>31</v>
      </c>
      <c r="R101" s="198"/>
      <c r="S101" s="198"/>
      <c r="T101" s="198"/>
      <c r="U101" s="198"/>
    </row>
    <row r="102" spans="1:33" s="12" customFormat="1" x14ac:dyDescent="0.25">
      <c r="A102" s="201" t="s">
        <v>1006</v>
      </c>
      <c r="B102" s="215" t="s">
        <v>31</v>
      </c>
      <c r="C102" s="215" t="s">
        <v>31</v>
      </c>
      <c r="D102" s="215" t="s">
        <v>31</v>
      </c>
      <c r="E102" s="215" t="s">
        <v>31</v>
      </c>
      <c r="F102" s="215" t="s">
        <v>31</v>
      </c>
      <c r="G102" s="215" t="s">
        <v>31</v>
      </c>
      <c r="H102" s="215" t="s">
        <v>31</v>
      </c>
      <c r="I102" s="215" t="s">
        <v>31</v>
      </c>
      <c r="J102" s="215" t="s">
        <v>31</v>
      </c>
      <c r="K102" s="215" t="s">
        <v>31</v>
      </c>
      <c r="L102" s="215" t="s">
        <v>31</v>
      </c>
      <c r="M102" s="215" t="s">
        <v>31</v>
      </c>
      <c r="N102" s="215" t="s">
        <v>31</v>
      </c>
      <c r="O102" s="215" t="s">
        <v>31</v>
      </c>
      <c r="P102" s="215" t="s">
        <v>31</v>
      </c>
      <c r="Q102" s="215" t="s">
        <v>31</v>
      </c>
      <c r="R102" s="198"/>
      <c r="S102" s="198"/>
      <c r="T102" s="198"/>
      <c r="U102" s="198"/>
    </row>
    <row r="103" spans="1:33" s="12" customFormat="1" x14ac:dyDescent="0.25">
      <c r="A103" s="201" t="s">
        <v>1007</v>
      </c>
      <c r="B103" s="215" t="s">
        <v>31</v>
      </c>
      <c r="C103" s="215" t="s">
        <v>31</v>
      </c>
      <c r="D103" s="215" t="s">
        <v>31</v>
      </c>
      <c r="E103" s="215" t="s">
        <v>31</v>
      </c>
      <c r="F103" s="215" t="s">
        <v>31</v>
      </c>
      <c r="G103" s="215" t="s">
        <v>31</v>
      </c>
      <c r="H103" s="215" t="s">
        <v>31</v>
      </c>
      <c r="I103" s="215" t="s">
        <v>31</v>
      </c>
      <c r="J103" s="215" t="s">
        <v>31</v>
      </c>
      <c r="K103" s="215" t="s">
        <v>31</v>
      </c>
      <c r="L103" s="215" t="s">
        <v>31</v>
      </c>
      <c r="M103" s="215" t="s">
        <v>31</v>
      </c>
      <c r="N103" s="215" t="s">
        <v>31</v>
      </c>
      <c r="O103" s="215" t="s">
        <v>31</v>
      </c>
      <c r="P103" s="215" t="s">
        <v>31</v>
      </c>
      <c r="Q103" s="215" t="s">
        <v>31</v>
      </c>
      <c r="R103" s="198"/>
      <c r="S103" s="198"/>
      <c r="T103" s="198"/>
      <c r="U103" s="198"/>
    </row>
    <row r="104" spans="1:33" s="12" customFormat="1" x14ac:dyDescent="0.25">
      <c r="A104" s="201" t="s">
        <v>1008</v>
      </c>
      <c r="B104" s="215" t="s">
        <v>31</v>
      </c>
      <c r="C104" s="215" t="s">
        <v>31</v>
      </c>
      <c r="D104" s="215" t="s">
        <v>31</v>
      </c>
      <c r="E104" s="215" t="s">
        <v>31</v>
      </c>
      <c r="F104" s="215" t="s">
        <v>31</v>
      </c>
      <c r="G104" s="215" t="s">
        <v>31</v>
      </c>
      <c r="H104" s="215" t="s">
        <v>31</v>
      </c>
      <c r="I104" s="215" t="s">
        <v>31</v>
      </c>
      <c r="J104" s="215" t="s">
        <v>31</v>
      </c>
      <c r="K104" s="215" t="s">
        <v>31</v>
      </c>
      <c r="L104" s="215" t="s">
        <v>31</v>
      </c>
      <c r="M104" s="215" t="s">
        <v>31</v>
      </c>
      <c r="N104" s="215" t="s">
        <v>31</v>
      </c>
      <c r="O104" s="215" t="s">
        <v>31</v>
      </c>
      <c r="P104" s="215" t="s">
        <v>31</v>
      </c>
      <c r="Q104" s="215" t="s">
        <v>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60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76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COUNT(B9:B104)+96</f>
        <v>96</v>
      </c>
      <c r="C110" s="66">
        <f t="shared" ref="C110:Q110" si="4">COUNT(C9:C104)+96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1009</v>
      </c>
      <c r="B9" s="215" t="s">
        <v>31</v>
      </c>
      <c r="C9" s="215" t="s">
        <v>31</v>
      </c>
      <c r="D9" s="215" t="s">
        <v>31</v>
      </c>
      <c r="E9" s="215" t="s">
        <v>31</v>
      </c>
      <c r="F9" s="215" t="s">
        <v>31</v>
      </c>
      <c r="G9" s="215" t="s">
        <v>31</v>
      </c>
      <c r="H9" s="215" t="s">
        <v>31</v>
      </c>
      <c r="I9" s="215" t="s">
        <v>31</v>
      </c>
      <c r="J9" s="215" t="s">
        <v>31</v>
      </c>
      <c r="K9" s="215" t="s">
        <v>31</v>
      </c>
      <c r="L9" s="215" t="s">
        <v>31</v>
      </c>
      <c r="M9" s="215" t="s">
        <v>31</v>
      </c>
      <c r="N9" s="215" t="s">
        <v>31</v>
      </c>
      <c r="O9" s="215" t="s">
        <v>31</v>
      </c>
      <c r="P9" s="215" t="s">
        <v>31</v>
      </c>
      <c r="Q9" s="215" t="s">
        <v>31</v>
      </c>
      <c r="R9" s="198"/>
      <c r="S9" s="198"/>
      <c r="T9" s="198"/>
      <c r="U9" s="198"/>
    </row>
    <row r="10" spans="1:21" s="12" customFormat="1" x14ac:dyDescent="0.25">
      <c r="A10" s="201" t="s">
        <v>1010</v>
      </c>
      <c r="B10" s="215" t="s">
        <v>31</v>
      </c>
      <c r="C10" s="215" t="s">
        <v>31</v>
      </c>
      <c r="D10" s="215" t="s">
        <v>31</v>
      </c>
      <c r="E10" s="215" t="s">
        <v>31</v>
      </c>
      <c r="F10" s="215" t="s">
        <v>31</v>
      </c>
      <c r="G10" s="215" t="s">
        <v>31</v>
      </c>
      <c r="H10" s="215" t="s">
        <v>31</v>
      </c>
      <c r="I10" s="215" t="s">
        <v>31</v>
      </c>
      <c r="J10" s="215" t="s">
        <v>31</v>
      </c>
      <c r="K10" s="215" t="s">
        <v>31</v>
      </c>
      <c r="L10" s="215" t="s">
        <v>31</v>
      </c>
      <c r="M10" s="215" t="s">
        <v>31</v>
      </c>
      <c r="N10" s="215" t="s">
        <v>31</v>
      </c>
      <c r="O10" s="215" t="s">
        <v>31</v>
      </c>
      <c r="P10" s="215" t="s">
        <v>31</v>
      </c>
      <c r="Q10" s="215" t="s">
        <v>31</v>
      </c>
      <c r="R10" s="198"/>
      <c r="S10" s="198"/>
      <c r="T10" s="198"/>
      <c r="U10" s="198"/>
    </row>
    <row r="11" spans="1:21" s="12" customFormat="1" x14ac:dyDescent="0.25">
      <c r="A11" s="201" t="s">
        <v>1011</v>
      </c>
      <c r="B11" s="215" t="s">
        <v>31</v>
      </c>
      <c r="C11" s="215" t="s">
        <v>31</v>
      </c>
      <c r="D11" s="215" t="s">
        <v>31</v>
      </c>
      <c r="E11" s="215" t="s">
        <v>31</v>
      </c>
      <c r="F11" s="215" t="s">
        <v>31</v>
      </c>
      <c r="G11" s="215" t="s">
        <v>31</v>
      </c>
      <c r="H11" s="215" t="s">
        <v>31</v>
      </c>
      <c r="I11" s="215" t="s">
        <v>31</v>
      </c>
      <c r="J11" s="215" t="s">
        <v>31</v>
      </c>
      <c r="K11" s="215" t="s">
        <v>31</v>
      </c>
      <c r="L11" s="215" t="s">
        <v>31</v>
      </c>
      <c r="M11" s="215" t="s">
        <v>31</v>
      </c>
      <c r="N11" s="215" t="s">
        <v>31</v>
      </c>
      <c r="O11" s="215" t="s">
        <v>31</v>
      </c>
      <c r="P11" s="215" t="s">
        <v>31</v>
      </c>
      <c r="Q11" s="215" t="s">
        <v>31</v>
      </c>
      <c r="R11" s="198"/>
      <c r="S11" s="198"/>
      <c r="T11" s="198"/>
      <c r="U11" s="198"/>
    </row>
    <row r="12" spans="1:21" s="12" customFormat="1" x14ac:dyDescent="0.25">
      <c r="A12" s="201" t="s">
        <v>1012</v>
      </c>
      <c r="B12" s="215" t="s">
        <v>31</v>
      </c>
      <c r="C12" s="215" t="s">
        <v>31</v>
      </c>
      <c r="D12" s="215" t="s">
        <v>31</v>
      </c>
      <c r="E12" s="215" t="s">
        <v>31</v>
      </c>
      <c r="F12" s="215" t="s">
        <v>31</v>
      </c>
      <c r="G12" s="215" t="s">
        <v>31</v>
      </c>
      <c r="H12" s="215" t="s">
        <v>31</v>
      </c>
      <c r="I12" s="215" t="s">
        <v>31</v>
      </c>
      <c r="J12" s="215" t="s">
        <v>31</v>
      </c>
      <c r="K12" s="215" t="s">
        <v>31</v>
      </c>
      <c r="L12" s="215" t="s">
        <v>31</v>
      </c>
      <c r="M12" s="215" t="s">
        <v>31</v>
      </c>
      <c r="N12" s="215" t="s">
        <v>31</v>
      </c>
      <c r="O12" s="215" t="s">
        <v>31</v>
      </c>
      <c r="P12" s="215" t="s">
        <v>31</v>
      </c>
      <c r="Q12" s="215" t="s">
        <v>31</v>
      </c>
      <c r="R12" s="198"/>
      <c r="S12" s="198"/>
      <c r="T12" s="198"/>
      <c r="U12" s="198"/>
    </row>
    <row r="13" spans="1:21" s="12" customFormat="1" x14ac:dyDescent="0.25">
      <c r="A13" s="201" t="s">
        <v>1013</v>
      </c>
      <c r="B13" s="215" t="s">
        <v>31</v>
      </c>
      <c r="C13" s="215" t="s">
        <v>31</v>
      </c>
      <c r="D13" s="215" t="s">
        <v>31</v>
      </c>
      <c r="E13" s="215" t="s">
        <v>31</v>
      </c>
      <c r="F13" s="215" t="s">
        <v>31</v>
      </c>
      <c r="G13" s="215" t="s">
        <v>31</v>
      </c>
      <c r="H13" s="215" t="s">
        <v>31</v>
      </c>
      <c r="I13" s="215" t="s">
        <v>31</v>
      </c>
      <c r="J13" s="215" t="s">
        <v>31</v>
      </c>
      <c r="K13" s="215" t="s">
        <v>31</v>
      </c>
      <c r="L13" s="215" t="s">
        <v>31</v>
      </c>
      <c r="M13" s="215" t="s">
        <v>31</v>
      </c>
      <c r="N13" s="215" t="s">
        <v>31</v>
      </c>
      <c r="O13" s="215" t="s">
        <v>31</v>
      </c>
      <c r="P13" s="215" t="s">
        <v>31</v>
      </c>
      <c r="Q13" s="215" t="s">
        <v>31</v>
      </c>
      <c r="R13" s="198"/>
      <c r="S13" s="198"/>
      <c r="T13" s="198"/>
      <c r="U13" s="198"/>
    </row>
    <row r="14" spans="1:21" s="12" customFormat="1" x14ac:dyDescent="0.25">
      <c r="A14" s="201" t="s">
        <v>1014</v>
      </c>
      <c r="B14" s="215" t="s">
        <v>31</v>
      </c>
      <c r="C14" s="215" t="s">
        <v>31</v>
      </c>
      <c r="D14" s="215" t="s">
        <v>31</v>
      </c>
      <c r="E14" s="215" t="s">
        <v>31</v>
      </c>
      <c r="F14" s="215" t="s">
        <v>31</v>
      </c>
      <c r="G14" s="215" t="s">
        <v>31</v>
      </c>
      <c r="H14" s="215" t="s">
        <v>31</v>
      </c>
      <c r="I14" s="215" t="s">
        <v>31</v>
      </c>
      <c r="J14" s="215" t="s">
        <v>31</v>
      </c>
      <c r="K14" s="215" t="s">
        <v>31</v>
      </c>
      <c r="L14" s="215" t="s">
        <v>31</v>
      </c>
      <c r="M14" s="215" t="s">
        <v>31</v>
      </c>
      <c r="N14" s="215" t="s">
        <v>31</v>
      </c>
      <c r="O14" s="215" t="s">
        <v>31</v>
      </c>
      <c r="P14" s="215" t="s">
        <v>31</v>
      </c>
      <c r="Q14" s="215" t="s">
        <v>31</v>
      </c>
      <c r="R14" s="198"/>
      <c r="S14" s="198"/>
      <c r="T14" s="198"/>
      <c r="U14" s="198"/>
    </row>
    <row r="15" spans="1:21" s="12" customFormat="1" x14ac:dyDescent="0.25">
      <c r="A15" s="201" t="s">
        <v>1015</v>
      </c>
      <c r="B15" s="215" t="s">
        <v>31</v>
      </c>
      <c r="C15" s="215" t="s">
        <v>31</v>
      </c>
      <c r="D15" s="215" t="s">
        <v>31</v>
      </c>
      <c r="E15" s="215" t="s">
        <v>31</v>
      </c>
      <c r="F15" s="215" t="s">
        <v>31</v>
      </c>
      <c r="G15" s="215" t="s">
        <v>31</v>
      </c>
      <c r="H15" s="215" t="s">
        <v>31</v>
      </c>
      <c r="I15" s="215" t="s">
        <v>31</v>
      </c>
      <c r="J15" s="215" t="s">
        <v>31</v>
      </c>
      <c r="K15" s="215" t="s">
        <v>31</v>
      </c>
      <c r="L15" s="215" t="s">
        <v>31</v>
      </c>
      <c r="M15" s="215" t="s">
        <v>31</v>
      </c>
      <c r="N15" s="215" t="s">
        <v>31</v>
      </c>
      <c r="O15" s="215" t="s">
        <v>31</v>
      </c>
      <c r="P15" s="215" t="s">
        <v>31</v>
      </c>
      <c r="Q15" s="215" t="s">
        <v>31</v>
      </c>
      <c r="R15" s="198"/>
      <c r="S15" s="198"/>
      <c r="T15" s="198"/>
      <c r="U15" s="198"/>
    </row>
    <row r="16" spans="1:21" s="12" customFormat="1" x14ac:dyDescent="0.25">
      <c r="A16" s="201" t="s">
        <v>1016</v>
      </c>
      <c r="B16" s="215" t="s">
        <v>31</v>
      </c>
      <c r="C16" s="215" t="s">
        <v>31</v>
      </c>
      <c r="D16" s="215" t="s">
        <v>31</v>
      </c>
      <c r="E16" s="215" t="s">
        <v>31</v>
      </c>
      <c r="F16" s="215" t="s">
        <v>31</v>
      </c>
      <c r="G16" s="215" t="s">
        <v>31</v>
      </c>
      <c r="H16" s="215" t="s">
        <v>31</v>
      </c>
      <c r="I16" s="215" t="s">
        <v>31</v>
      </c>
      <c r="J16" s="215" t="s">
        <v>31</v>
      </c>
      <c r="K16" s="215" t="s">
        <v>31</v>
      </c>
      <c r="L16" s="215" t="s">
        <v>31</v>
      </c>
      <c r="M16" s="215" t="s">
        <v>31</v>
      </c>
      <c r="N16" s="215" t="s">
        <v>31</v>
      </c>
      <c r="O16" s="215" t="s">
        <v>31</v>
      </c>
      <c r="P16" s="215" t="s">
        <v>31</v>
      </c>
      <c r="Q16" s="215" t="s">
        <v>31</v>
      </c>
      <c r="R16" s="198"/>
      <c r="S16" s="198"/>
      <c r="T16" s="198"/>
      <c r="U16" s="198"/>
    </row>
    <row r="17" spans="1:21" s="12" customFormat="1" x14ac:dyDescent="0.25">
      <c r="A17" s="201" t="s">
        <v>1017</v>
      </c>
      <c r="B17" s="215" t="s">
        <v>31</v>
      </c>
      <c r="C17" s="215" t="s">
        <v>31</v>
      </c>
      <c r="D17" s="215" t="s">
        <v>31</v>
      </c>
      <c r="E17" s="215" t="s">
        <v>31</v>
      </c>
      <c r="F17" s="215" t="s">
        <v>31</v>
      </c>
      <c r="G17" s="215" t="s">
        <v>31</v>
      </c>
      <c r="H17" s="215" t="s">
        <v>31</v>
      </c>
      <c r="I17" s="215" t="s">
        <v>31</v>
      </c>
      <c r="J17" s="215" t="s">
        <v>31</v>
      </c>
      <c r="K17" s="215" t="s">
        <v>31</v>
      </c>
      <c r="L17" s="215" t="s">
        <v>31</v>
      </c>
      <c r="M17" s="215" t="s">
        <v>31</v>
      </c>
      <c r="N17" s="215" t="s">
        <v>31</v>
      </c>
      <c r="O17" s="215" t="s">
        <v>31</v>
      </c>
      <c r="P17" s="215" t="s">
        <v>31</v>
      </c>
      <c r="Q17" s="215" t="s">
        <v>31</v>
      </c>
      <c r="R17" s="198"/>
      <c r="S17" s="198"/>
      <c r="T17" s="198"/>
      <c r="U17" s="198"/>
    </row>
    <row r="18" spans="1:21" s="12" customFormat="1" x14ac:dyDescent="0.25">
      <c r="A18" s="201" t="s">
        <v>1018</v>
      </c>
      <c r="B18" s="215" t="s">
        <v>31</v>
      </c>
      <c r="C18" s="215" t="s">
        <v>31</v>
      </c>
      <c r="D18" s="215" t="s">
        <v>31</v>
      </c>
      <c r="E18" s="215" t="s">
        <v>31</v>
      </c>
      <c r="F18" s="215" t="s">
        <v>31</v>
      </c>
      <c r="G18" s="215" t="s">
        <v>31</v>
      </c>
      <c r="H18" s="215" t="s">
        <v>31</v>
      </c>
      <c r="I18" s="215" t="s">
        <v>31</v>
      </c>
      <c r="J18" s="215" t="s">
        <v>31</v>
      </c>
      <c r="K18" s="215" t="s">
        <v>31</v>
      </c>
      <c r="L18" s="215" t="s">
        <v>31</v>
      </c>
      <c r="M18" s="215" t="s">
        <v>31</v>
      </c>
      <c r="N18" s="215" t="s">
        <v>31</v>
      </c>
      <c r="O18" s="215" t="s">
        <v>31</v>
      </c>
      <c r="P18" s="215" t="s">
        <v>31</v>
      </c>
      <c r="Q18" s="215" t="s">
        <v>31</v>
      </c>
      <c r="R18" s="198"/>
      <c r="S18" s="198"/>
      <c r="T18" s="198"/>
      <c r="U18" s="198"/>
    </row>
    <row r="19" spans="1:21" s="12" customFormat="1" x14ac:dyDescent="0.25">
      <c r="A19" s="201" t="s">
        <v>1019</v>
      </c>
      <c r="B19" s="215" t="s">
        <v>31</v>
      </c>
      <c r="C19" s="215" t="s">
        <v>31</v>
      </c>
      <c r="D19" s="215" t="s">
        <v>31</v>
      </c>
      <c r="E19" s="215" t="s">
        <v>31</v>
      </c>
      <c r="F19" s="215" t="s">
        <v>31</v>
      </c>
      <c r="G19" s="215" t="s">
        <v>31</v>
      </c>
      <c r="H19" s="215" t="s">
        <v>31</v>
      </c>
      <c r="I19" s="215" t="s">
        <v>31</v>
      </c>
      <c r="J19" s="215" t="s">
        <v>31</v>
      </c>
      <c r="K19" s="215" t="s">
        <v>31</v>
      </c>
      <c r="L19" s="215" t="s">
        <v>31</v>
      </c>
      <c r="M19" s="215" t="s">
        <v>31</v>
      </c>
      <c r="N19" s="215" t="s">
        <v>31</v>
      </c>
      <c r="O19" s="215" t="s">
        <v>31</v>
      </c>
      <c r="P19" s="215" t="s">
        <v>31</v>
      </c>
      <c r="Q19" s="215" t="s">
        <v>31</v>
      </c>
      <c r="R19" s="198"/>
      <c r="S19" s="198"/>
      <c r="T19" s="198"/>
      <c r="U19" s="198"/>
    </row>
    <row r="20" spans="1:21" s="12" customFormat="1" x14ac:dyDescent="0.25">
      <c r="A20" s="201" t="s">
        <v>1020</v>
      </c>
      <c r="B20" s="215" t="s">
        <v>31</v>
      </c>
      <c r="C20" s="215" t="s">
        <v>31</v>
      </c>
      <c r="D20" s="215" t="s">
        <v>31</v>
      </c>
      <c r="E20" s="215" t="s">
        <v>31</v>
      </c>
      <c r="F20" s="215" t="s">
        <v>31</v>
      </c>
      <c r="G20" s="215" t="s">
        <v>31</v>
      </c>
      <c r="H20" s="215" t="s">
        <v>31</v>
      </c>
      <c r="I20" s="215" t="s">
        <v>31</v>
      </c>
      <c r="J20" s="215" t="s">
        <v>31</v>
      </c>
      <c r="K20" s="215" t="s">
        <v>31</v>
      </c>
      <c r="L20" s="215" t="s">
        <v>31</v>
      </c>
      <c r="M20" s="215" t="s">
        <v>31</v>
      </c>
      <c r="N20" s="215" t="s">
        <v>31</v>
      </c>
      <c r="O20" s="215" t="s">
        <v>31</v>
      </c>
      <c r="P20" s="215" t="s">
        <v>31</v>
      </c>
      <c r="Q20" s="215" t="s">
        <v>31</v>
      </c>
      <c r="R20" s="198"/>
      <c r="S20" s="198"/>
      <c r="T20" s="198"/>
      <c r="U20" s="198"/>
    </row>
    <row r="21" spans="1:21" s="12" customFormat="1" x14ac:dyDescent="0.25">
      <c r="A21" s="201" t="s">
        <v>1021</v>
      </c>
      <c r="B21" s="215" t="s">
        <v>31</v>
      </c>
      <c r="C21" s="215" t="s">
        <v>31</v>
      </c>
      <c r="D21" s="215" t="s">
        <v>31</v>
      </c>
      <c r="E21" s="215" t="s">
        <v>31</v>
      </c>
      <c r="F21" s="215" t="s">
        <v>31</v>
      </c>
      <c r="G21" s="215" t="s">
        <v>31</v>
      </c>
      <c r="H21" s="215" t="s">
        <v>31</v>
      </c>
      <c r="I21" s="215" t="s">
        <v>31</v>
      </c>
      <c r="J21" s="215" t="s">
        <v>31</v>
      </c>
      <c r="K21" s="215" t="s">
        <v>31</v>
      </c>
      <c r="L21" s="215" t="s">
        <v>31</v>
      </c>
      <c r="M21" s="215" t="s">
        <v>31</v>
      </c>
      <c r="N21" s="215" t="s">
        <v>31</v>
      </c>
      <c r="O21" s="215" t="s">
        <v>31</v>
      </c>
      <c r="P21" s="215" t="s">
        <v>31</v>
      </c>
      <c r="Q21" s="215" t="s">
        <v>31</v>
      </c>
      <c r="R21" s="198"/>
      <c r="S21" s="198"/>
      <c r="T21" s="198"/>
      <c r="U21" s="198"/>
    </row>
    <row r="22" spans="1:21" s="12" customFormat="1" x14ac:dyDescent="0.25">
      <c r="A22" s="201" t="s">
        <v>1022</v>
      </c>
      <c r="B22" s="215" t="s">
        <v>31</v>
      </c>
      <c r="C22" s="215" t="s">
        <v>31</v>
      </c>
      <c r="D22" s="215" t="s">
        <v>31</v>
      </c>
      <c r="E22" s="215" t="s">
        <v>31</v>
      </c>
      <c r="F22" s="215" t="s">
        <v>31</v>
      </c>
      <c r="G22" s="215" t="s">
        <v>31</v>
      </c>
      <c r="H22" s="215" t="s">
        <v>31</v>
      </c>
      <c r="I22" s="215" t="s">
        <v>31</v>
      </c>
      <c r="J22" s="215" t="s">
        <v>31</v>
      </c>
      <c r="K22" s="215" t="s">
        <v>31</v>
      </c>
      <c r="L22" s="215" t="s">
        <v>31</v>
      </c>
      <c r="M22" s="215" t="s">
        <v>31</v>
      </c>
      <c r="N22" s="215" t="s">
        <v>31</v>
      </c>
      <c r="O22" s="215" t="s">
        <v>31</v>
      </c>
      <c r="P22" s="215" t="s">
        <v>31</v>
      </c>
      <c r="Q22" s="215" t="s">
        <v>31</v>
      </c>
      <c r="R22" s="198"/>
      <c r="S22" s="198"/>
      <c r="T22" s="198"/>
      <c r="U22" s="198"/>
    </row>
    <row r="23" spans="1:21" s="12" customFormat="1" x14ac:dyDescent="0.25">
      <c r="A23" s="201" t="s">
        <v>1023</v>
      </c>
      <c r="B23" s="215" t="s">
        <v>31</v>
      </c>
      <c r="C23" s="215" t="s">
        <v>31</v>
      </c>
      <c r="D23" s="215" t="s">
        <v>31</v>
      </c>
      <c r="E23" s="215" t="s">
        <v>31</v>
      </c>
      <c r="F23" s="215" t="s">
        <v>31</v>
      </c>
      <c r="G23" s="215" t="s">
        <v>31</v>
      </c>
      <c r="H23" s="215" t="s">
        <v>31</v>
      </c>
      <c r="I23" s="215" t="s">
        <v>31</v>
      </c>
      <c r="J23" s="215" t="s">
        <v>31</v>
      </c>
      <c r="K23" s="215" t="s">
        <v>31</v>
      </c>
      <c r="L23" s="215" t="s">
        <v>31</v>
      </c>
      <c r="M23" s="215" t="s">
        <v>31</v>
      </c>
      <c r="N23" s="215" t="s">
        <v>31</v>
      </c>
      <c r="O23" s="215" t="s">
        <v>31</v>
      </c>
      <c r="P23" s="215" t="s">
        <v>31</v>
      </c>
      <c r="Q23" s="215" t="s">
        <v>31</v>
      </c>
      <c r="R23" s="198"/>
      <c r="S23" s="198"/>
      <c r="T23" s="198"/>
      <c r="U23" s="198"/>
    </row>
    <row r="24" spans="1:21" s="12" customFormat="1" x14ac:dyDescent="0.25">
      <c r="A24" s="201" t="s">
        <v>1024</v>
      </c>
      <c r="B24" s="215" t="s">
        <v>31</v>
      </c>
      <c r="C24" s="215" t="s">
        <v>31</v>
      </c>
      <c r="D24" s="215" t="s">
        <v>31</v>
      </c>
      <c r="E24" s="215" t="s">
        <v>31</v>
      </c>
      <c r="F24" s="215" t="s">
        <v>31</v>
      </c>
      <c r="G24" s="215" t="s">
        <v>31</v>
      </c>
      <c r="H24" s="215" t="s">
        <v>31</v>
      </c>
      <c r="I24" s="215" t="s">
        <v>31</v>
      </c>
      <c r="J24" s="215" t="s">
        <v>31</v>
      </c>
      <c r="K24" s="215" t="s">
        <v>31</v>
      </c>
      <c r="L24" s="215" t="s">
        <v>31</v>
      </c>
      <c r="M24" s="215" t="s">
        <v>31</v>
      </c>
      <c r="N24" s="215" t="s">
        <v>31</v>
      </c>
      <c r="O24" s="215" t="s">
        <v>31</v>
      </c>
      <c r="P24" s="215" t="s">
        <v>31</v>
      </c>
      <c r="Q24" s="215" t="s">
        <v>31</v>
      </c>
      <c r="R24" s="198"/>
      <c r="S24" s="198"/>
      <c r="T24" s="198"/>
      <c r="U24" s="198"/>
    </row>
    <row r="25" spans="1:21" s="12" customFormat="1" x14ac:dyDescent="0.25">
      <c r="A25" s="201" t="s">
        <v>1025</v>
      </c>
      <c r="B25" s="215" t="s">
        <v>31</v>
      </c>
      <c r="C25" s="215" t="s">
        <v>31</v>
      </c>
      <c r="D25" s="215" t="s">
        <v>31</v>
      </c>
      <c r="E25" s="215" t="s">
        <v>31</v>
      </c>
      <c r="F25" s="215" t="s">
        <v>31</v>
      </c>
      <c r="G25" s="215" t="s">
        <v>31</v>
      </c>
      <c r="H25" s="215" t="s">
        <v>31</v>
      </c>
      <c r="I25" s="215" t="s">
        <v>31</v>
      </c>
      <c r="J25" s="215" t="s">
        <v>31</v>
      </c>
      <c r="K25" s="215" t="s">
        <v>31</v>
      </c>
      <c r="L25" s="215" t="s">
        <v>31</v>
      </c>
      <c r="M25" s="215" t="s">
        <v>31</v>
      </c>
      <c r="N25" s="215" t="s">
        <v>31</v>
      </c>
      <c r="O25" s="215" t="s">
        <v>31</v>
      </c>
      <c r="P25" s="215" t="s">
        <v>31</v>
      </c>
      <c r="Q25" s="215" t="s">
        <v>31</v>
      </c>
      <c r="R25" s="198"/>
      <c r="S25" s="198"/>
      <c r="T25" s="198"/>
      <c r="U25" s="198"/>
    </row>
    <row r="26" spans="1:21" s="12" customFormat="1" x14ac:dyDescent="0.25">
      <c r="A26" s="201" t="s">
        <v>1026</v>
      </c>
      <c r="B26" s="215" t="s">
        <v>31</v>
      </c>
      <c r="C26" s="215" t="s">
        <v>31</v>
      </c>
      <c r="D26" s="215" t="s">
        <v>31</v>
      </c>
      <c r="E26" s="215" t="s">
        <v>31</v>
      </c>
      <c r="F26" s="215" t="s">
        <v>31</v>
      </c>
      <c r="G26" s="215" t="s">
        <v>31</v>
      </c>
      <c r="H26" s="215" t="s">
        <v>31</v>
      </c>
      <c r="I26" s="215" t="s">
        <v>31</v>
      </c>
      <c r="J26" s="215" t="s">
        <v>31</v>
      </c>
      <c r="K26" s="215" t="s">
        <v>31</v>
      </c>
      <c r="L26" s="215" t="s">
        <v>31</v>
      </c>
      <c r="M26" s="215" t="s">
        <v>31</v>
      </c>
      <c r="N26" s="215" t="s">
        <v>31</v>
      </c>
      <c r="O26" s="215" t="s">
        <v>31</v>
      </c>
      <c r="P26" s="215" t="s">
        <v>31</v>
      </c>
      <c r="Q26" s="215" t="s">
        <v>31</v>
      </c>
      <c r="R26" s="198"/>
      <c r="S26" s="198"/>
      <c r="T26" s="198"/>
      <c r="U26" s="198"/>
    </row>
    <row r="27" spans="1:21" s="12" customFormat="1" x14ac:dyDescent="0.25">
      <c r="A27" s="201" t="s">
        <v>1027</v>
      </c>
      <c r="B27" s="215" t="s">
        <v>31</v>
      </c>
      <c r="C27" s="215" t="s">
        <v>31</v>
      </c>
      <c r="D27" s="215" t="s">
        <v>31</v>
      </c>
      <c r="E27" s="215" t="s">
        <v>31</v>
      </c>
      <c r="F27" s="215" t="s">
        <v>31</v>
      </c>
      <c r="G27" s="215" t="s">
        <v>31</v>
      </c>
      <c r="H27" s="215" t="s">
        <v>31</v>
      </c>
      <c r="I27" s="215" t="s">
        <v>31</v>
      </c>
      <c r="J27" s="215" t="s">
        <v>31</v>
      </c>
      <c r="K27" s="215" t="s">
        <v>31</v>
      </c>
      <c r="L27" s="215" t="s">
        <v>31</v>
      </c>
      <c r="M27" s="215" t="s">
        <v>31</v>
      </c>
      <c r="N27" s="215" t="s">
        <v>31</v>
      </c>
      <c r="O27" s="215" t="s">
        <v>31</v>
      </c>
      <c r="P27" s="215" t="s">
        <v>31</v>
      </c>
      <c r="Q27" s="215" t="s">
        <v>31</v>
      </c>
      <c r="R27" s="198"/>
      <c r="S27" s="198"/>
      <c r="T27" s="198"/>
      <c r="U27" s="198"/>
    </row>
    <row r="28" spans="1:21" s="12" customFormat="1" x14ac:dyDescent="0.25">
      <c r="A28" s="201" t="s">
        <v>1028</v>
      </c>
      <c r="B28" s="215" t="s">
        <v>31</v>
      </c>
      <c r="C28" s="215" t="s">
        <v>31</v>
      </c>
      <c r="D28" s="215" t="s">
        <v>31</v>
      </c>
      <c r="E28" s="215" t="s">
        <v>31</v>
      </c>
      <c r="F28" s="215" t="s">
        <v>31</v>
      </c>
      <c r="G28" s="215" t="s">
        <v>31</v>
      </c>
      <c r="H28" s="215" t="s">
        <v>31</v>
      </c>
      <c r="I28" s="215" t="s">
        <v>31</v>
      </c>
      <c r="J28" s="215" t="s">
        <v>31</v>
      </c>
      <c r="K28" s="215" t="s">
        <v>31</v>
      </c>
      <c r="L28" s="215" t="s">
        <v>31</v>
      </c>
      <c r="M28" s="215" t="s">
        <v>31</v>
      </c>
      <c r="N28" s="215" t="s">
        <v>31</v>
      </c>
      <c r="O28" s="215" t="s">
        <v>31</v>
      </c>
      <c r="P28" s="215" t="s">
        <v>31</v>
      </c>
      <c r="Q28" s="215" t="s">
        <v>31</v>
      </c>
      <c r="R28" s="198"/>
      <c r="S28" s="198"/>
      <c r="T28" s="198"/>
      <c r="U28" s="198"/>
    </row>
    <row r="29" spans="1:21" s="12" customFormat="1" x14ac:dyDescent="0.25">
      <c r="A29" s="201" t="s">
        <v>1029</v>
      </c>
      <c r="B29" s="215" t="s">
        <v>31</v>
      </c>
      <c r="C29" s="215" t="s">
        <v>31</v>
      </c>
      <c r="D29" s="215" t="s">
        <v>31</v>
      </c>
      <c r="E29" s="215" t="s">
        <v>31</v>
      </c>
      <c r="F29" s="215" t="s">
        <v>31</v>
      </c>
      <c r="G29" s="215" t="s">
        <v>31</v>
      </c>
      <c r="H29" s="215" t="s">
        <v>31</v>
      </c>
      <c r="I29" s="215" t="s">
        <v>31</v>
      </c>
      <c r="J29" s="215" t="s">
        <v>31</v>
      </c>
      <c r="K29" s="215" t="s">
        <v>31</v>
      </c>
      <c r="L29" s="215" t="s">
        <v>31</v>
      </c>
      <c r="M29" s="215" t="s">
        <v>31</v>
      </c>
      <c r="N29" s="215" t="s">
        <v>31</v>
      </c>
      <c r="O29" s="215" t="s">
        <v>31</v>
      </c>
      <c r="P29" s="215" t="s">
        <v>31</v>
      </c>
      <c r="Q29" s="215" t="s">
        <v>31</v>
      </c>
      <c r="R29" s="198"/>
      <c r="S29" s="198"/>
      <c r="T29" s="198"/>
      <c r="U29" s="198"/>
    </row>
    <row r="30" spans="1:21" s="12" customFormat="1" x14ac:dyDescent="0.25">
      <c r="A30" s="201" t="s">
        <v>1030</v>
      </c>
      <c r="B30" s="215" t="s">
        <v>31</v>
      </c>
      <c r="C30" s="215" t="s">
        <v>31</v>
      </c>
      <c r="D30" s="215" t="s">
        <v>31</v>
      </c>
      <c r="E30" s="215" t="s">
        <v>31</v>
      </c>
      <c r="F30" s="215" t="s">
        <v>31</v>
      </c>
      <c r="G30" s="215" t="s">
        <v>31</v>
      </c>
      <c r="H30" s="215" t="s">
        <v>31</v>
      </c>
      <c r="I30" s="215" t="s">
        <v>31</v>
      </c>
      <c r="J30" s="215" t="s">
        <v>31</v>
      </c>
      <c r="K30" s="215" t="s">
        <v>31</v>
      </c>
      <c r="L30" s="215" t="s">
        <v>31</v>
      </c>
      <c r="M30" s="215" t="s">
        <v>31</v>
      </c>
      <c r="N30" s="215" t="s">
        <v>31</v>
      </c>
      <c r="O30" s="215" t="s">
        <v>31</v>
      </c>
      <c r="P30" s="215" t="s">
        <v>31</v>
      </c>
      <c r="Q30" s="215" t="s">
        <v>31</v>
      </c>
      <c r="R30" s="198"/>
      <c r="S30" s="198"/>
      <c r="T30" s="198"/>
      <c r="U30" s="198"/>
    </row>
    <row r="31" spans="1:21" s="12" customFormat="1" x14ac:dyDescent="0.25">
      <c r="A31" s="201" t="s">
        <v>1031</v>
      </c>
      <c r="B31" s="215" t="s">
        <v>31</v>
      </c>
      <c r="C31" s="215" t="s">
        <v>31</v>
      </c>
      <c r="D31" s="215" t="s">
        <v>31</v>
      </c>
      <c r="E31" s="215" t="s">
        <v>31</v>
      </c>
      <c r="F31" s="215" t="s">
        <v>31</v>
      </c>
      <c r="G31" s="215" t="s">
        <v>31</v>
      </c>
      <c r="H31" s="215" t="s">
        <v>31</v>
      </c>
      <c r="I31" s="215" t="s">
        <v>31</v>
      </c>
      <c r="J31" s="215" t="s">
        <v>31</v>
      </c>
      <c r="K31" s="215" t="s">
        <v>31</v>
      </c>
      <c r="L31" s="215" t="s">
        <v>31</v>
      </c>
      <c r="M31" s="215" t="s">
        <v>31</v>
      </c>
      <c r="N31" s="215" t="s">
        <v>31</v>
      </c>
      <c r="O31" s="215" t="s">
        <v>31</v>
      </c>
      <c r="P31" s="215" t="s">
        <v>31</v>
      </c>
      <c r="Q31" s="215" t="s">
        <v>31</v>
      </c>
      <c r="R31" s="198"/>
      <c r="S31" s="198"/>
      <c r="T31" s="198"/>
      <c r="U31" s="198"/>
    </row>
    <row r="32" spans="1:21" s="12" customFormat="1" x14ac:dyDescent="0.25">
      <c r="A32" s="201" t="s">
        <v>1032</v>
      </c>
      <c r="B32" s="215" t="s">
        <v>31</v>
      </c>
      <c r="C32" s="215" t="s">
        <v>31</v>
      </c>
      <c r="D32" s="215" t="s">
        <v>31</v>
      </c>
      <c r="E32" s="215" t="s">
        <v>31</v>
      </c>
      <c r="F32" s="215" t="s">
        <v>31</v>
      </c>
      <c r="G32" s="215" t="s">
        <v>31</v>
      </c>
      <c r="H32" s="215" t="s">
        <v>31</v>
      </c>
      <c r="I32" s="215" t="s">
        <v>31</v>
      </c>
      <c r="J32" s="215" t="s">
        <v>31</v>
      </c>
      <c r="K32" s="215" t="s">
        <v>31</v>
      </c>
      <c r="L32" s="215" t="s">
        <v>31</v>
      </c>
      <c r="M32" s="215" t="s">
        <v>31</v>
      </c>
      <c r="N32" s="215" t="s">
        <v>31</v>
      </c>
      <c r="O32" s="215" t="s">
        <v>31</v>
      </c>
      <c r="P32" s="215" t="s">
        <v>31</v>
      </c>
      <c r="Q32" s="215" t="s">
        <v>31</v>
      </c>
      <c r="R32" s="198"/>
      <c r="S32" s="198"/>
      <c r="T32" s="198"/>
      <c r="U32" s="198"/>
    </row>
    <row r="33" spans="1:21" s="12" customFormat="1" x14ac:dyDescent="0.25">
      <c r="A33" s="201" t="s">
        <v>1033</v>
      </c>
      <c r="B33" s="215" t="s">
        <v>31</v>
      </c>
      <c r="C33" s="215" t="s">
        <v>31</v>
      </c>
      <c r="D33" s="215" t="s">
        <v>31</v>
      </c>
      <c r="E33" s="215" t="s">
        <v>31</v>
      </c>
      <c r="F33" s="215" t="s">
        <v>31</v>
      </c>
      <c r="G33" s="215" t="s">
        <v>31</v>
      </c>
      <c r="H33" s="215" t="s">
        <v>31</v>
      </c>
      <c r="I33" s="215" t="s">
        <v>31</v>
      </c>
      <c r="J33" s="215" t="s">
        <v>31</v>
      </c>
      <c r="K33" s="215" t="s">
        <v>31</v>
      </c>
      <c r="L33" s="215" t="s">
        <v>31</v>
      </c>
      <c r="M33" s="215" t="s">
        <v>31</v>
      </c>
      <c r="N33" s="215" t="s">
        <v>31</v>
      </c>
      <c r="O33" s="215" t="s">
        <v>31</v>
      </c>
      <c r="P33" s="215" t="s">
        <v>31</v>
      </c>
      <c r="Q33" s="215" t="s">
        <v>31</v>
      </c>
      <c r="R33" s="198"/>
      <c r="S33" s="198"/>
      <c r="T33" s="198"/>
      <c r="U33" s="198"/>
    </row>
    <row r="34" spans="1:21" s="12" customFormat="1" x14ac:dyDescent="0.25">
      <c r="A34" s="201" t="s">
        <v>1034</v>
      </c>
      <c r="B34" s="215" t="s">
        <v>31</v>
      </c>
      <c r="C34" s="215" t="s">
        <v>31</v>
      </c>
      <c r="D34" s="215" t="s">
        <v>31</v>
      </c>
      <c r="E34" s="215" t="s">
        <v>31</v>
      </c>
      <c r="F34" s="215" t="s">
        <v>31</v>
      </c>
      <c r="G34" s="215" t="s">
        <v>31</v>
      </c>
      <c r="H34" s="215" t="s">
        <v>31</v>
      </c>
      <c r="I34" s="215" t="s">
        <v>31</v>
      </c>
      <c r="J34" s="215" t="s">
        <v>31</v>
      </c>
      <c r="K34" s="215" t="s">
        <v>31</v>
      </c>
      <c r="L34" s="215" t="s">
        <v>31</v>
      </c>
      <c r="M34" s="215" t="s">
        <v>31</v>
      </c>
      <c r="N34" s="215" t="s">
        <v>31</v>
      </c>
      <c r="O34" s="215" t="s">
        <v>31</v>
      </c>
      <c r="P34" s="215" t="s">
        <v>31</v>
      </c>
      <c r="Q34" s="215" t="s">
        <v>31</v>
      </c>
      <c r="R34" s="198"/>
      <c r="S34" s="198"/>
      <c r="T34" s="198"/>
      <c r="U34" s="198"/>
    </row>
    <row r="35" spans="1:21" s="12" customFormat="1" x14ac:dyDescent="0.25">
      <c r="A35" s="201" t="s">
        <v>1035</v>
      </c>
      <c r="B35" s="215" t="s">
        <v>31</v>
      </c>
      <c r="C35" s="215" t="s">
        <v>31</v>
      </c>
      <c r="D35" s="215" t="s">
        <v>31</v>
      </c>
      <c r="E35" s="215" t="s">
        <v>31</v>
      </c>
      <c r="F35" s="215" t="s">
        <v>31</v>
      </c>
      <c r="G35" s="215" t="s">
        <v>31</v>
      </c>
      <c r="H35" s="215" t="s">
        <v>31</v>
      </c>
      <c r="I35" s="215" t="s">
        <v>31</v>
      </c>
      <c r="J35" s="215" t="s">
        <v>31</v>
      </c>
      <c r="K35" s="215" t="s">
        <v>31</v>
      </c>
      <c r="L35" s="215" t="s">
        <v>31</v>
      </c>
      <c r="M35" s="215" t="s">
        <v>31</v>
      </c>
      <c r="N35" s="215" t="s">
        <v>31</v>
      </c>
      <c r="O35" s="215" t="s">
        <v>31</v>
      </c>
      <c r="P35" s="215" t="s">
        <v>31</v>
      </c>
      <c r="Q35" s="215" t="s">
        <v>31</v>
      </c>
      <c r="R35" s="198"/>
      <c r="S35" s="198"/>
      <c r="T35" s="198"/>
      <c r="U35" s="198"/>
    </row>
    <row r="36" spans="1:21" s="12" customFormat="1" x14ac:dyDescent="0.25">
      <c r="A36" s="201" t="s">
        <v>1036</v>
      </c>
      <c r="B36" s="215" t="s">
        <v>31</v>
      </c>
      <c r="C36" s="215" t="s">
        <v>31</v>
      </c>
      <c r="D36" s="215" t="s">
        <v>31</v>
      </c>
      <c r="E36" s="215" t="s">
        <v>31</v>
      </c>
      <c r="F36" s="215" t="s">
        <v>31</v>
      </c>
      <c r="G36" s="215" t="s">
        <v>31</v>
      </c>
      <c r="H36" s="215" t="s">
        <v>31</v>
      </c>
      <c r="I36" s="215" t="s">
        <v>31</v>
      </c>
      <c r="J36" s="215" t="s">
        <v>31</v>
      </c>
      <c r="K36" s="215" t="s">
        <v>31</v>
      </c>
      <c r="L36" s="215" t="s">
        <v>31</v>
      </c>
      <c r="M36" s="215" t="s">
        <v>31</v>
      </c>
      <c r="N36" s="215" t="s">
        <v>31</v>
      </c>
      <c r="O36" s="215" t="s">
        <v>31</v>
      </c>
      <c r="P36" s="215" t="s">
        <v>31</v>
      </c>
      <c r="Q36" s="215" t="s">
        <v>31</v>
      </c>
      <c r="R36" s="198"/>
      <c r="S36" s="198"/>
      <c r="T36" s="198"/>
      <c r="U36" s="198"/>
    </row>
    <row r="37" spans="1:21" s="12" customFormat="1" x14ac:dyDescent="0.25">
      <c r="A37" s="201" t="s">
        <v>1037</v>
      </c>
      <c r="B37" s="215" t="s">
        <v>31</v>
      </c>
      <c r="C37" s="215" t="s">
        <v>31</v>
      </c>
      <c r="D37" s="215" t="s">
        <v>31</v>
      </c>
      <c r="E37" s="215" t="s">
        <v>31</v>
      </c>
      <c r="F37" s="215" t="s">
        <v>31</v>
      </c>
      <c r="G37" s="215" t="s">
        <v>31</v>
      </c>
      <c r="H37" s="215" t="s">
        <v>31</v>
      </c>
      <c r="I37" s="215" t="s">
        <v>31</v>
      </c>
      <c r="J37" s="215" t="s">
        <v>31</v>
      </c>
      <c r="K37" s="215" t="s">
        <v>31</v>
      </c>
      <c r="L37" s="215" t="s">
        <v>31</v>
      </c>
      <c r="M37" s="215" t="s">
        <v>31</v>
      </c>
      <c r="N37" s="215" t="s">
        <v>31</v>
      </c>
      <c r="O37" s="215" t="s">
        <v>31</v>
      </c>
      <c r="P37" s="215" t="s">
        <v>31</v>
      </c>
      <c r="Q37" s="215" t="s">
        <v>31</v>
      </c>
      <c r="R37" s="198"/>
      <c r="S37" s="198"/>
      <c r="T37" s="198"/>
      <c r="U37" s="198"/>
    </row>
    <row r="38" spans="1:21" s="12" customFormat="1" x14ac:dyDescent="0.25">
      <c r="A38" s="201" t="s">
        <v>1038</v>
      </c>
      <c r="B38" s="215" t="s">
        <v>31</v>
      </c>
      <c r="C38" s="215" t="s">
        <v>31</v>
      </c>
      <c r="D38" s="215" t="s">
        <v>31</v>
      </c>
      <c r="E38" s="215" t="s">
        <v>31</v>
      </c>
      <c r="F38" s="215" t="s">
        <v>31</v>
      </c>
      <c r="G38" s="215" t="s">
        <v>31</v>
      </c>
      <c r="H38" s="215" t="s">
        <v>31</v>
      </c>
      <c r="I38" s="215" t="s">
        <v>31</v>
      </c>
      <c r="J38" s="215" t="s">
        <v>31</v>
      </c>
      <c r="K38" s="215" t="s">
        <v>31</v>
      </c>
      <c r="L38" s="215" t="s">
        <v>31</v>
      </c>
      <c r="M38" s="215" t="s">
        <v>31</v>
      </c>
      <c r="N38" s="215" t="s">
        <v>31</v>
      </c>
      <c r="O38" s="215" t="s">
        <v>31</v>
      </c>
      <c r="P38" s="215" t="s">
        <v>31</v>
      </c>
      <c r="Q38" s="215" t="s">
        <v>31</v>
      </c>
      <c r="R38" s="198"/>
      <c r="S38" s="198"/>
      <c r="T38" s="198"/>
      <c r="U38" s="198"/>
    </row>
    <row r="39" spans="1:21" s="12" customFormat="1" x14ac:dyDescent="0.25">
      <c r="A39" s="201" t="s">
        <v>1039</v>
      </c>
      <c r="B39" s="215" t="s">
        <v>31</v>
      </c>
      <c r="C39" s="215" t="s">
        <v>31</v>
      </c>
      <c r="D39" s="215" t="s">
        <v>31</v>
      </c>
      <c r="E39" s="215" t="s">
        <v>31</v>
      </c>
      <c r="F39" s="215" t="s">
        <v>31</v>
      </c>
      <c r="G39" s="215" t="s">
        <v>31</v>
      </c>
      <c r="H39" s="215" t="s">
        <v>31</v>
      </c>
      <c r="I39" s="215" t="s">
        <v>31</v>
      </c>
      <c r="J39" s="215" t="s">
        <v>31</v>
      </c>
      <c r="K39" s="215" t="s">
        <v>31</v>
      </c>
      <c r="L39" s="215" t="s">
        <v>31</v>
      </c>
      <c r="M39" s="215" t="s">
        <v>31</v>
      </c>
      <c r="N39" s="215" t="s">
        <v>31</v>
      </c>
      <c r="O39" s="215" t="s">
        <v>31</v>
      </c>
      <c r="P39" s="215" t="s">
        <v>31</v>
      </c>
      <c r="Q39" s="215" t="s">
        <v>31</v>
      </c>
      <c r="R39" s="198"/>
      <c r="S39" s="198"/>
      <c r="T39" s="198"/>
      <c r="U39" s="198"/>
    </row>
    <row r="40" spans="1:21" s="12" customFormat="1" x14ac:dyDescent="0.25">
      <c r="A40" s="201" t="s">
        <v>1040</v>
      </c>
      <c r="B40" s="215" t="s">
        <v>31</v>
      </c>
      <c r="C40" s="215" t="s">
        <v>31</v>
      </c>
      <c r="D40" s="215" t="s">
        <v>31</v>
      </c>
      <c r="E40" s="215" t="s">
        <v>31</v>
      </c>
      <c r="F40" s="215" t="s">
        <v>31</v>
      </c>
      <c r="G40" s="215" t="s">
        <v>31</v>
      </c>
      <c r="H40" s="215" t="s">
        <v>31</v>
      </c>
      <c r="I40" s="215" t="s">
        <v>31</v>
      </c>
      <c r="J40" s="215" t="s">
        <v>31</v>
      </c>
      <c r="K40" s="215" t="s">
        <v>31</v>
      </c>
      <c r="L40" s="215" t="s">
        <v>31</v>
      </c>
      <c r="M40" s="215" t="s">
        <v>31</v>
      </c>
      <c r="N40" s="215" t="s">
        <v>31</v>
      </c>
      <c r="O40" s="215" t="s">
        <v>31</v>
      </c>
      <c r="P40" s="215" t="s">
        <v>31</v>
      </c>
      <c r="Q40" s="215" t="s">
        <v>31</v>
      </c>
      <c r="R40" s="198"/>
      <c r="S40" s="198"/>
      <c r="T40" s="198"/>
      <c r="U40" s="198"/>
    </row>
    <row r="41" spans="1:21" s="12" customFormat="1" x14ac:dyDescent="0.25">
      <c r="A41" s="201" t="s">
        <v>1041</v>
      </c>
      <c r="B41" s="215" t="s">
        <v>31</v>
      </c>
      <c r="C41" s="215" t="s">
        <v>31</v>
      </c>
      <c r="D41" s="215" t="s">
        <v>31</v>
      </c>
      <c r="E41" s="215" t="s">
        <v>31</v>
      </c>
      <c r="F41" s="215" t="s">
        <v>31</v>
      </c>
      <c r="G41" s="215" t="s">
        <v>31</v>
      </c>
      <c r="H41" s="215" t="s">
        <v>31</v>
      </c>
      <c r="I41" s="215" t="s">
        <v>31</v>
      </c>
      <c r="J41" s="215" t="s">
        <v>31</v>
      </c>
      <c r="K41" s="215" t="s">
        <v>31</v>
      </c>
      <c r="L41" s="215" t="s">
        <v>31</v>
      </c>
      <c r="M41" s="215" t="s">
        <v>31</v>
      </c>
      <c r="N41" s="215" t="s">
        <v>31</v>
      </c>
      <c r="O41" s="215" t="s">
        <v>31</v>
      </c>
      <c r="P41" s="215" t="s">
        <v>31</v>
      </c>
      <c r="Q41" s="215" t="s">
        <v>31</v>
      </c>
      <c r="R41" s="198"/>
      <c r="S41" s="198"/>
      <c r="T41" s="198"/>
      <c r="U41" s="198"/>
    </row>
    <row r="42" spans="1:21" s="12" customFormat="1" x14ac:dyDescent="0.25">
      <c r="A42" s="201" t="s">
        <v>1042</v>
      </c>
      <c r="B42" s="215" t="s">
        <v>31</v>
      </c>
      <c r="C42" s="215" t="s">
        <v>31</v>
      </c>
      <c r="D42" s="215" t="s">
        <v>31</v>
      </c>
      <c r="E42" s="215" t="s">
        <v>31</v>
      </c>
      <c r="F42" s="215" t="s">
        <v>31</v>
      </c>
      <c r="G42" s="215" t="s">
        <v>31</v>
      </c>
      <c r="H42" s="215" t="s">
        <v>31</v>
      </c>
      <c r="I42" s="215" t="s">
        <v>31</v>
      </c>
      <c r="J42" s="215" t="s">
        <v>31</v>
      </c>
      <c r="K42" s="215" t="s">
        <v>31</v>
      </c>
      <c r="L42" s="215" t="s">
        <v>31</v>
      </c>
      <c r="M42" s="215" t="s">
        <v>31</v>
      </c>
      <c r="N42" s="215" t="s">
        <v>31</v>
      </c>
      <c r="O42" s="215" t="s">
        <v>31</v>
      </c>
      <c r="P42" s="215" t="s">
        <v>31</v>
      </c>
      <c r="Q42" s="215" t="s">
        <v>31</v>
      </c>
      <c r="R42" s="198"/>
      <c r="S42" s="198"/>
      <c r="T42" s="198"/>
      <c r="U42" s="198"/>
    </row>
    <row r="43" spans="1:21" s="12" customFormat="1" x14ac:dyDescent="0.25">
      <c r="A43" s="201" t="s">
        <v>1043</v>
      </c>
      <c r="B43" s="215" t="s">
        <v>31</v>
      </c>
      <c r="C43" s="215" t="s">
        <v>31</v>
      </c>
      <c r="D43" s="215" t="s">
        <v>31</v>
      </c>
      <c r="E43" s="215" t="s">
        <v>31</v>
      </c>
      <c r="F43" s="215" t="s">
        <v>31</v>
      </c>
      <c r="G43" s="215" t="s">
        <v>31</v>
      </c>
      <c r="H43" s="215" t="s">
        <v>31</v>
      </c>
      <c r="I43" s="215" t="s">
        <v>31</v>
      </c>
      <c r="J43" s="215" t="s">
        <v>31</v>
      </c>
      <c r="K43" s="215" t="s">
        <v>31</v>
      </c>
      <c r="L43" s="215" t="s">
        <v>31</v>
      </c>
      <c r="M43" s="215" t="s">
        <v>31</v>
      </c>
      <c r="N43" s="215" t="s">
        <v>31</v>
      </c>
      <c r="O43" s="215" t="s">
        <v>31</v>
      </c>
      <c r="P43" s="215" t="s">
        <v>31</v>
      </c>
      <c r="Q43" s="215" t="s">
        <v>31</v>
      </c>
      <c r="R43" s="198"/>
      <c r="S43" s="198"/>
      <c r="T43" s="198"/>
      <c r="U43" s="198"/>
    </row>
    <row r="44" spans="1:21" s="12" customFormat="1" x14ac:dyDescent="0.25">
      <c r="A44" s="201" t="s">
        <v>1044</v>
      </c>
      <c r="B44" s="215" t="s">
        <v>31</v>
      </c>
      <c r="C44" s="215" t="s">
        <v>31</v>
      </c>
      <c r="D44" s="215" t="s">
        <v>31</v>
      </c>
      <c r="E44" s="215" t="s">
        <v>31</v>
      </c>
      <c r="F44" s="215" t="s">
        <v>31</v>
      </c>
      <c r="G44" s="215" t="s">
        <v>31</v>
      </c>
      <c r="H44" s="215" t="s">
        <v>31</v>
      </c>
      <c r="I44" s="215" t="s">
        <v>31</v>
      </c>
      <c r="J44" s="215" t="s">
        <v>31</v>
      </c>
      <c r="K44" s="215" t="s">
        <v>31</v>
      </c>
      <c r="L44" s="215" t="s">
        <v>31</v>
      </c>
      <c r="M44" s="215" t="s">
        <v>31</v>
      </c>
      <c r="N44" s="215" t="s">
        <v>31</v>
      </c>
      <c r="O44" s="215" t="s">
        <v>31</v>
      </c>
      <c r="P44" s="215" t="s">
        <v>31</v>
      </c>
      <c r="Q44" s="215" t="s">
        <v>31</v>
      </c>
      <c r="R44" s="198"/>
      <c r="S44" s="198"/>
      <c r="T44" s="198"/>
      <c r="U44" s="198"/>
    </row>
    <row r="45" spans="1:21" s="12" customFormat="1" x14ac:dyDescent="0.25">
      <c r="A45" s="201" t="s">
        <v>1045</v>
      </c>
      <c r="B45" s="215" t="s">
        <v>31</v>
      </c>
      <c r="C45" s="215" t="s">
        <v>31</v>
      </c>
      <c r="D45" s="215" t="s">
        <v>31</v>
      </c>
      <c r="E45" s="215" t="s">
        <v>31</v>
      </c>
      <c r="F45" s="215" t="s">
        <v>31</v>
      </c>
      <c r="G45" s="215" t="s">
        <v>31</v>
      </c>
      <c r="H45" s="215" t="s">
        <v>31</v>
      </c>
      <c r="I45" s="215" t="s">
        <v>31</v>
      </c>
      <c r="J45" s="215" t="s">
        <v>31</v>
      </c>
      <c r="K45" s="215" t="s">
        <v>31</v>
      </c>
      <c r="L45" s="215" t="s">
        <v>31</v>
      </c>
      <c r="M45" s="215" t="s">
        <v>31</v>
      </c>
      <c r="N45" s="215" t="s">
        <v>31</v>
      </c>
      <c r="O45" s="215" t="s">
        <v>31</v>
      </c>
      <c r="P45" s="215" t="s">
        <v>31</v>
      </c>
      <c r="Q45" s="215" t="s">
        <v>31</v>
      </c>
      <c r="R45" s="198"/>
      <c r="S45" s="198"/>
      <c r="T45" s="198"/>
      <c r="U45" s="198"/>
    </row>
    <row r="46" spans="1:21" s="12" customFormat="1" x14ac:dyDescent="0.25">
      <c r="A46" s="201" t="s">
        <v>1046</v>
      </c>
      <c r="B46" s="215" t="s">
        <v>31</v>
      </c>
      <c r="C46" s="215" t="s">
        <v>31</v>
      </c>
      <c r="D46" s="215" t="s">
        <v>31</v>
      </c>
      <c r="E46" s="215" t="s">
        <v>31</v>
      </c>
      <c r="F46" s="215" t="s">
        <v>31</v>
      </c>
      <c r="G46" s="215" t="s">
        <v>31</v>
      </c>
      <c r="H46" s="215" t="s">
        <v>31</v>
      </c>
      <c r="I46" s="215" t="s">
        <v>31</v>
      </c>
      <c r="J46" s="215" t="s">
        <v>31</v>
      </c>
      <c r="K46" s="215" t="s">
        <v>31</v>
      </c>
      <c r="L46" s="215" t="s">
        <v>31</v>
      </c>
      <c r="M46" s="215" t="s">
        <v>31</v>
      </c>
      <c r="N46" s="215" t="s">
        <v>31</v>
      </c>
      <c r="O46" s="215" t="s">
        <v>31</v>
      </c>
      <c r="P46" s="215" t="s">
        <v>31</v>
      </c>
      <c r="Q46" s="215" t="s">
        <v>31</v>
      </c>
      <c r="R46" s="198"/>
      <c r="S46" s="198"/>
      <c r="T46" s="198"/>
      <c r="U46" s="198"/>
    </row>
    <row r="47" spans="1:21" s="12" customFormat="1" x14ac:dyDescent="0.25">
      <c r="A47" s="201" t="s">
        <v>1047</v>
      </c>
      <c r="B47" s="215" t="s">
        <v>31</v>
      </c>
      <c r="C47" s="215" t="s">
        <v>31</v>
      </c>
      <c r="D47" s="215" t="s">
        <v>31</v>
      </c>
      <c r="E47" s="215" t="s">
        <v>31</v>
      </c>
      <c r="F47" s="215" t="s">
        <v>31</v>
      </c>
      <c r="G47" s="215" t="s">
        <v>31</v>
      </c>
      <c r="H47" s="215" t="s">
        <v>31</v>
      </c>
      <c r="I47" s="215" t="s">
        <v>31</v>
      </c>
      <c r="J47" s="215" t="s">
        <v>31</v>
      </c>
      <c r="K47" s="215" t="s">
        <v>31</v>
      </c>
      <c r="L47" s="215" t="s">
        <v>31</v>
      </c>
      <c r="M47" s="215" t="s">
        <v>31</v>
      </c>
      <c r="N47" s="215" t="s">
        <v>31</v>
      </c>
      <c r="O47" s="215" t="s">
        <v>31</v>
      </c>
      <c r="P47" s="215" t="s">
        <v>31</v>
      </c>
      <c r="Q47" s="215" t="s">
        <v>31</v>
      </c>
      <c r="R47" s="198"/>
      <c r="S47" s="198"/>
      <c r="T47" s="198"/>
      <c r="U47" s="198"/>
    </row>
    <row r="48" spans="1:21" s="12" customFormat="1" x14ac:dyDescent="0.25">
      <c r="A48" s="201" t="s">
        <v>1048</v>
      </c>
      <c r="B48" s="215" t="s">
        <v>31</v>
      </c>
      <c r="C48" s="215" t="s">
        <v>31</v>
      </c>
      <c r="D48" s="215" t="s">
        <v>31</v>
      </c>
      <c r="E48" s="215" t="s">
        <v>31</v>
      </c>
      <c r="F48" s="215" t="s">
        <v>31</v>
      </c>
      <c r="G48" s="215" t="s">
        <v>31</v>
      </c>
      <c r="H48" s="215" t="s">
        <v>31</v>
      </c>
      <c r="I48" s="215" t="s">
        <v>31</v>
      </c>
      <c r="J48" s="215" t="s">
        <v>31</v>
      </c>
      <c r="K48" s="215" t="s">
        <v>31</v>
      </c>
      <c r="L48" s="215" t="s">
        <v>31</v>
      </c>
      <c r="M48" s="215" t="s">
        <v>31</v>
      </c>
      <c r="N48" s="215" t="s">
        <v>31</v>
      </c>
      <c r="O48" s="215" t="s">
        <v>31</v>
      </c>
      <c r="P48" s="215" t="s">
        <v>31</v>
      </c>
      <c r="Q48" s="215" t="s">
        <v>31</v>
      </c>
      <c r="R48" s="198"/>
      <c r="S48" s="198"/>
      <c r="T48" s="198"/>
      <c r="U48" s="198"/>
    </row>
    <row r="49" spans="1:21" s="12" customFormat="1" x14ac:dyDescent="0.25">
      <c r="A49" s="201" t="s">
        <v>1049</v>
      </c>
      <c r="B49" s="215" t="s">
        <v>31</v>
      </c>
      <c r="C49" s="215" t="s">
        <v>31</v>
      </c>
      <c r="D49" s="215" t="s">
        <v>31</v>
      </c>
      <c r="E49" s="215" t="s">
        <v>31</v>
      </c>
      <c r="F49" s="215" t="s">
        <v>31</v>
      </c>
      <c r="G49" s="215" t="s">
        <v>31</v>
      </c>
      <c r="H49" s="215" t="s">
        <v>31</v>
      </c>
      <c r="I49" s="215" t="s">
        <v>31</v>
      </c>
      <c r="J49" s="215" t="s">
        <v>31</v>
      </c>
      <c r="K49" s="215" t="s">
        <v>31</v>
      </c>
      <c r="L49" s="215" t="s">
        <v>31</v>
      </c>
      <c r="M49" s="215" t="s">
        <v>31</v>
      </c>
      <c r="N49" s="215" t="s">
        <v>31</v>
      </c>
      <c r="O49" s="215" t="s">
        <v>31</v>
      </c>
      <c r="P49" s="215" t="s">
        <v>31</v>
      </c>
      <c r="Q49" s="215" t="s">
        <v>31</v>
      </c>
      <c r="R49" s="198"/>
      <c r="S49" s="198"/>
      <c r="T49" s="198"/>
      <c r="U49" s="198"/>
    </row>
    <row r="50" spans="1:21" s="12" customFormat="1" x14ac:dyDescent="0.25">
      <c r="A50" s="201" t="s">
        <v>1050</v>
      </c>
      <c r="B50" s="215" t="s">
        <v>31</v>
      </c>
      <c r="C50" s="215" t="s">
        <v>31</v>
      </c>
      <c r="D50" s="215" t="s">
        <v>31</v>
      </c>
      <c r="E50" s="215" t="s">
        <v>31</v>
      </c>
      <c r="F50" s="215" t="s">
        <v>31</v>
      </c>
      <c r="G50" s="215" t="s">
        <v>31</v>
      </c>
      <c r="H50" s="215" t="s">
        <v>31</v>
      </c>
      <c r="I50" s="215" t="s">
        <v>31</v>
      </c>
      <c r="J50" s="215" t="s">
        <v>31</v>
      </c>
      <c r="K50" s="215" t="s">
        <v>31</v>
      </c>
      <c r="L50" s="215" t="s">
        <v>31</v>
      </c>
      <c r="M50" s="215" t="s">
        <v>31</v>
      </c>
      <c r="N50" s="215" t="s">
        <v>31</v>
      </c>
      <c r="O50" s="215" t="s">
        <v>31</v>
      </c>
      <c r="P50" s="215" t="s">
        <v>31</v>
      </c>
      <c r="Q50" s="215" t="s">
        <v>31</v>
      </c>
      <c r="R50" s="198"/>
      <c r="S50" s="198"/>
      <c r="T50" s="198"/>
      <c r="U50" s="198"/>
    </row>
    <row r="51" spans="1:21" s="12" customFormat="1" x14ac:dyDescent="0.25">
      <c r="A51" s="201" t="s">
        <v>1051</v>
      </c>
      <c r="B51" s="215" t="s">
        <v>31</v>
      </c>
      <c r="C51" s="215" t="s">
        <v>31</v>
      </c>
      <c r="D51" s="215" t="s">
        <v>31</v>
      </c>
      <c r="E51" s="215" t="s">
        <v>31</v>
      </c>
      <c r="F51" s="215" t="s">
        <v>31</v>
      </c>
      <c r="G51" s="215" t="s">
        <v>31</v>
      </c>
      <c r="H51" s="215" t="s">
        <v>31</v>
      </c>
      <c r="I51" s="215" t="s">
        <v>31</v>
      </c>
      <c r="J51" s="215" t="s">
        <v>31</v>
      </c>
      <c r="K51" s="215" t="s">
        <v>31</v>
      </c>
      <c r="L51" s="215" t="s">
        <v>31</v>
      </c>
      <c r="M51" s="215" t="s">
        <v>31</v>
      </c>
      <c r="N51" s="215" t="s">
        <v>31</v>
      </c>
      <c r="O51" s="215" t="s">
        <v>31</v>
      </c>
      <c r="P51" s="215" t="s">
        <v>31</v>
      </c>
      <c r="Q51" s="215" t="s">
        <v>31</v>
      </c>
      <c r="R51" s="198"/>
      <c r="S51" s="198"/>
      <c r="T51" s="198"/>
      <c r="U51" s="198"/>
    </row>
    <row r="52" spans="1:21" s="12" customFormat="1" x14ac:dyDescent="0.25">
      <c r="A52" s="201" t="s">
        <v>1052</v>
      </c>
      <c r="B52" s="215" t="s">
        <v>31</v>
      </c>
      <c r="C52" s="215" t="s">
        <v>31</v>
      </c>
      <c r="D52" s="215" t="s">
        <v>31</v>
      </c>
      <c r="E52" s="215" t="s">
        <v>31</v>
      </c>
      <c r="F52" s="215" t="s">
        <v>31</v>
      </c>
      <c r="G52" s="215" t="s">
        <v>31</v>
      </c>
      <c r="H52" s="215" t="s">
        <v>31</v>
      </c>
      <c r="I52" s="215" t="s">
        <v>31</v>
      </c>
      <c r="J52" s="215" t="s">
        <v>31</v>
      </c>
      <c r="K52" s="215" t="s">
        <v>31</v>
      </c>
      <c r="L52" s="215" t="s">
        <v>31</v>
      </c>
      <c r="M52" s="215" t="s">
        <v>31</v>
      </c>
      <c r="N52" s="215" t="s">
        <v>31</v>
      </c>
      <c r="O52" s="215" t="s">
        <v>31</v>
      </c>
      <c r="P52" s="215" t="s">
        <v>31</v>
      </c>
      <c r="Q52" s="215" t="s">
        <v>31</v>
      </c>
      <c r="R52" s="198"/>
      <c r="S52" s="198"/>
      <c r="T52" s="198"/>
      <c r="U52" s="198"/>
    </row>
    <row r="53" spans="1:21" s="12" customFormat="1" x14ac:dyDescent="0.25">
      <c r="A53" s="201" t="s">
        <v>1053</v>
      </c>
      <c r="B53" s="215" t="s">
        <v>31</v>
      </c>
      <c r="C53" s="215" t="s">
        <v>31</v>
      </c>
      <c r="D53" s="215" t="s">
        <v>31</v>
      </c>
      <c r="E53" s="215" t="s">
        <v>31</v>
      </c>
      <c r="F53" s="215" t="s">
        <v>31</v>
      </c>
      <c r="G53" s="215" t="s">
        <v>31</v>
      </c>
      <c r="H53" s="215" t="s">
        <v>31</v>
      </c>
      <c r="I53" s="215" t="s">
        <v>31</v>
      </c>
      <c r="J53" s="215" t="s">
        <v>31</v>
      </c>
      <c r="K53" s="215" t="s">
        <v>31</v>
      </c>
      <c r="L53" s="215" t="s">
        <v>31</v>
      </c>
      <c r="M53" s="215" t="s">
        <v>31</v>
      </c>
      <c r="N53" s="215" t="s">
        <v>31</v>
      </c>
      <c r="O53" s="215" t="s">
        <v>31</v>
      </c>
      <c r="P53" s="215" t="s">
        <v>31</v>
      </c>
      <c r="Q53" s="215" t="s">
        <v>31</v>
      </c>
      <c r="R53" s="198"/>
      <c r="S53" s="198"/>
      <c r="T53" s="198"/>
      <c r="U53" s="198"/>
    </row>
    <row r="54" spans="1:21" s="12" customFormat="1" x14ac:dyDescent="0.25">
      <c r="A54" s="201" t="s">
        <v>1054</v>
      </c>
      <c r="B54" s="215" t="s">
        <v>31</v>
      </c>
      <c r="C54" s="215" t="s">
        <v>31</v>
      </c>
      <c r="D54" s="215" t="s">
        <v>31</v>
      </c>
      <c r="E54" s="215" t="s">
        <v>31</v>
      </c>
      <c r="F54" s="215" t="s">
        <v>31</v>
      </c>
      <c r="G54" s="215" t="s">
        <v>31</v>
      </c>
      <c r="H54" s="215" t="s">
        <v>31</v>
      </c>
      <c r="I54" s="215" t="s">
        <v>31</v>
      </c>
      <c r="J54" s="215" t="s">
        <v>31</v>
      </c>
      <c r="K54" s="215" t="s">
        <v>31</v>
      </c>
      <c r="L54" s="215" t="s">
        <v>31</v>
      </c>
      <c r="M54" s="215" t="s">
        <v>31</v>
      </c>
      <c r="N54" s="215" t="s">
        <v>31</v>
      </c>
      <c r="O54" s="215" t="s">
        <v>31</v>
      </c>
      <c r="P54" s="215" t="s">
        <v>31</v>
      </c>
      <c r="Q54" s="215" t="s">
        <v>31</v>
      </c>
      <c r="R54" s="198"/>
      <c r="S54" s="198"/>
      <c r="T54" s="198"/>
      <c r="U54" s="198"/>
    </row>
    <row r="55" spans="1:21" s="12" customFormat="1" x14ac:dyDescent="0.25">
      <c r="A55" s="201" t="s">
        <v>1055</v>
      </c>
      <c r="B55" s="215" t="s">
        <v>31</v>
      </c>
      <c r="C55" s="215" t="s">
        <v>31</v>
      </c>
      <c r="D55" s="215" t="s">
        <v>31</v>
      </c>
      <c r="E55" s="215" t="s">
        <v>31</v>
      </c>
      <c r="F55" s="215" t="s">
        <v>31</v>
      </c>
      <c r="G55" s="215" t="s">
        <v>31</v>
      </c>
      <c r="H55" s="215" t="s">
        <v>31</v>
      </c>
      <c r="I55" s="215" t="s">
        <v>31</v>
      </c>
      <c r="J55" s="215" t="s">
        <v>31</v>
      </c>
      <c r="K55" s="215" t="s">
        <v>31</v>
      </c>
      <c r="L55" s="215" t="s">
        <v>31</v>
      </c>
      <c r="M55" s="215" t="s">
        <v>31</v>
      </c>
      <c r="N55" s="215" t="s">
        <v>31</v>
      </c>
      <c r="O55" s="215" t="s">
        <v>31</v>
      </c>
      <c r="P55" s="215" t="s">
        <v>31</v>
      </c>
      <c r="Q55" s="215" t="s">
        <v>31</v>
      </c>
      <c r="R55" s="198"/>
      <c r="S55" s="198"/>
      <c r="T55" s="198"/>
      <c r="U55" s="198"/>
    </row>
    <row r="56" spans="1:21" s="12" customFormat="1" x14ac:dyDescent="0.25">
      <c r="A56" s="201" t="s">
        <v>1056</v>
      </c>
      <c r="B56" s="215" t="s">
        <v>31</v>
      </c>
      <c r="C56" s="215" t="s">
        <v>31</v>
      </c>
      <c r="D56" s="215" t="s">
        <v>31</v>
      </c>
      <c r="E56" s="215" t="s">
        <v>31</v>
      </c>
      <c r="F56" s="215" t="s">
        <v>31</v>
      </c>
      <c r="G56" s="215" t="s">
        <v>31</v>
      </c>
      <c r="H56" s="215" t="s">
        <v>31</v>
      </c>
      <c r="I56" s="215" t="s">
        <v>31</v>
      </c>
      <c r="J56" s="215" t="s">
        <v>31</v>
      </c>
      <c r="K56" s="215" t="s">
        <v>31</v>
      </c>
      <c r="L56" s="215" t="s">
        <v>31</v>
      </c>
      <c r="M56" s="215" t="s">
        <v>31</v>
      </c>
      <c r="N56" s="215" t="s">
        <v>31</v>
      </c>
      <c r="O56" s="215" t="s">
        <v>31</v>
      </c>
      <c r="P56" s="215" t="s">
        <v>31</v>
      </c>
      <c r="Q56" s="215" t="s">
        <v>31</v>
      </c>
      <c r="R56" s="198"/>
      <c r="S56" s="198"/>
      <c r="T56" s="198"/>
      <c r="U56" s="198"/>
    </row>
    <row r="57" spans="1:21" s="12" customFormat="1" x14ac:dyDescent="0.25">
      <c r="A57" s="201" t="s">
        <v>1057</v>
      </c>
      <c r="B57" s="215" t="s">
        <v>31</v>
      </c>
      <c r="C57" s="215" t="s">
        <v>31</v>
      </c>
      <c r="D57" s="215" t="s">
        <v>31</v>
      </c>
      <c r="E57" s="215" t="s">
        <v>31</v>
      </c>
      <c r="F57" s="215" t="s">
        <v>31</v>
      </c>
      <c r="G57" s="215" t="s">
        <v>31</v>
      </c>
      <c r="H57" s="215" t="s">
        <v>31</v>
      </c>
      <c r="I57" s="215" t="s">
        <v>31</v>
      </c>
      <c r="J57" s="215" t="s">
        <v>31</v>
      </c>
      <c r="K57" s="215" t="s">
        <v>31</v>
      </c>
      <c r="L57" s="215" t="s">
        <v>31</v>
      </c>
      <c r="M57" s="215" t="s">
        <v>31</v>
      </c>
      <c r="N57" s="215" t="s">
        <v>31</v>
      </c>
      <c r="O57" s="215" t="s">
        <v>31</v>
      </c>
      <c r="P57" s="215" t="s">
        <v>31</v>
      </c>
      <c r="Q57" s="215" t="s">
        <v>31</v>
      </c>
      <c r="R57" s="198"/>
      <c r="S57" s="198"/>
      <c r="T57" s="198"/>
      <c r="U57" s="198"/>
    </row>
    <row r="58" spans="1:21" s="12" customFormat="1" x14ac:dyDescent="0.25">
      <c r="A58" s="201" t="s">
        <v>1058</v>
      </c>
      <c r="B58" s="215" t="s">
        <v>31</v>
      </c>
      <c r="C58" s="215" t="s">
        <v>31</v>
      </c>
      <c r="D58" s="215" t="s">
        <v>31</v>
      </c>
      <c r="E58" s="215" t="s">
        <v>31</v>
      </c>
      <c r="F58" s="215" t="s">
        <v>31</v>
      </c>
      <c r="G58" s="215" t="s">
        <v>31</v>
      </c>
      <c r="H58" s="215" t="s">
        <v>31</v>
      </c>
      <c r="I58" s="215" t="s">
        <v>31</v>
      </c>
      <c r="J58" s="215" t="s">
        <v>31</v>
      </c>
      <c r="K58" s="215" t="s">
        <v>31</v>
      </c>
      <c r="L58" s="215" t="s">
        <v>31</v>
      </c>
      <c r="M58" s="215" t="s">
        <v>31</v>
      </c>
      <c r="N58" s="215" t="s">
        <v>31</v>
      </c>
      <c r="O58" s="215" t="s">
        <v>31</v>
      </c>
      <c r="P58" s="215" t="s">
        <v>31</v>
      </c>
      <c r="Q58" s="215" t="s">
        <v>31</v>
      </c>
      <c r="R58" s="198"/>
      <c r="S58" s="198"/>
      <c r="T58" s="198"/>
      <c r="U58" s="198"/>
    </row>
    <row r="59" spans="1:21" s="12" customFormat="1" x14ac:dyDescent="0.25">
      <c r="A59" s="201" t="s">
        <v>1059</v>
      </c>
      <c r="B59" s="215" t="s">
        <v>31</v>
      </c>
      <c r="C59" s="215" t="s">
        <v>31</v>
      </c>
      <c r="D59" s="215" t="s">
        <v>31</v>
      </c>
      <c r="E59" s="215" t="s">
        <v>31</v>
      </c>
      <c r="F59" s="215" t="s">
        <v>31</v>
      </c>
      <c r="G59" s="215" t="s">
        <v>31</v>
      </c>
      <c r="H59" s="215" t="s">
        <v>31</v>
      </c>
      <c r="I59" s="215" t="s">
        <v>31</v>
      </c>
      <c r="J59" s="215" t="s">
        <v>31</v>
      </c>
      <c r="K59" s="215" t="s">
        <v>31</v>
      </c>
      <c r="L59" s="215" t="s">
        <v>31</v>
      </c>
      <c r="M59" s="215" t="s">
        <v>31</v>
      </c>
      <c r="N59" s="215" t="s">
        <v>31</v>
      </c>
      <c r="O59" s="215" t="s">
        <v>31</v>
      </c>
      <c r="P59" s="215" t="s">
        <v>31</v>
      </c>
      <c r="Q59" s="215" t="s">
        <v>31</v>
      </c>
      <c r="R59" s="198"/>
      <c r="S59" s="198"/>
      <c r="T59" s="198"/>
      <c r="U59" s="198"/>
    </row>
    <row r="60" spans="1:21" s="12" customFormat="1" x14ac:dyDescent="0.25">
      <c r="A60" s="201" t="s">
        <v>1060</v>
      </c>
      <c r="B60" s="215" t="s">
        <v>31</v>
      </c>
      <c r="C60" s="215" t="s">
        <v>31</v>
      </c>
      <c r="D60" s="215" t="s">
        <v>31</v>
      </c>
      <c r="E60" s="215" t="s">
        <v>31</v>
      </c>
      <c r="F60" s="215" t="s">
        <v>31</v>
      </c>
      <c r="G60" s="215" t="s">
        <v>31</v>
      </c>
      <c r="H60" s="215" t="s">
        <v>31</v>
      </c>
      <c r="I60" s="215" t="s">
        <v>31</v>
      </c>
      <c r="J60" s="215" t="s">
        <v>31</v>
      </c>
      <c r="K60" s="215" t="s">
        <v>31</v>
      </c>
      <c r="L60" s="215" t="s">
        <v>31</v>
      </c>
      <c r="M60" s="215" t="s">
        <v>31</v>
      </c>
      <c r="N60" s="215" t="s">
        <v>31</v>
      </c>
      <c r="O60" s="215" t="s">
        <v>31</v>
      </c>
      <c r="P60" s="215" t="s">
        <v>31</v>
      </c>
      <c r="Q60" s="215" t="s">
        <v>31</v>
      </c>
      <c r="R60" s="198"/>
      <c r="S60" s="198"/>
      <c r="T60" s="198"/>
      <c r="U60" s="198"/>
    </row>
    <row r="61" spans="1:21" s="12" customFormat="1" x14ac:dyDescent="0.25">
      <c r="A61" s="201" t="s">
        <v>1061</v>
      </c>
      <c r="B61" s="215" t="s">
        <v>31</v>
      </c>
      <c r="C61" s="215" t="s">
        <v>31</v>
      </c>
      <c r="D61" s="215" t="s">
        <v>31</v>
      </c>
      <c r="E61" s="215" t="s">
        <v>31</v>
      </c>
      <c r="F61" s="215" t="s">
        <v>31</v>
      </c>
      <c r="G61" s="215" t="s">
        <v>31</v>
      </c>
      <c r="H61" s="215" t="s">
        <v>31</v>
      </c>
      <c r="I61" s="215" t="s">
        <v>31</v>
      </c>
      <c r="J61" s="215" t="s">
        <v>31</v>
      </c>
      <c r="K61" s="215" t="s">
        <v>31</v>
      </c>
      <c r="L61" s="215" t="s">
        <v>31</v>
      </c>
      <c r="M61" s="215" t="s">
        <v>31</v>
      </c>
      <c r="N61" s="215" t="s">
        <v>31</v>
      </c>
      <c r="O61" s="215" t="s">
        <v>31</v>
      </c>
      <c r="P61" s="215" t="s">
        <v>31</v>
      </c>
      <c r="Q61" s="215" t="s">
        <v>31</v>
      </c>
      <c r="R61" s="198"/>
      <c r="S61" s="198"/>
      <c r="T61" s="198"/>
      <c r="U61" s="198"/>
    </row>
    <row r="62" spans="1:21" s="12" customFormat="1" x14ac:dyDescent="0.25">
      <c r="A62" s="201" t="s">
        <v>1062</v>
      </c>
      <c r="B62" s="215" t="s">
        <v>31</v>
      </c>
      <c r="C62" s="215" t="s">
        <v>31</v>
      </c>
      <c r="D62" s="215" t="s">
        <v>31</v>
      </c>
      <c r="E62" s="215" t="s">
        <v>31</v>
      </c>
      <c r="F62" s="215" t="s">
        <v>31</v>
      </c>
      <c r="G62" s="215" t="s">
        <v>31</v>
      </c>
      <c r="H62" s="215" t="s">
        <v>31</v>
      </c>
      <c r="I62" s="215" t="s">
        <v>31</v>
      </c>
      <c r="J62" s="215" t="s">
        <v>31</v>
      </c>
      <c r="K62" s="215" t="s">
        <v>31</v>
      </c>
      <c r="L62" s="215" t="s">
        <v>31</v>
      </c>
      <c r="M62" s="215" t="s">
        <v>31</v>
      </c>
      <c r="N62" s="215" t="s">
        <v>31</v>
      </c>
      <c r="O62" s="215" t="s">
        <v>31</v>
      </c>
      <c r="P62" s="215" t="s">
        <v>31</v>
      </c>
      <c r="Q62" s="215" t="s">
        <v>31</v>
      </c>
      <c r="R62" s="198"/>
      <c r="S62" s="198"/>
      <c r="T62" s="198"/>
      <c r="U62" s="198"/>
    </row>
    <row r="63" spans="1:21" s="12" customFormat="1" x14ac:dyDescent="0.25">
      <c r="A63" s="201" t="s">
        <v>1063</v>
      </c>
      <c r="B63" s="215" t="s">
        <v>31</v>
      </c>
      <c r="C63" s="215" t="s">
        <v>31</v>
      </c>
      <c r="D63" s="215" t="s">
        <v>31</v>
      </c>
      <c r="E63" s="215" t="s">
        <v>31</v>
      </c>
      <c r="F63" s="215" t="s">
        <v>31</v>
      </c>
      <c r="G63" s="215" t="s">
        <v>31</v>
      </c>
      <c r="H63" s="215" t="s">
        <v>31</v>
      </c>
      <c r="I63" s="215" t="s">
        <v>31</v>
      </c>
      <c r="J63" s="215" t="s">
        <v>31</v>
      </c>
      <c r="K63" s="215" t="s">
        <v>31</v>
      </c>
      <c r="L63" s="215" t="s">
        <v>31</v>
      </c>
      <c r="M63" s="215" t="s">
        <v>31</v>
      </c>
      <c r="N63" s="215" t="s">
        <v>31</v>
      </c>
      <c r="O63" s="215" t="s">
        <v>31</v>
      </c>
      <c r="P63" s="215" t="s">
        <v>31</v>
      </c>
      <c r="Q63" s="215" t="s">
        <v>31</v>
      </c>
      <c r="R63" s="198"/>
      <c r="S63" s="198"/>
      <c r="T63" s="198"/>
      <c r="U63" s="198"/>
    </row>
    <row r="64" spans="1:21" s="12" customFormat="1" x14ac:dyDescent="0.25">
      <c r="A64" s="201" t="s">
        <v>1064</v>
      </c>
      <c r="B64" s="215" t="s">
        <v>31</v>
      </c>
      <c r="C64" s="215" t="s">
        <v>31</v>
      </c>
      <c r="D64" s="215" t="s">
        <v>31</v>
      </c>
      <c r="E64" s="215" t="s">
        <v>31</v>
      </c>
      <c r="F64" s="215" t="s">
        <v>31</v>
      </c>
      <c r="G64" s="215" t="s">
        <v>31</v>
      </c>
      <c r="H64" s="215" t="s">
        <v>31</v>
      </c>
      <c r="I64" s="215" t="s">
        <v>31</v>
      </c>
      <c r="J64" s="215" t="s">
        <v>31</v>
      </c>
      <c r="K64" s="215" t="s">
        <v>31</v>
      </c>
      <c r="L64" s="215" t="s">
        <v>31</v>
      </c>
      <c r="M64" s="215" t="s">
        <v>31</v>
      </c>
      <c r="N64" s="215" t="s">
        <v>31</v>
      </c>
      <c r="O64" s="215" t="s">
        <v>31</v>
      </c>
      <c r="P64" s="215" t="s">
        <v>31</v>
      </c>
      <c r="Q64" s="215" t="s">
        <v>31</v>
      </c>
      <c r="R64" s="198"/>
      <c r="S64" s="198"/>
      <c r="T64" s="198"/>
      <c r="U64" s="198"/>
    </row>
    <row r="65" spans="1:21" s="12" customFormat="1" x14ac:dyDescent="0.25">
      <c r="A65" s="201" t="s">
        <v>1065</v>
      </c>
      <c r="B65" s="215" t="s">
        <v>31</v>
      </c>
      <c r="C65" s="215" t="s">
        <v>31</v>
      </c>
      <c r="D65" s="215" t="s">
        <v>31</v>
      </c>
      <c r="E65" s="215" t="s">
        <v>31</v>
      </c>
      <c r="F65" s="215" t="s">
        <v>31</v>
      </c>
      <c r="G65" s="215" t="s">
        <v>31</v>
      </c>
      <c r="H65" s="215" t="s">
        <v>31</v>
      </c>
      <c r="I65" s="215" t="s">
        <v>31</v>
      </c>
      <c r="J65" s="215" t="s">
        <v>31</v>
      </c>
      <c r="K65" s="215" t="s">
        <v>31</v>
      </c>
      <c r="L65" s="215" t="s">
        <v>31</v>
      </c>
      <c r="M65" s="215" t="s">
        <v>31</v>
      </c>
      <c r="N65" s="215" t="s">
        <v>31</v>
      </c>
      <c r="O65" s="215" t="s">
        <v>31</v>
      </c>
      <c r="P65" s="215" t="s">
        <v>31</v>
      </c>
      <c r="Q65" s="215" t="s">
        <v>31</v>
      </c>
      <c r="R65" s="198"/>
      <c r="S65" s="198"/>
      <c r="T65" s="198"/>
      <c r="U65" s="198"/>
    </row>
    <row r="66" spans="1:21" s="12" customFormat="1" x14ac:dyDescent="0.25">
      <c r="A66" s="201" t="s">
        <v>1066</v>
      </c>
      <c r="B66" s="215" t="s">
        <v>31</v>
      </c>
      <c r="C66" s="215" t="s">
        <v>31</v>
      </c>
      <c r="D66" s="215" t="s">
        <v>31</v>
      </c>
      <c r="E66" s="215" t="s">
        <v>31</v>
      </c>
      <c r="F66" s="215" t="s">
        <v>31</v>
      </c>
      <c r="G66" s="215" t="s">
        <v>31</v>
      </c>
      <c r="H66" s="215" t="s">
        <v>31</v>
      </c>
      <c r="I66" s="215" t="s">
        <v>31</v>
      </c>
      <c r="J66" s="215" t="s">
        <v>31</v>
      </c>
      <c r="K66" s="215" t="s">
        <v>31</v>
      </c>
      <c r="L66" s="215" t="s">
        <v>31</v>
      </c>
      <c r="M66" s="215" t="s">
        <v>31</v>
      </c>
      <c r="N66" s="215" t="s">
        <v>31</v>
      </c>
      <c r="O66" s="215" t="s">
        <v>31</v>
      </c>
      <c r="P66" s="215" t="s">
        <v>31</v>
      </c>
      <c r="Q66" s="215" t="s">
        <v>31</v>
      </c>
      <c r="R66" s="198"/>
      <c r="S66" s="198"/>
      <c r="T66" s="198"/>
      <c r="U66" s="198"/>
    </row>
    <row r="67" spans="1:21" s="12" customFormat="1" x14ac:dyDescent="0.25">
      <c r="A67" s="201" t="s">
        <v>1067</v>
      </c>
      <c r="B67" s="215" t="s">
        <v>31</v>
      </c>
      <c r="C67" s="215" t="s">
        <v>31</v>
      </c>
      <c r="D67" s="215" t="s">
        <v>31</v>
      </c>
      <c r="E67" s="215" t="s">
        <v>31</v>
      </c>
      <c r="F67" s="215" t="s">
        <v>31</v>
      </c>
      <c r="G67" s="215" t="s">
        <v>31</v>
      </c>
      <c r="H67" s="215" t="s">
        <v>31</v>
      </c>
      <c r="I67" s="215" t="s">
        <v>31</v>
      </c>
      <c r="J67" s="215" t="s">
        <v>31</v>
      </c>
      <c r="K67" s="215" t="s">
        <v>31</v>
      </c>
      <c r="L67" s="215" t="s">
        <v>31</v>
      </c>
      <c r="M67" s="215" t="s">
        <v>31</v>
      </c>
      <c r="N67" s="215" t="s">
        <v>31</v>
      </c>
      <c r="O67" s="215" t="s">
        <v>31</v>
      </c>
      <c r="P67" s="215" t="s">
        <v>31</v>
      </c>
      <c r="Q67" s="215" t="s">
        <v>31</v>
      </c>
      <c r="R67" s="198"/>
      <c r="S67" s="198"/>
      <c r="T67" s="198"/>
      <c r="U67" s="198"/>
    </row>
    <row r="68" spans="1:21" s="12" customFormat="1" x14ac:dyDescent="0.25">
      <c r="A68" s="201" t="s">
        <v>1068</v>
      </c>
      <c r="B68" s="215" t="s">
        <v>31</v>
      </c>
      <c r="C68" s="215" t="s">
        <v>31</v>
      </c>
      <c r="D68" s="215" t="s">
        <v>31</v>
      </c>
      <c r="E68" s="215" t="s">
        <v>31</v>
      </c>
      <c r="F68" s="215" t="s">
        <v>31</v>
      </c>
      <c r="G68" s="215" t="s">
        <v>31</v>
      </c>
      <c r="H68" s="215" t="s">
        <v>31</v>
      </c>
      <c r="I68" s="215" t="s">
        <v>31</v>
      </c>
      <c r="J68" s="215" t="s">
        <v>31</v>
      </c>
      <c r="K68" s="215" t="s">
        <v>31</v>
      </c>
      <c r="L68" s="215" t="s">
        <v>31</v>
      </c>
      <c r="M68" s="215" t="s">
        <v>31</v>
      </c>
      <c r="N68" s="215" t="s">
        <v>31</v>
      </c>
      <c r="O68" s="215" t="s">
        <v>31</v>
      </c>
      <c r="P68" s="215" t="s">
        <v>31</v>
      </c>
      <c r="Q68" s="215" t="s">
        <v>31</v>
      </c>
      <c r="R68" s="198"/>
      <c r="S68" s="198"/>
      <c r="T68" s="198"/>
      <c r="U68" s="198"/>
    </row>
    <row r="69" spans="1:21" s="12" customFormat="1" x14ac:dyDescent="0.25">
      <c r="A69" s="201" t="s">
        <v>1069</v>
      </c>
      <c r="B69" s="215" t="s">
        <v>31</v>
      </c>
      <c r="C69" s="215" t="s">
        <v>31</v>
      </c>
      <c r="D69" s="215" t="s">
        <v>31</v>
      </c>
      <c r="E69" s="215" t="s">
        <v>31</v>
      </c>
      <c r="F69" s="215" t="s">
        <v>31</v>
      </c>
      <c r="G69" s="215" t="s">
        <v>31</v>
      </c>
      <c r="H69" s="215" t="s">
        <v>31</v>
      </c>
      <c r="I69" s="215" t="s">
        <v>31</v>
      </c>
      <c r="J69" s="215" t="s">
        <v>31</v>
      </c>
      <c r="K69" s="215" t="s">
        <v>31</v>
      </c>
      <c r="L69" s="215" t="s">
        <v>31</v>
      </c>
      <c r="M69" s="215" t="s">
        <v>31</v>
      </c>
      <c r="N69" s="215" t="s">
        <v>31</v>
      </c>
      <c r="O69" s="215" t="s">
        <v>31</v>
      </c>
      <c r="P69" s="215" t="s">
        <v>31</v>
      </c>
      <c r="Q69" s="215" t="s">
        <v>31</v>
      </c>
      <c r="R69" s="198"/>
      <c r="S69" s="198"/>
      <c r="T69" s="198"/>
      <c r="U69" s="198"/>
    </row>
    <row r="70" spans="1:21" s="12" customFormat="1" x14ac:dyDescent="0.25">
      <c r="A70" s="201" t="s">
        <v>1070</v>
      </c>
      <c r="B70" s="215" t="s">
        <v>31</v>
      </c>
      <c r="C70" s="215" t="s">
        <v>31</v>
      </c>
      <c r="D70" s="215" t="s">
        <v>31</v>
      </c>
      <c r="E70" s="215" t="s">
        <v>31</v>
      </c>
      <c r="F70" s="215" t="s">
        <v>31</v>
      </c>
      <c r="G70" s="215" t="s">
        <v>31</v>
      </c>
      <c r="H70" s="215" t="s">
        <v>31</v>
      </c>
      <c r="I70" s="215" t="s">
        <v>31</v>
      </c>
      <c r="J70" s="215" t="s">
        <v>31</v>
      </c>
      <c r="K70" s="215" t="s">
        <v>31</v>
      </c>
      <c r="L70" s="215" t="s">
        <v>31</v>
      </c>
      <c r="M70" s="215" t="s">
        <v>31</v>
      </c>
      <c r="N70" s="215" t="s">
        <v>31</v>
      </c>
      <c r="O70" s="215" t="s">
        <v>31</v>
      </c>
      <c r="P70" s="215" t="s">
        <v>31</v>
      </c>
      <c r="Q70" s="215" t="s">
        <v>31</v>
      </c>
      <c r="R70" s="198"/>
      <c r="S70" s="198"/>
      <c r="T70" s="198"/>
      <c r="U70" s="198"/>
    </row>
    <row r="71" spans="1:21" s="12" customFormat="1" x14ac:dyDescent="0.25">
      <c r="A71" s="201" t="s">
        <v>1071</v>
      </c>
      <c r="B71" s="215" t="s">
        <v>31</v>
      </c>
      <c r="C71" s="215" t="s">
        <v>31</v>
      </c>
      <c r="D71" s="215" t="s">
        <v>31</v>
      </c>
      <c r="E71" s="215" t="s">
        <v>31</v>
      </c>
      <c r="F71" s="215" t="s">
        <v>31</v>
      </c>
      <c r="G71" s="215" t="s">
        <v>31</v>
      </c>
      <c r="H71" s="215" t="s">
        <v>31</v>
      </c>
      <c r="I71" s="215" t="s">
        <v>31</v>
      </c>
      <c r="J71" s="215" t="s">
        <v>31</v>
      </c>
      <c r="K71" s="215" t="s">
        <v>31</v>
      </c>
      <c r="L71" s="215" t="s">
        <v>31</v>
      </c>
      <c r="M71" s="215" t="s">
        <v>31</v>
      </c>
      <c r="N71" s="215" t="s">
        <v>31</v>
      </c>
      <c r="O71" s="215" t="s">
        <v>31</v>
      </c>
      <c r="P71" s="215" t="s">
        <v>31</v>
      </c>
      <c r="Q71" s="215" t="s">
        <v>31</v>
      </c>
      <c r="R71" s="198"/>
      <c r="S71" s="198"/>
      <c r="T71" s="198"/>
      <c r="U71" s="198"/>
    </row>
    <row r="72" spans="1:21" s="12" customFormat="1" x14ac:dyDescent="0.25">
      <c r="A72" s="201" t="s">
        <v>1072</v>
      </c>
      <c r="B72" s="215" t="s">
        <v>31</v>
      </c>
      <c r="C72" s="215" t="s">
        <v>31</v>
      </c>
      <c r="D72" s="215" t="s">
        <v>31</v>
      </c>
      <c r="E72" s="215" t="s">
        <v>31</v>
      </c>
      <c r="F72" s="215" t="s">
        <v>31</v>
      </c>
      <c r="G72" s="215" t="s">
        <v>31</v>
      </c>
      <c r="H72" s="215" t="s">
        <v>31</v>
      </c>
      <c r="I72" s="215" t="s">
        <v>31</v>
      </c>
      <c r="J72" s="215" t="s">
        <v>31</v>
      </c>
      <c r="K72" s="215" t="s">
        <v>31</v>
      </c>
      <c r="L72" s="215" t="s">
        <v>31</v>
      </c>
      <c r="M72" s="215" t="s">
        <v>31</v>
      </c>
      <c r="N72" s="215" t="s">
        <v>31</v>
      </c>
      <c r="O72" s="215" t="s">
        <v>31</v>
      </c>
      <c r="P72" s="215" t="s">
        <v>31</v>
      </c>
      <c r="Q72" s="215" t="s">
        <v>31</v>
      </c>
      <c r="R72" s="198"/>
      <c r="S72" s="198"/>
      <c r="T72" s="198"/>
      <c r="U72" s="198"/>
    </row>
    <row r="73" spans="1:21" s="12" customFormat="1" x14ac:dyDescent="0.25">
      <c r="A73" s="201" t="s">
        <v>1073</v>
      </c>
      <c r="B73" s="215" t="s">
        <v>31</v>
      </c>
      <c r="C73" s="215" t="s">
        <v>31</v>
      </c>
      <c r="D73" s="215" t="s">
        <v>31</v>
      </c>
      <c r="E73" s="215" t="s">
        <v>31</v>
      </c>
      <c r="F73" s="215" t="s">
        <v>31</v>
      </c>
      <c r="G73" s="215" t="s">
        <v>31</v>
      </c>
      <c r="H73" s="215" t="s">
        <v>31</v>
      </c>
      <c r="I73" s="215" t="s">
        <v>31</v>
      </c>
      <c r="J73" s="215" t="s">
        <v>31</v>
      </c>
      <c r="K73" s="215" t="s">
        <v>31</v>
      </c>
      <c r="L73" s="215" t="s">
        <v>31</v>
      </c>
      <c r="M73" s="215" t="s">
        <v>31</v>
      </c>
      <c r="N73" s="215" t="s">
        <v>31</v>
      </c>
      <c r="O73" s="215" t="s">
        <v>31</v>
      </c>
      <c r="P73" s="215" t="s">
        <v>31</v>
      </c>
      <c r="Q73" s="215" t="s">
        <v>31</v>
      </c>
      <c r="R73" s="198"/>
      <c r="S73" s="198"/>
      <c r="T73" s="198"/>
      <c r="U73" s="198"/>
    </row>
    <row r="74" spans="1:21" s="12" customFormat="1" x14ac:dyDescent="0.25">
      <c r="A74" s="201" t="s">
        <v>1074</v>
      </c>
      <c r="B74" s="215" t="s">
        <v>31</v>
      </c>
      <c r="C74" s="215" t="s">
        <v>31</v>
      </c>
      <c r="D74" s="215" t="s">
        <v>31</v>
      </c>
      <c r="E74" s="215" t="s">
        <v>31</v>
      </c>
      <c r="F74" s="215" t="s">
        <v>31</v>
      </c>
      <c r="G74" s="215" t="s">
        <v>31</v>
      </c>
      <c r="H74" s="215" t="s">
        <v>31</v>
      </c>
      <c r="I74" s="215" t="s">
        <v>31</v>
      </c>
      <c r="J74" s="215" t="s">
        <v>31</v>
      </c>
      <c r="K74" s="215" t="s">
        <v>31</v>
      </c>
      <c r="L74" s="215" t="s">
        <v>31</v>
      </c>
      <c r="M74" s="215" t="s">
        <v>31</v>
      </c>
      <c r="N74" s="215" t="s">
        <v>31</v>
      </c>
      <c r="O74" s="215" t="s">
        <v>31</v>
      </c>
      <c r="P74" s="215" t="s">
        <v>31</v>
      </c>
      <c r="Q74" s="215" t="s">
        <v>31</v>
      </c>
      <c r="R74" s="198"/>
      <c r="S74" s="198"/>
      <c r="T74" s="198"/>
      <c r="U74" s="198"/>
    </row>
    <row r="75" spans="1:21" s="12" customFormat="1" x14ac:dyDescent="0.25">
      <c r="A75" s="201" t="s">
        <v>1075</v>
      </c>
      <c r="B75" s="215" t="s">
        <v>31</v>
      </c>
      <c r="C75" s="215" t="s">
        <v>31</v>
      </c>
      <c r="D75" s="215" t="s">
        <v>31</v>
      </c>
      <c r="E75" s="215" t="s">
        <v>31</v>
      </c>
      <c r="F75" s="215" t="s">
        <v>31</v>
      </c>
      <c r="G75" s="215" t="s">
        <v>31</v>
      </c>
      <c r="H75" s="215" t="s">
        <v>31</v>
      </c>
      <c r="I75" s="215" t="s">
        <v>31</v>
      </c>
      <c r="J75" s="215" t="s">
        <v>31</v>
      </c>
      <c r="K75" s="215" t="s">
        <v>31</v>
      </c>
      <c r="L75" s="215" t="s">
        <v>31</v>
      </c>
      <c r="M75" s="215" t="s">
        <v>31</v>
      </c>
      <c r="N75" s="215" t="s">
        <v>31</v>
      </c>
      <c r="O75" s="215" t="s">
        <v>31</v>
      </c>
      <c r="P75" s="215" t="s">
        <v>31</v>
      </c>
      <c r="Q75" s="215" t="s">
        <v>31</v>
      </c>
      <c r="R75" s="198"/>
      <c r="S75" s="198"/>
      <c r="T75" s="198"/>
      <c r="U75" s="198"/>
    </row>
    <row r="76" spans="1:21" s="12" customFormat="1" x14ac:dyDescent="0.25">
      <c r="A76" s="201" t="s">
        <v>1076</v>
      </c>
      <c r="B76" s="215" t="s">
        <v>31</v>
      </c>
      <c r="C76" s="215" t="s">
        <v>31</v>
      </c>
      <c r="D76" s="215" t="s">
        <v>31</v>
      </c>
      <c r="E76" s="215" t="s">
        <v>31</v>
      </c>
      <c r="F76" s="215" t="s">
        <v>31</v>
      </c>
      <c r="G76" s="215" t="s">
        <v>31</v>
      </c>
      <c r="H76" s="215" t="s">
        <v>31</v>
      </c>
      <c r="I76" s="215" t="s">
        <v>31</v>
      </c>
      <c r="J76" s="215" t="s">
        <v>31</v>
      </c>
      <c r="K76" s="215" t="s">
        <v>31</v>
      </c>
      <c r="L76" s="215" t="s">
        <v>31</v>
      </c>
      <c r="M76" s="215" t="s">
        <v>31</v>
      </c>
      <c r="N76" s="215" t="s">
        <v>31</v>
      </c>
      <c r="O76" s="215" t="s">
        <v>31</v>
      </c>
      <c r="P76" s="215" t="s">
        <v>31</v>
      </c>
      <c r="Q76" s="215" t="s">
        <v>31</v>
      </c>
      <c r="R76" s="198"/>
      <c r="S76" s="198"/>
      <c r="T76" s="198"/>
      <c r="U76" s="198"/>
    </row>
    <row r="77" spans="1:21" s="12" customFormat="1" x14ac:dyDescent="0.25">
      <c r="A77" s="201" t="s">
        <v>1077</v>
      </c>
      <c r="B77" s="215" t="s">
        <v>31</v>
      </c>
      <c r="C77" s="215" t="s">
        <v>31</v>
      </c>
      <c r="D77" s="215" t="s">
        <v>31</v>
      </c>
      <c r="E77" s="215" t="s">
        <v>31</v>
      </c>
      <c r="F77" s="215" t="s">
        <v>31</v>
      </c>
      <c r="G77" s="215" t="s">
        <v>31</v>
      </c>
      <c r="H77" s="215" t="s">
        <v>31</v>
      </c>
      <c r="I77" s="215" t="s">
        <v>31</v>
      </c>
      <c r="J77" s="215" t="s">
        <v>31</v>
      </c>
      <c r="K77" s="215" t="s">
        <v>31</v>
      </c>
      <c r="L77" s="215" t="s">
        <v>31</v>
      </c>
      <c r="M77" s="215" t="s">
        <v>31</v>
      </c>
      <c r="N77" s="215" t="s">
        <v>31</v>
      </c>
      <c r="O77" s="215" t="s">
        <v>31</v>
      </c>
      <c r="P77" s="215" t="s">
        <v>31</v>
      </c>
      <c r="Q77" s="215" t="s">
        <v>31</v>
      </c>
      <c r="R77" s="198"/>
      <c r="S77" s="198"/>
      <c r="T77" s="198"/>
      <c r="U77" s="198"/>
    </row>
    <row r="78" spans="1:21" s="12" customFormat="1" x14ac:dyDescent="0.25">
      <c r="A78" s="201" t="s">
        <v>1078</v>
      </c>
      <c r="B78" s="215" t="s">
        <v>31</v>
      </c>
      <c r="C78" s="215" t="s">
        <v>31</v>
      </c>
      <c r="D78" s="215" t="s">
        <v>31</v>
      </c>
      <c r="E78" s="215" t="s">
        <v>31</v>
      </c>
      <c r="F78" s="215" t="s">
        <v>31</v>
      </c>
      <c r="G78" s="215" t="s">
        <v>31</v>
      </c>
      <c r="H78" s="215" t="s">
        <v>31</v>
      </c>
      <c r="I78" s="215" t="s">
        <v>31</v>
      </c>
      <c r="J78" s="215" t="s">
        <v>31</v>
      </c>
      <c r="K78" s="215" t="s">
        <v>31</v>
      </c>
      <c r="L78" s="215" t="s">
        <v>31</v>
      </c>
      <c r="M78" s="215" t="s">
        <v>31</v>
      </c>
      <c r="N78" s="215" t="s">
        <v>31</v>
      </c>
      <c r="O78" s="215" t="s">
        <v>31</v>
      </c>
      <c r="P78" s="215" t="s">
        <v>31</v>
      </c>
      <c r="Q78" s="215" t="s">
        <v>31</v>
      </c>
      <c r="R78" s="198"/>
      <c r="S78" s="198"/>
      <c r="T78" s="198"/>
      <c r="U78" s="198"/>
    </row>
    <row r="79" spans="1:21" s="12" customFormat="1" x14ac:dyDescent="0.25">
      <c r="A79" s="201" t="s">
        <v>1079</v>
      </c>
      <c r="B79" s="215" t="s">
        <v>31</v>
      </c>
      <c r="C79" s="215" t="s">
        <v>31</v>
      </c>
      <c r="D79" s="215" t="s">
        <v>31</v>
      </c>
      <c r="E79" s="215" t="s">
        <v>31</v>
      </c>
      <c r="F79" s="215" t="s">
        <v>31</v>
      </c>
      <c r="G79" s="215" t="s">
        <v>31</v>
      </c>
      <c r="H79" s="215" t="s">
        <v>31</v>
      </c>
      <c r="I79" s="215" t="s">
        <v>31</v>
      </c>
      <c r="J79" s="215" t="s">
        <v>31</v>
      </c>
      <c r="K79" s="215" t="s">
        <v>31</v>
      </c>
      <c r="L79" s="215" t="s">
        <v>31</v>
      </c>
      <c r="M79" s="215" t="s">
        <v>31</v>
      </c>
      <c r="N79" s="215" t="s">
        <v>31</v>
      </c>
      <c r="O79" s="215" t="s">
        <v>31</v>
      </c>
      <c r="P79" s="215" t="s">
        <v>31</v>
      </c>
      <c r="Q79" s="215" t="s">
        <v>31</v>
      </c>
      <c r="R79" s="198"/>
      <c r="S79" s="198"/>
      <c r="T79" s="198"/>
      <c r="U79" s="198"/>
    </row>
    <row r="80" spans="1:21" s="12" customFormat="1" x14ac:dyDescent="0.25">
      <c r="A80" s="201" t="s">
        <v>1080</v>
      </c>
      <c r="B80" s="215" t="s">
        <v>31</v>
      </c>
      <c r="C80" s="215" t="s">
        <v>31</v>
      </c>
      <c r="D80" s="215" t="s">
        <v>31</v>
      </c>
      <c r="E80" s="215" t="s">
        <v>31</v>
      </c>
      <c r="F80" s="215" t="s">
        <v>31</v>
      </c>
      <c r="G80" s="215" t="s">
        <v>31</v>
      </c>
      <c r="H80" s="215" t="s">
        <v>31</v>
      </c>
      <c r="I80" s="215" t="s">
        <v>31</v>
      </c>
      <c r="J80" s="215" t="s">
        <v>31</v>
      </c>
      <c r="K80" s="215" t="s">
        <v>31</v>
      </c>
      <c r="L80" s="215" t="s">
        <v>31</v>
      </c>
      <c r="M80" s="215" t="s">
        <v>31</v>
      </c>
      <c r="N80" s="215" t="s">
        <v>31</v>
      </c>
      <c r="O80" s="215" t="s">
        <v>31</v>
      </c>
      <c r="P80" s="215" t="s">
        <v>31</v>
      </c>
      <c r="Q80" s="215" t="s">
        <v>31</v>
      </c>
      <c r="R80" s="198"/>
      <c r="S80" s="198"/>
      <c r="T80" s="198"/>
      <c r="U80" s="198"/>
    </row>
    <row r="81" spans="1:26" s="12" customFormat="1" x14ac:dyDescent="0.25">
      <c r="A81" s="201" t="s">
        <v>1081</v>
      </c>
      <c r="B81" s="215" t="s">
        <v>31</v>
      </c>
      <c r="C81" s="215" t="s">
        <v>31</v>
      </c>
      <c r="D81" s="215" t="s">
        <v>31</v>
      </c>
      <c r="E81" s="215" t="s">
        <v>31</v>
      </c>
      <c r="F81" s="215" t="s">
        <v>31</v>
      </c>
      <c r="G81" s="215" t="s">
        <v>31</v>
      </c>
      <c r="H81" s="215" t="s">
        <v>31</v>
      </c>
      <c r="I81" s="215" t="s">
        <v>31</v>
      </c>
      <c r="J81" s="215" t="s">
        <v>31</v>
      </c>
      <c r="K81" s="215" t="s">
        <v>31</v>
      </c>
      <c r="L81" s="215" t="s">
        <v>31</v>
      </c>
      <c r="M81" s="215" t="s">
        <v>31</v>
      </c>
      <c r="N81" s="215" t="s">
        <v>31</v>
      </c>
      <c r="O81" s="215" t="s">
        <v>31</v>
      </c>
      <c r="P81" s="215" t="s">
        <v>31</v>
      </c>
      <c r="Q81" s="215" t="s">
        <v>31</v>
      </c>
      <c r="R81" s="198"/>
      <c r="S81" s="198"/>
      <c r="T81" s="198"/>
      <c r="U81" s="198"/>
    </row>
    <row r="82" spans="1:26" s="12" customFormat="1" x14ac:dyDescent="0.25">
      <c r="A82" s="201" t="s">
        <v>1082</v>
      </c>
      <c r="B82" s="215" t="s">
        <v>31</v>
      </c>
      <c r="C82" s="215" t="s">
        <v>31</v>
      </c>
      <c r="D82" s="215" t="s">
        <v>31</v>
      </c>
      <c r="E82" s="215" t="s">
        <v>31</v>
      </c>
      <c r="F82" s="215" t="s">
        <v>31</v>
      </c>
      <c r="G82" s="215" t="s">
        <v>31</v>
      </c>
      <c r="H82" s="215" t="s">
        <v>31</v>
      </c>
      <c r="I82" s="215" t="s">
        <v>31</v>
      </c>
      <c r="J82" s="215" t="s">
        <v>31</v>
      </c>
      <c r="K82" s="215" t="s">
        <v>31</v>
      </c>
      <c r="L82" s="215" t="s">
        <v>31</v>
      </c>
      <c r="M82" s="215" t="s">
        <v>31</v>
      </c>
      <c r="N82" s="215" t="s">
        <v>31</v>
      </c>
      <c r="O82" s="215" t="s">
        <v>31</v>
      </c>
      <c r="P82" s="215" t="s">
        <v>31</v>
      </c>
      <c r="Q82" s="215" t="s">
        <v>31</v>
      </c>
      <c r="R82" s="198"/>
      <c r="S82" s="198"/>
      <c r="T82" s="198"/>
      <c r="U82" s="198"/>
    </row>
    <row r="83" spans="1:26" s="12" customFormat="1" x14ac:dyDescent="0.25">
      <c r="A83" s="201" t="s">
        <v>1083</v>
      </c>
      <c r="B83" s="215" t="s">
        <v>31</v>
      </c>
      <c r="C83" s="215" t="s">
        <v>31</v>
      </c>
      <c r="D83" s="215" t="s">
        <v>31</v>
      </c>
      <c r="E83" s="215" t="s">
        <v>31</v>
      </c>
      <c r="F83" s="215" t="s">
        <v>31</v>
      </c>
      <c r="G83" s="215" t="s">
        <v>31</v>
      </c>
      <c r="H83" s="215" t="s">
        <v>31</v>
      </c>
      <c r="I83" s="215" t="s">
        <v>31</v>
      </c>
      <c r="J83" s="215" t="s">
        <v>31</v>
      </c>
      <c r="K83" s="215" t="s">
        <v>31</v>
      </c>
      <c r="L83" s="215" t="s">
        <v>31</v>
      </c>
      <c r="M83" s="215" t="s">
        <v>31</v>
      </c>
      <c r="N83" s="215" t="s">
        <v>31</v>
      </c>
      <c r="O83" s="215" t="s">
        <v>31</v>
      </c>
      <c r="P83" s="215" t="s">
        <v>31</v>
      </c>
      <c r="Q83" s="215" t="s">
        <v>31</v>
      </c>
      <c r="R83" s="198"/>
      <c r="S83" s="198"/>
      <c r="T83" s="198"/>
      <c r="U83" s="198"/>
    </row>
    <row r="84" spans="1:26" s="12" customFormat="1" x14ac:dyDescent="0.25">
      <c r="A84" s="201" t="s">
        <v>1084</v>
      </c>
      <c r="B84" s="215" t="s">
        <v>31</v>
      </c>
      <c r="C84" s="215" t="s">
        <v>31</v>
      </c>
      <c r="D84" s="215" t="s">
        <v>31</v>
      </c>
      <c r="E84" s="215" t="s">
        <v>31</v>
      </c>
      <c r="F84" s="215" t="s">
        <v>31</v>
      </c>
      <c r="G84" s="215" t="s">
        <v>31</v>
      </c>
      <c r="H84" s="215" t="s">
        <v>31</v>
      </c>
      <c r="I84" s="215" t="s">
        <v>31</v>
      </c>
      <c r="J84" s="215" t="s">
        <v>31</v>
      </c>
      <c r="K84" s="215" t="s">
        <v>31</v>
      </c>
      <c r="L84" s="215" t="s">
        <v>31</v>
      </c>
      <c r="M84" s="215" t="s">
        <v>31</v>
      </c>
      <c r="N84" s="215" t="s">
        <v>31</v>
      </c>
      <c r="O84" s="215" t="s">
        <v>31</v>
      </c>
      <c r="P84" s="215" t="s">
        <v>31</v>
      </c>
      <c r="Q84" s="215" t="s">
        <v>31</v>
      </c>
      <c r="R84" s="198"/>
      <c r="S84" s="198"/>
      <c r="T84" s="198"/>
      <c r="U84" s="198"/>
    </row>
    <row r="85" spans="1:26" s="12" customFormat="1" x14ac:dyDescent="0.25">
      <c r="A85" s="201" t="s">
        <v>1085</v>
      </c>
      <c r="B85" s="215" t="s">
        <v>31</v>
      </c>
      <c r="C85" s="215" t="s">
        <v>31</v>
      </c>
      <c r="D85" s="215" t="s">
        <v>31</v>
      </c>
      <c r="E85" s="215" t="s">
        <v>31</v>
      </c>
      <c r="F85" s="215" t="s">
        <v>31</v>
      </c>
      <c r="G85" s="215" t="s">
        <v>31</v>
      </c>
      <c r="H85" s="215" t="s">
        <v>31</v>
      </c>
      <c r="I85" s="215" t="s">
        <v>31</v>
      </c>
      <c r="J85" s="215" t="s">
        <v>31</v>
      </c>
      <c r="K85" s="215" t="s">
        <v>31</v>
      </c>
      <c r="L85" s="215" t="s">
        <v>31</v>
      </c>
      <c r="M85" s="215" t="s">
        <v>31</v>
      </c>
      <c r="N85" s="215" t="s">
        <v>31</v>
      </c>
      <c r="O85" s="215" t="s">
        <v>31</v>
      </c>
      <c r="P85" s="215" t="s">
        <v>31</v>
      </c>
      <c r="Q85" s="215" t="s">
        <v>31</v>
      </c>
      <c r="R85" s="198"/>
      <c r="S85" s="198"/>
      <c r="T85" s="198"/>
      <c r="U85" s="198"/>
    </row>
    <row r="86" spans="1:26" s="12" customFormat="1" x14ac:dyDescent="0.25">
      <c r="A86" s="201" t="s">
        <v>1086</v>
      </c>
      <c r="B86" s="215" t="s">
        <v>31</v>
      </c>
      <c r="C86" s="215" t="s">
        <v>31</v>
      </c>
      <c r="D86" s="215" t="s">
        <v>31</v>
      </c>
      <c r="E86" s="215" t="s">
        <v>31</v>
      </c>
      <c r="F86" s="215" t="s">
        <v>31</v>
      </c>
      <c r="G86" s="215" t="s">
        <v>31</v>
      </c>
      <c r="H86" s="215" t="s">
        <v>31</v>
      </c>
      <c r="I86" s="215" t="s">
        <v>31</v>
      </c>
      <c r="J86" s="215" t="s">
        <v>31</v>
      </c>
      <c r="K86" s="215" t="s">
        <v>31</v>
      </c>
      <c r="L86" s="215" t="s">
        <v>31</v>
      </c>
      <c r="M86" s="215" t="s">
        <v>31</v>
      </c>
      <c r="N86" s="215" t="s">
        <v>31</v>
      </c>
      <c r="O86" s="215" t="s">
        <v>31</v>
      </c>
      <c r="P86" s="215" t="s">
        <v>31</v>
      </c>
      <c r="Q86" s="215" t="s">
        <v>31</v>
      </c>
      <c r="R86" s="198"/>
      <c r="S86" s="198"/>
      <c r="T86" s="198"/>
      <c r="U86" s="198"/>
    </row>
    <row r="87" spans="1:26" s="12" customFormat="1" x14ac:dyDescent="0.25">
      <c r="A87" s="201" t="s">
        <v>1087</v>
      </c>
      <c r="B87" s="215" t="s">
        <v>31</v>
      </c>
      <c r="C87" s="215" t="s">
        <v>31</v>
      </c>
      <c r="D87" s="215" t="s">
        <v>31</v>
      </c>
      <c r="E87" s="215" t="s">
        <v>31</v>
      </c>
      <c r="F87" s="215" t="s">
        <v>31</v>
      </c>
      <c r="G87" s="215" t="s">
        <v>31</v>
      </c>
      <c r="H87" s="215" t="s">
        <v>31</v>
      </c>
      <c r="I87" s="215" t="s">
        <v>31</v>
      </c>
      <c r="J87" s="215" t="s">
        <v>31</v>
      </c>
      <c r="K87" s="215" t="s">
        <v>31</v>
      </c>
      <c r="L87" s="215" t="s">
        <v>31</v>
      </c>
      <c r="M87" s="215" t="s">
        <v>31</v>
      </c>
      <c r="N87" s="215" t="s">
        <v>31</v>
      </c>
      <c r="O87" s="215" t="s">
        <v>31</v>
      </c>
      <c r="P87" s="215" t="s">
        <v>31</v>
      </c>
      <c r="Q87" s="215" t="s">
        <v>31</v>
      </c>
      <c r="R87" s="198"/>
      <c r="S87" s="198"/>
      <c r="T87" s="198"/>
      <c r="U87" s="198"/>
    </row>
    <row r="88" spans="1:26" s="12" customFormat="1" x14ac:dyDescent="0.25">
      <c r="A88" s="201" t="s">
        <v>1088</v>
      </c>
      <c r="B88" s="215" t="s">
        <v>31</v>
      </c>
      <c r="C88" s="215" t="s">
        <v>31</v>
      </c>
      <c r="D88" s="215" t="s">
        <v>31</v>
      </c>
      <c r="E88" s="215" t="s">
        <v>31</v>
      </c>
      <c r="F88" s="215" t="s">
        <v>31</v>
      </c>
      <c r="G88" s="215" t="s">
        <v>31</v>
      </c>
      <c r="H88" s="215" t="s">
        <v>31</v>
      </c>
      <c r="I88" s="215" t="s">
        <v>31</v>
      </c>
      <c r="J88" s="215" t="s">
        <v>31</v>
      </c>
      <c r="K88" s="215" t="s">
        <v>31</v>
      </c>
      <c r="L88" s="215" t="s">
        <v>31</v>
      </c>
      <c r="M88" s="215" t="s">
        <v>31</v>
      </c>
      <c r="N88" s="215" t="s">
        <v>31</v>
      </c>
      <c r="O88" s="215" t="s">
        <v>31</v>
      </c>
      <c r="P88" s="215" t="s">
        <v>31</v>
      </c>
      <c r="Q88" s="215" t="s">
        <v>31</v>
      </c>
      <c r="R88" s="198"/>
      <c r="S88" s="198"/>
      <c r="T88" s="198"/>
      <c r="U88" s="198"/>
    </row>
    <row r="89" spans="1:26" s="12" customFormat="1" x14ac:dyDescent="0.25">
      <c r="A89" s="201" t="s">
        <v>1089</v>
      </c>
      <c r="B89" s="215" t="s">
        <v>31</v>
      </c>
      <c r="C89" s="215" t="s">
        <v>31</v>
      </c>
      <c r="D89" s="215" t="s">
        <v>31</v>
      </c>
      <c r="E89" s="215" t="s">
        <v>31</v>
      </c>
      <c r="F89" s="215" t="s">
        <v>31</v>
      </c>
      <c r="G89" s="215" t="s">
        <v>31</v>
      </c>
      <c r="H89" s="215" t="s">
        <v>31</v>
      </c>
      <c r="I89" s="215" t="s">
        <v>31</v>
      </c>
      <c r="J89" s="215" t="s">
        <v>31</v>
      </c>
      <c r="K89" s="215" t="s">
        <v>31</v>
      </c>
      <c r="L89" s="215" t="s">
        <v>31</v>
      </c>
      <c r="M89" s="215" t="s">
        <v>31</v>
      </c>
      <c r="N89" s="215" t="s">
        <v>31</v>
      </c>
      <c r="O89" s="215" t="s">
        <v>31</v>
      </c>
      <c r="P89" s="215" t="s">
        <v>31</v>
      </c>
      <c r="Q89" s="215" t="s">
        <v>31</v>
      </c>
      <c r="R89" s="198"/>
      <c r="S89" s="198"/>
      <c r="T89" s="198"/>
      <c r="U89" s="198"/>
    </row>
    <row r="90" spans="1:26" s="12" customFormat="1" x14ac:dyDescent="0.25">
      <c r="A90" s="201" t="s">
        <v>1090</v>
      </c>
      <c r="B90" s="215" t="s">
        <v>31</v>
      </c>
      <c r="C90" s="215" t="s">
        <v>31</v>
      </c>
      <c r="D90" s="215" t="s">
        <v>31</v>
      </c>
      <c r="E90" s="215" t="s">
        <v>31</v>
      </c>
      <c r="F90" s="215" t="s">
        <v>31</v>
      </c>
      <c r="G90" s="215" t="s">
        <v>31</v>
      </c>
      <c r="H90" s="215" t="s">
        <v>31</v>
      </c>
      <c r="I90" s="215" t="s">
        <v>31</v>
      </c>
      <c r="J90" s="215" t="s">
        <v>31</v>
      </c>
      <c r="K90" s="215" t="s">
        <v>31</v>
      </c>
      <c r="L90" s="215" t="s">
        <v>31</v>
      </c>
      <c r="M90" s="215" t="s">
        <v>31</v>
      </c>
      <c r="N90" s="215" t="s">
        <v>31</v>
      </c>
      <c r="O90" s="215" t="s">
        <v>31</v>
      </c>
      <c r="P90" s="215" t="s">
        <v>31</v>
      </c>
      <c r="Q90" s="215" t="s">
        <v>31</v>
      </c>
      <c r="R90" s="198"/>
      <c r="S90" s="198"/>
      <c r="T90" s="198"/>
      <c r="U90" s="198"/>
    </row>
    <row r="91" spans="1:26" s="12" customFormat="1" x14ac:dyDescent="0.25">
      <c r="A91" s="201" t="s">
        <v>1091</v>
      </c>
      <c r="B91" s="215" t="s">
        <v>31</v>
      </c>
      <c r="C91" s="215" t="s">
        <v>31</v>
      </c>
      <c r="D91" s="215" t="s">
        <v>31</v>
      </c>
      <c r="E91" s="215" t="s">
        <v>31</v>
      </c>
      <c r="F91" s="215" t="s">
        <v>31</v>
      </c>
      <c r="G91" s="215" t="s">
        <v>31</v>
      </c>
      <c r="H91" s="215" t="s">
        <v>31</v>
      </c>
      <c r="I91" s="215" t="s">
        <v>31</v>
      </c>
      <c r="J91" s="215" t="s">
        <v>31</v>
      </c>
      <c r="K91" s="215" t="s">
        <v>31</v>
      </c>
      <c r="L91" s="215" t="s">
        <v>31</v>
      </c>
      <c r="M91" s="215" t="s">
        <v>31</v>
      </c>
      <c r="N91" s="215" t="s">
        <v>31</v>
      </c>
      <c r="O91" s="215" t="s">
        <v>31</v>
      </c>
      <c r="P91" s="215" t="s">
        <v>31</v>
      </c>
      <c r="Q91" s="215" t="s">
        <v>31</v>
      </c>
      <c r="R91" s="198"/>
      <c r="S91" s="198"/>
      <c r="T91" s="198"/>
      <c r="U91" s="198"/>
    </row>
    <row r="92" spans="1:26" s="12" customFormat="1" x14ac:dyDescent="0.25">
      <c r="A92" s="201" t="s">
        <v>1092</v>
      </c>
      <c r="B92" s="215" t="s">
        <v>31</v>
      </c>
      <c r="C92" s="215" t="s">
        <v>31</v>
      </c>
      <c r="D92" s="215" t="s">
        <v>31</v>
      </c>
      <c r="E92" s="215" t="s">
        <v>31</v>
      </c>
      <c r="F92" s="215" t="s">
        <v>31</v>
      </c>
      <c r="G92" s="215" t="s">
        <v>31</v>
      </c>
      <c r="H92" s="215" t="s">
        <v>31</v>
      </c>
      <c r="I92" s="215" t="s">
        <v>31</v>
      </c>
      <c r="J92" s="215" t="s">
        <v>31</v>
      </c>
      <c r="K92" s="215" t="s">
        <v>31</v>
      </c>
      <c r="L92" s="215" t="s">
        <v>31</v>
      </c>
      <c r="M92" s="215" t="s">
        <v>31</v>
      </c>
      <c r="N92" s="215" t="s">
        <v>31</v>
      </c>
      <c r="O92" s="215" t="s">
        <v>31</v>
      </c>
      <c r="P92" s="215" t="s">
        <v>31</v>
      </c>
      <c r="Q92" s="215" t="s">
        <v>31</v>
      </c>
      <c r="R92" s="198"/>
      <c r="S92" s="198"/>
      <c r="T92" s="198"/>
      <c r="U92" s="198"/>
    </row>
    <row r="93" spans="1:26" s="12" customFormat="1" x14ac:dyDescent="0.25">
      <c r="A93" s="201" t="s">
        <v>1093</v>
      </c>
      <c r="B93" s="215" t="s">
        <v>31</v>
      </c>
      <c r="C93" s="215" t="s">
        <v>31</v>
      </c>
      <c r="D93" s="215" t="s">
        <v>31</v>
      </c>
      <c r="E93" s="215" t="s">
        <v>31</v>
      </c>
      <c r="F93" s="215" t="s">
        <v>31</v>
      </c>
      <c r="G93" s="215" t="s">
        <v>31</v>
      </c>
      <c r="H93" s="215" t="s">
        <v>31</v>
      </c>
      <c r="I93" s="215" t="s">
        <v>31</v>
      </c>
      <c r="J93" s="215" t="s">
        <v>31</v>
      </c>
      <c r="K93" s="215" t="s">
        <v>31</v>
      </c>
      <c r="L93" s="215" t="s">
        <v>31</v>
      </c>
      <c r="M93" s="215" t="s">
        <v>31</v>
      </c>
      <c r="N93" s="215" t="s">
        <v>31</v>
      </c>
      <c r="O93" s="215" t="s">
        <v>31</v>
      </c>
      <c r="P93" s="215" t="s">
        <v>31</v>
      </c>
      <c r="Q93" s="215" t="s">
        <v>31</v>
      </c>
      <c r="R93" s="198"/>
      <c r="S93" s="198"/>
      <c r="T93" s="198"/>
      <c r="U93" s="198"/>
    </row>
    <row r="94" spans="1:26" s="12" customFormat="1" x14ac:dyDescent="0.25">
      <c r="A94" s="201" t="s">
        <v>1094</v>
      </c>
      <c r="B94" s="215" t="s">
        <v>31</v>
      </c>
      <c r="C94" s="215" t="s">
        <v>31</v>
      </c>
      <c r="D94" s="215" t="s">
        <v>31</v>
      </c>
      <c r="E94" s="215" t="s">
        <v>31</v>
      </c>
      <c r="F94" s="215" t="s">
        <v>31</v>
      </c>
      <c r="G94" s="215" t="s">
        <v>31</v>
      </c>
      <c r="H94" s="215" t="s">
        <v>31</v>
      </c>
      <c r="I94" s="215" t="s">
        <v>31</v>
      </c>
      <c r="J94" s="215" t="s">
        <v>31</v>
      </c>
      <c r="K94" s="215" t="s">
        <v>31</v>
      </c>
      <c r="L94" s="215" t="s">
        <v>31</v>
      </c>
      <c r="M94" s="215" t="s">
        <v>31</v>
      </c>
      <c r="N94" s="215" t="s">
        <v>31</v>
      </c>
      <c r="O94" s="215" t="s">
        <v>31</v>
      </c>
      <c r="P94" s="215" t="s">
        <v>31</v>
      </c>
      <c r="Q94" s="215" t="s">
        <v>31</v>
      </c>
      <c r="R94" s="198"/>
      <c r="S94" s="198"/>
      <c r="T94" s="198"/>
      <c r="U94" s="198"/>
    </row>
    <row r="95" spans="1:26" s="12" customFormat="1" x14ac:dyDescent="0.25">
      <c r="A95" s="201" t="s">
        <v>1095</v>
      </c>
      <c r="B95" s="215" t="s">
        <v>31</v>
      </c>
      <c r="C95" s="215" t="s">
        <v>31</v>
      </c>
      <c r="D95" s="215" t="s">
        <v>31</v>
      </c>
      <c r="E95" s="215" t="s">
        <v>31</v>
      </c>
      <c r="F95" s="215" t="s">
        <v>31</v>
      </c>
      <c r="G95" s="215" t="s">
        <v>31</v>
      </c>
      <c r="H95" s="215" t="s">
        <v>31</v>
      </c>
      <c r="I95" s="215" t="s">
        <v>31</v>
      </c>
      <c r="J95" s="215" t="s">
        <v>31</v>
      </c>
      <c r="K95" s="215" t="s">
        <v>31</v>
      </c>
      <c r="L95" s="215" t="s">
        <v>31</v>
      </c>
      <c r="M95" s="215" t="s">
        <v>31</v>
      </c>
      <c r="N95" s="215" t="s">
        <v>31</v>
      </c>
      <c r="O95" s="215" t="s">
        <v>31</v>
      </c>
      <c r="P95" s="215" t="s">
        <v>31</v>
      </c>
      <c r="Q95" s="215" t="s">
        <v>31</v>
      </c>
      <c r="R95" s="198"/>
      <c r="S95" s="198"/>
      <c r="T95" s="198"/>
      <c r="U95" s="198"/>
    </row>
    <row r="96" spans="1:26" s="12" customFormat="1" x14ac:dyDescent="0.25">
      <c r="A96" s="201" t="s">
        <v>1096</v>
      </c>
      <c r="B96" s="215" t="s">
        <v>31</v>
      </c>
      <c r="C96" s="215" t="s">
        <v>31</v>
      </c>
      <c r="D96" s="215" t="s">
        <v>31</v>
      </c>
      <c r="E96" s="215" t="s">
        <v>31</v>
      </c>
      <c r="F96" s="215" t="s">
        <v>31</v>
      </c>
      <c r="G96" s="215" t="s">
        <v>31</v>
      </c>
      <c r="H96" s="215" t="s">
        <v>31</v>
      </c>
      <c r="I96" s="215" t="s">
        <v>31</v>
      </c>
      <c r="J96" s="215" t="s">
        <v>31</v>
      </c>
      <c r="K96" s="215" t="s">
        <v>31</v>
      </c>
      <c r="L96" s="215" t="s">
        <v>31</v>
      </c>
      <c r="M96" s="215" t="s">
        <v>31</v>
      </c>
      <c r="N96" s="215" t="s">
        <v>31</v>
      </c>
      <c r="O96" s="215" t="s">
        <v>31</v>
      </c>
      <c r="P96" s="215" t="s">
        <v>31</v>
      </c>
      <c r="Q96" s="215" t="s">
        <v>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1097</v>
      </c>
      <c r="B97" s="215" t="s">
        <v>31</v>
      </c>
      <c r="C97" s="215" t="s">
        <v>31</v>
      </c>
      <c r="D97" s="215" t="s">
        <v>31</v>
      </c>
      <c r="E97" s="215" t="s">
        <v>31</v>
      </c>
      <c r="F97" s="215" t="s">
        <v>31</v>
      </c>
      <c r="G97" s="215" t="s">
        <v>31</v>
      </c>
      <c r="H97" s="215" t="s">
        <v>31</v>
      </c>
      <c r="I97" s="215" t="s">
        <v>31</v>
      </c>
      <c r="J97" s="215" t="s">
        <v>31</v>
      </c>
      <c r="K97" s="215" t="s">
        <v>31</v>
      </c>
      <c r="L97" s="215" t="s">
        <v>31</v>
      </c>
      <c r="M97" s="215" t="s">
        <v>31</v>
      </c>
      <c r="N97" s="215" t="s">
        <v>31</v>
      </c>
      <c r="O97" s="215" t="s">
        <v>31</v>
      </c>
      <c r="P97" s="215" t="s">
        <v>31</v>
      </c>
      <c r="Q97" s="215" t="s">
        <v>31</v>
      </c>
      <c r="R97" s="198"/>
      <c r="S97" s="198"/>
      <c r="T97" s="198"/>
      <c r="U97" s="198"/>
    </row>
    <row r="98" spans="1:33" s="12" customFormat="1" x14ac:dyDescent="0.25">
      <c r="A98" s="201" t="s">
        <v>1098</v>
      </c>
      <c r="B98" s="215" t="s">
        <v>31</v>
      </c>
      <c r="C98" s="215" t="s">
        <v>31</v>
      </c>
      <c r="D98" s="215" t="s">
        <v>31</v>
      </c>
      <c r="E98" s="215" t="s">
        <v>31</v>
      </c>
      <c r="F98" s="215" t="s">
        <v>31</v>
      </c>
      <c r="G98" s="215" t="s">
        <v>31</v>
      </c>
      <c r="H98" s="215" t="s">
        <v>31</v>
      </c>
      <c r="I98" s="215" t="s">
        <v>31</v>
      </c>
      <c r="J98" s="215" t="s">
        <v>31</v>
      </c>
      <c r="K98" s="215" t="s">
        <v>31</v>
      </c>
      <c r="L98" s="215" t="s">
        <v>31</v>
      </c>
      <c r="M98" s="215" t="s">
        <v>31</v>
      </c>
      <c r="N98" s="215" t="s">
        <v>31</v>
      </c>
      <c r="O98" s="215" t="s">
        <v>31</v>
      </c>
      <c r="P98" s="215" t="s">
        <v>31</v>
      </c>
      <c r="Q98" s="215" t="s">
        <v>31</v>
      </c>
      <c r="R98" s="198"/>
      <c r="S98" s="198"/>
      <c r="T98" s="198"/>
      <c r="U98" s="198"/>
    </row>
    <row r="99" spans="1:33" s="12" customFormat="1" x14ac:dyDescent="0.25">
      <c r="A99" s="201" t="s">
        <v>1099</v>
      </c>
      <c r="B99" s="215" t="s">
        <v>31</v>
      </c>
      <c r="C99" s="215" t="s">
        <v>31</v>
      </c>
      <c r="D99" s="215" t="s">
        <v>31</v>
      </c>
      <c r="E99" s="215" t="s">
        <v>31</v>
      </c>
      <c r="F99" s="215" t="s">
        <v>31</v>
      </c>
      <c r="G99" s="215" t="s">
        <v>31</v>
      </c>
      <c r="H99" s="215" t="s">
        <v>31</v>
      </c>
      <c r="I99" s="215" t="s">
        <v>31</v>
      </c>
      <c r="J99" s="215" t="s">
        <v>31</v>
      </c>
      <c r="K99" s="215" t="s">
        <v>31</v>
      </c>
      <c r="L99" s="215" t="s">
        <v>31</v>
      </c>
      <c r="M99" s="215" t="s">
        <v>31</v>
      </c>
      <c r="N99" s="215" t="s">
        <v>31</v>
      </c>
      <c r="O99" s="215" t="s">
        <v>31</v>
      </c>
      <c r="P99" s="215" t="s">
        <v>31</v>
      </c>
      <c r="Q99" s="215" t="s">
        <v>31</v>
      </c>
      <c r="R99" s="198"/>
      <c r="S99" s="198"/>
      <c r="T99" s="198"/>
      <c r="U99" s="198"/>
    </row>
    <row r="100" spans="1:33" s="12" customFormat="1" x14ac:dyDescent="0.25">
      <c r="A100" s="201" t="s">
        <v>1100</v>
      </c>
      <c r="B100" s="215" t="s">
        <v>31</v>
      </c>
      <c r="C100" s="215" t="s">
        <v>31</v>
      </c>
      <c r="D100" s="215" t="s">
        <v>31</v>
      </c>
      <c r="E100" s="215" t="s">
        <v>31</v>
      </c>
      <c r="F100" s="215" t="s">
        <v>31</v>
      </c>
      <c r="G100" s="215" t="s">
        <v>31</v>
      </c>
      <c r="H100" s="215" t="s">
        <v>31</v>
      </c>
      <c r="I100" s="215" t="s">
        <v>31</v>
      </c>
      <c r="J100" s="215" t="s">
        <v>31</v>
      </c>
      <c r="K100" s="215" t="s">
        <v>31</v>
      </c>
      <c r="L100" s="215" t="s">
        <v>31</v>
      </c>
      <c r="M100" s="215" t="s">
        <v>31</v>
      </c>
      <c r="N100" s="215" t="s">
        <v>31</v>
      </c>
      <c r="O100" s="215" t="s">
        <v>31</v>
      </c>
      <c r="P100" s="215" t="s">
        <v>31</v>
      </c>
      <c r="Q100" s="215" t="s">
        <v>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1101</v>
      </c>
      <c r="B101" s="215" t="s">
        <v>31</v>
      </c>
      <c r="C101" s="215" t="s">
        <v>31</v>
      </c>
      <c r="D101" s="215" t="s">
        <v>31</v>
      </c>
      <c r="E101" s="215" t="s">
        <v>31</v>
      </c>
      <c r="F101" s="215" t="s">
        <v>31</v>
      </c>
      <c r="G101" s="215" t="s">
        <v>31</v>
      </c>
      <c r="H101" s="215" t="s">
        <v>31</v>
      </c>
      <c r="I101" s="215" t="s">
        <v>31</v>
      </c>
      <c r="J101" s="215" t="s">
        <v>31</v>
      </c>
      <c r="K101" s="215" t="s">
        <v>31</v>
      </c>
      <c r="L101" s="215" t="s">
        <v>31</v>
      </c>
      <c r="M101" s="215" t="s">
        <v>31</v>
      </c>
      <c r="N101" s="215" t="s">
        <v>31</v>
      </c>
      <c r="O101" s="215" t="s">
        <v>31</v>
      </c>
      <c r="P101" s="215" t="s">
        <v>31</v>
      </c>
      <c r="Q101" s="215" t="s">
        <v>31</v>
      </c>
      <c r="R101" s="198"/>
      <c r="S101" s="198"/>
      <c r="T101" s="198"/>
      <c r="U101" s="198"/>
    </row>
    <row r="102" spans="1:33" s="12" customFormat="1" x14ac:dyDescent="0.25">
      <c r="A102" s="201" t="s">
        <v>1102</v>
      </c>
      <c r="B102" s="215" t="s">
        <v>31</v>
      </c>
      <c r="C102" s="215" t="s">
        <v>31</v>
      </c>
      <c r="D102" s="215" t="s">
        <v>31</v>
      </c>
      <c r="E102" s="215" t="s">
        <v>31</v>
      </c>
      <c r="F102" s="215" t="s">
        <v>31</v>
      </c>
      <c r="G102" s="215" t="s">
        <v>31</v>
      </c>
      <c r="H102" s="215" t="s">
        <v>31</v>
      </c>
      <c r="I102" s="215" t="s">
        <v>31</v>
      </c>
      <c r="J102" s="215" t="s">
        <v>31</v>
      </c>
      <c r="K102" s="215" t="s">
        <v>31</v>
      </c>
      <c r="L102" s="215" t="s">
        <v>31</v>
      </c>
      <c r="M102" s="215" t="s">
        <v>31</v>
      </c>
      <c r="N102" s="215" t="s">
        <v>31</v>
      </c>
      <c r="O102" s="215" t="s">
        <v>31</v>
      </c>
      <c r="P102" s="215" t="s">
        <v>31</v>
      </c>
      <c r="Q102" s="215" t="s">
        <v>31</v>
      </c>
      <c r="R102" s="198"/>
      <c r="S102" s="198"/>
      <c r="T102" s="198"/>
      <c r="U102" s="198"/>
    </row>
    <row r="103" spans="1:33" s="12" customFormat="1" x14ac:dyDescent="0.25">
      <c r="A103" s="201" t="s">
        <v>1103</v>
      </c>
      <c r="B103" s="215" t="s">
        <v>31</v>
      </c>
      <c r="C103" s="215" t="s">
        <v>31</v>
      </c>
      <c r="D103" s="215" t="s">
        <v>31</v>
      </c>
      <c r="E103" s="215" t="s">
        <v>31</v>
      </c>
      <c r="F103" s="215" t="s">
        <v>31</v>
      </c>
      <c r="G103" s="215" t="s">
        <v>31</v>
      </c>
      <c r="H103" s="215" t="s">
        <v>31</v>
      </c>
      <c r="I103" s="215" t="s">
        <v>31</v>
      </c>
      <c r="J103" s="215" t="s">
        <v>31</v>
      </c>
      <c r="K103" s="215" t="s">
        <v>31</v>
      </c>
      <c r="L103" s="215" t="s">
        <v>31</v>
      </c>
      <c r="M103" s="215" t="s">
        <v>31</v>
      </c>
      <c r="N103" s="215" t="s">
        <v>31</v>
      </c>
      <c r="O103" s="215" t="s">
        <v>31</v>
      </c>
      <c r="P103" s="215" t="s">
        <v>31</v>
      </c>
      <c r="Q103" s="215" t="s">
        <v>31</v>
      </c>
      <c r="R103" s="198"/>
      <c r="S103" s="198"/>
      <c r="T103" s="198"/>
      <c r="U103" s="198"/>
    </row>
    <row r="104" spans="1:33" s="12" customFormat="1" x14ac:dyDescent="0.25">
      <c r="A104" s="201" t="s">
        <v>1104</v>
      </c>
      <c r="B104" s="215" t="s">
        <v>31</v>
      </c>
      <c r="C104" s="215" t="s">
        <v>31</v>
      </c>
      <c r="D104" s="215" t="s">
        <v>31</v>
      </c>
      <c r="E104" s="215" t="s">
        <v>31</v>
      </c>
      <c r="F104" s="215" t="s">
        <v>31</v>
      </c>
      <c r="G104" s="215" t="s">
        <v>31</v>
      </c>
      <c r="H104" s="215" t="s">
        <v>31</v>
      </c>
      <c r="I104" s="215" t="s">
        <v>31</v>
      </c>
      <c r="J104" s="215" t="s">
        <v>31</v>
      </c>
      <c r="K104" s="215" t="s">
        <v>31</v>
      </c>
      <c r="L104" s="215" t="s">
        <v>31</v>
      </c>
      <c r="M104" s="215" t="s">
        <v>31</v>
      </c>
      <c r="N104" s="215" t="s">
        <v>31</v>
      </c>
      <c r="O104" s="215" t="s">
        <v>31</v>
      </c>
      <c r="P104" s="215" t="s">
        <v>31</v>
      </c>
      <c r="Q104" s="215" t="s">
        <v>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60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76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COUNT(B9:B104)+96</f>
        <v>96</v>
      </c>
      <c r="C110" s="66">
        <f t="shared" ref="C110:Q110" si="4">COUNT(C9:C104)+96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1107</v>
      </c>
      <c r="B9" s="60">
        <v>18.38</v>
      </c>
      <c r="C9" s="60">
        <v>76.52</v>
      </c>
      <c r="D9" s="60">
        <v>56.97</v>
      </c>
      <c r="E9" s="60">
        <v>5.04</v>
      </c>
      <c r="F9" s="60">
        <v>1.64</v>
      </c>
      <c r="G9" s="60">
        <v>180.4</v>
      </c>
      <c r="H9" s="60">
        <v>95.55</v>
      </c>
      <c r="I9" s="60">
        <v>1.04</v>
      </c>
      <c r="J9" s="60">
        <v>0.39</v>
      </c>
      <c r="K9" s="60">
        <v>351.85</v>
      </c>
      <c r="L9" s="213" t="s">
        <v>35</v>
      </c>
      <c r="M9" s="213" t="s">
        <v>35</v>
      </c>
      <c r="N9" s="60">
        <v>10.7</v>
      </c>
      <c r="O9" s="60">
        <v>0</v>
      </c>
      <c r="P9" s="60">
        <v>1.58</v>
      </c>
      <c r="Q9" s="60">
        <v>209.34</v>
      </c>
      <c r="R9" s="198"/>
      <c r="S9" s="198"/>
      <c r="T9" s="198"/>
      <c r="U9" s="198"/>
    </row>
    <row r="10" spans="1:21" s="12" customFormat="1" x14ac:dyDescent="0.25">
      <c r="A10" s="201" t="s">
        <v>1108</v>
      </c>
      <c r="B10" s="60">
        <v>20.09</v>
      </c>
      <c r="C10" s="60">
        <v>74.739999999999995</v>
      </c>
      <c r="D10" s="60">
        <v>57.36</v>
      </c>
      <c r="E10" s="60">
        <v>4.83</v>
      </c>
      <c r="F10" s="60">
        <v>1.57</v>
      </c>
      <c r="G10" s="60">
        <v>180.4</v>
      </c>
      <c r="H10" s="60">
        <v>95.55</v>
      </c>
      <c r="I10" s="60">
        <v>1.02</v>
      </c>
      <c r="J10" s="60">
        <v>0.38</v>
      </c>
      <c r="K10" s="60">
        <v>358.58</v>
      </c>
      <c r="L10" s="213" t="s">
        <v>35</v>
      </c>
      <c r="M10" s="213" t="s">
        <v>35</v>
      </c>
      <c r="N10" s="60">
        <v>10.6</v>
      </c>
      <c r="O10" s="60">
        <v>0</v>
      </c>
      <c r="P10" s="60">
        <v>1.57</v>
      </c>
      <c r="Q10" s="60">
        <v>206.95</v>
      </c>
      <c r="R10" s="198"/>
      <c r="S10" s="198"/>
      <c r="T10" s="198"/>
      <c r="U10" s="198"/>
    </row>
    <row r="11" spans="1:21" s="12" customFormat="1" x14ac:dyDescent="0.25">
      <c r="A11" s="201" t="s">
        <v>1109</v>
      </c>
      <c r="B11" s="60">
        <v>21.43</v>
      </c>
      <c r="C11" s="60">
        <v>74.72</v>
      </c>
      <c r="D11" s="60">
        <v>58.42</v>
      </c>
      <c r="E11" s="60">
        <v>4.97</v>
      </c>
      <c r="F11" s="60">
        <v>1.96</v>
      </c>
      <c r="G11" s="60">
        <v>284.88</v>
      </c>
      <c r="H11" s="60">
        <v>90.32</v>
      </c>
      <c r="I11" s="60">
        <v>1.01</v>
      </c>
      <c r="J11" s="60">
        <v>0.47</v>
      </c>
      <c r="K11" s="60">
        <v>8.9600000000000009</v>
      </c>
      <c r="L11" s="213" t="s">
        <v>35</v>
      </c>
      <c r="M11" s="213" t="s">
        <v>35</v>
      </c>
      <c r="N11" s="60">
        <v>10.4</v>
      </c>
      <c r="O11" s="60">
        <v>0</v>
      </c>
      <c r="P11" s="60">
        <v>1.53</v>
      </c>
      <c r="Q11" s="60">
        <v>211.21</v>
      </c>
      <c r="R11" s="198"/>
      <c r="S11" s="198"/>
      <c r="T11" s="198"/>
      <c r="U11" s="198"/>
    </row>
    <row r="12" spans="1:21" s="12" customFormat="1" x14ac:dyDescent="0.25">
      <c r="A12" s="201" t="s">
        <v>1110</v>
      </c>
      <c r="B12" s="60">
        <v>22.94</v>
      </c>
      <c r="C12" s="60">
        <v>80.05</v>
      </c>
      <c r="D12" s="60">
        <v>62.58</v>
      </c>
      <c r="E12" s="60">
        <v>4.6500000000000004</v>
      </c>
      <c r="F12" s="60">
        <v>1.7</v>
      </c>
      <c r="G12" s="60">
        <v>284.88</v>
      </c>
      <c r="H12" s="60">
        <v>89.01</v>
      </c>
      <c r="I12" s="60">
        <v>1</v>
      </c>
      <c r="J12" s="60">
        <v>0.45</v>
      </c>
      <c r="K12" s="60">
        <v>354.07</v>
      </c>
      <c r="L12" s="213" t="s">
        <v>35</v>
      </c>
      <c r="M12" s="213" t="s">
        <v>35</v>
      </c>
      <c r="N12" s="60">
        <v>11.2</v>
      </c>
      <c r="O12" s="60">
        <v>0</v>
      </c>
      <c r="P12" s="60">
        <v>1.53</v>
      </c>
      <c r="Q12" s="60">
        <v>220.11</v>
      </c>
      <c r="R12" s="198"/>
      <c r="S12" s="198"/>
      <c r="T12" s="198"/>
      <c r="U12" s="198"/>
    </row>
    <row r="13" spans="1:21" s="12" customFormat="1" x14ac:dyDescent="0.25">
      <c r="A13" s="201" t="s">
        <v>1111</v>
      </c>
      <c r="B13" s="60">
        <v>23.57</v>
      </c>
      <c r="C13" s="60">
        <v>84.16</v>
      </c>
      <c r="D13" s="60">
        <v>65.34</v>
      </c>
      <c r="E13" s="60">
        <v>4.88</v>
      </c>
      <c r="F13" s="60">
        <v>1.6</v>
      </c>
      <c r="G13" s="60">
        <v>284.88</v>
      </c>
      <c r="H13" s="60">
        <v>89.01</v>
      </c>
      <c r="I13" s="60">
        <v>0.99</v>
      </c>
      <c r="J13" s="60">
        <v>0.13</v>
      </c>
      <c r="K13" s="60">
        <v>297.85000000000002</v>
      </c>
      <c r="L13" s="213" t="s">
        <v>35</v>
      </c>
      <c r="M13" s="213" t="s">
        <v>35</v>
      </c>
      <c r="N13" s="60">
        <v>11.1</v>
      </c>
      <c r="O13" s="60">
        <v>0</v>
      </c>
      <c r="P13" s="60">
        <v>1.52</v>
      </c>
      <c r="Q13" s="60">
        <v>226.6</v>
      </c>
      <c r="R13" s="198"/>
      <c r="S13" s="198"/>
      <c r="T13" s="198"/>
      <c r="U13" s="198"/>
    </row>
    <row r="14" spans="1:21" s="12" customFormat="1" x14ac:dyDescent="0.25">
      <c r="A14" s="201" t="s">
        <v>1112</v>
      </c>
      <c r="B14" s="60">
        <v>23.23</v>
      </c>
      <c r="C14" s="60">
        <v>83.54</v>
      </c>
      <c r="D14" s="60">
        <v>64.739999999999995</v>
      </c>
      <c r="E14" s="60">
        <v>4.95</v>
      </c>
      <c r="F14" s="60">
        <v>1.67</v>
      </c>
      <c r="G14" s="60">
        <v>284.88</v>
      </c>
      <c r="H14" s="60">
        <v>89.01</v>
      </c>
      <c r="I14" s="60">
        <v>1.01</v>
      </c>
      <c r="J14" s="60">
        <v>0.37</v>
      </c>
      <c r="K14" s="60">
        <v>331.07</v>
      </c>
      <c r="L14" s="213" t="s">
        <v>35</v>
      </c>
      <c r="M14" s="213" t="s">
        <v>35</v>
      </c>
      <c r="N14" s="60">
        <v>11</v>
      </c>
      <c r="O14" s="60">
        <v>0</v>
      </c>
      <c r="P14" s="60">
        <v>1.55</v>
      </c>
      <c r="Q14" s="60">
        <v>228.79</v>
      </c>
      <c r="R14" s="198"/>
      <c r="S14" s="198"/>
      <c r="T14" s="198"/>
      <c r="U14" s="198"/>
    </row>
    <row r="15" spans="1:21" s="12" customFormat="1" x14ac:dyDescent="0.25">
      <c r="A15" s="201" t="s">
        <v>1113</v>
      </c>
      <c r="B15" s="60">
        <v>22.73</v>
      </c>
      <c r="C15" s="60">
        <v>80.63</v>
      </c>
      <c r="D15" s="60">
        <v>62.73</v>
      </c>
      <c r="E15" s="60">
        <v>4.9000000000000004</v>
      </c>
      <c r="F15" s="60">
        <v>1.55</v>
      </c>
      <c r="G15" s="60">
        <v>241.42</v>
      </c>
      <c r="H15" s="60">
        <v>92.77</v>
      </c>
      <c r="I15" s="60">
        <v>1</v>
      </c>
      <c r="J15" s="60">
        <v>0.18</v>
      </c>
      <c r="K15" s="60">
        <v>288.93</v>
      </c>
      <c r="L15" s="213" t="s">
        <v>35</v>
      </c>
      <c r="M15" s="213" t="s">
        <v>35</v>
      </c>
      <c r="N15" s="60">
        <v>10.5</v>
      </c>
      <c r="O15" s="60">
        <v>0</v>
      </c>
      <c r="P15" s="60">
        <v>1.51</v>
      </c>
      <c r="Q15" s="60">
        <v>225.2</v>
      </c>
      <c r="R15" s="198"/>
      <c r="S15" s="198"/>
      <c r="T15" s="198"/>
      <c r="U15" s="198"/>
    </row>
    <row r="16" spans="1:21" s="12" customFormat="1" x14ac:dyDescent="0.25">
      <c r="A16" s="201" t="s">
        <v>1114</v>
      </c>
      <c r="B16" s="60">
        <v>22.16</v>
      </c>
      <c r="C16" s="60">
        <v>78.44</v>
      </c>
      <c r="D16" s="60">
        <v>61.06</v>
      </c>
      <c r="E16" s="60">
        <v>4.6900000000000004</v>
      </c>
      <c r="F16" s="60">
        <v>1.48</v>
      </c>
      <c r="G16" s="60">
        <v>241.42</v>
      </c>
      <c r="H16" s="60">
        <v>93.65</v>
      </c>
      <c r="I16" s="60">
        <v>1</v>
      </c>
      <c r="J16" s="60">
        <v>0.4</v>
      </c>
      <c r="K16" s="60">
        <v>323.2</v>
      </c>
      <c r="L16" s="213" t="s">
        <v>35</v>
      </c>
      <c r="M16" s="213" t="s">
        <v>35</v>
      </c>
      <c r="N16" s="60">
        <v>10.3</v>
      </c>
      <c r="O16" s="60">
        <v>0</v>
      </c>
      <c r="P16" s="60">
        <v>1.47</v>
      </c>
      <c r="Q16" s="60">
        <v>223.48</v>
      </c>
      <c r="R16" s="198"/>
      <c r="S16" s="198"/>
      <c r="T16" s="198"/>
      <c r="U16" s="198"/>
    </row>
    <row r="17" spans="1:21" s="12" customFormat="1" x14ac:dyDescent="0.25">
      <c r="A17" s="201" t="s">
        <v>1115</v>
      </c>
      <c r="B17" s="60">
        <v>21.85</v>
      </c>
      <c r="C17" s="60">
        <v>77.069999999999993</v>
      </c>
      <c r="D17" s="60">
        <v>60.06</v>
      </c>
      <c r="E17" s="60">
        <v>4.84</v>
      </c>
      <c r="F17" s="60">
        <v>1.44</v>
      </c>
      <c r="G17" s="60">
        <v>241.42</v>
      </c>
      <c r="H17" s="60">
        <v>93.65</v>
      </c>
      <c r="I17" s="60">
        <v>1</v>
      </c>
      <c r="J17" s="60">
        <v>0.36</v>
      </c>
      <c r="K17" s="60">
        <v>270.39</v>
      </c>
      <c r="L17" s="213" t="s">
        <v>35</v>
      </c>
      <c r="M17" s="213" t="s">
        <v>35</v>
      </c>
      <c r="N17" s="60">
        <v>10.5</v>
      </c>
      <c r="O17" s="60">
        <v>0</v>
      </c>
      <c r="P17" s="60">
        <v>1.45</v>
      </c>
      <c r="Q17" s="60">
        <v>223.63</v>
      </c>
      <c r="R17" s="198"/>
      <c r="S17" s="198"/>
      <c r="T17" s="198"/>
      <c r="U17" s="198"/>
    </row>
    <row r="18" spans="1:21" s="12" customFormat="1" x14ac:dyDescent="0.25">
      <c r="A18" s="201" t="s">
        <v>1116</v>
      </c>
      <c r="B18" s="60">
        <v>21.79</v>
      </c>
      <c r="C18" s="60">
        <v>70.86</v>
      </c>
      <c r="D18" s="60">
        <v>56.58</v>
      </c>
      <c r="E18" s="60">
        <v>5.0999999999999996</v>
      </c>
      <c r="F18" s="60">
        <v>1.57</v>
      </c>
      <c r="G18" s="60">
        <v>241.42</v>
      </c>
      <c r="H18" s="60">
        <v>93.65</v>
      </c>
      <c r="I18" s="60">
        <v>0.99</v>
      </c>
      <c r="J18" s="60">
        <v>0.31</v>
      </c>
      <c r="K18" s="60">
        <v>6.43</v>
      </c>
      <c r="L18" s="213" t="s">
        <v>35</v>
      </c>
      <c r="M18" s="213" t="s">
        <v>35</v>
      </c>
      <c r="N18" s="60">
        <v>10.6</v>
      </c>
      <c r="O18" s="60">
        <v>0</v>
      </c>
      <c r="P18" s="60">
        <v>1.44</v>
      </c>
      <c r="Q18" s="60">
        <v>203.5</v>
      </c>
      <c r="R18" s="198"/>
      <c r="S18" s="198"/>
      <c r="T18" s="198"/>
      <c r="U18" s="198"/>
    </row>
    <row r="19" spans="1:21" s="12" customFormat="1" x14ac:dyDescent="0.25">
      <c r="A19" s="201" t="s">
        <v>1117</v>
      </c>
      <c r="B19" s="60">
        <v>21.8</v>
      </c>
      <c r="C19" s="60">
        <v>70.17</v>
      </c>
      <c r="D19" s="60">
        <v>56.21</v>
      </c>
      <c r="E19" s="60">
        <v>4.8099999999999996</v>
      </c>
      <c r="F19" s="60">
        <v>1.62</v>
      </c>
      <c r="G19" s="60">
        <v>222.47</v>
      </c>
      <c r="H19" s="60">
        <v>100.8</v>
      </c>
      <c r="I19" s="60">
        <v>0.99</v>
      </c>
      <c r="J19" s="60">
        <v>0.27</v>
      </c>
      <c r="K19" s="60">
        <v>335.74</v>
      </c>
      <c r="L19" s="213" t="s">
        <v>35</v>
      </c>
      <c r="M19" s="213" t="s">
        <v>35</v>
      </c>
      <c r="N19" s="60">
        <v>10.9</v>
      </c>
      <c r="O19" s="60">
        <v>0</v>
      </c>
      <c r="P19" s="60">
        <v>1.44</v>
      </c>
      <c r="Q19" s="60">
        <v>193.57</v>
      </c>
      <c r="R19" s="198"/>
      <c r="S19" s="198"/>
      <c r="T19" s="198"/>
      <c r="U19" s="198"/>
    </row>
    <row r="20" spans="1:21" s="12" customFormat="1" x14ac:dyDescent="0.25">
      <c r="A20" s="201" t="s">
        <v>1118</v>
      </c>
      <c r="B20" s="60">
        <v>22.04</v>
      </c>
      <c r="C20" s="60">
        <v>72.87</v>
      </c>
      <c r="D20" s="60">
        <v>57.89</v>
      </c>
      <c r="E20" s="60">
        <v>4.55</v>
      </c>
      <c r="F20" s="60">
        <v>1.5</v>
      </c>
      <c r="G20" s="60">
        <v>222.47</v>
      </c>
      <c r="H20" s="60">
        <v>102.59</v>
      </c>
      <c r="I20" s="60">
        <v>1</v>
      </c>
      <c r="J20" s="60">
        <v>0.17</v>
      </c>
      <c r="K20" s="60">
        <v>296.72000000000003</v>
      </c>
      <c r="L20" s="213" t="s">
        <v>35</v>
      </c>
      <c r="M20" s="213" t="s">
        <v>35</v>
      </c>
      <c r="N20" s="60">
        <v>10.7</v>
      </c>
      <c r="O20" s="60">
        <v>0</v>
      </c>
      <c r="P20" s="60">
        <v>1.43</v>
      </c>
      <c r="Q20" s="60">
        <v>191.9</v>
      </c>
      <c r="R20" s="198"/>
      <c r="S20" s="198"/>
      <c r="T20" s="198"/>
      <c r="U20" s="198"/>
    </row>
    <row r="21" spans="1:21" s="12" customFormat="1" x14ac:dyDescent="0.25">
      <c r="A21" s="201" t="s">
        <v>1119</v>
      </c>
      <c r="B21" s="60">
        <v>22.01</v>
      </c>
      <c r="C21" s="60">
        <v>71.77</v>
      </c>
      <c r="D21" s="60">
        <v>57.26</v>
      </c>
      <c r="E21" s="60">
        <v>4.74</v>
      </c>
      <c r="F21" s="60">
        <v>1.61</v>
      </c>
      <c r="G21" s="60">
        <v>222.47</v>
      </c>
      <c r="H21" s="60">
        <v>102.59</v>
      </c>
      <c r="I21" s="60">
        <v>1.06</v>
      </c>
      <c r="J21" s="60">
        <v>0.32</v>
      </c>
      <c r="K21" s="60">
        <v>8.5</v>
      </c>
      <c r="L21" s="213" t="s">
        <v>35</v>
      </c>
      <c r="M21" s="213" t="s">
        <v>35</v>
      </c>
      <c r="N21" s="60">
        <v>10.6</v>
      </c>
      <c r="O21" s="60">
        <v>0</v>
      </c>
      <c r="P21" s="60">
        <v>1.42</v>
      </c>
      <c r="Q21" s="60">
        <v>187.25</v>
      </c>
      <c r="R21" s="198"/>
      <c r="S21" s="198"/>
      <c r="T21" s="198"/>
      <c r="U21" s="198"/>
    </row>
    <row r="22" spans="1:21" s="12" customFormat="1" x14ac:dyDescent="0.25">
      <c r="A22" s="201" t="s">
        <v>1120</v>
      </c>
      <c r="B22" s="60">
        <v>21.89</v>
      </c>
      <c r="C22" s="60">
        <v>72.099999999999994</v>
      </c>
      <c r="D22" s="60">
        <v>57.34</v>
      </c>
      <c r="E22" s="60">
        <v>4.6100000000000003</v>
      </c>
      <c r="F22" s="60">
        <v>1.76</v>
      </c>
      <c r="G22" s="60">
        <v>222.47</v>
      </c>
      <c r="H22" s="60">
        <v>102.59</v>
      </c>
      <c r="I22" s="60">
        <v>0.99</v>
      </c>
      <c r="J22" s="60">
        <v>0.05</v>
      </c>
      <c r="K22" s="60">
        <v>340.89</v>
      </c>
      <c r="L22" s="213" t="s">
        <v>35</v>
      </c>
      <c r="M22" s="213" t="s">
        <v>35</v>
      </c>
      <c r="N22" s="60">
        <v>10.4</v>
      </c>
      <c r="O22" s="60">
        <v>0</v>
      </c>
      <c r="P22" s="60">
        <v>1.41</v>
      </c>
      <c r="Q22" s="60">
        <v>186.65</v>
      </c>
      <c r="R22" s="198"/>
      <c r="S22" s="198"/>
      <c r="T22" s="198"/>
      <c r="U22" s="198"/>
    </row>
    <row r="23" spans="1:21" s="12" customFormat="1" x14ac:dyDescent="0.25">
      <c r="A23" s="201" t="s">
        <v>1121</v>
      </c>
      <c r="B23" s="60">
        <v>21.6</v>
      </c>
      <c r="C23" s="60">
        <v>71.23</v>
      </c>
      <c r="D23" s="60">
        <v>56.63</v>
      </c>
      <c r="E23" s="60">
        <v>4.78</v>
      </c>
      <c r="F23" s="60">
        <v>1.54</v>
      </c>
      <c r="G23" s="60">
        <v>247.75</v>
      </c>
      <c r="H23" s="60">
        <v>101.81</v>
      </c>
      <c r="I23" s="60">
        <v>1.04</v>
      </c>
      <c r="J23" s="60">
        <v>0.36</v>
      </c>
      <c r="K23" s="60">
        <v>335.01</v>
      </c>
      <c r="L23" s="213" t="s">
        <v>35</v>
      </c>
      <c r="M23" s="213" t="s">
        <v>35</v>
      </c>
      <c r="N23" s="60">
        <v>9.9</v>
      </c>
      <c r="O23" s="60">
        <v>0</v>
      </c>
      <c r="P23" s="60">
        <v>1.41</v>
      </c>
      <c r="Q23" s="60">
        <v>179.48</v>
      </c>
      <c r="R23" s="198"/>
      <c r="S23" s="198"/>
      <c r="T23" s="198"/>
      <c r="U23" s="198"/>
    </row>
    <row r="24" spans="1:21" s="12" customFormat="1" x14ac:dyDescent="0.25">
      <c r="A24" s="201" t="s">
        <v>1122</v>
      </c>
      <c r="B24" s="60">
        <v>21.77</v>
      </c>
      <c r="C24" s="60">
        <v>71.17</v>
      </c>
      <c r="D24" s="60">
        <v>56.74</v>
      </c>
      <c r="E24" s="60">
        <v>2.4500000000000002</v>
      </c>
      <c r="F24" s="60">
        <v>1.59</v>
      </c>
      <c r="G24" s="60">
        <v>247.75</v>
      </c>
      <c r="H24" s="60">
        <v>101.62</v>
      </c>
      <c r="I24" s="60">
        <v>1.04</v>
      </c>
      <c r="J24" s="60">
        <v>0.32</v>
      </c>
      <c r="K24" s="60">
        <v>324.29000000000002</v>
      </c>
      <c r="L24" s="213" t="s">
        <v>35</v>
      </c>
      <c r="M24" s="213" t="s">
        <v>35</v>
      </c>
      <c r="N24" s="60">
        <v>9.5</v>
      </c>
      <c r="O24" s="60">
        <v>0</v>
      </c>
      <c r="P24" s="60">
        <v>1.42</v>
      </c>
      <c r="Q24" s="60">
        <v>181.1</v>
      </c>
      <c r="R24" s="198"/>
      <c r="S24" s="198"/>
      <c r="T24" s="198"/>
      <c r="U24" s="198"/>
    </row>
    <row r="25" spans="1:21" s="12" customFormat="1" x14ac:dyDescent="0.25">
      <c r="A25" s="201" t="s">
        <v>1123</v>
      </c>
      <c r="B25" s="60">
        <v>22.35</v>
      </c>
      <c r="C25" s="60">
        <v>73.34</v>
      </c>
      <c r="D25" s="60">
        <v>58.4</v>
      </c>
      <c r="E25" s="60">
        <v>4.5999999999999996</v>
      </c>
      <c r="F25" s="60">
        <v>1.39</v>
      </c>
      <c r="G25" s="60">
        <v>247.75</v>
      </c>
      <c r="H25" s="60">
        <v>101.62</v>
      </c>
      <c r="I25" s="60">
        <v>1.03</v>
      </c>
      <c r="J25" s="60">
        <v>0.37</v>
      </c>
      <c r="K25" s="60">
        <v>346.47</v>
      </c>
      <c r="L25" s="213" t="s">
        <v>35</v>
      </c>
      <c r="M25" s="213" t="s">
        <v>35</v>
      </c>
      <c r="N25" s="60">
        <v>9.3000000000000007</v>
      </c>
      <c r="O25" s="60">
        <v>0</v>
      </c>
      <c r="P25" s="60">
        <v>1.44</v>
      </c>
      <c r="Q25" s="60">
        <v>193.69</v>
      </c>
      <c r="R25" s="198"/>
      <c r="S25" s="198"/>
      <c r="T25" s="198"/>
      <c r="U25" s="198"/>
    </row>
    <row r="26" spans="1:21" s="12" customFormat="1" x14ac:dyDescent="0.25">
      <c r="A26" s="201" t="s">
        <v>1124</v>
      </c>
      <c r="B26" s="60">
        <v>23.16</v>
      </c>
      <c r="C26" s="60">
        <v>73.58</v>
      </c>
      <c r="D26" s="60">
        <v>59.18</v>
      </c>
      <c r="E26" s="60">
        <v>4.46</v>
      </c>
      <c r="F26" s="60">
        <v>1.39</v>
      </c>
      <c r="G26" s="60">
        <v>247.75</v>
      </c>
      <c r="H26" s="60">
        <v>101.62</v>
      </c>
      <c r="I26" s="60">
        <v>1.03</v>
      </c>
      <c r="J26" s="60">
        <v>0.4</v>
      </c>
      <c r="K26" s="60">
        <v>15.09</v>
      </c>
      <c r="L26" s="213" t="s">
        <v>35</v>
      </c>
      <c r="M26" s="213" t="s">
        <v>35</v>
      </c>
      <c r="N26" s="60">
        <v>9.3000000000000007</v>
      </c>
      <c r="O26" s="60">
        <v>0</v>
      </c>
      <c r="P26" s="60">
        <v>1.47</v>
      </c>
      <c r="Q26" s="60">
        <v>199.44</v>
      </c>
      <c r="R26" s="198"/>
      <c r="S26" s="198"/>
      <c r="T26" s="198"/>
      <c r="U26" s="198"/>
    </row>
    <row r="27" spans="1:21" s="12" customFormat="1" x14ac:dyDescent="0.25">
      <c r="A27" s="201" t="s">
        <v>1125</v>
      </c>
      <c r="B27" s="60">
        <v>23.73</v>
      </c>
      <c r="C27" s="60">
        <v>74.52</v>
      </c>
      <c r="D27" s="60">
        <v>60.15</v>
      </c>
      <c r="E27" s="60">
        <v>4.71</v>
      </c>
      <c r="F27" s="60">
        <v>1.46</v>
      </c>
      <c r="G27" s="60">
        <v>275.27999999999997</v>
      </c>
      <c r="H27" s="60">
        <v>107.54</v>
      </c>
      <c r="I27" s="60">
        <v>1.03</v>
      </c>
      <c r="J27" s="60">
        <v>0.31</v>
      </c>
      <c r="K27" s="60">
        <v>340.44</v>
      </c>
      <c r="L27" s="213" t="s">
        <v>35</v>
      </c>
      <c r="M27" s="213" t="s">
        <v>35</v>
      </c>
      <c r="N27" s="60">
        <v>9.6999999999999993</v>
      </c>
      <c r="O27" s="60">
        <v>0</v>
      </c>
      <c r="P27" s="60">
        <v>1.49</v>
      </c>
      <c r="Q27" s="60">
        <v>199.97</v>
      </c>
      <c r="R27" s="198"/>
      <c r="S27" s="198"/>
      <c r="T27" s="198"/>
      <c r="U27" s="198"/>
    </row>
    <row r="28" spans="1:21" s="12" customFormat="1" x14ac:dyDescent="0.25">
      <c r="A28" s="201" t="s">
        <v>1126</v>
      </c>
      <c r="B28" s="60">
        <v>24.13</v>
      </c>
      <c r="C28" s="60">
        <v>74.680000000000007</v>
      </c>
      <c r="D28" s="60">
        <v>60.56</v>
      </c>
      <c r="E28" s="60">
        <v>4.63</v>
      </c>
      <c r="F28" s="60">
        <v>1.36</v>
      </c>
      <c r="G28" s="60">
        <v>275.27999999999997</v>
      </c>
      <c r="H28" s="60">
        <v>108.92</v>
      </c>
      <c r="I28" s="60">
        <v>1</v>
      </c>
      <c r="J28" s="60">
        <v>0.19</v>
      </c>
      <c r="K28" s="60">
        <v>39.61</v>
      </c>
      <c r="L28" s="213" t="s">
        <v>35</v>
      </c>
      <c r="M28" s="213" t="s">
        <v>35</v>
      </c>
      <c r="N28" s="60">
        <v>9.5</v>
      </c>
      <c r="O28" s="60">
        <v>0</v>
      </c>
      <c r="P28" s="60">
        <v>1.51</v>
      </c>
      <c r="Q28" s="60">
        <v>200.47</v>
      </c>
      <c r="R28" s="198"/>
      <c r="S28" s="198"/>
      <c r="T28" s="198"/>
      <c r="U28" s="198"/>
    </row>
    <row r="29" spans="1:21" s="12" customFormat="1" x14ac:dyDescent="0.25">
      <c r="A29" s="201" t="s">
        <v>1127</v>
      </c>
      <c r="B29" s="60">
        <v>24.59</v>
      </c>
      <c r="C29" s="60">
        <v>74.69</v>
      </c>
      <c r="D29" s="60">
        <v>60.94</v>
      </c>
      <c r="E29" s="60">
        <v>4.71</v>
      </c>
      <c r="F29" s="60">
        <v>1.64</v>
      </c>
      <c r="G29" s="60">
        <v>275.27999999999997</v>
      </c>
      <c r="H29" s="60">
        <v>108.92</v>
      </c>
      <c r="I29" s="60">
        <v>1</v>
      </c>
      <c r="J29" s="60">
        <v>0.45</v>
      </c>
      <c r="K29" s="60">
        <v>66.58</v>
      </c>
      <c r="L29" s="213" t="s">
        <v>35</v>
      </c>
      <c r="M29" s="213" t="s">
        <v>35</v>
      </c>
      <c r="N29" s="60">
        <v>9.1</v>
      </c>
      <c r="O29" s="60">
        <v>0</v>
      </c>
      <c r="P29" s="60">
        <v>1.55</v>
      </c>
      <c r="Q29" s="60">
        <v>201.17</v>
      </c>
      <c r="R29" s="198"/>
      <c r="S29" s="198"/>
      <c r="T29" s="198"/>
      <c r="U29" s="198"/>
    </row>
    <row r="30" spans="1:21" s="12" customFormat="1" x14ac:dyDescent="0.25">
      <c r="A30" s="201" t="s">
        <v>1128</v>
      </c>
      <c r="B30" s="60">
        <v>25.43</v>
      </c>
      <c r="C30" s="60">
        <v>75.400000000000006</v>
      </c>
      <c r="D30" s="60">
        <v>62</v>
      </c>
      <c r="E30" s="60">
        <v>5.07</v>
      </c>
      <c r="F30" s="60">
        <v>1.53</v>
      </c>
      <c r="G30" s="60">
        <v>275.27999999999997</v>
      </c>
      <c r="H30" s="60">
        <v>108.92</v>
      </c>
      <c r="I30" s="60">
        <v>1.02</v>
      </c>
      <c r="J30" s="60">
        <v>0.36</v>
      </c>
      <c r="K30" s="60">
        <v>58.19</v>
      </c>
      <c r="L30" s="213" t="s">
        <v>35</v>
      </c>
      <c r="M30" s="213" t="s">
        <v>35</v>
      </c>
      <c r="N30" s="60">
        <v>9.1999999999999993</v>
      </c>
      <c r="O30" s="60">
        <v>0</v>
      </c>
      <c r="P30" s="60">
        <v>1.6</v>
      </c>
      <c r="Q30" s="60">
        <v>202.58</v>
      </c>
      <c r="R30" s="198"/>
      <c r="S30" s="198"/>
      <c r="T30" s="198"/>
      <c r="U30" s="198"/>
    </row>
    <row r="31" spans="1:21" s="12" customFormat="1" x14ac:dyDescent="0.25">
      <c r="A31" s="201" t="s">
        <v>1129</v>
      </c>
      <c r="B31" s="60">
        <v>26.9</v>
      </c>
      <c r="C31" s="60">
        <v>76.61</v>
      </c>
      <c r="D31" s="60">
        <v>63.85</v>
      </c>
      <c r="E31" s="60">
        <v>4.9000000000000004</v>
      </c>
      <c r="F31" s="60">
        <v>1.58</v>
      </c>
      <c r="G31" s="60">
        <v>377.65</v>
      </c>
      <c r="H31" s="60">
        <v>116.26</v>
      </c>
      <c r="I31" s="60">
        <v>1.02</v>
      </c>
      <c r="J31" s="60">
        <v>0.57999999999999996</v>
      </c>
      <c r="K31" s="60">
        <v>83.42</v>
      </c>
      <c r="L31" s="213" t="s">
        <v>35</v>
      </c>
      <c r="M31" s="213" t="s">
        <v>35</v>
      </c>
      <c r="N31" s="60">
        <v>8.8000000000000007</v>
      </c>
      <c r="O31" s="60">
        <v>0</v>
      </c>
      <c r="P31" s="60">
        <v>1.62</v>
      </c>
      <c r="Q31" s="60">
        <v>201.33</v>
      </c>
      <c r="R31" s="198"/>
      <c r="S31" s="198"/>
      <c r="T31" s="198"/>
      <c r="U31" s="198"/>
    </row>
    <row r="32" spans="1:21" s="12" customFormat="1" x14ac:dyDescent="0.25">
      <c r="A32" s="201" t="s">
        <v>1130</v>
      </c>
      <c r="B32" s="60">
        <v>27.86</v>
      </c>
      <c r="C32" s="60">
        <v>76</v>
      </c>
      <c r="D32" s="60">
        <v>64.28</v>
      </c>
      <c r="E32" s="60">
        <v>4.8099999999999996</v>
      </c>
      <c r="F32" s="60">
        <v>1.56</v>
      </c>
      <c r="G32" s="60">
        <v>377.65</v>
      </c>
      <c r="H32" s="60">
        <v>117.98</v>
      </c>
      <c r="I32" s="60">
        <v>1.01</v>
      </c>
      <c r="J32" s="60">
        <v>0.54</v>
      </c>
      <c r="K32" s="60">
        <v>50.72</v>
      </c>
      <c r="L32" s="213" t="s">
        <v>35</v>
      </c>
      <c r="M32" s="213" t="s">
        <v>35</v>
      </c>
      <c r="N32" s="60">
        <v>9.6</v>
      </c>
      <c r="O32" s="60">
        <v>0</v>
      </c>
      <c r="P32" s="60">
        <v>1.64</v>
      </c>
      <c r="Q32" s="60">
        <v>196.96</v>
      </c>
      <c r="R32" s="198"/>
      <c r="S32" s="198"/>
      <c r="T32" s="198"/>
      <c r="U32" s="198"/>
    </row>
    <row r="33" spans="1:21" s="12" customFormat="1" x14ac:dyDescent="0.25">
      <c r="A33" s="201" t="s">
        <v>1131</v>
      </c>
      <c r="B33" s="60">
        <v>27.76</v>
      </c>
      <c r="C33" s="60">
        <v>67.900000000000006</v>
      </c>
      <c r="D33" s="60">
        <v>59.73</v>
      </c>
      <c r="E33" s="60">
        <v>5.03</v>
      </c>
      <c r="F33" s="60">
        <v>1.91</v>
      </c>
      <c r="G33" s="60">
        <v>377.65</v>
      </c>
      <c r="H33" s="60">
        <v>117.98</v>
      </c>
      <c r="I33" s="60">
        <v>1.01</v>
      </c>
      <c r="J33" s="60">
        <v>0.59</v>
      </c>
      <c r="K33" s="60">
        <v>73.599999999999994</v>
      </c>
      <c r="L33" s="213" t="s">
        <v>35</v>
      </c>
      <c r="M33" s="213" t="s">
        <v>35</v>
      </c>
      <c r="N33" s="60">
        <v>13.2</v>
      </c>
      <c r="O33" s="60">
        <v>0</v>
      </c>
      <c r="P33" s="60">
        <v>1.64</v>
      </c>
      <c r="Q33" s="60">
        <v>173.55</v>
      </c>
      <c r="R33" s="198"/>
      <c r="S33" s="198"/>
      <c r="T33" s="198"/>
      <c r="U33" s="198"/>
    </row>
    <row r="34" spans="1:21" s="12" customFormat="1" x14ac:dyDescent="0.25">
      <c r="A34" s="201" t="s">
        <v>1132</v>
      </c>
      <c r="B34" s="60">
        <v>27.37</v>
      </c>
      <c r="C34" s="60">
        <v>72.73</v>
      </c>
      <c r="D34" s="60">
        <v>62.09</v>
      </c>
      <c r="E34" s="60">
        <v>4.96</v>
      </c>
      <c r="F34" s="60">
        <v>1.95</v>
      </c>
      <c r="G34" s="60">
        <v>377.65</v>
      </c>
      <c r="H34" s="60">
        <v>117.98</v>
      </c>
      <c r="I34" s="60">
        <v>0.99</v>
      </c>
      <c r="J34" s="60">
        <v>0.56000000000000005</v>
      </c>
      <c r="K34" s="60">
        <v>74.569999999999993</v>
      </c>
      <c r="L34" s="213" t="s">
        <v>35</v>
      </c>
      <c r="M34" s="213" t="s">
        <v>35</v>
      </c>
      <c r="N34" s="60">
        <v>23.7</v>
      </c>
      <c r="O34" s="60">
        <v>0</v>
      </c>
      <c r="P34" s="60">
        <v>1.63</v>
      </c>
      <c r="Q34" s="60">
        <v>174.22</v>
      </c>
      <c r="R34" s="198"/>
      <c r="S34" s="198"/>
      <c r="T34" s="198"/>
      <c r="U34" s="198"/>
    </row>
    <row r="35" spans="1:21" s="12" customFormat="1" x14ac:dyDescent="0.25">
      <c r="A35" s="201" t="s">
        <v>1133</v>
      </c>
      <c r="B35" s="60">
        <v>27.65</v>
      </c>
      <c r="C35" s="60">
        <v>75.87</v>
      </c>
      <c r="D35" s="60">
        <v>64.05</v>
      </c>
      <c r="E35" s="60">
        <v>5.1100000000000003</v>
      </c>
      <c r="F35" s="60">
        <v>1.51</v>
      </c>
      <c r="G35" s="60">
        <v>317.36</v>
      </c>
      <c r="H35" s="60">
        <v>121.13</v>
      </c>
      <c r="I35" s="60">
        <v>0.96</v>
      </c>
      <c r="J35" s="60">
        <v>0.44</v>
      </c>
      <c r="K35" s="60">
        <v>24.23</v>
      </c>
      <c r="L35" s="213" t="s">
        <v>35</v>
      </c>
      <c r="M35" s="213" t="s">
        <v>35</v>
      </c>
      <c r="N35" s="60">
        <v>40.6</v>
      </c>
      <c r="O35" s="60">
        <v>0</v>
      </c>
      <c r="P35" s="60">
        <v>1.62</v>
      </c>
      <c r="Q35" s="60">
        <v>173.34</v>
      </c>
      <c r="R35" s="198"/>
      <c r="S35" s="198"/>
      <c r="T35" s="198"/>
      <c r="U35" s="198"/>
    </row>
    <row r="36" spans="1:21" s="12" customFormat="1" x14ac:dyDescent="0.25">
      <c r="A36" s="201" t="s">
        <v>1134</v>
      </c>
      <c r="B36" s="60">
        <v>29.69</v>
      </c>
      <c r="C36" s="60">
        <v>80.09</v>
      </c>
      <c r="D36" s="60">
        <v>68.010000000000005</v>
      </c>
      <c r="E36" s="60">
        <v>4.9000000000000004</v>
      </c>
      <c r="F36" s="60">
        <v>1.48</v>
      </c>
      <c r="G36" s="60">
        <v>317.36</v>
      </c>
      <c r="H36" s="60">
        <v>121.92</v>
      </c>
      <c r="I36" s="60">
        <v>0.95</v>
      </c>
      <c r="J36" s="60">
        <v>0.41</v>
      </c>
      <c r="K36" s="60">
        <v>68.67</v>
      </c>
      <c r="L36" s="213" t="s">
        <v>35</v>
      </c>
      <c r="M36" s="213" t="s">
        <v>35</v>
      </c>
      <c r="N36" s="60">
        <v>60.6</v>
      </c>
      <c r="O36" s="60">
        <v>0</v>
      </c>
      <c r="P36" s="60">
        <v>1.6</v>
      </c>
      <c r="Q36" s="60">
        <v>178.08</v>
      </c>
      <c r="R36" s="198"/>
      <c r="S36" s="198"/>
      <c r="T36" s="198"/>
      <c r="U36" s="198"/>
    </row>
    <row r="37" spans="1:21" s="12" customFormat="1" x14ac:dyDescent="0.25">
      <c r="A37" s="201" t="s">
        <v>1135</v>
      </c>
      <c r="B37" s="60">
        <v>30.06</v>
      </c>
      <c r="C37" s="60">
        <v>80.069999999999993</v>
      </c>
      <c r="D37" s="60">
        <v>68.3</v>
      </c>
      <c r="E37" s="60">
        <v>4.49</v>
      </c>
      <c r="F37" s="60">
        <v>1.75</v>
      </c>
      <c r="G37" s="60">
        <v>317.36</v>
      </c>
      <c r="H37" s="60">
        <v>121.92</v>
      </c>
      <c r="I37" s="60">
        <v>0.94</v>
      </c>
      <c r="J37" s="60">
        <v>0.49</v>
      </c>
      <c r="K37" s="60">
        <v>57.55</v>
      </c>
      <c r="L37" s="213" t="s">
        <v>35</v>
      </c>
      <c r="M37" s="213" t="s">
        <v>35</v>
      </c>
      <c r="N37" s="60">
        <v>95.5</v>
      </c>
      <c r="O37" s="60">
        <v>0</v>
      </c>
      <c r="P37" s="60">
        <v>1.56</v>
      </c>
      <c r="Q37" s="60">
        <v>172.25</v>
      </c>
      <c r="R37" s="198"/>
      <c r="S37" s="198"/>
      <c r="T37" s="198"/>
      <c r="U37" s="198"/>
    </row>
    <row r="38" spans="1:21" s="12" customFormat="1" x14ac:dyDescent="0.25">
      <c r="A38" s="201" t="s">
        <v>1136</v>
      </c>
      <c r="B38" s="60">
        <v>30.4</v>
      </c>
      <c r="C38" s="60">
        <v>86.73</v>
      </c>
      <c r="D38" s="60">
        <v>72.239999999999995</v>
      </c>
      <c r="E38" s="60">
        <v>4.26</v>
      </c>
      <c r="F38" s="60">
        <v>1.21</v>
      </c>
      <c r="G38" s="60">
        <v>317.36</v>
      </c>
      <c r="H38" s="60">
        <v>121.92</v>
      </c>
      <c r="I38" s="60">
        <v>0.93</v>
      </c>
      <c r="J38" s="60">
        <v>0.51</v>
      </c>
      <c r="K38" s="60">
        <v>59.75</v>
      </c>
      <c r="L38" s="213" t="s">
        <v>35</v>
      </c>
      <c r="M38" s="213" t="s">
        <v>35</v>
      </c>
      <c r="N38" s="60">
        <v>151.19999999999999</v>
      </c>
      <c r="O38" s="60">
        <v>0</v>
      </c>
      <c r="P38" s="60">
        <v>1.63</v>
      </c>
      <c r="Q38" s="60">
        <v>176.19</v>
      </c>
      <c r="R38" s="198"/>
      <c r="S38" s="198"/>
      <c r="T38" s="198"/>
      <c r="U38" s="198"/>
    </row>
    <row r="39" spans="1:21" s="12" customFormat="1" x14ac:dyDescent="0.25">
      <c r="A39" s="201" t="s">
        <v>1137</v>
      </c>
      <c r="B39" s="60">
        <v>30.16</v>
      </c>
      <c r="C39" s="60">
        <v>88.12</v>
      </c>
      <c r="D39" s="60">
        <v>72.819999999999993</v>
      </c>
      <c r="E39" s="60">
        <v>4.7699999999999996</v>
      </c>
      <c r="F39" s="60">
        <v>1.63</v>
      </c>
      <c r="G39" s="60">
        <v>236.62</v>
      </c>
      <c r="H39" s="60">
        <v>116.13</v>
      </c>
      <c r="I39" s="60">
        <v>0.92</v>
      </c>
      <c r="J39" s="60">
        <v>0.9</v>
      </c>
      <c r="K39" s="60">
        <v>111.87</v>
      </c>
      <c r="L39" s="213" t="s">
        <v>35</v>
      </c>
      <c r="M39" s="213" t="s">
        <v>35</v>
      </c>
      <c r="N39" s="60">
        <v>193.5</v>
      </c>
      <c r="O39" s="60">
        <v>0</v>
      </c>
      <c r="P39" s="60">
        <v>1.61</v>
      </c>
      <c r="Q39" s="60">
        <v>182.76</v>
      </c>
      <c r="R39" s="198"/>
      <c r="S39" s="198"/>
      <c r="T39" s="198"/>
      <c r="U39" s="198"/>
    </row>
    <row r="40" spans="1:21" s="12" customFormat="1" x14ac:dyDescent="0.25">
      <c r="A40" s="201" t="s">
        <v>1138</v>
      </c>
      <c r="B40" s="60">
        <v>29.07</v>
      </c>
      <c r="C40" s="60">
        <v>85.96</v>
      </c>
      <c r="D40" s="60">
        <v>70.75</v>
      </c>
      <c r="E40" s="60">
        <v>2.36</v>
      </c>
      <c r="F40" s="60">
        <v>2.41</v>
      </c>
      <c r="G40" s="60">
        <v>236.62</v>
      </c>
      <c r="H40" s="60">
        <v>114.78</v>
      </c>
      <c r="I40" s="60">
        <v>0.91</v>
      </c>
      <c r="J40" s="60">
        <v>1.06</v>
      </c>
      <c r="K40" s="60">
        <v>134.4</v>
      </c>
      <c r="L40" s="213" t="s">
        <v>35</v>
      </c>
      <c r="M40" s="213" t="s">
        <v>35</v>
      </c>
      <c r="N40" s="60">
        <v>237.7</v>
      </c>
      <c r="O40" s="60">
        <v>0</v>
      </c>
      <c r="P40" s="60">
        <v>1.6</v>
      </c>
      <c r="Q40" s="60">
        <v>194.13</v>
      </c>
      <c r="R40" s="198"/>
      <c r="S40" s="198"/>
      <c r="T40" s="198"/>
      <c r="U40" s="198"/>
    </row>
    <row r="41" spans="1:21" s="12" customFormat="1" x14ac:dyDescent="0.25">
      <c r="A41" s="201" t="s">
        <v>1139</v>
      </c>
      <c r="B41" s="60">
        <v>27.46</v>
      </c>
      <c r="C41" s="60">
        <v>84.23</v>
      </c>
      <c r="D41" s="60">
        <v>68.5</v>
      </c>
      <c r="E41" s="60">
        <v>4.88</v>
      </c>
      <c r="F41" s="60">
        <v>1.28</v>
      </c>
      <c r="G41" s="60">
        <v>236.62</v>
      </c>
      <c r="H41" s="60">
        <v>114.78</v>
      </c>
      <c r="I41" s="60">
        <v>0.92</v>
      </c>
      <c r="J41" s="60">
        <v>0.81</v>
      </c>
      <c r="K41" s="60">
        <v>121.56</v>
      </c>
      <c r="L41" s="213" t="s">
        <v>35</v>
      </c>
      <c r="M41" s="213" t="s">
        <v>35</v>
      </c>
      <c r="N41" s="60">
        <v>284.2</v>
      </c>
      <c r="O41" s="60">
        <v>0</v>
      </c>
      <c r="P41" s="60">
        <v>1.58</v>
      </c>
      <c r="Q41" s="60">
        <v>205.72</v>
      </c>
      <c r="R41" s="198"/>
      <c r="S41" s="198"/>
      <c r="T41" s="198"/>
      <c r="U41" s="198"/>
    </row>
    <row r="42" spans="1:21" s="12" customFormat="1" x14ac:dyDescent="0.25">
      <c r="A42" s="201" t="s">
        <v>1140</v>
      </c>
      <c r="B42" s="60">
        <v>25.57</v>
      </c>
      <c r="C42" s="60">
        <v>82.32</v>
      </c>
      <c r="D42" s="60">
        <v>65.930000000000007</v>
      </c>
      <c r="E42" s="60">
        <v>4.82</v>
      </c>
      <c r="F42" s="60">
        <v>1.59</v>
      </c>
      <c r="G42" s="60">
        <v>236.62</v>
      </c>
      <c r="H42" s="60">
        <v>114.78</v>
      </c>
      <c r="I42" s="60">
        <v>0.91</v>
      </c>
      <c r="J42" s="60">
        <v>1.24</v>
      </c>
      <c r="K42" s="60">
        <v>142.59</v>
      </c>
      <c r="L42" s="213" t="s">
        <v>35</v>
      </c>
      <c r="M42" s="213" t="s">
        <v>35</v>
      </c>
      <c r="N42" s="60">
        <v>327.10000000000002</v>
      </c>
      <c r="O42" s="60">
        <v>0</v>
      </c>
      <c r="P42" s="60">
        <v>1.55</v>
      </c>
      <c r="Q42" s="60">
        <v>213.12</v>
      </c>
      <c r="R42" s="198"/>
      <c r="S42" s="198"/>
      <c r="T42" s="198"/>
      <c r="U42" s="198"/>
    </row>
    <row r="43" spans="1:21" s="12" customFormat="1" x14ac:dyDescent="0.25">
      <c r="A43" s="201" t="s">
        <v>1141</v>
      </c>
      <c r="B43" s="60">
        <v>23.53</v>
      </c>
      <c r="C43" s="60">
        <v>79.22</v>
      </c>
      <c r="D43" s="60">
        <v>62.59</v>
      </c>
      <c r="E43" s="60">
        <v>5.36</v>
      </c>
      <c r="F43" s="60">
        <v>1.82</v>
      </c>
      <c r="G43" s="60">
        <v>205.45</v>
      </c>
      <c r="H43" s="60">
        <v>118.09</v>
      </c>
      <c r="I43" s="60">
        <v>0.86</v>
      </c>
      <c r="J43" s="60">
        <v>0.96</v>
      </c>
      <c r="K43" s="60">
        <v>125.2</v>
      </c>
      <c r="L43" s="213" t="s">
        <v>35</v>
      </c>
      <c r="M43" s="213" t="s">
        <v>35</v>
      </c>
      <c r="N43" s="60">
        <v>361.9</v>
      </c>
      <c r="O43" s="60">
        <v>0</v>
      </c>
      <c r="P43" s="60">
        <v>1.51</v>
      </c>
      <c r="Q43" s="60">
        <v>219.45</v>
      </c>
      <c r="R43" s="198"/>
      <c r="S43" s="198"/>
      <c r="T43" s="198"/>
      <c r="U43" s="198"/>
    </row>
    <row r="44" spans="1:21" s="12" customFormat="1" x14ac:dyDescent="0.25">
      <c r="A44" s="201" t="s">
        <v>1142</v>
      </c>
      <c r="B44" s="60">
        <v>21.5</v>
      </c>
      <c r="C44" s="60">
        <v>76.97</v>
      </c>
      <c r="D44" s="60">
        <v>59.72</v>
      </c>
      <c r="E44" s="60">
        <v>5.15</v>
      </c>
      <c r="F44" s="60">
        <v>1.93</v>
      </c>
      <c r="G44" s="60">
        <v>205.45</v>
      </c>
      <c r="H44" s="60">
        <v>118.91</v>
      </c>
      <c r="I44" s="60">
        <v>0.86</v>
      </c>
      <c r="J44" s="60">
        <v>1.06</v>
      </c>
      <c r="K44" s="60">
        <v>138.32</v>
      </c>
      <c r="L44" s="213" t="s">
        <v>35</v>
      </c>
      <c r="M44" s="213" t="s">
        <v>35</v>
      </c>
      <c r="N44" s="60">
        <v>396.9</v>
      </c>
      <c r="O44" s="60">
        <v>0</v>
      </c>
      <c r="P44" s="60">
        <v>1.49</v>
      </c>
      <c r="Q44" s="60">
        <v>226.16</v>
      </c>
      <c r="R44" s="198"/>
      <c r="S44" s="198"/>
      <c r="T44" s="198"/>
      <c r="U44" s="198"/>
    </row>
    <row r="45" spans="1:21" s="12" customFormat="1" x14ac:dyDescent="0.25">
      <c r="A45" s="201" t="s">
        <v>1143</v>
      </c>
      <c r="B45" s="60">
        <v>19.53</v>
      </c>
      <c r="C45" s="60">
        <v>75</v>
      </c>
      <c r="D45" s="60">
        <v>57.05</v>
      </c>
      <c r="E45" s="60">
        <v>5.45</v>
      </c>
      <c r="F45" s="60">
        <v>1.97</v>
      </c>
      <c r="G45" s="60">
        <v>205.45</v>
      </c>
      <c r="H45" s="60">
        <v>118.91</v>
      </c>
      <c r="I45" s="60">
        <v>0.87</v>
      </c>
      <c r="J45" s="60">
        <v>0.69</v>
      </c>
      <c r="K45" s="60">
        <v>109.74</v>
      </c>
      <c r="L45" s="213" t="s">
        <v>35</v>
      </c>
      <c r="M45" s="213" t="s">
        <v>35</v>
      </c>
      <c r="N45" s="60">
        <v>428.1</v>
      </c>
      <c r="O45" s="60">
        <v>0</v>
      </c>
      <c r="P45" s="60">
        <v>1.46</v>
      </c>
      <c r="Q45" s="60">
        <v>228.8</v>
      </c>
      <c r="R45" s="198"/>
      <c r="S45" s="198"/>
      <c r="T45" s="198"/>
      <c r="U45" s="198"/>
    </row>
    <row r="46" spans="1:21" s="12" customFormat="1" x14ac:dyDescent="0.25">
      <c r="A46" s="201" t="s">
        <v>1144</v>
      </c>
      <c r="B46" s="60">
        <v>17.7</v>
      </c>
      <c r="C46" s="60">
        <v>73.540000000000006</v>
      </c>
      <c r="D46" s="60">
        <v>54.78</v>
      </c>
      <c r="E46" s="60">
        <v>5.55</v>
      </c>
      <c r="F46" s="60">
        <v>2.16</v>
      </c>
      <c r="G46" s="60">
        <v>205.45</v>
      </c>
      <c r="H46" s="60">
        <v>118.91</v>
      </c>
      <c r="I46" s="60">
        <v>0.87</v>
      </c>
      <c r="J46" s="60">
        <v>0.54</v>
      </c>
      <c r="K46" s="60">
        <v>100.84</v>
      </c>
      <c r="L46" s="213" t="s">
        <v>35</v>
      </c>
      <c r="M46" s="213" t="s">
        <v>35</v>
      </c>
      <c r="N46" s="60">
        <v>446.9</v>
      </c>
      <c r="O46" s="60">
        <v>0</v>
      </c>
      <c r="P46" s="60">
        <v>1.43</v>
      </c>
      <c r="Q46" s="60">
        <v>231.73</v>
      </c>
      <c r="R46" s="198"/>
      <c r="S46" s="198"/>
      <c r="T46" s="198"/>
      <c r="U46" s="198"/>
    </row>
    <row r="47" spans="1:21" s="12" customFormat="1" x14ac:dyDescent="0.25">
      <c r="A47" s="201" t="s">
        <v>1145</v>
      </c>
      <c r="B47" s="60">
        <v>15.93</v>
      </c>
      <c r="C47" s="60">
        <v>61.99</v>
      </c>
      <c r="D47" s="60">
        <v>46.99</v>
      </c>
      <c r="E47" s="60">
        <v>5.31</v>
      </c>
      <c r="F47" s="60">
        <v>2.25</v>
      </c>
      <c r="G47" s="60">
        <v>194.11</v>
      </c>
      <c r="H47" s="60">
        <v>104.51</v>
      </c>
      <c r="I47" s="60">
        <v>0.87</v>
      </c>
      <c r="J47" s="60">
        <v>0.81</v>
      </c>
      <c r="K47" s="60">
        <v>116.46</v>
      </c>
      <c r="L47" s="213" t="s">
        <v>35</v>
      </c>
      <c r="M47" s="213" t="s">
        <v>35</v>
      </c>
      <c r="N47" s="60">
        <v>484.9</v>
      </c>
      <c r="O47" s="60">
        <v>0</v>
      </c>
      <c r="P47" s="60">
        <v>1.41</v>
      </c>
      <c r="Q47" s="60">
        <v>201.89</v>
      </c>
      <c r="R47" s="198"/>
      <c r="S47" s="198"/>
      <c r="T47" s="198"/>
      <c r="U47" s="198"/>
    </row>
    <row r="48" spans="1:21" s="12" customFormat="1" x14ac:dyDescent="0.25">
      <c r="A48" s="201" t="s">
        <v>1146</v>
      </c>
      <c r="B48" s="60">
        <v>13.45</v>
      </c>
      <c r="C48" s="60">
        <v>61.04</v>
      </c>
      <c r="D48" s="60">
        <v>44.48</v>
      </c>
      <c r="E48" s="60">
        <v>5.05</v>
      </c>
      <c r="F48" s="60">
        <v>2.65</v>
      </c>
      <c r="G48" s="60">
        <v>194.11</v>
      </c>
      <c r="H48" s="60">
        <v>101.15</v>
      </c>
      <c r="I48" s="60">
        <v>0.89</v>
      </c>
      <c r="J48" s="60">
        <v>0.88</v>
      </c>
      <c r="K48" s="60">
        <v>114.6</v>
      </c>
      <c r="L48" s="213" t="s">
        <v>35</v>
      </c>
      <c r="M48" s="213" t="s">
        <v>35</v>
      </c>
      <c r="N48" s="60">
        <v>508.9</v>
      </c>
      <c r="O48" s="60">
        <v>0</v>
      </c>
      <c r="P48" s="60">
        <v>1.38</v>
      </c>
      <c r="Q48" s="60">
        <v>199.15</v>
      </c>
      <c r="R48" s="198"/>
      <c r="S48" s="198"/>
      <c r="T48" s="198"/>
      <c r="U48" s="198"/>
    </row>
    <row r="49" spans="1:21" s="12" customFormat="1" x14ac:dyDescent="0.25">
      <c r="A49" s="201" t="s">
        <v>1147</v>
      </c>
      <c r="B49" s="60">
        <v>9.42</v>
      </c>
      <c r="C49" s="60">
        <v>62.68</v>
      </c>
      <c r="D49" s="60">
        <v>42.14</v>
      </c>
      <c r="E49" s="60">
        <v>5.28</v>
      </c>
      <c r="F49" s="60">
        <v>2.92</v>
      </c>
      <c r="G49" s="60">
        <v>194.11</v>
      </c>
      <c r="H49" s="60">
        <v>101.15</v>
      </c>
      <c r="I49" s="60">
        <v>0.81</v>
      </c>
      <c r="J49" s="60">
        <v>0.99</v>
      </c>
      <c r="K49" s="60">
        <v>97.49</v>
      </c>
      <c r="L49" s="213" t="s">
        <v>35</v>
      </c>
      <c r="M49" s="213" t="s">
        <v>35</v>
      </c>
      <c r="N49" s="60">
        <v>539.4</v>
      </c>
      <c r="O49" s="60">
        <v>0</v>
      </c>
      <c r="P49" s="60">
        <v>1.34</v>
      </c>
      <c r="Q49" s="60">
        <v>180.72</v>
      </c>
      <c r="R49" s="198"/>
      <c r="S49" s="198"/>
      <c r="T49" s="198"/>
      <c r="U49" s="198"/>
    </row>
    <row r="50" spans="1:21" s="12" customFormat="1" x14ac:dyDescent="0.25">
      <c r="A50" s="201" t="s">
        <v>1148</v>
      </c>
      <c r="B50" s="60">
        <v>5.75</v>
      </c>
      <c r="C50" s="60">
        <v>76.45</v>
      </c>
      <c r="D50" s="60">
        <v>46.81</v>
      </c>
      <c r="E50" s="60">
        <v>2.13</v>
      </c>
      <c r="F50" s="60">
        <v>1.41</v>
      </c>
      <c r="G50" s="60">
        <v>194.11</v>
      </c>
      <c r="H50" s="60">
        <v>101.15</v>
      </c>
      <c r="I50" s="60">
        <v>0.78</v>
      </c>
      <c r="J50" s="60">
        <v>1.72</v>
      </c>
      <c r="K50" s="60">
        <v>98.3</v>
      </c>
      <c r="L50" s="213" t="s">
        <v>35</v>
      </c>
      <c r="M50" s="213" t="s">
        <v>35</v>
      </c>
      <c r="N50" s="60">
        <v>554.1</v>
      </c>
      <c r="O50" s="60">
        <v>0</v>
      </c>
      <c r="P50" s="60">
        <v>0.01</v>
      </c>
      <c r="Q50" s="60">
        <v>179.54</v>
      </c>
      <c r="R50" s="198"/>
      <c r="S50" s="198"/>
      <c r="T50" s="198"/>
      <c r="U50" s="198"/>
    </row>
    <row r="51" spans="1:21" s="12" customFormat="1" x14ac:dyDescent="0.25">
      <c r="A51" s="201" t="s">
        <v>1149</v>
      </c>
      <c r="B51" s="60">
        <v>4.1900000000000004</v>
      </c>
      <c r="C51" s="60">
        <v>79.97</v>
      </c>
      <c r="D51" s="60">
        <v>47.49</v>
      </c>
      <c r="E51" s="60">
        <v>26.61</v>
      </c>
      <c r="F51" s="60">
        <v>94.33</v>
      </c>
      <c r="G51" s="60">
        <v>194.11</v>
      </c>
      <c r="H51" s="60">
        <v>101.15</v>
      </c>
      <c r="I51" s="60">
        <v>0.67</v>
      </c>
      <c r="J51" s="60">
        <v>2.71</v>
      </c>
      <c r="K51" s="60">
        <v>102.55</v>
      </c>
      <c r="L51" s="213" t="s">
        <v>35</v>
      </c>
      <c r="M51" s="213" t="s">
        <v>35</v>
      </c>
      <c r="N51" s="60">
        <v>607.29999999999995</v>
      </c>
      <c r="O51" s="60">
        <v>0</v>
      </c>
      <c r="P51" s="26" t="s">
        <v>39</v>
      </c>
      <c r="Q51" s="60">
        <v>177.52</v>
      </c>
      <c r="R51" s="198"/>
      <c r="S51" s="198"/>
      <c r="T51" s="198"/>
      <c r="U51" s="198"/>
    </row>
    <row r="52" spans="1:21" s="12" customFormat="1" x14ac:dyDescent="0.25">
      <c r="A52" s="201" t="s">
        <v>1150</v>
      </c>
      <c r="B52" s="60">
        <v>3.16</v>
      </c>
      <c r="C52" s="60">
        <v>67.44</v>
      </c>
      <c r="D52" s="60">
        <v>39.75</v>
      </c>
      <c r="E52" s="60">
        <v>102.98</v>
      </c>
      <c r="F52" s="60">
        <v>318.63</v>
      </c>
      <c r="G52" s="60">
        <v>181.17</v>
      </c>
      <c r="H52" s="60">
        <v>93.28</v>
      </c>
      <c r="I52" s="60">
        <v>0.61</v>
      </c>
      <c r="J52" s="60">
        <v>3.02</v>
      </c>
      <c r="K52" s="60">
        <v>76.44</v>
      </c>
      <c r="L52" s="213" t="s">
        <v>35</v>
      </c>
      <c r="M52" s="213" t="s">
        <v>35</v>
      </c>
      <c r="N52" s="60">
        <v>618.1</v>
      </c>
      <c r="O52" s="60">
        <v>0</v>
      </c>
      <c r="P52" s="26" t="s">
        <v>39</v>
      </c>
      <c r="Q52" s="60">
        <v>156.69999999999999</v>
      </c>
      <c r="R52" s="198"/>
      <c r="S52" s="198"/>
      <c r="T52" s="198"/>
      <c r="U52" s="198"/>
    </row>
    <row r="53" spans="1:21" s="12" customFormat="1" x14ac:dyDescent="0.25">
      <c r="A53" s="201" t="s">
        <v>1151</v>
      </c>
      <c r="B53" s="60">
        <v>4.9000000000000004</v>
      </c>
      <c r="C53" s="60">
        <v>62.15</v>
      </c>
      <c r="D53" s="60">
        <v>38.229999999999997</v>
      </c>
      <c r="E53" s="60">
        <v>155.53</v>
      </c>
      <c r="F53" s="60">
        <v>328.01</v>
      </c>
      <c r="G53" s="217" t="s">
        <v>39</v>
      </c>
      <c r="H53" s="217" t="s">
        <v>39</v>
      </c>
      <c r="I53" s="60">
        <v>0.56999999999999995</v>
      </c>
      <c r="J53" s="60">
        <v>2.84</v>
      </c>
      <c r="K53" s="60">
        <v>42.51</v>
      </c>
      <c r="L53" s="213" t="s">
        <v>35</v>
      </c>
      <c r="M53" s="213" t="s">
        <v>35</v>
      </c>
      <c r="N53" s="60">
        <v>605.70000000000005</v>
      </c>
      <c r="O53" s="60">
        <v>0</v>
      </c>
      <c r="P53" s="26" t="s">
        <v>39</v>
      </c>
      <c r="Q53" s="60">
        <v>146.4</v>
      </c>
      <c r="R53" s="198"/>
      <c r="S53" s="198"/>
      <c r="T53" s="198"/>
      <c r="U53" s="198"/>
    </row>
    <row r="54" spans="1:21" s="12" customFormat="1" x14ac:dyDescent="0.25">
      <c r="A54" s="201" t="s">
        <v>1152</v>
      </c>
      <c r="B54" s="60">
        <v>3.04</v>
      </c>
      <c r="C54" s="60">
        <v>62.96</v>
      </c>
      <c r="D54" s="60">
        <v>37.18</v>
      </c>
      <c r="E54" s="60">
        <v>14.24</v>
      </c>
      <c r="F54" s="60">
        <v>13.04</v>
      </c>
      <c r="G54" s="217" t="s">
        <v>39</v>
      </c>
      <c r="H54" s="217" t="s">
        <v>39</v>
      </c>
      <c r="I54" s="60">
        <v>0.5</v>
      </c>
      <c r="J54" s="60">
        <v>1.85</v>
      </c>
      <c r="K54" s="60">
        <v>104.98</v>
      </c>
      <c r="L54" s="213" t="s">
        <v>35</v>
      </c>
      <c r="M54" s="213" t="s">
        <v>35</v>
      </c>
      <c r="N54" s="60">
        <v>633.1</v>
      </c>
      <c r="O54" s="60">
        <v>0</v>
      </c>
      <c r="P54" s="26" t="s">
        <v>39</v>
      </c>
      <c r="Q54" s="26" t="s">
        <v>39</v>
      </c>
      <c r="R54" s="198"/>
      <c r="S54" s="198"/>
      <c r="T54" s="198"/>
      <c r="U54" s="198"/>
    </row>
    <row r="55" spans="1:21" s="12" customFormat="1" x14ac:dyDescent="0.25">
      <c r="A55" s="201" t="s">
        <v>1153</v>
      </c>
      <c r="B55" s="60">
        <v>4.04</v>
      </c>
      <c r="C55" s="60">
        <v>67.19</v>
      </c>
      <c r="D55" s="60">
        <v>40.32</v>
      </c>
      <c r="E55" s="60">
        <v>11.59</v>
      </c>
      <c r="F55" s="60">
        <v>14.45</v>
      </c>
      <c r="G55" s="217" t="s">
        <v>39</v>
      </c>
      <c r="H55" s="217" t="s">
        <v>39</v>
      </c>
      <c r="I55" s="60">
        <v>0.45</v>
      </c>
      <c r="J55" s="60">
        <v>0.9</v>
      </c>
      <c r="K55" s="60">
        <v>63.81</v>
      </c>
      <c r="L55" s="213" t="s">
        <v>35</v>
      </c>
      <c r="M55" s="213" t="s">
        <v>35</v>
      </c>
      <c r="N55" s="60">
        <v>587</v>
      </c>
      <c r="O55" s="60">
        <v>0</v>
      </c>
      <c r="P55" s="60">
        <v>0.82</v>
      </c>
      <c r="Q55" s="60">
        <v>166.82</v>
      </c>
      <c r="R55" s="198"/>
      <c r="S55" s="198"/>
      <c r="T55" s="198"/>
      <c r="U55" s="198"/>
    </row>
    <row r="56" spans="1:21" s="12" customFormat="1" x14ac:dyDescent="0.25">
      <c r="A56" s="201" t="s">
        <v>1154</v>
      </c>
      <c r="B56" s="60">
        <v>0.28000000000000003</v>
      </c>
      <c r="C56" s="60">
        <v>7.16</v>
      </c>
      <c r="D56" s="60">
        <v>4.18</v>
      </c>
      <c r="E56" s="60">
        <v>8.94</v>
      </c>
      <c r="F56" s="60">
        <v>15.52</v>
      </c>
      <c r="G56" s="60">
        <v>15.09</v>
      </c>
      <c r="H56" s="60">
        <v>4.8499999999999996</v>
      </c>
      <c r="I56" s="60">
        <v>0.45</v>
      </c>
      <c r="J56" s="60">
        <v>1.0900000000000001</v>
      </c>
      <c r="K56" s="60">
        <v>101.72</v>
      </c>
      <c r="L56" s="213" t="s">
        <v>35</v>
      </c>
      <c r="M56" s="213" t="s">
        <v>35</v>
      </c>
      <c r="N56" s="60">
        <v>625.29999999999995</v>
      </c>
      <c r="O56" s="60">
        <v>0</v>
      </c>
      <c r="P56" s="60">
        <v>0.78</v>
      </c>
      <c r="Q56" s="60">
        <v>149.72999999999999</v>
      </c>
      <c r="R56" s="198"/>
      <c r="S56" s="198"/>
      <c r="T56" s="198"/>
      <c r="U56" s="198"/>
    </row>
    <row r="57" spans="1:21" s="12" customFormat="1" x14ac:dyDescent="0.25">
      <c r="A57" s="201" t="s">
        <v>1155</v>
      </c>
      <c r="B57" s="60">
        <v>0.19</v>
      </c>
      <c r="C57" s="60">
        <v>11.05</v>
      </c>
      <c r="D57" s="60">
        <v>6.26</v>
      </c>
      <c r="E57" s="60">
        <v>6.64</v>
      </c>
      <c r="F57" s="60">
        <v>5.61</v>
      </c>
      <c r="G57" s="60">
        <v>142.28</v>
      </c>
      <c r="H57" s="60">
        <v>54.58</v>
      </c>
      <c r="I57" s="60">
        <v>0.35</v>
      </c>
      <c r="J57" s="60">
        <v>1.39</v>
      </c>
      <c r="K57" s="60">
        <v>37.44</v>
      </c>
      <c r="L57" s="213" t="s">
        <v>35</v>
      </c>
      <c r="M57" s="213" t="s">
        <v>35</v>
      </c>
      <c r="N57" s="60">
        <v>609.1</v>
      </c>
      <c r="O57" s="60">
        <v>0</v>
      </c>
      <c r="P57" s="60">
        <v>0.76</v>
      </c>
      <c r="Q57" s="60">
        <v>143.77000000000001</v>
      </c>
      <c r="R57" s="198"/>
      <c r="S57" s="198"/>
      <c r="T57" s="198"/>
      <c r="U57" s="198"/>
    </row>
    <row r="58" spans="1:21" s="12" customFormat="1" x14ac:dyDescent="0.25">
      <c r="A58" s="201" t="s">
        <v>1156</v>
      </c>
      <c r="B58" s="60">
        <v>0.14000000000000001</v>
      </c>
      <c r="C58" s="60">
        <v>13.44</v>
      </c>
      <c r="D58" s="60">
        <v>7.53</v>
      </c>
      <c r="E58" s="60">
        <v>6.44</v>
      </c>
      <c r="F58" s="60">
        <v>9.34</v>
      </c>
      <c r="G58" s="60">
        <v>142.28</v>
      </c>
      <c r="H58" s="60">
        <v>54.58</v>
      </c>
      <c r="I58" s="60">
        <v>0.28000000000000003</v>
      </c>
      <c r="J58" s="60">
        <v>2.0499999999999998</v>
      </c>
      <c r="K58" s="60">
        <v>102.26</v>
      </c>
      <c r="L58" s="213" t="s">
        <v>35</v>
      </c>
      <c r="M58" s="213" t="s">
        <v>35</v>
      </c>
      <c r="N58" s="60">
        <v>607.29999999999995</v>
      </c>
      <c r="O58" s="60">
        <v>0</v>
      </c>
      <c r="P58" s="60">
        <v>0.75</v>
      </c>
      <c r="Q58" s="60">
        <v>148.15</v>
      </c>
      <c r="R58" s="198"/>
      <c r="S58" s="198"/>
      <c r="T58" s="198"/>
      <c r="U58" s="198"/>
    </row>
    <row r="59" spans="1:21" s="12" customFormat="1" x14ac:dyDescent="0.25">
      <c r="A59" s="201" t="s">
        <v>1157</v>
      </c>
      <c r="B59" s="60">
        <v>0.01</v>
      </c>
      <c r="C59" s="60">
        <v>13.83</v>
      </c>
      <c r="D59" s="60">
        <v>7.64</v>
      </c>
      <c r="E59" s="60">
        <v>11.5</v>
      </c>
      <c r="F59" s="60">
        <v>12.66</v>
      </c>
      <c r="G59" s="60">
        <v>142.28</v>
      </c>
      <c r="H59" s="60">
        <v>54.58</v>
      </c>
      <c r="I59" s="60">
        <v>0.26</v>
      </c>
      <c r="J59" s="60">
        <v>2.25</v>
      </c>
      <c r="K59" s="60">
        <v>11.44</v>
      </c>
      <c r="L59" s="213" t="s">
        <v>35</v>
      </c>
      <c r="M59" s="213" t="s">
        <v>35</v>
      </c>
      <c r="N59" s="60">
        <v>598.5</v>
      </c>
      <c r="O59" s="60">
        <v>0</v>
      </c>
      <c r="P59" s="60">
        <v>0.74</v>
      </c>
      <c r="Q59" s="60">
        <v>160.05000000000001</v>
      </c>
      <c r="R59" s="198"/>
      <c r="S59" s="198"/>
      <c r="T59" s="198"/>
      <c r="U59" s="198"/>
    </row>
    <row r="60" spans="1:21" s="12" customFormat="1" x14ac:dyDescent="0.25">
      <c r="A60" s="201" t="s">
        <v>1158</v>
      </c>
      <c r="B60" s="60">
        <v>3.25</v>
      </c>
      <c r="C60" s="60">
        <v>69.91</v>
      </c>
      <c r="D60" s="60">
        <v>41.19</v>
      </c>
      <c r="E60" s="60">
        <v>16.68</v>
      </c>
      <c r="F60" s="60">
        <v>13.19</v>
      </c>
      <c r="G60" s="60">
        <v>142.61000000000001</v>
      </c>
      <c r="H60" s="60">
        <v>56.12</v>
      </c>
      <c r="I60" s="60">
        <v>0.32</v>
      </c>
      <c r="J60" s="60">
        <v>1.32</v>
      </c>
      <c r="K60" s="60">
        <v>67.930000000000007</v>
      </c>
      <c r="L60" s="213" t="s">
        <v>35</v>
      </c>
      <c r="M60" s="213" t="s">
        <v>35</v>
      </c>
      <c r="N60" s="60">
        <v>572.6</v>
      </c>
      <c r="O60" s="60">
        <v>0</v>
      </c>
      <c r="P60" s="60">
        <v>0.75</v>
      </c>
      <c r="Q60" s="60">
        <v>170.81</v>
      </c>
      <c r="R60" s="198"/>
      <c r="S60" s="198"/>
      <c r="T60" s="198"/>
      <c r="U60" s="198"/>
    </row>
    <row r="61" spans="1:21" s="12" customFormat="1" x14ac:dyDescent="0.25">
      <c r="A61" s="201" t="s">
        <v>1159</v>
      </c>
      <c r="B61" s="60">
        <v>3.66</v>
      </c>
      <c r="C61" s="60">
        <v>76.06</v>
      </c>
      <c r="D61" s="60">
        <v>44.91</v>
      </c>
      <c r="E61" s="60">
        <v>10.65</v>
      </c>
      <c r="F61" s="60">
        <v>8.4700000000000006</v>
      </c>
      <c r="G61" s="60">
        <v>145.34</v>
      </c>
      <c r="H61" s="60">
        <v>71.98</v>
      </c>
      <c r="I61" s="60">
        <v>0.28000000000000003</v>
      </c>
      <c r="J61" s="60">
        <v>1.61</v>
      </c>
      <c r="K61" s="60">
        <v>85.44</v>
      </c>
      <c r="L61" s="213" t="s">
        <v>35</v>
      </c>
      <c r="M61" s="213" t="s">
        <v>35</v>
      </c>
      <c r="N61" s="60">
        <v>553.4</v>
      </c>
      <c r="O61" s="60">
        <v>0</v>
      </c>
      <c r="P61" s="60">
        <v>0.75</v>
      </c>
      <c r="Q61" s="60">
        <v>165.83</v>
      </c>
      <c r="R61" s="198"/>
      <c r="S61" s="198"/>
      <c r="T61" s="198"/>
      <c r="U61" s="198"/>
    </row>
    <row r="62" spans="1:21" s="12" customFormat="1" x14ac:dyDescent="0.25">
      <c r="A62" s="201" t="s">
        <v>1160</v>
      </c>
      <c r="B62" s="60">
        <v>3.33</v>
      </c>
      <c r="C62" s="60">
        <v>60.99</v>
      </c>
      <c r="D62" s="60">
        <v>36.33</v>
      </c>
      <c r="E62" s="60">
        <v>10.36</v>
      </c>
      <c r="F62" s="60">
        <v>6.46</v>
      </c>
      <c r="G62" s="60">
        <v>145.34</v>
      </c>
      <c r="H62" s="60">
        <v>71.98</v>
      </c>
      <c r="I62" s="60">
        <v>0.3</v>
      </c>
      <c r="J62" s="60">
        <v>1.77</v>
      </c>
      <c r="K62" s="60">
        <v>93.45</v>
      </c>
      <c r="L62" s="213" t="s">
        <v>35</v>
      </c>
      <c r="M62" s="213" t="s">
        <v>35</v>
      </c>
      <c r="N62" s="60">
        <v>518.1</v>
      </c>
      <c r="O62" s="60">
        <v>0</v>
      </c>
      <c r="P62" s="60">
        <v>0.75</v>
      </c>
      <c r="Q62" s="60">
        <v>136.29</v>
      </c>
      <c r="R62" s="198"/>
      <c r="S62" s="198"/>
      <c r="T62" s="198"/>
      <c r="U62" s="198"/>
    </row>
    <row r="63" spans="1:21" s="12" customFormat="1" x14ac:dyDescent="0.25">
      <c r="A63" s="201" t="s">
        <v>1161</v>
      </c>
      <c r="B63" s="60">
        <v>8.73</v>
      </c>
      <c r="C63" s="60">
        <v>75.010000000000005</v>
      </c>
      <c r="D63" s="60">
        <v>48.4</v>
      </c>
      <c r="E63" s="60">
        <v>14.56</v>
      </c>
      <c r="F63" s="60">
        <v>11.54</v>
      </c>
      <c r="G63" s="60">
        <v>145.34</v>
      </c>
      <c r="H63" s="60">
        <v>71.98</v>
      </c>
      <c r="I63" s="60">
        <v>0.32</v>
      </c>
      <c r="J63" s="60">
        <v>1.89</v>
      </c>
      <c r="K63" s="60">
        <v>29.63</v>
      </c>
      <c r="L63" s="213" t="s">
        <v>35</v>
      </c>
      <c r="M63" s="213" t="s">
        <v>35</v>
      </c>
      <c r="N63" s="60">
        <v>491.9</v>
      </c>
      <c r="O63" s="60">
        <v>0</v>
      </c>
      <c r="P63" s="60">
        <v>0.74</v>
      </c>
      <c r="Q63" s="60">
        <v>125.17</v>
      </c>
      <c r="R63" s="198"/>
      <c r="S63" s="198"/>
      <c r="T63" s="198"/>
      <c r="U63" s="198"/>
    </row>
    <row r="64" spans="1:21" s="12" customFormat="1" x14ac:dyDescent="0.25">
      <c r="A64" s="201" t="s">
        <v>1162</v>
      </c>
      <c r="B64" s="60">
        <v>8.75</v>
      </c>
      <c r="C64" s="60">
        <v>80.239999999999995</v>
      </c>
      <c r="D64" s="60">
        <v>51.3</v>
      </c>
      <c r="E64" s="60">
        <v>22.5</v>
      </c>
      <c r="F64" s="60">
        <v>10.76</v>
      </c>
      <c r="G64" s="60">
        <v>144.35</v>
      </c>
      <c r="H64" s="60">
        <v>71.64</v>
      </c>
      <c r="I64" s="60">
        <v>0.26</v>
      </c>
      <c r="J64" s="60">
        <v>1.48</v>
      </c>
      <c r="K64" s="60">
        <v>58</v>
      </c>
      <c r="L64" s="213" t="s">
        <v>35</v>
      </c>
      <c r="M64" s="213" t="s">
        <v>35</v>
      </c>
      <c r="N64" s="60">
        <v>479.7</v>
      </c>
      <c r="O64" s="60">
        <v>0</v>
      </c>
      <c r="P64" s="60">
        <v>0.79</v>
      </c>
      <c r="Q64" s="60">
        <v>118.59</v>
      </c>
      <c r="R64" s="198"/>
      <c r="S64" s="198"/>
      <c r="T64" s="198"/>
      <c r="U64" s="198"/>
    </row>
    <row r="65" spans="1:21" s="12" customFormat="1" x14ac:dyDescent="0.25">
      <c r="A65" s="201" t="s">
        <v>1163</v>
      </c>
      <c r="B65" s="60">
        <v>6.71</v>
      </c>
      <c r="C65" s="60">
        <v>85.32</v>
      </c>
      <c r="D65" s="60">
        <v>52.47</v>
      </c>
      <c r="E65" s="60">
        <v>15.7</v>
      </c>
      <c r="F65" s="60">
        <v>9.58</v>
      </c>
      <c r="G65" s="60">
        <v>136</v>
      </c>
      <c r="H65" s="60">
        <v>68.17</v>
      </c>
      <c r="I65" s="60">
        <v>0.23</v>
      </c>
      <c r="J65" s="60">
        <v>4.13</v>
      </c>
      <c r="K65" s="60">
        <v>51.93</v>
      </c>
      <c r="L65" s="213" t="s">
        <v>35</v>
      </c>
      <c r="M65" s="213" t="s">
        <v>35</v>
      </c>
      <c r="N65" s="60">
        <v>445</v>
      </c>
      <c r="O65" s="60">
        <v>0</v>
      </c>
      <c r="P65" s="60">
        <v>0.81</v>
      </c>
      <c r="Q65" s="60">
        <v>125.05</v>
      </c>
      <c r="R65" s="198"/>
      <c r="S65" s="198"/>
      <c r="T65" s="198"/>
      <c r="U65" s="198"/>
    </row>
    <row r="66" spans="1:21" s="12" customFormat="1" x14ac:dyDescent="0.25">
      <c r="A66" s="201" t="s">
        <v>1164</v>
      </c>
      <c r="B66" s="60">
        <v>8.85</v>
      </c>
      <c r="C66" s="60">
        <v>95.24</v>
      </c>
      <c r="D66" s="60">
        <v>59.65</v>
      </c>
      <c r="E66" s="60">
        <v>14.58</v>
      </c>
      <c r="F66" s="60">
        <v>12.67</v>
      </c>
      <c r="G66" s="60">
        <v>136</v>
      </c>
      <c r="H66" s="60">
        <v>68.17</v>
      </c>
      <c r="I66" s="60">
        <v>0.23</v>
      </c>
      <c r="J66" s="60">
        <v>4.7699999999999996</v>
      </c>
      <c r="K66" s="60">
        <v>22.57</v>
      </c>
      <c r="L66" s="213" t="s">
        <v>35</v>
      </c>
      <c r="M66" s="213" t="s">
        <v>35</v>
      </c>
      <c r="N66" s="60">
        <v>299.89999999999998</v>
      </c>
      <c r="O66" s="60">
        <v>0</v>
      </c>
      <c r="P66" s="60">
        <v>0.83</v>
      </c>
      <c r="Q66" s="60">
        <v>160.97999999999999</v>
      </c>
      <c r="R66" s="198"/>
      <c r="S66" s="198"/>
      <c r="T66" s="198"/>
      <c r="U66" s="198"/>
    </row>
    <row r="67" spans="1:21" s="12" customFormat="1" x14ac:dyDescent="0.25">
      <c r="A67" s="201" t="s">
        <v>1165</v>
      </c>
      <c r="B67" s="60">
        <v>7.6</v>
      </c>
      <c r="C67" s="60">
        <v>87.56</v>
      </c>
      <c r="D67" s="60">
        <v>54.42</v>
      </c>
      <c r="E67" s="60">
        <v>13.87</v>
      </c>
      <c r="F67" s="60">
        <v>11.57</v>
      </c>
      <c r="G67" s="60">
        <v>136</v>
      </c>
      <c r="H67" s="60">
        <v>68.17</v>
      </c>
      <c r="I67" s="60">
        <v>0.24</v>
      </c>
      <c r="J67" s="60">
        <v>3.62</v>
      </c>
      <c r="K67" s="60">
        <v>36.57</v>
      </c>
      <c r="L67" s="213" t="s">
        <v>35</v>
      </c>
      <c r="M67" s="213" t="s">
        <v>35</v>
      </c>
      <c r="N67" s="60">
        <v>225.1</v>
      </c>
      <c r="O67" s="60">
        <v>0</v>
      </c>
      <c r="P67" s="60">
        <v>0.85</v>
      </c>
      <c r="Q67" s="60">
        <v>129.81</v>
      </c>
      <c r="R67" s="198"/>
      <c r="S67" s="198"/>
      <c r="T67" s="198"/>
      <c r="U67" s="198"/>
    </row>
    <row r="68" spans="1:21" s="12" customFormat="1" x14ac:dyDescent="0.25">
      <c r="A68" s="201" t="s">
        <v>1166</v>
      </c>
      <c r="B68" s="60">
        <v>5.52</v>
      </c>
      <c r="C68" s="60">
        <v>86.86</v>
      </c>
      <c r="D68" s="60">
        <v>52.36</v>
      </c>
      <c r="E68" s="60">
        <v>11.18</v>
      </c>
      <c r="F68" s="60">
        <v>8.9</v>
      </c>
      <c r="G68" s="60">
        <v>136.09</v>
      </c>
      <c r="H68" s="60">
        <v>67.459999999999994</v>
      </c>
      <c r="I68" s="60">
        <v>0.28000000000000003</v>
      </c>
      <c r="J68" s="60">
        <v>2.97</v>
      </c>
      <c r="K68" s="60">
        <v>61.93</v>
      </c>
      <c r="L68" s="213" t="s">
        <v>35</v>
      </c>
      <c r="M68" s="213" t="s">
        <v>35</v>
      </c>
      <c r="N68" s="60">
        <v>143.4</v>
      </c>
      <c r="O68" s="60">
        <v>0</v>
      </c>
      <c r="P68" s="60">
        <v>0.85</v>
      </c>
      <c r="Q68" s="60">
        <v>134.16</v>
      </c>
      <c r="R68" s="198"/>
      <c r="S68" s="198"/>
      <c r="T68" s="198"/>
      <c r="U68" s="198"/>
    </row>
    <row r="69" spans="1:21" s="12" customFormat="1" x14ac:dyDescent="0.25">
      <c r="A69" s="201" t="s">
        <v>1167</v>
      </c>
      <c r="B69" s="60">
        <v>4.75</v>
      </c>
      <c r="C69" s="60">
        <v>83.17</v>
      </c>
      <c r="D69" s="60">
        <v>49.71</v>
      </c>
      <c r="E69" s="60">
        <v>14.75</v>
      </c>
      <c r="F69" s="60">
        <v>18.489999999999998</v>
      </c>
      <c r="G69" s="60">
        <v>136.87</v>
      </c>
      <c r="H69" s="60">
        <v>60.15</v>
      </c>
      <c r="I69" s="60">
        <v>0.24</v>
      </c>
      <c r="J69" s="60">
        <v>2.4700000000000002</v>
      </c>
      <c r="K69" s="60">
        <v>55.08</v>
      </c>
      <c r="L69" s="213" t="s">
        <v>35</v>
      </c>
      <c r="M69" s="213" t="s">
        <v>35</v>
      </c>
      <c r="N69" s="60">
        <v>129.1</v>
      </c>
      <c r="O69" s="60">
        <v>0</v>
      </c>
      <c r="P69" s="60">
        <v>0.85</v>
      </c>
      <c r="Q69" s="60">
        <v>138.43</v>
      </c>
      <c r="R69" s="198"/>
      <c r="S69" s="198"/>
      <c r="T69" s="198"/>
      <c r="U69" s="198"/>
    </row>
    <row r="70" spans="1:21" s="12" customFormat="1" x14ac:dyDescent="0.25">
      <c r="A70" s="201" t="s">
        <v>1168</v>
      </c>
      <c r="B70" s="60">
        <v>4.3499999999999996</v>
      </c>
      <c r="C70" s="60">
        <v>80.41</v>
      </c>
      <c r="D70" s="60">
        <v>47.86</v>
      </c>
      <c r="E70" s="60">
        <v>18.440000000000001</v>
      </c>
      <c r="F70" s="60">
        <v>19.71</v>
      </c>
      <c r="G70" s="60">
        <v>136.87</v>
      </c>
      <c r="H70" s="60">
        <v>60.15</v>
      </c>
      <c r="I70" s="60">
        <v>0.24</v>
      </c>
      <c r="J70" s="60">
        <v>2.19</v>
      </c>
      <c r="K70" s="60">
        <v>62.68</v>
      </c>
      <c r="L70" s="213" t="s">
        <v>35</v>
      </c>
      <c r="M70" s="213" t="s">
        <v>35</v>
      </c>
      <c r="N70" s="60">
        <v>111</v>
      </c>
      <c r="O70" s="60">
        <v>0</v>
      </c>
      <c r="P70" s="60">
        <v>0.85</v>
      </c>
      <c r="Q70" s="60">
        <v>147.97</v>
      </c>
      <c r="R70" s="198"/>
      <c r="S70" s="198"/>
      <c r="T70" s="198"/>
      <c r="U70" s="198"/>
    </row>
    <row r="71" spans="1:21" s="12" customFormat="1" x14ac:dyDescent="0.25">
      <c r="A71" s="201" t="s">
        <v>1169</v>
      </c>
      <c r="B71" s="60">
        <v>3.66</v>
      </c>
      <c r="C71" s="60">
        <v>78.290000000000006</v>
      </c>
      <c r="D71" s="60">
        <v>46.15</v>
      </c>
      <c r="E71" s="60">
        <v>16.05</v>
      </c>
      <c r="F71" s="60">
        <v>16.55</v>
      </c>
      <c r="G71" s="60">
        <v>136.87</v>
      </c>
      <c r="H71" s="60">
        <v>60.15</v>
      </c>
      <c r="I71" s="60">
        <v>0.24</v>
      </c>
      <c r="J71" s="60">
        <v>2.59</v>
      </c>
      <c r="K71" s="60">
        <v>80.099999999999994</v>
      </c>
      <c r="L71" s="213" t="s">
        <v>35</v>
      </c>
      <c r="M71" s="213" t="s">
        <v>35</v>
      </c>
      <c r="N71" s="60">
        <v>96.6</v>
      </c>
      <c r="O71" s="60">
        <v>0</v>
      </c>
      <c r="P71" s="60">
        <v>0.82</v>
      </c>
      <c r="Q71" s="60">
        <v>157.76</v>
      </c>
      <c r="R71" s="198"/>
      <c r="S71" s="198"/>
      <c r="T71" s="198"/>
      <c r="U71" s="198"/>
    </row>
    <row r="72" spans="1:21" s="12" customFormat="1" x14ac:dyDescent="0.25">
      <c r="A72" s="201" t="s">
        <v>1170</v>
      </c>
      <c r="B72" s="60">
        <v>3.03</v>
      </c>
      <c r="C72" s="60">
        <v>74.94</v>
      </c>
      <c r="D72" s="60">
        <v>43.79</v>
      </c>
      <c r="E72" s="60">
        <v>11.08</v>
      </c>
      <c r="F72" s="60">
        <v>17.78</v>
      </c>
      <c r="G72" s="60">
        <v>136.55000000000001</v>
      </c>
      <c r="H72" s="60">
        <v>60.04</v>
      </c>
      <c r="I72" s="60">
        <v>0.26</v>
      </c>
      <c r="J72" s="60">
        <v>2.89</v>
      </c>
      <c r="K72" s="60">
        <v>82.98</v>
      </c>
      <c r="L72" s="213" t="s">
        <v>35</v>
      </c>
      <c r="M72" s="213" t="s">
        <v>35</v>
      </c>
      <c r="N72" s="60">
        <v>85.6</v>
      </c>
      <c r="O72" s="60">
        <v>0</v>
      </c>
      <c r="P72" s="60">
        <v>0.77</v>
      </c>
      <c r="Q72" s="60">
        <v>160.96</v>
      </c>
      <c r="R72" s="198"/>
      <c r="S72" s="198"/>
      <c r="T72" s="198"/>
      <c r="U72" s="198"/>
    </row>
    <row r="73" spans="1:21" s="12" customFormat="1" x14ac:dyDescent="0.25">
      <c r="A73" s="201" t="s">
        <v>1171</v>
      </c>
      <c r="B73" s="60">
        <v>7</v>
      </c>
      <c r="C73" s="60">
        <v>85.53</v>
      </c>
      <c r="D73" s="60">
        <v>52.81</v>
      </c>
      <c r="E73" s="60">
        <v>11.94</v>
      </c>
      <c r="F73" s="60">
        <v>8.08</v>
      </c>
      <c r="G73" s="60">
        <v>133.84</v>
      </c>
      <c r="H73" s="60">
        <v>58.96</v>
      </c>
      <c r="I73" s="60">
        <v>0.26</v>
      </c>
      <c r="J73" s="60">
        <v>2.38</v>
      </c>
      <c r="K73" s="60">
        <v>64.14</v>
      </c>
      <c r="L73" s="213" t="s">
        <v>35</v>
      </c>
      <c r="M73" s="213" t="s">
        <v>35</v>
      </c>
      <c r="N73" s="60">
        <v>65</v>
      </c>
      <c r="O73" s="60">
        <v>0</v>
      </c>
      <c r="P73" s="60">
        <v>0.81</v>
      </c>
      <c r="Q73" s="60">
        <v>162.15</v>
      </c>
      <c r="R73" s="198"/>
      <c r="S73" s="198"/>
      <c r="T73" s="198"/>
      <c r="U73" s="198"/>
    </row>
    <row r="74" spans="1:21" s="12" customFormat="1" x14ac:dyDescent="0.25">
      <c r="A74" s="201" t="s">
        <v>1172</v>
      </c>
      <c r="B74" s="60">
        <v>9.82</v>
      </c>
      <c r="C74" s="60">
        <v>101.8</v>
      </c>
      <c r="D74" s="60">
        <v>64.06</v>
      </c>
      <c r="E74" s="60">
        <v>16.22</v>
      </c>
      <c r="F74" s="60">
        <v>14.8</v>
      </c>
      <c r="G74" s="60">
        <v>133.84</v>
      </c>
      <c r="H74" s="60">
        <v>58.96</v>
      </c>
      <c r="I74" s="60">
        <v>0.26</v>
      </c>
      <c r="J74" s="60">
        <v>2.77</v>
      </c>
      <c r="K74" s="60">
        <v>56.79</v>
      </c>
      <c r="L74" s="213" t="s">
        <v>35</v>
      </c>
      <c r="M74" s="213" t="s">
        <v>35</v>
      </c>
      <c r="N74" s="60">
        <v>51.4</v>
      </c>
      <c r="O74" s="60">
        <v>0</v>
      </c>
      <c r="P74" s="60">
        <v>0.91</v>
      </c>
      <c r="Q74" s="60">
        <v>164.96</v>
      </c>
      <c r="R74" s="198"/>
      <c r="S74" s="198"/>
      <c r="T74" s="198"/>
      <c r="U74" s="198"/>
    </row>
    <row r="75" spans="1:21" s="12" customFormat="1" x14ac:dyDescent="0.25">
      <c r="A75" s="201" t="s">
        <v>1173</v>
      </c>
      <c r="B75" s="60">
        <v>6.61</v>
      </c>
      <c r="C75" s="60">
        <v>107.74</v>
      </c>
      <c r="D75" s="60">
        <v>64.760000000000005</v>
      </c>
      <c r="E75" s="60">
        <v>13.22</v>
      </c>
      <c r="F75" s="60">
        <v>12.09</v>
      </c>
      <c r="G75" s="60">
        <v>133.84</v>
      </c>
      <c r="H75" s="60">
        <v>58.96</v>
      </c>
      <c r="I75" s="60">
        <v>0.35</v>
      </c>
      <c r="J75" s="60">
        <v>2.57</v>
      </c>
      <c r="K75" s="60">
        <v>53.17</v>
      </c>
      <c r="L75" s="213" t="s">
        <v>35</v>
      </c>
      <c r="M75" s="213" t="s">
        <v>35</v>
      </c>
      <c r="N75" s="60">
        <v>39</v>
      </c>
      <c r="O75" s="60">
        <v>0</v>
      </c>
      <c r="P75" s="60">
        <v>0.91</v>
      </c>
      <c r="Q75" s="60">
        <v>175.18</v>
      </c>
      <c r="R75" s="198"/>
      <c r="S75" s="198"/>
      <c r="T75" s="198"/>
      <c r="U75" s="198"/>
    </row>
    <row r="76" spans="1:21" s="12" customFormat="1" x14ac:dyDescent="0.25">
      <c r="A76" s="201" t="s">
        <v>1174</v>
      </c>
      <c r="B76" s="60">
        <v>3.65</v>
      </c>
      <c r="C76" s="60">
        <v>85.81</v>
      </c>
      <c r="D76" s="60">
        <v>50.28</v>
      </c>
      <c r="E76" s="60">
        <v>13.49</v>
      </c>
      <c r="F76" s="60">
        <v>15.08</v>
      </c>
      <c r="G76" s="60">
        <v>134.75</v>
      </c>
      <c r="H76" s="60">
        <v>58.76</v>
      </c>
      <c r="I76" s="60">
        <v>0.33</v>
      </c>
      <c r="J76" s="60">
        <v>2.71</v>
      </c>
      <c r="K76" s="60">
        <v>77.95</v>
      </c>
      <c r="L76" s="213" t="s">
        <v>35</v>
      </c>
      <c r="M76" s="213" t="s">
        <v>35</v>
      </c>
      <c r="N76" s="60">
        <v>27.3</v>
      </c>
      <c r="O76" s="60">
        <v>0</v>
      </c>
      <c r="P76" s="60">
        <v>0.9</v>
      </c>
      <c r="Q76" s="60">
        <v>142.68</v>
      </c>
      <c r="R76" s="198"/>
      <c r="S76" s="198"/>
      <c r="T76" s="198"/>
      <c r="U76" s="198"/>
    </row>
    <row r="77" spans="1:21" s="12" customFormat="1" x14ac:dyDescent="0.25">
      <c r="A77" s="201" t="s">
        <v>1175</v>
      </c>
      <c r="B77" s="60">
        <v>4.16</v>
      </c>
      <c r="C77" s="60">
        <v>90.21</v>
      </c>
      <c r="D77" s="60">
        <v>53.12</v>
      </c>
      <c r="E77" s="60">
        <v>14.87</v>
      </c>
      <c r="F77" s="60">
        <v>16.190000000000001</v>
      </c>
      <c r="G77" s="60">
        <v>142.38999999999999</v>
      </c>
      <c r="H77" s="60">
        <v>56.7</v>
      </c>
      <c r="I77" s="60">
        <v>0.32</v>
      </c>
      <c r="J77" s="60">
        <v>2.34</v>
      </c>
      <c r="K77" s="60">
        <v>71.349999999999994</v>
      </c>
      <c r="L77" s="213" t="s">
        <v>35</v>
      </c>
      <c r="M77" s="213" t="s">
        <v>35</v>
      </c>
      <c r="N77" s="60">
        <v>17.100000000000001</v>
      </c>
      <c r="O77" s="60">
        <v>0</v>
      </c>
      <c r="P77" s="60">
        <v>0.99</v>
      </c>
      <c r="Q77" s="60">
        <v>120.71</v>
      </c>
      <c r="R77" s="198"/>
      <c r="S77" s="198"/>
      <c r="T77" s="198"/>
      <c r="U77" s="198"/>
    </row>
    <row r="78" spans="1:21" s="12" customFormat="1" x14ac:dyDescent="0.25">
      <c r="A78" s="201" t="s">
        <v>1176</v>
      </c>
      <c r="B78" s="60">
        <v>4.55</v>
      </c>
      <c r="C78" s="60">
        <v>94.16</v>
      </c>
      <c r="D78" s="60">
        <v>55.61</v>
      </c>
      <c r="E78" s="60">
        <v>13.25</v>
      </c>
      <c r="F78" s="60">
        <v>11.5</v>
      </c>
      <c r="G78" s="60">
        <v>142.38999999999999</v>
      </c>
      <c r="H78" s="60">
        <v>56.7</v>
      </c>
      <c r="I78" s="60">
        <v>0.32</v>
      </c>
      <c r="J78" s="60">
        <v>1.29</v>
      </c>
      <c r="K78" s="60">
        <v>80.14</v>
      </c>
      <c r="L78" s="213" t="s">
        <v>35</v>
      </c>
      <c r="M78" s="213" t="s">
        <v>35</v>
      </c>
      <c r="N78" s="60">
        <v>37.700000000000003</v>
      </c>
      <c r="O78" s="60">
        <v>0</v>
      </c>
      <c r="P78" s="60">
        <v>1.02</v>
      </c>
      <c r="Q78" s="60">
        <v>124.15</v>
      </c>
      <c r="R78" s="198"/>
      <c r="S78" s="198"/>
      <c r="T78" s="198"/>
      <c r="U78" s="198"/>
    </row>
    <row r="79" spans="1:21" s="12" customFormat="1" x14ac:dyDescent="0.25">
      <c r="A79" s="201" t="s">
        <v>1177</v>
      </c>
      <c r="B79" s="60">
        <v>3.65</v>
      </c>
      <c r="C79" s="60">
        <v>106.54</v>
      </c>
      <c r="D79" s="60">
        <v>61.72</v>
      </c>
      <c r="E79" s="60">
        <v>10.57</v>
      </c>
      <c r="F79" s="60">
        <v>11.67</v>
      </c>
      <c r="G79" s="60">
        <v>142.38999999999999</v>
      </c>
      <c r="H79" s="60">
        <v>56.7</v>
      </c>
      <c r="I79" s="60">
        <v>0.39</v>
      </c>
      <c r="J79" s="60">
        <v>0.38</v>
      </c>
      <c r="K79" s="60">
        <v>75.8</v>
      </c>
      <c r="L79" s="213" t="s">
        <v>35</v>
      </c>
      <c r="M79" s="213" t="s">
        <v>35</v>
      </c>
      <c r="N79" s="60">
        <v>29.8</v>
      </c>
      <c r="O79" s="60">
        <v>0</v>
      </c>
      <c r="P79" s="60">
        <v>1.07</v>
      </c>
      <c r="Q79" s="60">
        <v>140.71</v>
      </c>
      <c r="R79" s="198"/>
      <c r="S79" s="198"/>
      <c r="T79" s="198"/>
      <c r="U79" s="198"/>
    </row>
    <row r="80" spans="1:21" s="12" customFormat="1" x14ac:dyDescent="0.25">
      <c r="A80" s="201" t="s">
        <v>1178</v>
      </c>
      <c r="B80" s="60">
        <v>3.51</v>
      </c>
      <c r="C80" s="60">
        <v>101.8</v>
      </c>
      <c r="D80" s="60">
        <v>59</v>
      </c>
      <c r="E80" s="60">
        <v>13.96</v>
      </c>
      <c r="F80" s="60">
        <v>9.7899999999999991</v>
      </c>
      <c r="G80" s="60">
        <v>142.71</v>
      </c>
      <c r="H80" s="60">
        <v>56.71</v>
      </c>
      <c r="I80" s="60">
        <v>0.4</v>
      </c>
      <c r="J80" s="60">
        <v>0.37</v>
      </c>
      <c r="K80" s="60">
        <v>69.819999999999993</v>
      </c>
      <c r="L80" s="213" t="s">
        <v>35</v>
      </c>
      <c r="M80" s="213" t="s">
        <v>35</v>
      </c>
      <c r="N80" s="60">
        <v>27.5</v>
      </c>
      <c r="O80" s="60">
        <v>0</v>
      </c>
      <c r="P80" s="60">
        <v>1.1399999999999999</v>
      </c>
      <c r="Q80" s="60">
        <v>116.03</v>
      </c>
      <c r="R80" s="198"/>
      <c r="S80" s="198"/>
      <c r="T80" s="198"/>
      <c r="U80" s="198"/>
    </row>
    <row r="81" spans="1:26" s="12" customFormat="1" x14ac:dyDescent="0.25">
      <c r="A81" s="201" t="s">
        <v>1179</v>
      </c>
      <c r="B81" s="60">
        <v>6.39</v>
      </c>
      <c r="C81" s="60">
        <v>120.11</v>
      </c>
      <c r="D81" s="60">
        <v>71.41</v>
      </c>
      <c r="E81" s="60">
        <v>7.64</v>
      </c>
      <c r="F81" s="60">
        <v>3.76</v>
      </c>
      <c r="G81" s="60">
        <v>145.46</v>
      </c>
      <c r="H81" s="60">
        <v>56.85</v>
      </c>
      <c r="I81" s="60">
        <v>0.37</v>
      </c>
      <c r="J81" s="60">
        <v>0.33</v>
      </c>
      <c r="K81" s="60">
        <v>67.3</v>
      </c>
      <c r="L81" s="213" t="s">
        <v>35</v>
      </c>
      <c r="M81" s="213" t="s">
        <v>35</v>
      </c>
      <c r="N81" s="60">
        <v>58.2</v>
      </c>
      <c r="O81" s="60">
        <v>0</v>
      </c>
      <c r="P81" s="60">
        <v>1.29</v>
      </c>
      <c r="Q81" s="60">
        <v>147.26</v>
      </c>
      <c r="R81" s="198"/>
      <c r="S81" s="198"/>
      <c r="T81" s="198"/>
      <c r="U81" s="198"/>
    </row>
    <row r="82" spans="1:26" s="12" customFormat="1" x14ac:dyDescent="0.25">
      <c r="A82" s="201" t="s">
        <v>1180</v>
      </c>
      <c r="B82" s="60">
        <v>4.38</v>
      </c>
      <c r="C82" s="60">
        <v>93.57</v>
      </c>
      <c r="D82" s="60">
        <v>55.16</v>
      </c>
      <c r="E82" s="60">
        <v>6.44</v>
      </c>
      <c r="F82" s="60">
        <v>3</v>
      </c>
      <c r="G82" s="60">
        <v>145.46</v>
      </c>
      <c r="H82" s="60">
        <v>56.85</v>
      </c>
      <c r="I82" s="60">
        <v>0.47</v>
      </c>
      <c r="J82" s="60">
        <v>0.4</v>
      </c>
      <c r="K82" s="60">
        <v>86.94</v>
      </c>
      <c r="L82" s="213" t="s">
        <v>35</v>
      </c>
      <c r="M82" s="213" t="s">
        <v>35</v>
      </c>
      <c r="N82" s="60">
        <v>64.7</v>
      </c>
      <c r="O82" s="60">
        <v>0</v>
      </c>
      <c r="P82" s="60">
        <v>1.25</v>
      </c>
      <c r="Q82" s="60">
        <v>133.99</v>
      </c>
      <c r="R82" s="198"/>
      <c r="S82" s="198"/>
      <c r="T82" s="198"/>
      <c r="U82" s="198"/>
    </row>
    <row r="83" spans="1:26" s="12" customFormat="1" x14ac:dyDescent="0.25">
      <c r="A83" s="201" t="s">
        <v>1181</v>
      </c>
      <c r="B83" s="60">
        <v>4.2699999999999996</v>
      </c>
      <c r="C83" s="60">
        <v>89.72</v>
      </c>
      <c r="D83" s="60">
        <v>52.94</v>
      </c>
      <c r="E83" s="60">
        <v>7.06</v>
      </c>
      <c r="F83" s="60">
        <v>3.64</v>
      </c>
      <c r="G83" s="60">
        <v>145.46</v>
      </c>
      <c r="H83" s="60">
        <v>56.85</v>
      </c>
      <c r="I83" s="60">
        <v>0.52</v>
      </c>
      <c r="J83" s="60">
        <v>0.38</v>
      </c>
      <c r="K83" s="60">
        <v>88.27</v>
      </c>
      <c r="L83" s="213" t="s">
        <v>35</v>
      </c>
      <c r="M83" s="213" t="s">
        <v>35</v>
      </c>
      <c r="N83" s="60">
        <v>64.8</v>
      </c>
      <c r="O83" s="60">
        <v>0</v>
      </c>
      <c r="P83" s="60">
        <v>1.26</v>
      </c>
      <c r="Q83" s="60">
        <v>144.12</v>
      </c>
      <c r="R83" s="198"/>
      <c r="S83" s="198"/>
      <c r="T83" s="198"/>
      <c r="U83" s="198"/>
    </row>
    <row r="84" spans="1:26" s="12" customFormat="1" x14ac:dyDescent="0.25">
      <c r="A84" s="201" t="s">
        <v>1182</v>
      </c>
      <c r="B84" s="60">
        <v>4.13</v>
      </c>
      <c r="C84" s="60">
        <v>86.15</v>
      </c>
      <c r="D84" s="60">
        <v>50.86</v>
      </c>
      <c r="E84" s="60">
        <v>6.76</v>
      </c>
      <c r="F84" s="60">
        <v>3.91</v>
      </c>
      <c r="G84" s="60">
        <v>148.63</v>
      </c>
      <c r="H84" s="60">
        <v>57.41</v>
      </c>
      <c r="I84" s="60">
        <v>0.51</v>
      </c>
      <c r="J84" s="60">
        <v>0.5</v>
      </c>
      <c r="K84" s="60">
        <v>95.88</v>
      </c>
      <c r="L84" s="213" t="s">
        <v>35</v>
      </c>
      <c r="M84" s="213" t="s">
        <v>35</v>
      </c>
      <c r="N84" s="60">
        <v>67.7</v>
      </c>
      <c r="O84" s="60">
        <v>0</v>
      </c>
      <c r="P84" s="60">
        <v>1.26</v>
      </c>
      <c r="Q84" s="60">
        <v>150.07</v>
      </c>
      <c r="R84" s="198"/>
      <c r="S84" s="198"/>
      <c r="T84" s="198"/>
      <c r="U84" s="198"/>
    </row>
    <row r="85" spans="1:26" s="12" customFormat="1" x14ac:dyDescent="0.25">
      <c r="A85" s="201" t="s">
        <v>1183</v>
      </c>
      <c r="B85" s="60">
        <v>4.26</v>
      </c>
      <c r="C85" s="60">
        <v>92.21</v>
      </c>
      <c r="D85" s="60">
        <v>54.3</v>
      </c>
      <c r="E85" s="60">
        <v>6.29</v>
      </c>
      <c r="F85" s="60">
        <v>3.24</v>
      </c>
      <c r="G85" s="60">
        <v>175.4</v>
      </c>
      <c r="H85" s="60">
        <v>63.13</v>
      </c>
      <c r="I85" s="60">
        <v>0.54</v>
      </c>
      <c r="J85" s="60">
        <v>0.18</v>
      </c>
      <c r="K85" s="60">
        <v>77.040000000000006</v>
      </c>
      <c r="L85" s="213" t="s">
        <v>35</v>
      </c>
      <c r="M85" s="213" t="s">
        <v>35</v>
      </c>
      <c r="N85" s="60">
        <v>33.200000000000003</v>
      </c>
      <c r="O85" s="60">
        <v>0</v>
      </c>
      <c r="P85" s="60">
        <v>1.26</v>
      </c>
      <c r="Q85" s="60">
        <v>153.68</v>
      </c>
      <c r="R85" s="198"/>
      <c r="S85" s="198"/>
      <c r="T85" s="198"/>
      <c r="U85" s="198"/>
    </row>
    <row r="86" spans="1:26" s="12" customFormat="1" x14ac:dyDescent="0.25">
      <c r="A86" s="201" t="s">
        <v>1184</v>
      </c>
      <c r="B86" s="60">
        <v>4.68</v>
      </c>
      <c r="C86" s="60">
        <v>97.18</v>
      </c>
      <c r="D86" s="60">
        <v>57.38</v>
      </c>
      <c r="E86" s="60">
        <v>6.33</v>
      </c>
      <c r="F86" s="60">
        <v>2.25</v>
      </c>
      <c r="G86" s="60">
        <v>175.4</v>
      </c>
      <c r="H86" s="60">
        <v>63.13</v>
      </c>
      <c r="I86" s="60">
        <v>0.56999999999999995</v>
      </c>
      <c r="J86" s="60">
        <v>0.25</v>
      </c>
      <c r="K86" s="60">
        <v>77.87</v>
      </c>
      <c r="L86" s="213" t="s">
        <v>35</v>
      </c>
      <c r="M86" s="213" t="s">
        <v>35</v>
      </c>
      <c r="N86" s="60">
        <v>25.4</v>
      </c>
      <c r="O86" s="60">
        <v>0</v>
      </c>
      <c r="P86" s="60">
        <v>1.32</v>
      </c>
      <c r="Q86" s="60">
        <v>164.39</v>
      </c>
      <c r="R86" s="198"/>
      <c r="S86" s="198"/>
      <c r="T86" s="198"/>
      <c r="U86" s="198"/>
    </row>
    <row r="87" spans="1:26" s="12" customFormat="1" x14ac:dyDescent="0.25">
      <c r="A87" s="201" t="s">
        <v>1185</v>
      </c>
      <c r="B87" s="60">
        <v>5.39</v>
      </c>
      <c r="C87" s="60">
        <v>96.61</v>
      </c>
      <c r="D87" s="60">
        <v>57.64</v>
      </c>
      <c r="E87" s="60">
        <v>6.04</v>
      </c>
      <c r="F87" s="60">
        <v>1.74</v>
      </c>
      <c r="G87" s="60">
        <v>175.4</v>
      </c>
      <c r="H87" s="60">
        <v>63.13</v>
      </c>
      <c r="I87" s="60">
        <v>0.6</v>
      </c>
      <c r="J87" s="60">
        <v>0.05</v>
      </c>
      <c r="K87" s="60">
        <v>115.62</v>
      </c>
      <c r="L87" s="213" t="s">
        <v>35</v>
      </c>
      <c r="M87" s="213" t="s">
        <v>35</v>
      </c>
      <c r="N87" s="60">
        <v>25.5</v>
      </c>
      <c r="O87" s="60">
        <v>0</v>
      </c>
      <c r="P87" s="60">
        <v>1.33</v>
      </c>
      <c r="Q87" s="60">
        <v>172.59</v>
      </c>
      <c r="R87" s="198"/>
      <c r="S87" s="198"/>
      <c r="T87" s="198"/>
      <c r="U87" s="198"/>
    </row>
    <row r="88" spans="1:26" s="12" customFormat="1" x14ac:dyDescent="0.25">
      <c r="A88" s="201" t="s">
        <v>1186</v>
      </c>
      <c r="B88" s="60">
        <v>5.61</v>
      </c>
      <c r="C88" s="60">
        <v>95.14</v>
      </c>
      <c r="D88" s="60">
        <v>57</v>
      </c>
      <c r="E88" s="60">
        <v>2.98</v>
      </c>
      <c r="F88" s="60">
        <v>1.41</v>
      </c>
      <c r="G88" s="60">
        <v>175.63</v>
      </c>
      <c r="H88" s="60">
        <v>62.67</v>
      </c>
      <c r="I88" s="60">
        <v>0.65</v>
      </c>
      <c r="J88" s="60">
        <v>0.23</v>
      </c>
      <c r="K88" s="60">
        <v>115.83</v>
      </c>
      <c r="L88" s="213" t="s">
        <v>35</v>
      </c>
      <c r="M88" s="213" t="s">
        <v>35</v>
      </c>
      <c r="N88" s="60">
        <v>24.7</v>
      </c>
      <c r="O88" s="60">
        <v>0</v>
      </c>
      <c r="P88" s="60">
        <v>1.34</v>
      </c>
      <c r="Q88" s="60">
        <v>175.31</v>
      </c>
      <c r="R88" s="198"/>
      <c r="S88" s="198"/>
      <c r="T88" s="198"/>
      <c r="U88" s="198"/>
    </row>
    <row r="89" spans="1:26" s="12" customFormat="1" x14ac:dyDescent="0.25">
      <c r="A89" s="201" t="s">
        <v>1187</v>
      </c>
      <c r="B89" s="60">
        <v>6.03</v>
      </c>
      <c r="C89" s="60">
        <v>91.43</v>
      </c>
      <c r="D89" s="60">
        <v>55.3</v>
      </c>
      <c r="E89" s="60">
        <v>4.92</v>
      </c>
      <c r="F89" s="60">
        <v>1.04</v>
      </c>
      <c r="G89" s="60">
        <v>177.58</v>
      </c>
      <c r="H89" s="60">
        <v>57.99</v>
      </c>
      <c r="I89" s="60">
        <v>0.68</v>
      </c>
      <c r="J89" s="60">
        <v>0.26</v>
      </c>
      <c r="K89" s="60">
        <v>89.18</v>
      </c>
      <c r="L89" s="213" t="s">
        <v>35</v>
      </c>
      <c r="M89" s="213" t="s">
        <v>35</v>
      </c>
      <c r="N89" s="60">
        <v>21.5</v>
      </c>
      <c r="O89" s="60">
        <v>0</v>
      </c>
      <c r="P89" s="60">
        <v>1.34</v>
      </c>
      <c r="Q89" s="60">
        <v>177.45</v>
      </c>
      <c r="R89" s="198"/>
      <c r="S89" s="198"/>
      <c r="T89" s="198"/>
      <c r="U89" s="198"/>
    </row>
    <row r="90" spans="1:26" s="12" customFormat="1" x14ac:dyDescent="0.25">
      <c r="A90" s="201" t="s">
        <v>1188</v>
      </c>
      <c r="B90" s="60">
        <v>7.11</v>
      </c>
      <c r="C90" s="60">
        <v>73.27</v>
      </c>
      <c r="D90" s="60">
        <v>46.14</v>
      </c>
      <c r="E90" s="60">
        <v>5.23</v>
      </c>
      <c r="F90" s="60">
        <v>1.23</v>
      </c>
      <c r="G90" s="60">
        <v>177.58</v>
      </c>
      <c r="H90" s="60">
        <v>57.99</v>
      </c>
      <c r="I90" s="60">
        <v>0.66</v>
      </c>
      <c r="J90" s="60">
        <v>0.24</v>
      </c>
      <c r="K90" s="60">
        <v>57.06</v>
      </c>
      <c r="L90" s="213" t="s">
        <v>35</v>
      </c>
      <c r="M90" s="213" t="s">
        <v>35</v>
      </c>
      <c r="N90" s="60">
        <v>21.5</v>
      </c>
      <c r="O90" s="60">
        <v>0</v>
      </c>
      <c r="P90" s="60">
        <v>1.44</v>
      </c>
      <c r="Q90" s="60">
        <v>136.44</v>
      </c>
      <c r="R90" s="198"/>
      <c r="S90" s="198"/>
      <c r="T90" s="198"/>
      <c r="U90" s="198"/>
    </row>
    <row r="91" spans="1:26" s="12" customFormat="1" x14ac:dyDescent="0.25">
      <c r="A91" s="201" t="s">
        <v>1189</v>
      </c>
      <c r="B91" s="60">
        <v>20.5</v>
      </c>
      <c r="C91" s="60">
        <v>86.07</v>
      </c>
      <c r="D91" s="60">
        <v>63.94</v>
      </c>
      <c r="E91" s="60">
        <v>5.57</v>
      </c>
      <c r="F91" s="60">
        <v>0.94</v>
      </c>
      <c r="G91" s="60">
        <v>177.58</v>
      </c>
      <c r="H91" s="60">
        <v>57.99</v>
      </c>
      <c r="I91" s="60">
        <v>0.69</v>
      </c>
      <c r="J91" s="60">
        <v>0.21</v>
      </c>
      <c r="K91" s="60">
        <v>32.47</v>
      </c>
      <c r="L91" s="213" t="s">
        <v>35</v>
      </c>
      <c r="M91" s="213" t="s">
        <v>35</v>
      </c>
      <c r="N91" s="60">
        <v>21.5</v>
      </c>
      <c r="O91" s="60">
        <v>0</v>
      </c>
      <c r="P91" s="60">
        <v>1.67</v>
      </c>
      <c r="Q91" s="60">
        <v>139.9</v>
      </c>
      <c r="R91" s="198"/>
      <c r="S91" s="198"/>
      <c r="T91" s="198"/>
      <c r="U91" s="198"/>
    </row>
    <row r="92" spans="1:26" s="12" customFormat="1" x14ac:dyDescent="0.25">
      <c r="A92" s="201" t="s">
        <v>1190</v>
      </c>
      <c r="B92" s="60">
        <v>16.239999999999998</v>
      </c>
      <c r="C92" s="60">
        <v>103.73</v>
      </c>
      <c r="D92" s="60">
        <v>70.27</v>
      </c>
      <c r="E92" s="60">
        <v>4.53</v>
      </c>
      <c r="F92" s="60">
        <v>0.8</v>
      </c>
      <c r="G92" s="60">
        <v>181.14</v>
      </c>
      <c r="H92" s="60">
        <v>59.44</v>
      </c>
      <c r="I92" s="60">
        <v>0.76</v>
      </c>
      <c r="J92" s="60">
        <v>0.17</v>
      </c>
      <c r="K92" s="60">
        <v>79.37</v>
      </c>
      <c r="L92" s="213" t="s">
        <v>35</v>
      </c>
      <c r="M92" s="213" t="s">
        <v>35</v>
      </c>
      <c r="N92" s="60">
        <v>21.2</v>
      </c>
      <c r="O92" s="60">
        <v>0</v>
      </c>
      <c r="P92" s="60">
        <v>1.65</v>
      </c>
      <c r="Q92" s="60">
        <v>157.69</v>
      </c>
      <c r="R92" s="198"/>
      <c r="S92" s="198"/>
      <c r="T92" s="198"/>
      <c r="U92" s="198"/>
    </row>
    <row r="93" spans="1:26" s="12" customFormat="1" x14ac:dyDescent="0.25">
      <c r="A93" s="201" t="s">
        <v>1191</v>
      </c>
      <c r="B93" s="60">
        <v>20.84</v>
      </c>
      <c r="C93" s="60">
        <v>104.43</v>
      </c>
      <c r="D93" s="60">
        <v>74.349999999999994</v>
      </c>
      <c r="E93" s="60">
        <v>4.5</v>
      </c>
      <c r="F93" s="60">
        <v>0.74</v>
      </c>
      <c r="G93" s="60">
        <v>211.16</v>
      </c>
      <c r="H93" s="60">
        <v>74.3</v>
      </c>
      <c r="I93" s="60">
        <v>0.85</v>
      </c>
      <c r="J93" s="60">
        <v>0.28999999999999998</v>
      </c>
      <c r="K93" s="60">
        <v>29.13</v>
      </c>
      <c r="L93" s="213" t="s">
        <v>35</v>
      </c>
      <c r="M93" s="213" t="s">
        <v>35</v>
      </c>
      <c r="N93" s="60">
        <v>21.8</v>
      </c>
      <c r="O93" s="60">
        <v>0</v>
      </c>
      <c r="P93" s="60">
        <v>1.74</v>
      </c>
      <c r="Q93" s="60">
        <v>166.43</v>
      </c>
      <c r="R93" s="198"/>
      <c r="S93" s="198"/>
      <c r="T93" s="198"/>
      <c r="U93" s="198"/>
    </row>
    <row r="94" spans="1:26" s="12" customFormat="1" x14ac:dyDescent="0.25">
      <c r="A94" s="201" t="s">
        <v>1192</v>
      </c>
      <c r="B94" s="60">
        <v>26.23</v>
      </c>
      <c r="C94" s="60">
        <v>102.34</v>
      </c>
      <c r="D94" s="60">
        <v>77.510000000000005</v>
      </c>
      <c r="E94" s="60">
        <v>4.45</v>
      </c>
      <c r="F94" s="60">
        <v>0.53</v>
      </c>
      <c r="G94" s="60">
        <v>211.16</v>
      </c>
      <c r="H94" s="60">
        <v>74.3</v>
      </c>
      <c r="I94" s="60">
        <v>0.84</v>
      </c>
      <c r="J94" s="60">
        <v>0.19</v>
      </c>
      <c r="K94" s="60">
        <v>16.45</v>
      </c>
      <c r="L94" s="213" t="s">
        <v>35</v>
      </c>
      <c r="M94" s="213" t="s">
        <v>35</v>
      </c>
      <c r="N94" s="60">
        <v>22.2</v>
      </c>
      <c r="O94" s="60">
        <v>0</v>
      </c>
      <c r="P94" s="60">
        <v>1.84</v>
      </c>
      <c r="Q94" s="60">
        <v>169.17</v>
      </c>
      <c r="R94" s="198"/>
      <c r="S94" s="198"/>
      <c r="T94" s="198"/>
      <c r="U94" s="198"/>
    </row>
    <row r="95" spans="1:26" s="12" customFormat="1" x14ac:dyDescent="0.25">
      <c r="A95" s="201" t="s">
        <v>1193</v>
      </c>
      <c r="B95" s="60">
        <v>31.61</v>
      </c>
      <c r="C95" s="60">
        <v>115.48</v>
      </c>
      <c r="D95" s="60">
        <v>89.08</v>
      </c>
      <c r="E95" s="60">
        <v>4.4000000000000004</v>
      </c>
      <c r="F95" s="60">
        <v>0.56000000000000005</v>
      </c>
      <c r="G95" s="60">
        <v>211.16</v>
      </c>
      <c r="H95" s="60">
        <v>74.3</v>
      </c>
      <c r="I95" s="60">
        <v>0.84</v>
      </c>
      <c r="J95" s="60">
        <v>0.15</v>
      </c>
      <c r="K95" s="60">
        <v>31.56</v>
      </c>
      <c r="L95" s="213" t="s">
        <v>35</v>
      </c>
      <c r="M95" s="213" t="s">
        <v>35</v>
      </c>
      <c r="N95" s="60">
        <v>22.1</v>
      </c>
      <c r="O95" s="60">
        <v>0</v>
      </c>
      <c r="P95" s="60">
        <v>1.98</v>
      </c>
      <c r="Q95" s="60">
        <v>182.44</v>
      </c>
      <c r="R95" s="198"/>
      <c r="S95" s="198"/>
      <c r="T95" s="198"/>
      <c r="U95" s="198"/>
    </row>
    <row r="96" spans="1:26" s="12" customFormat="1" x14ac:dyDescent="0.25">
      <c r="A96" s="201" t="s">
        <v>1194</v>
      </c>
      <c r="B96" s="60">
        <v>41.02</v>
      </c>
      <c r="C96" s="60">
        <v>112.39</v>
      </c>
      <c r="D96" s="60">
        <v>94.92</v>
      </c>
      <c r="E96" s="60">
        <v>4.9000000000000004</v>
      </c>
      <c r="F96" s="60">
        <v>0.56999999999999995</v>
      </c>
      <c r="G96" s="60">
        <v>215.7</v>
      </c>
      <c r="H96" s="60">
        <v>74.599999999999994</v>
      </c>
      <c r="I96" s="60">
        <v>0.89</v>
      </c>
      <c r="J96" s="60">
        <v>0.13</v>
      </c>
      <c r="K96" s="60">
        <v>27.22</v>
      </c>
      <c r="L96" s="213" t="s">
        <v>35</v>
      </c>
      <c r="M96" s="213" t="s">
        <v>35</v>
      </c>
      <c r="N96" s="60">
        <v>21.8</v>
      </c>
      <c r="O96" s="60">
        <v>0</v>
      </c>
      <c r="P96" s="60">
        <v>2.15</v>
      </c>
      <c r="Q96" s="60">
        <v>175.58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1195</v>
      </c>
      <c r="B97" s="60">
        <v>48.32</v>
      </c>
      <c r="C97" s="60">
        <v>113.23</v>
      </c>
      <c r="D97" s="60">
        <v>101.24</v>
      </c>
      <c r="E97" s="60">
        <v>5.01</v>
      </c>
      <c r="F97" s="60">
        <v>0.75</v>
      </c>
      <c r="G97" s="60">
        <v>254.02</v>
      </c>
      <c r="H97" s="60">
        <v>77.72</v>
      </c>
      <c r="I97" s="60">
        <v>0.97</v>
      </c>
      <c r="J97" s="60">
        <v>0.14000000000000001</v>
      </c>
      <c r="K97" s="60">
        <v>12.53</v>
      </c>
      <c r="L97" s="213" t="s">
        <v>35</v>
      </c>
      <c r="M97" s="213" t="s">
        <v>35</v>
      </c>
      <c r="N97" s="60">
        <v>21.5</v>
      </c>
      <c r="O97" s="60">
        <v>0</v>
      </c>
      <c r="P97" s="60">
        <v>2.2000000000000002</v>
      </c>
      <c r="Q97" s="60">
        <v>185.89</v>
      </c>
      <c r="R97" s="198"/>
      <c r="S97" s="198"/>
      <c r="T97" s="198"/>
      <c r="U97" s="198"/>
    </row>
    <row r="98" spans="1:33" s="12" customFormat="1" x14ac:dyDescent="0.25">
      <c r="A98" s="201" t="s">
        <v>1196</v>
      </c>
      <c r="B98" s="60">
        <v>51.21</v>
      </c>
      <c r="C98" s="60">
        <v>125.71</v>
      </c>
      <c r="D98" s="60">
        <v>110.45</v>
      </c>
      <c r="E98" s="60">
        <v>4.7699999999999996</v>
      </c>
      <c r="F98" s="60">
        <v>0.61</v>
      </c>
      <c r="G98" s="60">
        <v>254.02</v>
      </c>
      <c r="H98" s="60">
        <v>77.72</v>
      </c>
      <c r="I98" s="60">
        <v>1.03</v>
      </c>
      <c r="J98" s="60">
        <v>0.17</v>
      </c>
      <c r="K98" s="60">
        <v>23.8</v>
      </c>
      <c r="L98" s="213" t="s">
        <v>35</v>
      </c>
      <c r="M98" s="213" t="s">
        <v>35</v>
      </c>
      <c r="N98" s="60">
        <v>21.9</v>
      </c>
      <c r="O98" s="60">
        <v>0</v>
      </c>
      <c r="P98" s="60">
        <v>2.2599999999999998</v>
      </c>
      <c r="Q98" s="60">
        <v>202.02</v>
      </c>
      <c r="R98" s="198"/>
      <c r="S98" s="198"/>
      <c r="T98" s="198"/>
      <c r="U98" s="198"/>
    </row>
    <row r="99" spans="1:33" s="12" customFormat="1" x14ac:dyDescent="0.25">
      <c r="A99" s="201" t="s">
        <v>1197</v>
      </c>
      <c r="B99" s="60">
        <v>56.01</v>
      </c>
      <c r="C99" s="60">
        <v>133.72</v>
      </c>
      <c r="D99" s="60">
        <v>118.71</v>
      </c>
      <c r="E99" s="60">
        <v>5.45</v>
      </c>
      <c r="F99" s="60">
        <v>0.53</v>
      </c>
      <c r="G99" s="60">
        <v>254.02</v>
      </c>
      <c r="H99" s="60">
        <v>77.72</v>
      </c>
      <c r="I99" s="60">
        <v>1.05</v>
      </c>
      <c r="J99" s="60">
        <v>7.0000000000000007E-2</v>
      </c>
      <c r="K99" s="60">
        <v>321.79000000000002</v>
      </c>
      <c r="L99" s="213" t="s">
        <v>35</v>
      </c>
      <c r="M99" s="213" t="s">
        <v>35</v>
      </c>
      <c r="N99" s="60">
        <v>21.9</v>
      </c>
      <c r="O99" s="60">
        <v>0</v>
      </c>
      <c r="P99" s="60">
        <v>2.37</v>
      </c>
      <c r="Q99" s="60">
        <v>218.99</v>
      </c>
      <c r="R99" s="198"/>
      <c r="S99" s="198"/>
      <c r="T99" s="198"/>
      <c r="U99" s="198"/>
    </row>
    <row r="100" spans="1:33" s="12" customFormat="1" x14ac:dyDescent="0.25">
      <c r="A100" s="201" t="s">
        <v>1198</v>
      </c>
      <c r="B100" s="60">
        <v>62.37</v>
      </c>
      <c r="C100" s="60">
        <v>142.59</v>
      </c>
      <c r="D100" s="60">
        <v>128.71</v>
      </c>
      <c r="E100" s="60">
        <v>5.13</v>
      </c>
      <c r="F100" s="60">
        <v>0.67</v>
      </c>
      <c r="G100" s="60">
        <v>259.49</v>
      </c>
      <c r="H100" s="60">
        <v>77.53</v>
      </c>
      <c r="I100" s="60">
        <v>1.1100000000000001</v>
      </c>
      <c r="J100" s="60">
        <v>0.15</v>
      </c>
      <c r="K100" s="60">
        <v>19.71</v>
      </c>
      <c r="L100" s="213" t="s">
        <v>35</v>
      </c>
      <c r="M100" s="213" t="s">
        <v>35</v>
      </c>
      <c r="N100" s="60">
        <v>21.6</v>
      </c>
      <c r="O100" s="60">
        <v>0</v>
      </c>
      <c r="P100" s="60">
        <v>2.44</v>
      </c>
      <c r="Q100" s="60">
        <v>231.4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1199</v>
      </c>
      <c r="B101" s="60">
        <v>64.8</v>
      </c>
      <c r="C101" s="60">
        <v>143.09</v>
      </c>
      <c r="D101" s="60">
        <v>130.93</v>
      </c>
      <c r="E101" s="60">
        <v>4.9800000000000004</v>
      </c>
      <c r="F101" s="60">
        <v>0.46</v>
      </c>
      <c r="G101" s="60">
        <v>305.58</v>
      </c>
      <c r="H101" s="60">
        <v>75.59</v>
      </c>
      <c r="I101" s="60">
        <v>1.17</v>
      </c>
      <c r="J101" s="60">
        <v>7.0000000000000007E-2</v>
      </c>
      <c r="K101" s="60">
        <v>12.79</v>
      </c>
      <c r="L101" s="213" t="s">
        <v>35</v>
      </c>
      <c r="M101" s="213" t="s">
        <v>35</v>
      </c>
      <c r="N101" s="60">
        <v>23.5</v>
      </c>
      <c r="O101" s="60">
        <v>0</v>
      </c>
      <c r="P101" s="60">
        <v>2.46</v>
      </c>
      <c r="Q101" s="60">
        <v>234.57</v>
      </c>
      <c r="R101" s="198"/>
      <c r="S101" s="198"/>
      <c r="T101" s="198"/>
      <c r="U101" s="198"/>
    </row>
    <row r="102" spans="1:33" s="12" customFormat="1" x14ac:dyDescent="0.25">
      <c r="A102" s="201" t="s">
        <v>1200</v>
      </c>
      <c r="B102" s="60">
        <v>65.44</v>
      </c>
      <c r="C102" s="60">
        <v>140.74</v>
      </c>
      <c r="D102" s="60">
        <v>130.15</v>
      </c>
      <c r="E102" s="60">
        <v>4.99</v>
      </c>
      <c r="F102" s="60">
        <v>0.55000000000000004</v>
      </c>
      <c r="G102" s="60">
        <v>305.58</v>
      </c>
      <c r="H102" s="60">
        <v>75.59</v>
      </c>
      <c r="I102" s="60">
        <v>1.22</v>
      </c>
      <c r="J102" s="60">
        <v>0.05</v>
      </c>
      <c r="K102" s="60">
        <v>328.16</v>
      </c>
      <c r="L102" s="213" t="s">
        <v>35</v>
      </c>
      <c r="M102" s="213" t="s">
        <v>35</v>
      </c>
      <c r="N102" s="60">
        <v>24.2</v>
      </c>
      <c r="O102" s="60">
        <v>0</v>
      </c>
      <c r="P102" s="60">
        <v>2.4500000000000002</v>
      </c>
      <c r="Q102" s="60">
        <v>241.45</v>
      </c>
      <c r="R102" s="198"/>
      <c r="S102" s="198"/>
      <c r="T102" s="198"/>
      <c r="U102" s="198"/>
    </row>
    <row r="103" spans="1:33" s="12" customFormat="1" x14ac:dyDescent="0.25">
      <c r="A103" s="201" t="s">
        <v>1201</v>
      </c>
      <c r="B103" s="60">
        <v>66.459999999999994</v>
      </c>
      <c r="C103" s="60">
        <v>136.49</v>
      </c>
      <c r="D103" s="60">
        <v>128.62</v>
      </c>
      <c r="E103" s="60">
        <v>5.5</v>
      </c>
      <c r="F103" s="60">
        <v>0.55000000000000004</v>
      </c>
      <c r="G103" s="60">
        <v>305.58</v>
      </c>
      <c r="H103" s="60">
        <v>75.59</v>
      </c>
      <c r="I103" s="60">
        <v>1.25</v>
      </c>
      <c r="J103" s="60">
        <v>0.17</v>
      </c>
      <c r="K103" s="60">
        <v>304.02999999999997</v>
      </c>
      <c r="L103" s="213" t="s">
        <v>35</v>
      </c>
      <c r="M103" s="213" t="s">
        <v>35</v>
      </c>
      <c r="N103" s="60">
        <v>23.6</v>
      </c>
      <c r="O103" s="60">
        <v>0</v>
      </c>
      <c r="P103" s="60">
        <v>2.44</v>
      </c>
      <c r="Q103" s="60">
        <v>242.07</v>
      </c>
      <c r="R103" s="198"/>
      <c r="S103" s="198"/>
      <c r="T103" s="198"/>
      <c r="U103" s="198"/>
    </row>
    <row r="104" spans="1:33" s="12" customFormat="1" x14ac:dyDescent="0.25">
      <c r="A104" s="201" t="s">
        <v>1202</v>
      </c>
      <c r="B104" s="60">
        <v>66.069999999999993</v>
      </c>
      <c r="C104" s="60">
        <v>119.49</v>
      </c>
      <c r="D104" s="60">
        <v>118.92</v>
      </c>
      <c r="E104" s="60">
        <v>2.92</v>
      </c>
      <c r="F104" s="60">
        <v>0.69</v>
      </c>
      <c r="G104" s="60">
        <v>302.45999999999998</v>
      </c>
      <c r="H104" s="60">
        <v>75.83</v>
      </c>
      <c r="I104" s="60">
        <v>1.32</v>
      </c>
      <c r="J104" s="60">
        <v>0.18</v>
      </c>
      <c r="K104" s="60">
        <v>286.63</v>
      </c>
      <c r="L104" s="213" t="s">
        <v>35</v>
      </c>
      <c r="M104" s="213" t="s">
        <v>35</v>
      </c>
      <c r="N104" s="60">
        <v>30.2</v>
      </c>
      <c r="O104" s="60">
        <v>0</v>
      </c>
      <c r="P104" s="60">
        <v>2.41</v>
      </c>
      <c r="Q104" s="60">
        <v>204.77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0.01</v>
      </c>
      <c r="C106" s="67">
        <f>MIN(C9:C104)</f>
        <v>7.16</v>
      </c>
      <c r="D106" s="67">
        <f t="shared" ref="D106:Q106" si="0">MIN(D9:D104)</f>
        <v>4.18</v>
      </c>
      <c r="E106" s="67">
        <f t="shared" si="0"/>
        <v>2.13</v>
      </c>
      <c r="F106" s="67">
        <f t="shared" si="0"/>
        <v>0.46</v>
      </c>
      <c r="G106" s="67">
        <f t="shared" si="0"/>
        <v>15.09</v>
      </c>
      <c r="H106" s="67">
        <f t="shared" si="0"/>
        <v>4.8499999999999996</v>
      </c>
      <c r="I106" s="67">
        <f t="shared" si="0"/>
        <v>0.23</v>
      </c>
      <c r="J106" s="67">
        <f t="shared" si="0"/>
        <v>0.05</v>
      </c>
      <c r="K106" s="67">
        <f t="shared" si="0"/>
        <v>6.43</v>
      </c>
      <c r="L106" s="67">
        <f t="shared" si="0"/>
        <v>0</v>
      </c>
      <c r="M106" s="67">
        <f t="shared" si="0"/>
        <v>0</v>
      </c>
      <c r="N106" s="67">
        <f t="shared" si="0"/>
        <v>8.8000000000000007</v>
      </c>
      <c r="O106" s="67">
        <f t="shared" si="0"/>
        <v>0</v>
      </c>
      <c r="P106" s="67">
        <f t="shared" si="0"/>
        <v>0.01</v>
      </c>
      <c r="Q106" s="67">
        <f t="shared" si="0"/>
        <v>116.03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66.459999999999994</v>
      </c>
      <c r="C107" s="66">
        <f t="shared" ref="C107:Q107" si="1">MAX(C9:C104)</f>
        <v>143.09</v>
      </c>
      <c r="D107" s="66">
        <f t="shared" si="1"/>
        <v>130.93</v>
      </c>
      <c r="E107" s="66">
        <f t="shared" si="1"/>
        <v>155.53</v>
      </c>
      <c r="F107" s="66">
        <f t="shared" si="1"/>
        <v>328.01</v>
      </c>
      <c r="G107" s="66">
        <f t="shared" si="1"/>
        <v>377.65</v>
      </c>
      <c r="H107" s="66">
        <f t="shared" si="1"/>
        <v>121.92</v>
      </c>
      <c r="I107" s="66">
        <f t="shared" si="1"/>
        <v>1.32</v>
      </c>
      <c r="J107" s="66">
        <f t="shared" si="1"/>
        <v>4.7699999999999996</v>
      </c>
      <c r="K107" s="66">
        <f t="shared" si="1"/>
        <v>358.58</v>
      </c>
      <c r="L107" s="66">
        <f t="shared" si="1"/>
        <v>0</v>
      </c>
      <c r="M107" s="66">
        <f t="shared" si="1"/>
        <v>0</v>
      </c>
      <c r="N107" s="66">
        <f t="shared" si="1"/>
        <v>633.1</v>
      </c>
      <c r="O107" s="66">
        <f t="shared" si="1"/>
        <v>0</v>
      </c>
      <c r="P107" s="66">
        <f t="shared" si="1"/>
        <v>2.46</v>
      </c>
      <c r="Q107" s="66">
        <f t="shared" si="1"/>
        <v>242.07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18.5821875</v>
      </c>
      <c r="C108" s="67">
        <f t="shared" ref="C108:Q108" si="2">AVERAGE(C9:C104)</f>
        <v>83.202499999999986</v>
      </c>
      <c r="D108" s="67">
        <f t="shared" si="2"/>
        <v>60.819375000000008</v>
      </c>
      <c r="E108" s="67">
        <f t="shared" si="2"/>
        <v>10.070000000000002</v>
      </c>
      <c r="F108" s="67">
        <f t="shared" si="2"/>
        <v>12.314270833333333</v>
      </c>
      <c r="G108" s="67">
        <f t="shared" si="2"/>
        <v>210.76344086021518</v>
      </c>
      <c r="H108" s="67">
        <f t="shared" si="2"/>
        <v>83.633333333333326</v>
      </c>
      <c r="I108" s="67">
        <f t="shared" si="2"/>
        <v>0.73270833333333318</v>
      </c>
      <c r="J108" s="67">
        <f t="shared" si="2"/>
        <v>0.98291666666666666</v>
      </c>
      <c r="K108" s="67">
        <f t="shared" si="2"/>
        <v>118.54135416666666</v>
      </c>
      <c r="L108" s="67" t="e">
        <f t="shared" si="2"/>
        <v>#DIV/0!</v>
      </c>
      <c r="M108" s="67" t="e">
        <f t="shared" si="2"/>
        <v>#DIV/0!</v>
      </c>
      <c r="N108" s="67">
        <f t="shared" si="2"/>
        <v>167.24583333333337</v>
      </c>
      <c r="O108" s="67">
        <f t="shared" si="2"/>
        <v>0</v>
      </c>
      <c r="P108" s="67">
        <f t="shared" si="2"/>
        <v>1.3827173913043478</v>
      </c>
      <c r="Q108" s="67">
        <f t="shared" si="2"/>
        <v>178.74063157894733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16.117965733150072</v>
      </c>
      <c r="C109" s="67">
        <f t="shared" ref="C109:Q109" si="3">STDEV(C9:C104)</f>
        <v>23.905948433942502</v>
      </c>
      <c r="D109" s="67">
        <f t="shared" si="3"/>
        <v>23.277512428702941</v>
      </c>
      <c r="E109" s="67">
        <f t="shared" si="3"/>
        <v>18.481737500912395</v>
      </c>
      <c r="F109" s="67">
        <f t="shared" si="3"/>
        <v>46.810827261824848</v>
      </c>
      <c r="G109" s="67">
        <f t="shared" si="3"/>
        <v>69.316323090073212</v>
      </c>
      <c r="H109" s="67">
        <f t="shared" si="3"/>
        <v>24.100249472519657</v>
      </c>
      <c r="I109" s="67">
        <f t="shared" si="3"/>
        <v>0.31425594385089106</v>
      </c>
      <c r="J109" s="67">
        <f t="shared" si="3"/>
        <v>1.0376987867053828</v>
      </c>
      <c r="K109" s="67">
        <f t="shared" si="3"/>
        <v>107.28127119247442</v>
      </c>
      <c r="L109" s="67" t="e">
        <f t="shared" si="3"/>
        <v>#DIV/0!</v>
      </c>
      <c r="M109" s="67" t="e">
        <f t="shared" si="3"/>
        <v>#DIV/0!</v>
      </c>
      <c r="N109" s="67">
        <f t="shared" si="3"/>
        <v>219.38424542421197</v>
      </c>
      <c r="O109" s="67">
        <f t="shared" si="3"/>
        <v>0</v>
      </c>
      <c r="P109" s="67">
        <f t="shared" si="3"/>
        <v>0.47039638010883322</v>
      </c>
      <c r="Q109" s="67">
        <f t="shared" si="3"/>
        <v>32.149464136712048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O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COUNT(L9:L104)+96</f>
        <v>96</v>
      </c>
      <c r="M110" s="66">
        <f>COUNT(M9:M104)+96</f>
        <v>96</v>
      </c>
      <c r="N110" s="66">
        <f t="shared" si="4"/>
        <v>96</v>
      </c>
      <c r="O110" s="66">
        <f t="shared" si="4"/>
        <v>96</v>
      </c>
      <c r="P110" s="66">
        <f>COUNT(P9:P104)+4</f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9" sqref="L9:M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1204</v>
      </c>
      <c r="B9" s="60">
        <v>64.56</v>
      </c>
      <c r="C9" s="60">
        <v>123.4</v>
      </c>
      <c r="D9" s="60">
        <v>119.88</v>
      </c>
      <c r="E9" s="60">
        <v>4.8600000000000003</v>
      </c>
      <c r="F9" s="60">
        <v>0.78</v>
      </c>
      <c r="G9" s="60">
        <v>279.39999999999998</v>
      </c>
      <c r="H9" s="60">
        <v>78.23</v>
      </c>
      <c r="I9" s="60">
        <v>1.3</v>
      </c>
      <c r="J9" s="60">
        <v>0.06</v>
      </c>
      <c r="K9" s="60">
        <v>304.45999999999998</v>
      </c>
      <c r="L9" s="10" t="s">
        <v>42</v>
      </c>
      <c r="M9" s="10" t="s">
        <v>42</v>
      </c>
      <c r="N9" s="60">
        <v>62</v>
      </c>
      <c r="O9" s="60">
        <v>0</v>
      </c>
      <c r="P9" s="60">
        <v>2.38</v>
      </c>
      <c r="Q9" s="60">
        <v>202.21</v>
      </c>
      <c r="R9" s="198"/>
      <c r="S9" s="198"/>
      <c r="T9" s="198"/>
      <c r="U9" s="198"/>
    </row>
    <row r="10" spans="1:21" s="12" customFormat="1" x14ac:dyDescent="0.25">
      <c r="A10" s="201" t="s">
        <v>1205</v>
      </c>
      <c r="B10" s="60">
        <v>63.32</v>
      </c>
      <c r="C10" s="60">
        <v>126.48</v>
      </c>
      <c r="D10" s="60">
        <v>120.58</v>
      </c>
      <c r="E10" s="60">
        <v>4.6399999999999997</v>
      </c>
      <c r="F10" s="60">
        <v>0.76</v>
      </c>
      <c r="G10" s="60">
        <v>279.39999999999998</v>
      </c>
      <c r="H10" s="60">
        <v>78.23</v>
      </c>
      <c r="I10" s="60">
        <v>1.3</v>
      </c>
      <c r="J10" s="60">
        <v>0.13</v>
      </c>
      <c r="K10" s="60">
        <v>229.87</v>
      </c>
      <c r="L10" s="10" t="s">
        <v>42</v>
      </c>
      <c r="M10" s="10" t="s">
        <v>42</v>
      </c>
      <c r="N10" s="60">
        <v>56.2</v>
      </c>
      <c r="O10" s="60">
        <v>0</v>
      </c>
      <c r="P10" s="60">
        <v>2.34</v>
      </c>
      <c r="Q10" s="60">
        <v>207.38</v>
      </c>
      <c r="R10" s="198"/>
      <c r="S10" s="198"/>
      <c r="T10" s="198"/>
      <c r="U10" s="198"/>
    </row>
    <row r="11" spans="1:21" s="12" customFormat="1" x14ac:dyDescent="0.25">
      <c r="A11" s="201" t="s">
        <v>1206</v>
      </c>
      <c r="B11" s="60">
        <v>62.52</v>
      </c>
      <c r="C11" s="60">
        <v>123.64</v>
      </c>
      <c r="D11" s="60">
        <v>118.37</v>
      </c>
      <c r="E11" s="60">
        <v>5.1100000000000003</v>
      </c>
      <c r="F11" s="60">
        <v>0.59</v>
      </c>
      <c r="G11" s="60">
        <v>279.39999999999998</v>
      </c>
      <c r="H11" s="60">
        <v>78.23</v>
      </c>
      <c r="I11" s="60">
        <v>1.34</v>
      </c>
      <c r="J11" s="60">
        <v>0.08</v>
      </c>
      <c r="K11" s="60">
        <v>347.6</v>
      </c>
      <c r="L11" s="10" t="s">
        <v>42</v>
      </c>
      <c r="M11" s="10" t="s">
        <v>42</v>
      </c>
      <c r="N11" s="60">
        <v>56.3</v>
      </c>
      <c r="O11" s="60">
        <v>0</v>
      </c>
      <c r="P11" s="60">
        <v>2.31</v>
      </c>
      <c r="Q11" s="60">
        <v>205.28</v>
      </c>
      <c r="R11" s="198"/>
      <c r="S11" s="198"/>
      <c r="T11" s="198"/>
      <c r="U11" s="198"/>
    </row>
    <row r="12" spans="1:21" s="12" customFormat="1" x14ac:dyDescent="0.25">
      <c r="A12" s="201" t="s">
        <v>1207</v>
      </c>
      <c r="B12" s="60">
        <v>62.47</v>
      </c>
      <c r="C12" s="60">
        <v>122.2</v>
      </c>
      <c r="D12" s="60">
        <v>117.53</v>
      </c>
      <c r="E12" s="60">
        <v>5.2</v>
      </c>
      <c r="F12" s="60">
        <v>0.57999999999999996</v>
      </c>
      <c r="G12" s="60">
        <v>273.42</v>
      </c>
      <c r="H12" s="60">
        <v>78.31</v>
      </c>
      <c r="I12" s="60">
        <v>1.28</v>
      </c>
      <c r="J12" s="60">
        <v>0.08</v>
      </c>
      <c r="K12" s="60">
        <v>6.33</v>
      </c>
      <c r="L12" s="10" t="s">
        <v>42</v>
      </c>
      <c r="M12" s="10" t="s">
        <v>42</v>
      </c>
      <c r="N12" s="60">
        <v>55</v>
      </c>
      <c r="O12" s="60">
        <v>0</v>
      </c>
      <c r="P12" s="60">
        <v>2.29</v>
      </c>
      <c r="Q12" s="60">
        <v>205.63</v>
      </c>
      <c r="R12" s="198"/>
      <c r="S12" s="198"/>
      <c r="T12" s="198"/>
      <c r="U12" s="198"/>
    </row>
    <row r="13" spans="1:21" s="12" customFormat="1" x14ac:dyDescent="0.25">
      <c r="A13" s="201" t="s">
        <v>1208</v>
      </c>
      <c r="B13" s="60">
        <v>62.33</v>
      </c>
      <c r="C13" s="60">
        <v>117.23</v>
      </c>
      <c r="D13" s="60">
        <v>114.68</v>
      </c>
      <c r="E13" s="60">
        <v>4.8499999999999996</v>
      </c>
      <c r="F13" s="60">
        <v>0.68</v>
      </c>
      <c r="G13" s="60">
        <v>229.34</v>
      </c>
      <c r="H13" s="60">
        <v>79.11</v>
      </c>
      <c r="I13" s="60">
        <v>1.27</v>
      </c>
      <c r="J13" s="60">
        <v>0.03</v>
      </c>
      <c r="K13" s="60">
        <v>83.52</v>
      </c>
      <c r="L13" s="10" t="s">
        <v>42</v>
      </c>
      <c r="M13" s="10" t="s">
        <v>42</v>
      </c>
      <c r="N13" s="60">
        <v>51.5</v>
      </c>
      <c r="O13" s="60">
        <v>0</v>
      </c>
      <c r="P13" s="60">
        <v>2.19</v>
      </c>
      <c r="Q13" s="60">
        <v>198.1</v>
      </c>
      <c r="R13" s="198"/>
      <c r="S13" s="198"/>
      <c r="T13" s="198"/>
      <c r="U13" s="198"/>
    </row>
    <row r="14" spans="1:21" s="12" customFormat="1" x14ac:dyDescent="0.25">
      <c r="A14" s="201" t="s">
        <v>1209</v>
      </c>
      <c r="B14" s="60">
        <v>61.36</v>
      </c>
      <c r="C14" s="60">
        <v>119.55</v>
      </c>
      <c r="D14" s="60">
        <v>115.18</v>
      </c>
      <c r="E14" s="60">
        <v>5.12</v>
      </c>
      <c r="F14" s="60">
        <v>0.42</v>
      </c>
      <c r="G14" s="60">
        <v>229.34</v>
      </c>
      <c r="H14" s="60">
        <v>79.11</v>
      </c>
      <c r="I14" s="60">
        <v>1.26</v>
      </c>
      <c r="J14" s="60">
        <v>0.02</v>
      </c>
      <c r="K14" s="60">
        <v>334.53</v>
      </c>
      <c r="L14" s="10" t="s">
        <v>42</v>
      </c>
      <c r="M14" s="10" t="s">
        <v>42</v>
      </c>
      <c r="N14" s="60">
        <v>47.6</v>
      </c>
      <c r="O14" s="60">
        <v>0</v>
      </c>
      <c r="P14" s="60">
        <v>2.23</v>
      </c>
      <c r="Q14" s="60">
        <v>210.8</v>
      </c>
      <c r="R14" s="198"/>
      <c r="S14" s="198"/>
      <c r="T14" s="198"/>
      <c r="U14" s="198"/>
    </row>
    <row r="15" spans="1:21" s="12" customFormat="1" x14ac:dyDescent="0.25">
      <c r="A15" s="201" t="s">
        <v>1210</v>
      </c>
      <c r="B15" s="60">
        <v>59.49</v>
      </c>
      <c r="C15" s="60">
        <v>118</v>
      </c>
      <c r="D15" s="60">
        <v>112.83</v>
      </c>
      <c r="E15" s="60">
        <v>5.03</v>
      </c>
      <c r="F15" s="60">
        <v>0.42</v>
      </c>
      <c r="G15" s="60">
        <v>229.34</v>
      </c>
      <c r="H15" s="60">
        <v>79.11</v>
      </c>
      <c r="I15" s="60">
        <v>1.27</v>
      </c>
      <c r="J15" s="60">
        <v>0.21</v>
      </c>
      <c r="K15" s="60">
        <v>39.25</v>
      </c>
      <c r="L15" s="10" t="s">
        <v>42</v>
      </c>
      <c r="M15" s="10" t="s">
        <v>42</v>
      </c>
      <c r="N15" s="60">
        <v>47.2</v>
      </c>
      <c r="O15" s="60">
        <v>0</v>
      </c>
      <c r="P15" s="60">
        <v>2.1800000000000002</v>
      </c>
      <c r="Q15" s="60">
        <v>218.6</v>
      </c>
      <c r="R15" s="198"/>
      <c r="S15" s="198"/>
      <c r="T15" s="198"/>
      <c r="U15" s="198"/>
    </row>
    <row r="16" spans="1:21" s="12" customFormat="1" x14ac:dyDescent="0.25">
      <c r="A16" s="201" t="s">
        <v>1211</v>
      </c>
      <c r="B16" s="60">
        <v>58.61</v>
      </c>
      <c r="C16" s="60">
        <v>115.48</v>
      </c>
      <c r="D16" s="60">
        <v>110.73</v>
      </c>
      <c r="E16" s="60">
        <v>4.97</v>
      </c>
      <c r="F16" s="60">
        <v>0.43</v>
      </c>
      <c r="G16" s="60">
        <v>228.48</v>
      </c>
      <c r="H16" s="60">
        <v>78.89</v>
      </c>
      <c r="I16" s="60">
        <v>1.27</v>
      </c>
      <c r="J16" s="60">
        <v>0.03</v>
      </c>
      <c r="K16" s="60">
        <v>289.5</v>
      </c>
      <c r="L16" s="10" t="s">
        <v>42</v>
      </c>
      <c r="M16" s="10" t="s">
        <v>42</v>
      </c>
      <c r="N16" s="60">
        <v>47.3</v>
      </c>
      <c r="O16" s="60">
        <v>0</v>
      </c>
      <c r="P16" s="60">
        <v>2.15</v>
      </c>
      <c r="Q16" s="60">
        <v>221.75</v>
      </c>
      <c r="R16" s="198"/>
      <c r="S16" s="198"/>
      <c r="T16" s="198"/>
      <c r="U16" s="198"/>
    </row>
    <row r="17" spans="1:21" s="12" customFormat="1" x14ac:dyDescent="0.25">
      <c r="A17" s="201" t="s">
        <v>1212</v>
      </c>
      <c r="B17" s="60">
        <v>56.96</v>
      </c>
      <c r="C17" s="60">
        <v>112.8</v>
      </c>
      <c r="D17" s="60">
        <v>107.93</v>
      </c>
      <c r="E17" s="60">
        <v>5.33</v>
      </c>
      <c r="F17" s="60">
        <v>0.43</v>
      </c>
      <c r="G17" s="60">
        <v>221.27</v>
      </c>
      <c r="H17" s="60">
        <v>76.64</v>
      </c>
      <c r="I17" s="60">
        <v>1.26</v>
      </c>
      <c r="J17" s="60">
        <v>0.14000000000000001</v>
      </c>
      <c r="K17" s="60">
        <v>304.02</v>
      </c>
      <c r="L17" s="10" t="s">
        <v>42</v>
      </c>
      <c r="M17" s="10" t="s">
        <v>42</v>
      </c>
      <c r="N17" s="60">
        <v>47.1</v>
      </c>
      <c r="O17" s="60">
        <v>0</v>
      </c>
      <c r="P17" s="60">
        <v>2.1</v>
      </c>
      <c r="Q17" s="60">
        <v>218.22</v>
      </c>
      <c r="R17" s="198"/>
      <c r="S17" s="198"/>
      <c r="T17" s="198"/>
      <c r="U17" s="198"/>
    </row>
    <row r="18" spans="1:21" s="12" customFormat="1" x14ac:dyDescent="0.25">
      <c r="A18" s="201" t="s">
        <v>1213</v>
      </c>
      <c r="B18" s="60">
        <v>54.44</v>
      </c>
      <c r="C18" s="60">
        <v>110.1</v>
      </c>
      <c r="D18" s="60">
        <v>104.42</v>
      </c>
      <c r="E18" s="60">
        <v>5.34</v>
      </c>
      <c r="F18" s="60">
        <v>0.49</v>
      </c>
      <c r="G18" s="60">
        <v>221.27</v>
      </c>
      <c r="H18" s="60">
        <v>76.64</v>
      </c>
      <c r="I18" s="60">
        <v>1.26</v>
      </c>
      <c r="J18" s="60">
        <v>0.14000000000000001</v>
      </c>
      <c r="K18" s="60">
        <v>306.47000000000003</v>
      </c>
      <c r="L18" s="10" t="s">
        <v>42</v>
      </c>
      <c r="M18" s="10" t="s">
        <v>42</v>
      </c>
      <c r="N18" s="60">
        <v>47</v>
      </c>
      <c r="O18" s="60">
        <v>0</v>
      </c>
      <c r="P18" s="60">
        <v>2.0499999999999998</v>
      </c>
      <c r="Q18" s="60">
        <v>217.31</v>
      </c>
      <c r="R18" s="198"/>
      <c r="S18" s="198"/>
      <c r="T18" s="198"/>
      <c r="U18" s="198"/>
    </row>
    <row r="19" spans="1:21" s="12" customFormat="1" x14ac:dyDescent="0.25">
      <c r="A19" s="201" t="s">
        <v>1214</v>
      </c>
      <c r="B19" s="60">
        <v>52</v>
      </c>
      <c r="C19" s="60">
        <v>107.14</v>
      </c>
      <c r="D19" s="60">
        <v>100.83</v>
      </c>
      <c r="E19" s="60">
        <v>5.22</v>
      </c>
      <c r="F19" s="60">
        <v>0.27</v>
      </c>
      <c r="G19" s="60">
        <v>221.27</v>
      </c>
      <c r="H19" s="60">
        <v>76.64</v>
      </c>
      <c r="I19" s="60">
        <v>1.26</v>
      </c>
      <c r="J19" s="60">
        <v>0.13</v>
      </c>
      <c r="K19" s="60">
        <v>301.14</v>
      </c>
      <c r="L19" s="10" t="s">
        <v>42</v>
      </c>
      <c r="M19" s="10" t="s">
        <v>42</v>
      </c>
      <c r="N19" s="60">
        <v>47.3</v>
      </c>
      <c r="O19" s="60">
        <v>0</v>
      </c>
      <c r="P19" s="60">
        <v>1.99</v>
      </c>
      <c r="Q19" s="60">
        <v>215.46</v>
      </c>
      <c r="R19" s="198"/>
      <c r="S19" s="198"/>
      <c r="T19" s="198"/>
      <c r="U19" s="198"/>
    </row>
    <row r="20" spans="1:21" s="12" customFormat="1" x14ac:dyDescent="0.25">
      <c r="A20" s="201" t="s">
        <v>1215</v>
      </c>
      <c r="B20" s="60">
        <v>50.21</v>
      </c>
      <c r="C20" s="60">
        <v>104.48</v>
      </c>
      <c r="D20" s="60">
        <v>97.93</v>
      </c>
      <c r="E20" s="60">
        <v>5.29</v>
      </c>
      <c r="F20" s="60">
        <v>0.32</v>
      </c>
      <c r="G20" s="60">
        <v>220.94</v>
      </c>
      <c r="H20" s="60">
        <v>77.52</v>
      </c>
      <c r="I20" s="60">
        <v>1.24</v>
      </c>
      <c r="J20" s="60">
        <v>0.14000000000000001</v>
      </c>
      <c r="K20" s="60">
        <v>304.33999999999997</v>
      </c>
      <c r="L20" s="10" t="s">
        <v>42</v>
      </c>
      <c r="M20" s="10" t="s">
        <v>42</v>
      </c>
      <c r="N20" s="60">
        <v>47.4</v>
      </c>
      <c r="O20" s="60">
        <v>0</v>
      </c>
      <c r="P20" s="60">
        <v>1.95</v>
      </c>
      <c r="Q20" s="60">
        <v>213.69</v>
      </c>
      <c r="R20" s="198"/>
      <c r="S20" s="198"/>
      <c r="T20" s="198"/>
      <c r="U20" s="198"/>
    </row>
    <row r="21" spans="1:21" s="12" customFormat="1" x14ac:dyDescent="0.25">
      <c r="A21" s="201" t="s">
        <v>1216</v>
      </c>
      <c r="B21" s="60">
        <v>49</v>
      </c>
      <c r="C21" s="60">
        <v>102.39</v>
      </c>
      <c r="D21" s="60">
        <v>95.81</v>
      </c>
      <c r="E21" s="60">
        <v>5.14</v>
      </c>
      <c r="F21" s="60">
        <v>0.47</v>
      </c>
      <c r="G21" s="60">
        <v>218.19</v>
      </c>
      <c r="H21" s="60">
        <v>86.55</v>
      </c>
      <c r="I21" s="60">
        <v>1.22</v>
      </c>
      <c r="J21" s="60">
        <v>0.09</v>
      </c>
      <c r="K21" s="60">
        <v>7.33</v>
      </c>
      <c r="L21" s="10" t="s">
        <v>42</v>
      </c>
      <c r="M21" s="10" t="s">
        <v>42</v>
      </c>
      <c r="N21" s="60">
        <v>47.7</v>
      </c>
      <c r="O21" s="60">
        <v>0</v>
      </c>
      <c r="P21" s="60">
        <v>1.9</v>
      </c>
      <c r="Q21" s="60">
        <v>207.38</v>
      </c>
      <c r="R21" s="198"/>
      <c r="S21" s="198"/>
      <c r="T21" s="198"/>
      <c r="U21" s="198"/>
    </row>
    <row r="22" spans="1:21" s="12" customFormat="1" x14ac:dyDescent="0.25">
      <c r="A22" s="201" t="s">
        <v>1217</v>
      </c>
      <c r="B22" s="60">
        <v>48.22</v>
      </c>
      <c r="C22" s="60">
        <v>93.62</v>
      </c>
      <c r="D22" s="60">
        <v>90.34</v>
      </c>
      <c r="E22" s="60">
        <v>5.0199999999999996</v>
      </c>
      <c r="F22" s="60">
        <v>0.41</v>
      </c>
      <c r="G22" s="60">
        <v>218.19</v>
      </c>
      <c r="H22" s="60">
        <v>86.55</v>
      </c>
      <c r="I22" s="60">
        <v>1.22</v>
      </c>
      <c r="J22" s="60">
        <v>0.06</v>
      </c>
      <c r="K22" s="60">
        <v>286.79000000000002</v>
      </c>
      <c r="L22" s="10" t="s">
        <v>42</v>
      </c>
      <c r="M22" s="10" t="s">
        <v>42</v>
      </c>
      <c r="N22" s="60">
        <v>47.2</v>
      </c>
      <c r="O22" s="60">
        <v>0</v>
      </c>
      <c r="P22" s="60">
        <v>1.86</v>
      </c>
      <c r="Q22" s="60">
        <v>188.03</v>
      </c>
      <c r="R22" s="198"/>
      <c r="S22" s="198"/>
      <c r="T22" s="198"/>
      <c r="U22" s="198"/>
    </row>
    <row r="23" spans="1:21" s="12" customFormat="1" x14ac:dyDescent="0.25">
      <c r="A23" s="201" t="s">
        <v>1218</v>
      </c>
      <c r="B23" s="60">
        <v>46.83</v>
      </c>
      <c r="C23" s="60">
        <v>88</v>
      </c>
      <c r="D23" s="60">
        <v>86.12</v>
      </c>
      <c r="E23" s="60">
        <v>5.08</v>
      </c>
      <c r="F23" s="60">
        <v>0.64</v>
      </c>
      <c r="G23" s="60">
        <v>218.19</v>
      </c>
      <c r="H23" s="60">
        <v>86.55</v>
      </c>
      <c r="I23" s="60">
        <v>1.22</v>
      </c>
      <c r="J23" s="60">
        <v>0.1</v>
      </c>
      <c r="K23" s="60">
        <v>349.37</v>
      </c>
      <c r="L23" s="10" t="s">
        <v>42</v>
      </c>
      <c r="M23" s="10" t="s">
        <v>42</v>
      </c>
      <c r="N23" s="60">
        <v>47.8</v>
      </c>
      <c r="O23" s="60">
        <v>0</v>
      </c>
      <c r="P23" s="60">
        <v>1.81</v>
      </c>
      <c r="Q23" s="60">
        <v>176.5</v>
      </c>
      <c r="R23" s="198"/>
      <c r="S23" s="198"/>
      <c r="T23" s="198"/>
      <c r="U23" s="198"/>
    </row>
    <row r="24" spans="1:21" s="12" customFormat="1" x14ac:dyDescent="0.25">
      <c r="A24" s="201" t="s">
        <v>1219</v>
      </c>
      <c r="B24" s="60">
        <v>45.49</v>
      </c>
      <c r="C24" s="60">
        <v>90.53</v>
      </c>
      <c r="D24" s="60">
        <v>86.44</v>
      </c>
      <c r="E24" s="60">
        <v>2.71</v>
      </c>
      <c r="F24" s="60">
        <v>0.56999999999999995</v>
      </c>
      <c r="G24" s="60">
        <v>219.58</v>
      </c>
      <c r="H24" s="60">
        <v>86.45</v>
      </c>
      <c r="I24" s="60">
        <v>1.18</v>
      </c>
      <c r="J24" s="60">
        <v>7.0000000000000007E-2</v>
      </c>
      <c r="K24" s="60">
        <v>9.06</v>
      </c>
      <c r="L24" s="10" t="s">
        <v>42</v>
      </c>
      <c r="M24" s="10" t="s">
        <v>42</v>
      </c>
      <c r="N24" s="60">
        <v>48.2</v>
      </c>
      <c r="O24" s="60">
        <v>0</v>
      </c>
      <c r="P24" s="60">
        <v>1.77</v>
      </c>
      <c r="Q24" s="60">
        <v>173.2</v>
      </c>
      <c r="R24" s="198"/>
      <c r="S24" s="198"/>
      <c r="T24" s="198"/>
      <c r="U24" s="198"/>
    </row>
    <row r="25" spans="1:21" s="12" customFormat="1" x14ac:dyDescent="0.25">
      <c r="A25" s="201" t="s">
        <v>1220</v>
      </c>
      <c r="B25" s="60">
        <v>44.66</v>
      </c>
      <c r="C25" s="60">
        <v>92.32</v>
      </c>
      <c r="D25" s="60">
        <v>86.77</v>
      </c>
      <c r="E25" s="60">
        <v>4.74</v>
      </c>
      <c r="F25" s="60">
        <v>0.42</v>
      </c>
      <c r="G25" s="60">
        <v>231.32</v>
      </c>
      <c r="H25" s="60">
        <v>85.42</v>
      </c>
      <c r="I25" s="60">
        <v>1.1499999999999999</v>
      </c>
      <c r="J25" s="60">
        <v>0.12</v>
      </c>
      <c r="K25" s="60">
        <v>24.66</v>
      </c>
      <c r="L25" s="10" t="s">
        <v>42</v>
      </c>
      <c r="M25" s="10" t="s">
        <v>42</v>
      </c>
      <c r="N25" s="60">
        <v>48.2</v>
      </c>
      <c r="O25" s="60">
        <v>0</v>
      </c>
      <c r="P25" s="60">
        <v>1.76</v>
      </c>
      <c r="Q25" s="60">
        <v>174.48</v>
      </c>
      <c r="R25" s="198"/>
      <c r="S25" s="198"/>
      <c r="T25" s="198"/>
      <c r="U25" s="198"/>
    </row>
    <row r="26" spans="1:21" s="12" customFormat="1" x14ac:dyDescent="0.25">
      <c r="A26" s="201" t="s">
        <v>1221</v>
      </c>
      <c r="B26" s="60">
        <v>44.58</v>
      </c>
      <c r="C26" s="60">
        <v>91.96</v>
      </c>
      <c r="D26" s="60">
        <v>86.5</v>
      </c>
      <c r="E26" s="60">
        <v>5.24</v>
      </c>
      <c r="F26" s="60">
        <v>0.28000000000000003</v>
      </c>
      <c r="G26" s="60">
        <v>231.32</v>
      </c>
      <c r="H26" s="60">
        <v>85.42</v>
      </c>
      <c r="I26" s="60">
        <v>1.1299999999999999</v>
      </c>
      <c r="J26" s="60">
        <v>0.1</v>
      </c>
      <c r="K26" s="60">
        <v>108.31</v>
      </c>
      <c r="L26" s="10" t="s">
        <v>42</v>
      </c>
      <c r="M26" s="10" t="s">
        <v>42</v>
      </c>
      <c r="N26" s="60">
        <v>46.6</v>
      </c>
      <c r="O26" s="60">
        <v>0</v>
      </c>
      <c r="P26" s="60">
        <v>1.73</v>
      </c>
      <c r="Q26" s="60">
        <v>170.98</v>
      </c>
      <c r="R26" s="198"/>
      <c r="S26" s="198"/>
      <c r="T26" s="198"/>
      <c r="U26" s="198"/>
    </row>
    <row r="27" spans="1:21" s="12" customFormat="1" x14ac:dyDescent="0.25">
      <c r="A27" s="201" t="s">
        <v>1222</v>
      </c>
      <c r="B27" s="60">
        <v>43.77</v>
      </c>
      <c r="C27" s="60">
        <v>93.37</v>
      </c>
      <c r="D27" s="60">
        <v>86.63</v>
      </c>
      <c r="E27" s="60">
        <v>4.9800000000000004</v>
      </c>
      <c r="F27" s="60">
        <v>0.46</v>
      </c>
      <c r="G27" s="60">
        <v>231.32</v>
      </c>
      <c r="H27" s="60">
        <v>85.42</v>
      </c>
      <c r="I27" s="60">
        <v>1.1200000000000001</v>
      </c>
      <c r="J27" s="60">
        <v>0.15</v>
      </c>
      <c r="K27" s="60">
        <v>90.63</v>
      </c>
      <c r="L27" s="10" t="s">
        <v>42</v>
      </c>
      <c r="M27" s="10" t="s">
        <v>42</v>
      </c>
      <c r="N27" s="60">
        <v>46.2</v>
      </c>
      <c r="O27" s="60">
        <v>0</v>
      </c>
      <c r="P27" s="60">
        <v>1.69</v>
      </c>
      <c r="Q27" s="60">
        <v>174.2</v>
      </c>
      <c r="R27" s="198"/>
      <c r="S27" s="198"/>
      <c r="T27" s="198"/>
      <c r="U27" s="198"/>
    </row>
    <row r="28" spans="1:21" s="12" customFormat="1" x14ac:dyDescent="0.25">
      <c r="A28" s="201" t="s">
        <v>1223</v>
      </c>
      <c r="B28" s="60">
        <v>43.43</v>
      </c>
      <c r="C28" s="60">
        <v>91.56</v>
      </c>
      <c r="D28" s="60">
        <v>85.35</v>
      </c>
      <c r="E28" s="60">
        <v>4.6900000000000004</v>
      </c>
      <c r="F28" s="60">
        <v>0.51</v>
      </c>
      <c r="G28" s="60">
        <v>236.7</v>
      </c>
      <c r="H28" s="60">
        <v>85.58</v>
      </c>
      <c r="I28" s="60">
        <v>1.1000000000000001</v>
      </c>
      <c r="J28" s="60">
        <v>0.06</v>
      </c>
      <c r="K28" s="60">
        <v>44.7</v>
      </c>
      <c r="L28" s="10" t="s">
        <v>42</v>
      </c>
      <c r="M28" s="10" t="s">
        <v>42</v>
      </c>
      <c r="N28" s="60">
        <v>46.1</v>
      </c>
      <c r="O28" s="60">
        <v>0</v>
      </c>
      <c r="P28" s="60">
        <v>1.67</v>
      </c>
      <c r="Q28" s="60">
        <v>170.05</v>
      </c>
      <c r="R28" s="198"/>
      <c r="S28" s="198"/>
      <c r="T28" s="198"/>
      <c r="U28" s="198"/>
    </row>
    <row r="29" spans="1:21" s="12" customFormat="1" x14ac:dyDescent="0.25">
      <c r="A29" s="201" t="s">
        <v>1224</v>
      </c>
      <c r="B29" s="60">
        <v>44.65</v>
      </c>
      <c r="C29" s="60">
        <v>89.33</v>
      </c>
      <c r="D29" s="60">
        <v>85.1</v>
      </c>
      <c r="E29" s="60">
        <v>4.8600000000000003</v>
      </c>
      <c r="F29" s="60">
        <v>0.37</v>
      </c>
      <c r="G29" s="60">
        <v>282.08999999999997</v>
      </c>
      <c r="H29" s="60">
        <v>87.3</v>
      </c>
      <c r="I29" s="60">
        <v>1.07</v>
      </c>
      <c r="J29" s="60">
        <v>0.02</v>
      </c>
      <c r="K29" s="60">
        <v>52.63</v>
      </c>
      <c r="L29" s="10" t="s">
        <v>42</v>
      </c>
      <c r="M29" s="10" t="s">
        <v>42</v>
      </c>
      <c r="N29" s="60">
        <v>45.8</v>
      </c>
      <c r="O29" s="60">
        <v>0</v>
      </c>
      <c r="P29" s="60">
        <v>1.67</v>
      </c>
      <c r="Q29" s="60">
        <v>169.38</v>
      </c>
      <c r="R29" s="198"/>
      <c r="S29" s="198"/>
      <c r="T29" s="198"/>
      <c r="U29" s="198"/>
    </row>
    <row r="30" spans="1:21" s="12" customFormat="1" x14ac:dyDescent="0.25">
      <c r="A30" s="201" t="s">
        <v>1225</v>
      </c>
      <c r="B30" s="60">
        <v>46.66</v>
      </c>
      <c r="C30" s="60">
        <v>95.32</v>
      </c>
      <c r="D30" s="60">
        <v>90.02</v>
      </c>
      <c r="E30" s="60">
        <v>5.03</v>
      </c>
      <c r="F30" s="60">
        <v>0.48</v>
      </c>
      <c r="G30" s="60">
        <v>282.08999999999997</v>
      </c>
      <c r="H30" s="60">
        <v>87.3</v>
      </c>
      <c r="I30" s="60">
        <v>1.06</v>
      </c>
      <c r="J30" s="60">
        <v>0.28000000000000003</v>
      </c>
      <c r="K30" s="60">
        <v>111.03</v>
      </c>
      <c r="L30" s="10" t="s">
        <v>42</v>
      </c>
      <c r="M30" s="10" t="s">
        <v>42</v>
      </c>
      <c r="N30" s="60">
        <v>44.7</v>
      </c>
      <c r="O30" s="60">
        <v>0</v>
      </c>
      <c r="P30" s="60">
        <v>1.67</v>
      </c>
      <c r="Q30" s="60">
        <v>182.24</v>
      </c>
      <c r="R30" s="198"/>
      <c r="S30" s="198"/>
      <c r="T30" s="198"/>
      <c r="U30" s="198"/>
    </row>
    <row r="31" spans="1:21" s="12" customFormat="1" x14ac:dyDescent="0.25">
      <c r="A31" s="201" t="s">
        <v>1226</v>
      </c>
      <c r="B31" s="60">
        <v>46.4</v>
      </c>
      <c r="C31" s="60">
        <v>98.55</v>
      </c>
      <c r="D31" s="60">
        <v>91.6</v>
      </c>
      <c r="E31" s="60">
        <v>5.03</v>
      </c>
      <c r="F31" s="60">
        <v>0.41</v>
      </c>
      <c r="G31" s="60">
        <v>282.08999999999997</v>
      </c>
      <c r="H31" s="60">
        <v>87.3</v>
      </c>
      <c r="I31" s="60">
        <v>1.05</v>
      </c>
      <c r="J31" s="60">
        <v>0.17</v>
      </c>
      <c r="K31" s="60">
        <v>80.47</v>
      </c>
      <c r="L31" s="10" t="s">
        <v>42</v>
      </c>
      <c r="M31" s="10" t="s">
        <v>42</v>
      </c>
      <c r="N31" s="60">
        <v>44.7</v>
      </c>
      <c r="O31" s="60">
        <v>0</v>
      </c>
      <c r="P31" s="60">
        <v>1.66</v>
      </c>
      <c r="Q31" s="60">
        <v>189.69</v>
      </c>
      <c r="R31" s="198"/>
      <c r="S31" s="198"/>
      <c r="T31" s="198"/>
      <c r="U31" s="198"/>
    </row>
    <row r="32" spans="1:21" s="12" customFormat="1" x14ac:dyDescent="0.25">
      <c r="A32" s="201" t="s">
        <v>1227</v>
      </c>
      <c r="B32" s="60">
        <v>46.04</v>
      </c>
      <c r="C32" s="60">
        <v>101.52</v>
      </c>
      <c r="D32" s="60">
        <v>92.95</v>
      </c>
      <c r="E32" s="60">
        <v>4.99</v>
      </c>
      <c r="F32" s="60">
        <v>0.54</v>
      </c>
      <c r="G32" s="60">
        <v>282.02999999999997</v>
      </c>
      <c r="H32" s="60">
        <v>87.64</v>
      </c>
      <c r="I32" s="60">
        <v>1.06</v>
      </c>
      <c r="J32" s="60">
        <v>0.11</v>
      </c>
      <c r="K32" s="60">
        <v>48.22</v>
      </c>
      <c r="L32" s="10" t="s">
        <v>42</v>
      </c>
      <c r="M32" s="10" t="s">
        <v>42</v>
      </c>
      <c r="N32" s="60">
        <v>45.3</v>
      </c>
      <c r="O32" s="60">
        <v>0</v>
      </c>
      <c r="P32" s="60">
        <v>1.65</v>
      </c>
      <c r="Q32" s="60">
        <v>194.41</v>
      </c>
      <c r="R32" s="198"/>
      <c r="S32" s="198"/>
      <c r="T32" s="198"/>
      <c r="U32" s="198"/>
    </row>
    <row r="33" spans="1:21" s="12" customFormat="1" x14ac:dyDescent="0.25">
      <c r="A33" s="201" t="s">
        <v>1228</v>
      </c>
      <c r="B33" s="60">
        <v>45.42</v>
      </c>
      <c r="C33" s="60">
        <v>101.74</v>
      </c>
      <c r="D33" s="60">
        <v>92.57</v>
      </c>
      <c r="E33" s="60">
        <v>4.68</v>
      </c>
      <c r="F33" s="60">
        <v>0.7</v>
      </c>
      <c r="G33" s="60">
        <v>281.48</v>
      </c>
      <c r="H33" s="60">
        <v>91.09</v>
      </c>
      <c r="I33" s="60">
        <v>1.06</v>
      </c>
      <c r="J33" s="60">
        <v>0.24</v>
      </c>
      <c r="K33" s="60">
        <v>36.869999999999997</v>
      </c>
      <c r="L33" s="10" t="s">
        <v>42</v>
      </c>
      <c r="M33" s="10" t="s">
        <v>42</v>
      </c>
      <c r="N33" s="60">
        <v>48.4</v>
      </c>
      <c r="O33" s="60">
        <v>0</v>
      </c>
      <c r="P33" s="60">
        <v>1.63</v>
      </c>
      <c r="Q33" s="60">
        <v>192.39</v>
      </c>
      <c r="R33" s="198"/>
      <c r="S33" s="198"/>
      <c r="T33" s="198"/>
      <c r="U33" s="198"/>
    </row>
    <row r="34" spans="1:21" s="12" customFormat="1" x14ac:dyDescent="0.25">
      <c r="A34" s="201" t="s">
        <v>1229</v>
      </c>
      <c r="B34" s="60">
        <v>45.35</v>
      </c>
      <c r="C34" s="60">
        <v>101.05</v>
      </c>
      <c r="D34" s="60">
        <v>92.13</v>
      </c>
      <c r="E34" s="60">
        <v>4.95</v>
      </c>
      <c r="F34" s="60">
        <v>0.66</v>
      </c>
      <c r="G34" s="60">
        <v>281.48</v>
      </c>
      <c r="H34" s="60">
        <v>91.09</v>
      </c>
      <c r="I34" s="60">
        <v>1.04</v>
      </c>
      <c r="J34" s="60">
        <v>0.36</v>
      </c>
      <c r="K34" s="60">
        <v>29.82</v>
      </c>
      <c r="L34" s="10" t="s">
        <v>42</v>
      </c>
      <c r="M34" s="10" t="s">
        <v>42</v>
      </c>
      <c r="N34" s="60">
        <v>60</v>
      </c>
      <c r="O34" s="60">
        <v>0</v>
      </c>
      <c r="P34" s="60">
        <v>1.6</v>
      </c>
      <c r="Q34" s="60">
        <v>194.03</v>
      </c>
      <c r="R34" s="198"/>
      <c r="S34" s="198"/>
      <c r="T34" s="198"/>
      <c r="U34" s="198"/>
    </row>
    <row r="35" spans="1:21" s="12" customFormat="1" x14ac:dyDescent="0.25">
      <c r="A35" s="201" t="s">
        <v>1230</v>
      </c>
      <c r="B35" s="60">
        <v>44.96</v>
      </c>
      <c r="C35" s="60">
        <v>101.8</v>
      </c>
      <c r="D35" s="60">
        <v>92.23</v>
      </c>
      <c r="E35" s="60">
        <v>5.26</v>
      </c>
      <c r="F35" s="60">
        <v>1.27</v>
      </c>
      <c r="G35" s="60">
        <v>281.48</v>
      </c>
      <c r="H35" s="60">
        <v>91.09</v>
      </c>
      <c r="I35" s="60">
        <v>1.05</v>
      </c>
      <c r="J35" s="60">
        <v>0.16</v>
      </c>
      <c r="K35" s="60">
        <v>41.54</v>
      </c>
      <c r="L35" s="10" t="s">
        <v>42</v>
      </c>
      <c r="M35" s="10" t="s">
        <v>42</v>
      </c>
      <c r="N35" s="60">
        <v>77.5</v>
      </c>
      <c r="O35" s="60">
        <v>0</v>
      </c>
      <c r="P35" s="60">
        <v>1.57</v>
      </c>
      <c r="Q35" s="60">
        <v>196.73</v>
      </c>
      <c r="R35" s="198"/>
      <c r="S35" s="198"/>
      <c r="T35" s="198"/>
      <c r="U35" s="198"/>
    </row>
    <row r="36" spans="1:21" s="12" customFormat="1" x14ac:dyDescent="0.25">
      <c r="A36" s="201" t="s">
        <v>1231</v>
      </c>
      <c r="B36" s="60">
        <v>44.62</v>
      </c>
      <c r="C36" s="60">
        <v>100.04</v>
      </c>
      <c r="D36" s="60">
        <v>90.99</v>
      </c>
      <c r="E36" s="60">
        <v>5.21</v>
      </c>
      <c r="F36" s="60">
        <v>1.2</v>
      </c>
      <c r="G36" s="60">
        <v>278.61</v>
      </c>
      <c r="H36" s="60">
        <v>90.86</v>
      </c>
      <c r="I36" s="60">
        <v>1.04</v>
      </c>
      <c r="J36" s="60">
        <v>0.43</v>
      </c>
      <c r="K36" s="60">
        <v>34.69</v>
      </c>
      <c r="L36" s="10" t="s">
        <v>42</v>
      </c>
      <c r="M36" s="10" t="s">
        <v>42</v>
      </c>
      <c r="N36" s="60">
        <v>88.6</v>
      </c>
      <c r="O36" s="60">
        <v>0</v>
      </c>
      <c r="P36" s="60">
        <v>1.55</v>
      </c>
      <c r="Q36" s="60">
        <v>190.31</v>
      </c>
      <c r="R36" s="198"/>
      <c r="S36" s="198"/>
      <c r="T36" s="198"/>
      <c r="U36" s="198"/>
    </row>
    <row r="37" spans="1:21" s="12" customFormat="1" x14ac:dyDescent="0.25">
      <c r="A37" s="201" t="s">
        <v>1232</v>
      </c>
      <c r="B37" s="60">
        <v>45.03</v>
      </c>
      <c r="C37" s="60">
        <v>93.63</v>
      </c>
      <c r="D37" s="60">
        <v>87.78</v>
      </c>
      <c r="E37" s="60">
        <v>4.74</v>
      </c>
      <c r="F37" s="60">
        <v>0.55000000000000004</v>
      </c>
      <c r="G37" s="60">
        <v>254.43</v>
      </c>
      <c r="H37" s="60">
        <v>88.5</v>
      </c>
      <c r="I37" s="60">
        <v>1.02</v>
      </c>
      <c r="J37" s="60">
        <v>0.97</v>
      </c>
      <c r="K37" s="60">
        <v>44.68</v>
      </c>
      <c r="L37" s="10" t="s">
        <v>42</v>
      </c>
      <c r="M37" s="10" t="s">
        <v>42</v>
      </c>
      <c r="N37" s="60">
        <v>121.8</v>
      </c>
      <c r="O37" s="60">
        <v>0</v>
      </c>
      <c r="P37" s="60">
        <v>1.5</v>
      </c>
      <c r="Q37" s="60">
        <v>161.93</v>
      </c>
      <c r="R37" s="198"/>
      <c r="S37" s="198"/>
      <c r="T37" s="198"/>
      <c r="U37" s="198"/>
    </row>
    <row r="38" spans="1:21" s="12" customFormat="1" x14ac:dyDescent="0.25">
      <c r="A38" s="201" t="s">
        <v>1233</v>
      </c>
      <c r="B38" s="60">
        <v>43.4</v>
      </c>
      <c r="C38" s="60">
        <v>105.96</v>
      </c>
      <c r="D38" s="60">
        <v>93.28</v>
      </c>
      <c r="E38" s="60">
        <v>4.9400000000000004</v>
      </c>
      <c r="F38" s="60">
        <v>0.48</v>
      </c>
      <c r="G38" s="60">
        <v>254.43</v>
      </c>
      <c r="H38" s="60">
        <v>88.5</v>
      </c>
      <c r="I38" s="60">
        <v>1</v>
      </c>
      <c r="J38" s="60">
        <v>0.61</v>
      </c>
      <c r="K38" s="60">
        <v>62.31</v>
      </c>
      <c r="L38" s="10" t="s">
        <v>42</v>
      </c>
      <c r="M38" s="10" t="s">
        <v>42</v>
      </c>
      <c r="N38" s="60">
        <v>193.7</v>
      </c>
      <c r="O38" s="60">
        <v>0</v>
      </c>
      <c r="P38" s="60">
        <v>1.52</v>
      </c>
      <c r="Q38" s="60">
        <v>169.26</v>
      </c>
      <c r="R38" s="198"/>
      <c r="S38" s="198"/>
      <c r="T38" s="198"/>
      <c r="U38" s="198"/>
    </row>
    <row r="39" spans="1:21" s="12" customFormat="1" x14ac:dyDescent="0.25">
      <c r="A39" s="201" t="s">
        <v>1234</v>
      </c>
      <c r="B39" s="60">
        <v>41.66</v>
      </c>
      <c r="C39" s="60">
        <v>107.23</v>
      </c>
      <c r="D39" s="60">
        <v>92.59</v>
      </c>
      <c r="E39" s="60">
        <v>4.82</v>
      </c>
      <c r="F39" s="60">
        <v>0.67</v>
      </c>
      <c r="G39" s="60">
        <v>254.43</v>
      </c>
      <c r="H39" s="60">
        <v>88.5</v>
      </c>
      <c r="I39" s="60">
        <v>0.96</v>
      </c>
      <c r="J39" s="60">
        <v>0.39</v>
      </c>
      <c r="K39" s="60">
        <v>66.17</v>
      </c>
      <c r="L39" s="10" t="s">
        <v>42</v>
      </c>
      <c r="M39" s="10" t="s">
        <v>42</v>
      </c>
      <c r="N39" s="60">
        <v>237.9</v>
      </c>
      <c r="O39" s="60">
        <v>0</v>
      </c>
      <c r="P39" s="60">
        <v>1.5</v>
      </c>
      <c r="Q39" s="60">
        <v>163.74</v>
      </c>
      <c r="R39" s="198"/>
      <c r="S39" s="198"/>
      <c r="T39" s="198"/>
      <c r="U39" s="198"/>
    </row>
    <row r="40" spans="1:21" s="12" customFormat="1" x14ac:dyDescent="0.25">
      <c r="A40" s="201" t="s">
        <v>1235</v>
      </c>
      <c r="B40" s="60">
        <v>39.72</v>
      </c>
      <c r="C40" s="60">
        <v>106.74</v>
      </c>
      <c r="D40" s="60">
        <v>90.76</v>
      </c>
      <c r="E40" s="60">
        <v>2.77</v>
      </c>
      <c r="F40" s="60">
        <v>0.71</v>
      </c>
      <c r="G40" s="60">
        <v>251.8</v>
      </c>
      <c r="H40" s="60">
        <v>88.4</v>
      </c>
      <c r="I40" s="60">
        <v>0.93</v>
      </c>
      <c r="J40" s="60">
        <v>0.56999999999999995</v>
      </c>
      <c r="K40" s="60">
        <v>119.97</v>
      </c>
      <c r="L40" s="10" t="s">
        <v>42</v>
      </c>
      <c r="M40" s="10" t="s">
        <v>42</v>
      </c>
      <c r="N40" s="60">
        <v>284.39999999999998</v>
      </c>
      <c r="O40" s="60">
        <v>0</v>
      </c>
      <c r="P40" s="60">
        <v>1.48</v>
      </c>
      <c r="Q40" s="60">
        <v>172.43</v>
      </c>
      <c r="R40" s="198"/>
      <c r="S40" s="198"/>
      <c r="T40" s="198"/>
      <c r="U40" s="198"/>
    </row>
    <row r="41" spans="1:21" s="12" customFormat="1" x14ac:dyDescent="0.25">
      <c r="A41" s="201" t="s">
        <v>1236</v>
      </c>
      <c r="B41" s="60">
        <v>37.619999999999997</v>
      </c>
      <c r="C41" s="60">
        <v>99.94</v>
      </c>
      <c r="D41" s="60">
        <v>85.32</v>
      </c>
      <c r="E41" s="60">
        <v>5.15</v>
      </c>
      <c r="F41" s="60">
        <v>0.72</v>
      </c>
      <c r="G41" s="60">
        <v>229.69</v>
      </c>
      <c r="H41" s="60">
        <v>87.41</v>
      </c>
      <c r="I41" s="60">
        <v>0.91</v>
      </c>
      <c r="J41" s="60">
        <v>0.53</v>
      </c>
      <c r="K41" s="60">
        <v>116.82</v>
      </c>
      <c r="L41" s="10" t="s">
        <v>42</v>
      </c>
      <c r="M41" s="10" t="s">
        <v>42</v>
      </c>
      <c r="N41" s="60">
        <v>335.5</v>
      </c>
      <c r="O41" s="60">
        <v>0</v>
      </c>
      <c r="P41" s="60">
        <v>1.46</v>
      </c>
      <c r="Q41" s="60">
        <v>165.57</v>
      </c>
      <c r="R41" s="198"/>
      <c r="S41" s="198"/>
      <c r="T41" s="198"/>
      <c r="U41" s="198"/>
    </row>
    <row r="42" spans="1:21" s="12" customFormat="1" x14ac:dyDescent="0.25">
      <c r="A42" s="201" t="s">
        <v>1237</v>
      </c>
      <c r="B42" s="60">
        <v>35.630000000000003</v>
      </c>
      <c r="C42" s="60">
        <v>95.76</v>
      </c>
      <c r="D42" s="60">
        <v>81.42</v>
      </c>
      <c r="E42" s="60">
        <v>5.52</v>
      </c>
      <c r="F42" s="60">
        <v>0.77</v>
      </c>
      <c r="G42" s="60">
        <v>229.69</v>
      </c>
      <c r="H42" s="60">
        <v>87.41</v>
      </c>
      <c r="I42" s="60">
        <v>0.9</v>
      </c>
      <c r="J42" s="60">
        <v>1</v>
      </c>
      <c r="K42" s="60">
        <v>109.99</v>
      </c>
      <c r="L42" s="10" t="s">
        <v>42</v>
      </c>
      <c r="M42" s="10" t="s">
        <v>42</v>
      </c>
      <c r="N42" s="60">
        <v>384.9</v>
      </c>
      <c r="O42" s="60">
        <v>0</v>
      </c>
      <c r="P42" s="60">
        <v>1.42</v>
      </c>
      <c r="Q42" s="60">
        <v>175.6</v>
      </c>
      <c r="R42" s="198"/>
      <c r="S42" s="198"/>
      <c r="T42" s="198"/>
      <c r="U42" s="198"/>
    </row>
    <row r="43" spans="1:21" s="12" customFormat="1" x14ac:dyDescent="0.25">
      <c r="A43" s="201" t="s">
        <v>1238</v>
      </c>
      <c r="B43" s="60">
        <v>34.659999999999997</v>
      </c>
      <c r="C43" s="60">
        <v>97.35</v>
      </c>
      <c r="D43" s="60">
        <v>81.52</v>
      </c>
      <c r="E43" s="60">
        <v>5.64</v>
      </c>
      <c r="F43" s="60">
        <v>0.38</v>
      </c>
      <c r="G43" s="60">
        <v>229.69</v>
      </c>
      <c r="H43" s="60">
        <v>87.41</v>
      </c>
      <c r="I43" s="60">
        <v>0.88</v>
      </c>
      <c r="J43" s="60">
        <v>0.72</v>
      </c>
      <c r="K43" s="60">
        <v>99.63</v>
      </c>
      <c r="L43" s="10" t="s">
        <v>42</v>
      </c>
      <c r="M43" s="10" t="s">
        <v>42</v>
      </c>
      <c r="N43" s="60">
        <v>424</v>
      </c>
      <c r="O43" s="60">
        <v>0</v>
      </c>
      <c r="P43" s="60">
        <v>1.38</v>
      </c>
      <c r="Q43" s="60">
        <v>193.62</v>
      </c>
      <c r="R43" s="198"/>
      <c r="S43" s="198"/>
      <c r="T43" s="198"/>
      <c r="U43" s="198"/>
    </row>
    <row r="44" spans="1:21" s="12" customFormat="1" x14ac:dyDescent="0.25">
      <c r="A44" s="201" t="s">
        <v>1239</v>
      </c>
      <c r="B44" s="60">
        <v>33.76</v>
      </c>
      <c r="C44" s="60">
        <v>99.28</v>
      </c>
      <c r="D44" s="60">
        <v>81.86</v>
      </c>
      <c r="E44" s="60">
        <v>5.58</v>
      </c>
      <c r="F44" s="60">
        <v>0.61</v>
      </c>
      <c r="G44" s="60">
        <v>226.41</v>
      </c>
      <c r="H44" s="60">
        <v>86.6</v>
      </c>
      <c r="I44" s="60">
        <v>0.85</v>
      </c>
      <c r="J44" s="60">
        <v>0.85</v>
      </c>
      <c r="K44" s="60">
        <v>109.42</v>
      </c>
      <c r="L44" s="10" t="s">
        <v>42</v>
      </c>
      <c r="M44" s="10" t="s">
        <v>42</v>
      </c>
      <c r="N44" s="60">
        <v>461.8</v>
      </c>
      <c r="O44" s="60">
        <v>0</v>
      </c>
      <c r="P44" s="60">
        <v>1.34</v>
      </c>
      <c r="Q44" s="60">
        <v>208.94</v>
      </c>
      <c r="R44" s="198"/>
      <c r="S44" s="198"/>
      <c r="T44" s="198"/>
      <c r="U44" s="198"/>
    </row>
    <row r="45" spans="1:21" s="12" customFormat="1" x14ac:dyDescent="0.25">
      <c r="A45" s="201" t="s">
        <v>1240</v>
      </c>
      <c r="B45" s="60">
        <v>31.61</v>
      </c>
      <c r="C45" s="60">
        <v>97.42</v>
      </c>
      <c r="D45" s="60">
        <v>79.11</v>
      </c>
      <c r="E45" s="60">
        <v>5.65</v>
      </c>
      <c r="F45" s="60">
        <v>0.98</v>
      </c>
      <c r="G45" s="60">
        <v>198.7</v>
      </c>
      <c r="H45" s="60">
        <v>78.33</v>
      </c>
      <c r="I45" s="60">
        <v>0.79</v>
      </c>
      <c r="J45" s="60">
        <v>0.69</v>
      </c>
      <c r="K45" s="60">
        <v>90.34</v>
      </c>
      <c r="L45" s="10" t="s">
        <v>42</v>
      </c>
      <c r="M45" s="10" t="s">
        <v>42</v>
      </c>
      <c r="N45" s="60">
        <v>491.8</v>
      </c>
      <c r="O45" s="60">
        <v>0</v>
      </c>
      <c r="P45" s="60">
        <v>1.3</v>
      </c>
      <c r="Q45" s="60">
        <v>217.53</v>
      </c>
      <c r="R45" s="198"/>
      <c r="S45" s="198"/>
      <c r="T45" s="198"/>
      <c r="U45" s="198"/>
    </row>
    <row r="46" spans="1:21" s="12" customFormat="1" x14ac:dyDescent="0.25">
      <c r="A46" s="201" t="s">
        <v>1241</v>
      </c>
      <c r="B46" s="60">
        <v>29.26</v>
      </c>
      <c r="C46" s="60">
        <v>93.86</v>
      </c>
      <c r="D46" s="60">
        <v>75.27</v>
      </c>
      <c r="E46" s="60">
        <v>5.56</v>
      </c>
      <c r="F46" s="60">
        <v>1.72</v>
      </c>
      <c r="G46" s="60">
        <v>198.7</v>
      </c>
      <c r="H46" s="60">
        <v>78.33</v>
      </c>
      <c r="I46" s="60">
        <v>0.78</v>
      </c>
      <c r="J46" s="60">
        <v>0.41</v>
      </c>
      <c r="K46" s="60">
        <v>44.51</v>
      </c>
      <c r="L46" s="10" t="s">
        <v>42</v>
      </c>
      <c r="M46" s="10" t="s">
        <v>42</v>
      </c>
      <c r="N46" s="60">
        <v>521</v>
      </c>
      <c r="O46" s="60">
        <v>0</v>
      </c>
      <c r="P46" s="60">
        <v>1.27</v>
      </c>
      <c r="Q46" s="60">
        <v>221.83</v>
      </c>
      <c r="R46" s="198"/>
      <c r="S46" s="198"/>
      <c r="T46" s="198"/>
      <c r="U46" s="198"/>
    </row>
    <row r="47" spans="1:21" s="12" customFormat="1" x14ac:dyDescent="0.25">
      <c r="A47" s="201" t="s">
        <v>1242</v>
      </c>
      <c r="B47" s="60">
        <v>27.09</v>
      </c>
      <c r="C47" s="60">
        <v>92.46</v>
      </c>
      <c r="D47" s="60">
        <v>72.75</v>
      </c>
      <c r="E47" s="60">
        <v>6.13</v>
      </c>
      <c r="F47" s="60">
        <v>1.52</v>
      </c>
      <c r="G47" s="60">
        <v>198.7</v>
      </c>
      <c r="H47" s="60">
        <v>78.33</v>
      </c>
      <c r="I47" s="60">
        <v>0.77</v>
      </c>
      <c r="J47" s="60">
        <v>0.88</v>
      </c>
      <c r="K47" s="60">
        <v>104.32</v>
      </c>
      <c r="L47" s="10" t="s">
        <v>42</v>
      </c>
      <c r="M47" s="10" t="s">
        <v>42</v>
      </c>
      <c r="N47" s="60">
        <v>567.6</v>
      </c>
      <c r="O47" s="60">
        <v>0</v>
      </c>
      <c r="P47" s="60">
        <v>1.26</v>
      </c>
      <c r="Q47" s="60">
        <v>223.94</v>
      </c>
      <c r="R47" s="198"/>
      <c r="S47" s="198"/>
      <c r="T47" s="198"/>
      <c r="U47" s="198"/>
    </row>
    <row r="48" spans="1:21" s="12" customFormat="1" x14ac:dyDescent="0.25">
      <c r="A48" s="201" t="s">
        <v>1243</v>
      </c>
      <c r="B48" s="60">
        <v>24.51</v>
      </c>
      <c r="C48" s="60">
        <v>89.33</v>
      </c>
      <c r="D48" s="60">
        <v>68.959999999999994</v>
      </c>
      <c r="E48" s="60">
        <v>5.6</v>
      </c>
      <c r="F48" s="60">
        <v>0.8</v>
      </c>
      <c r="G48" s="60">
        <v>194.82</v>
      </c>
      <c r="H48" s="60">
        <v>77.930000000000007</v>
      </c>
      <c r="I48" s="60">
        <v>0.77</v>
      </c>
      <c r="J48" s="60">
        <v>1.39</v>
      </c>
      <c r="K48" s="60">
        <v>111.11</v>
      </c>
      <c r="L48" s="10" t="s">
        <v>42</v>
      </c>
      <c r="M48" s="10" t="s">
        <v>42</v>
      </c>
      <c r="N48" s="60">
        <v>602.29999999999995</v>
      </c>
      <c r="O48" s="60">
        <v>0</v>
      </c>
      <c r="P48" s="60">
        <v>1.22</v>
      </c>
      <c r="Q48" s="60">
        <v>227.49</v>
      </c>
      <c r="R48" s="198"/>
      <c r="S48" s="198"/>
      <c r="T48" s="198"/>
      <c r="U48" s="198"/>
    </row>
    <row r="49" spans="1:21" s="12" customFormat="1" x14ac:dyDescent="0.25">
      <c r="A49" s="201" t="s">
        <v>1244</v>
      </c>
      <c r="B49" s="60">
        <v>21.82</v>
      </c>
      <c r="C49" s="60">
        <v>84.86</v>
      </c>
      <c r="D49" s="60">
        <v>64.33</v>
      </c>
      <c r="E49" s="60">
        <v>6.03</v>
      </c>
      <c r="F49" s="60">
        <v>1.78</v>
      </c>
      <c r="G49" s="60">
        <v>162.09</v>
      </c>
      <c r="H49" s="60">
        <v>73.8</v>
      </c>
      <c r="I49" s="60">
        <v>0.75</v>
      </c>
      <c r="J49" s="60">
        <v>0.97</v>
      </c>
      <c r="K49" s="60">
        <v>99.55</v>
      </c>
      <c r="L49" s="10" t="s">
        <v>42</v>
      </c>
      <c r="M49" s="10" t="s">
        <v>42</v>
      </c>
      <c r="N49" s="60">
        <v>620.79999999999995</v>
      </c>
      <c r="O49" s="60">
        <v>0</v>
      </c>
      <c r="P49" s="60">
        <v>1.18</v>
      </c>
      <c r="Q49" s="60">
        <v>229.31</v>
      </c>
      <c r="R49" s="198"/>
      <c r="S49" s="198"/>
      <c r="T49" s="198"/>
      <c r="U49" s="198"/>
    </row>
    <row r="50" spans="1:21" s="12" customFormat="1" x14ac:dyDescent="0.25">
      <c r="A50" s="201" t="s">
        <v>1245</v>
      </c>
      <c r="B50" s="60">
        <v>18.64</v>
      </c>
      <c r="C50" s="60">
        <v>77.58</v>
      </c>
      <c r="D50" s="60">
        <v>57.76</v>
      </c>
      <c r="E50" s="60">
        <v>5.9</v>
      </c>
      <c r="F50" s="60">
        <v>1.5</v>
      </c>
      <c r="G50" s="60">
        <v>162.09</v>
      </c>
      <c r="H50" s="60">
        <v>73.8</v>
      </c>
      <c r="I50" s="60">
        <v>0.74</v>
      </c>
      <c r="J50" s="60">
        <v>1.08</v>
      </c>
      <c r="K50" s="60">
        <v>100.32</v>
      </c>
      <c r="L50" s="10" t="s">
        <v>42</v>
      </c>
      <c r="M50" s="10" t="s">
        <v>42</v>
      </c>
      <c r="N50" s="60">
        <v>641.29999999999995</v>
      </c>
      <c r="O50" s="60">
        <v>0</v>
      </c>
      <c r="P50" s="60">
        <v>1.1299999999999999</v>
      </c>
      <c r="Q50" s="60">
        <v>230.7</v>
      </c>
      <c r="R50" s="198"/>
      <c r="S50" s="198"/>
      <c r="T50" s="198"/>
      <c r="U50" s="198"/>
    </row>
    <row r="51" spans="1:21" s="12" customFormat="1" x14ac:dyDescent="0.25">
      <c r="A51" s="201" t="s">
        <v>1246</v>
      </c>
      <c r="B51" s="60">
        <v>16.86</v>
      </c>
      <c r="C51" s="60">
        <v>67.010000000000005</v>
      </c>
      <c r="D51" s="60">
        <v>50.5</v>
      </c>
      <c r="E51" s="60">
        <v>6.56</v>
      </c>
      <c r="F51" s="60">
        <v>2.48</v>
      </c>
      <c r="G51" s="60">
        <v>162.09</v>
      </c>
      <c r="H51" s="60">
        <v>73.8</v>
      </c>
      <c r="I51" s="60">
        <v>0.72</v>
      </c>
      <c r="J51" s="60">
        <v>0.89</v>
      </c>
      <c r="K51" s="60">
        <v>88.84</v>
      </c>
      <c r="L51" s="10" t="s">
        <v>42</v>
      </c>
      <c r="M51" s="10" t="s">
        <v>42</v>
      </c>
      <c r="N51" s="60">
        <v>661</v>
      </c>
      <c r="O51" s="60">
        <v>0</v>
      </c>
      <c r="P51" s="60">
        <v>1.0900000000000001</v>
      </c>
      <c r="Q51" s="60">
        <v>202.53</v>
      </c>
      <c r="R51" s="198"/>
      <c r="S51" s="198"/>
      <c r="T51" s="198"/>
      <c r="U51" s="198"/>
    </row>
    <row r="52" spans="1:21" s="12" customFormat="1" x14ac:dyDescent="0.25">
      <c r="A52" s="201" t="s">
        <v>1247</v>
      </c>
      <c r="B52" s="60">
        <v>14.45</v>
      </c>
      <c r="C52" s="60">
        <v>57.57</v>
      </c>
      <c r="D52" s="60">
        <v>43.36</v>
      </c>
      <c r="E52" s="60">
        <v>5.78</v>
      </c>
      <c r="F52" s="60">
        <v>2.4</v>
      </c>
      <c r="G52" s="60">
        <v>160.79</v>
      </c>
      <c r="H52" s="60">
        <v>73.37</v>
      </c>
      <c r="I52" s="60">
        <v>0.68</v>
      </c>
      <c r="J52" s="60">
        <v>2.0299999999999998</v>
      </c>
      <c r="K52" s="60">
        <v>128.94999999999999</v>
      </c>
      <c r="L52" s="10" t="s">
        <v>42</v>
      </c>
      <c r="M52" s="10" t="s">
        <v>42</v>
      </c>
      <c r="N52" s="60">
        <v>674.8</v>
      </c>
      <c r="O52" s="60">
        <v>0</v>
      </c>
      <c r="P52" s="60">
        <v>1.04</v>
      </c>
      <c r="Q52" s="60">
        <v>184.74</v>
      </c>
      <c r="R52" s="198"/>
      <c r="S52" s="198"/>
      <c r="T52" s="198"/>
      <c r="U52" s="198"/>
    </row>
    <row r="53" spans="1:21" s="12" customFormat="1" x14ac:dyDescent="0.25">
      <c r="A53" s="201" t="s">
        <v>1248</v>
      </c>
      <c r="B53" s="60">
        <v>10.73</v>
      </c>
      <c r="C53" s="60">
        <v>76.62</v>
      </c>
      <c r="D53" s="60">
        <v>50.89</v>
      </c>
      <c r="E53" s="60">
        <v>5.98</v>
      </c>
      <c r="F53" s="60">
        <v>2.31</v>
      </c>
      <c r="G53" s="60">
        <v>149.84</v>
      </c>
      <c r="H53" s="60">
        <v>68.88</v>
      </c>
      <c r="I53" s="60">
        <v>0.63</v>
      </c>
      <c r="J53" s="60">
        <v>0.97</v>
      </c>
      <c r="K53" s="60">
        <v>98.3</v>
      </c>
      <c r="L53" s="10" t="s">
        <v>42</v>
      </c>
      <c r="M53" s="10" t="s">
        <v>42</v>
      </c>
      <c r="N53" s="60">
        <v>678.8</v>
      </c>
      <c r="O53" s="60">
        <v>0</v>
      </c>
      <c r="P53" s="60">
        <v>1</v>
      </c>
      <c r="Q53" s="60">
        <v>196.35</v>
      </c>
      <c r="R53" s="198"/>
      <c r="S53" s="198"/>
      <c r="T53" s="198"/>
      <c r="U53" s="198"/>
    </row>
    <row r="54" spans="1:21" s="12" customFormat="1" x14ac:dyDescent="0.25">
      <c r="A54" s="201" t="s">
        <v>1249</v>
      </c>
      <c r="B54" s="60">
        <v>9.3000000000000007</v>
      </c>
      <c r="C54" s="60">
        <v>76.78</v>
      </c>
      <c r="D54" s="60">
        <v>49.83</v>
      </c>
      <c r="E54" s="60">
        <v>5.4</v>
      </c>
      <c r="F54" s="60">
        <v>2.09</v>
      </c>
      <c r="G54" s="60">
        <v>149.84</v>
      </c>
      <c r="H54" s="60">
        <v>68.88</v>
      </c>
      <c r="I54" s="60">
        <v>0.61</v>
      </c>
      <c r="J54" s="60">
        <v>0.94</v>
      </c>
      <c r="K54" s="60">
        <v>75.22</v>
      </c>
      <c r="L54" s="10" t="s">
        <v>42</v>
      </c>
      <c r="M54" s="10" t="s">
        <v>42</v>
      </c>
      <c r="N54" s="60">
        <v>661.7</v>
      </c>
      <c r="O54" s="60">
        <v>0</v>
      </c>
      <c r="P54" s="60">
        <v>0.99</v>
      </c>
      <c r="Q54" s="60">
        <v>198.58</v>
      </c>
      <c r="R54" s="198"/>
      <c r="S54" s="198"/>
      <c r="T54" s="198"/>
      <c r="U54" s="198"/>
    </row>
    <row r="55" spans="1:21" s="12" customFormat="1" x14ac:dyDescent="0.25">
      <c r="A55" s="201" t="s">
        <v>1250</v>
      </c>
      <c r="B55" s="60">
        <v>7.51</v>
      </c>
      <c r="C55" s="60">
        <v>72.33</v>
      </c>
      <c r="D55" s="60">
        <v>45.94</v>
      </c>
      <c r="E55" s="60">
        <v>6.1</v>
      </c>
      <c r="F55" s="60">
        <v>3.97</v>
      </c>
      <c r="G55" s="60">
        <v>149.84</v>
      </c>
      <c r="H55" s="60">
        <v>68.88</v>
      </c>
      <c r="I55" s="60">
        <v>0.57999999999999996</v>
      </c>
      <c r="J55" s="60">
        <v>0.91</v>
      </c>
      <c r="K55" s="60">
        <v>101.67</v>
      </c>
      <c r="L55" s="10" t="s">
        <v>42</v>
      </c>
      <c r="M55" s="10" t="s">
        <v>42</v>
      </c>
      <c r="N55" s="60">
        <v>670.9</v>
      </c>
      <c r="O55" s="60">
        <v>0</v>
      </c>
      <c r="P55" s="60">
        <v>0.97</v>
      </c>
      <c r="Q55" s="60">
        <v>189.38</v>
      </c>
      <c r="R55" s="198"/>
      <c r="S55" s="198"/>
      <c r="T55" s="198"/>
      <c r="U55" s="198"/>
    </row>
    <row r="56" spans="1:21" s="12" customFormat="1" x14ac:dyDescent="0.25">
      <c r="A56" s="201" t="s">
        <v>1251</v>
      </c>
      <c r="B56" s="60">
        <v>6.43</v>
      </c>
      <c r="C56" s="60">
        <v>73.569999999999993</v>
      </c>
      <c r="D56" s="60">
        <v>45.76</v>
      </c>
      <c r="E56" s="60">
        <v>3.19</v>
      </c>
      <c r="F56" s="60">
        <v>4.4800000000000004</v>
      </c>
      <c r="G56" s="60">
        <v>147.13999999999999</v>
      </c>
      <c r="H56" s="60">
        <v>67.88</v>
      </c>
      <c r="I56" s="60">
        <v>0.55000000000000004</v>
      </c>
      <c r="J56" s="60">
        <v>1.43</v>
      </c>
      <c r="K56" s="60">
        <v>26.95</v>
      </c>
      <c r="L56" s="10" t="s">
        <v>42</v>
      </c>
      <c r="M56" s="10" t="s">
        <v>42</v>
      </c>
      <c r="N56" s="60">
        <v>644</v>
      </c>
      <c r="O56" s="60">
        <v>0</v>
      </c>
      <c r="P56" s="60">
        <v>0.93</v>
      </c>
      <c r="Q56" s="60">
        <v>177.47</v>
      </c>
      <c r="R56" s="198"/>
      <c r="S56" s="198"/>
      <c r="T56" s="198"/>
      <c r="U56" s="198"/>
    </row>
    <row r="57" spans="1:21" s="12" customFormat="1" x14ac:dyDescent="0.25">
      <c r="A57" s="201" t="s">
        <v>1252</v>
      </c>
      <c r="B57" s="60">
        <v>5.58</v>
      </c>
      <c r="C57" s="60">
        <v>75.260000000000005</v>
      </c>
      <c r="D57" s="60">
        <v>46.01</v>
      </c>
      <c r="E57" s="60">
        <v>5.6</v>
      </c>
      <c r="F57" s="60">
        <v>5.15</v>
      </c>
      <c r="G57" s="60">
        <v>124.33</v>
      </c>
      <c r="H57" s="60">
        <v>57.67</v>
      </c>
      <c r="I57" s="60">
        <v>0.52</v>
      </c>
      <c r="J57" s="60">
        <v>1.1100000000000001</v>
      </c>
      <c r="K57" s="60">
        <v>42.04</v>
      </c>
      <c r="L57" s="10" t="s">
        <v>42</v>
      </c>
      <c r="M57" s="10" t="s">
        <v>42</v>
      </c>
      <c r="N57" s="60">
        <v>636.1</v>
      </c>
      <c r="O57" s="60">
        <v>0</v>
      </c>
      <c r="P57" s="60">
        <v>0.92</v>
      </c>
      <c r="Q57" s="60">
        <v>169.47</v>
      </c>
      <c r="R57" s="198"/>
      <c r="S57" s="198"/>
      <c r="T57" s="198"/>
      <c r="U57" s="198"/>
    </row>
    <row r="58" spans="1:21" s="12" customFormat="1" x14ac:dyDescent="0.25">
      <c r="A58" s="201" t="s">
        <v>1253</v>
      </c>
      <c r="B58" s="60">
        <v>4.1100000000000003</v>
      </c>
      <c r="C58" s="60">
        <v>83.4</v>
      </c>
      <c r="D58" s="60">
        <v>49.32</v>
      </c>
      <c r="E58" s="60">
        <v>5.63</v>
      </c>
      <c r="F58" s="60">
        <v>4.29</v>
      </c>
      <c r="G58" s="60">
        <v>124.33</v>
      </c>
      <c r="H58" s="60">
        <v>57.67</v>
      </c>
      <c r="I58" s="60">
        <v>0.5</v>
      </c>
      <c r="J58" s="60">
        <v>1.25</v>
      </c>
      <c r="K58" s="60">
        <v>88.36</v>
      </c>
      <c r="L58" s="10" t="s">
        <v>42</v>
      </c>
      <c r="M58" s="10" t="s">
        <v>42</v>
      </c>
      <c r="N58" s="60">
        <v>649.1</v>
      </c>
      <c r="O58" s="60">
        <v>0</v>
      </c>
      <c r="P58" s="60">
        <v>0.91</v>
      </c>
      <c r="Q58" s="60">
        <v>187.54</v>
      </c>
      <c r="R58" s="198"/>
      <c r="S58" s="198"/>
      <c r="T58" s="198"/>
      <c r="U58" s="198"/>
    </row>
    <row r="59" spans="1:21" s="12" customFormat="1" x14ac:dyDescent="0.25">
      <c r="A59" s="201" t="s">
        <v>1254</v>
      </c>
      <c r="B59" s="60">
        <v>3.32</v>
      </c>
      <c r="C59" s="60">
        <v>78.650000000000006</v>
      </c>
      <c r="D59" s="60">
        <v>46.07</v>
      </c>
      <c r="E59" s="60">
        <v>5.27</v>
      </c>
      <c r="F59" s="60">
        <v>3.14</v>
      </c>
      <c r="G59" s="60">
        <v>124.33</v>
      </c>
      <c r="H59" s="60">
        <v>57.67</v>
      </c>
      <c r="I59" s="60">
        <v>0.49</v>
      </c>
      <c r="J59" s="60">
        <v>1.33</v>
      </c>
      <c r="K59" s="60">
        <v>100.27</v>
      </c>
      <c r="L59" s="10" t="s">
        <v>42</v>
      </c>
      <c r="M59" s="10" t="s">
        <v>42</v>
      </c>
      <c r="N59" s="60">
        <v>636.29999999999995</v>
      </c>
      <c r="O59" s="60">
        <v>0</v>
      </c>
      <c r="P59" s="60">
        <v>0.87</v>
      </c>
      <c r="Q59" s="60">
        <v>197.41</v>
      </c>
      <c r="R59" s="198"/>
      <c r="S59" s="198"/>
      <c r="T59" s="198"/>
      <c r="U59" s="198"/>
    </row>
    <row r="60" spans="1:21" s="12" customFormat="1" x14ac:dyDescent="0.25">
      <c r="A60" s="201" t="s">
        <v>1255</v>
      </c>
      <c r="B60" s="60">
        <v>3.5</v>
      </c>
      <c r="C60" s="60">
        <v>71.98</v>
      </c>
      <c r="D60" s="60">
        <v>42.53</v>
      </c>
      <c r="E60" s="60">
        <v>5.71</v>
      </c>
      <c r="F60" s="60">
        <v>4.58</v>
      </c>
      <c r="G60" s="60">
        <v>124.99</v>
      </c>
      <c r="H60" s="60">
        <v>58.22</v>
      </c>
      <c r="I60" s="60">
        <v>0.49</v>
      </c>
      <c r="J60" s="60">
        <v>1.07</v>
      </c>
      <c r="K60" s="60">
        <v>103.11</v>
      </c>
      <c r="L60" s="10" t="s">
        <v>42</v>
      </c>
      <c r="M60" s="10" t="s">
        <v>42</v>
      </c>
      <c r="N60" s="60">
        <v>618</v>
      </c>
      <c r="O60" s="60">
        <v>0</v>
      </c>
      <c r="P60" s="60">
        <v>0.84</v>
      </c>
      <c r="Q60" s="60">
        <v>199.06</v>
      </c>
      <c r="R60" s="198"/>
      <c r="S60" s="198"/>
      <c r="T60" s="198"/>
      <c r="U60" s="198"/>
    </row>
    <row r="61" spans="1:21" s="12" customFormat="1" x14ac:dyDescent="0.25">
      <c r="A61" s="201" t="s">
        <v>1256</v>
      </c>
      <c r="B61" s="60">
        <v>2.63</v>
      </c>
      <c r="C61" s="60">
        <v>66.680000000000007</v>
      </c>
      <c r="D61" s="60">
        <v>38.909999999999997</v>
      </c>
      <c r="E61" s="60">
        <v>6.01</v>
      </c>
      <c r="F61" s="60">
        <v>4.6900000000000004</v>
      </c>
      <c r="G61" s="60">
        <v>130.58000000000001</v>
      </c>
      <c r="H61" s="60">
        <v>63.88</v>
      </c>
      <c r="I61" s="60">
        <v>0.48</v>
      </c>
      <c r="J61" s="60">
        <v>0.61</v>
      </c>
      <c r="K61" s="60">
        <v>59.74</v>
      </c>
      <c r="L61" s="10" t="s">
        <v>42</v>
      </c>
      <c r="M61" s="10" t="s">
        <v>42</v>
      </c>
      <c r="N61" s="60">
        <v>580.9</v>
      </c>
      <c r="O61" s="60">
        <v>0</v>
      </c>
      <c r="P61" s="60">
        <v>0.81</v>
      </c>
      <c r="Q61" s="60">
        <v>197.06</v>
      </c>
      <c r="R61" s="198"/>
      <c r="S61" s="198"/>
      <c r="T61" s="198"/>
      <c r="U61" s="198"/>
    </row>
    <row r="62" spans="1:21" s="12" customFormat="1" x14ac:dyDescent="0.25">
      <c r="A62" s="201" t="s">
        <v>1257</v>
      </c>
      <c r="B62" s="60">
        <v>3.58</v>
      </c>
      <c r="C62" s="60">
        <v>69.680000000000007</v>
      </c>
      <c r="D62" s="60">
        <v>41.33</v>
      </c>
      <c r="E62" s="60">
        <v>6.35</v>
      </c>
      <c r="F62" s="60">
        <v>4.12</v>
      </c>
      <c r="G62" s="60">
        <v>130.58000000000001</v>
      </c>
      <c r="H62" s="60">
        <v>63.88</v>
      </c>
      <c r="I62" s="60">
        <v>0.46</v>
      </c>
      <c r="J62" s="60">
        <v>1.36</v>
      </c>
      <c r="K62" s="60">
        <v>107.43</v>
      </c>
      <c r="L62" s="10" t="s">
        <v>42</v>
      </c>
      <c r="M62" s="10" t="s">
        <v>42</v>
      </c>
      <c r="N62" s="60">
        <v>579</v>
      </c>
      <c r="O62" s="60">
        <v>0</v>
      </c>
      <c r="P62" s="60">
        <v>0.83</v>
      </c>
      <c r="Q62" s="60">
        <v>196.98</v>
      </c>
      <c r="R62" s="198"/>
      <c r="S62" s="198"/>
      <c r="T62" s="198"/>
      <c r="U62" s="198"/>
    </row>
    <row r="63" spans="1:21" s="12" customFormat="1" x14ac:dyDescent="0.25">
      <c r="A63" s="201" t="s">
        <v>1258</v>
      </c>
      <c r="B63" s="60">
        <v>2.73</v>
      </c>
      <c r="C63" s="60">
        <v>65.09</v>
      </c>
      <c r="D63" s="60">
        <v>38.11</v>
      </c>
      <c r="E63" s="60">
        <v>5.1100000000000003</v>
      </c>
      <c r="F63" s="60">
        <v>3.06</v>
      </c>
      <c r="G63" s="60">
        <v>130.58000000000001</v>
      </c>
      <c r="H63" s="60">
        <v>63.88</v>
      </c>
      <c r="I63" s="60">
        <v>0.46</v>
      </c>
      <c r="J63" s="60">
        <v>2.13</v>
      </c>
      <c r="K63" s="60">
        <v>112.51</v>
      </c>
      <c r="L63" s="10" t="s">
        <v>42</v>
      </c>
      <c r="M63" s="10" t="s">
        <v>42</v>
      </c>
      <c r="N63" s="60">
        <v>546.1</v>
      </c>
      <c r="O63" s="60">
        <v>0</v>
      </c>
      <c r="P63" s="60">
        <v>0.79</v>
      </c>
      <c r="Q63" s="60">
        <v>198.53</v>
      </c>
      <c r="R63" s="198"/>
      <c r="S63" s="198"/>
      <c r="T63" s="198"/>
      <c r="U63" s="198"/>
    </row>
    <row r="64" spans="1:21" s="12" customFormat="1" x14ac:dyDescent="0.25">
      <c r="A64" s="201" t="s">
        <v>1259</v>
      </c>
      <c r="B64" s="60">
        <v>2.5499999999999998</v>
      </c>
      <c r="C64" s="60">
        <v>59.93</v>
      </c>
      <c r="D64" s="60">
        <v>35.119999999999997</v>
      </c>
      <c r="E64" s="60">
        <v>5.68</v>
      </c>
      <c r="F64" s="60">
        <v>4.33</v>
      </c>
      <c r="G64" s="60">
        <v>129.35</v>
      </c>
      <c r="H64" s="60">
        <v>63.63</v>
      </c>
      <c r="I64" s="60">
        <v>0.46</v>
      </c>
      <c r="J64" s="60">
        <v>0.9</v>
      </c>
      <c r="K64" s="60">
        <v>76.38</v>
      </c>
      <c r="L64" s="10" t="s">
        <v>42</v>
      </c>
      <c r="M64" s="10" t="s">
        <v>42</v>
      </c>
      <c r="N64" s="60">
        <v>502.9</v>
      </c>
      <c r="O64" s="60">
        <v>0</v>
      </c>
      <c r="P64" s="60">
        <v>0.76</v>
      </c>
      <c r="Q64" s="60">
        <v>198.77</v>
      </c>
      <c r="R64" s="198"/>
      <c r="S64" s="198"/>
      <c r="T64" s="198"/>
      <c r="U64" s="198"/>
    </row>
    <row r="65" spans="1:21" s="12" customFormat="1" x14ac:dyDescent="0.25">
      <c r="A65" s="201" t="s">
        <v>1260</v>
      </c>
      <c r="B65" s="60">
        <v>3.23</v>
      </c>
      <c r="C65" s="60">
        <v>59.62</v>
      </c>
      <c r="D65" s="60">
        <v>35.5</v>
      </c>
      <c r="E65" s="60">
        <v>6.99</v>
      </c>
      <c r="F65" s="60">
        <v>5.14</v>
      </c>
      <c r="G65" s="60">
        <v>118.99</v>
      </c>
      <c r="H65" s="60">
        <v>60.97</v>
      </c>
      <c r="I65" s="60">
        <v>0.44</v>
      </c>
      <c r="J65" s="60">
        <v>0.86</v>
      </c>
      <c r="K65" s="60">
        <v>74.349999999999994</v>
      </c>
      <c r="L65" s="10" t="s">
        <v>42</v>
      </c>
      <c r="M65" s="10" t="s">
        <v>42</v>
      </c>
      <c r="N65" s="60">
        <v>466.9</v>
      </c>
      <c r="O65" s="60">
        <v>0</v>
      </c>
      <c r="P65" s="60">
        <v>0.76</v>
      </c>
      <c r="Q65" s="60">
        <v>179.83</v>
      </c>
      <c r="R65" s="198"/>
      <c r="S65" s="198"/>
      <c r="T65" s="198"/>
      <c r="U65" s="198"/>
    </row>
    <row r="66" spans="1:21" s="12" customFormat="1" x14ac:dyDescent="0.25">
      <c r="A66" s="201" t="s">
        <v>1261</v>
      </c>
      <c r="B66" s="60">
        <v>3.17</v>
      </c>
      <c r="C66" s="60">
        <v>58.01</v>
      </c>
      <c r="D66" s="60">
        <v>34.56</v>
      </c>
      <c r="E66" s="60">
        <v>6.01</v>
      </c>
      <c r="F66" s="60">
        <v>5.3</v>
      </c>
      <c r="G66" s="60">
        <v>118.99</v>
      </c>
      <c r="H66" s="60">
        <v>60.97</v>
      </c>
      <c r="I66" s="60">
        <v>0.42</v>
      </c>
      <c r="J66" s="60">
        <v>0.73</v>
      </c>
      <c r="K66" s="60">
        <v>46.92</v>
      </c>
      <c r="L66" s="10" t="s">
        <v>42</v>
      </c>
      <c r="M66" s="10" t="s">
        <v>42</v>
      </c>
      <c r="N66" s="60">
        <v>353.6</v>
      </c>
      <c r="O66" s="60">
        <v>0</v>
      </c>
      <c r="P66" s="60">
        <v>0.74</v>
      </c>
      <c r="Q66" s="60">
        <v>164.77</v>
      </c>
      <c r="R66" s="198"/>
      <c r="S66" s="198"/>
      <c r="T66" s="198"/>
      <c r="U66" s="198"/>
    </row>
    <row r="67" spans="1:21" s="12" customFormat="1" x14ac:dyDescent="0.25">
      <c r="A67" s="201" t="s">
        <v>1262</v>
      </c>
      <c r="B67" s="60">
        <v>4.3600000000000003</v>
      </c>
      <c r="C67" s="60">
        <v>63.51</v>
      </c>
      <c r="D67" s="60">
        <v>38.549999999999997</v>
      </c>
      <c r="E67" s="60">
        <v>6.12</v>
      </c>
      <c r="F67" s="60">
        <v>4.5599999999999996</v>
      </c>
      <c r="G67" s="60">
        <v>118.99</v>
      </c>
      <c r="H67" s="60">
        <v>60.97</v>
      </c>
      <c r="I67" s="60">
        <v>0.4</v>
      </c>
      <c r="J67" s="60">
        <v>1.49</v>
      </c>
      <c r="K67" s="60">
        <v>20.36</v>
      </c>
      <c r="L67" s="10" t="s">
        <v>42</v>
      </c>
      <c r="M67" s="10" t="s">
        <v>42</v>
      </c>
      <c r="N67" s="60">
        <v>247.4</v>
      </c>
      <c r="O67" s="60">
        <v>0</v>
      </c>
      <c r="P67" s="60">
        <v>0.74</v>
      </c>
      <c r="Q67" s="60">
        <v>162.86000000000001</v>
      </c>
      <c r="R67" s="198"/>
      <c r="S67" s="198"/>
      <c r="T67" s="198"/>
      <c r="U67" s="198"/>
    </row>
    <row r="68" spans="1:21" s="12" customFormat="1" x14ac:dyDescent="0.25">
      <c r="A68" s="201" t="s">
        <v>1263</v>
      </c>
      <c r="B68" s="60">
        <v>6.28</v>
      </c>
      <c r="C68" s="60">
        <v>75.64</v>
      </c>
      <c r="D68" s="60">
        <v>46.78</v>
      </c>
      <c r="E68" s="60">
        <v>7.68</v>
      </c>
      <c r="F68" s="60">
        <v>5.8</v>
      </c>
      <c r="G68" s="60">
        <v>118.81</v>
      </c>
      <c r="H68" s="60">
        <v>60.5</v>
      </c>
      <c r="I68" s="60">
        <v>0.39</v>
      </c>
      <c r="J68" s="60">
        <v>0.73</v>
      </c>
      <c r="K68" s="60">
        <v>105.03</v>
      </c>
      <c r="L68" s="10" t="s">
        <v>42</v>
      </c>
      <c r="M68" s="10" t="s">
        <v>42</v>
      </c>
      <c r="N68" s="60">
        <v>161.1</v>
      </c>
      <c r="O68" s="60">
        <v>0</v>
      </c>
      <c r="P68" s="60">
        <v>0.75</v>
      </c>
      <c r="Q68" s="60">
        <v>155.5</v>
      </c>
      <c r="R68" s="198"/>
      <c r="S68" s="198"/>
      <c r="T68" s="198"/>
      <c r="U68" s="198"/>
    </row>
    <row r="69" spans="1:21" s="12" customFormat="1" x14ac:dyDescent="0.25">
      <c r="A69" s="201" t="s">
        <v>1264</v>
      </c>
      <c r="B69" s="60">
        <v>3.63</v>
      </c>
      <c r="C69" s="60">
        <v>72.19</v>
      </c>
      <c r="D69" s="60">
        <v>42.75</v>
      </c>
      <c r="E69" s="60">
        <v>8.44</v>
      </c>
      <c r="F69" s="60">
        <v>5.69</v>
      </c>
      <c r="G69" s="60">
        <v>117.29</v>
      </c>
      <c r="H69" s="60">
        <v>55.61</v>
      </c>
      <c r="I69" s="60">
        <v>0.39</v>
      </c>
      <c r="J69" s="60">
        <v>0.98</v>
      </c>
      <c r="K69" s="60">
        <v>103.6</v>
      </c>
      <c r="L69" s="10" t="s">
        <v>42</v>
      </c>
      <c r="M69" s="10" t="s">
        <v>42</v>
      </c>
      <c r="N69" s="60">
        <v>143.5</v>
      </c>
      <c r="O69" s="60">
        <v>0</v>
      </c>
      <c r="P69" s="60">
        <v>0.75</v>
      </c>
      <c r="Q69" s="60">
        <v>152.55000000000001</v>
      </c>
      <c r="R69" s="198"/>
      <c r="S69" s="198"/>
      <c r="T69" s="198"/>
      <c r="U69" s="198"/>
    </row>
    <row r="70" spans="1:21" s="12" customFormat="1" x14ac:dyDescent="0.25">
      <c r="A70" s="201" t="s">
        <v>1265</v>
      </c>
      <c r="B70" s="60">
        <v>4.01</v>
      </c>
      <c r="C70" s="60">
        <v>70.209999999999994</v>
      </c>
      <c r="D70" s="60">
        <v>41.96</v>
      </c>
      <c r="E70" s="60">
        <v>7.17</v>
      </c>
      <c r="F70" s="60">
        <v>4.49</v>
      </c>
      <c r="G70" s="60">
        <v>117.29</v>
      </c>
      <c r="H70" s="60">
        <v>55.61</v>
      </c>
      <c r="I70" s="60">
        <v>0.37</v>
      </c>
      <c r="J70" s="60">
        <v>0.73</v>
      </c>
      <c r="K70" s="60">
        <v>96.14</v>
      </c>
      <c r="L70" s="10" t="s">
        <v>42</v>
      </c>
      <c r="M70" s="10" t="s">
        <v>42</v>
      </c>
      <c r="N70" s="60">
        <v>121.2</v>
      </c>
      <c r="O70" s="60">
        <v>0</v>
      </c>
      <c r="P70" s="60">
        <v>0.71</v>
      </c>
      <c r="Q70" s="60">
        <v>154.19999999999999</v>
      </c>
      <c r="R70" s="198"/>
      <c r="S70" s="198"/>
      <c r="T70" s="198"/>
      <c r="U70" s="198"/>
    </row>
    <row r="71" spans="1:21" s="12" customFormat="1" x14ac:dyDescent="0.25">
      <c r="A71" s="201" t="s">
        <v>1266</v>
      </c>
      <c r="B71" s="60">
        <v>3.95</v>
      </c>
      <c r="C71" s="60">
        <v>69.489999999999995</v>
      </c>
      <c r="D71" s="60">
        <v>41.52</v>
      </c>
      <c r="E71" s="60">
        <v>7.43</v>
      </c>
      <c r="F71" s="60">
        <v>4.3899999999999997</v>
      </c>
      <c r="G71" s="60">
        <v>117.29</v>
      </c>
      <c r="H71" s="60">
        <v>55.61</v>
      </c>
      <c r="I71" s="60">
        <v>0.36</v>
      </c>
      <c r="J71" s="60">
        <v>0.99</v>
      </c>
      <c r="K71" s="60">
        <v>117.11</v>
      </c>
      <c r="L71" s="10" t="s">
        <v>42</v>
      </c>
      <c r="M71" s="10" t="s">
        <v>42</v>
      </c>
      <c r="N71" s="60">
        <v>109.7</v>
      </c>
      <c r="O71" s="60">
        <v>0</v>
      </c>
      <c r="P71" s="60">
        <v>0.71</v>
      </c>
      <c r="Q71" s="60">
        <v>158.4</v>
      </c>
      <c r="R71" s="198"/>
      <c r="S71" s="198"/>
      <c r="T71" s="198"/>
      <c r="U71" s="198"/>
    </row>
    <row r="72" spans="1:21" s="12" customFormat="1" x14ac:dyDescent="0.25">
      <c r="A72" s="201" t="s">
        <v>1267</v>
      </c>
      <c r="B72" s="60">
        <v>5.49</v>
      </c>
      <c r="C72" s="60">
        <v>76.16</v>
      </c>
      <c r="D72" s="60">
        <v>46.43</v>
      </c>
      <c r="E72" s="60">
        <v>11.63</v>
      </c>
      <c r="F72" s="60">
        <v>6.11</v>
      </c>
      <c r="G72" s="60">
        <v>116.18</v>
      </c>
      <c r="H72" s="60">
        <v>55.65</v>
      </c>
      <c r="I72" s="60">
        <v>0.36</v>
      </c>
      <c r="J72" s="60">
        <v>0.62</v>
      </c>
      <c r="K72" s="60">
        <v>51.89</v>
      </c>
      <c r="L72" s="10" t="s">
        <v>42</v>
      </c>
      <c r="M72" s="10" t="s">
        <v>42</v>
      </c>
      <c r="N72" s="60">
        <v>102.2</v>
      </c>
      <c r="O72" s="60">
        <v>0</v>
      </c>
      <c r="P72" s="60">
        <v>0.72</v>
      </c>
      <c r="Q72" s="60">
        <v>169.95</v>
      </c>
      <c r="R72" s="198"/>
      <c r="S72" s="198"/>
      <c r="T72" s="198"/>
      <c r="U72" s="198"/>
    </row>
    <row r="73" spans="1:21" s="12" customFormat="1" x14ac:dyDescent="0.25">
      <c r="A73" s="201" t="s">
        <v>1268</v>
      </c>
      <c r="B73" s="60">
        <v>5.67</v>
      </c>
      <c r="C73" s="60">
        <v>74.14</v>
      </c>
      <c r="D73" s="60">
        <v>45.46</v>
      </c>
      <c r="E73" s="60">
        <v>9.2100000000000009</v>
      </c>
      <c r="F73" s="60">
        <v>3.75</v>
      </c>
      <c r="G73" s="60">
        <v>106.78</v>
      </c>
      <c r="H73" s="60">
        <v>55.99</v>
      </c>
      <c r="I73" s="60">
        <v>0.36</v>
      </c>
      <c r="J73" s="60">
        <v>1</v>
      </c>
      <c r="K73" s="60">
        <v>114.52</v>
      </c>
      <c r="L73" s="10" t="s">
        <v>42</v>
      </c>
      <c r="M73" s="10" t="s">
        <v>42</v>
      </c>
      <c r="N73" s="60">
        <v>77.900000000000006</v>
      </c>
      <c r="O73" s="60">
        <v>0</v>
      </c>
      <c r="P73" s="60">
        <v>0.72</v>
      </c>
      <c r="Q73" s="60">
        <v>173.69</v>
      </c>
      <c r="R73" s="198"/>
      <c r="S73" s="198"/>
      <c r="T73" s="198"/>
      <c r="U73" s="198"/>
    </row>
    <row r="74" spans="1:21" s="12" customFormat="1" x14ac:dyDescent="0.25">
      <c r="A74" s="201" t="s">
        <v>1269</v>
      </c>
      <c r="B74" s="60">
        <v>4.53</v>
      </c>
      <c r="C74" s="60">
        <v>69.59</v>
      </c>
      <c r="D74" s="60">
        <v>42.03</v>
      </c>
      <c r="E74" s="60">
        <v>7.2</v>
      </c>
      <c r="F74" s="60">
        <v>4.3099999999999996</v>
      </c>
      <c r="G74" s="60">
        <v>106.78</v>
      </c>
      <c r="H74" s="60">
        <v>55.99</v>
      </c>
      <c r="I74" s="60">
        <v>0.36</v>
      </c>
      <c r="J74" s="60">
        <v>1.18</v>
      </c>
      <c r="K74" s="60">
        <v>122.38</v>
      </c>
      <c r="L74" s="10" t="s">
        <v>42</v>
      </c>
      <c r="M74" s="10" t="s">
        <v>42</v>
      </c>
      <c r="N74" s="60">
        <v>63.9</v>
      </c>
      <c r="O74" s="60">
        <v>0</v>
      </c>
      <c r="P74" s="60">
        <v>0.7</v>
      </c>
      <c r="Q74" s="60">
        <v>179.48</v>
      </c>
      <c r="R74" s="198"/>
      <c r="S74" s="198"/>
      <c r="T74" s="198"/>
      <c r="U74" s="198"/>
    </row>
    <row r="75" spans="1:21" s="12" customFormat="1" x14ac:dyDescent="0.25">
      <c r="A75" s="201" t="s">
        <v>1270</v>
      </c>
      <c r="B75" s="60">
        <v>4.47</v>
      </c>
      <c r="C75" s="60">
        <v>70.739999999999995</v>
      </c>
      <c r="D75" s="60">
        <v>42.62</v>
      </c>
      <c r="E75" s="60">
        <v>7.73</v>
      </c>
      <c r="F75" s="60">
        <v>5.18</v>
      </c>
      <c r="G75" s="60">
        <v>106.78</v>
      </c>
      <c r="H75" s="60">
        <v>55.99</v>
      </c>
      <c r="I75" s="60">
        <v>0.38</v>
      </c>
      <c r="J75" s="60">
        <v>0.52</v>
      </c>
      <c r="K75" s="60">
        <v>91.75</v>
      </c>
      <c r="L75" s="10" t="s">
        <v>42</v>
      </c>
      <c r="M75" s="10" t="s">
        <v>42</v>
      </c>
      <c r="N75" s="60">
        <v>51.4</v>
      </c>
      <c r="O75" s="60">
        <v>0</v>
      </c>
      <c r="P75" s="60">
        <v>0.7</v>
      </c>
      <c r="Q75" s="60">
        <v>183.45</v>
      </c>
      <c r="R75" s="198"/>
      <c r="S75" s="198"/>
      <c r="T75" s="198"/>
      <c r="U75" s="198"/>
    </row>
    <row r="76" spans="1:21" s="12" customFormat="1" x14ac:dyDescent="0.25">
      <c r="A76" s="201" t="s">
        <v>1271</v>
      </c>
      <c r="B76" s="60">
        <v>4.04</v>
      </c>
      <c r="C76" s="60">
        <v>72.36</v>
      </c>
      <c r="D76" s="60">
        <v>43.17</v>
      </c>
      <c r="E76" s="60">
        <v>9.36</v>
      </c>
      <c r="F76" s="60">
        <v>7.48</v>
      </c>
      <c r="G76" s="60">
        <v>107.54</v>
      </c>
      <c r="H76" s="60">
        <v>55.59</v>
      </c>
      <c r="I76" s="60">
        <v>0.38</v>
      </c>
      <c r="J76" s="60">
        <v>0.46</v>
      </c>
      <c r="K76" s="60">
        <v>90.4</v>
      </c>
      <c r="L76" s="10" t="s">
        <v>42</v>
      </c>
      <c r="M76" s="10" t="s">
        <v>42</v>
      </c>
      <c r="N76" s="60">
        <v>39.5</v>
      </c>
      <c r="O76" s="60">
        <v>0</v>
      </c>
      <c r="P76" s="60">
        <v>0.73</v>
      </c>
      <c r="Q76" s="60">
        <v>184.06</v>
      </c>
      <c r="R76" s="198"/>
      <c r="S76" s="198"/>
      <c r="T76" s="198"/>
      <c r="U76" s="198"/>
    </row>
    <row r="77" spans="1:21" s="12" customFormat="1" x14ac:dyDescent="0.25">
      <c r="A77" s="201" t="s">
        <v>1272</v>
      </c>
      <c r="B77" s="60">
        <v>4.87</v>
      </c>
      <c r="C77" s="60">
        <v>74.94</v>
      </c>
      <c r="D77" s="60">
        <v>45.26</v>
      </c>
      <c r="E77" s="60">
        <v>10.43</v>
      </c>
      <c r="F77" s="60">
        <v>7.33</v>
      </c>
      <c r="G77" s="60">
        <v>113.89</v>
      </c>
      <c r="H77" s="60">
        <v>51.47</v>
      </c>
      <c r="I77" s="60">
        <v>0.38</v>
      </c>
      <c r="J77" s="60">
        <v>0.4</v>
      </c>
      <c r="K77" s="60">
        <v>85.55</v>
      </c>
      <c r="L77" s="10" t="s">
        <v>42</v>
      </c>
      <c r="M77" s="10" t="s">
        <v>42</v>
      </c>
      <c r="N77" s="60">
        <v>29.1</v>
      </c>
      <c r="O77" s="60">
        <v>0</v>
      </c>
      <c r="P77" s="60">
        <v>0.72</v>
      </c>
      <c r="Q77" s="60">
        <v>181.79</v>
      </c>
      <c r="R77" s="198"/>
      <c r="S77" s="198"/>
      <c r="T77" s="198"/>
      <c r="U77" s="198"/>
    </row>
    <row r="78" spans="1:21" s="12" customFormat="1" x14ac:dyDescent="0.25">
      <c r="A78" s="201" t="s">
        <v>1273</v>
      </c>
      <c r="B78" s="60">
        <v>5.23</v>
      </c>
      <c r="C78" s="60">
        <v>80.37</v>
      </c>
      <c r="D78" s="60">
        <v>48.55</v>
      </c>
      <c r="E78" s="60">
        <v>9.3699999999999992</v>
      </c>
      <c r="F78" s="60">
        <v>6.34</v>
      </c>
      <c r="G78" s="60">
        <v>113.89</v>
      </c>
      <c r="H78" s="60">
        <v>51.47</v>
      </c>
      <c r="I78" s="60">
        <v>0.37</v>
      </c>
      <c r="J78" s="60">
        <v>0.27</v>
      </c>
      <c r="K78" s="60">
        <v>75.88</v>
      </c>
      <c r="L78" s="10" t="s">
        <v>42</v>
      </c>
      <c r="M78" s="10" t="s">
        <v>42</v>
      </c>
      <c r="N78" s="60">
        <v>23.6</v>
      </c>
      <c r="O78" s="60">
        <v>0</v>
      </c>
      <c r="P78" s="60">
        <v>0.82</v>
      </c>
      <c r="Q78" s="60">
        <v>181.91</v>
      </c>
      <c r="R78" s="198"/>
      <c r="S78" s="198"/>
      <c r="T78" s="198"/>
      <c r="U78" s="198"/>
    </row>
    <row r="79" spans="1:21" s="12" customFormat="1" x14ac:dyDescent="0.25">
      <c r="A79" s="201" t="s">
        <v>1274</v>
      </c>
      <c r="B79" s="60">
        <v>6.03</v>
      </c>
      <c r="C79" s="60">
        <v>83.28</v>
      </c>
      <c r="D79" s="60">
        <v>50.79</v>
      </c>
      <c r="E79" s="60">
        <v>9.26</v>
      </c>
      <c r="F79" s="60">
        <v>6.71</v>
      </c>
      <c r="G79" s="60">
        <v>113.89</v>
      </c>
      <c r="H79" s="60">
        <v>51.47</v>
      </c>
      <c r="I79" s="60">
        <v>0.4</v>
      </c>
      <c r="J79" s="60">
        <v>0.26</v>
      </c>
      <c r="K79" s="60">
        <v>64.930000000000007</v>
      </c>
      <c r="L79" s="10" t="s">
        <v>42</v>
      </c>
      <c r="M79" s="10" t="s">
        <v>42</v>
      </c>
      <c r="N79" s="60">
        <v>22.1</v>
      </c>
      <c r="O79" s="60">
        <v>0</v>
      </c>
      <c r="P79" s="60">
        <v>0.88</v>
      </c>
      <c r="Q79" s="60">
        <v>174.86</v>
      </c>
      <c r="R79" s="198"/>
      <c r="S79" s="198"/>
      <c r="T79" s="198"/>
      <c r="U79" s="198"/>
    </row>
    <row r="80" spans="1:21" s="12" customFormat="1" x14ac:dyDescent="0.25">
      <c r="A80" s="201" t="s">
        <v>1275</v>
      </c>
      <c r="B80" s="60">
        <v>6.28</v>
      </c>
      <c r="C80" s="60">
        <v>87.71</v>
      </c>
      <c r="D80" s="60">
        <v>53.44</v>
      </c>
      <c r="E80" s="60">
        <v>9.94</v>
      </c>
      <c r="F80" s="60">
        <v>8.19</v>
      </c>
      <c r="G80" s="60">
        <v>115.19</v>
      </c>
      <c r="H80" s="60">
        <v>51.72</v>
      </c>
      <c r="I80" s="60">
        <v>0.44</v>
      </c>
      <c r="J80" s="60">
        <v>0.26</v>
      </c>
      <c r="K80" s="60">
        <v>67.78</v>
      </c>
      <c r="L80" s="10" t="s">
        <v>42</v>
      </c>
      <c r="M80" s="10" t="s">
        <v>42</v>
      </c>
      <c r="N80" s="60">
        <v>21.6</v>
      </c>
      <c r="O80" s="60">
        <v>0</v>
      </c>
      <c r="P80" s="60">
        <v>0.97</v>
      </c>
      <c r="Q80" s="60">
        <v>155.86000000000001</v>
      </c>
      <c r="R80" s="198"/>
      <c r="S80" s="198"/>
      <c r="T80" s="198"/>
      <c r="U80" s="198"/>
    </row>
    <row r="81" spans="1:26" s="12" customFormat="1" x14ac:dyDescent="0.25">
      <c r="A81" s="201" t="s">
        <v>1276</v>
      </c>
      <c r="B81" s="60">
        <v>7.59</v>
      </c>
      <c r="C81" s="60">
        <v>99.27</v>
      </c>
      <c r="D81" s="60">
        <v>60.87</v>
      </c>
      <c r="E81" s="60">
        <v>9.7100000000000009</v>
      </c>
      <c r="F81" s="60">
        <v>3.15</v>
      </c>
      <c r="G81" s="60">
        <v>126.19</v>
      </c>
      <c r="H81" s="60">
        <v>54.35</v>
      </c>
      <c r="I81" s="60">
        <v>0.45</v>
      </c>
      <c r="J81" s="60">
        <v>0.17</v>
      </c>
      <c r="K81" s="60">
        <v>73.67</v>
      </c>
      <c r="L81" s="10" t="s">
        <v>42</v>
      </c>
      <c r="M81" s="10" t="s">
        <v>42</v>
      </c>
      <c r="N81" s="60">
        <v>23.1</v>
      </c>
      <c r="O81" s="60">
        <v>0</v>
      </c>
      <c r="P81" s="60">
        <v>0.97</v>
      </c>
      <c r="Q81" s="60">
        <v>152.13999999999999</v>
      </c>
      <c r="R81" s="198"/>
      <c r="S81" s="198"/>
      <c r="T81" s="198"/>
      <c r="U81" s="198"/>
    </row>
    <row r="82" spans="1:26" s="12" customFormat="1" x14ac:dyDescent="0.25">
      <c r="A82" s="201" t="s">
        <v>1277</v>
      </c>
      <c r="B82" s="60">
        <v>10.58</v>
      </c>
      <c r="C82" s="60">
        <v>110.52</v>
      </c>
      <c r="D82" s="60">
        <v>69.47</v>
      </c>
      <c r="E82" s="60">
        <v>7.91</v>
      </c>
      <c r="F82" s="60">
        <v>2.2200000000000002</v>
      </c>
      <c r="G82" s="60">
        <v>126.19</v>
      </c>
      <c r="H82" s="60">
        <v>54.35</v>
      </c>
      <c r="I82" s="60">
        <v>0.47</v>
      </c>
      <c r="J82" s="60">
        <v>0.12</v>
      </c>
      <c r="K82" s="60">
        <v>70.94</v>
      </c>
      <c r="L82" s="10" t="s">
        <v>42</v>
      </c>
      <c r="M82" s="10" t="s">
        <v>42</v>
      </c>
      <c r="N82" s="60">
        <v>23</v>
      </c>
      <c r="O82" s="60">
        <v>0</v>
      </c>
      <c r="P82" s="60">
        <v>1.08</v>
      </c>
      <c r="Q82" s="60">
        <v>152.41</v>
      </c>
      <c r="R82" s="198"/>
      <c r="S82" s="198"/>
      <c r="T82" s="198"/>
      <c r="U82" s="198"/>
    </row>
    <row r="83" spans="1:26" s="12" customFormat="1" x14ac:dyDescent="0.25">
      <c r="A83" s="201" t="s">
        <v>1278</v>
      </c>
      <c r="B83" s="60">
        <v>8.3800000000000008</v>
      </c>
      <c r="C83" s="60">
        <v>99.16</v>
      </c>
      <c r="D83" s="60">
        <v>61.44</v>
      </c>
      <c r="E83" s="60">
        <v>7.71</v>
      </c>
      <c r="F83" s="60">
        <v>2.78</v>
      </c>
      <c r="G83" s="60">
        <v>126.19</v>
      </c>
      <c r="H83" s="60">
        <v>54.35</v>
      </c>
      <c r="I83" s="60">
        <v>0.52</v>
      </c>
      <c r="J83" s="60">
        <v>0.17</v>
      </c>
      <c r="K83" s="60">
        <v>121.31</v>
      </c>
      <c r="L83" s="10" t="s">
        <v>42</v>
      </c>
      <c r="M83" s="10" t="s">
        <v>42</v>
      </c>
      <c r="N83" s="60">
        <v>22.7</v>
      </c>
      <c r="O83" s="60">
        <v>0</v>
      </c>
      <c r="P83" s="60">
        <v>1.06</v>
      </c>
      <c r="Q83" s="60">
        <v>148.47</v>
      </c>
      <c r="R83" s="198"/>
      <c r="S83" s="198"/>
      <c r="T83" s="198"/>
      <c r="U83" s="198"/>
    </row>
    <row r="84" spans="1:26" s="12" customFormat="1" x14ac:dyDescent="0.25">
      <c r="A84" s="201" t="s">
        <v>1279</v>
      </c>
      <c r="B84" s="60">
        <v>7.93</v>
      </c>
      <c r="C84" s="60">
        <v>91.06</v>
      </c>
      <c r="D84" s="60">
        <v>56.61</v>
      </c>
      <c r="E84" s="60">
        <v>6.75</v>
      </c>
      <c r="F84" s="60">
        <v>4.5999999999999996</v>
      </c>
      <c r="G84" s="60">
        <v>129.77000000000001</v>
      </c>
      <c r="H84" s="60">
        <v>54.73</v>
      </c>
      <c r="I84" s="60">
        <v>0.55000000000000004</v>
      </c>
      <c r="J84" s="60">
        <v>0.37</v>
      </c>
      <c r="K84" s="60">
        <v>111.72</v>
      </c>
      <c r="L84" s="10" t="s">
        <v>42</v>
      </c>
      <c r="M84" s="10" t="s">
        <v>42</v>
      </c>
      <c r="N84" s="60">
        <v>22.1</v>
      </c>
      <c r="O84" s="60">
        <v>0</v>
      </c>
      <c r="P84" s="60">
        <v>1.04</v>
      </c>
      <c r="Q84" s="60">
        <v>145.82</v>
      </c>
      <c r="R84" s="198"/>
      <c r="S84" s="198"/>
      <c r="T84" s="198"/>
      <c r="U84" s="198"/>
    </row>
    <row r="85" spans="1:26" s="12" customFormat="1" x14ac:dyDescent="0.25">
      <c r="A85" s="201" t="s">
        <v>1280</v>
      </c>
      <c r="B85" s="60">
        <v>9.0399999999999991</v>
      </c>
      <c r="C85" s="60">
        <v>95.17</v>
      </c>
      <c r="D85" s="60">
        <v>59.77</v>
      </c>
      <c r="E85" s="60">
        <v>6.54</v>
      </c>
      <c r="F85" s="60">
        <v>3.51</v>
      </c>
      <c r="G85" s="60">
        <v>159.88</v>
      </c>
      <c r="H85" s="60">
        <v>58.69</v>
      </c>
      <c r="I85" s="60">
        <v>0.55000000000000004</v>
      </c>
      <c r="J85" s="60">
        <v>0.28000000000000003</v>
      </c>
      <c r="K85" s="60">
        <v>107.53</v>
      </c>
      <c r="L85" s="10" t="s">
        <v>42</v>
      </c>
      <c r="M85" s="10" t="s">
        <v>42</v>
      </c>
      <c r="N85" s="60">
        <v>22.3</v>
      </c>
      <c r="O85" s="60">
        <v>0</v>
      </c>
      <c r="P85" s="60">
        <v>1.02</v>
      </c>
      <c r="Q85" s="60">
        <v>143.16</v>
      </c>
      <c r="R85" s="198"/>
      <c r="S85" s="198"/>
      <c r="T85" s="198"/>
      <c r="U85" s="198"/>
    </row>
    <row r="86" spans="1:26" s="12" customFormat="1" x14ac:dyDescent="0.25">
      <c r="A86" s="201" t="s">
        <v>1281</v>
      </c>
      <c r="B86" s="60">
        <v>9.89</v>
      </c>
      <c r="C86" s="60">
        <v>86.31</v>
      </c>
      <c r="D86" s="60">
        <v>55.57</v>
      </c>
      <c r="E86" s="60">
        <v>5.94</v>
      </c>
      <c r="F86" s="60">
        <v>3.66</v>
      </c>
      <c r="G86" s="60">
        <v>159.88</v>
      </c>
      <c r="H86" s="60">
        <v>58.69</v>
      </c>
      <c r="I86" s="60">
        <v>0.55000000000000004</v>
      </c>
      <c r="J86" s="60">
        <v>0.51</v>
      </c>
      <c r="K86" s="60">
        <v>140.41</v>
      </c>
      <c r="L86" s="10" t="s">
        <v>42</v>
      </c>
      <c r="M86" s="10" t="s">
        <v>42</v>
      </c>
      <c r="N86" s="60">
        <v>22.1</v>
      </c>
      <c r="O86" s="60">
        <v>0</v>
      </c>
      <c r="P86" s="60">
        <v>1.07</v>
      </c>
      <c r="Q86" s="60">
        <v>154.76</v>
      </c>
      <c r="R86" s="198"/>
      <c r="S86" s="198"/>
      <c r="T86" s="198"/>
      <c r="U86" s="198"/>
    </row>
    <row r="87" spans="1:26" s="12" customFormat="1" x14ac:dyDescent="0.25">
      <c r="A87" s="201" t="s">
        <v>1282</v>
      </c>
      <c r="B87" s="60">
        <v>9.6999999999999993</v>
      </c>
      <c r="C87" s="60">
        <v>85.79</v>
      </c>
      <c r="D87" s="60">
        <v>55.12</v>
      </c>
      <c r="E87" s="60">
        <v>6.55</v>
      </c>
      <c r="F87" s="60">
        <v>3.68</v>
      </c>
      <c r="G87" s="60">
        <v>159.88</v>
      </c>
      <c r="H87" s="60">
        <v>58.69</v>
      </c>
      <c r="I87" s="60">
        <v>0.56999999999999995</v>
      </c>
      <c r="J87" s="60">
        <v>0.28999999999999998</v>
      </c>
      <c r="K87" s="60">
        <v>118.18</v>
      </c>
      <c r="L87" s="10" t="s">
        <v>42</v>
      </c>
      <c r="M87" s="10" t="s">
        <v>42</v>
      </c>
      <c r="N87" s="60">
        <v>22.6</v>
      </c>
      <c r="O87" s="60">
        <v>0</v>
      </c>
      <c r="P87" s="60">
        <v>1.1100000000000001</v>
      </c>
      <c r="Q87" s="60">
        <v>163.84</v>
      </c>
      <c r="R87" s="198"/>
      <c r="S87" s="198"/>
      <c r="T87" s="198"/>
      <c r="U87" s="198"/>
    </row>
    <row r="88" spans="1:26" s="12" customFormat="1" x14ac:dyDescent="0.25">
      <c r="A88" s="201" t="s">
        <v>1283</v>
      </c>
      <c r="B88" s="60">
        <v>9.6</v>
      </c>
      <c r="C88" s="60">
        <v>85.39</v>
      </c>
      <c r="D88" s="60">
        <v>54.82</v>
      </c>
      <c r="E88" s="60">
        <v>4.2699999999999996</v>
      </c>
      <c r="F88" s="60">
        <v>2.74</v>
      </c>
      <c r="G88" s="60">
        <v>159.86000000000001</v>
      </c>
      <c r="H88" s="60">
        <v>58.98</v>
      </c>
      <c r="I88" s="60">
        <v>0.6</v>
      </c>
      <c r="J88" s="60">
        <v>0.49</v>
      </c>
      <c r="K88" s="60">
        <v>124.92</v>
      </c>
      <c r="L88" s="10" t="s">
        <v>42</v>
      </c>
      <c r="M88" s="10" t="s">
        <v>42</v>
      </c>
      <c r="N88" s="60">
        <v>22.4</v>
      </c>
      <c r="O88" s="60">
        <v>0</v>
      </c>
      <c r="P88" s="60">
        <v>1.1200000000000001</v>
      </c>
      <c r="Q88" s="60">
        <v>168.79</v>
      </c>
      <c r="R88" s="198"/>
      <c r="S88" s="198"/>
      <c r="T88" s="198"/>
      <c r="U88" s="198"/>
    </row>
    <row r="89" spans="1:26" s="12" customFormat="1" x14ac:dyDescent="0.25">
      <c r="A89" s="201" t="s">
        <v>1284</v>
      </c>
      <c r="B89" s="60">
        <v>9.4499999999999993</v>
      </c>
      <c r="C89" s="60">
        <v>81.03</v>
      </c>
      <c r="D89" s="60">
        <v>52.29</v>
      </c>
      <c r="E89" s="60">
        <v>6.56</v>
      </c>
      <c r="F89" s="60">
        <v>2.0299999999999998</v>
      </c>
      <c r="G89" s="60">
        <v>159.63</v>
      </c>
      <c r="H89" s="60">
        <v>62.01</v>
      </c>
      <c r="I89" s="60">
        <v>0.6</v>
      </c>
      <c r="J89" s="60">
        <v>0.77</v>
      </c>
      <c r="K89" s="60">
        <v>136.30000000000001</v>
      </c>
      <c r="L89" s="10" t="s">
        <v>42</v>
      </c>
      <c r="M89" s="10" t="s">
        <v>42</v>
      </c>
      <c r="N89" s="60">
        <v>22.1</v>
      </c>
      <c r="O89" s="60">
        <v>0</v>
      </c>
      <c r="P89" s="60">
        <v>1.1200000000000001</v>
      </c>
      <c r="Q89" s="60">
        <v>170.98</v>
      </c>
      <c r="R89" s="198"/>
      <c r="S89" s="198"/>
      <c r="T89" s="198"/>
      <c r="U89" s="198"/>
    </row>
    <row r="90" spans="1:26" s="12" customFormat="1" x14ac:dyDescent="0.25">
      <c r="A90" s="201" t="s">
        <v>1285</v>
      </c>
      <c r="B90" s="60">
        <v>8.93</v>
      </c>
      <c r="C90" s="60">
        <v>77.42</v>
      </c>
      <c r="D90" s="60">
        <v>49.89</v>
      </c>
      <c r="E90" s="60">
        <v>6.41</v>
      </c>
      <c r="F90" s="60">
        <v>2.4500000000000002</v>
      </c>
      <c r="G90" s="60">
        <v>159.63</v>
      </c>
      <c r="H90" s="60">
        <v>62.01</v>
      </c>
      <c r="I90" s="60">
        <v>0.62</v>
      </c>
      <c r="J90" s="60">
        <v>0.73</v>
      </c>
      <c r="K90" s="60">
        <v>141.47</v>
      </c>
      <c r="L90" s="10" t="s">
        <v>42</v>
      </c>
      <c r="M90" s="10" t="s">
        <v>42</v>
      </c>
      <c r="N90" s="60">
        <v>22.3</v>
      </c>
      <c r="O90" s="60">
        <v>0</v>
      </c>
      <c r="P90" s="60">
        <v>1.1200000000000001</v>
      </c>
      <c r="Q90" s="60">
        <v>175.44</v>
      </c>
      <c r="R90" s="198"/>
      <c r="S90" s="198"/>
      <c r="T90" s="198"/>
      <c r="U90" s="198"/>
    </row>
    <row r="91" spans="1:26" s="12" customFormat="1" x14ac:dyDescent="0.25">
      <c r="A91" s="201" t="s">
        <v>1286</v>
      </c>
      <c r="B91" s="60">
        <v>8.11</v>
      </c>
      <c r="C91" s="60">
        <v>75.709999999999994</v>
      </c>
      <c r="D91" s="60">
        <v>48.29</v>
      </c>
      <c r="E91" s="60">
        <v>6.41</v>
      </c>
      <c r="F91" s="60">
        <v>3.68</v>
      </c>
      <c r="G91" s="60">
        <v>159.63</v>
      </c>
      <c r="H91" s="60">
        <v>62.01</v>
      </c>
      <c r="I91" s="60">
        <v>0.65</v>
      </c>
      <c r="J91" s="60">
        <v>0.68</v>
      </c>
      <c r="K91" s="60">
        <v>125.75</v>
      </c>
      <c r="L91" s="10" t="s">
        <v>42</v>
      </c>
      <c r="M91" s="10" t="s">
        <v>42</v>
      </c>
      <c r="N91" s="60">
        <v>22.3</v>
      </c>
      <c r="O91" s="60">
        <v>0</v>
      </c>
      <c r="P91" s="60">
        <v>1.1200000000000001</v>
      </c>
      <c r="Q91" s="60">
        <v>179.39</v>
      </c>
      <c r="R91" s="198"/>
      <c r="S91" s="198"/>
      <c r="T91" s="198"/>
      <c r="U91" s="198"/>
    </row>
    <row r="92" spans="1:26" s="12" customFormat="1" x14ac:dyDescent="0.25">
      <c r="A92" s="201" t="s">
        <v>1287</v>
      </c>
      <c r="B92" s="60">
        <v>7.65</v>
      </c>
      <c r="C92" s="60">
        <v>79</v>
      </c>
      <c r="D92" s="60">
        <v>49.73</v>
      </c>
      <c r="E92" s="60">
        <v>6.31</v>
      </c>
      <c r="F92" s="60">
        <v>3.96</v>
      </c>
      <c r="G92" s="60">
        <v>158.13</v>
      </c>
      <c r="H92" s="60">
        <v>61.77</v>
      </c>
      <c r="I92" s="60">
        <v>0.67</v>
      </c>
      <c r="J92" s="60">
        <v>0.33</v>
      </c>
      <c r="K92" s="60">
        <v>111.6</v>
      </c>
      <c r="L92" s="10" t="s">
        <v>42</v>
      </c>
      <c r="M92" s="10" t="s">
        <v>42</v>
      </c>
      <c r="N92" s="60">
        <v>22.7</v>
      </c>
      <c r="O92" s="60">
        <v>0</v>
      </c>
      <c r="P92" s="60">
        <v>1.1299999999999999</v>
      </c>
      <c r="Q92" s="60">
        <v>181.59</v>
      </c>
      <c r="R92" s="198"/>
      <c r="S92" s="198"/>
      <c r="T92" s="198"/>
      <c r="U92" s="198"/>
    </row>
    <row r="93" spans="1:26" s="12" customFormat="1" x14ac:dyDescent="0.25">
      <c r="A93" s="201" t="s">
        <v>1288</v>
      </c>
      <c r="B93" s="60">
        <v>7.27</v>
      </c>
      <c r="C93" s="60">
        <v>76.12</v>
      </c>
      <c r="D93" s="60">
        <v>47.84</v>
      </c>
      <c r="E93" s="60">
        <v>5.92</v>
      </c>
      <c r="F93" s="60">
        <v>2.5299999999999998</v>
      </c>
      <c r="G93" s="60">
        <v>145.43</v>
      </c>
      <c r="H93" s="60">
        <v>59.29</v>
      </c>
      <c r="I93" s="60">
        <v>0.68</v>
      </c>
      <c r="J93" s="60">
        <v>0.24</v>
      </c>
      <c r="K93" s="60">
        <v>98.68</v>
      </c>
      <c r="L93" s="10" t="s">
        <v>42</v>
      </c>
      <c r="M93" s="10" t="s">
        <v>42</v>
      </c>
      <c r="N93" s="60">
        <v>22.7</v>
      </c>
      <c r="O93" s="60">
        <v>0</v>
      </c>
      <c r="P93" s="60">
        <v>1.1399999999999999</v>
      </c>
      <c r="Q93" s="60">
        <v>179.26</v>
      </c>
      <c r="R93" s="198"/>
      <c r="S93" s="198"/>
      <c r="T93" s="198"/>
      <c r="U93" s="198"/>
    </row>
    <row r="94" spans="1:26" s="12" customFormat="1" x14ac:dyDescent="0.25">
      <c r="A94" s="201" t="s">
        <v>1289</v>
      </c>
      <c r="B94" s="60">
        <v>9.73</v>
      </c>
      <c r="C94" s="60">
        <v>74.400000000000006</v>
      </c>
      <c r="D94" s="60">
        <v>48.86</v>
      </c>
      <c r="E94" s="60">
        <v>5.53</v>
      </c>
      <c r="F94" s="60">
        <v>1.72</v>
      </c>
      <c r="G94" s="60">
        <v>145.43</v>
      </c>
      <c r="H94" s="60">
        <v>59.29</v>
      </c>
      <c r="I94" s="60">
        <v>0.67</v>
      </c>
      <c r="J94" s="60">
        <v>0.19</v>
      </c>
      <c r="K94" s="60">
        <v>44.04</v>
      </c>
      <c r="L94" s="10" t="s">
        <v>42</v>
      </c>
      <c r="M94" s="10" t="s">
        <v>42</v>
      </c>
      <c r="N94" s="60">
        <v>22.9</v>
      </c>
      <c r="O94" s="60">
        <v>0</v>
      </c>
      <c r="P94" s="60">
        <v>1.22</v>
      </c>
      <c r="Q94" s="60">
        <v>159.41999999999999</v>
      </c>
      <c r="R94" s="198"/>
      <c r="S94" s="198"/>
      <c r="T94" s="198"/>
      <c r="U94" s="198"/>
    </row>
    <row r="95" spans="1:26" s="12" customFormat="1" x14ac:dyDescent="0.25">
      <c r="A95" s="201" t="s">
        <v>1290</v>
      </c>
      <c r="B95" s="60">
        <v>13.56</v>
      </c>
      <c r="C95" s="60">
        <v>80.8</v>
      </c>
      <c r="D95" s="60">
        <v>55.47</v>
      </c>
      <c r="E95" s="60">
        <v>5.66</v>
      </c>
      <c r="F95" s="60">
        <v>1.05</v>
      </c>
      <c r="G95" s="60">
        <v>145.43</v>
      </c>
      <c r="H95" s="60">
        <v>59.29</v>
      </c>
      <c r="I95" s="60">
        <v>0.69</v>
      </c>
      <c r="J95" s="60">
        <v>0.15</v>
      </c>
      <c r="K95" s="60">
        <v>37.29</v>
      </c>
      <c r="L95" s="10" t="s">
        <v>42</v>
      </c>
      <c r="M95" s="10" t="s">
        <v>42</v>
      </c>
      <c r="N95" s="60">
        <v>23</v>
      </c>
      <c r="O95" s="60">
        <v>0</v>
      </c>
      <c r="P95" s="60">
        <v>1.32</v>
      </c>
      <c r="Q95" s="60">
        <v>162.33000000000001</v>
      </c>
      <c r="R95" s="198"/>
      <c r="S95" s="198"/>
      <c r="T95" s="198"/>
      <c r="U95" s="198"/>
    </row>
    <row r="96" spans="1:26" s="12" customFormat="1" x14ac:dyDescent="0.25">
      <c r="A96" s="201" t="s">
        <v>1291</v>
      </c>
      <c r="B96" s="60">
        <v>18.46</v>
      </c>
      <c r="C96" s="60">
        <v>90.15</v>
      </c>
      <c r="D96" s="60">
        <v>64.56</v>
      </c>
      <c r="E96" s="60">
        <v>5.6</v>
      </c>
      <c r="F96" s="60">
        <v>0.86</v>
      </c>
      <c r="G96" s="60">
        <v>150.63</v>
      </c>
      <c r="H96" s="60">
        <v>59.95</v>
      </c>
      <c r="I96" s="60">
        <v>0.71</v>
      </c>
      <c r="J96" s="60">
        <v>0.15</v>
      </c>
      <c r="K96" s="60">
        <v>29.52</v>
      </c>
      <c r="L96" s="10" t="s">
        <v>42</v>
      </c>
      <c r="M96" s="10" t="s">
        <v>42</v>
      </c>
      <c r="N96" s="60">
        <v>23</v>
      </c>
      <c r="O96" s="60">
        <v>0</v>
      </c>
      <c r="P96" s="60">
        <v>1.39</v>
      </c>
      <c r="Q96" s="60">
        <v>161.47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1292</v>
      </c>
      <c r="B97" s="60">
        <v>22.74</v>
      </c>
      <c r="C97" s="60">
        <v>95.59</v>
      </c>
      <c r="D97" s="60">
        <v>70.989999999999995</v>
      </c>
      <c r="E97" s="60">
        <v>5.32</v>
      </c>
      <c r="F97" s="60">
        <v>0.81</v>
      </c>
      <c r="G97" s="60">
        <v>194.47</v>
      </c>
      <c r="H97" s="60">
        <v>66.75</v>
      </c>
      <c r="I97" s="60">
        <v>0.74</v>
      </c>
      <c r="J97" s="60">
        <v>0.14000000000000001</v>
      </c>
      <c r="K97" s="60">
        <v>343</v>
      </c>
      <c r="L97" s="10" t="s">
        <v>42</v>
      </c>
      <c r="M97" s="10" t="s">
        <v>42</v>
      </c>
      <c r="N97" s="60">
        <v>22.8</v>
      </c>
      <c r="O97" s="60">
        <v>0</v>
      </c>
      <c r="P97" s="60">
        <v>1.48</v>
      </c>
      <c r="Q97" s="60">
        <v>159.84</v>
      </c>
      <c r="R97" s="198"/>
      <c r="S97" s="198"/>
      <c r="T97" s="198"/>
      <c r="U97" s="198"/>
    </row>
    <row r="98" spans="1:33" s="12" customFormat="1" x14ac:dyDescent="0.25">
      <c r="A98" s="201" t="s">
        <v>1293</v>
      </c>
      <c r="B98" s="60">
        <v>31.96</v>
      </c>
      <c r="C98" s="60">
        <v>106.25</v>
      </c>
      <c r="D98" s="60">
        <v>84.27</v>
      </c>
      <c r="E98" s="60">
        <v>5.28</v>
      </c>
      <c r="F98" s="60">
        <v>0.56000000000000005</v>
      </c>
      <c r="G98" s="60">
        <v>194.47</v>
      </c>
      <c r="H98" s="60">
        <v>66.75</v>
      </c>
      <c r="I98" s="60">
        <v>0.76</v>
      </c>
      <c r="J98" s="60">
        <v>0.12</v>
      </c>
      <c r="K98" s="60">
        <v>357.92</v>
      </c>
      <c r="L98" s="10" t="s">
        <v>42</v>
      </c>
      <c r="M98" s="10" t="s">
        <v>42</v>
      </c>
      <c r="N98" s="60">
        <v>22.6</v>
      </c>
      <c r="O98" s="60">
        <v>0</v>
      </c>
      <c r="P98" s="60">
        <v>1.59</v>
      </c>
      <c r="Q98" s="60">
        <v>167.59</v>
      </c>
      <c r="R98" s="198"/>
      <c r="S98" s="198"/>
      <c r="T98" s="198"/>
      <c r="U98" s="198"/>
    </row>
    <row r="99" spans="1:33" s="12" customFormat="1" x14ac:dyDescent="0.25">
      <c r="A99" s="201" t="s">
        <v>1294</v>
      </c>
      <c r="B99" s="60">
        <v>36.9</v>
      </c>
      <c r="C99" s="60">
        <v>108.56</v>
      </c>
      <c r="D99" s="60">
        <v>89.5</v>
      </c>
      <c r="E99" s="60">
        <v>5</v>
      </c>
      <c r="F99" s="60">
        <v>0.75</v>
      </c>
      <c r="G99" s="60">
        <v>194.47</v>
      </c>
      <c r="H99" s="60">
        <v>66.75</v>
      </c>
      <c r="I99" s="60">
        <v>0.79</v>
      </c>
      <c r="J99" s="60">
        <v>0.19</v>
      </c>
      <c r="K99" s="60">
        <v>34.909999999999997</v>
      </c>
      <c r="L99" s="10" t="s">
        <v>42</v>
      </c>
      <c r="M99" s="10" t="s">
        <v>42</v>
      </c>
      <c r="N99" s="60">
        <v>22.5</v>
      </c>
      <c r="O99" s="60">
        <v>0</v>
      </c>
      <c r="P99" s="60">
        <v>1.68</v>
      </c>
      <c r="Q99" s="60">
        <v>173.02</v>
      </c>
      <c r="R99" s="198"/>
      <c r="S99" s="198"/>
      <c r="T99" s="198"/>
      <c r="U99" s="198"/>
    </row>
    <row r="100" spans="1:33" s="12" customFormat="1" x14ac:dyDescent="0.25">
      <c r="A100" s="201" t="s">
        <v>1295</v>
      </c>
      <c r="B100" s="60">
        <v>41.53</v>
      </c>
      <c r="C100" s="60">
        <v>115.03</v>
      </c>
      <c r="D100" s="60">
        <v>96.79</v>
      </c>
      <c r="E100" s="60">
        <v>5.41</v>
      </c>
      <c r="F100" s="60">
        <v>0.56999999999999995</v>
      </c>
      <c r="G100" s="60">
        <v>200.94</v>
      </c>
      <c r="H100" s="60">
        <v>66.77</v>
      </c>
      <c r="I100" s="60">
        <v>0.83</v>
      </c>
      <c r="J100" s="60">
        <v>0.12</v>
      </c>
      <c r="K100" s="60">
        <v>330.74</v>
      </c>
      <c r="L100" s="10" t="s">
        <v>42</v>
      </c>
      <c r="M100" s="10" t="s">
        <v>42</v>
      </c>
      <c r="N100" s="60">
        <v>22.3</v>
      </c>
      <c r="O100" s="60">
        <v>0</v>
      </c>
      <c r="P100" s="60">
        <v>1.77</v>
      </c>
      <c r="Q100" s="60">
        <v>184.06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1296</v>
      </c>
      <c r="B101" s="60">
        <v>42.46</v>
      </c>
      <c r="C101" s="60">
        <v>113.32</v>
      </c>
      <c r="D101" s="60">
        <v>96.59</v>
      </c>
      <c r="E101" s="60">
        <v>5.07</v>
      </c>
      <c r="F101" s="60">
        <v>0.39</v>
      </c>
      <c r="G101" s="60">
        <v>255.43</v>
      </c>
      <c r="H101" s="60">
        <v>66.97</v>
      </c>
      <c r="I101" s="60">
        <v>0.86</v>
      </c>
      <c r="J101" s="60">
        <v>0.1</v>
      </c>
      <c r="K101" s="60">
        <v>42.76</v>
      </c>
      <c r="L101" s="10" t="s">
        <v>42</v>
      </c>
      <c r="M101" s="10" t="s">
        <v>42</v>
      </c>
      <c r="N101" s="60">
        <v>21.7</v>
      </c>
      <c r="O101" s="60">
        <v>0</v>
      </c>
      <c r="P101" s="60">
        <v>1.76</v>
      </c>
      <c r="Q101" s="60">
        <v>187.57</v>
      </c>
      <c r="R101" s="198"/>
      <c r="S101" s="198"/>
      <c r="T101" s="198"/>
      <c r="U101" s="198"/>
    </row>
    <row r="102" spans="1:33" s="12" customFormat="1" x14ac:dyDescent="0.25">
      <c r="A102" s="201" t="s">
        <v>1297</v>
      </c>
      <c r="B102" s="60">
        <v>41.74</v>
      </c>
      <c r="C102" s="60">
        <v>111.56</v>
      </c>
      <c r="D102" s="60">
        <v>95.04</v>
      </c>
      <c r="E102" s="60">
        <v>5.4</v>
      </c>
      <c r="F102" s="60">
        <v>0.47</v>
      </c>
      <c r="G102" s="60">
        <v>255.43</v>
      </c>
      <c r="H102" s="60">
        <v>66.97</v>
      </c>
      <c r="I102" s="60">
        <v>0.89</v>
      </c>
      <c r="J102" s="60">
        <v>0.16</v>
      </c>
      <c r="K102" s="60">
        <v>269.77999999999997</v>
      </c>
      <c r="L102" s="10" t="s">
        <v>42</v>
      </c>
      <c r="M102" s="10" t="s">
        <v>42</v>
      </c>
      <c r="N102" s="60">
        <v>21.6</v>
      </c>
      <c r="O102" s="60">
        <v>0</v>
      </c>
      <c r="P102" s="60">
        <v>1.74</v>
      </c>
      <c r="Q102" s="60">
        <v>191.86</v>
      </c>
      <c r="R102" s="198"/>
      <c r="S102" s="198"/>
      <c r="T102" s="198"/>
      <c r="U102" s="198"/>
    </row>
    <row r="103" spans="1:33" s="12" customFormat="1" x14ac:dyDescent="0.25">
      <c r="A103" s="201" t="s">
        <v>1298</v>
      </c>
      <c r="B103" s="60">
        <v>40.06</v>
      </c>
      <c r="C103" s="60">
        <v>108.57</v>
      </c>
      <c r="D103" s="60">
        <v>92.04</v>
      </c>
      <c r="E103" s="60">
        <v>6.12</v>
      </c>
      <c r="F103" s="60">
        <v>0.81</v>
      </c>
      <c r="G103" s="60">
        <v>255.43</v>
      </c>
      <c r="H103" s="60">
        <v>66.97</v>
      </c>
      <c r="I103" s="60">
        <v>0.92</v>
      </c>
      <c r="J103" s="60">
        <v>0.11</v>
      </c>
      <c r="K103" s="60">
        <v>298.63</v>
      </c>
      <c r="L103" s="10" t="s">
        <v>42</v>
      </c>
      <c r="M103" s="10" t="s">
        <v>42</v>
      </c>
      <c r="N103" s="60">
        <v>22.2</v>
      </c>
      <c r="O103" s="60">
        <v>0</v>
      </c>
      <c r="P103" s="60">
        <v>1.71</v>
      </c>
      <c r="Q103" s="60">
        <v>192.81</v>
      </c>
      <c r="R103" s="198"/>
      <c r="S103" s="198"/>
      <c r="T103" s="198"/>
      <c r="U103" s="198"/>
    </row>
    <row r="104" spans="1:33" s="12" customFormat="1" x14ac:dyDescent="0.25">
      <c r="A104" s="201" t="s">
        <v>1299</v>
      </c>
      <c r="B104" s="60">
        <v>37.770000000000003</v>
      </c>
      <c r="C104" s="60">
        <v>104.63</v>
      </c>
      <c r="D104" s="60">
        <v>88.03</v>
      </c>
      <c r="E104" s="60">
        <v>3.4</v>
      </c>
      <c r="F104" s="60">
        <v>0.99</v>
      </c>
      <c r="G104" s="60">
        <v>247.87</v>
      </c>
      <c r="H104" s="60">
        <v>66.61</v>
      </c>
      <c r="I104" s="60">
        <v>0.93</v>
      </c>
      <c r="J104" s="60">
        <v>0.12</v>
      </c>
      <c r="K104" s="60">
        <v>355.16</v>
      </c>
      <c r="L104" s="10" t="s">
        <v>42</v>
      </c>
      <c r="M104" s="10" t="s">
        <v>42</v>
      </c>
      <c r="N104" s="60">
        <v>22.9</v>
      </c>
      <c r="O104" s="60">
        <v>0</v>
      </c>
      <c r="P104" s="60">
        <v>1.65</v>
      </c>
      <c r="Q104" s="60">
        <v>190.79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2.5499999999999998</v>
      </c>
      <c r="C106" s="67">
        <f>MIN(C9:C104)</f>
        <v>57.57</v>
      </c>
      <c r="D106" s="67">
        <f t="shared" ref="D106:Q106" si="0">MIN(D9:D104)</f>
        <v>34.56</v>
      </c>
      <c r="E106" s="67">
        <f t="shared" si="0"/>
        <v>2.71</v>
      </c>
      <c r="F106" s="67">
        <f t="shared" si="0"/>
        <v>0.27</v>
      </c>
      <c r="G106" s="67">
        <f t="shared" si="0"/>
        <v>106.78</v>
      </c>
      <c r="H106" s="67">
        <f t="shared" si="0"/>
        <v>51.47</v>
      </c>
      <c r="I106" s="67">
        <f t="shared" si="0"/>
        <v>0.36</v>
      </c>
      <c r="J106" s="67">
        <f t="shared" si="0"/>
        <v>0.02</v>
      </c>
      <c r="K106" s="67">
        <f t="shared" si="0"/>
        <v>6.33</v>
      </c>
      <c r="L106" s="67">
        <f t="shared" si="0"/>
        <v>0</v>
      </c>
      <c r="M106" s="67">
        <f t="shared" si="0"/>
        <v>0</v>
      </c>
      <c r="N106" s="67">
        <f t="shared" si="0"/>
        <v>21.6</v>
      </c>
      <c r="O106" s="67">
        <f t="shared" si="0"/>
        <v>0</v>
      </c>
      <c r="P106" s="67">
        <f t="shared" si="0"/>
        <v>0.7</v>
      </c>
      <c r="Q106" s="67">
        <f t="shared" si="0"/>
        <v>143.16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64.56</v>
      </c>
      <c r="C107" s="66">
        <f t="shared" ref="C107:Q107" si="1">MAX(C9:C104)</f>
        <v>126.48</v>
      </c>
      <c r="D107" s="66">
        <f t="shared" si="1"/>
        <v>120.58</v>
      </c>
      <c r="E107" s="66">
        <f t="shared" si="1"/>
        <v>11.63</v>
      </c>
      <c r="F107" s="66">
        <f t="shared" si="1"/>
        <v>8.19</v>
      </c>
      <c r="G107" s="66">
        <f t="shared" si="1"/>
        <v>282.08999999999997</v>
      </c>
      <c r="H107" s="66">
        <f t="shared" si="1"/>
        <v>91.09</v>
      </c>
      <c r="I107" s="66">
        <f t="shared" si="1"/>
        <v>1.34</v>
      </c>
      <c r="J107" s="66">
        <f t="shared" si="1"/>
        <v>2.13</v>
      </c>
      <c r="K107" s="66">
        <f t="shared" si="1"/>
        <v>357.92</v>
      </c>
      <c r="L107" s="66">
        <f t="shared" si="1"/>
        <v>0</v>
      </c>
      <c r="M107" s="66">
        <f t="shared" si="1"/>
        <v>0</v>
      </c>
      <c r="N107" s="66">
        <f t="shared" si="1"/>
        <v>678.8</v>
      </c>
      <c r="O107" s="66">
        <f t="shared" si="1"/>
        <v>0</v>
      </c>
      <c r="P107" s="66">
        <f t="shared" si="1"/>
        <v>2.38</v>
      </c>
      <c r="Q107" s="66">
        <f t="shared" si="1"/>
        <v>230.7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26.274062499999999</v>
      </c>
      <c r="C108" s="67">
        <f t="shared" ref="C108:Q108" si="2">AVERAGE(C9:C104)</f>
        <v>90.399166666666659</v>
      </c>
      <c r="D108" s="67">
        <f t="shared" si="2"/>
        <v>70.958854166666669</v>
      </c>
      <c r="E108" s="67">
        <f t="shared" si="2"/>
        <v>5.9345833333333333</v>
      </c>
      <c r="F108" s="67">
        <f t="shared" si="2"/>
        <v>2.2977083333333339</v>
      </c>
      <c r="G108" s="67">
        <f t="shared" si="2"/>
        <v>187.00177083333335</v>
      </c>
      <c r="H108" s="67">
        <f t="shared" si="2"/>
        <v>70.60708333333335</v>
      </c>
      <c r="I108" s="67">
        <f t="shared" si="2"/>
        <v>0.78364583333333349</v>
      </c>
      <c r="J108" s="67">
        <f t="shared" si="2"/>
        <v>0.51958333333333306</v>
      </c>
      <c r="K108" s="67">
        <f t="shared" si="2"/>
        <v>121.36333333333334</v>
      </c>
      <c r="L108" s="67" t="e">
        <f t="shared" si="2"/>
        <v>#DIV/0!</v>
      </c>
      <c r="M108" s="67" t="e">
        <f t="shared" si="2"/>
        <v>#DIV/0!</v>
      </c>
      <c r="N108" s="67">
        <f t="shared" si="2"/>
        <v>194.24895833333326</v>
      </c>
      <c r="O108" s="67">
        <f t="shared" si="2"/>
        <v>0</v>
      </c>
      <c r="P108" s="67">
        <f t="shared" si="2"/>
        <v>1.3394791666666668</v>
      </c>
      <c r="Q108" s="67">
        <f t="shared" si="2"/>
        <v>184.31416666666669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20.388054943397631</v>
      </c>
      <c r="C109" s="67">
        <f t="shared" ref="C109:Q109" si="3">STDEV(C9:C104)</f>
        <v>17.037016644364382</v>
      </c>
      <c r="D109" s="67">
        <f t="shared" si="3"/>
        <v>24.8278972494881</v>
      </c>
      <c r="E109" s="67">
        <f t="shared" si="3"/>
        <v>1.5483185560075166</v>
      </c>
      <c r="F109" s="67">
        <f t="shared" si="3"/>
        <v>2.0607624951467614</v>
      </c>
      <c r="G109" s="67">
        <f t="shared" si="3"/>
        <v>58.091196379753782</v>
      </c>
      <c r="H109" s="67">
        <f t="shared" si="3"/>
        <v>12.56309951000331</v>
      </c>
      <c r="I109" s="67">
        <f t="shared" si="3"/>
        <v>0.30822110925921736</v>
      </c>
      <c r="J109" s="67">
        <f t="shared" si="3"/>
        <v>0.46419577690694863</v>
      </c>
      <c r="K109" s="67">
        <f t="shared" si="3"/>
        <v>95.724893596363358</v>
      </c>
      <c r="L109" s="67" t="e">
        <f t="shared" si="3"/>
        <v>#DIV/0!</v>
      </c>
      <c r="M109" s="67" t="e">
        <f t="shared" si="3"/>
        <v>#DIV/0!</v>
      </c>
      <c r="N109" s="67">
        <f t="shared" si="3"/>
        <v>236.25517292907176</v>
      </c>
      <c r="O109" s="67">
        <f t="shared" si="3"/>
        <v>0</v>
      </c>
      <c r="P109" s="67">
        <f t="shared" si="3"/>
        <v>0.47217831108188568</v>
      </c>
      <c r="Q109" s="67">
        <f t="shared" si="3"/>
        <v>21.189159823718224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>COUNT(M9:M104)+96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9" sqref="L9:M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1300</v>
      </c>
      <c r="B9" s="60">
        <v>36.19</v>
      </c>
      <c r="C9" s="60">
        <v>101.81</v>
      </c>
      <c r="D9" s="60">
        <v>85.21</v>
      </c>
      <c r="E9" s="60">
        <v>5.46</v>
      </c>
      <c r="F9" s="60">
        <v>0.84</v>
      </c>
      <c r="G9" s="60">
        <v>184.07</v>
      </c>
      <c r="H9" s="60">
        <v>62.91</v>
      </c>
      <c r="I9" s="60">
        <v>0.92</v>
      </c>
      <c r="J9" s="60">
        <v>0.1</v>
      </c>
      <c r="K9" s="60">
        <v>343.22</v>
      </c>
      <c r="L9" s="10" t="s">
        <v>42</v>
      </c>
      <c r="M9" s="10" t="s">
        <v>42</v>
      </c>
      <c r="N9" s="60">
        <v>22.9</v>
      </c>
      <c r="O9" s="60">
        <v>0</v>
      </c>
      <c r="P9" s="60">
        <v>1.62</v>
      </c>
      <c r="Q9" s="60">
        <v>186.37</v>
      </c>
      <c r="R9" s="198"/>
      <c r="S9" s="198"/>
      <c r="T9" s="198"/>
      <c r="U9" s="198"/>
    </row>
    <row r="10" spans="1:21" s="12" customFormat="1" x14ac:dyDescent="0.25">
      <c r="A10" s="201" t="s">
        <v>1301</v>
      </c>
      <c r="B10" s="60">
        <v>34.65</v>
      </c>
      <c r="C10" s="60">
        <v>99.12</v>
      </c>
      <c r="D10" s="60">
        <v>82.49</v>
      </c>
      <c r="E10" s="60">
        <v>5.12</v>
      </c>
      <c r="F10" s="60">
        <v>0.73</v>
      </c>
      <c r="G10" s="60">
        <v>184.07</v>
      </c>
      <c r="H10" s="60">
        <v>62.91</v>
      </c>
      <c r="I10" s="60">
        <v>0.92</v>
      </c>
      <c r="J10" s="60">
        <v>0.04</v>
      </c>
      <c r="K10" s="60">
        <v>355.07</v>
      </c>
      <c r="L10" s="10" t="s">
        <v>42</v>
      </c>
      <c r="M10" s="10" t="s">
        <v>42</v>
      </c>
      <c r="N10" s="60">
        <v>22.7</v>
      </c>
      <c r="O10" s="60">
        <v>0</v>
      </c>
      <c r="P10" s="60">
        <v>1.58</v>
      </c>
      <c r="Q10" s="60">
        <v>185.69</v>
      </c>
      <c r="R10" s="198"/>
      <c r="S10" s="198"/>
      <c r="T10" s="198"/>
      <c r="U10" s="198"/>
    </row>
    <row r="11" spans="1:21" s="12" customFormat="1" x14ac:dyDescent="0.25">
      <c r="A11" s="201" t="s">
        <v>1302</v>
      </c>
      <c r="B11" s="60">
        <v>32.99</v>
      </c>
      <c r="C11" s="60">
        <v>95.54</v>
      </c>
      <c r="D11" s="60">
        <v>79.180000000000007</v>
      </c>
      <c r="E11" s="60">
        <v>5.49</v>
      </c>
      <c r="F11" s="60">
        <v>0.42</v>
      </c>
      <c r="G11" s="60">
        <v>184.07</v>
      </c>
      <c r="H11" s="60">
        <v>62.91</v>
      </c>
      <c r="I11" s="60">
        <v>0.92</v>
      </c>
      <c r="J11" s="60">
        <v>0.14000000000000001</v>
      </c>
      <c r="K11" s="60">
        <v>1.1100000000000001</v>
      </c>
      <c r="L11" s="10" t="s">
        <v>42</v>
      </c>
      <c r="M11" s="10" t="s">
        <v>42</v>
      </c>
      <c r="N11" s="60">
        <v>22.5</v>
      </c>
      <c r="O11" s="60">
        <v>0</v>
      </c>
      <c r="P11" s="60">
        <v>1.54</v>
      </c>
      <c r="Q11" s="60">
        <v>182.78</v>
      </c>
      <c r="R11" s="198"/>
      <c r="S11" s="198"/>
      <c r="T11" s="198"/>
      <c r="U11" s="198"/>
    </row>
    <row r="12" spans="1:21" s="12" customFormat="1" x14ac:dyDescent="0.25">
      <c r="A12" s="201" t="s">
        <v>1303</v>
      </c>
      <c r="B12" s="60">
        <v>31.56</v>
      </c>
      <c r="C12" s="60">
        <v>84.36</v>
      </c>
      <c r="D12" s="60">
        <v>71.86</v>
      </c>
      <c r="E12" s="60">
        <v>5.29</v>
      </c>
      <c r="F12" s="60">
        <v>0.65</v>
      </c>
      <c r="G12" s="60">
        <v>183.53</v>
      </c>
      <c r="H12" s="60">
        <v>62.67</v>
      </c>
      <c r="I12" s="60">
        <v>0.91</v>
      </c>
      <c r="J12" s="60">
        <v>0.14000000000000001</v>
      </c>
      <c r="K12" s="60">
        <v>7.22</v>
      </c>
      <c r="L12" s="10" t="s">
        <v>42</v>
      </c>
      <c r="M12" s="10" t="s">
        <v>42</v>
      </c>
      <c r="N12" s="60">
        <v>22.4</v>
      </c>
      <c r="O12" s="60">
        <v>0</v>
      </c>
      <c r="P12" s="60">
        <v>1.52</v>
      </c>
      <c r="Q12" s="60">
        <v>157.09</v>
      </c>
      <c r="R12" s="198"/>
      <c r="S12" s="198"/>
      <c r="T12" s="198"/>
      <c r="U12" s="198"/>
    </row>
    <row r="13" spans="1:21" s="12" customFormat="1" x14ac:dyDescent="0.25">
      <c r="A13" s="201" t="s">
        <v>1304</v>
      </c>
      <c r="B13" s="60">
        <v>29.82</v>
      </c>
      <c r="C13" s="60">
        <v>86.69</v>
      </c>
      <c r="D13" s="60">
        <v>71.760000000000005</v>
      </c>
      <c r="E13" s="60">
        <v>5.48</v>
      </c>
      <c r="F13" s="60">
        <v>0.67</v>
      </c>
      <c r="G13" s="60">
        <v>179.52</v>
      </c>
      <c r="H13" s="60">
        <v>60.27</v>
      </c>
      <c r="I13" s="60">
        <v>0.91</v>
      </c>
      <c r="J13" s="60">
        <v>0.2</v>
      </c>
      <c r="K13" s="60">
        <v>42.28</v>
      </c>
      <c r="L13" s="10" t="s">
        <v>42</v>
      </c>
      <c r="M13" s="10" t="s">
        <v>42</v>
      </c>
      <c r="N13" s="60">
        <v>21.7</v>
      </c>
      <c r="O13" s="60">
        <v>0</v>
      </c>
      <c r="P13" s="60">
        <v>1.36</v>
      </c>
      <c r="Q13" s="60">
        <v>149.58000000000001</v>
      </c>
      <c r="R13" s="198"/>
      <c r="S13" s="198"/>
      <c r="T13" s="198"/>
      <c r="U13" s="198"/>
    </row>
    <row r="14" spans="1:21" s="12" customFormat="1" x14ac:dyDescent="0.25">
      <c r="A14" s="201" t="s">
        <v>1305</v>
      </c>
      <c r="B14" s="60">
        <v>27.76</v>
      </c>
      <c r="C14" s="60">
        <v>86.51</v>
      </c>
      <c r="D14" s="60">
        <v>70</v>
      </c>
      <c r="E14" s="60">
        <v>5.42</v>
      </c>
      <c r="F14" s="60">
        <v>0.61</v>
      </c>
      <c r="G14" s="60">
        <v>179.52</v>
      </c>
      <c r="H14" s="60">
        <v>60.27</v>
      </c>
      <c r="I14" s="60">
        <v>0.9</v>
      </c>
      <c r="J14" s="60">
        <v>0.47</v>
      </c>
      <c r="K14" s="60">
        <v>28.88</v>
      </c>
      <c r="L14" s="10" t="s">
        <v>42</v>
      </c>
      <c r="M14" s="10" t="s">
        <v>42</v>
      </c>
      <c r="N14" s="60">
        <v>21.3</v>
      </c>
      <c r="O14" s="60">
        <v>0</v>
      </c>
      <c r="P14" s="60">
        <v>1.39</v>
      </c>
      <c r="Q14" s="60">
        <v>147.22</v>
      </c>
      <c r="R14" s="198"/>
      <c r="S14" s="198"/>
      <c r="T14" s="198"/>
      <c r="U14" s="198"/>
    </row>
    <row r="15" spans="1:21" s="12" customFormat="1" x14ac:dyDescent="0.25">
      <c r="A15" s="201" t="s">
        <v>1306</v>
      </c>
      <c r="B15" s="60">
        <v>25.78</v>
      </c>
      <c r="C15" s="60">
        <v>85.63</v>
      </c>
      <c r="D15" s="60">
        <v>67.930000000000007</v>
      </c>
      <c r="E15" s="60">
        <v>5.03</v>
      </c>
      <c r="F15" s="60">
        <v>0.18</v>
      </c>
      <c r="G15" s="60">
        <v>179.52</v>
      </c>
      <c r="H15" s="60">
        <v>60.27</v>
      </c>
      <c r="I15" s="60">
        <v>0.87</v>
      </c>
      <c r="J15" s="60">
        <v>0.8</v>
      </c>
      <c r="K15" s="60">
        <v>35.99</v>
      </c>
      <c r="L15" s="10" t="s">
        <v>42</v>
      </c>
      <c r="M15" s="10" t="s">
        <v>42</v>
      </c>
      <c r="N15" s="60">
        <v>21.3</v>
      </c>
      <c r="O15" s="60">
        <v>0</v>
      </c>
      <c r="P15" s="60">
        <v>1.36</v>
      </c>
      <c r="Q15" s="60">
        <v>146.27000000000001</v>
      </c>
      <c r="R15" s="198"/>
      <c r="S15" s="198"/>
      <c r="T15" s="198"/>
      <c r="U15" s="198"/>
    </row>
    <row r="16" spans="1:21" s="12" customFormat="1" x14ac:dyDescent="0.25">
      <c r="A16" s="201" t="s">
        <v>1307</v>
      </c>
      <c r="B16" s="60">
        <v>23.86</v>
      </c>
      <c r="C16" s="60">
        <v>80.88</v>
      </c>
      <c r="D16" s="60">
        <v>63.77</v>
      </c>
      <c r="E16" s="60">
        <v>5.1100000000000003</v>
      </c>
      <c r="F16" s="60">
        <v>0.57999999999999996</v>
      </c>
      <c r="G16" s="60">
        <v>179.35</v>
      </c>
      <c r="H16" s="60">
        <v>60.57</v>
      </c>
      <c r="I16" s="60">
        <v>0.85</v>
      </c>
      <c r="J16" s="60">
        <v>0.33</v>
      </c>
      <c r="K16" s="60">
        <v>18.41</v>
      </c>
      <c r="L16" s="10" t="s">
        <v>42</v>
      </c>
      <c r="M16" s="10" t="s">
        <v>42</v>
      </c>
      <c r="N16" s="60">
        <v>22.3</v>
      </c>
      <c r="O16" s="60">
        <v>0</v>
      </c>
      <c r="P16" s="60">
        <v>1.36</v>
      </c>
      <c r="Q16" s="60">
        <v>134.88999999999999</v>
      </c>
      <c r="R16" s="198"/>
      <c r="S16" s="198"/>
      <c r="T16" s="198"/>
      <c r="U16" s="198"/>
    </row>
    <row r="17" spans="1:21" s="12" customFormat="1" x14ac:dyDescent="0.25">
      <c r="A17" s="201" t="s">
        <v>1308</v>
      </c>
      <c r="B17" s="60">
        <v>22.38</v>
      </c>
      <c r="C17" s="60">
        <v>81.44</v>
      </c>
      <c r="D17" s="60">
        <v>62.9</v>
      </c>
      <c r="E17" s="60">
        <v>5.03</v>
      </c>
      <c r="F17" s="60">
        <v>1.1299999999999999</v>
      </c>
      <c r="G17" s="60">
        <v>177.89</v>
      </c>
      <c r="H17" s="60">
        <v>63.65</v>
      </c>
      <c r="I17" s="60">
        <v>0.83</v>
      </c>
      <c r="J17" s="60">
        <v>0.17</v>
      </c>
      <c r="K17" s="60">
        <v>73.41</v>
      </c>
      <c r="L17" s="10" t="s">
        <v>42</v>
      </c>
      <c r="M17" s="10" t="s">
        <v>42</v>
      </c>
      <c r="N17" s="60">
        <v>22.1</v>
      </c>
      <c r="O17" s="60">
        <v>0</v>
      </c>
      <c r="P17" s="60">
        <v>1.37</v>
      </c>
      <c r="Q17" s="60">
        <v>134.31</v>
      </c>
      <c r="R17" s="198"/>
      <c r="S17" s="198"/>
      <c r="T17" s="198"/>
      <c r="U17" s="198"/>
    </row>
    <row r="18" spans="1:21" s="12" customFormat="1" x14ac:dyDescent="0.25">
      <c r="A18" s="201" t="s">
        <v>1309</v>
      </c>
      <c r="B18" s="60">
        <v>21.17</v>
      </c>
      <c r="C18" s="60">
        <v>79.069999999999993</v>
      </c>
      <c r="D18" s="60">
        <v>60.62</v>
      </c>
      <c r="E18" s="60">
        <v>5.31</v>
      </c>
      <c r="F18" s="60">
        <v>0.74</v>
      </c>
      <c r="G18" s="60">
        <v>177.89</v>
      </c>
      <c r="H18" s="60">
        <v>63.65</v>
      </c>
      <c r="I18" s="60">
        <v>0.8</v>
      </c>
      <c r="J18" s="60">
        <v>0.56000000000000005</v>
      </c>
      <c r="K18" s="60">
        <v>35.49</v>
      </c>
      <c r="L18" s="10" t="s">
        <v>42</v>
      </c>
      <c r="M18" s="10" t="s">
        <v>42</v>
      </c>
      <c r="N18" s="60">
        <v>21.7</v>
      </c>
      <c r="O18" s="60">
        <v>0</v>
      </c>
      <c r="P18" s="60">
        <v>1.4</v>
      </c>
      <c r="Q18" s="60">
        <v>133.97</v>
      </c>
      <c r="R18" s="198"/>
      <c r="S18" s="198"/>
      <c r="T18" s="198"/>
      <c r="U18" s="198"/>
    </row>
    <row r="19" spans="1:21" s="12" customFormat="1" x14ac:dyDescent="0.25">
      <c r="A19" s="201" t="s">
        <v>1310</v>
      </c>
      <c r="B19" s="60">
        <v>20.13</v>
      </c>
      <c r="C19" s="60">
        <v>80.400000000000006</v>
      </c>
      <c r="D19" s="60">
        <v>60.52</v>
      </c>
      <c r="E19" s="60">
        <v>5.78</v>
      </c>
      <c r="F19" s="60">
        <v>0.19</v>
      </c>
      <c r="G19" s="60">
        <v>177.89</v>
      </c>
      <c r="H19" s="60">
        <v>63.65</v>
      </c>
      <c r="I19" s="60">
        <v>0.8</v>
      </c>
      <c r="J19" s="60">
        <v>0.27</v>
      </c>
      <c r="K19" s="60">
        <v>79.319999999999993</v>
      </c>
      <c r="L19" s="10" t="s">
        <v>42</v>
      </c>
      <c r="M19" s="10" t="s">
        <v>42</v>
      </c>
      <c r="N19" s="60">
        <v>22.2</v>
      </c>
      <c r="O19" s="60">
        <v>0</v>
      </c>
      <c r="P19" s="60">
        <v>1.43</v>
      </c>
      <c r="Q19" s="60">
        <v>140.77000000000001</v>
      </c>
      <c r="R19" s="198"/>
      <c r="S19" s="198"/>
      <c r="T19" s="198"/>
      <c r="U19" s="198"/>
    </row>
    <row r="20" spans="1:21" s="12" customFormat="1" x14ac:dyDescent="0.25">
      <c r="A20" s="201" t="s">
        <v>1311</v>
      </c>
      <c r="B20" s="60">
        <v>19.899999999999999</v>
      </c>
      <c r="C20" s="60">
        <v>82.54</v>
      </c>
      <c r="D20" s="60">
        <v>61.51</v>
      </c>
      <c r="E20" s="60">
        <v>5.27</v>
      </c>
      <c r="F20" s="60">
        <v>0.52</v>
      </c>
      <c r="G20" s="60">
        <v>182.82</v>
      </c>
      <c r="H20" s="60">
        <v>65.13</v>
      </c>
      <c r="I20" s="60">
        <v>0.83</v>
      </c>
      <c r="J20" s="60">
        <v>0.2</v>
      </c>
      <c r="K20" s="60">
        <v>62.08</v>
      </c>
      <c r="L20" s="10" t="s">
        <v>42</v>
      </c>
      <c r="M20" s="10" t="s">
        <v>42</v>
      </c>
      <c r="N20" s="60">
        <v>22.1</v>
      </c>
      <c r="O20" s="60">
        <v>0</v>
      </c>
      <c r="P20" s="60">
        <v>1.42</v>
      </c>
      <c r="Q20" s="60">
        <v>148.12</v>
      </c>
      <c r="R20" s="198"/>
      <c r="S20" s="198"/>
      <c r="T20" s="198"/>
      <c r="U20" s="198"/>
    </row>
    <row r="21" spans="1:21" s="12" customFormat="1" x14ac:dyDescent="0.25">
      <c r="A21" s="201" t="s">
        <v>1312</v>
      </c>
      <c r="B21" s="60">
        <v>19.3</v>
      </c>
      <c r="C21" s="60">
        <v>80.930000000000007</v>
      </c>
      <c r="D21" s="60">
        <v>60.14</v>
      </c>
      <c r="E21" s="60">
        <v>5.41</v>
      </c>
      <c r="F21" s="60">
        <v>1.17</v>
      </c>
      <c r="G21" s="60">
        <v>224.39</v>
      </c>
      <c r="H21" s="60">
        <v>80.34</v>
      </c>
      <c r="I21" s="60">
        <v>0.77</v>
      </c>
      <c r="J21" s="60">
        <v>0.3</v>
      </c>
      <c r="K21" s="60">
        <v>86.19</v>
      </c>
      <c r="L21" s="10" t="s">
        <v>42</v>
      </c>
      <c r="M21" s="10" t="s">
        <v>42</v>
      </c>
      <c r="N21" s="60">
        <v>22</v>
      </c>
      <c r="O21" s="60">
        <v>0</v>
      </c>
      <c r="P21" s="60">
        <v>1.4</v>
      </c>
      <c r="Q21" s="60">
        <v>146.32</v>
      </c>
      <c r="R21" s="198"/>
      <c r="S21" s="198"/>
      <c r="T21" s="198"/>
      <c r="U21" s="198"/>
    </row>
    <row r="22" spans="1:21" s="12" customFormat="1" x14ac:dyDescent="0.25">
      <c r="A22" s="201" t="s">
        <v>1313</v>
      </c>
      <c r="B22" s="60">
        <v>18.09</v>
      </c>
      <c r="C22" s="60">
        <v>78.5</v>
      </c>
      <c r="D22" s="60">
        <v>57.83</v>
      </c>
      <c r="E22" s="60">
        <v>5.16</v>
      </c>
      <c r="F22" s="60">
        <v>0.72</v>
      </c>
      <c r="G22" s="60">
        <v>224.39</v>
      </c>
      <c r="H22" s="60">
        <v>80.34</v>
      </c>
      <c r="I22" s="60">
        <v>0.76</v>
      </c>
      <c r="J22" s="60">
        <v>0.17</v>
      </c>
      <c r="K22" s="60">
        <v>79.98</v>
      </c>
      <c r="L22" s="10" t="s">
        <v>42</v>
      </c>
      <c r="M22" s="10" t="s">
        <v>42</v>
      </c>
      <c r="N22" s="60">
        <v>22.2</v>
      </c>
      <c r="O22" s="60">
        <v>0</v>
      </c>
      <c r="P22" s="60">
        <v>1.37</v>
      </c>
      <c r="Q22" s="60">
        <v>148.27000000000001</v>
      </c>
      <c r="R22" s="198"/>
      <c r="S22" s="198"/>
      <c r="T22" s="198"/>
      <c r="U22" s="198"/>
    </row>
    <row r="23" spans="1:21" s="12" customFormat="1" x14ac:dyDescent="0.25">
      <c r="A23" s="201" t="s">
        <v>1314</v>
      </c>
      <c r="B23" s="60">
        <v>16.84</v>
      </c>
      <c r="C23" s="60">
        <v>76.540000000000006</v>
      </c>
      <c r="D23" s="60">
        <v>55.75</v>
      </c>
      <c r="E23" s="60">
        <v>5.52</v>
      </c>
      <c r="F23" s="60">
        <v>0.17</v>
      </c>
      <c r="G23" s="60">
        <v>224.39</v>
      </c>
      <c r="H23" s="60">
        <v>80.34</v>
      </c>
      <c r="I23" s="60">
        <v>0.77</v>
      </c>
      <c r="J23" s="60">
        <v>0.23</v>
      </c>
      <c r="K23" s="60">
        <v>79.8</v>
      </c>
      <c r="L23" s="10" t="s">
        <v>42</v>
      </c>
      <c r="M23" s="10" t="s">
        <v>42</v>
      </c>
      <c r="N23" s="60">
        <v>21.9</v>
      </c>
      <c r="O23" s="60">
        <v>0</v>
      </c>
      <c r="P23" s="60">
        <v>1.33</v>
      </c>
      <c r="Q23" s="60">
        <v>150.55000000000001</v>
      </c>
      <c r="R23" s="198"/>
      <c r="S23" s="198"/>
      <c r="T23" s="198"/>
      <c r="U23" s="198"/>
    </row>
    <row r="24" spans="1:21" s="12" customFormat="1" x14ac:dyDescent="0.25">
      <c r="A24" s="201" t="s">
        <v>1315</v>
      </c>
      <c r="B24" s="60">
        <v>15.69</v>
      </c>
      <c r="C24" s="60">
        <v>74.86</v>
      </c>
      <c r="D24" s="60">
        <v>53.9</v>
      </c>
      <c r="E24" s="60">
        <v>2.81</v>
      </c>
      <c r="F24" s="60">
        <v>0.44</v>
      </c>
      <c r="G24" s="60">
        <v>220.67</v>
      </c>
      <c r="H24" s="60">
        <v>80.06</v>
      </c>
      <c r="I24" s="60">
        <v>0.77</v>
      </c>
      <c r="J24" s="60">
        <v>0.15</v>
      </c>
      <c r="K24" s="60">
        <v>47.25</v>
      </c>
      <c r="L24" s="10" t="s">
        <v>42</v>
      </c>
      <c r="M24" s="10" t="s">
        <v>42</v>
      </c>
      <c r="N24" s="60">
        <v>22</v>
      </c>
      <c r="O24" s="60">
        <v>0</v>
      </c>
      <c r="P24" s="60">
        <v>1.3</v>
      </c>
      <c r="Q24" s="60">
        <v>150.94999999999999</v>
      </c>
      <c r="R24" s="198"/>
      <c r="S24" s="198"/>
      <c r="T24" s="198"/>
      <c r="U24" s="198"/>
    </row>
    <row r="25" spans="1:21" s="12" customFormat="1" x14ac:dyDescent="0.25">
      <c r="A25" s="201" t="s">
        <v>1316</v>
      </c>
      <c r="B25" s="60">
        <v>14.71</v>
      </c>
      <c r="C25" s="60">
        <v>73.97</v>
      </c>
      <c r="D25" s="60">
        <v>52.62</v>
      </c>
      <c r="E25" s="60">
        <v>4.95</v>
      </c>
      <c r="F25" s="60">
        <v>0.44</v>
      </c>
      <c r="G25" s="60">
        <v>189.34</v>
      </c>
      <c r="H25" s="60">
        <v>77.150000000000006</v>
      </c>
      <c r="I25" s="60">
        <v>0.77</v>
      </c>
      <c r="J25" s="60">
        <v>0.24</v>
      </c>
      <c r="K25" s="60">
        <v>80.25</v>
      </c>
      <c r="L25" s="10" t="s">
        <v>42</v>
      </c>
      <c r="M25" s="10" t="s">
        <v>42</v>
      </c>
      <c r="N25" s="60">
        <v>21.9</v>
      </c>
      <c r="O25" s="60">
        <v>0</v>
      </c>
      <c r="P25" s="60">
        <v>1.27</v>
      </c>
      <c r="Q25" s="60">
        <v>150.12</v>
      </c>
      <c r="R25" s="198"/>
      <c r="S25" s="198"/>
      <c r="T25" s="198"/>
      <c r="U25" s="198"/>
    </row>
    <row r="26" spans="1:21" s="12" customFormat="1" x14ac:dyDescent="0.25">
      <c r="A26" s="201" t="s">
        <v>1317</v>
      </c>
      <c r="B26" s="60">
        <v>13.89</v>
      </c>
      <c r="C26" s="60">
        <v>67.63</v>
      </c>
      <c r="D26" s="60">
        <v>48.46</v>
      </c>
      <c r="E26" s="60">
        <v>5.0199999999999996</v>
      </c>
      <c r="F26" s="60">
        <v>1.5</v>
      </c>
      <c r="G26" s="60">
        <v>189.34</v>
      </c>
      <c r="H26" s="60">
        <v>77.150000000000006</v>
      </c>
      <c r="I26" s="60">
        <v>0.76</v>
      </c>
      <c r="J26" s="60">
        <v>0.26</v>
      </c>
      <c r="K26" s="60">
        <v>66.650000000000006</v>
      </c>
      <c r="L26" s="10" t="s">
        <v>42</v>
      </c>
      <c r="M26" s="10" t="s">
        <v>42</v>
      </c>
      <c r="N26" s="60">
        <v>22</v>
      </c>
      <c r="O26" s="60">
        <v>0</v>
      </c>
      <c r="P26" s="60">
        <v>1.24</v>
      </c>
      <c r="Q26" s="60">
        <v>139.38</v>
      </c>
      <c r="R26" s="198"/>
      <c r="S26" s="198"/>
      <c r="T26" s="198"/>
      <c r="U26" s="198"/>
    </row>
    <row r="27" spans="1:21" s="12" customFormat="1" x14ac:dyDescent="0.25">
      <c r="A27" s="201" t="s">
        <v>1318</v>
      </c>
      <c r="B27" s="60">
        <v>13.12</v>
      </c>
      <c r="C27" s="60">
        <v>63.02</v>
      </c>
      <c r="D27" s="60">
        <v>45.3</v>
      </c>
      <c r="E27" s="60">
        <v>4.5999999999999996</v>
      </c>
      <c r="F27" s="60">
        <v>1.1399999999999999</v>
      </c>
      <c r="G27" s="60">
        <v>189.34</v>
      </c>
      <c r="H27" s="60">
        <v>77.150000000000006</v>
      </c>
      <c r="I27" s="60">
        <v>0.78</v>
      </c>
      <c r="J27" s="60">
        <v>0.36</v>
      </c>
      <c r="K27" s="60">
        <v>30.83</v>
      </c>
      <c r="L27" s="10" t="s">
        <v>42</v>
      </c>
      <c r="M27" s="10" t="s">
        <v>42</v>
      </c>
      <c r="N27" s="60">
        <v>21.9</v>
      </c>
      <c r="O27" s="60">
        <v>0</v>
      </c>
      <c r="P27" s="60">
        <v>1.25</v>
      </c>
      <c r="Q27" s="60">
        <v>123.44</v>
      </c>
      <c r="R27" s="198"/>
      <c r="S27" s="198"/>
      <c r="T27" s="198"/>
      <c r="U27" s="198"/>
    </row>
    <row r="28" spans="1:21" s="12" customFormat="1" x14ac:dyDescent="0.25">
      <c r="A28" s="201" t="s">
        <v>1319</v>
      </c>
      <c r="B28" s="60">
        <v>12.52</v>
      </c>
      <c r="C28" s="60">
        <v>70.010000000000005</v>
      </c>
      <c r="D28" s="60">
        <v>48.68</v>
      </c>
      <c r="E28" s="60">
        <v>4.74</v>
      </c>
      <c r="F28" s="60">
        <v>0.85</v>
      </c>
      <c r="G28" s="60">
        <v>189.99</v>
      </c>
      <c r="H28" s="60">
        <v>77.239999999999995</v>
      </c>
      <c r="I28" s="60">
        <v>0.74</v>
      </c>
      <c r="J28" s="60">
        <v>0.22</v>
      </c>
      <c r="K28" s="60">
        <v>36.96</v>
      </c>
      <c r="L28" s="10" t="s">
        <v>42</v>
      </c>
      <c r="M28" s="10" t="s">
        <v>42</v>
      </c>
      <c r="N28" s="60">
        <v>22</v>
      </c>
      <c r="O28" s="60">
        <v>0</v>
      </c>
      <c r="P28" s="60">
        <v>1.25</v>
      </c>
      <c r="Q28" s="60">
        <v>123.33</v>
      </c>
      <c r="R28" s="198"/>
      <c r="S28" s="198"/>
      <c r="T28" s="198"/>
      <c r="U28" s="198"/>
    </row>
    <row r="29" spans="1:21" s="12" customFormat="1" x14ac:dyDescent="0.25">
      <c r="A29" s="201" t="s">
        <v>1320</v>
      </c>
      <c r="B29" s="60">
        <v>11.87</v>
      </c>
      <c r="C29" s="60">
        <v>71.42</v>
      </c>
      <c r="D29" s="60">
        <v>48.94</v>
      </c>
      <c r="E29" s="60">
        <v>4.9000000000000004</v>
      </c>
      <c r="F29" s="60">
        <v>0.2</v>
      </c>
      <c r="G29" s="60">
        <v>195.4</v>
      </c>
      <c r="H29" s="60">
        <v>78.14</v>
      </c>
      <c r="I29" s="60">
        <v>0.74</v>
      </c>
      <c r="J29" s="60">
        <v>0.16</v>
      </c>
      <c r="K29" s="60">
        <v>64.760000000000005</v>
      </c>
      <c r="L29" s="10" t="s">
        <v>42</v>
      </c>
      <c r="M29" s="10" t="s">
        <v>42</v>
      </c>
      <c r="N29" s="60">
        <v>22.1</v>
      </c>
      <c r="O29" s="60">
        <v>0</v>
      </c>
      <c r="P29" s="60">
        <v>1.24</v>
      </c>
      <c r="Q29" s="60">
        <v>122.42</v>
      </c>
      <c r="R29" s="198"/>
      <c r="S29" s="198"/>
      <c r="T29" s="198"/>
      <c r="U29" s="198"/>
    </row>
    <row r="30" spans="1:21" s="12" customFormat="1" x14ac:dyDescent="0.25">
      <c r="A30" s="201" t="s">
        <v>1321</v>
      </c>
      <c r="B30" s="60">
        <v>11.48</v>
      </c>
      <c r="C30" s="60">
        <v>69.569999999999993</v>
      </c>
      <c r="D30" s="60">
        <v>47.6</v>
      </c>
      <c r="E30" s="60">
        <v>4.5</v>
      </c>
      <c r="F30" s="60">
        <v>0.72</v>
      </c>
      <c r="G30" s="60">
        <v>195.4</v>
      </c>
      <c r="H30" s="60">
        <v>78.14</v>
      </c>
      <c r="I30" s="60">
        <v>0.72</v>
      </c>
      <c r="J30" s="60">
        <v>0.48</v>
      </c>
      <c r="K30" s="60">
        <v>29.86</v>
      </c>
      <c r="L30" s="10" t="s">
        <v>42</v>
      </c>
      <c r="M30" s="10" t="s">
        <v>42</v>
      </c>
      <c r="N30" s="60">
        <v>21.7</v>
      </c>
      <c r="O30" s="60">
        <v>0</v>
      </c>
      <c r="P30" s="60">
        <v>1.23</v>
      </c>
      <c r="Q30" s="60">
        <v>120.95</v>
      </c>
      <c r="R30" s="198"/>
      <c r="S30" s="198"/>
      <c r="T30" s="198"/>
      <c r="U30" s="198"/>
    </row>
    <row r="31" spans="1:21" s="12" customFormat="1" x14ac:dyDescent="0.25">
      <c r="A31" s="201" t="s">
        <v>1322</v>
      </c>
      <c r="B31" s="60">
        <v>11.32</v>
      </c>
      <c r="C31" s="60">
        <v>71.02</v>
      </c>
      <c r="D31" s="60">
        <v>48.27</v>
      </c>
      <c r="E31" s="60">
        <v>4.5</v>
      </c>
      <c r="F31" s="60">
        <v>0.81</v>
      </c>
      <c r="G31" s="60">
        <v>195.4</v>
      </c>
      <c r="H31" s="60">
        <v>78.14</v>
      </c>
      <c r="I31" s="60">
        <v>0.7</v>
      </c>
      <c r="J31" s="60">
        <v>0.92</v>
      </c>
      <c r="K31" s="60">
        <v>38.5</v>
      </c>
      <c r="L31" s="10" t="s">
        <v>42</v>
      </c>
      <c r="M31" s="10" t="s">
        <v>42</v>
      </c>
      <c r="N31" s="60">
        <v>21.4</v>
      </c>
      <c r="O31" s="60">
        <v>0</v>
      </c>
      <c r="P31" s="60">
        <v>1.21</v>
      </c>
      <c r="Q31" s="60">
        <v>119.5</v>
      </c>
      <c r="R31" s="198"/>
      <c r="S31" s="198"/>
      <c r="T31" s="198"/>
      <c r="U31" s="198"/>
    </row>
    <row r="32" spans="1:21" s="12" customFormat="1" x14ac:dyDescent="0.25">
      <c r="A32" s="201" t="s">
        <v>1323</v>
      </c>
      <c r="B32" s="60">
        <v>11.01</v>
      </c>
      <c r="C32" s="60">
        <v>71.59</v>
      </c>
      <c r="D32" s="60">
        <v>48.34</v>
      </c>
      <c r="E32" s="60">
        <v>4.57</v>
      </c>
      <c r="F32" s="60">
        <v>0.76</v>
      </c>
      <c r="G32" s="60">
        <v>194.92</v>
      </c>
      <c r="H32" s="60">
        <v>78.08</v>
      </c>
      <c r="I32" s="60">
        <v>0.69</v>
      </c>
      <c r="J32" s="60">
        <v>0.84</v>
      </c>
      <c r="K32" s="60">
        <v>38.090000000000003</v>
      </c>
      <c r="L32" s="10" t="s">
        <v>42</v>
      </c>
      <c r="M32" s="10" t="s">
        <v>42</v>
      </c>
      <c r="N32" s="60">
        <v>22.3</v>
      </c>
      <c r="O32" s="60">
        <v>0</v>
      </c>
      <c r="P32" s="60">
        <v>1.2</v>
      </c>
      <c r="Q32" s="60">
        <v>115.12</v>
      </c>
      <c r="R32" s="198"/>
      <c r="S32" s="198"/>
      <c r="T32" s="198"/>
      <c r="U32" s="198"/>
    </row>
    <row r="33" spans="1:21" s="12" customFormat="1" x14ac:dyDescent="0.25">
      <c r="A33" s="201" t="s">
        <v>1324</v>
      </c>
      <c r="B33" s="60">
        <v>11.02</v>
      </c>
      <c r="C33" s="60">
        <v>76.319999999999993</v>
      </c>
      <c r="D33" s="60">
        <v>50.95</v>
      </c>
      <c r="E33" s="60">
        <v>5.28</v>
      </c>
      <c r="F33" s="60">
        <v>0.35</v>
      </c>
      <c r="G33" s="60">
        <v>190.89</v>
      </c>
      <c r="H33" s="60">
        <v>77.48</v>
      </c>
      <c r="I33" s="60">
        <v>0.7</v>
      </c>
      <c r="J33" s="60">
        <v>0.36</v>
      </c>
      <c r="K33" s="60">
        <v>49.11</v>
      </c>
      <c r="L33" s="10" t="s">
        <v>42</v>
      </c>
      <c r="M33" s="10" t="s">
        <v>42</v>
      </c>
      <c r="N33" s="60">
        <v>25.6</v>
      </c>
      <c r="O33" s="60">
        <v>0</v>
      </c>
      <c r="P33" s="60">
        <v>1.2</v>
      </c>
      <c r="Q33" s="60">
        <v>125.64</v>
      </c>
      <c r="R33" s="198"/>
      <c r="S33" s="198"/>
      <c r="T33" s="198"/>
      <c r="U33" s="198"/>
    </row>
    <row r="34" spans="1:21" s="12" customFormat="1" x14ac:dyDescent="0.25">
      <c r="A34" s="201" t="s">
        <v>1325</v>
      </c>
      <c r="B34" s="60">
        <v>12.11</v>
      </c>
      <c r="C34" s="60">
        <v>77.849999999999994</v>
      </c>
      <c r="D34" s="60">
        <v>52.67</v>
      </c>
      <c r="E34" s="60">
        <v>4.96</v>
      </c>
      <c r="F34" s="60">
        <v>0.54</v>
      </c>
      <c r="G34" s="60">
        <v>190.89</v>
      </c>
      <c r="H34" s="60">
        <v>77.48</v>
      </c>
      <c r="I34" s="60">
        <v>0.65</v>
      </c>
      <c r="J34" s="60">
        <v>0.98</v>
      </c>
      <c r="K34" s="60">
        <v>32.85</v>
      </c>
      <c r="L34" s="10" t="s">
        <v>42</v>
      </c>
      <c r="M34" s="10" t="s">
        <v>42</v>
      </c>
      <c r="N34" s="60">
        <v>34.6</v>
      </c>
      <c r="O34" s="60">
        <v>0</v>
      </c>
      <c r="P34" s="60">
        <v>1.21</v>
      </c>
      <c r="Q34" s="60">
        <v>134.37</v>
      </c>
      <c r="R34" s="198"/>
      <c r="S34" s="198"/>
      <c r="T34" s="198"/>
      <c r="U34" s="198"/>
    </row>
    <row r="35" spans="1:21" s="12" customFormat="1" x14ac:dyDescent="0.25">
      <c r="A35" s="201" t="s">
        <v>1326</v>
      </c>
      <c r="B35" s="60">
        <v>13.44</v>
      </c>
      <c r="C35" s="60">
        <v>80.430000000000007</v>
      </c>
      <c r="D35" s="60">
        <v>55.16</v>
      </c>
      <c r="E35" s="60">
        <v>4.9400000000000004</v>
      </c>
      <c r="F35" s="60">
        <v>0.54</v>
      </c>
      <c r="G35" s="60">
        <v>190.89</v>
      </c>
      <c r="H35" s="60">
        <v>77.48</v>
      </c>
      <c r="I35" s="60">
        <v>0.69</v>
      </c>
      <c r="J35" s="60">
        <v>0.97</v>
      </c>
      <c r="K35" s="60">
        <v>30.47</v>
      </c>
      <c r="L35" s="10" t="s">
        <v>42</v>
      </c>
      <c r="M35" s="10" t="s">
        <v>42</v>
      </c>
      <c r="N35" s="60">
        <v>50.2</v>
      </c>
      <c r="O35" s="60">
        <v>0</v>
      </c>
      <c r="P35" s="60">
        <v>1.26</v>
      </c>
      <c r="Q35" s="60">
        <v>139.84</v>
      </c>
      <c r="R35" s="198"/>
      <c r="S35" s="198"/>
      <c r="T35" s="198"/>
      <c r="U35" s="198"/>
    </row>
    <row r="36" spans="1:21" s="12" customFormat="1" x14ac:dyDescent="0.25">
      <c r="A36" s="201" t="s">
        <v>1327</v>
      </c>
      <c r="B36" s="60">
        <v>15.03</v>
      </c>
      <c r="C36" s="60">
        <v>82.37</v>
      </c>
      <c r="D36" s="60">
        <v>57.51</v>
      </c>
      <c r="E36" s="60">
        <v>5.35</v>
      </c>
      <c r="F36" s="60">
        <v>0.52</v>
      </c>
      <c r="G36" s="60">
        <v>193.75</v>
      </c>
      <c r="H36" s="60">
        <v>78.400000000000006</v>
      </c>
      <c r="I36" s="60">
        <v>0.69</v>
      </c>
      <c r="J36" s="60">
        <v>0.94</v>
      </c>
      <c r="K36" s="60">
        <v>32.770000000000003</v>
      </c>
      <c r="L36" s="10" t="s">
        <v>42</v>
      </c>
      <c r="M36" s="10" t="s">
        <v>42</v>
      </c>
      <c r="N36" s="60">
        <v>70.5</v>
      </c>
      <c r="O36" s="60">
        <v>0</v>
      </c>
      <c r="P36" s="60">
        <v>1.32</v>
      </c>
      <c r="Q36" s="60">
        <v>144.12</v>
      </c>
      <c r="R36" s="198"/>
      <c r="S36" s="198"/>
      <c r="T36" s="198"/>
      <c r="U36" s="198"/>
    </row>
    <row r="37" spans="1:21" s="12" customFormat="1" x14ac:dyDescent="0.25">
      <c r="A37" s="201" t="s">
        <v>1328</v>
      </c>
      <c r="B37" s="60">
        <v>17.559999999999999</v>
      </c>
      <c r="C37" s="60">
        <v>85.94</v>
      </c>
      <c r="D37" s="60">
        <v>61.5</v>
      </c>
      <c r="E37" s="60">
        <v>5.21</v>
      </c>
      <c r="F37" s="60">
        <v>0.51</v>
      </c>
      <c r="G37" s="60">
        <v>217.82</v>
      </c>
      <c r="H37" s="60">
        <v>87.91</v>
      </c>
      <c r="I37" s="60">
        <v>0.7</v>
      </c>
      <c r="J37" s="60">
        <v>0.83</v>
      </c>
      <c r="K37" s="60">
        <v>34.909999999999997</v>
      </c>
      <c r="L37" s="10" t="s">
        <v>42</v>
      </c>
      <c r="M37" s="10" t="s">
        <v>42</v>
      </c>
      <c r="N37" s="60">
        <v>103.3</v>
      </c>
      <c r="O37" s="60">
        <v>0</v>
      </c>
      <c r="P37" s="60">
        <v>1.37</v>
      </c>
      <c r="Q37" s="60">
        <v>143.86000000000001</v>
      </c>
      <c r="R37" s="198"/>
      <c r="S37" s="198"/>
      <c r="T37" s="198"/>
      <c r="U37" s="198"/>
    </row>
    <row r="38" spans="1:21" s="12" customFormat="1" x14ac:dyDescent="0.25">
      <c r="A38" s="201" t="s">
        <v>1329</v>
      </c>
      <c r="B38" s="60">
        <v>20.67</v>
      </c>
      <c r="C38" s="60">
        <v>89.42</v>
      </c>
      <c r="D38" s="60">
        <v>65.930000000000007</v>
      </c>
      <c r="E38" s="60">
        <v>5.85</v>
      </c>
      <c r="F38" s="60">
        <v>0.49</v>
      </c>
      <c r="G38" s="60">
        <v>217.82</v>
      </c>
      <c r="H38" s="60">
        <v>87.91</v>
      </c>
      <c r="I38" s="60">
        <v>0.69</v>
      </c>
      <c r="J38" s="60">
        <v>0.71</v>
      </c>
      <c r="K38" s="60">
        <v>35.28</v>
      </c>
      <c r="L38" s="10" t="s">
        <v>42</v>
      </c>
      <c r="M38" s="10" t="s">
        <v>42</v>
      </c>
      <c r="N38" s="60">
        <v>157.6</v>
      </c>
      <c r="O38" s="60">
        <v>0</v>
      </c>
      <c r="P38" s="60">
        <v>1.47</v>
      </c>
      <c r="Q38" s="60">
        <v>149.28</v>
      </c>
      <c r="R38" s="198"/>
      <c r="S38" s="198"/>
      <c r="T38" s="198"/>
      <c r="U38" s="198"/>
    </row>
    <row r="39" spans="1:21" s="12" customFormat="1" x14ac:dyDescent="0.25">
      <c r="A39" s="201" t="s">
        <v>1330</v>
      </c>
      <c r="B39" s="60">
        <v>23.66</v>
      </c>
      <c r="C39" s="60">
        <v>91.95</v>
      </c>
      <c r="D39" s="60">
        <v>69.709999999999994</v>
      </c>
      <c r="E39" s="60">
        <v>6.52</v>
      </c>
      <c r="F39" s="60">
        <v>0.45</v>
      </c>
      <c r="G39" s="60">
        <v>217.82</v>
      </c>
      <c r="H39" s="60">
        <v>87.91</v>
      </c>
      <c r="I39" s="60">
        <v>0.7</v>
      </c>
      <c r="J39" s="60">
        <v>1.04</v>
      </c>
      <c r="K39" s="60">
        <v>37.659999999999997</v>
      </c>
      <c r="L39" s="10" t="s">
        <v>42</v>
      </c>
      <c r="M39" s="10" t="s">
        <v>42</v>
      </c>
      <c r="N39" s="60">
        <v>201.5</v>
      </c>
      <c r="O39" s="60">
        <v>0</v>
      </c>
      <c r="P39" s="60">
        <v>1.55</v>
      </c>
      <c r="Q39" s="60">
        <v>156.47</v>
      </c>
      <c r="R39" s="198"/>
      <c r="S39" s="198"/>
      <c r="T39" s="198"/>
      <c r="U39" s="198"/>
    </row>
    <row r="40" spans="1:21" s="12" customFormat="1" x14ac:dyDescent="0.25">
      <c r="A40" s="201" t="s">
        <v>1331</v>
      </c>
      <c r="B40" s="60">
        <v>24.82</v>
      </c>
      <c r="C40" s="60">
        <v>90.71</v>
      </c>
      <c r="D40" s="60">
        <v>69.959999999999994</v>
      </c>
      <c r="E40" s="60">
        <v>2.15</v>
      </c>
      <c r="F40" s="60">
        <v>0.13</v>
      </c>
      <c r="G40" s="60">
        <v>222.98</v>
      </c>
      <c r="H40" s="60">
        <v>88.93</v>
      </c>
      <c r="I40" s="60">
        <v>0.72</v>
      </c>
      <c r="J40" s="60">
        <v>0.76</v>
      </c>
      <c r="K40" s="60">
        <v>39.340000000000003</v>
      </c>
      <c r="L40" s="10" t="s">
        <v>42</v>
      </c>
      <c r="M40" s="10" t="s">
        <v>42</v>
      </c>
      <c r="N40" s="60">
        <v>244.2</v>
      </c>
      <c r="O40" s="60">
        <v>0</v>
      </c>
      <c r="P40" s="60">
        <v>1.62</v>
      </c>
      <c r="Q40" s="60">
        <v>152.02000000000001</v>
      </c>
      <c r="R40" s="198"/>
      <c r="S40" s="198"/>
      <c r="T40" s="198"/>
      <c r="U40" s="198"/>
    </row>
    <row r="41" spans="1:21" s="12" customFormat="1" x14ac:dyDescent="0.25">
      <c r="A41" s="201" t="s">
        <v>1332</v>
      </c>
      <c r="B41" s="60">
        <v>25.79</v>
      </c>
      <c r="C41" s="60">
        <v>87.88</v>
      </c>
      <c r="D41" s="60">
        <v>69.180000000000007</v>
      </c>
      <c r="E41" s="60">
        <v>5.15</v>
      </c>
      <c r="F41" s="60">
        <v>0.65</v>
      </c>
      <c r="G41" s="60">
        <v>266.5</v>
      </c>
      <c r="H41" s="60">
        <v>99.35</v>
      </c>
      <c r="I41" s="60">
        <v>0.71</v>
      </c>
      <c r="J41" s="60">
        <v>1.05</v>
      </c>
      <c r="K41" s="60">
        <v>27.11</v>
      </c>
      <c r="L41" s="10" t="s">
        <v>42</v>
      </c>
      <c r="M41" s="10" t="s">
        <v>42</v>
      </c>
      <c r="N41" s="60">
        <v>293.5</v>
      </c>
      <c r="O41" s="60">
        <v>0</v>
      </c>
      <c r="P41" s="60">
        <v>1.66</v>
      </c>
      <c r="Q41" s="60">
        <v>135.19</v>
      </c>
      <c r="R41" s="198"/>
      <c r="S41" s="198"/>
      <c r="T41" s="198"/>
      <c r="U41" s="198"/>
    </row>
    <row r="42" spans="1:21" s="12" customFormat="1" x14ac:dyDescent="0.25">
      <c r="A42" s="201" t="s">
        <v>1333</v>
      </c>
      <c r="B42" s="60">
        <v>27.06</v>
      </c>
      <c r="C42" s="60">
        <v>95.81</v>
      </c>
      <c r="D42" s="60">
        <v>74.58</v>
      </c>
      <c r="E42" s="60">
        <v>5.28</v>
      </c>
      <c r="F42" s="60">
        <v>0.62</v>
      </c>
      <c r="G42" s="60">
        <v>266.5</v>
      </c>
      <c r="H42" s="60">
        <v>99.35</v>
      </c>
      <c r="I42" s="60">
        <v>0.65</v>
      </c>
      <c r="J42" s="60">
        <v>1.1299999999999999</v>
      </c>
      <c r="K42" s="60">
        <v>25.85</v>
      </c>
      <c r="L42" s="10" t="s">
        <v>42</v>
      </c>
      <c r="M42" s="10" t="s">
        <v>42</v>
      </c>
      <c r="N42" s="60">
        <v>336</v>
      </c>
      <c r="O42" s="60">
        <v>0</v>
      </c>
      <c r="P42" s="60">
        <v>1.67</v>
      </c>
      <c r="Q42" s="60">
        <v>137.82</v>
      </c>
      <c r="R42" s="198"/>
      <c r="S42" s="198"/>
      <c r="T42" s="198"/>
      <c r="U42" s="198"/>
    </row>
    <row r="43" spans="1:21" s="12" customFormat="1" x14ac:dyDescent="0.25">
      <c r="A43" s="201" t="s">
        <v>1334</v>
      </c>
      <c r="B43" s="60">
        <v>27.63</v>
      </c>
      <c r="C43" s="60">
        <v>98.8</v>
      </c>
      <c r="D43" s="60">
        <v>76.680000000000007</v>
      </c>
      <c r="E43" s="60">
        <v>4.9800000000000004</v>
      </c>
      <c r="F43" s="60">
        <v>0.6</v>
      </c>
      <c r="G43" s="60">
        <v>266.5</v>
      </c>
      <c r="H43" s="60">
        <v>99.35</v>
      </c>
      <c r="I43" s="60">
        <v>0.69</v>
      </c>
      <c r="J43" s="60">
        <v>0.54</v>
      </c>
      <c r="K43" s="60">
        <v>91.36</v>
      </c>
      <c r="L43" s="10" t="s">
        <v>42</v>
      </c>
      <c r="M43" s="10" t="s">
        <v>42</v>
      </c>
      <c r="N43" s="60">
        <v>384.1</v>
      </c>
      <c r="O43" s="60">
        <v>0</v>
      </c>
      <c r="P43" s="60">
        <v>1.68</v>
      </c>
      <c r="Q43" s="60">
        <v>138.06</v>
      </c>
      <c r="R43" s="198"/>
      <c r="S43" s="198"/>
      <c r="T43" s="198"/>
      <c r="U43" s="198"/>
    </row>
    <row r="44" spans="1:21" s="12" customFormat="1" x14ac:dyDescent="0.25">
      <c r="A44" s="201" t="s">
        <v>1335</v>
      </c>
      <c r="B44" s="60">
        <v>26.98</v>
      </c>
      <c r="C44" s="60">
        <v>97.45</v>
      </c>
      <c r="D44" s="60">
        <v>75.42</v>
      </c>
      <c r="E44" s="60">
        <v>4.72</v>
      </c>
      <c r="F44" s="60">
        <v>0.71</v>
      </c>
      <c r="G44" s="60">
        <v>265.83999999999997</v>
      </c>
      <c r="H44" s="60">
        <v>99.22</v>
      </c>
      <c r="I44" s="60">
        <v>0.66</v>
      </c>
      <c r="J44" s="60">
        <v>0.8</v>
      </c>
      <c r="K44" s="60">
        <v>43.65</v>
      </c>
      <c r="L44" s="10" t="s">
        <v>42</v>
      </c>
      <c r="M44" s="10" t="s">
        <v>42</v>
      </c>
      <c r="N44" s="60">
        <v>411.9</v>
      </c>
      <c r="O44" s="60">
        <v>0</v>
      </c>
      <c r="P44" s="60">
        <v>1.67</v>
      </c>
      <c r="Q44" s="60">
        <v>143.03</v>
      </c>
      <c r="R44" s="198"/>
      <c r="S44" s="198"/>
      <c r="T44" s="198"/>
      <c r="U44" s="198"/>
    </row>
    <row r="45" spans="1:21" s="12" customFormat="1" x14ac:dyDescent="0.25">
      <c r="A45" s="201" t="s">
        <v>1336</v>
      </c>
      <c r="B45" s="60">
        <v>26.14</v>
      </c>
      <c r="C45" s="60">
        <v>96.93</v>
      </c>
      <c r="D45" s="60">
        <v>74.459999999999994</v>
      </c>
      <c r="E45" s="60">
        <v>4.95</v>
      </c>
      <c r="F45" s="60">
        <v>0.78</v>
      </c>
      <c r="G45" s="60">
        <v>260.25</v>
      </c>
      <c r="H45" s="60">
        <v>97.86</v>
      </c>
      <c r="I45" s="60">
        <v>0.6</v>
      </c>
      <c r="J45" s="60">
        <v>0.67</v>
      </c>
      <c r="K45" s="60">
        <v>87.61</v>
      </c>
      <c r="L45" s="10" t="s">
        <v>42</v>
      </c>
      <c r="M45" s="10" t="s">
        <v>42</v>
      </c>
      <c r="N45" s="60">
        <v>461.4</v>
      </c>
      <c r="O45" s="60">
        <v>0</v>
      </c>
      <c r="P45" s="60">
        <v>1.66</v>
      </c>
      <c r="Q45" s="60">
        <v>141.51</v>
      </c>
      <c r="R45" s="198"/>
      <c r="S45" s="198"/>
      <c r="T45" s="198"/>
      <c r="U45" s="198"/>
    </row>
    <row r="46" spans="1:21" s="12" customFormat="1" x14ac:dyDescent="0.25">
      <c r="A46" s="201" t="s">
        <v>1337</v>
      </c>
      <c r="B46" s="60">
        <v>24.65</v>
      </c>
      <c r="C46" s="60">
        <v>95.96</v>
      </c>
      <c r="D46" s="60">
        <v>72.72</v>
      </c>
      <c r="E46" s="60">
        <v>5.05</v>
      </c>
      <c r="F46" s="60">
        <v>0.45</v>
      </c>
      <c r="G46" s="60">
        <v>260.25</v>
      </c>
      <c r="H46" s="60">
        <v>97.86</v>
      </c>
      <c r="I46" s="60">
        <v>0.6</v>
      </c>
      <c r="J46" s="60">
        <v>1.1299999999999999</v>
      </c>
      <c r="K46" s="60">
        <v>127.36</v>
      </c>
      <c r="L46" s="10" t="s">
        <v>42</v>
      </c>
      <c r="M46" s="10" t="s">
        <v>42</v>
      </c>
      <c r="N46" s="60">
        <v>498.4</v>
      </c>
      <c r="O46" s="60">
        <v>0</v>
      </c>
      <c r="P46" s="60">
        <v>1.63</v>
      </c>
      <c r="Q46" s="60">
        <v>149.02000000000001</v>
      </c>
      <c r="R46" s="198"/>
      <c r="S46" s="198"/>
      <c r="T46" s="198"/>
      <c r="U46" s="198"/>
    </row>
    <row r="47" spans="1:21" s="12" customFormat="1" x14ac:dyDescent="0.25">
      <c r="A47" s="201" t="s">
        <v>1338</v>
      </c>
      <c r="B47" s="60">
        <v>22.92</v>
      </c>
      <c r="C47" s="60">
        <v>92.08</v>
      </c>
      <c r="D47" s="60">
        <v>69.2</v>
      </c>
      <c r="E47" s="60">
        <v>5.25</v>
      </c>
      <c r="F47" s="60">
        <v>1.01</v>
      </c>
      <c r="G47" s="60">
        <v>260.25</v>
      </c>
      <c r="H47" s="60">
        <v>97.86</v>
      </c>
      <c r="I47" s="60">
        <v>0.59</v>
      </c>
      <c r="J47" s="60">
        <v>0.51</v>
      </c>
      <c r="K47" s="60">
        <v>90.39</v>
      </c>
      <c r="L47" s="10" t="s">
        <v>42</v>
      </c>
      <c r="M47" s="10" t="s">
        <v>42</v>
      </c>
      <c r="N47" s="60">
        <v>534.4</v>
      </c>
      <c r="O47" s="60">
        <v>0</v>
      </c>
      <c r="P47" s="60">
        <v>1.58</v>
      </c>
      <c r="Q47" s="60">
        <v>158.19</v>
      </c>
      <c r="R47" s="198"/>
      <c r="S47" s="198"/>
      <c r="T47" s="198"/>
      <c r="U47" s="198"/>
    </row>
    <row r="48" spans="1:21" s="12" customFormat="1" x14ac:dyDescent="0.25">
      <c r="A48" s="201" t="s">
        <v>1339</v>
      </c>
      <c r="B48" s="60">
        <v>22.55</v>
      </c>
      <c r="C48" s="60">
        <v>96.86</v>
      </c>
      <c r="D48" s="60">
        <v>71.540000000000006</v>
      </c>
      <c r="E48" s="60">
        <v>5.43</v>
      </c>
      <c r="F48" s="60">
        <v>0.94</v>
      </c>
      <c r="G48" s="60">
        <v>256.52</v>
      </c>
      <c r="H48" s="60">
        <v>97.34</v>
      </c>
      <c r="I48" s="60">
        <v>0.59</v>
      </c>
      <c r="J48" s="60">
        <v>0.62</v>
      </c>
      <c r="K48" s="60">
        <v>95.85</v>
      </c>
      <c r="L48" s="10" t="s">
        <v>42</v>
      </c>
      <c r="M48" s="10" t="s">
        <v>42</v>
      </c>
      <c r="N48" s="60">
        <v>558.9</v>
      </c>
      <c r="O48" s="60">
        <v>0</v>
      </c>
      <c r="P48" s="60">
        <v>1.55</v>
      </c>
      <c r="Q48" s="60">
        <v>176.35</v>
      </c>
      <c r="R48" s="198"/>
      <c r="S48" s="198"/>
      <c r="T48" s="198"/>
      <c r="U48" s="198"/>
    </row>
    <row r="49" spans="1:21" s="12" customFormat="1" x14ac:dyDescent="0.25">
      <c r="A49" s="201" t="s">
        <v>1340</v>
      </c>
      <c r="B49" s="60">
        <v>19.88</v>
      </c>
      <c r="C49" s="60">
        <v>95.66</v>
      </c>
      <c r="D49" s="60">
        <v>68.739999999999995</v>
      </c>
      <c r="E49" s="60">
        <v>5.55</v>
      </c>
      <c r="F49" s="60">
        <v>1.89</v>
      </c>
      <c r="G49" s="60">
        <v>225.06</v>
      </c>
      <c r="H49" s="60">
        <v>91.95</v>
      </c>
      <c r="I49" s="60">
        <v>0.6</v>
      </c>
      <c r="J49" s="60">
        <v>0.93</v>
      </c>
      <c r="K49" s="60">
        <v>114.99</v>
      </c>
      <c r="L49" s="10" t="s">
        <v>42</v>
      </c>
      <c r="M49" s="10" t="s">
        <v>42</v>
      </c>
      <c r="N49" s="60">
        <v>581.70000000000005</v>
      </c>
      <c r="O49" s="60">
        <v>0</v>
      </c>
      <c r="P49" s="60">
        <v>1.5</v>
      </c>
      <c r="Q49" s="60">
        <v>184.37</v>
      </c>
      <c r="R49" s="198"/>
      <c r="S49" s="198"/>
      <c r="T49" s="198"/>
      <c r="U49" s="198"/>
    </row>
    <row r="50" spans="1:21" s="12" customFormat="1" x14ac:dyDescent="0.25">
      <c r="A50" s="201" t="s">
        <v>1341</v>
      </c>
      <c r="B50" s="60">
        <v>15.12</v>
      </c>
      <c r="C50" s="60">
        <v>92.36</v>
      </c>
      <c r="D50" s="60">
        <v>63.09</v>
      </c>
      <c r="E50" s="60">
        <v>5.46</v>
      </c>
      <c r="F50" s="60">
        <v>1.78</v>
      </c>
      <c r="G50" s="60">
        <v>225.06</v>
      </c>
      <c r="H50" s="60">
        <v>91.95</v>
      </c>
      <c r="I50" s="60">
        <v>0.59</v>
      </c>
      <c r="J50" s="60">
        <v>1.3</v>
      </c>
      <c r="K50" s="60">
        <v>128.78</v>
      </c>
      <c r="L50" s="10" t="s">
        <v>42</v>
      </c>
      <c r="M50" s="10" t="s">
        <v>42</v>
      </c>
      <c r="N50" s="60">
        <v>601</v>
      </c>
      <c r="O50" s="60">
        <v>0</v>
      </c>
      <c r="P50" s="60">
        <v>1.39</v>
      </c>
      <c r="Q50" s="60">
        <v>188.73</v>
      </c>
      <c r="R50" s="198"/>
      <c r="S50" s="198"/>
      <c r="T50" s="198"/>
      <c r="U50" s="198"/>
    </row>
    <row r="51" spans="1:21" s="12" customFormat="1" x14ac:dyDescent="0.25">
      <c r="A51" s="201" t="s">
        <v>1342</v>
      </c>
      <c r="B51" s="60">
        <v>11.3</v>
      </c>
      <c r="C51" s="60">
        <v>86.3</v>
      </c>
      <c r="D51" s="60">
        <v>56.69</v>
      </c>
      <c r="E51" s="60">
        <v>5.24</v>
      </c>
      <c r="F51" s="60">
        <v>1.66</v>
      </c>
      <c r="G51" s="60">
        <v>225.06</v>
      </c>
      <c r="H51" s="60">
        <v>91.95</v>
      </c>
      <c r="I51" s="60">
        <v>0.57999999999999996</v>
      </c>
      <c r="J51" s="60">
        <v>0.99</v>
      </c>
      <c r="K51" s="60">
        <v>117.97</v>
      </c>
      <c r="L51" s="10" t="s">
        <v>42</v>
      </c>
      <c r="M51" s="10" t="s">
        <v>42</v>
      </c>
      <c r="N51" s="60">
        <v>613.20000000000005</v>
      </c>
      <c r="O51" s="60">
        <v>0</v>
      </c>
      <c r="P51" s="60">
        <v>1.33</v>
      </c>
      <c r="Q51" s="60">
        <v>192.7</v>
      </c>
      <c r="R51" s="198"/>
      <c r="S51" s="198"/>
      <c r="T51" s="198"/>
      <c r="U51" s="198"/>
    </row>
    <row r="52" spans="1:21" s="12" customFormat="1" x14ac:dyDescent="0.25">
      <c r="A52" s="201" t="s">
        <v>1343</v>
      </c>
      <c r="B52" s="60">
        <v>8.66</v>
      </c>
      <c r="C52" s="60">
        <v>81.61</v>
      </c>
      <c r="D52" s="60">
        <v>51.99</v>
      </c>
      <c r="E52" s="60">
        <v>4.8899999999999997</v>
      </c>
      <c r="F52" s="60">
        <v>1.7</v>
      </c>
      <c r="G52" s="60">
        <v>219.18</v>
      </c>
      <c r="H52" s="60">
        <v>89.76</v>
      </c>
      <c r="I52" s="60">
        <v>0.55000000000000004</v>
      </c>
      <c r="J52" s="60">
        <v>1.25</v>
      </c>
      <c r="K52" s="60">
        <v>113.46</v>
      </c>
      <c r="L52" s="10" t="s">
        <v>42</v>
      </c>
      <c r="M52" s="10" t="s">
        <v>42</v>
      </c>
      <c r="N52" s="60">
        <v>627.4</v>
      </c>
      <c r="O52" s="60">
        <v>0</v>
      </c>
      <c r="P52" s="60">
        <v>1.25</v>
      </c>
      <c r="Q52" s="60">
        <v>197.26</v>
      </c>
      <c r="R52" s="198"/>
      <c r="S52" s="198"/>
      <c r="T52" s="198"/>
      <c r="U52" s="198"/>
    </row>
    <row r="53" spans="1:21" s="12" customFormat="1" x14ac:dyDescent="0.25">
      <c r="A53" s="201" t="s">
        <v>1344</v>
      </c>
      <c r="B53" s="60">
        <v>7.62</v>
      </c>
      <c r="C53" s="60">
        <v>79.03</v>
      </c>
      <c r="D53" s="60">
        <v>49.73</v>
      </c>
      <c r="E53" s="60">
        <v>4.91</v>
      </c>
      <c r="F53" s="60">
        <v>1.39</v>
      </c>
      <c r="G53" s="60">
        <v>169.62</v>
      </c>
      <c r="H53" s="60">
        <v>67.33</v>
      </c>
      <c r="I53" s="60">
        <v>0.53</v>
      </c>
      <c r="J53" s="60">
        <v>0.63</v>
      </c>
      <c r="K53" s="60">
        <v>104.25</v>
      </c>
      <c r="L53" s="10" t="s">
        <v>42</v>
      </c>
      <c r="M53" s="10" t="s">
        <v>42</v>
      </c>
      <c r="N53" s="60">
        <v>634.79999999999995</v>
      </c>
      <c r="O53" s="60">
        <v>0</v>
      </c>
      <c r="P53" s="60">
        <v>1.21</v>
      </c>
      <c r="Q53" s="60">
        <v>201.31</v>
      </c>
      <c r="R53" s="198"/>
      <c r="S53" s="198"/>
      <c r="T53" s="198"/>
      <c r="U53" s="198"/>
    </row>
    <row r="54" spans="1:21" s="12" customFormat="1" x14ac:dyDescent="0.25">
      <c r="A54" s="201" t="s">
        <v>1345</v>
      </c>
      <c r="B54" s="60">
        <v>6.96</v>
      </c>
      <c r="C54" s="60">
        <v>74.06</v>
      </c>
      <c r="D54" s="60">
        <v>46.46</v>
      </c>
      <c r="E54" s="60">
        <v>5.18</v>
      </c>
      <c r="F54" s="60">
        <v>2.38</v>
      </c>
      <c r="G54" s="60">
        <v>169.62</v>
      </c>
      <c r="H54" s="60">
        <v>67.33</v>
      </c>
      <c r="I54" s="60">
        <v>0.51</v>
      </c>
      <c r="J54" s="60">
        <v>0.59</v>
      </c>
      <c r="K54" s="60">
        <v>107.67</v>
      </c>
      <c r="L54" s="10" t="s">
        <v>42</v>
      </c>
      <c r="M54" s="10" t="s">
        <v>42</v>
      </c>
      <c r="N54" s="60">
        <v>644.79999999999995</v>
      </c>
      <c r="O54" s="60">
        <v>0</v>
      </c>
      <c r="P54" s="60">
        <v>1.18</v>
      </c>
      <c r="Q54" s="60">
        <v>205.11</v>
      </c>
      <c r="R54" s="198"/>
      <c r="S54" s="198"/>
      <c r="T54" s="198"/>
      <c r="U54" s="198"/>
    </row>
    <row r="55" spans="1:21" s="12" customFormat="1" x14ac:dyDescent="0.25">
      <c r="A55" s="201" t="s">
        <v>1346</v>
      </c>
      <c r="B55" s="60">
        <v>6.2</v>
      </c>
      <c r="C55" s="60">
        <v>58.61</v>
      </c>
      <c r="D55" s="60">
        <v>37.32</v>
      </c>
      <c r="E55" s="60">
        <v>5.31</v>
      </c>
      <c r="F55" s="60">
        <v>2.67</v>
      </c>
      <c r="G55" s="60">
        <v>169.62</v>
      </c>
      <c r="H55" s="60">
        <v>67.33</v>
      </c>
      <c r="I55" s="60">
        <v>0.51</v>
      </c>
      <c r="J55" s="60">
        <v>0.73</v>
      </c>
      <c r="K55" s="60">
        <v>106.24</v>
      </c>
      <c r="L55" s="10" t="s">
        <v>42</v>
      </c>
      <c r="M55" s="10" t="s">
        <v>42</v>
      </c>
      <c r="N55" s="60">
        <v>655.29999999999995</v>
      </c>
      <c r="O55" s="60">
        <v>0</v>
      </c>
      <c r="P55" s="60">
        <v>1.1200000000000001</v>
      </c>
      <c r="Q55" s="60">
        <v>175.32</v>
      </c>
      <c r="R55" s="198"/>
      <c r="S55" s="198"/>
      <c r="T55" s="198"/>
      <c r="U55" s="198"/>
    </row>
    <row r="56" spans="1:21" s="12" customFormat="1" x14ac:dyDescent="0.25">
      <c r="A56" s="201" t="s">
        <v>1347</v>
      </c>
      <c r="B56" s="60">
        <v>5.59</v>
      </c>
      <c r="C56" s="60">
        <v>48.02</v>
      </c>
      <c r="D56" s="60">
        <v>30.98</v>
      </c>
      <c r="E56" s="60">
        <v>2.85</v>
      </c>
      <c r="F56" s="60">
        <v>4.32</v>
      </c>
      <c r="G56" s="60">
        <v>168.74</v>
      </c>
      <c r="H56" s="60">
        <v>67.790000000000006</v>
      </c>
      <c r="I56" s="60">
        <v>0.5</v>
      </c>
      <c r="J56" s="60">
        <v>0.64</v>
      </c>
      <c r="K56" s="60">
        <v>66.64</v>
      </c>
      <c r="L56" s="10" t="s">
        <v>42</v>
      </c>
      <c r="M56" s="10" t="s">
        <v>42</v>
      </c>
      <c r="N56" s="60">
        <v>655.20000000000005</v>
      </c>
      <c r="O56" s="60">
        <v>0</v>
      </c>
      <c r="P56" s="60">
        <v>1.0900000000000001</v>
      </c>
      <c r="Q56" s="60">
        <v>150.51</v>
      </c>
      <c r="R56" s="198"/>
      <c r="S56" s="198"/>
      <c r="T56" s="198"/>
      <c r="U56" s="198"/>
    </row>
    <row r="57" spans="1:21" s="12" customFormat="1" x14ac:dyDescent="0.25">
      <c r="A57" s="201" t="s">
        <v>1348</v>
      </c>
      <c r="B57" s="60">
        <v>4.84</v>
      </c>
      <c r="C57" s="60">
        <v>44.99</v>
      </c>
      <c r="D57" s="60">
        <v>28.72</v>
      </c>
      <c r="E57" s="60">
        <v>5.07</v>
      </c>
      <c r="F57" s="60">
        <v>3.97</v>
      </c>
      <c r="G57" s="60">
        <v>161.32</v>
      </c>
      <c r="H57" s="60">
        <v>72.540000000000006</v>
      </c>
      <c r="I57" s="60">
        <v>0.48</v>
      </c>
      <c r="J57" s="60">
        <v>0.72</v>
      </c>
      <c r="K57" s="60">
        <v>125.34</v>
      </c>
      <c r="L57" s="10" t="s">
        <v>42</v>
      </c>
      <c r="M57" s="10" t="s">
        <v>42</v>
      </c>
      <c r="N57" s="60">
        <v>623</v>
      </c>
      <c r="O57" s="60">
        <v>0</v>
      </c>
      <c r="P57" s="60">
        <v>1.06</v>
      </c>
      <c r="Q57" s="60">
        <v>140.84</v>
      </c>
      <c r="R57" s="198"/>
      <c r="S57" s="198"/>
      <c r="T57" s="198"/>
      <c r="U57" s="198"/>
    </row>
    <row r="58" spans="1:21" s="12" customFormat="1" x14ac:dyDescent="0.25">
      <c r="A58" s="201" t="s">
        <v>1349</v>
      </c>
      <c r="B58" s="60">
        <v>4.54</v>
      </c>
      <c r="C58" s="60">
        <v>48.23</v>
      </c>
      <c r="D58" s="60">
        <v>30.26</v>
      </c>
      <c r="E58" s="60">
        <v>5.8</v>
      </c>
      <c r="F58" s="60">
        <v>6.55</v>
      </c>
      <c r="G58" s="60">
        <v>161.32</v>
      </c>
      <c r="H58" s="60">
        <v>72.540000000000006</v>
      </c>
      <c r="I58" s="60">
        <v>0.47</v>
      </c>
      <c r="J58" s="60">
        <v>0.98</v>
      </c>
      <c r="K58" s="60">
        <v>45.71</v>
      </c>
      <c r="L58" s="10" t="s">
        <v>42</v>
      </c>
      <c r="M58" s="10" t="s">
        <v>42</v>
      </c>
      <c r="N58" s="60">
        <v>609.5</v>
      </c>
      <c r="O58" s="60">
        <v>0</v>
      </c>
      <c r="P58" s="60">
        <v>1.02</v>
      </c>
      <c r="Q58" s="60">
        <v>131.6</v>
      </c>
      <c r="R58" s="198"/>
      <c r="S58" s="198"/>
      <c r="T58" s="198"/>
      <c r="U58" s="198"/>
    </row>
    <row r="59" spans="1:21" s="12" customFormat="1" x14ac:dyDescent="0.25">
      <c r="A59" s="201" t="s">
        <v>1350</v>
      </c>
      <c r="B59" s="60">
        <v>3.35</v>
      </c>
      <c r="C59" s="60">
        <v>73.17</v>
      </c>
      <c r="D59" s="60">
        <v>43.07</v>
      </c>
      <c r="E59" s="60">
        <v>4.67</v>
      </c>
      <c r="F59" s="60">
        <v>4.76</v>
      </c>
      <c r="G59" s="60">
        <v>161.32</v>
      </c>
      <c r="H59" s="60">
        <v>72.540000000000006</v>
      </c>
      <c r="I59" s="60">
        <v>0.46</v>
      </c>
      <c r="J59" s="60">
        <v>0.66</v>
      </c>
      <c r="K59" s="60">
        <v>96.01</v>
      </c>
      <c r="L59" s="10" t="s">
        <v>42</v>
      </c>
      <c r="M59" s="10" t="s">
        <v>42</v>
      </c>
      <c r="N59" s="60">
        <v>510.2</v>
      </c>
      <c r="O59" s="60">
        <v>0</v>
      </c>
      <c r="P59" s="60">
        <v>1.01</v>
      </c>
      <c r="Q59" s="60">
        <v>154.99</v>
      </c>
      <c r="R59" s="198"/>
      <c r="S59" s="198"/>
      <c r="T59" s="198"/>
      <c r="U59" s="198"/>
    </row>
    <row r="60" spans="1:21" s="12" customFormat="1" x14ac:dyDescent="0.25">
      <c r="A60" s="201" t="s">
        <v>1351</v>
      </c>
      <c r="B60" s="60">
        <v>4.75</v>
      </c>
      <c r="C60" s="60">
        <v>71.67</v>
      </c>
      <c r="D60" s="60">
        <v>43.36</v>
      </c>
      <c r="E60" s="60">
        <v>6.24</v>
      </c>
      <c r="F60" s="60">
        <v>10.3</v>
      </c>
      <c r="G60" s="60">
        <v>158.78</v>
      </c>
      <c r="H60" s="60">
        <v>71.290000000000006</v>
      </c>
      <c r="I60" s="60">
        <v>0.43</v>
      </c>
      <c r="J60" s="60">
        <v>0.74</v>
      </c>
      <c r="K60" s="60">
        <v>72.44</v>
      </c>
      <c r="L60" s="10" t="s">
        <v>42</v>
      </c>
      <c r="M60" s="10" t="s">
        <v>42</v>
      </c>
      <c r="N60" s="60">
        <v>435</v>
      </c>
      <c r="O60" s="60">
        <v>0</v>
      </c>
      <c r="P60" s="60">
        <v>0.97</v>
      </c>
      <c r="Q60" s="60">
        <v>141.81</v>
      </c>
      <c r="R60" s="198"/>
      <c r="S60" s="198"/>
      <c r="T60" s="198"/>
      <c r="U60" s="198"/>
    </row>
    <row r="61" spans="1:21" s="12" customFormat="1" x14ac:dyDescent="0.25">
      <c r="A61" s="201" t="s">
        <v>1352</v>
      </c>
      <c r="B61" s="60">
        <v>2.57</v>
      </c>
      <c r="C61" s="60">
        <v>62.27</v>
      </c>
      <c r="D61" s="60">
        <v>36.43</v>
      </c>
      <c r="E61" s="60">
        <v>6.37</v>
      </c>
      <c r="F61" s="60">
        <v>5.47</v>
      </c>
      <c r="G61" s="60">
        <v>137.38</v>
      </c>
      <c r="H61" s="60">
        <v>58.43</v>
      </c>
      <c r="I61" s="60">
        <v>0.42</v>
      </c>
      <c r="J61" s="60">
        <v>1.02</v>
      </c>
      <c r="K61" s="60">
        <v>120.73</v>
      </c>
      <c r="L61" s="10" t="s">
        <v>42</v>
      </c>
      <c r="M61" s="10" t="s">
        <v>42</v>
      </c>
      <c r="N61" s="60">
        <v>539.5</v>
      </c>
      <c r="O61" s="60">
        <v>0</v>
      </c>
      <c r="P61" s="60">
        <v>0.98</v>
      </c>
      <c r="Q61" s="60">
        <v>126.98</v>
      </c>
      <c r="R61" s="198"/>
      <c r="S61" s="198"/>
      <c r="T61" s="198"/>
      <c r="U61" s="198"/>
    </row>
    <row r="62" spans="1:21" s="12" customFormat="1" x14ac:dyDescent="0.25">
      <c r="A62" s="201" t="s">
        <v>1353</v>
      </c>
      <c r="B62" s="60">
        <v>2.17</v>
      </c>
      <c r="C62" s="60">
        <v>63.11</v>
      </c>
      <c r="D62" s="60">
        <v>36.57</v>
      </c>
      <c r="E62" s="60">
        <v>5.18</v>
      </c>
      <c r="F62" s="60">
        <v>5.12</v>
      </c>
      <c r="G62" s="60">
        <v>137.38</v>
      </c>
      <c r="H62" s="60">
        <v>58.43</v>
      </c>
      <c r="I62" s="60">
        <v>0.38</v>
      </c>
      <c r="J62" s="60">
        <v>0.76</v>
      </c>
      <c r="K62" s="60">
        <v>86.03</v>
      </c>
      <c r="L62" s="10" t="s">
        <v>42</v>
      </c>
      <c r="M62" s="10" t="s">
        <v>42</v>
      </c>
      <c r="N62" s="60">
        <v>366.1</v>
      </c>
      <c r="O62" s="60">
        <v>0</v>
      </c>
      <c r="P62" s="60">
        <v>0.98</v>
      </c>
      <c r="Q62" s="60">
        <v>139.19</v>
      </c>
      <c r="R62" s="198"/>
      <c r="S62" s="198"/>
      <c r="T62" s="198"/>
      <c r="U62" s="198"/>
    </row>
    <row r="63" spans="1:21" s="12" customFormat="1" x14ac:dyDescent="0.25">
      <c r="A63" s="201" t="s">
        <v>1354</v>
      </c>
      <c r="B63" s="60">
        <v>3.49</v>
      </c>
      <c r="C63" s="60">
        <v>72.11</v>
      </c>
      <c r="D63" s="60">
        <v>42.59</v>
      </c>
      <c r="E63" s="60">
        <v>5.56</v>
      </c>
      <c r="F63" s="60">
        <v>4.43</v>
      </c>
      <c r="G63" s="60">
        <v>137.38</v>
      </c>
      <c r="H63" s="60">
        <v>58.43</v>
      </c>
      <c r="I63" s="60">
        <v>0.36</v>
      </c>
      <c r="J63" s="60">
        <v>0.6</v>
      </c>
      <c r="K63" s="60">
        <v>86.72</v>
      </c>
      <c r="L63" s="10" t="s">
        <v>42</v>
      </c>
      <c r="M63" s="10" t="s">
        <v>42</v>
      </c>
      <c r="N63" s="60">
        <v>214.1</v>
      </c>
      <c r="O63" s="60">
        <v>0</v>
      </c>
      <c r="P63" s="60">
        <v>0.99</v>
      </c>
      <c r="Q63" s="60">
        <v>149.13999999999999</v>
      </c>
      <c r="R63" s="198"/>
      <c r="S63" s="198"/>
      <c r="T63" s="198"/>
      <c r="U63" s="198"/>
    </row>
    <row r="64" spans="1:21" s="12" customFormat="1" x14ac:dyDescent="0.25">
      <c r="A64" s="201" t="s">
        <v>1355</v>
      </c>
      <c r="B64" s="60">
        <v>6.67</v>
      </c>
      <c r="C64" s="60">
        <v>78.599999999999994</v>
      </c>
      <c r="D64" s="60">
        <v>48.72</v>
      </c>
      <c r="E64" s="60">
        <v>7.24</v>
      </c>
      <c r="F64" s="60">
        <v>9.32</v>
      </c>
      <c r="G64" s="60">
        <v>137.36000000000001</v>
      </c>
      <c r="H64" s="60">
        <v>58.09</v>
      </c>
      <c r="I64" s="60">
        <v>0.37</v>
      </c>
      <c r="J64" s="60">
        <v>1.04</v>
      </c>
      <c r="K64" s="60">
        <v>25.33</v>
      </c>
      <c r="L64" s="10" t="s">
        <v>42</v>
      </c>
      <c r="M64" s="10" t="s">
        <v>42</v>
      </c>
      <c r="N64" s="60">
        <v>423.5</v>
      </c>
      <c r="O64" s="60">
        <v>0</v>
      </c>
      <c r="P64" s="60">
        <v>0.99</v>
      </c>
      <c r="Q64" s="60">
        <v>157.05000000000001</v>
      </c>
      <c r="R64" s="198"/>
      <c r="S64" s="198"/>
      <c r="T64" s="198"/>
      <c r="U64" s="198"/>
    </row>
    <row r="65" spans="1:21" s="12" customFormat="1" x14ac:dyDescent="0.25">
      <c r="A65" s="201" t="s">
        <v>1356</v>
      </c>
      <c r="B65" s="60">
        <v>5.82</v>
      </c>
      <c r="C65" s="60">
        <v>91.25</v>
      </c>
      <c r="D65" s="60">
        <v>55.03</v>
      </c>
      <c r="E65" s="60">
        <v>12.52</v>
      </c>
      <c r="F65" s="60">
        <v>17.91</v>
      </c>
      <c r="G65" s="60">
        <v>137.22</v>
      </c>
      <c r="H65" s="60">
        <v>54.69</v>
      </c>
      <c r="I65" s="60">
        <v>0.37</v>
      </c>
      <c r="J65" s="60">
        <v>0.96</v>
      </c>
      <c r="K65" s="60">
        <v>30.12</v>
      </c>
      <c r="L65" s="10" t="s">
        <v>42</v>
      </c>
      <c r="M65" s="10" t="s">
        <v>42</v>
      </c>
      <c r="N65" s="60">
        <v>351.9</v>
      </c>
      <c r="O65" s="60">
        <v>0</v>
      </c>
      <c r="P65" s="60">
        <v>0.96</v>
      </c>
      <c r="Q65" s="60">
        <v>160.88999999999999</v>
      </c>
      <c r="R65" s="198"/>
      <c r="S65" s="198"/>
      <c r="T65" s="198"/>
      <c r="U65" s="198"/>
    </row>
    <row r="66" spans="1:21" s="12" customFormat="1" x14ac:dyDescent="0.25">
      <c r="A66" s="201" t="s">
        <v>1357</v>
      </c>
      <c r="B66" s="60">
        <v>3.56</v>
      </c>
      <c r="C66" s="60">
        <v>93.68</v>
      </c>
      <c r="D66" s="60">
        <v>54.56</v>
      </c>
      <c r="E66" s="60">
        <v>14.41</v>
      </c>
      <c r="F66" s="60">
        <v>22.39</v>
      </c>
      <c r="G66" s="60">
        <v>137.22</v>
      </c>
      <c r="H66" s="60">
        <v>54.69</v>
      </c>
      <c r="I66" s="60">
        <v>0.35</v>
      </c>
      <c r="J66" s="60">
        <v>0.57999999999999996</v>
      </c>
      <c r="K66" s="60">
        <v>75.86</v>
      </c>
      <c r="L66" s="10" t="s">
        <v>42</v>
      </c>
      <c r="M66" s="10" t="s">
        <v>42</v>
      </c>
      <c r="N66" s="60">
        <v>299.2</v>
      </c>
      <c r="O66" s="60">
        <v>0</v>
      </c>
      <c r="P66" s="60">
        <v>0.94</v>
      </c>
      <c r="Q66" s="60">
        <v>157.97</v>
      </c>
      <c r="R66" s="198"/>
      <c r="S66" s="198"/>
      <c r="T66" s="198"/>
      <c r="U66" s="198"/>
    </row>
    <row r="67" spans="1:21" s="12" customFormat="1" x14ac:dyDescent="0.25">
      <c r="A67" s="201" t="s">
        <v>1358</v>
      </c>
      <c r="B67" s="60">
        <v>2.57</v>
      </c>
      <c r="C67" s="60">
        <v>93.89</v>
      </c>
      <c r="D67" s="60">
        <v>53.88</v>
      </c>
      <c r="E67" s="60">
        <v>10.81</v>
      </c>
      <c r="F67" s="60">
        <v>9.49</v>
      </c>
      <c r="G67" s="60">
        <v>137.22</v>
      </c>
      <c r="H67" s="60">
        <v>54.69</v>
      </c>
      <c r="I67" s="60">
        <v>0.31</v>
      </c>
      <c r="J67" s="60">
        <v>0.62</v>
      </c>
      <c r="K67" s="60">
        <v>35.92</v>
      </c>
      <c r="L67" s="10" t="s">
        <v>42</v>
      </c>
      <c r="M67" s="10" t="s">
        <v>42</v>
      </c>
      <c r="N67" s="60">
        <v>232.8</v>
      </c>
      <c r="O67" s="60">
        <v>0</v>
      </c>
      <c r="P67" s="60">
        <v>0.95</v>
      </c>
      <c r="Q67" s="60">
        <v>170.45</v>
      </c>
      <c r="R67" s="198"/>
      <c r="S67" s="198"/>
      <c r="T67" s="198"/>
      <c r="U67" s="198"/>
    </row>
    <row r="68" spans="1:21" s="12" customFormat="1" x14ac:dyDescent="0.25">
      <c r="A68" s="201" t="s">
        <v>1359</v>
      </c>
      <c r="B68" s="60">
        <v>3.02</v>
      </c>
      <c r="C68" s="60">
        <v>90.08</v>
      </c>
      <c r="D68" s="60">
        <v>52.13</v>
      </c>
      <c r="E68" s="60">
        <v>8.8699999999999992</v>
      </c>
      <c r="F68" s="60">
        <v>7.77</v>
      </c>
      <c r="G68" s="60">
        <v>137.93</v>
      </c>
      <c r="H68" s="60">
        <v>55.46</v>
      </c>
      <c r="I68" s="60">
        <v>0.28000000000000003</v>
      </c>
      <c r="J68" s="60">
        <v>0.63</v>
      </c>
      <c r="K68" s="60">
        <v>38.72</v>
      </c>
      <c r="L68" s="10" t="s">
        <v>42</v>
      </c>
      <c r="M68" s="10" t="s">
        <v>42</v>
      </c>
      <c r="N68" s="60">
        <v>172.5</v>
      </c>
      <c r="O68" s="60">
        <v>0</v>
      </c>
      <c r="P68" s="60">
        <v>0.97</v>
      </c>
      <c r="Q68" s="60">
        <v>178.13</v>
      </c>
      <c r="R68" s="198"/>
      <c r="S68" s="198"/>
      <c r="T68" s="198"/>
      <c r="U68" s="198"/>
    </row>
    <row r="69" spans="1:21" s="12" customFormat="1" x14ac:dyDescent="0.25">
      <c r="A69" s="201" t="s">
        <v>1360</v>
      </c>
      <c r="B69" s="60">
        <v>3.91</v>
      </c>
      <c r="C69" s="60">
        <v>78.22</v>
      </c>
      <c r="D69" s="60">
        <v>46.31</v>
      </c>
      <c r="E69" s="60">
        <v>8.1300000000000008</v>
      </c>
      <c r="F69" s="60">
        <v>6.37</v>
      </c>
      <c r="G69" s="60">
        <v>143.91</v>
      </c>
      <c r="H69" s="60">
        <v>63.45</v>
      </c>
      <c r="I69" s="60">
        <v>0.32</v>
      </c>
      <c r="J69" s="60">
        <v>0.72</v>
      </c>
      <c r="K69" s="60">
        <v>30.7</v>
      </c>
      <c r="L69" s="10" t="s">
        <v>42</v>
      </c>
      <c r="M69" s="10" t="s">
        <v>42</v>
      </c>
      <c r="N69" s="60">
        <v>153.80000000000001</v>
      </c>
      <c r="O69" s="60">
        <v>0</v>
      </c>
      <c r="P69" s="60">
        <v>0.99</v>
      </c>
      <c r="Q69" s="60">
        <v>153.79</v>
      </c>
      <c r="R69" s="198"/>
      <c r="S69" s="198"/>
      <c r="T69" s="198"/>
      <c r="U69" s="198"/>
    </row>
    <row r="70" spans="1:21" s="12" customFormat="1" x14ac:dyDescent="0.25">
      <c r="A70" s="201" t="s">
        <v>1361</v>
      </c>
      <c r="B70" s="60">
        <v>4.8899999999999997</v>
      </c>
      <c r="C70" s="60">
        <v>70.849999999999994</v>
      </c>
      <c r="D70" s="60">
        <v>43.02</v>
      </c>
      <c r="E70" s="60">
        <v>7</v>
      </c>
      <c r="F70" s="60">
        <v>4.34</v>
      </c>
      <c r="G70" s="60">
        <v>143.91</v>
      </c>
      <c r="H70" s="60">
        <v>63.45</v>
      </c>
      <c r="I70" s="60">
        <v>0.34</v>
      </c>
      <c r="J70" s="60">
        <v>1.41</v>
      </c>
      <c r="K70" s="60">
        <v>33.299999999999997</v>
      </c>
      <c r="L70" s="10" t="s">
        <v>42</v>
      </c>
      <c r="M70" s="10" t="s">
        <v>42</v>
      </c>
      <c r="N70" s="60">
        <v>135.9</v>
      </c>
      <c r="O70" s="60">
        <v>0</v>
      </c>
      <c r="P70" s="60">
        <v>1.02</v>
      </c>
      <c r="Q70" s="60">
        <v>137.79</v>
      </c>
      <c r="R70" s="198"/>
      <c r="S70" s="198"/>
      <c r="T70" s="198"/>
      <c r="U70" s="198"/>
    </row>
    <row r="71" spans="1:21" s="12" customFormat="1" x14ac:dyDescent="0.25">
      <c r="A71" s="201" t="s">
        <v>1362</v>
      </c>
      <c r="B71" s="60">
        <v>4.4800000000000004</v>
      </c>
      <c r="C71" s="60">
        <v>83.8</v>
      </c>
      <c r="D71" s="60">
        <v>49.84</v>
      </c>
      <c r="E71" s="60">
        <v>5.63</v>
      </c>
      <c r="F71" s="60">
        <v>4.83</v>
      </c>
      <c r="G71" s="60">
        <v>143.91</v>
      </c>
      <c r="H71" s="60">
        <v>63.45</v>
      </c>
      <c r="I71" s="60">
        <v>0.35</v>
      </c>
      <c r="J71" s="60">
        <v>1.5</v>
      </c>
      <c r="K71" s="60">
        <v>34.24</v>
      </c>
      <c r="L71" s="10" t="s">
        <v>42</v>
      </c>
      <c r="M71" s="10" t="s">
        <v>42</v>
      </c>
      <c r="N71" s="60">
        <v>115</v>
      </c>
      <c r="O71" s="60">
        <v>0</v>
      </c>
      <c r="P71" s="60">
        <v>1.01</v>
      </c>
      <c r="Q71" s="60">
        <v>142.62</v>
      </c>
      <c r="R71" s="198"/>
      <c r="S71" s="198"/>
      <c r="T71" s="198"/>
      <c r="U71" s="198"/>
    </row>
    <row r="72" spans="1:21" s="12" customFormat="1" x14ac:dyDescent="0.25">
      <c r="A72" s="201" t="s">
        <v>1363</v>
      </c>
      <c r="B72" s="60">
        <v>4.7300000000000004</v>
      </c>
      <c r="C72" s="60">
        <v>79.64</v>
      </c>
      <c r="D72" s="60">
        <v>47.75</v>
      </c>
      <c r="E72" s="60">
        <v>3.54</v>
      </c>
      <c r="F72" s="60">
        <v>7.79</v>
      </c>
      <c r="G72" s="60">
        <v>143.88</v>
      </c>
      <c r="H72" s="60">
        <v>63.47</v>
      </c>
      <c r="I72" s="60">
        <v>0.36</v>
      </c>
      <c r="J72" s="60">
        <v>1.02</v>
      </c>
      <c r="K72" s="60">
        <v>32.29</v>
      </c>
      <c r="L72" s="10" t="s">
        <v>42</v>
      </c>
      <c r="M72" s="10" t="s">
        <v>42</v>
      </c>
      <c r="N72" s="60">
        <v>101.2</v>
      </c>
      <c r="O72" s="60">
        <v>0</v>
      </c>
      <c r="P72" s="60">
        <v>1</v>
      </c>
      <c r="Q72" s="60">
        <v>134.38999999999999</v>
      </c>
      <c r="R72" s="198"/>
      <c r="S72" s="198"/>
      <c r="T72" s="198"/>
      <c r="U72" s="198"/>
    </row>
    <row r="73" spans="1:21" s="12" customFormat="1" x14ac:dyDescent="0.25">
      <c r="A73" s="201" t="s">
        <v>1364</v>
      </c>
      <c r="B73" s="60">
        <v>6.94</v>
      </c>
      <c r="C73" s="60">
        <v>82.91</v>
      </c>
      <c r="D73" s="60">
        <v>51.32</v>
      </c>
      <c r="E73" s="60">
        <v>10.62</v>
      </c>
      <c r="F73" s="60">
        <v>15.71</v>
      </c>
      <c r="G73" s="60">
        <v>143.6</v>
      </c>
      <c r="H73" s="60">
        <v>63.71</v>
      </c>
      <c r="I73" s="60">
        <v>0.36</v>
      </c>
      <c r="J73" s="60">
        <v>1.38</v>
      </c>
      <c r="K73" s="60">
        <v>34.65</v>
      </c>
      <c r="L73" s="10" t="s">
        <v>42</v>
      </c>
      <c r="M73" s="10" t="s">
        <v>42</v>
      </c>
      <c r="N73" s="60">
        <v>80.400000000000006</v>
      </c>
      <c r="O73" s="60">
        <v>0</v>
      </c>
      <c r="P73" s="60">
        <v>1.03</v>
      </c>
      <c r="Q73" s="60">
        <v>134.04</v>
      </c>
      <c r="R73" s="198"/>
      <c r="S73" s="198"/>
      <c r="T73" s="198"/>
      <c r="U73" s="198"/>
    </row>
    <row r="74" spans="1:21" s="12" customFormat="1" x14ac:dyDescent="0.25">
      <c r="A74" s="201" t="s">
        <v>1365</v>
      </c>
      <c r="B74" s="60">
        <v>3.23</v>
      </c>
      <c r="C74" s="60">
        <v>114.13</v>
      </c>
      <c r="D74" s="60">
        <v>65.58</v>
      </c>
      <c r="E74" s="60">
        <v>6.73</v>
      </c>
      <c r="F74" s="60">
        <v>6.91</v>
      </c>
      <c r="G74" s="60">
        <v>143.6</v>
      </c>
      <c r="H74" s="60">
        <v>63.71</v>
      </c>
      <c r="I74" s="60">
        <v>0.34</v>
      </c>
      <c r="J74" s="60">
        <v>1.17</v>
      </c>
      <c r="K74" s="60">
        <v>22.53</v>
      </c>
      <c r="L74" s="10" t="s">
        <v>42</v>
      </c>
      <c r="M74" s="10" t="s">
        <v>42</v>
      </c>
      <c r="N74" s="60">
        <v>62.8</v>
      </c>
      <c r="O74" s="60">
        <v>0</v>
      </c>
      <c r="P74" s="60">
        <v>1.03</v>
      </c>
      <c r="Q74" s="60">
        <v>146.86000000000001</v>
      </c>
      <c r="R74" s="198"/>
      <c r="S74" s="198"/>
      <c r="T74" s="198"/>
      <c r="U74" s="198"/>
    </row>
    <row r="75" spans="1:21" s="12" customFormat="1" x14ac:dyDescent="0.25">
      <c r="A75" s="201" t="s">
        <v>1366</v>
      </c>
      <c r="B75" s="60">
        <v>2.81</v>
      </c>
      <c r="C75" s="60">
        <v>92.97</v>
      </c>
      <c r="D75" s="60">
        <v>53.56</v>
      </c>
      <c r="E75" s="60">
        <v>4.43</v>
      </c>
      <c r="F75" s="60">
        <v>4.43</v>
      </c>
      <c r="G75" s="60">
        <v>143.6</v>
      </c>
      <c r="H75" s="60">
        <v>63.71</v>
      </c>
      <c r="I75" s="60">
        <v>0.31</v>
      </c>
      <c r="J75" s="60">
        <v>1.25</v>
      </c>
      <c r="K75" s="60">
        <v>23.04</v>
      </c>
      <c r="L75" s="10" t="s">
        <v>42</v>
      </c>
      <c r="M75" s="10" t="s">
        <v>42</v>
      </c>
      <c r="N75" s="60">
        <v>48.8</v>
      </c>
      <c r="O75" s="60">
        <v>0</v>
      </c>
      <c r="P75" s="60">
        <v>1.05</v>
      </c>
      <c r="Q75" s="60">
        <v>125.01</v>
      </c>
      <c r="R75" s="198"/>
      <c r="S75" s="198"/>
      <c r="T75" s="198"/>
      <c r="U75" s="198"/>
    </row>
    <row r="76" spans="1:21" s="12" customFormat="1" x14ac:dyDescent="0.25">
      <c r="A76" s="201" t="s">
        <v>1367</v>
      </c>
      <c r="B76" s="60">
        <v>4.74</v>
      </c>
      <c r="C76" s="60">
        <v>96.09</v>
      </c>
      <c r="D76" s="60">
        <v>56.83</v>
      </c>
      <c r="E76" s="60">
        <v>5.66</v>
      </c>
      <c r="F76" s="60">
        <v>4.54</v>
      </c>
      <c r="G76" s="60">
        <v>142.85</v>
      </c>
      <c r="H76" s="60">
        <v>63.01</v>
      </c>
      <c r="I76" s="60">
        <v>0.31</v>
      </c>
      <c r="J76" s="60">
        <v>0.79</v>
      </c>
      <c r="K76" s="60">
        <v>33.83</v>
      </c>
      <c r="L76" s="10" t="s">
        <v>42</v>
      </c>
      <c r="M76" s="10" t="s">
        <v>42</v>
      </c>
      <c r="N76" s="60">
        <v>36</v>
      </c>
      <c r="O76" s="60">
        <v>0</v>
      </c>
      <c r="P76" s="60">
        <v>1.1100000000000001</v>
      </c>
      <c r="Q76" s="60">
        <v>134.84</v>
      </c>
      <c r="R76" s="198"/>
      <c r="S76" s="198"/>
      <c r="T76" s="198"/>
      <c r="U76" s="198"/>
    </row>
    <row r="77" spans="1:21" s="12" customFormat="1" x14ac:dyDescent="0.25">
      <c r="A77" s="201" t="s">
        <v>1368</v>
      </c>
      <c r="B77" s="60">
        <v>13.15</v>
      </c>
      <c r="C77" s="60">
        <v>123.5</v>
      </c>
      <c r="D77" s="60">
        <v>78.709999999999994</v>
      </c>
      <c r="E77" s="60">
        <v>8.6199999999999992</v>
      </c>
      <c r="F77" s="60">
        <v>7.55</v>
      </c>
      <c r="G77" s="60">
        <v>136.56</v>
      </c>
      <c r="H77" s="60">
        <v>55.9</v>
      </c>
      <c r="I77" s="60">
        <v>0.33</v>
      </c>
      <c r="J77" s="60">
        <v>0.54</v>
      </c>
      <c r="K77" s="60">
        <v>33.9</v>
      </c>
      <c r="L77" s="10" t="s">
        <v>42</v>
      </c>
      <c r="M77" s="10" t="s">
        <v>42</v>
      </c>
      <c r="N77" s="60">
        <v>25.7</v>
      </c>
      <c r="O77" s="60">
        <v>0</v>
      </c>
      <c r="P77" s="60">
        <v>1.32</v>
      </c>
      <c r="Q77" s="60">
        <v>156.33000000000001</v>
      </c>
      <c r="R77" s="198"/>
      <c r="S77" s="198"/>
      <c r="T77" s="198"/>
      <c r="U77" s="198"/>
    </row>
    <row r="78" spans="1:21" s="12" customFormat="1" x14ac:dyDescent="0.25">
      <c r="A78" s="201" t="s">
        <v>1369</v>
      </c>
      <c r="B78" s="60">
        <v>12.32</v>
      </c>
      <c r="C78" s="60">
        <v>154.32</v>
      </c>
      <c r="D78" s="60">
        <v>95.04</v>
      </c>
      <c r="E78" s="60">
        <v>11.05</v>
      </c>
      <c r="F78" s="60">
        <v>6.01</v>
      </c>
      <c r="G78" s="60">
        <v>136.56</v>
      </c>
      <c r="H78" s="60">
        <v>55.9</v>
      </c>
      <c r="I78" s="60">
        <v>0.34</v>
      </c>
      <c r="J78" s="60">
        <v>0.2</v>
      </c>
      <c r="K78" s="60">
        <v>62.91</v>
      </c>
      <c r="L78" s="10" t="s">
        <v>42</v>
      </c>
      <c r="M78" s="10" t="s">
        <v>42</v>
      </c>
      <c r="N78" s="60">
        <v>20.8</v>
      </c>
      <c r="O78" s="60">
        <v>0</v>
      </c>
      <c r="P78" s="60">
        <v>1.53</v>
      </c>
      <c r="Q78" s="60">
        <v>176.35</v>
      </c>
      <c r="R78" s="198"/>
      <c r="S78" s="198"/>
      <c r="T78" s="198"/>
      <c r="U78" s="198"/>
    </row>
    <row r="79" spans="1:21" s="12" customFormat="1" x14ac:dyDescent="0.25">
      <c r="A79" s="201" t="s">
        <v>1370</v>
      </c>
      <c r="B79" s="60">
        <v>10.78</v>
      </c>
      <c r="C79" s="60">
        <v>145.37</v>
      </c>
      <c r="D79" s="60">
        <v>88.87</v>
      </c>
      <c r="E79" s="60">
        <v>6.74</v>
      </c>
      <c r="F79" s="60">
        <v>2.17</v>
      </c>
      <c r="G79" s="60">
        <v>136.56</v>
      </c>
      <c r="H79" s="60">
        <v>55.9</v>
      </c>
      <c r="I79" s="60">
        <v>0.38</v>
      </c>
      <c r="J79" s="60">
        <v>0.18</v>
      </c>
      <c r="K79" s="60">
        <v>58.16</v>
      </c>
      <c r="L79" s="10" t="s">
        <v>42</v>
      </c>
      <c r="M79" s="10" t="s">
        <v>42</v>
      </c>
      <c r="N79" s="60">
        <v>19.3</v>
      </c>
      <c r="O79" s="60">
        <v>0</v>
      </c>
      <c r="P79" s="60">
        <v>1.51</v>
      </c>
      <c r="Q79" s="60">
        <v>187.1</v>
      </c>
      <c r="R79" s="198"/>
      <c r="S79" s="198"/>
      <c r="T79" s="198"/>
      <c r="U79" s="198"/>
    </row>
    <row r="80" spans="1:21" s="12" customFormat="1" x14ac:dyDescent="0.25">
      <c r="A80" s="201" t="s">
        <v>1371</v>
      </c>
      <c r="B80" s="60">
        <v>11.42</v>
      </c>
      <c r="C80" s="60">
        <v>138.36000000000001</v>
      </c>
      <c r="D80" s="60">
        <v>85.51</v>
      </c>
      <c r="E80" s="60">
        <v>6.06</v>
      </c>
      <c r="F80" s="60">
        <v>3.31</v>
      </c>
      <c r="G80" s="60">
        <v>155.38999999999999</v>
      </c>
      <c r="H80" s="60">
        <v>58.06</v>
      </c>
      <c r="I80" s="60">
        <v>0.5</v>
      </c>
      <c r="J80" s="60">
        <v>0.36</v>
      </c>
      <c r="K80" s="60">
        <v>102.4</v>
      </c>
      <c r="L80" s="10" t="s">
        <v>42</v>
      </c>
      <c r="M80" s="10" t="s">
        <v>42</v>
      </c>
      <c r="N80" s="60">
        <v>18.7</v>
      </c>
      <c r="O80" s="60">
        <v>0</v>
      </c>
      <c r="P80" s="60">
        <v>1.55</v>
      </c>
      <c r="Q80" s="60">
        <v>190.65</v>
      </c>
      <c r="R80" s="198"/>
      <c r="S80" s="198"/>
      <c r="T80" s="198"/>
      <c r="U80" s="198"/>
    </row>
    <row r="81" spans="1:26" s="12" customFormat="1" x14ac:dyDescent="0.25">
      <c r="A81" s="201" t="s">
        <v>1372</v>
      </c>
      <c r="B81" s="60">
        <v>19.420000000000002</v>
      </c>
      <c r="C81" s="60">
        <v>146.83000000000001</v>
      </c>
      <c r="D81" s="60">
        <v>96.6</v>
      </c>
      <c r="E81" s="60">
        <v>5.46</v>
      </c>
      <c r="F81" s="60">
        <v>1.1599999999999999</v>
      </c>
      <c r="G81" s="60">
        <v>314.12</v>
      </c>
      <c r="H81" s="60">
        <v>80.14</v>
      </c>
      <c r="I81" s="60">
        <v>0.5</v>
      </c>
      <c r="J81" s="60">
        <v>0.18</v>
      </c>
      <c r="K81" s="60">
        <v>103.43</v>
      </c>
      <c r="L81" s="10" t="s">
        <v>42</v>
      </c>
      <c r="M81" s="10" t="s">
        <v>42</v>
      </c>
      <c r="N81" s="60">
        <v>19</v>
      </c>
      <c r="O81" s="60">
        <v>0</v>
      </c>
      <c r="P81" s="60">
        <v>1.74</v>
      </c>
      <c r="Q81" s="60">
        <v>192.41</v>
      </c>
      <c r="R81" s="198"/>
      <c r="S81" s="198"/>
      <c r="T81" s="198"/>
      <c r="U81" s="198"/>
    </row>
    <row r="82" spans="1:26" s="12" customFormat="1" x14ac:dyDescent="0.25">
      <c r="A82" s="201" t="s">
        <v>1373</v>
      </c>
      <c r="B82" s="60">
        <v>18.52</v>
      </c>
      <c r="C82" s="60">
        <v>137.12</v>
      </c>
      <c r="D82" s="60">
        <v>90.53</v>
      </c>
      <c r="E82" s="60">
        <v>5.13</v>
      </c>
      <c r="F82" s="60">
        <v>0.71</v>
      </c>
      <c r="G82" s="60">
        <v>314.12</v>
      </c>
      <c r="H82" s="60">
        <v>80.14</v>
      </c>
      <c r="I82" s="60">
        <v>0.54</v>
      </c>
      <c r="J82" s="60">
        <v>0.12</v>
      </c>
      <c r="K82" s="60">
        <v>120.16</v>
      </c>
      <c r="L82" s="10" t="s">
        <v>42</v>
      </c>
      <c r="M82" s="10" t="s">
        <v>42</v>
      </c>
      <c r="N82" s="60">
        <v>19.2</v>
      </c>
      <c r="O82" s="60">
        <v>0</v>
      </c>
      <c r="P82" s="60">
        <v>1.77</v>
      </c>
      <c r="Q82" s="60">
        <v>197.7</v>
      </c>
      <c r="R82" s="198"/>
      <c r="S82" s="198"/>
      <c r="T82" s="198"/>
      <c r="U82" s="198"/>
    </row>
    <row r="83" spans="1:26" s="12" customFormat="1" x14ac:dyDescent="0.25">
      <c r="A83" s="201" t="s">
        <v>1374</v>
      </c>
      <c r="B83" s="60">
        <v>23.56</v>
      </c>
      <c r="C83" s="60">
        <v>118.96</v>
      </c>
      <c r="D83" s="60">
        <v>84.55</v>
      </c>
      <c r="E83" s="60">
        <v>4.13</v>
      </c>
      <c r="F83" s="60">
        <v>0.57999999999999996</v>
      </c>
      <c r="G83" s="60">
        <v>314.12</v>
      </c>
      <c r="H83" s="60">
        <v>80.14</v>
      </c>
      <c r="I83" s="60">
        <v>0.62</v>
      </c>
      <c r="J83" s="60">
        <v>0.1</v>
      </c>
      <c r="K83" s="60">
        <v>44.14</v>
      </c>
      <c r="L83" s="10" t="s">
        <v>42</v>
      </c>
      <c r="M83" s="10" t="s">
        <v>42</v>
      </c>
      <c r="N83" s="60">
        <v>19.3</v>
      </c>
      <c r="O83" s="60">
        <v>0</v>
      </c>
      <c r="P83" s="60">
        <v>1.93</v>
      </c>
      <c r="Q83" s="60">
        <v>188.07</v>
      </c>
      <c r="R83" s="198"/>
      <c r="S83" s="198"/>
      <c r="T83" s="198"/>
      <c r="U83" s="198"/>
    </row>
    <row r="84" spans="1:26" s="12" customFormat="1" x14ac:dyDescent="0.25">
      <c r="A84" s="201" t="s">
        <v>1375</v>
      </c>
      <c r="B84" s="60">
        <v>28.17</v>
      </c>
      <c r="C84" s="60">
        <v>136.4</v>
      </c>
      <c r="D84" s="60">
        <v>97.87</v>
      </c>
      <c r="E84" s="60">
        <v>4.4000000000000004</v>
      </c>
      <c r="F84" s="60">
        <v>0.79</v>
      </c>
      <c r="G84" s="60">
        <v>322.37</v>
      </c>
      <c r="H84" s="60">
        <v>80.97</v>
      </c>
      <c r="I84" s="60">
        <v>0.73</v>
      </c>
      <c r="J84" s="60">
        <v>0.26</v>
      </c>
      <c r="K84" s="60">
        <v>88.14</v>
      </c>
      <c r="L84" s="10" t="s">
        <v>42</v>
      </c>
      <c r="M84" s="10" t="s">
        <v>42</v>
      </c>
      <c r="N84" s="60">
        <v>18.399999999999999</v>
      </c>
      <c r="O84" s="60">
        <v>0</v>
      </c>
      <c r="P84" s="60">
        <v>2.27</v>
      </c>
      <c r="Q84" s="60">
        <v>176.5</v>
      </c>
      <c r="R84" s="198"/>
      <c r="S84" s="198"/>
      <c r="T84" s="198"/>
      <c r="U84" s="198"/>
    </row>
    <row r="85" spans="1:26" s="12" customFormat="1" x14ac:dyDescent="0.25">
      <c r="A85" s="201" t="s">
        <v>1376</v>
      </c>
      <c r="B85" s="60">
        <v>24.55</v>
      </c>
      <c r="C85" s="60">
        <v>134.94999999999999</v>
      </c>
      <c r="D85" s="60">
        <v>94.16</v>
      </c>
      <c r="E85" s="60">
        <v>4.68</v>
      </c>
      <c r="F85" s="60">
        <v>2.0099999999999998</v>
      </c>
      <c r="G85" s="60">
        <v>391.87</v>
      </c>
      <c r="H85" s="60">
        <v>89.55</v>
      </c>
      <c r="I85" s="60">
        <v>0.74</v>
      </c>
      <c r="J85" s="60">
        <v>0.24</v>
      </c>
      <c r="K85" s="60">
        <v>100.58</v>
      </c>
      <c r="L85" s="10" t="s">
        <v>42</v>
      </c>
      <c r="M85" s="10" t="s">
        <v>42</v>
      </c>
      <c r="N85" s="60">
        <v>19.7</v>
      </c>
      <c r="O85" s="60">
        <v>0</v>
      </c>
      <c r="P85" s="60">
        <v>2.11</v>
      </c>
      <c r="Q85" s="60">
        <v>180.68</v>
      </c>
      <c r="R85" s="198"/>
      <c r="S85" s="198"/>
      <c r="T85" s="198"/>
      <c r="U85" s="198"/>
    </row>
    <row r="86" spans="1:26" s="12" customFormat="1" x14ac:dyDescent="0.25">
      <c r="A86" s="201" t="s">
        <v>1377</v>
      </c>
      <c r="B86" s="60">
        <v>26.5</v>
      </c>
      <c r="C86" s="60">
        <v>132.83000000000001</v>
      </c>
      <c r="D86" s="60">
        <v>94.56</v>
      </c>
      <c r="E86" s="60">
        <v>4.7300000000000004</v>
      </c>
      <c r="F86" s="60">
        <v>1.45</v>
      </c>
      <c r="G86" s="60">
        <v>391.87</v>
      </c>
      <c r="H86" s="60">
        <v>89.55</v>
      </c>
      <c r="I86" s="60">
        <v>0.97</v>
      </c>
      <c r="J86" s="60">
        <v>0.33</v>
      </c>
      <c r="K86" s="60">
        <v>77.69</v>
      </c>
      <c r="L86" s="10" t="s">
        <v>42</v>
      </c>
      <c r="M86" s="10" t="s">
        <v>42</v>
      </c>
      <c r="N86" s="60">
        <v>20.8</v>
      </c>
      <c r="O86" s="60">
        <v>0</v>
      </c>
      <c r="P86" s="60">
        <v>2.2200000000000002</v>
      </c>
      <c r="Q86" s="60">
        <v>183.72</v>
      </c>
      <c r="R86" s="198"/>
      <c r="S86" s="198"/>
      <c r="T86" s="198"/>
      <c r="U86" s="198"/>
    </row>
    <row r="87" spans="1:26" s="12" customFormat="1" x14ac:dyDescent="0.25">
      <c r="A87" s="201" t="s">
        <v>1378</v>
      </c>
      <c r="B87" s="60">
        <v>24.39</v>
      </c>
      <c r="C87" s="60">
        <v>124.17</v>
      </c>
      <c r="D87" s="60">
        <v>88.08</v>
      </c>
      <c r="E87" s="60">
        <v>4.3899999999999997</v>
      </c>
      <c r="F87" s="60">
        <v>1.68</v>
      </c>
      <c r="G87" s="60">
        <v>391.87</v>
      </c>
      <c r="H87" s="60">
        <v>89.55</v>
      </c>
      <c r="I87" s="60">
        <v>0.97</v>
      </c>
      <c r="J87" s="60">
        <v>0.26</v>
      </c>
      <c r="K87" s="60">
        <v>69.739999999999995</v>
      </c>
      <c r="L87" s="10" t="s">
        <v>42</v>
      </c>
      <c r="M87" s="10" t="s">
        <v>42</v>
      </c>
      <c r="N87" s="60">
        <v>21.1</v>
      </c>
      <c r="O87" s="60">
        <v>0</v>
      </c>
      <c r="P87" s="60">
        <v>2.2000000000000002</v>
      </c>
      <c r="Q87" s="60">
        <v>175.08</v>
      </c>
      <c r="R87" s="198"/>
      <c r="S87" s="198"/>
      <c r="T87" s="198"/>
      <c r="U87" s="198"/>
    </row>
    <row r="88" spans="1:26" s="12" customFormat="1" x14ac:dyDescent="0.25">
      <c r="A88" s="201" t="s">
        <v>1379</v>
      </c>
      <c r="B88" s="60">
        <v>27.91</v>
      </c>
      <c r="C88" s="60">
        <v>125.78</v>
      </c>
      <c r="D88" s="60">
        <v>91.79</v>
      </c>
      <c r="E88" s="60">
        <v>2.64</v>
      </c>
      <c r="F88" s="60">
        <v>1.23</v>
      </c>
      <c r="G88" s="60">
        <v>376.45</v>
      </c>
      <c r="H88" s="60">
        <v>88.65</v>
      </c>
      <c r="I88" s="60">
        <v>0.98</v>
      </c>
      <c r="J88" s="60">
        <v>0.35</v>
      </c>
      <c r="K88" s="60">
        <v>43.34</v>
      </c>
      <c r="L88" s="10" t="s">
        <v>42</v>
      </c>
      <c r="M88" s="10" t="s">
        <v>42</v>
      </c>
      <c r="N88" s="60">
        <v>21.1</v>
      </c>
      <c r="O88" s="60">
        <v>0</v>
      </c>
      <c r="P88" s="60">
        <v>2.36</v>
      </c>
      <c r="Q88" s="60">
        <v>176.6</v>
      </c>
      <c r="R88" s="198"/>
      <c r="S88" s="198"/>
      <c r="T88" s="198"/>
      <c r="U88" s="198"/>
    </row>
    <row r="89" spans="1:26" s="12" customFormat="1" x14ac:dyDescent="0.25">
      <c r="A89" s="201" t="s">
        <v>1380</v>
      </c>
      <c r="B89" s="60">
        <v>26.88</v>
      </c>
      <c r="C89" s="60">
        <v>122.17</v>
      </c>
      <c r="D89" s="60">
        <v>88.98</v>
      </c>
      <c r="E89" s="60">
        <v>4.25</v>
      </c>
      <c r="F89" s="60">
        <v>1.27</v>
      </c>
      <c r="G89" s="60">
        <v>246.57</v>
      </c>
      <c r="H89" s="60">
        <v>79.349999999999994</v>
      </c>
      <c r="I89" s="60">
        <v>0.99</v>
      </c>
      <c r="J89" s="60">
        <v>0.28999999999999998</v>
      </c>
      <c r="K89" s="60">
        <v>69.44</v>
      </c>
      <c r="L89" s="10" t="s">
        <v>42</v>
      </c>
      <c r="M89" s="10" t="s">
        <v>42</v>
      </c>
      <c r="N89" s="60">
        <v>21.1</v>
      </c>
      <c r="O89" s="60">
        <v>0</v>
      </c>
      <c r="P89" s="60">
        <v>2.2799999999999998</v>
      </c>
      <c r="Q89" s="60">
        <v>178.6</v>
      </c>
      <c r="R89" s="198"/>
      <c r="S89" s="198"/>
      <c r="T89" s="198"/>
      <c r="U89" s="198"/>
    </row>
    <row r="90" spans="1:26" s="12" customFormat="1" x14ac:dyDescent="0.25">
      <c r="A90" s="201" t="s">
        <v>1381</v>
      </c>
      <c r="B90" s="60">
        <v>24.66</v>
      </c>
      <c r="C90" s="60">
        <v>124.37</v>
      </c>
      <c r="D90" s="60">
        <v>88.41</v>
      </c>
      <c r="E90" s="60">
        <v>4.5599999999999996</v>
      </c>
      <c r="F90" s="60">
        <v>2.21</v>
      </c>
      <c r="G90" s="60">
        <v>246.57</v>
      </c>
      <c r="H90" s="60">
        <v>79.349999999999994</v>
      </c>
      <c r="I90" s="60">
        <v>0.99</v>
      </c>
      <c r="J90" s="60">
        <v>0.18</v>
      </c>
      <c r="K90" s="60">
        <v>93.16</v>
      </c>
      <c r="L90" s="10" t="s">
        <v>42</v>
      </c>
      <c r="M90" s="10" t="s">
        <v>42</v>
      </c>
      <c r="N90" s="60">
        <v>21.4</v>
      </c>
      <c r="O90" s="60">
        <v>0</v>
      </c>
      <c r="P90" s="60">
        <v>2.2599999999999998</v>
      </c>
      <c r="Q90" s="60">
        <v>186.51</v>
      </c>
      <c r="R90" s="198"/>
      <c r="S90" s="198"/>
      <c r="T90" s="198"/>
      <c r="U90" s="198"/>
    </row>
    <row r="91" spans="1:26" s="12" customFormat="1" x14ac:dyDescent="0.25">
      <c r="A91" s="201" t="s">
        <v>1382</v>
      </c>
      <c r="B91" s="60">
        <v>23.97</v>
      </c>
      <c r="C91" s="60">
        <v>119.45</v>
      </c>
      <c r="D91" s="60">
        <v>85.15</v>
      </c>
      <c r="E91" s="60">
        <v>4.8499999999999996</v>
      </c>
      <c r="F91" s="60">
        <v>1.6</v>
      </c>
      <c r="G91" s="60">
        <v>246.57</v>
      </c>
      <c r="H91" s="60">
        <v>79.349999999999994</v>
      </c>
      <c r="I91" s="60">
        <v>0.99</v>
      </c>
      <c r="J91" s="60">
        <v>0.18</v>
      </c>
      <c r="K91" s="60">
        <v>108.28</v>
      </c>
      <c r="L91" s="10" t="s">
        <v>42</v>
      </c>
      <c r="M91" s="10" t="s">
        <v>42</v>
      </c>
      <c r="N91" s="60">
        <v>21.1</v>
      </c>
      <c r="O91" s="60">
        <v>0</v>
      </c>
      <c r="P91" s="60">
        <v>2.2200000000000002</v>
      </c>
      <c r="Q91" s="60">
        <v>189.03</v>
      </c>
      <c r="R91" s="198"/>
      <c r="S91" s="198"/>
      <c r="T91" s="198"/>
      <c r="U91" s="198"/>
    </row>
    <row r="92" spans="1:26" s="12" customFormat="1" x14ac:dyDescent="0.25">
      <c r="A92" s="201" t="s">
        <v>1383</v>
      </c>
      <c r="B92" s="60">
        <v>28.99</v>
      </c>
      <c r="C92" s="60">
        <v>117.69</v>
      </c>
      <c r="D92" s="60">
        <v>88.2</v>
      </c>
      <c r="E92" s="60">
        <v>4.57</v>
      </c>
      <c r="F92" s="60">
        <v>1.28</v>
      </c>
      <c r="G92" s="60">
        <v>240.96</v>
      </c>
      <c r="H92" s="60">
        <v>79.34</v>
      </c>
      <c r="I92" s="60">
        <v>1</v>
      </c>
      <c r="J92" s="60">
        <v>0.28999999999999998</v>
      </c>
      <c r="K92" s="60">
        <v>36.06</v>
      </c>
      <c r="L92" s="10" t="s">
        <v>42</v>
      </c>
      <c r="M92" s="10" t="s">
        <v>42</v>
      </c>
      <c r="N92" s="60">
        <v>21.4</v>
      </c>
      <c r="O92" s="60">
        <v>0</v>
      </c>
      <c r="P92" s="60">
        <v>2.3199999999999998</v>
      </c>
      <c r="Q92" s="60">
        <v>190.74</v>
      </c>
      <c r="R92" s="198"/>
      <c r="S92" s="198"/>
      <c r="T92" s="198"/>
      <c r="U92" s="198"/>
    </row>
    <row r="93" spans="1:26" s="12" customFormat="1" x14ac:dyDescent="0.25">
      <c r="A93" s="201" t="s">
        <v>1384</v>
      </c>
      <c r="B93" s="60">
        <v>27.22</v>
      </c>
      <c r="C93" s="60">
        <v>111.52</v>
      </c>
      <c r="D93" s="60">
        <v>83.37</v>
      </c>
      <c r="E93" s="60">
        <v>4.7699999999999996</v>
      </c>
      <c r="F93" s="60">
        <v>0.95</v>
      </c>
      <c r="G93" s="60">
        <v>193.74</v>
      </c>
      <c r="H93" s="60">
        <v>79.239999999999995</v>
      </c>
      <c r="I93" s="60">
        <v>1.04</v>
      </c>
      <c r="J93" s="60">
        <v>0.24</v>
      </c>
      <c r="K93" s="60">
        <v>34.299999999999997</v>
      </c>
      <c r="L93" s="10" t="s">
        <v>42</v>
      </c>
      <c r="M93" s="10" t="s">
        <v>42</v>
      </c>
      <c r="N93" s="60">
        <v>21.5</v>
      </c>
      <c r="O93" s="60">
        <v>0</v>
      </c>
      <c r="P93" s="60">
        <v>2.3199999999999998</v>
      </c>
      <c r="Q93" s="60">
        <v>189.86</v>
      </c>
      <c r="R93" s="198"/>
      <c r="S93" s="198"/>
      <c r="T93" s="198"/>
      <c r="U93" s="198"/>
    </row>
    <row r="94" spans="1:26" s="12" customFormat="1" x14ac:dyDescent="0.25">
      <c r="A94" s="201" t="s">
        <v>1385</v>
      </c>
      <c r="B94" s="60">
        <v>28.24</v>
      </c>
      <c r="C94" s="60">
        <v>112.81</v>
      </c>
      <c r="D94" s="60">
        <v>84.91</v>
      </c>
      <c r="E94" s="60">
        <v>4.55</v>
      </c>
      <c r="F94" s="60">
        <v>0.71</v>
      </c>
      <c r="G94" s="60">
        <v>193.74</v>
      </c>
      <c r="H94" s="60">
        <v>79.239999999999995</v>
      </c>
      <c r="I94" s="60">
        <v>1.01</v>
      </c>
      <c r="J94" s="60">
        <v>0.24</v>
      </c>
      <c r="K94" s="60">
        <v>31.54</v>
      </c>
      <c r="L94" s="10" t="s">
        <v>42</v>
      </c>
      <c r="M94" s="10" t="s">
        <v>42</v>
      </c>
      <c r="N94" s="60">
        <v>21.4</v>
      </c>
      <c r="O94" s="60">
        <v>0</v>
      </c>
      <c r="P94" s="60">
        <v>2.34</v>
      </c>
      <c r="Q94" s="60">
        <v>194.3</v>
      </c>
      <c r="R94" s="198"/>
      <c r="S94" s="198"/>
      <c r="T94" s="198"/>
      <c r="U94" s="198"/>
    </row>
    <row r="95" spans="1:26" s="12" customFormat="1" x14ac:dyDescent="0.25">
      <c r="A95" s="201" t="s">
        <v>1386</v>
      </c>
      <c r="B95" s="60">
        <v>31.02</v>
      </c>
      <c r="C95" s="60">
        <v>114.11</v>
      </c>
      <c r="D95" s="60">
        <v>87.85</v>
      </c>
      <c r="E95" s="60">
        <v>4.83</v>
      </c>
      <c r="F95" s="60">
        <v>0.8</v>
      </c>
      <c r="G95" s="60">
        <v>193.74</v>
      </c>
      <c r="H95" s="60">
        <v>79.239999999999995</v>
      </c>
      <c r="I95" s="60">
        <v>1.06</v>
      </c>
      <c r="J95" s="60">
        <v>0.33</v>
      </c>
      <c r="K95" s="60">
        <v>85.95</v>
      </c>
      <c r="L95" s="10" t="s">
        <v>42</v>
      </c>
      <c r="M95" s="10" t="s">
        <v>42</v>
      </c>
      <c r="N95" s="60">
        <v>20.7</v>
      </c>
      <c r="O95" s="60">
        <v>0</v>
      </c>
      <c r="P95" s="60">
        <v>2.37</v>
      </c>
      <c r="Q95" s="60">
        <v>197.05</v>
      </c>
      <c r="R95" s="198"/>
      <c r="S95" s="198"/>
      <c r="T95" s="198"/>
      <c r="U95" s="198"/>
    </row>
    <row r="96" spans="1:26" s="12" customFormat="1" x14ac:dyDescent="0.25">
      <c r="A96" s="201" t="s">
        <v>1387</v>
      </c>
      <c r="B96" s="60">
        <v>30.08</v>
      </c>
      <c r="C96" s="60">
        <v>112.88</v>
      </c>
      <c r="D96" s="60">
        <v>86.42</v>
      </c>
      <c r="E96" s="60">
        <v>4.79</v>
      </c>
      <c r="F96" s="60">
        <v>0.64</v>
      </c>
      <c r="G96" s="60">
        <v>197.68</v>
      </c>
      <c r="H96" s="60">
        <v>79.12</v>
      </c>
      <c r="I96" s="60">
        <v>1.1399999999999999</v>
      </c>
      <c r="J96" s="60">
        <v>0.18</v>
      </c>
      <c r="K96" s="60">
        <v>65.19</v>
      </c>
      <c r="L96" s="10" t="s">
        <v>42</v>
      </c>
      <c r="M96" s="10" t="s">
        <v>42</v>
      </c>
      <c r="N96" s="60">
        <v>21.5</v>
      </c>
      <c r="O96" s="60">
        <v>0</v>
      </c>
      <c r="P96" s="60">
        <v>2.36</v>
      </c>
      <c r="Q96" s="60">
        <v>198.71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1388</v>
      </c>
      <c r="B97" s="60">
        <v>30.46</v>
      </c>
      <c r="C97" s="60">
        <v>114.38</v>
      </c>
      <c r="D97" s="60">
        <v>87.55</v>
      </c>
      <c r="E97" s="60">
        <v>4.51</v>
      </c>
      <c r="F97" s="60">
        <v>0.55000000000000004</v>
      </c>
      <c r="G97" s="60">
        <v>230.86</v>
      </c>
      <c r="H97" s="60">
        <v>77.94</v>
      </c>
      <c r="I97" s="60">
        <v>1.1599999999999999</v>
      </c>
      <c r="J97" s="60">
        <v>0.32</v>
      </c>
      <c r="K97" s="60">
        <v>62.5</v>
      </c>
      <c r="L97" s="10" t="s">
        <v>42</v>
      </c>
      <c r="M97" s="10" t="s">
        <v>42</v>
      </c>
      <c r="N97" s="60">
        <v>20.8</v>
      </c>
      <c r="O97" s="60">
        <v>0</v>
      </c>
      <c r="P97" s="60">
        <v>2.36</v>
      </c>
      <c r="Q97" s="60">
        <v>193.14</v>
      </c>
      <c r="R97" s="198"/>
      <c r="S97" s="198"/>
      <c r="T97" s="198"/>
      <c r="U97" s="198"/>
    </row>
    <row r="98" spans="1:33" s="12" customFormat="1" x14ac:dyDescent="0.25">
      <c r="A98" s="201" t="s">
        <v>1389</v>
      </c>
      <c r="B98" s="60">
        <v>30.28</v>
      </c>
      <c r="C98" s="60">
        <v>104.25</v>
      </c>
      <c r="D98" s="60">
        <v>81.819999999999993</v>
      </c>
      <c r="E98" s="60">
        <v>4.68</v>
      </c>
      <c r="F98" s="60">
        <v>0.56999999999999995</v>
      </c>
      <c r="G98" s="60">
        <v>230.86</v>
      </c>
      <c r="H98" s="60">
        <v>77.94</v>
      </c>
      <c r="I98" s="60">
        <v>1.1399999999999999</v>
      </c>
      <c r="J98" s="60">
        <v>0.41</v>
      </c>
      <c r="K98" s="60">
        <v>58.79</v>
      </c>
      <c r="L98" s="10" t="s">
        <v>42</v>
      </c>
      <c r="M98" s="10" t="s">
        <v>42</v>
      </c>
      <c r="N98" s="60">
        <v>20.8</v>
      </c>
      <c r="O98" s="60">
        <v>0</v>
      </c>
      <c r="P98" s="60">
        <v>2.35</v>
      </c>
      <c r="Q98" s="60">
        <v>178.65</v>
      </c>
      <c r="R98" s="198"/>
      <c r="S98" s="198"/>
      <c r="T98" s="198"/>
      <c r="U98" s="198"/>
    </row>
    <row r="99" spans="1:33" s="12" customFormat="1" x14ac:dyDescent="0.25">
      <c r="A99" s="201" t="s">
        <v>1390</v>
      </c>
      <c r="B99" s="60">
        <v>29.93</v>
      </c>
      <c r="C99" s="60">
        <v>105.66</v>
      </c>
      <c r="D99" s="60">
        <v>82.31</v>
      </c>
      <c r="E99" s="60">
        <v>4.54</v>
      </c>
      <c r="F99" s="60">
        <v>0.4</v>
      </c>
      <c r="G99" s="60">
        <v>230.86</v>
      </c>
      <c r="H99" s="60">
        <v>77.94</v>
      </c>
      <c r="I99" s="60">
        <v>1.1399999999999999</v>
      </c>
      <c r="J99" s="60">
        <v>0.24</v>
      </c>
      <c r="K99" s="60">
        <v>63.35</v>
      </c>
      <c r="L99" s="10" t="s">
        <v>42</v>
      </c>
      <c r="M99" s="10" t="s">
        <v>42</v>
      </c>
      <c r="N99" s="60">
        <v>21.2</v>
      </c>
      <c r="O99" s="60">
        <v>0</v>
      </c>
      <c r="P99" s="60">
        <v>2.3199999999999998</v>
      </c>
      <c r="Q99" s="60">
        <v>172.7</v>
      </c>
      <c r="R99" s="198"/>
      <c r="S99" s="198"/>
      <c r="T99" s="198"/>
      <c r="U99" s="198"/>
    </row>
    <row r="100" spans="1:33" s="12" customFormat="1" x14ac:dyDescent="0.25">
      <c r="A100" s="201" t="s">
        <v>1391</v>
      </c>
      <c r="B100" s="60">
        <v>29.88</v>
      </c>
      <c r="C100" s="60">
        <v>104.79</v>
      </c>
      <c r="D100" s="60">
        <v>81.790000000000006</v>
      </c>
      <c r="E100" s="60">
        <v>4.41</v>
      </c>
      <c r="F100" s="60">
        <v>0.52</v>
      </c>
      <c r="G100" s="60">
        <v>228.58</v>
      </c>
      <c r="H100" s="60">
        <v>77.400000000000006</v>
      </c>
      <c r="I100" s="60">
        <v>1.1399999999999999</v>
      </c>
      <c r="J100" s="60">
        <v>0.26</v>
      </c>
      <c r="K100" s="60">
        <v>80.25</v>
      </c>
      <c r="L100" s="10" t="s">
        <v>42</v>
      </c>
      <c r="M100" s="10" t="s">
        <v>42</v>
      </c>
      <c r="N100" s="60">
        <v>21.2</v>
      </c>
      <c r="O100" s="60">
        <v>0</v>
      </c>
      <c r="P100" s="60">
        <v>2.2799999999999998</v>
      </c>
      <c r="Q100" s="60">
        <v>167.58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1392</v>
      </c>
      <c r="B101" s="60">
        <v>29.19</v>
      </c>
      <c r="C101" s="60">
        <v>104.05</v>
      </c>
      <c r="D101" s="60">
        <v>80.83</v>
      </c>
      <c r="E101" s="60">
        <v>4.57</v>
      </c>
      <c r="F101" s="60">
        <v>0.67</v>
      </c>
      <c r="G101" s="60">
        <v>209.33</v>
      </c>
      <c r="H101" s="60">
        <v>71.819999999999993</v>
      </c>
      <c r="I101" s="60">
        <v>1.1000000000000001</v>
      </c>
      <c r="J101" s="60">
        <v>0.23</v>
      </c>
      <c r="K101" s="60">
        <v>56.68</v>
      </c>
      <c r="L101" s="10" t="s">
        <v>42</v>
      </c>
      <c r="M101" s="10" t="s">
        <v>42</v>
      </c>
      <c r="N101" s="60">
        <v>25.9</v>
      </c>
      <c r="O101" s="60">
        <v>0</v>
      </c>
      <c r="P101" s="60">
        <v>2.2400000000000002</v>
      </c>
      <c r="Q101" s="60">
        <v>162.09</v>
      </c>
      <c r="R101" s="198"/>
      <c r="S101" s="198"/>
      <c r="T101" s="198"/>
      <c r="U101" s="198"/>
    </row>
    <row r="102" spans="1:33" s="12" customFormat="1" x14ac:dyDescent="0.25">
      <c r="A102" s="201" t="s">
        <v>1393</v>
      </c>
      <c r="B102" s="60">
        <v>29.02</v>
      </c>
      <c r="C102" s="60">
        <v>102.17</v>
      </c>
      <c r="D102" s="60">
        <v>79.66</v>
      </c>
      <c r="E102" s="60">
        <v>4.66</v>
      </c>
      <c r="F102" s="60">
        <v>0.84</v>
      </c>
      <c r="G102" s="60">
        <v>209.33</v>
      </c>
      <c r="H102" s="60">
        <v>71.819999999999993</v>
      </c>
      <c r="I102" s="60">
        <v>1.0900000000000001</v>
      </c>
      <c r="J102" s="60">
        <v>0.03</v>
      </c>
      <c r="K102" s="60">
        <v>28.31</v>
      </c>
      <c r="L102" s="10" t="s">
        <v>42</v>
      </c>
      <c r="M102" s="10" t="s">
        <v>42</v>
      </c>
      <c r="N102" s="60">
        <v>28.9</v>
      </c>
      <c r="O102" s="60">
        <v>0</v>
      </c>
      <c r="P102" s="60">
        <v>2.2000000000000002</v>
      </c>
      <c r="Q102" s="60">
        <v>162.76</v>
      </c>
      <c r="R102" s="198"/>
      <c r="S102" s="198"/>
      <c r="T102" s="198"/>
      <c r="U102" s="198"/>
    </row>
    <row r="103" spans="1:33" s="12" customFormat="1" x14ac:dyDescent="0.25">
      <c r="A103" s="201" t="s">
        <v>1394</v>
      </c>
      <c r="B103" s="60">
        <v>29.96</v>
      </c>
      <c r="C103" s="60">
        <v>100.79</v>
      </c>
      <c r="D103" s="60">
        <v>79.650000000000006</v>
      </c>
      <c r="E103" s="60">
        <v>4.33</v>
      </c>
      <c r="F103" s="60">
        <v>0.72</v>
      </c>
      <c r="G103" s="60">
        <v>209.33</v>
      </c>
      <c r="H103" s="60">
        <v>71.819999999999993</v>
      </c>
      <c r="I103" s="60">
        <v>1.07</v>
      </c>
      <c r="J103" s="60">
        <v>0.05</v>
      </c>
      <c r="K103" s="60">
        <v>274.43</v>
      </c>
      <c r="L103" s="10" t="s">
        <v>42</v>
      </c>
      <c r="M103" s="10" t="s">
        <v>42</v>
      </c>
      <c r="N103" s="60">
        <v>28.8</v>
      </c>
      <c r="O103" s="60">
        <v>0</v>
      </c>
      <c r="P103" s="60">
        <v>2.15</v>
      </c>
      <c r="Q103" s="60">
        <v>161.88999999999999</v>
      </c>
      <c r="R103" s="198"/>
      <c r="S103" s="198"/>
      <c r="T103" s="198"/>
      <c r="U103" s="198"/>
    </row>
    <row r="104" spans="1:33" s="12" customFormat="1" x14ac:dyDescent="0.25">
      <c r="A104" s="201" t="s">
        <v>1395</v>
      </c>
      <c r="B104" s="60">
        <v>30.34</v>
      </c>
      <c r="C104" s="60">
        <v>101.15</v>
      </c>
      <c r="D104" s="60">
        <v>80.150000000000006</v>
      </c>
      <c r="E104" s="60">
        <v>2.58</v>
      </c>
      <c r="F104" s="60">
        <v>0.8</v>
      </c>
      <c r="G104" s="60">
        <v>208</v>
      </c>
      <c r="H104" s="60">
        <v>70.58</v>
      </c>
      <c r="I104" s="60">
        <v>1.06</v>
      </c>
      <c r="J104" s="60">
        <v>0.09</v>
      </c>
      <c r="K104" s="60">
        <v>349.82</v>
      </c>
      <c r="L104" s="10" t="s">
        <v>42</v>
      </c>
      <c r="M104" s="10" t="s">
        <v>42</v>
      </c>
      <c r="N104" s="60">
        <v>28.7</v>
      </c>
      <c r="O104" s="60">
        <v>0</v>
      </c>
      <c r="P104" s="60">
        <v>2.11</v>
      </c>
      <c r="Q104" s="60">
        <v>164.99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2.17</v>
      </c>
      <c r="C106" s="67">
        <f>MIN(C9:C104)</f>
        <v>44.99</v>
      </c>
      <c r="D106" s="67">
        <f t="shared" ref="D106:Q106" si="0">MIN(D9:D104)</f>
        <v>28.72</v>
      </c>
      <c r="E106" s="67">
        <f t="shared" si="0"/>
        <v>2.15</v>
      </c>
      <c r="F106" s="67">
        <f t="shared" si="0"/>
        <v>0.13</v>
      </c>
      <c r="G106" s="67">
        <f t="shared" si="0"/>
        <v>136.56</v>
      </c>
      <c r="H106" s="67">
        <f t="shared" si="0"/>
        <v>54.69</v>
      </c>
      <c r="I106" s="67">
        <f t="shared" si="0"/>
        <v>0.28000000000000003</v>
      </c>
      <c r="J106" s="67">
        <f t="shared" si="0"/>
        <v>0.03</v>
      </c>
      <c r="K106" s="67">
        <f t="shared" si="0"/>
        <v>1.1100000000000001</v>
      </c>
      <c r="L106" s="67">
        <f t="shared" si="0"/>
        <v>0</v>
      </c>
      <c r="M106" s="67">
        <f t="shared" si="0"/>
        <v>0</v>
      </c>
      <c r="N106" s="67">
        <f t="shared" si="0"/>
        <v>18.399999999999999</v>
      </c>
      <c r="O106" s="67">
        <f t="shared" si="0"/>
        <v>0</v>
      </c>
      <c r="P106" s="67">
        <f t="shared" si="0"/>
        <v>0.94</v>
      </c>
      <c r="Q106" s="67">
        <f t="shared" si="0"/>
        <v>115.12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36.19</v>
      </c>
      <c r="C107" s="66">
        <f t="shared" ref="C107:Q107" si="1">MAX(C9:C104)</f>
        <v>154.32</v>
      </c>
      <c r="D107" s="66">
        <f t="shared" si="1"/>
        <v>97.87</v>
      </c>
      <c r="E107" s="66">
        <f t="shared" si="1"/>
        <v>14.41</v>
      </c>
      <c r="F107" s="66">
        <f t="shared" si="1"/>
        <v>22.39</v>
      </c>
      <c r="G107" s="66">
        <f t="shared" si="1"/>
        <v>391.87</v>
      </c>
      <c r="H107" s="66">
        <f t="shared" si="1"/>
        <v>99.35</v>
      </c>
      <c r="I107" s="66">
        <f t="shared" si="1"/>
        <v>1.1599999999999999</v>
      </c>
      <c r="J107" s="66">
        <f t="shared" si="1"/>
        <v>1.5</v>
      </c>
      <c r="K107" s="66">
        <f t="shared" si="1"/>
        <v>355.07</v>
      </c>
      <c r="L107" s="66">
        <f t="shared" si="1"/>
        <v>0</v>
      </c>
      <c r="M107" s="66">
        <f t="shared" si="1"/>
        <v>0</v>
      </c>
      <c r="N107" s="66">
        <f t="shared" si="1"/>
        <v>655.29999999999995</v>
      </c>
      <c r="O107" s="66">
        <f t="shared" si="1"/>
        <v>0</v>
      </c>
      <c r="P107" s="66">
        <f t="shared" si="1"/>
        <v>2.37</v>
      </c>
      <c r="Q107" s="66">
        <f t="shared" si="1"/>
        <v>205.11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17.742500000000003</v>
      </c>
      <c r="C108" s="67">
        <f t="shared" ref="C108:Q108" si="2">AVERAGE(C9:C104)</f>
        <v>93.103645833333346</v>
      </c>
      <c r="D108" s="67">
        <f t="shared" si="2"/>
        <v>65.610416666666666</v>
      </c>
      <c r="E108" s="67">
        <f t="shared" si="2"/>
        <v>5.4676041666666686</v>
      </c>
      <c r="F108" s="67">
        <f t="shared" si="2"/>
        <v>2.592083333333334</v>
      </c>
      <c r="G108" s="67">
        <f t="shared" si="2"/>
        <v>205.31468750000013</v>
      </c>
      <c r="H108" s="67">
        <f t="shared" si="2"/>
        <v>74.624270833333313</v>
      </c>
      <c r="I108" s="67">
        <f t="shared" si="2"/>
        <v>0.69291666666666663</v>
      </c>
      <c r="J108" s="67">
        <f t="shared" si="2"/>
        <v>0.55291666666666661</v>
      </c>
      <c r="K108" s="67">
        <f t="shared" si="2"/>
        <v>72.805416666666659</v>
      </c>
      <c r="L108" s="67" t="e">
        <f t="shared" si="2"/>
        <v>#DIV/0!</v>
      </c>
      <c r="M108" s="67" t="e">
        <f t="shared" si="2"/>
        <v>#DIV/0!</v>
      </c>
      <c r="N108" s="67">
        <f t="shared" si="2"/>
        <v>166.96666666666664</v>
      </c>
      <c r="O108" s="67">
        <f t="shared" si="2"/>
        <v>0</v>
      </c>
      <c r="P108" s="67">
        <f t="shared" si="2"/>
        <v>1.5193749999999999</v>
      </c>
      <c r="Q108" s="67">
        <f t="shared" si="2"/>
        <v>159.01729166666667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9.8966002668646329</v>
      </c>
      <c r="C109" s="67">
        <f t="shared" ref="C109:Q109" si="3">STDEV(C9:C104)</f>
        <v>22.6505804791326</v>
      </c>
      <c r="D109" s="67">
        <f t="shared" si="3"/>
        <v>17.701815067011275</v>
      </c>
      <c r="E109" s="67">
        <f t="shared" si="3"/>
        <v>1.8617217525108025</v>
      </c>
      <c r="F109" s="67">
        <f t="shared" si="3"/>
        <v>3.7832400251265192</v>
      </c>
      <c r="G109" s="67">
        <f t="shared" si="3"/>
        <v>58.839877543847201</v>
      </c>
      <c r="H109" s="67">
        <f t="shared" si="3"/>
        <v>12.53187781491612</v>
      </c>
      <c r="I109" s="67">
        <f t="shared" si="3"/>
        <v>0.24871846974638279</v>
      </c>
      <c r="J109" s="67">
        <f t="shared" si="3"/>
        <v>0.37623597485079791</v>
      </c>
      <c r="K109" s="67">
        <f t="shared" si="3"/>
        <v>62.78247909990354</v>
      </c>
      <c r="L109" s="67" t="e">
        <f t="shared" si="3"/>
        <v>#DIV/0!</v>
      </c>
      <c r="M109" s="67" t="e">
        <f t="shared" si="3"/>
        <v>#DIV/0!</v>
      </c>
      <c r="N109" s="67">
        <f t="shared" si="3"/>
        <v>216.49159393753388</v>
      </c>
      <c r="O109" s="67">
        <f t="shared" si="3"/>
        <v>0</v>
      </c>
      <c r="P109" s="67">
        <f t="shared" si="3"/>
        <v>0.45517564568093144</v>
      </c>
      <c r="Q109" s="67">
        <f t="shared" si="3"/>
        <v>23.574891972925048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v>96</v>
      </c>
      <c r="J110" s="66">
        <v>96</v>
      </c>
      <c r="K110" s="66">
        <f t="shared" si="4"/>
        <v>96</v>
      </c>
      <c r="L110" s="66">
        <f>COUNT(L9:L104)+96</f>
        <v>96</v>
      </c>
      <c r="M110" s="66">
        <f>COUNT(M9:M104)+96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</f>
        <v>99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 t="s">
        <v>1396</v>
      </c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9" sqref="L9:M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1397</v>
      </c>
      <c r="B9" s="60">
        <v>31.27</v>
      </c>
      <c r="C9" s="60">
        <v>102.14</v>
      </c>
      <c r="D9" s="60">
        <v>81.44</v>
      </c>
      <c r="E9" s="60">
        <v>4.49</v>
      </c>
      <c r="F9" s="60">
        <v>1.08</v>
      </c>
      <c r="G9" s="60">
        <v>196.78</v>
      </c>
      <c r="H9" s="60">
        <v>57.84</v>
      </c>
      <c r="I9" s="60">
        <v>1.04</v>
      </c>
      <c r="J9" s="60">
        <v>0.04</v>
      </c>
      <c r="K9" s="60">
        <v>218.82</v>
      </c>
      <c r="L9" s="10" t="s">
        <v>42</v>
      </c>
      <c r="M9" s="10" t="s">
        <v>42</v>
      </c>
      <c r="N9" s="60">
        <v>28.3</v>
      </c>
      <c r="O9" s="60">
        <v>0</v>
      </c>
      <c r="P9" s="60">
        <v>2.08</v>
      </c>
      <c r="Q9" s="60">
        <v>168.96</v>
      </c>
      <c r="R9" s="198"/>
      <c r="S9" s="198"/>
      <c r="T9" s="198"/>
      <c r="U9" s="198"/>
    </row>
    <row r="10" spans="1:21" s="12" customFormat="1" x14ac:dyDescent="0.25">
      <c r="A10" s="201" t="s">
        <v>1398</v>
      </c>
      <c r="B10" s="60">
        <v>30.97</v>
      </c>
      <c r="C10" s="60">
        <v>100.79</v>
      </c>
      <c r="D10" s="60">
        <v>80.459999999999994</v>
      </c>
      <c r="E10" s="60">
        <v>4.54</v>
      </c>
      <c r="F10" s="60">
        <v>0.8</v>
      </c>
      <c r="G10" s="60">
        <v>196.78</v>
      </c>
      <c r="H10" s="60">
        <v>57.84</v>
      </c>
      <c r="I10" s="60">
        <v>1.03</v>
      </c>
      <c r="J10" s="60">
        <v>0.13</v>
      </c>
      <c r="K10" s="60">
        <v>357.78</v>
      </c>
      <c r="L10" s="10" t="s">
        <v>42</v>
      </c>
      <c r="M10" s="10" t="s">
        <v>42</v>
      </c>
      <c r="N10" s="60">
        <v>28.1</v>
      </c>
      <c r="O10" s="60">
        <v>0</v>
      </c>
      <c r="P10" s="60">
        <v>2.04</v>
      </c>
      <c r="Q10" s="60">
        <v>172.5</v>
      </c>
      <c r="R10" s="198"/>
      <c r="S10" s="198"/>
      <c r="T10" s="198"/>
      <c r="U10" s="198"/>
    </row>
    <row r="11" spans="1:21" s="12" customFormat="1" x14ac:dyDescent="0.25">
      <c r="A11" s="201" t="s">
        <v>1399</v>
      </c>
      <c r="B11" s="60">
        <v>30.55</v>
      </c>
      <c r="C11" s="60">
        <v>99.44</v>
      </c>
      <c r="D11" s="60">
        <v>79.37</v>
      </c>
      <c r="E11" s="60">
        <v>4.51</v>
      </c>
      <c r="F11" s="60">
        <v>0.56000000000000005</v>
      </c>
      <c r="G11" s="60">
        <v>196.78</v>
      </c>
      <c r="H11" s="60">
        <v>57.84</v>
      </c>
      <c r="I11" s="60">
        <v>1.04</v>
      </c>
      <c r="J11" s="60">
        <v>0.08</v>
      </c>
      <c r="K11" s="60">
        <v>52.8</v>
      </c>
      <c r="L11" s="10" t="s">
        <v>42</v>
      </c>
      <c r="M11" s="10" t="s">
        <v>42</v>
      </c>
      <c r="N11" s="60">
        <v>27.6</v>
      </c>
      <c r="O11" s="60">
        <v>0</v>
      </c>
      <c r="P11" s="60">
        <v>1.99</v>
      </c>
      <c r="Q11" s="60">
        <v>173.45</v>
      </c>
      <c r="R11" s="198"/>
      <c r="S11" s="198"/>
      <c r="T11" s="198"/>
      <c r="U11" s="198"/>
    </row>
    <row r="12" spans="1:21" s="12" customFormat="1" x14ac:dyDescent="0.25">
      <c r="A12" s="201" t="s">
        <v>1400</v>
      </c>
      <c r="B12" s="60">
        <v>29.36</v>
      </c>
      <c r="C12" s="60">
        <v>97.5</v>
      </c>
      <c r="D12" s="60">
        <v>77.349999999999994</v>
      </c>
      <c r="E12" s="60">
        <v>4.8499999999999996</v>
      </c>
      <c r="F12" s="60">
        <v>0.71</v>
      </c>
      <c r="G12" s="60">
        <v>194.79</v>
      </c>
      <c r="H12" s="60">
        <v>57.88</v>
      </c>
      <c r="I12" s="60">
        <v>1.04</v>
      </c>
      <c r="J12" s="60">
        <v>7.0000000000000007E-2</v>
      </c>
      <c r="K12" s="60">
        <v>41.52</v>
      </c>
      <c r="L12" s="10" t="s">
        <v>42</v>
      </c>
      <c r="M12" s="10" t="s">
        <v>42</v>
      </c>
      <c r="N12" s="60">
        <v>28.1</v>
      </c>
      <c r="O12" s="60">
        <v>0</v>
      </c>
      <c r="P12" s="60">
        <v>1.94</v>
      </c>
      <c r="Q12" s="60">
        <v>172.19</v>
      </c>
      <c r="R12" s="198"/>
      <c r="S12" s="198"/>
      <c r="T12" s="198"/>
      <c r="U12" s="198"/>
    </row>
    <row r="13" spans="1:21" s="12" customFormat="1" x14ac:dyDescent="0.25">
      <c r="A13" s="201" t="s">
        <v>1401</v>
      </c>
      <c r="B13" s="60">
        <v>28.29</v>
      </c>
      <c r="C13" s="60">
        <v>95.33</v>
      </c>
      <c r="D13" s="60">
        <v>75.3</v>
      </c>
      <c r="E13" s="60">
        <v>4.7</v>
      </c>
      <c r="F13" s="60">
        <v>0.76</v>
      </c>
      <c r="G13" s="60">
        <v>178.05</v>
      </c>
      <c r="H13" s="60">
        <v>58.23</v>
      </c>
      <c r="I13" s="60">
        <v>1.05</v>
      </c>
      <c r="J13" s="60">
        <v>0.1</v>
      </c>
      <c r="K13" s="60">
        <v>37.520000000000003</v>
      </c>
      <c r="L13" s="10" t="s">
        <v>42</v>
      </c>
      <c r="M13" s="10" t="s">
        <v>42</v>
      </c>
      <c r="N13" s="60">
        <v>28</v>
      </c>
      <c r="O13" s="60">
        <v>0</v>
      </c>
      <c r="P13" s="60">
        <v>1.72</v>
      </c>
      <c r="Q13" s="60">
        <v>169.13</v>
      </c>
      <c r="R13" s="198"/>
      <c r="S13" s="198"/>
      <c r="T13" s="198"/>
      <c r="U13" s="198"/>
    </row>
    <row r="14" spans="1:21" s="12" customFormat="1" x14ac:dyDescent="0.25">
      <c r="A14" s="201" t="s">
        <v>1402</v>
      </c>
      <c r="B14" s="60">
        <v>27.57</v>
      </c>
      <c r="C14" s="60">
        <v>93.93</v>
      </c>
      <c r="D14" s="60">
        <v>73.95</v>
      </c>
      <c r="E14" s="60">
        <v>4.7300000000000004</v>
      </c>
      <c r="F14" s="60">
        <v>0.69</v>
      </c>
      <c r="G14" s="60">
        <v>178.05</v>
      </c>
      <c r="H14" s="60">
        <v>58.23</v>
      </c>
      <c r="I14" s="60">
        <v>1.02</v>
      </c>
      <c r="J14" s="60">
        <v>0.05</v>
      </c>
      <c r="K14" s="60">
        <v>324.83</v>
      </c>
      <c r="L14" s="10" t="s">
        <v>42</v>
      </c>
      <c r="M14" s="10" t="s">
        <v>42</v>
      </c>
      <c r="N14" s="60">
        <v>27.5</v>
      </c>
      <c r="O14" s="60">
        <v>0</v>
      </c>
      <c r="P14" s="60">
        <v>1.79</v>
      </c>
      <c r="Q14" s="60">
        <v>168.8</v>
      </c>
      <c r="R14" s="198"/>
      <c r="S14" s="198"/>
      <c r="T14" s="198"/>
      <c r="U14" s="198"/>
    </row>
    <row r="15" spans="1:21" s="12" customFormat="1" x14ac:dyDescent="0.25">
      <c r="A15" s="201" t="s">
        <v>1403</v>
      </c>
      <c r="B15" s="60">
        <v>26.75</v>
      </c>
      <c r="C15" s="60">
        <v>91.32</v>
      </c>
      <c r="D15" s="60">
        <v>71.849999999999994</v>
      </c>
      <c r="E15" s="60">
        <v>4.8499999999999996</v>
      </c>
      <c r="F15" s="60">
        <v>0.56000000000000005</v>
      </c>
      <c r="G15" s="60">
        <v>178.05</v>
      </c>
      <c r="H15" s="60">
        <v>58.23</v>
      </c>
      <c r="I15" s="60">
        <v>1.03</v>
      </c>
      <c r="J15" s="60">
        <v>0.1</v>
      </c>
      <c r="K15" s="60">
        <v>276.85000000000002</v>
      </c>
      <c r="L15" s="10" t="s">
        <v>42</v>
      </c>
      <c r="M15" s="10" t="s">
        <v>42</v>
      </c>
      <c r="N15" s="60">
        <v>27.4</v>
      </c>
      <c r="O15" s="60">
        <v>0</v>
      </c>
      <c r="P15" s="60">
        <v>1.73</v>
      </c>
      <c r="Q15" s="60">
        <v>166.63</v>
      </c>
      <c r="R15" s="198"/>
      <c r="S15" s="198"/>
      <c r="T15" s="198"/>
      <c r="U15" s="198"/>
    </row>
    <row r="16" spans="1:21" s="12" customFormat="1" x14ac:dyDescent="0.25">
      <c r="A16" s="201" t="s">
        <v>1404</v>
      </c>
      <c r="B16" s="60">
        <v>26.67</v>
      </c>
      <c r="C16" s="60">
        <v>85.94</v>
      </c>
      <c r="D16" s="60">
        <v>68.819999999999993</v>
      </c>
      <c r="E16" s="60">
        <v>4.83</v>
      </c>
      <c r="F16" s="60">
        <v>0.79</v>
      </c>
      <c r="G16" s="60">
        <v>180.96</v>
      </c>
      <c r="H16" s="60">
        <v>58.88</v>
      </c>
      <c r="I16" s="60">
        <v>1.02</v>
      </c>
      <c r="J16" s="60">
        <v>7.0000000000000007E-2</v>
      </c>
      <c r="K16" s="60">
        <v>34.299999999999997</v>
      </c>
      <c r="L16" s="10" t="s">
        <v>42</v>
      </c>
      <c r="M16" s="10" t="s">
        <v>42</v>
      </c>
      <c r="N16" s="60">
        <v>27.5</v>
      </c>
      <c r="O16" s="60">
        <v>0</v>
      </c>
      <c r="P16" s="60">
        <v>1.69</v>
      </c>
      <c r="Q16" s="60">
        <v>149.78</v>
      </c>
      <c r="R16" s="198"/>
      <c r="S16" s="198"/>
      <c r="T16" s="198"/>
      <c r="U16" s="198"/>
    </row>
    <row r="17" spans="1:21" s="12" customFormat="1" x14ac:dyDescent="0.25">
      <c r="A17" s="201" t="s">
        <v>1405</v>
      </c>
      <c r="B17" s="60">
        <v>26.49</v>
      </c>
      <c r="C17" s="60">
        <v>88.13</v>
      </c>
      <c r="D17" s="60">
        <v>69.88</v>
      </c>
      <c r="E17" s="60">
        <v>4.58</v>
      </c>
      <c r="F17" s="60">
        <v>0.72</v>
      </c>
      <c r="G17" s="60">
        <v>205.48</v>
      </c>
      <c r="H17" s="60">
        <v>65.61</v>
      </c>
      <c r="I17" s="60">
        <v>1.01</v>
      </c>
      <c r="J17" s="60">
        <v>0.26</v>
      </c>
      <c r="K17" s="60">
        <v>87.74</v>
      </c>
      <c r="L17" s="10" t="s">
        <v>42</v>
      </c>
      <c r="M17" s="10" t="s">
        <v>42</v>
      </c>
      <c r="N17" s="60">
        <v>26.9</v>
      </c>
      <c r="O17" s="60">
        <v>0</v>
      </c>
      <c r="P17" s="60">
        <v>1.65</v>
      </c>
      <c r="Q17" s="60">
        <v>144.83000000000001</v>
      </c>
      <c r="R17" s="198"/>
      <c r="S17" s="198"/>
      <c r="T17" s="198"/>
      <c r="U17" s="198"/>
    </row>
    <row r="18" spans="1:21" s="12" customFormat="1" x14ac:dyDescent="0.25">
      <c r="A18" s="201" t="s">
        <v>1406</v>
      </c>
      <c r="B18" s="60">
        <v>25.35</v>
      </c>
      <c r="C18" s="60">
        <v>88.04</v>
      </c>
      <c r="D18" s="60">
        <v>68.91</v>
      </c>
      <c r="E18" s="60">
        <v>4.68</v>
      </c>
      <c r="F18" s="60">
        <v>0.71</v>
      </c>
      <c r="G18" s="60">
        <v>205.48</v>
      </c>
      <c r="H18" s="60">
        <v>65.61</v>
      </c>
      <c r="I18" s="60">
        <v>0.98</v>
      </c>
      <c r="J18" s="60">
        <v>0.12</v>
      </c>
      <c r="K18" s="60">
        <v>58</v>
      </c>
      <c r="L18" s="10" t="s">
        <v>42</v>
      </c>
      <c r="M18" s="10" t="s">
        <v>42</v>
      </c>
      <c r="N18" s="60">
        <v>27.6</v>
      </c>
      <c r="O18" s="60">
        <v>0</v>
      </c>
      <c r="P18" s="60">
        <v>1.62</v>
      </c>
      <c r="Q18" s="60">
        <v>143.51</v>
      </c>
      <c r="R18" s="198"/>
      <c r="S18" s="198"/>
      <c r="T18" s="198"/>
      <c r="U18" s="198"/>
    </row>
    <row r="19" spans="1:21" s="12" customFormat="1" x14ac:dyDescent="0.25">
      <c r="A19" s="201" t="s">
        <v>1407</v>
      </c>
      <c r="B19" s="60">
        <v>23.78</v>
      </c>
      <c r="C19" s="60">
        <v>86.23</v>
      </c>
      <c r="D19" s="60">
        <v>66.66</v>
      </c>
      <c r="E19" s="60">
        <v>4.99</v>
      </c>
      <c r="F19" s="60">
        <v>0.6</v>
      </c>
      <c r="G19" s="60">
        <v>205.48</v>
      </c>
      <c r="H19" s="60">
        <v>65.61</v>
      </c>
      <c r="I19" s="60">
        <v>0.97</v>
      </c>
      <c r="J19" s="60">
        <v>0.17</v>
      </c>
      <c r="K19" s="60">
        <v>56.23</v>
      </c>
      <c r="L19" s="10" t="s">
        <v>42</v>
      </c>
      <c r="M19" s="10" t="s">
        <v>42</v>
      </c>
      <c r="N19" s="60">
        <v>27.3</v>
      </c>
      <c r="O19" s="60">
        <v>0</v>
      </c>
      <c r="P19" s="60">
        <v>1.57</v>
      </c>
      <c r="Q19" s="60">
        <v>139.47999999999999</v>
      </c>
      <c r="R19" s="198"/>
      <c r="S19" s="198"/>
      <c r="T19" s="198"/>
      <c r="U19" s="198"/>
    </row>
    <row r="20" spans="1:21" s="12" customFormat="1" x14ac:dyDescent="0.25">
      <c r="A20" s="201" t="s">
        <v>1408</v>
      </c>
      <c r="B20" s="60">
        <v>22.23</v>
      </c>
      <c r="C20" s="60">
        <v>84.23</v>
      </c>
      <c r="D20" s="60">
        <v>64.31</v>
      </c>
      <c r="E20" s="60">
        <v>4.46</v>
      </c>
      <c r="F20" s="60">
        <v>0.56999999999999995</v>
      </c>
      <c r="G20" s="60">
        <v>203.62</v>
      </c>
      <c r="H20" s="60">
        <v>65.95</v>
      </c>
      <c r="I20" s="60">
        <v>0.94</v>
      </c>
      <c r="J20" s="60">
        <v>0.21</v>
      </c>
      <c r="K20" s="60">
        <v>82.31</v>
      </c>
      <c r="L20" s="10" t="s">
        <v>42</v>
      </c>
      <c r="M20" s="10" t="s">
        <v>42</v>
      </c>
      <c r="N20" s="60">
        <v>27.2</v>
      </c>
      <c r="O20" s="60">
        <v>0</v>
      </c>
      <c r="P20" s="60">
        <v>1.53</v>
      </c>
      <c r="Q20" s="60">
        <v>135.94</v>
      </c>
      <c r="R20" s="198"/>
      <c r="S20" s="198"/>
      <c r="T20" s="198"/>
      <c r="U20" s="198"/>
    </row>
    <row r="21" spans="1:21" s="12" customFormat="1" x14ac:dyDescent="0.25">
      <c r="A21" s="201" t="s">
        <v>1409</v>
      </c>
      <c r="B21" s="60">
        <v>20.75</v>
      </c>
      <c r="C21" s="60">
        <v>82.28</v>
      </c>
      <c r="D21" s="60">
        <v>62.05</v>
      </c>
      <c r="E21" s="60">
        <v>4.5</v>
      </c>
      <c r="F21" s="60">
        <v>0.69</v>
      </c>
      <c r="G21" s="60">
        <v>187.98</v>
      </c>
      <c r="H21" s="60">
        <v>69.510000000000005</v>
      </c>
      <c r="I21" s="60">
        <v>0.91</v>
      </c>
      <c r="J21" s="60">
        <v>0.19</v>
      </c>
      <c r="K21" s="60">
        <v>70.14</v>
      </c>
      <c r="L21" s="10" t="s">
        <v>42</v>
      </c>
      <c r="M21" s="10" t="s">
        <v>42</v>
      </c>
      <c r="N21" s="60">
        <v>27.5</v>
      </c>
      <c r="O21" s="60">
        <v>0</v>
      </c>
      <c r="P21" s="60">
        <v>1.5</v>
      </c>
      <c r="Q21" s="60">
        <v>128.65</v>
      </c>
      <c r="R21" s="198"/>
      <c r="S21" s="198"/>
      <c r="T21" s="198"/>
      <c r="U21" s="198"/>
    </row>
    <row r="22" spans="1:21" s="12" customFormat="1" x14ac:dyDescent="0.25">
      <c r="A22" s="201" t="s">
        <v>1410</v>
      </c>
      <c r="B22" s="60">
        <v>19.350000000000001</v>
      </c>
      <c r="C22" s="60">
        <v>81.5</v>
      </c>
      <c r="D22" s="60">
        <v>60.49</v>
      </c>
      <c r="E22" s="60">
        <v>4.9000000000000004</v>
      </c>
      <c r="F22" s="60">
        <v>0.8</v>
      </c>
      <c r="G22" s="60">
        <v>187.98</v>
      </c>
      <c r="H22" s="60">
        <v>69.510000000000005</v>
      </c>
      <c r="I22" s="60">
        <v>0.88</v>
      </c>
      <c r="J22" s="60">
        <v>0.24</v>
      </c>
      <c r="K22" s="60">
        <v>58.82</v>
      </c>
      <c r="L22" s="10" t="s">
        <v>42</v>
      </c>
      <c r="M22" s="10" t="s">
        <v>42</v>
      </c>
      <c r="N22" s="60">
        <v>27.3</v>
      </c>
      <c r="O22" s="60">
        <v>0</v>
      </c>
      <c r="P22" s="60">
        <v>1.48</v>
      </c>
      <c r="Q22" s="60">
        <v>131.25</v>
      </c>
      <c r="R22" s="198"/>
      <c r="S22" s="198"/>
      <c r="T22" s="198"/>
      <c r="U22" s="198"/>
    </row>
    <row r="23" spans="1:21" s="12" customFormat="1" x14ac:dyDescent="0.25">
      <c r="A23" s="201" t="s">
        <v>1411</v>
      </c>
      <c r="B23" s="60">
        <v>18.13</v>
      </c>
      <c r="C23" s="60">
        <v>80.44</v>
      </c>
      <c r="D23" s="60">
        <v>58.93</v>
      </c>
      <c r="E23" s="60">
        <v>4.8600000000000003</v>
      </c>
      <c r="F23" s="60">
        <v>0.84</v>
      </c>
      <c r="G23" s="60">
        <v>187.98</v>
      </c>
      <c r="H23" s="60">
        <v>69.510000000000005</v>
      </c>
      <c r="I23" s="60">
        <v>0.86</v>
      </c>
      <c r="J23" s="60">
        <v>0.17</v>
      </c>
      <c r="K23" s="60">
        <v>66.010000000000005</v>
      </c>
      <c r="L23" s="10" t="s">
        <v>42</v>
      </c>
      <c r="M23" s="10" t="s">
        <v>42</v>
      </c>
      <c r="N23" s="60">
        <v>27.5</v>
      </c>
      <c r="O23" s="60">
        <v>0</v>
      </c>
      <c r="P23" s="60">
        <v>1.44</v>
      </c>
      <c r="Q23" s="60">
        <v>137.44</v>
      </c>
      <c r="R23" s="198"/>
      <c r="S23" s="198"/>
      <c r="T23" s="198"/>
      <c r="U23" s="198"/>
    </row>
    <row r="24" spans="1:21" s="12" customFormat="1" x14ac:dyDescent="0.25">
      <c r="A24" s="201" t="s">
        <v>1412</v>
      </c>
      <c r="B24" s="60">
        <v>16.920000000000002</v>
      </c>
      <c r="C24" s="60">
        <v>79.319999999999993</v>
      </c>
      <c r="D24" s="60">
        <v>57.34</v>
      </c>
      <c r="E24" s="60">
        <v>2.2999999999999998</v>
      </c>
      <c r="F24" s="60">
        <v>0.65</v>
      </c>
      <c r="G24" s="60">
        <v>186.95</v>
      </c>
      <c r="H24" s="60">
        <v>69.209999999999994</v>
      </c>
      <c r="I24" s="60">
        <v>0.85</v>
      </c>
      <c r="J24" s="60">
        <v>0.21</v>
      </c>
      <c r="K24" s="60">
        <v>86.72</v>
      </c>
      <c r="L24" s="10" t="s">
        <v>42</v>
      </c>
      <c r="M24" s="10" t="s">
        <v>42</v>
      </c>
      <c r="N24" s="60">
        <v>27.5</v>
      </c>
      <c r="O24" s="60">
        <v>0</v>
      </c>
      <c r="P24" s="60">
        <v>1.42</v>
      </c>
      <c r="Q24" s="60">
        <v>138.88999999999999</v>
      </c>
      <c r="R24" s="198"/>
      <c r="S24" s="198"/>
      <c r="T24" s="198"/>
      <c r="U24" s="198"/>
    </row>
    <row r="25" spans="1:21" s="12" customFormat="1" x14ac:dyDescent="0.25">
      <c r="A25" s="201" t="s">
        <v>1413</v>
      </c>
      <c r="B25" s="60">
        <v>16.2</v>
      </c>
      <c r="C25" s="60">
        <v>78.31</v>
      </c>
      <c r="D25" s="60">
        <v>56.2</v>
      </c>
      <c r="E25" s="60">
        <v>4.0999999999999996</v>
      </c>
      <c r="F25" s="60">
        <v>0.9</v>
      </c>
      <c r="G25" s="60">
        <v>178.22</v>
      </c>
      <c r="H25" s="60">
        <v>66.180000000000007</v>
      </c>
      <c r="I25" s="60">
        <v>0.83</v>
      </c>
      <c r="J25" s="60">
        <v>0.48</v>
      </c>
      <c r="K25" s="60">
        <v>27.82</v>
      </c>
      <c r="L25" s="10" t="s">
        <v>42</v>
      </c>
      <c r="M25" s="10" t="s">
        <v>42</v>
      </c>
      <c r="N25" s="60">
        <v>27.2</v>
      </c>
      <c r="O25" s="60">
        <v>0</v>
      </c>
      <c r="P25" s="60">
        <v>1.39</v>
      </c>
      <c r="Q25" s="60">
        <v>137.37</v>
      </c>
      <c r="R25" s="198"/>
      <c r="S25" s="198"/>
      <c r="T25" s="198"/>
      <c r="U25" s="198"/>
    </row>
    <row r="26" spans="1:21" s="12" customFormat="1" x14ac:dyDescent="0.25">
      <c r="A26" s="201" t="s">
        <v>1414</v>
      </c>
      <c r="B26" s="60">
        <v>16.829999999999998</v>
      </c>
      <c r="C26" s="60">
        <v>79.48</v>
      </c>
      <c r="D26" s="60">
        <v>57.36</v>
      </c>
      <c r="E26" s="60">
        <v>3.85</v>
      </c>
      <c r="F26" s="60">
        <v>0.83</v>
      </c>
      <c r="G26" s="60">
        <v>178.22</v>
      </c>
      <c r="H26" s="60">
        <v>66.180000000000007</v>
      </c>
      <c r="I26" s="60">
        <v>0.82</v>
      </c>
      <c r="J26" s="60">
        <v>0.9</v>
      </c>
      <c r="K26" s="60">
        <v>32.090000000000003</v>
      </c>
      <c r="L26" s="10" t="s">
        <v>42</v>
      </c>
      <c r="M26" s="10" t="s">
        <v>42</v>
      </c>
      <c r="N26" s="60">
        <v>26.8</v>
      </c>
      <c r="O26" s="60">
        <v>0</v>
      </c>
      <c r="P26" s="60">
        <v>1.4</v>
      </c>
      <c r="Q26" s="60">
        <v>139.6</v>
      </c>
      <c r="R26" s="198"/>
      <c r="S26" s="198"/>
      <c r="T26" s="198"/>
      <c r="U26" s="198"/>
    </row>
    <row r="27" spans="1:21" s="12" customFormat="1" x14ac:dyDescent="0.25">
      <c r="A27" s="201" t="s">
        <v>1415</v>
      </c>
      <c r="B27" s="60">
        <v>16.89</v>
      </c>
      <c r="C27" s="60">
        <v>80.89</v>
      </c>
      <c r="D27" s="60">
        <v>58.19</v>
      </c>
      <c r="E27" s="60">
        <v>4.2699999999999996</v>
      </c>
      <c r="F27" s="60">
        <v>0.72</v>
      </c>
      <c r="G27" s="60">
        <v>178.22</v>
      </c>
      <c r="H27" s="60">
        <v>66.180000000000007</v>
      </c>
      <c r="I27" s="60">
        <v>0.82</v>
      </c>
      <c r="J27" s="60">
        <v>0.76</v>
      </c>
      <c r="K27" s="60">
        <v>19.920000000000002</v>
      </c>
      <c r="L27" s="10" t="s">
        <v>42</v>
      </c>
      <c r="M27" s="10" t="s">
        <v>42</v>
      </c>
      <c r="N27" s="60">
        <v>27.1</v>
      </c>
      <c r="O27" s="60">
        <v>0</v>
      </c>
      <c r="P27" s="60">
        <v>1.42</v>
      </c>
      <c r="Q27" s="60">
        <v>139.93</v>
      </c>
      <c r="R27" s="198"/>
      <c r="S27" s="198"/>
      <c r="T27" s="198"/>
      <c r="U27" s="198"/>
    </row>
    <row r="28" spans="1:21" s="12" customFormat="1" x14ac:dyDescent="0.25">
      <c r="A28" s="201" t="s">
        <v>1416</v>
      </c>
      <c r="B28" s="60">
        <v>16.64</v>
      </c>
      <c r="C28" s="60">
        <v>82.14</v>
      </c>
      <c r="D28" s="60">
        <v>58.67</v>
      </c>
      <c r="E28" s="60">
        <v>4.3</v>
      </c>
      <c r="F28" s="60">
        <v>0.65</v>
      </c>
      <c r="G28" s="60">
        <v>187.31</v>
      </c>
      <c r="H28" s="60">
        <v>67.94</v>
      </c>
      <c r="I28" s="60">
        <v>0.82</v>
      </c>
      <c r="J28" s="60">
        <v>0.62</v>
      </c>
      <c r="K28" s="60">
        <v>30.63</v>
      </c>
      <c r="L28" s="10" t="s">
        <v>42</v>
      </c>
      <c r="M28" s="10" t="s">
        <v>42</v>
      </c>
      <c r="N28" s="60">
        <v>27.5</v>
      </c>
      <c r="O28" s="60">
        <v>0</v>
      </c>
      <c r="P28" s="60">
        <v>1.42</v>
      </c>
      <c r="Q28" s="60">
        <v>139.69</v>
      </c>
      <c r="R28" s="198"/>
      <c r="S28" s="198"/>
      <c r="T28" s="198"/>
      <c r="U28" s="198"/>
    </row>
    <row r="29" spans="1:21" s="12" customFormat="1" x14ac:dyDescent="0.25">
      <c r="A29" s="201" t="s">
        <v>1417</v>
      </c>
      <c r="B29" s="60">
        <v>16.47</v>
      </c>
      <c r="C29" s="60">
        <v>82.4</v>
      </c>
      <c r="D29" s="60">
        <v>58.69</v>
      </c>
      <c r="E29" s="60">
        <v>4.3899999999999997</v>
      </c>
      <c r="F29" s="60">
        <v>0.69</v>
      </c>
      <c r="G29" s="60">
        <v>263.99</v>
      </c>
      <c r="H29" s="60">
        <v>85.97</v>
      </c>
      <c r="I29" s="60">
        <v>0.81</v>
      </c>
      <c r="J29" s="60">
        <v>0.36</v>
      </c>
      <c r="K29" s="60">
        <v>43.54</v>
      </c>
      <c r="L29" s="10" t="s">
        <v>42</v>
      </c>
      <c r="M29" s="10" t="s">
        <v>42</v>
      </c>
      <c r="N29" s="60">
        <v>27.6</v>
      </c>
      <c r="O29" s="60">
        <v>0</v>
      </c>
      <c r="P29" s="60">
        <v>1.41</v>
      </c>
      <c r="Q29" s="60">
        <v>138.13</v>
      </c>
      <c r="R29" s="198"/>
      <c r="S29" s="198"/>
      <c r="T29" s="198"/>
      <c r="U29" s="198"/>
    </row>
    <row r="30" spans="1:21" s="12" customFormat="1" x14ac:dyDescent="0.25">
      <c r="A30" s="201" t="s">
        <v>1418</v>
      </c>
      <c r="B30" s="60">
        <v>16.37</v>
      </c>
      <c r="C30" s="60">
        <v>81.12</v>
      </c>
      <c r="D30" s="60">
        <v>57.9</v>
      </c>
      <c r="E30" s="60">
        <v>4.32</v>
      </c>
      <c r="F30" s="60">
        <v>0.62</v>
      </c>
      <c r="G30" s="60">
        <v>263.99</v>
      </c>
      <c r="H30" s="60">
        <v>85.97</v>
      </c>
      <c r="I30" s="60">
        <v>0.79</v>
      </c>
      <c r="J30" s="60">
        <v>0.28000000000000003</v>
      </c>
      <c r="K30" s="60">
        <v>74.88</v>
      </c>
      <c r="L30" s="10" t="s">
        <v>42</v>
      </c>
      <c r="M30" s="10" t="s">
        <v>42</v>
      </c>
      <c r="N30" s="60">
        <v>27.4</v>
      </c>
      <c r="O30" s="60">
        <v>0</v>
      </c>
      <c r="P30" s="60">
        <v>1.41</v>
      </c>
      <c r="Q30" s="60">
        <v>133.29</v>
      </c>
      <c r="R30" s="198"/>
      <c r="S30" s="198"/>
      <c r="T30" s="198"/>
      <c r="U30" s="198"/>
    </row>
    <row r="31" spans="1:21" s="12" customFormat="1" x14ac:dyDescent="0.25">
      <c r="A31" s="201" t="s">
        <v>1419</v>
      </c>
      <c r="B31" s="60">
        <v>16.75</v>
      </c>
      <c r="C31" s="60">
        <v>79.94</v>
      </c>
      <c r="D31" s="60">
        <v>57.55</v>
      </c>
      <c r="E31" s="60">
        <v>4.17</v>
      </c>
      <c r="F31" s="60">
        <v>0.61</v>
      </c>
      <c r="G31" s="60">
        <v>263.99</v>
      </c>
      <c r="H31" s="60">
        <v>85.97</v>
      </c>
      <c r="I31" s="60">
        <v>0.79</v>
      </c>
      <c r="J31" s="60">
        <v>0.32</v>
      </c>
      <c r="K31" s="60">
        <v>73.63</v>
      </c>
      <c r="L31" s="10" t="s">
        <v>42</v>
      </c>
      <c r="M31" s="10" t="s">
        <v>42</v>
      </c>
      <c r="N31" s="60">
        <v>27.3</v>
      </c>
      <c r="O31" s="60">
        <v>0</v>
      </c>
      <c r="P31" s="60">
        <v>1.42</v>
      </c>
      <c r="Q31" s="60">
        <v>125.27</v>
      </c>
      <c r="R31" s="198"/>
      <c r="S31" s="198"/>
      <c r="T31" s="198"/>
      <c r="U31" s="198"/>
    </row>
    <row r="32" spans="1:21" s="12" customFormat="1" x14ac:dyDescent="0.25">
      <c r="A32" s="201" t="s">
        <v>1420</v>
      </c>
      <c r="B32" s="60">
        <v>17.579999999999998</v>
      </c>
      <c r="C32" s="60">
        <v>82.11</v>
      </c>
      <c r="D32" s="60">
        <v>59.41</v>
      </c>
      <c r="E32" s="60">
        <v>4.1900000000000004</v>
      </c>
      <c r="F32" s="60">
        <v>0.6</v>
      </c>
      <c r="G32" s="60">
        <v>258.93</v>
      </c>
      <c r="H32" s="60">
        <v>85.97</v>
      </c>
      <c r="I32" s="60">
        <v>0.77</v>
      </c>
      <c r="J32" s="60">
        <v>0.2</v>
      </c>
      <c r="K32" s="60">
        <v>60.54</v>
      </c>
      <c r="L32" s="10" t="s">
        <v>42</v>
      </c>
      <c r="M32" s="10" t="s">
        <v>42</v>
      </c>
      <c r="N32" s="60">
        <v>27.9</v>
      </c>
      <c r="O32" s="60">
        <v>0</v>
      </c>
      <c r="P32" s="60">
        <v>1.44</v>
      </c>
      <c r="Q32" s="60">
        <v>124.38</v>
      </c>
      <c r="R32" s="198"/>
      <c r="S32" s="198"/>
      <c r="T32" s="198"/>
      <c r="U32" s="198"/>
    </row>
    <row r="33" spans="1:21" s="12" customFormat="1" x14ac:dyDescent="0.25">
      <c r="A33" s="201" t="s">
        <v>1421</v>
      </c>
      <c r="B33" s="60">
        <v>19</v>
      </c>
      <c r="C33" s="60">
        <v>84.1</v>
      </c>
      <c r="D33" s="60">
        <v>61.65</v>
      </c>
      <c r="E33" s="60">
        <v>3.58</v>
      </c>
      <c r="F33" s="60">
        <v>0.59</v>
      </c>
      <c r="G33" s="60">
        <v>216.26</v>
      </c>
      <c r="H33" s="60">
        <v>85.9</v>
      </c>
      <c r="I33" s="60">
        <v>0.74</v>
      </c>
      <c r="J33" s="60">
        <v>0.24</v>
      </c>
      <c r="K33" s="60">
        <v>61.38</v>
      </c>
      <c r="L33" s="10" t="s">
        <v>42</v>
      </c>
      <c r="M33" s="10" t="s">
        <v>42</v>
      </c>
      <c r="N33" s="60">
        <v>30.7</v>
      </c>
      <c r="O33" s="60">
        <v>0</v>
      </c>
      <c r="P33" s="60">
        <v>1.49</v>
      </c>
      <c r="Q33" s="60">
        <v>123.44</v>
      </c>
      <c r="R33" s="198"/>
      <c r="S33" s="198"/>
      <c r="T33" s="198"/>
      <c r="U33" s="198"/>
    </row>
    <row r="34" spans="1:21" s="12" customFormat="1" x14ac:dyDescent="0.25">
      <c r="A34" s="201" t="s">
        <v>1422</v>
      </c>
      <c r="B34" s="60">
        <v>19.75</v>
      </c>
      <c r="C34" s="60">
        <v>84.75</v>
      </c>
      <c r="D34" s="60">
        <v>62.61</v>
      </c>
      <c r="E34" s="60">
        <v>3.95</v>
      </c>
      <c r="F34" s="60">
        <v>0.65</v>
      </c>
      <c r="G34" s="60">
        <v>216.26</v>
      </c>
      <c r="H34" s="60">
        <v>85.9</v>
      </c>
      <c r="I34" s="60">
        <v>0.73</v>
      </c>
      <c r="J34" s="60">
        <v>0.14000000000000001</v>
      </c>
      <c r="K34" s="60">
        <v>142.88999999999999</v>
      </c>
      <c r="L34" s="10" t="s">
        <v>42</v>
      </c>
      <c r="M34" s="10" t="s">
        <v>42</v>
      </c>
      <c r="N34" s="60">
        <v>41.2</v>
      </c>
      <c r="O34" s="60">
        <v>0</v>
      </c>
      <c r="P34" s="60">
        <v>1.6</v>
      </c>
      <c r="Q34" s="60">
        <v>123.7</v>
      </c>
      <c r="R34" s="198"/>
      <c r="S34" s="198"/>
      <c r="T34" s="198"/>
      <c r="U34" s="198"/>
    </row>
    <row r="35" spans="1:21" s="12" customFormat="1" x14ac:dyDescent="0.25">
      <c r="A35" s="201" t="s">
        <v>1423</v>
      </c>
      <c r="B35" s="60">
        <v>19.350000000000001</v>
      </c>
      <c r="C35" s="60">
        <v>83.94</v>
      </c>
      <c r="D35" s="60">
        <v>61.85</v>
      </c>
      <c r="E35" s="60">
        <v>4.0199999999999996</v>
      </c>
      <c r="F35" s="60">
        <v>0.61</v>
      </c>
      <c r="G35" s="60">
        <v>216.26</v>
      </c>
      <c r="H35" s="60">
        <v>85.9</v>
      </c>
      <c r="I35" s="60">
        <v>0.7</v>
      </c>
      <c r="J35" s="60">
        <v>0.24</v>
      </c>
      <c r="K35" s="60">
        <v>97.66</v>
      </c>
      <c r="L35" s="10" t="s">
        <v>42</v>
      </c>
      <c r="M35" s="10" t="s">
        <v>42</v>
      </c>
      <c r="N35" s="60">
        <v>56.8</v>
      </c>
      <c r="O35" s="60">
        <v>0</v>
      </c>
      <c r="P35" s="60">
        <v>1.68</v>
      </c>
      <c r="Q35" s="60">
        <v>121.59</v>
      </c>
      <c r="R35" s="198"/>
      <c r="S35" s="198"/>
      <c r="T35" s="198"/>
      <c r="U35" s="198"/>
    </row>
    <row r="36" spans="1:21" s="12" customFormat="1" x14ac:dyDescent="0.25">
      <c r="A36" s="201" t="s">
        <v>1424</v>
      </c>
      <c r="B36" s="60">
        <v>19.28</v>
      </c>
      <c r="C36" s="60">
        <v>82.69</v>
      </c>
      <c r="D36" s="60">
        <v>61.1</v>
      </c>
      <c r="E36" s="60">
        <v>4.21</v>
      </c>
      <c r="F36" s="60">
        <v>0.59</v>
      </c>
      <c r="G36" s="60">
        <v>214.53</v>
      </c>
      <c r="H36" s="60">
        <v>85.36</v>
      </c>
      <c r="I36" s="60">
        <v>0.65</v>
      </c>
      <c r="J36" s="60">
        <v>0.19</v>
      </c>
      <c r="K36" s="60">
        <v>89.34</v>
      </c>
      <c r="L36" s="10" t="s">
        <v>42</v>
      </c>
      <c r="M36" s="10" t="s">
        <v>42</v>
      </c>
      <c r="N36" s="60">
        <v>75.900000000000006</v>
      </c>
      <c r="O36" s="60">
        <v>0</v>
      </c>
      <c r="P36" s="60">
        <v>1.76</v>
      </c>
      <c r="Q36" s="60">
        <v>117.96</v>
      </c>
      <c r="R36" s="198"/>
      <c r="S36" s="198"/>
      <c r="T36" s="198"/>
      <c r="U36" s="198"/>
    </row>
    <row r="37" spans="1:21" s="12" customFormat="1" x14ac:dyDescent="0.25">
      <c r="A37" s="201" t="s">
        <v>1425</v>
      </c>
      <c r="B37" s="60">
        <v>20.23</v>
      </c>
      <c r="C37" s="60">
        <v>86.8</v>
      </c>
      <c r="D37" s="60">
        <v>64.13</v>
      </c>
      <c r="E37" s="60">
        <v>4.4800000000000004</v>
      </c>
      <c r="F37" s="60">
        <v>0.57999999999999996</v>
      </c>
      <c r="G37" s="60">
        <v>199.95</v>
      </c>
      <c r="H37" s="60">
        <v>79.8</v>
      </c>
      <c r="I37" s="60">
        <v>0.68</v>
      </c>
      <c r="J37" s="60">
        <v>0.22</v>
      </c>
      <c r="K37" s="60">
        <v>55.27</v>
      </c>
      <c r="L37" s="10" t="s">
        <v>42</v>
      </c>
      <c r="M37" s="10" t="s">
        <v>42</v>
      </c>
      <c r="N37" s="60">
        <v>111.1</v>
      </c>
      <c r="O37" s="60">
        <v>0</v>
      </c>
      <c r="P37" s="60">
        <v>1.76</v>
      </c>
      <c r="Q37" s="60">
        <v>120.4</v>
      </c>
      <c r="R37" s="198"/>
      <c r="S37" s="198"/>
      <c r="T37" s="198"/>
      <c r="U37" s="198"/>
    </row>
    <row r="38" spans="1:21" s="12" customFormat="1" x14ac:dyDescent="0.25">
      <c r="A38" s="201" t="s">
        <v>1426</v>
      </c>
      <c r="B38" s="60">
        <v>22.71</v>
      </c>
      <c r="C38" s="60">
        <v>89.53</v>
      </c>
      <c r="D38" s="60">
        <v>67.62</v>
      </c>
      <c r="E38" s="60">
        <v>4.4000000000000004</v>
      </c>
      <c r="F38" s="60">
        <v>0.64</v>
      </c>
      <c r="G38" s="60">
        <v>199.95</v>
      </c>
      <c r="H38" s="60">
        <v>79.8</v>
      </c>
      <c r="I38" s="60">
        <v>0.68</v>
      </c>
      <c r="J38" s="60">
        <v>0.33</v>
      </c>
      <c r="K38" s="60">
        <v>125.01</v>
      </c>
      <c r="L38" s="10" t="s">
        <v>42</v>
      </c>
      <c r="M38" s="10" t="s">
        <v>42</v>
      </c>
      <c r="N38" s="60">
        <v>176.7</v>
      </c>
      <c r="O38" s="60">
        <v>0</v>
      </c>
      <c r="P38" s="60">
        <v>1.91</v>
      </c>
      <c r="Q38" s="60">
        <v>129.72</v>
      </c>
      <c r="R38" s="198"/>
      <c r="S38" s="198"/>
      <c r="T38" s="198"/>
      <c r="U38" s="198"/>
    </row>
    <row r="39" spans="1:21" s="12" customFormat="1" x14ac:dyDescent="0.25">
      <c r="A39" s="201" t="s">
        <v>1427</v>
      </c>
      <c r="B39" s="60">
        <v>23.61</v>
      </c>
      <c r="C39" s="60">
        <v>89.45</v>
      </c>
      <c r="D39" s="60">
        <v>68.3</v>
      </c>
      <c r="E39" s="60">
        <v>4.38</v>
      </c>
      <c r="F39" s="60">
        <v>0.68</v>
      </c>
      <c r="G39" s="60">
        <v>199.95</v>
      </c>
      <c r="H39" s="60">
        <v>79.8</v>
      </c>
      <c r="I39" s="60">
        <v>0.68</v>
      </c>
      <c r="J39" s="60">
        <v>0.6</v>
      </c>
      <c r="K39" s="60">
        <v>133.19</v>
      </c>
      <c r="L39" s="10" t="s">
        <v>42</v>
      </c>
      <c r="M39" s="10" t="s">
        <v>42</v>
      </c>
      <c r="N39" s="60">
        <v>225.3</v>
      </c>
      <c r="O39" s="60">
        <v>0</v>
      </c>
      <c r="P39" s="60">
        <v>1.95</v>
      </c>
      <c r="Q39" s="60">
        <v>136.91</v>
      </c>
      <c r="R39" s="198"/>
      <c r="S39" s="198"/>
      <c r="T39" s="198"/>
      <c r="U39" s="198"/>
    </row>
    <row r="40" spans="1:21" s="12" customFormat="1" x14ac:dyDescent="0.25">
      <c r="A40" s="201" t="s">
        <v>1428</v>
      </c>
      <c r="B40" s="60">
        <v>23.7</v>
      </c>
      <c r="C40" s="60">
        <v>89.38</v>
      </c>
      <c r="D40" s="60">
        <v>68.33</v>
      </c>
      <c r="E40" s="60">
        <v>2.27</v>
      </c>
      <c r="F40" s="60">
        <v>0.64</v>
      </c>
      <c r="G40" s="60">
        <v>202.91</v>
      </c>
      <c r="H40" s="60">
        <v>80.38</v>
      </c>
      <c r="I40" s="60">
        <v>0.7</v>
      </c>
      <c r="J40" s="60">
        <v>0.37</v>
      </c>
      <c r="K40" s="60">
        <v>71.47</v>
      </c>
      <c r="L40" s="10" t="s">
        <v>42</v>
      </c>
      <c r="M40" s="10" t="s">
        <v>42</v>
      </c>
      <c r="N40" s="60">
        <v>272.7</v>
      </c>
      <c r="O40" s="60">
        <v>0</v>
      </c>
      <c r="P40" s="60">
        <v>1.94</v>
      </c>
      <c r="Q40" s="60">
        <v>143.47999999999999</v>
      </c>
      <c r="R40" s="198"/>
      <c r="S40" s="198"/>
      <c r="T40" s="198"/>
      <c r="U40" s="198"/>
    </row>
    <row r="41" spans="1:21" s="12" customFormat="1" x14ac:dyDescent="0.25">
      <c r="A41" s="201" t="s">
        <v>1429</v>
      </c>
      <c r="B41" s="60">
        <v>23.91</v>
      </c>
      <c r="C41" s="60">
        <v>91.3</v>
      </c>
      <c r="D41" s="60">
        <v>69.56</v>
      </c>
      <c r="E41" s="60">
        <v>4.1900000000000004</v>
      </c>
      <c r="F41" s="60">
        <v>0.61</v>
      </c>
      <c r="G41" s="60">
        <v>227.79</v>
      </c>
      <c r="H41" s="60">
        <v>86.27</v>
      </c>
      <c r="I41" s="60">
        <v>0.71</v>
      </c>
      <c r="J41" s="60">
        <v>0.7</v>
      </c>
      <c r="K41" s="60">
        <v>50.83</v>
      </c>
      <c r="L41" s="10" t="s">
        <v>42</v>
      </c>
      <c r="M41" s="10" t="s">
        <v>42</v>
      </c>
      <c r="N41" s="60">
        <v>322.8</v>
      </c>
      <c r="O41" s="60">
        <v>0</v>
      </c>
      <c r="P41" s="60">
        <v>1.93</v>
      </c>
      <c r="Q41" s="60">
        <v>145.75</v>
      </c>
      <c r="R41" s="198"/>
      <c r="S41" s="198"/>
      <c r="T41" s="198"/>
      <c r="U41" s="198"/>
    </row>
    <row r="42" spans="1:21" s="12" customFormat="1" x14ac:dyDescent="0.25">
      <c r="A42" s="201" t="s">
        <v>1430</v>
      </c>
      <c r="B42" s="60">
        <v>23.74</v>
      </c>
      <c r="C42" s="60">
        <v>94.11</v>
      </c>
      <c r="D42" s="60">
        <v>70.97</v>
      </c>
      <c r="E42" s="60">
        <v>5.14</v>
      </c>
      <c r="F42" s="60">
        <v>0.87</v>
      </c>
      <c r="G42" s="60">
        <v>227.79</v>
      </c>
      <c r="H42" s="60">
        <v>86.27</v>
      </c>
      <c r="I42" s="60">
        <v>0.71</v>
      </c>
      <c r="J42" s="60">
        <v>0.69</v>
      </c>
      <c r="K42" s="60">
        <v>69.64</v>
      </c>
      <c r="L42" s="10" t="s">
        <v>42</v>
      </c>
      <c r="M42" s="10" t="s">
        <v>42</v>
      </c>
      <c r="N42" s="60">
        <v>382.7</v>
      </c>
      <c r="O42" s="60">
        <v>0</v>
      </c>
      <c r="P42" s="60">
        <v>1.87</v>
      </c>
      <c r="Q42" s="60">
        <v>149.06</v>
      </c>
      <c r="R42" s="198"/>
      <c r="S42" s="198"/>
      <c r="T42" s="198"/>
      <c r="U42" s="198"/>
    </row>
    <row r="43" spans="1:21" s="12" customFormat="1" x14ac:dyDescent="0.25">
      <c r="A43" s="201" t="s">
        <v>1431</v>
      </c>
      <c r="B43" s="60">
        <v>23.08</v>
      </c>
      <c r="C43" s="60">
        <v>95.28</v>
      </c>
      <c r="D43" s="60">
        <v>71.09</v>
      </c>
      <c r="E43" s="60">
        <v>5</v>
      </c>
      <c r="F43" s="60">
        <v>1.36</v>
      </c>
      <c r="G43" s="60">
        <v>227.79</v>
      </c>
      <c r="H43" s="60">
        <v>86.27</v>
      </c>
      <c r="I43" s="60">
        <v>0.73</v>
      </c>
      <c r="J43" s="60">
        <v>0.46</v>
      </c>
      <c r="K43" s="60">
        <v>61.42</v>
      </c>
      <c r="L43" s="10" t="s">
        <v>42</v>
      </c>
      <c r="M43" s="10" t="s">
        <v>42</v>
      </c>
      <c r="N43" s="60">
        <v>423.8</v>
      </c>
      <c r="O43" s="60">
        <v>0</v>
      </c>
      <c r="P43" s="60">
        <v>1.82</v>
      </c>
      <c r="Q43" s="60">
        <v>154.57</v>
      </c>
      <c r="R43" s="198"/>
      <c r="S43" s="198"/>
      <c r="T43" s="198"/>
      <c r="U43" s="198"/>
    </row>
    <row r="44" spans="1:21" s="12" customFormat="1" x14ac:dyDescent="0.25">
      <c r="A44" s="201" t="s">
        <v>1432</v>
      </c>
      <c r="B44" s="60">
        <v>21.61</v>
      </c>
      <c r="C44" s="60">
        <v>93.07</v>
      </c>
      <c r="D44" s="60">
        <v>68.69</v>
      </c>
      <c r="E44" s="60">
        <v>4.8499999999999996</v>
      </c>
      <c r="F44" s="60">
        <v>1.06</v>
      </c>
      <c r="G44" s="60">
        <v>223.82</v>
      </c>
      <c r="H44" s="60">
        <v>85.5</v>
      </c>
      <c r="I44" s="60">
        <v>0.73</v>
      </c>
      <c r="J44" s="60">
        <v>0.41</v>
      </c>
      <c r="K44" s="60">
        <v>82.2</v>
      </c>
      <c r="L44" s="10" t="s">
        <v>42</v>
      </c>
      <c r="M44" s="10" t="s">
        <v>42</v>
      </c>
      <c r="N44" s="60">
        <v>460.4</v>
      </c>
      <c r="O44" s="60">
        <v>0</v>
      </c>
      <c r="P44" s="60">
        <v>1.77</v>
      </c>
      <c r="Q44" s="60">
        <v>153.22999999999999</v>
      </c>
      <c r="R44" s="198"/>
      <c r="S44" s="198"/>
      <c r="T44" s="198"/>
      <c r="U44" s="198"/>
    </row>
    <row r="45" spans="1:21" s="12" customFormat="1" x14ac:dyDescent="0.25">
      <c r="A45" s="201" t="s">
        <v>1433</v>
      </c>
      <c r="B45" s="60">
        <v>19.59</v>
      </c>
      <c r="C45" s="60">
        <v>92.36</v>
      </c>
      <c r="D45" s="60">
        <v>66.680000000000007</v>
      </c>
      <c r="E45" s="60">
        <v>4.3600000000000003</v>
      </c>
      <c r="F45" s="60">
        <v>1</v>
      </c>
      <c r="G45" s="60">
        <v>190.33</v>
      </c>
      <c r="H45" s="60">
        <v>77.709999999999994</v>
      </c>
      <c r="I45" s="60">
        <v>0.67</v>
      </c>
      <c r="J45" s="60">
        <v>0.67</v>
      </c>
      <c r="K45" s="60">
        <v>84.21</v>
      </c>
      <c r="L45" s="10" t="s">
        <v>42</v>
      </c>
      <c r="M45" s="10" t="s">
        <v>42</v>
      </c>
      <c r="N45" s="60">
        <v>510.8</v>
      </c>
      <c r="O45" s="60">
        <v>0</v>
      </c>
      <c r="P45" s="60">
        <v>1.72</v>
      </c>
      <c r="Q45" s="60">
        <v>145.32</v>
      </c>
      <c r="R45" s="198"/>
      <c r="S45" s="198"/>
      <c r="T45" s="198"/>
      <c r="U45" s="198"/>
    </row>
    <row r="46" spans="1:21" s="12" customFormat="1" x14ac:dyDescent="0.25">
      <c r="A46" s="201" t="s">
        <v>1434</v>
      </c>
      <c r="B46" s="60">
        <v>17.79</v>
      </c>
      <c r="C46" s="60">
        <v>90.87</v>
      </c>
      <c r="D46" s="60">
        <v>64.42</v>
      </c>
      <c r="E46" s="60">
        <v>4.3499999999999996</v>
      </c>
      <c r="F46" s="60">
        <v>0.93</v>
      </c>
      <c r="G46" s="60">
        <v>190.33</v>
      </c>
      <c r="H46" s="60">
        <v>77.709999999999994</v>
      </c>
      <c r="I46" s="60">
        <v>0.66</v>
      </c>
      <c r="J46" s="60">
        <v>0.7</v>
      </c>
      <c r="K46" s="60">
        <v>98.1</v>
      </c>
      <c r="L46" s="10" t="s">
        <v>42</v>
      </c>
      <c r="M46" s="10" t="s">
        <v>42</v>
      </c>
      <c r="N46" s="60">
        <v>536.79999999999995</v>
      </c>
      <c r="O46" s="60">
        <v>0</v>
      </c>
      <c r="P46" s="60">
        <v>1.69</v>
      </c>
      <c r="Q46" s="60">
        <v>143.30000000000001</v>
      </c>
      <c r="R46" s="198"/>
      <c r="S46" s="198"/>
      <c r="T46" s="198"/>
      <c r="U46" s="198"/>
    </row>
    <row r="47" spans="1:21" s="12" customFormat="1" x14ac:dyDescent="0.25">
      <c r="A47" s="201" t="s">
        <v>1435</v>
      </c>
      <c r="B47" s="60">
        <v>16.32</v>
      </c>
      <c r="C47" s="60">
        <v>90.11</v>
      </c>
      <c r="D47" s="60">
        <v>62.81</v>
      </c>
      <c r="E47" s="60">
        <v>4.18</v>
      </c>
      <c r="F47" s="60">
        <v>1.06</v>
      </c>
      <c r="G47" s="60">
        <v>190.33</v>
      </c>
      <c r="H47" s="60">
        <v>77.709999999999994</v>
      </c>
      <c r="I47" s="60">
        <v>0.65</v>
      </c>
      <c r="J47" s="60">
        <v>0.97</v>
      </c>
      <c r="K47" s="60">
        <v>131.01</v>
      </c>
      <c r="L47" s="10" t="s">
        <v>42</v>
      </c>
      <c r="M47" s="10" t="s">
        <v>42</v>
      </c>
      <c r="N47" s="60">
        <v>572.29999999999995</v>
      </c>
      <c r="O47" s="60">
        <v>0</v>
      </c>
      <c r="P47" s="60">
        <v>1.63</v>
      </c>
      <c r="Q47" s="60">
        <v>146.32</v>
      </c>
      <c r="R47" s="198"/>
      <c r="S47" s="198"/>
      <c r="T47" s="198"/>
      <c r="U47" s="198"/>
    </row>
    <row r="48" spans="1:21" s="12" customFormat="1" x14ac:dyDescent="0.25">
      <c r="A48" s="201" t="s">
        <v>1436</v>
      </c>
      <c r="B48" s="60">
        <v>14.75</v>
      </c>
      <c r="C48" s="60">
        <v>87.99</v>
      </c>
      <c r="D48" s="60">
        <v>60.38</v>
      </c>
      <c r="E48" s="60">
        <v>4.01</v>
      </c>
      <c r="F48" s="60">
        <v>1.42</v>
      </c>
      <c r="G48" s="60">
        <v>185.49</v>
      </c>
      <c r="H48" s="60">
        <v>77.48</v>
      </c>
      <c r="I48" s="60">
        <v>0.64</v>
      </c>
      <c r="J48" s="60">
        <v>0.76</v>
      </c>
      <c r="K48" s="60">
        <v>119.37</v>
      </c>
      <c r="L48" s="10" t="s">
        <v>42</v>
      </c>
      <c r="M48" s="10" t="s">
        <v>42</v>
      </c>
      <c r="N48" s="60">
        <v>596</v>
      </c>
      <c r="O48" s="60">
        <v>0</v>
      </c>
      <c r="P48" s="60">
        <v>1.58</v>
      </c>
      <c r="Q48" s="60">
        <v>150.47</v>
      </c>
      <c r="R48" s="198"/>
      <c r="S48" s="198"/>
      <c r="T48" s="198"/>
      <c r="U48" s="198"/>
    </row>
    <row r="49" spans="1:21" s="12" customFormat="1" x14ac:dyDescent="0.25">
      <c r="A49" s="201" t="s">
        <v>1437</v>
      </c>
      <c r="B49" s="60">
        <v>13.07</v>
      </c>
      <c r="C49" s="60">
        <v>89.36</v>
      </c>
      <c r="D49" s="60">
        <v>59.79</v>
      </c>
      <c r="E49" s="60">
        <v>4.49</v>
      </c>
      <c r="F49" s="60">
        <v>1.32</v>
      </c>
      <c r="G49" s="60">
        <v>144.66</v>
      </c>
      <c r="H49" s="60">
        <v>75.180000000000007</v>
      </c>
      <c r="I49" s="60">
        <v>0.63</v>
      </c>
      <c r="J49" s="60">
        <v>0.83</v>
      </c>
      <c r="K49" s="60">
        <v>126.92</v>
      </c>
      <c r="L49" s="10" t="s">
        <v>42</v>
      </c>
      <c r="M49" s="10" t="s">
        <v>42</v>
      </c>
      <c r="N49" s="60">
        <v>608.5</v>
      </c>
      <c r="O49" s="60">
        <v>0</v>
      </c>
      <c r="P49" s="60">
        <v>1.54</v>
      </c>
      <c r="Q49" s="60">
        <v>152</v>
      </c>
      <c r="R49" s="198"/>
      <c r="S49" s="198"/>
      <c r="T49" s="198"/>
      <c r="U49" s="198"/>
    </row>
    <row r="50" spans="1:21" s="12" customFormat="1" x14ac:dyDescent="0.25">
      <c r="A50" s="201" t="s">
        <v>1438</v>
      </c>
      <c r="B50" s="60">
        <v>11.17</v>
      </c>
      <c r="C50" s="60">
        <v>86.52</v>
      </c>
      <c r="D50" s="60">
        <v>56.7</v>
      </c>
      <c r="E50" s="60">
        <v>3.93</v>
      </c>
      <c r="F50" s="60">
        <v>1.4</v>
      </c>
      <c r="G50" s="60">
        <v>144.66</v>
      </c>
      <c r="H50" s="60">
        <v>75.180000000000007</v>
      </c>
      <c r="I50" s="60">
        <v>0.62</v>
      </c>
      <c r="J50" s="60">
        <v>1.18</v>
      </c>
      <c r="K50" s="60">
        <v>128.81</v>
      </c>
      <c r="L50" s="10" t="s">
        <v>42</v>
      </c>
      <c r="M50" s="10" t="s">
        <v>42</v>
      </c>
      <c r="N50" s="60">
        <v>629.20000000000005</v>
      </c>
      <c r="O50" s="60">
        <v>0</v>
      </c>
      <c r="P50" s="60">
        <v>1.49</v>
      </c>
      <c r="Q50" s="60">
        <v>155.97</v>
      </c>
      <c r="R50" s="198"/>
      <c r="S50" s="198"/>
      <c r="T50" s="198"/>
      <c r="U50" s="198"/>
    </row>
    <row r="51" spans="1:21" s="12" customFormat="1" x14ac:dyDescent="0.25">
      <c r="A51" s="201" t="s">
        <v>1439</v>
      </c>
      <c r="B51" s="60">
        <v>9.1999999999999993</v>
      </c>
      <c r="C51" s="60">
        <v>83.24</v>
      </c>
      <c r="D51" s="60">
        <v>53.31</v>
      </c>
      <c r="E51" s="60">
        <v>4.54</v>
      </c>
      <c r="F51" s="60">
        <v>1.33</v>
      </c>
      <c r="G51" s="60">
        <v>144.66</v>
      </c>
      <c r="H51" s="60">
        <v>75.180000000000007</v>
      </c>
      <c r="I51" s="60">
        <v>0.61</v>
      </c>
      <c r="J51" s="60">
        <v>1.4</v>
      </c>
      <c r="K51" s="60">
        <v>127.68</v>
      </c>
      <c r="L51" s="10" t="s">
        <v>42</v>
      </c>
      <c r="M51" s="10" t="s">
        <v>42</v>
      </c>
      <c r="N51" s="60">
        <v>645.79999999999995</v>
      </c>
      <c r="O51" s="60">
        <v>0</v>
      </c>
      <c r="P51" s="60">
        <v>1.44</v>
      </c>
      <c r="Q51" s="60">
        <v>167.2</v>
      </c>
      <c r="R51" s="198"/>
      <c r="S51" s="198"/>
      <c r="T51" s="198"/>
      <c r="U51" s="198"/>
    </row>
    <row r="52" spans="1:21" s="12" customFormat="1" x14ac:dyDescent="0.25">
      <c r="A52" s="201" t="s">
        <v>1440</v>
      </c>
      <c r="B52" s="60">
        <v>7.49</v>
      </c>
      <c r="C52" s="60">
        <v>79.42</v>
      </c>
      <c r="D52" s="60">
        <v>49.84</v>
      </c>
      <c r="E52" s="60">
        <v>4.99</v>
      </c>
      <c r="F52" s="60">
        <v>2.76</v>
      </c>
      <c r="G52" s="60">
        <v>141.9</v>
      </c>
      <c r="H52" s="60">
        <v>74.77</v>
      </c>
      <c r="I52" s="60">
        <v>0.6</v>
      </c>
      <c r="J52" s="60">
        <v>1.19</v>
      </c>
      <c r="K52" s="60">
        <v>119.71</v>
      </c>
      <c r="L52" s="10" t="s">
        <v>42</v>
      </c>
      <c r="M52" s="10" t="s">
        <v>42</v>
      </c>
      <c r="N52" s="60">
        <v>662.4</v>
      </c>
      <c r="O52" s="60">
        <v>0</v>
      </c>
      <c r="P52" s="60">
        <v>1.37</v>
      </c>
      <c r="Q52" s="60">
        <v>180.76</v>
      </c>
      <c r="R52" s="198"/>
      <c r="S52" s="198"/>
      <c r="T52" s="198"/>
      <c r="U52" s="198"/>
    </row>
    <row r="53" spans="1:21" s="12" customFormat="1" x14ac:dyDescent="0.25">
      <c r="A53" s="201" t="s">
        <v>1441</v>
      </c>
      <c r="B53" s="60">
        <v>7.61</v>
      </c>
      <c r="C53" s="60">
        <v>75.599999999999994</v>
      </c>
      <c r="D53" s="60">
        <v>47.83</v>
      </c>
      <c r="E53" s="60">
        <v>5.22</v>
      </c>
      <c r="F53" s="60">
        <v>2.91</v>
      </c>
      <c r="G53" s="60">
        <v>118.67</v>
      </c>
      <c r="H53" s="60">
        <v>70.62</v>
      </c>
      <c r="I53" s="60">
        <v>0.59</v>
      </c>
      <c r="J53" s="60">
        <v>1.0900000000000001</v>
      </c>
      <c r="K53" s="60">
        <v>104.83</v>
      </c>
      <c r="L53" s="10" t="s">
        <v>42</v>
      </c>
      <c r="M53" s="10" t="s">
        <v>42</v>
      </c>
      <c r="N53" s="60">
        <v>671.6</v>
      </c>
      <c r="O53" s="60">
        <v>0</v>
      </c>
      <c r="P53" s="60">
        <v>1.32</v>
      </c>
      <c r="Q53" s="60">
        <v>184.45</v>
      </c>
      <c r="R53" s="198"/>
      <c r="S53" s="198"/>
      <c r="T53" s="198"/>
      <c r="U53" s="198"/>
    </row>
    <row r="54" spans="1:21" s="12" customFormat="1" x14ac:dyDescent="0.25">
      <c r="A54" s="201" t="s">
        <v>1442</v>
      </c>
      <c r="B54" s="60">
        <v>5.54</v>
      </c>
      <c r="C54" s="60">
        <v>74.989999999999995</v>
      </c>
      <c r="D54" s="60">
        <v>45.83</v>
      </c>
      <c r="E54" s="60">
        <v>5.37</v>
      </c>
      <c r="F54" s="60">
        <v>3.25</v>
      </c>
      <c r="G54" s="60">
        <v>118.67</v>
      </c>
      <c r="H54" s="60">
        <v>70.62</v>
      </c>
      <c r="I54" s="60">
        <v>0.56999999999999995</v>
      </c>
      <c r="J54" s="60">
        <v>0.85</v>
      </c>
      <c r="K54" s="60">
        <v>121.11</v>
      </c>
      <c r="L54" s="10" t="s">
        <v>42</v>
      </c>
      <c r="M54" s="10" t="s">
        <v>42</v>
      </c>
      <c r="N54" s="60">
        <v>667.3</v>
      </c>
      <c r="O54" s="60">
        <v>0</v>
      </c>
      <c r="P54" s="60">
        <v>1.27</v>
      </c>
      <c r="Q54" s="60">
        <v>190.55</v>
      </c>
      <c r="R54" s="198"/>
      <c r="S54" s="198"/>
      <c r="T54" s="198"/>
      <c r="U54" s="198"/>
    </row>
    <row r="55" spans="1:21" s="12" customFormat="1" x14ac:dyDescent="0.25">
      <c r="A55" s="201" t="s">
        <v>1443</v>
      </c>
      <c r="B55" s="60">
        <v>4.5999999999999996</v>
      </c>
      <c r="C55" s="60">
        <v>74.13</v>
      </c>
      <c r="D55" s="60">
        <v>44.6</v>
      </c>
      <c r="E55" s="60">
        <v>4.5599999999999996</v>
      </c>
      <c r="F55" s="60">
        <v>2.48</v>
      </c>
      <c r="G55" s="60">
        <v>118.67</v>
      </c>
      <c r="H55" s="60">
        <v>70.62</v>
      </c>
      <c r="I55" s="60">
        <v>0.56999999999999995</v>
      </c>
      <c r="J55" s="60">
        <v>1.17</v>
      </c>
      <c r="K55" s="60">
        <v>118.63</v>
      </c>
      <c r="L55" s="10" t="s">
        <v>42</v>
      </c>
      <c r="M55" s="10" t="s">
        <v>42</v>
      </c>
      <c r="N55" s="60">
        <v>647.6</v>
      </c>
      <c r="O55" s="60">
        <v>0</v>
      </c>
      <c r="P55" s="60">
        <v>1.24</v>
      </c>
      <c r="Q55" s="60">
        <v>195.24</v>
      </c>
      <c r="R55" s="198"/>
      <c r="S55" s="198"/>
      <c r="T55" s="198"/>
      <c r="U55" s="198"/>
    </row>
    <row r="56" spans="1:21" s="12" customFormat="1" x14ac:dyDescent="0.25">
      <c r="A56" s="201" t="s">
        <v>1444</v>
      </c>
      <c r="B56" s="60">
        <v>4.18</v>
      </c>
      <c r="C56" s="60">
        <v>73.27</v>
      </c>
      <c r="D56" s="60">
        <v>43.78</v>
      </c>
      <c r="E56" s="60">
        <v>2.81</v>
      </c>
      <c r="F56" s="60">
        <v>3.44</v>
      </c>
      <c r="G56" s="60">
        <v>117.87</v>
      </c>
      <c r="H56" s="60">
        <v>70.58</v>
      </c>
      <c r="I56" s="60">
        <v>0.56000000000000005</v>
      </c>
      <c r="J56" s="60">
        <v>0.95</v>
      </c>
      <c r="K56" s="60">
        <v>39.729999999999997</v>
      </c>
      <c r="L56" s="10" t="s">
        <v>42</v>
      </c>
      <c r="M56" s="10" t="s">
        <v>42</v>
      </c>
      <c r="N56" s="60">
        <v>643.70000000000005</v>
      </c>
      <c r="O56" s="60">
        <v>0</v>
      </c>
      <c r="P56" s="60">
        <v>1.2</v>
      </c>
      <c r="Q56" s="60">
        <v>197.67</v>
      </c>
      <c r="R56" s="198"/>
      <c r="S56" s="198"/>
      <c r="T56" s="198"/>
      <c r="U56" s="198"/>
    </row>
    <row r="57" spans="1:21" s="12" customFormat="1" x14ac:dyDescent="0.25">
      <c r="A57" s="201" t="s">
        <v>1445</v>
      </c>
      <c r="B57" s="60">
        <v>3.51</v>
      </c>
      <c r="C57" s="60">
        <v>73.34</v>
      </c>
      <c r="D57" s="60">
        <v>43.29</v>
      </c>
      <c r="E57" s="60">
        <v>4.7</v>
      </c>
      <c r="F57" s="60">
        <v>3.51</v>
      </c>
      <c r="G57" s="60">
        <v>111.17</v>
      </c>
      <c r="H57" s="60">
        <v>70.17</v>
      </c>
      <c r="I57" s="60">
        <v>0.55000000000000004</v>
      </c>
      <c r="J57" s="60">
        <v>0.63</v>
      </c>
      <c r="K57" s="60">
        <v>109.16</v>
      </c>
      <c r="L57" s="10" t="s">
        <v>42</v>
      </c>
      <c r="M57" s="10" t="s">
        <v>42</v>
      </c>
      <c r="N57" s="60">
        <v>649</v>
      </c>
      <c r="O57" s="60">
        <v>0</v>
      </c>
      <c r="P57" s="60">
        <v>1.17</v>
      </c>
      <c r="Q57" s="60">
        <v>192.61</v>
      </c>
      <c r="R57" s="198"/>
      <c r="S57" s="198"/>
      <c r="T57" s="198"/>
      <c r="U57" s="198"/>
    </row>
    <row r="58" spans="1:21" s="12" customFormat="1" x14ac:dyDescent="0.25">
      <c r="A58" s="201" t="s">
        <v>1446</v>
      </c>
      <c r="B58" s="60">
        <v>3.04</v>
      </c>
      <c r="C58" s="60">
        <v>72</v>
      </c>
      <c r="D58" s="60">
        <v>42.18</v>
      </c>
      <c r="E58" s="60">
        <v>4.59</v>
      </c>
      <c r="F58" s="60">
        <v>2.52</v>
      </c>
      <c r="G58" s="60">
        <v>111.17</v>
      </c>
      <c r="H58" s="60">
        <v>70.17</v>
      </c>
      <c r="I58" s="60">
        <v>0.54</v>
      </c>
      <c r="J58" s="60">
        <v>0.86</v>
      </c>
      <c r="K58" s="60">
        <v>108.63</v>
      </c>
      <c r="L58" s="10" t="s">
        <v>42</v>
      </c>
      <c r="M58" s="10" t="s">
        <v>42</v>
      </c>
      <c r="N58" s="60">
        <v>619.79999999999995</v>
      </c>
      <c r="O58" s="60">
        <v>0</v>
      </c>
      <c r="P58" s="60">
        <v>1.1499999999999999</v>
      </c>
      <c r="Q58" s="60">
        <v>192.99</v>
      </c>
      <c r="R58" s="198"/>
      <c r="S58" s="198"/>
      <c r="T58" s="198"/>
      <c r="U58" s="198"/>
    </row>
    <row r="59" spans="1:21" s="12" customFormat="1" x14ac:dyDescent="0.25">
      <c r="A59" s="201" t="s">
        <v>1447</v>
      </c>
      <c r="B59" s="60">
        <v>2.73</v>
      </c>
      <c r="C59" s="60">
        <v>70.010000000000005</v>
      </c>
      <c r="D59" s="60">
        <v>40.82</v>
      </c>
      <c r="E59" s="60">
        <v>4.71</v>
      </c>
      <c r="F59" s="60">
        <v>3.43</v>
      </c>
      <c r="G59" s="60">
        <v>111.17</v>
      </c>
      <c r="H59" s="60">
        <v>70.17</v>
      </c>
      <c r="I59" s="60">
        <v>0.55000000000000004</v>
      </c>
      <c r="J59" s="60">
        <v>0.96</v>
      </c>
      <c r="K59" s="60">
        <v>91.42</v>
      </c>
      <c r="L59" s="10" t="s">
        <v>42</v>
      </c>
      <c r="M59" s="10" t="s">
        <v>42</v>
      </c>
      <c r="N59" s="60">
        <v>587.29999999999995</v>
      </c>
      <c r="O59" s="60">
        <v>0</v>
      </c>
      <c r="P59" s="60">
        <v>1.1100000000000001</v>
      </c>
      <c r="Q59" s="60">
        <v>181.91</v>
      </c>
      <c r="R59" s="198"/>
      <c r="S59" s="198"/>
      <c r="T59" s="198"/>
      <c r="U59" s="198"/>
    </row>
    <row r="60" spans="1:21" s="12" customFormat="1" x14ac:dyDescent="0.25">
      <c r="A60" s="201" t="s">
        <v>1448</v>
      </c>
      <c r="B60" s="60">
        <v>2.42</v>
      </c>
      <c r="C60" s="60">
        <v>69.91</v>
      </c>
      <c r="D60" s="60">
        <v>40.520000000000003</v>
      </c>
      <c r="E60" s="60">
        <v>4.6100000000000003</v>
      </c>
      <c r="F60" s="60">
        <v>3.45</v>
      </c>
      <c r="G60" s="60">
        <v>111.82</v>
      </c>
      <c r="H60" s="60">
        <v>69.709999999999994</v>
      </c>
      <c r="I60" s="60">
        <v>0.54</v>
      </c>
      <c r="J60" s="60">
        <v>0.87</v>
      </c>
      <c r="K60" s="60">
        <v>122.25</v>
      </c>
      <c r="L60" s="10" t="s">
        <v>42</v>
      </c>
      <c r="M60" s="10" t="s">
        <v>42</v>
      </c>
      <c r="N60" s="60">
        <v>576</v>
      </c>
      <c r="O60" s="60">
        <v>0</v>
      </c>
      <c r="P60" s="60">
        <v>1.0900000000000001</v>
      </c>
      <c r="Q60" s="60">
        <v>171.9</v>
      </c>
      <c r="R60" s="198"/>
      <c r="S60" s="198"/>
      <c r="T60" s="198"/>
      <c r="U60" s="198"/>
    </row>
    <row r="61" spans="1:21" s="12" customFormat="1" x14ac:dyDescent="0.25">
      <c r="A61" s="201" t="s">
        <v>1449</v>
      </c>
      <c r="B61" s="60">
        <v>2.0099999999999998</v>
      </c>
      <c r="C61" s="60">
        <v>67.849999999999994</v>
      </c>
      <c r="D61" s="60">
        <v>39.049999999999997</v>
      </c>
      <c r="E61" s="60">
        <v>5.31</v>
      </c>
      <c r="F61" s="60">
        <v>4.3499999999999996</v>
      </c>
      <c r="G61" s="60">
        <v>117.28</v>
      </c>
      <c r="H61" s="60">
        <v>65.03</v>
      </c>
      <c r="I61" s="60">
        <v>0.51</v>
      </c>
      <c r="J61" s="60">
        <v>0.89</v>
      </c>
      <c r="K61" s="60">
        <v>118.99</v>
      </c>
      <c r="L61" s="10" t="s">
        <v>42</v>
      </c>
      <c r="M61" s="10" t="s">
        <v>42</v>
      </c>
      <c r="N61" s="60">
        <v>563</v>
      </c>
      <c r="O61" s="60">
        <v>0</v>
      </c>
      <c r="P61" s="60">
        <v>0.99</v>
      </c>
      <c r="Q61" s="60">
        <v>165.63</v>
      </c>
      <c r="R61" s="198"/>
      <c r="S61" s="198"/>
      <c r="T61" s="198"/>
      <c r="U61" s="198"/>
    </row>
    <row r="62" spans="1:21" s="12" customFormat="1" x14ac:dyDescent="0.25">
      <c r="A62" s="201" t="s">
        <v>1450</v>
      </c>
      <c r="B62" s="60">
        <v>1.84</v>
      </c>
      <c r="C62" s="60">
        <v>66.290000000000006</v>
      </c>
      <c r="D62" s="60">
        <v>38.06</v>
      </c>
      <c r="E62" s="60">
        <v>4.83</v>
      </c>
      <c r="F62" s="60">
        <v>4.12</v>
      </c>
      <c r="G62" s="60">
        <v>117.28</v>
      </c>
      <c r="H62" s="60">
        <v>65.03</v>
      </c>
      <c r="I62" s="60">
        <v>0.5</v>
      </c>
      <c r="J62" s="60">
        <v>0.44</v>
      </c>
      <c r="K62" s="60">
        <v>64.91</v>
      </c>
      <c r="L62" s="10" t="s">
        <v>42</v>
      </c>
      <c r="M62" s="10" t="s">
        <v>42</v>
      </c>
      <c r="N62" s="60">
        <v>533.9</v>
      </c>
      <c r="O62" s="60">
        <v>0</v>
      </c>
      <c r="P62" s="60">
        <v>1.04</v>
      </c>
      <c r="Q62" s="60">
        <v>163.1</v>
      </c>
      <c r="R62" s="198"/>
      <c r="S62" s="198"/>
      <c r="T62" s="198"/>
      <c r="U62" s="198"/>
    </row>
    <row r="63" spans="1:21" s="12" customFormat="1" x14ac:dyDescent="0.25">
      <c r="A63" s="201" t="s">
        <v>1451</v>
      </c>
      <c r="B63" s="60">
        <v>1.75</v>
      </c>
      <c r="C63" s="60">
        <v>65.59</v>
      </c>
      <c r="D63" s="60">
        <v>37.6</v>
      </c>
      <c r="E63" s="60">
        <v>5.39</v>
      </c>
      <c r="F63" s="60">
        <v>4.37</v>
      </c>
      <c r="G63" s="60">
        <v>117.28</v>
      </c>
      <c r="H63" s="60">
        <v>65.03</v>
      </c>
      <c r="I63" s="60">
        <v>0.48</v>
      </c>
      <c r="J63" s="60">
        <v>0.44</v>
      </c>
      <c r="K63" s="60">
        <v>104.52</v>
      </c>
      <c r="L63" s="10" t="s">
        <v>42</v>
      </c>
      <c r="M63" s="10" t="s">
        <v>42</v>
      </c>
      <c r="N63" s="60">
        <v>509.4</v>
      </c>
      <c r="O63" s="60">
        <v>0</v>
      </c>
      <c r="P63" s="60">
        <v>1.02</v>
      </c>
      <c r="Q63" s="60">
        <v>158.5</v>
      </c>
      <c r="R63" s="198"/>
      <c r="S63" s="198"/>
      <c r="T63" s="198"/>
      <c r="U63" s="198"/>
    </row>
    <row r="64" spans="1:21" s="12" customFormat="1" x14ac:dyDescent="0.25">
      <c r="A64" s="201" t="s">
        <v>1452</v>
      </c>
      <c r="B64" s="60">
        <v>2.69</v>
      </c>
      <c r="C64" s="60">
        <v>70.459999999999994</v>
      </c>
      <c r="D64" s="60">
        <v>41.04</v>
      </c>
      <c r="E64" s="60">
        <v>4.9000000000000004</v>
      </c>
      <c r="F64" s="60">
        <v>5.24</v>
      </c>
      <c r="G64" s="60">
        <v>116.85</v>
      </c>
      <c r="H64" s="60">
        <v>65.150000000000006</v>
      </c>
      <c r="I64" s="60">
        <v>0.47</v>
      </c>
      <c r="J64" s="60">
        <v>0.54</v>
      </c>
      <c r="K64" s="60">
        <v>39.11</v>
      </c>
      <c r="L64" s="10" t="s">
        <v>42</v>
      </c>
      <c r="M64" s="10" t="s">
        <v>42</v>
      </c>
      <c r="N64" s="60">
        <v>467.2</v>
      </c>
      <c r="O64" s="60">
        <v>0</v>
      </c>
      <c r="P64" s="60">
        <v>1.02</v>
      </c>
      <c r="Q64" s="60">
        <v>152.66</v>
      </c>
      <c r="R64" s="198"/>
      <c r="S64" s="198"/>
      <c r="T64" s="198"/>
      <c r="U64" s="198"/>
    </row>
    <row r="65" spans="1:21" s="12" customFormat="1" x14ac:dyDescent="0.25">
      <c r="A65" s="201" t="s">
        <v>1453</v>
      </c>
      <c r="B65" s="60">
        <v>2.23</v>
      </c>
      <c r="C65" s="60">
        <v>69.22</v>
      </c>
      <c r="D65" s="60">
        <v>39.99</v>
      </c>
      <c r="E65" s="60">
        <v>5.87</v>
      </c>
      <c r="F65" s="60">
        <v>6.04</v>
      </c>
      <c r="G65" s="60">
        <v>113.18</v>
      </c>
      <c r="H65" s="60">
        <v>66.430000000000007</v>
      </c>
      <c r="I65" s="60">
        <v>0.46</v>
      </c>
      <c r="J65" s="60">
        <v>0.77</v>
      </c>
      <c r="K65" s="60">
        <v>61.29</v>
      </c>
      <c r="L65" s="10" t="s">
        <v>42</v>
      </c>
      <c r="M65" s="10" t="s">
        <v>42</v>
      </c>
      <c r="N65" s="60">
        <v>427.4</v>
      </c>
      <c r="O65" s="60">
        <v>0</v>
      </c>
      <c r="P65" s="60">
        <v>1.03</v>
      </c>
      <c r="Q65" s="60">
        <v>149.93</v>
      </c>
      <c r="R65" s="198"/>
      <c r="S65" s="198"/>
      <c r="T65" s="198"/>
      <c r="U65" s="198"/>
    </row>
    <row r="66" spans="1:21" s="12" customFormat="1" x14ac:dyDescent="0.25">
      <c r="A66" s="201" t="s">
        <v>1454</v>
      </c>
      <c r="B66" s="60">
        <v>2.74</v>
      </c>
      <c r="C66" s="60">
        <v>72.87</v>
      </c>
      <c r="D66" s="60">
        <v>42.42</v>
      </c>
      <c r="E66" s="60">
        <v>5.94</v>
      </c>
      <c r="F66" s="60">
        <v>10.19</v>
      </c>
      <c r="G66" s="60">
        <v>113.18</v>
      </c>
      <c r="H66" s="60">
        <v>66.430000000000007</v>
      </c>
      <c r="I66" s="60">
        <v>0.45</v>
      </c>
      <c r="J66" s="60">
        <v>0.7</v>
      </c>
      <c r="K66" s="60">
        <v>55.02</v>
      </c>
      <c r="L66" s="10" t="s">
        <v>42</v>
      </c>
      <c r="M66" s="10" t="s">
        <v>42</v>
      </c>
      <c r="N66" s="60">
        <v>339.5</v>
      </c>
      <c r="O66" s="60">
        <v>0</v>
      </c>
      <c r="P66" s="60">
        <v>1.02</v>
      </c>
      <c r="Q66" s="60">
        <v>153.15</v>
      </c>
      <c r="R66" s="198"/>
      <c r="S66" s="198"/>
      <c r="T66" s="198"/>
      <c r="U66" s="198"/>
    </row>
    <row r="67" spans="1:21" s="12" customFormat="1" x14ac:dyDescent="0.25">
      <c r="A67" s="201" t="s">
        <v>1455</v>
      </c>
      <c r="B67" s="60">
        <v>2.13</v>
      </c>
      <c r="C67" s="60">
        <v>69.72</v>
      </c>
      <c r="D67" s="60">
        <v>40.18</v>
      </c>
      <c r="E67" s="60">
        <v>6.34</v>
      </c>
      <c r="F67" s="60">
        <v>8.82</v>
      </c>
      <c r="G67" s="60">
        <v>113.18</v>
      </c>
      <c r="H67" s="60">
        <v>66.430000000000007</v>
      </c>
      <c r="I67" s="60">
        <v>0.45</v>
      </c>
      <c r="J67" s="60">
        <v>0.56000000000000005</v>
      </c>
      <c r="K67" s="60">
        <v>109.2</v>
      </c>
      <c r="L67" s="10" t="s">
        <v>42</v>
      </c>
      <c r="M67" s="10" t="s">
        <v>42</v>
      </c>
      <c r="N67" s="60">
        <v>236.2</v>
      </c>
      <c r="O67" s="60">
        <v>0</v>
      </c>
      <c r="P67" s="60">
        <v>0.98</v>
      </c>
      <c r="Q67" s="60">
        <v>156.57</v>
      </c>
      <c r="R67" s="198"/>
      <c r="S67" s="198"/>
      <c r="T67" s="198"/>
      <c r="U67" s="198"/>
    </row>
    <row r="68" spans="1:21" s="12" customFormat="1" x14ac:dyDescent="0.25">
      <c r="A68" s="201" t="s">
        <v>1456</v>
      </c>
      <c r="B68" s="60">
        <v>2.4500000000000002</v>
      </c>
      <c r="C68" s="60">
        <v>70.489999999999995</v>
      </c>
      <c r="D68" s="60">
        <v>40.869999999999997</v>
      </c>
      <c r="E68" s="60">
        <v>5.7</v>
      </c>
      <c r="F68" s="60">
        <v>8.85</v>
      </c>
      <c r="G68" s="60">
        <v>114.06</v>
      </c>
      <c r="H68" s="60">
        <v>66.349999999999994</v>
      </c>
      <c r="I68" s="60">
        <v>0.44</v>
      </c>
      <c r="J68" s="60">
        <v>0.43</v>
      </c>
      <c r="K68" s="60">
        <v>99.05</v>
      </c>
      <c r="L68" s="10" t="s">
        <v>42</v>
      </c>
      <c r="M68" s="10" t="s">
        <v>42</v>
      </c>
      <c r="N68" s="60">
        <v>168.2</v>
      </c>
      <c r="O68" s="60">
        <v>0</v>
      </c>
      <c r="P68" s="60">
        <v>1.02</v>
      </c>
      <c r="Q68" s="60">
        <v>160.69999999999999</v>
      </c>
      <c r="R68" s="198"/>
      <c r="S68" s="198"/>
      <c r="T68" s="198"/>
      <c r="U68" s="198"/>
    </row>
    <row r="69" spans="1:21" s="12" customFormat="1" x14ac:dyDescent="0.25">
      <c r="A69" s="201" t="s">
        <v>1457</v>
      </c>
      <c r="B69" s="60">
        <v>4.13</v>
      </c>
      <c r="C69" s="60">
        <v>74.680000000000007</v>
      </c>
      <c r="D69" s="60">
        <v>44.53</v>
      </c>
      <c r="E69" s="60">
        <v>6.33</v>
      </c>
      <c r="F69" s="60">
        <v>6.84</v>
      </c>
      <c r="G69" s="60">
        <v>121.42</v>
      </c>
      <c r="H69" s="60">
        <v>65.5</v>
      </c>
      <c r="I69" s="60">
        <v>0.43</v>
      </c>
      <c r="J69" s="60">
        <v>1.17</v>
      </c>
      <c r="K69" s="60">
        <v>47.92</v>
      </c>
      <c r="L69" s="10" t="s">
        <v>42</v>
      </c>
      <c r="M69" s="10" t="s">
        <v>42</v>
      </c>
      <c r="N69" s="60">
        <v>154.30000000000001</v>
      </c>
      <c r="O69" s="60">
        <v>0</v>
      </c>
      <c r="P69" s="60">
        <v>1.02</v>
      </c>
      <c r="Q69" s="60">
        <v>158.59</v>
      </c>
      <c r="R69" s="198"/>
      <c r="S69" s="198"/>
      <c r="T69" s="198"/>
      <c r="U69" s="198"/>
    </row>
    <row r="70" spans="1:21" s="12" customFormat="1" x14ac:dyDescent="0.25">
      <c r="A70" s="201" t="s">
        <v>1458</v>
      </c>
      <c r="B70" s="60">
        <v>4.8899999999999997</v>
      </c>
      <c r="C70" s="60">
        <v>77.81</v>
      </c>
      <c r="D70" s="60">
        <v>46.86</v>
      </c>
      <c r="E70" s="60">
        <v>6.37</v>
      </c>
      <c r="F70" s="60">
        <v>5.22</v>
      </c>
      <c r="G70" s="60">
        <v>121.42</v>
      </c>
      <c r="H70" s="60">
        <v>65.5</v>
      </c>
      <c r="I70" s="60">
        <v>0.45</v>
      </c>
      <c r="J70" s="60">
        <v>1.26</v>
      </c>
      <c r="K70" s="60">
        <v>48</v>
      </c>
      <c r="L70" s="10" t="s">
        <v>42</v>
      </c>
      <c r="M70" s="10" t="s">
        <v>42</v>
      </c>
      <c r="N70" s="60">
        <v>126.7</v>
      </c>
      <c r="O70" s="60">
        <v>0</v>
      </c>
      <c r="P70" s="60">
        <v>1.04</v>
      </c>
      <c r="Q70" s="60">
        <v>158.37</v>
      </c>
      <c r="R70" s="198"/>
      <c r="S70" s="198"/>
      <c r="T70" s="198"/>
      <c r="U70" s="198"/>
    </row>
    <row r="71" spans="1:21" s="12" customFormat="1" x14ac:dyDescent="0.25">
      <c r="A71" s="201" t="s">
        <v>1459</v>
      </c>
      <c r="B71" s="60">
        <v>4.4400000000000004</v>
      </c>
      <c r="C71" s="60">
        <v>87.29</v>
      </c>
      <c r="D71" s="60">
        <v>51.73</v>
      </c>
      <c r="E71" s="60">
        <v>6.7</v>
      </c>
      <c r="F71" s="60">
        <v>9.25</v>
      </c>
      <c r="G71" s="60">
        <v>121.42</v>
      </c>
      <c r="H71" s="60">
        <v>65.5</v>
      </c>
      <c r="I71" s="60">
        <v>0.45</v>
      </c>
      <c r="J71" s="60">
        <v>0.62</v>
      </c>
      <c r="K71" s="60">
        <v>48.49</v>
      </c>
      <c r="L71" s="10" t="s">
        <v>42</v>
      </c>
      <c r="M71" s="10" t="s">
        <v>42</v>
      </c>
      <c r="N71" s="60">
        <v>111</v>
      </c>
      <c r="O71" s="60">
        <v>0</v>
      </c>
      <c r="P71" s="60">
        <v>1.06</v>
      </c>
      <c r="Q71" s="60">
        <v>158.22999999999999</v>
      </c>
      <c r="R71" s="198"/>
      <c r="S71" s="198"/>
      <c r="T71" s="198"/>
      <c r="U71" s="198"/>
    </row>
    <row r="72" spans="1:21" s="12" customFormat="1" x14ac:dyDescent="0.25">
      <c r="A72" s="201" t="s">
        <v>1460</v>
      </c>
      <c r="B72" s="60">
        <v>4.28</v>
      </c>
      <c r="C72" s="60">
        <v>82.49</v>
      </c>
      <c r="D72" s="60">
        <v>48.95</v>
      </c>
      <c r="E72" s="60">
        <v>2.85</v>
      </c>
      <c r="F72" s="60">
        <v>3.06</v>
      </c>
      <c r="G72" s="60">
        <v>122.15</v>
      </c>
      <c r="H72" s="60">
        <v>65.38</v>
      </c>
      <c r="I72" s="60">
        <v>0.47</v>
      </c>
      <c r="J72" s="60">
        <v>1.03</v>
      </c>
      <c r="K72" s="60">
        <v>28.34</v>
      </c>
      <c r="L72" s="10" t="s">
        <v>42</v>
      </c>
      <c r="M72" s="10" t="s">
        <v>42</v>
      </c>
      <c r="N72" s="60">
        <v>98.8</v>
      </c>
      <c r="O72" s="60">
        <v>0</v>
      </c>
      <c r="P72" s="60">
        <v>1.06</v>
      </c>
      <c r="Q72" s="60">
        <v>157.84</v>
      </c>
      <c r="R72" s="198"/>
      <c r="S72" s="198"/>
      <c r="T72" s="198"/>
      <c r="U72" s="198"/>
    </row>
    <row r="73" spans="1:21" s="12" customFormat="1" x14ac:dyDescent="0.25">
      <c r="A73" s="201" t="s">
        <v>1461</v>
      </c>
      <c r="B73" s="60">
        <v>3.55</v>
      </c>
      <c r="C73" s="60">
        <v>79.239999999999995</v>
      </c>
      <c r="D73" s="60">
        <v>46.58</v>
      </c>
      <c r="E73" s="60">
        <v>5.19</v>
      </c>
      <c r="F73" s="60">
        <v>2.5</v>
      </c>
      <c r="G73" s="60">
        <v>128.30000000000001</v>
      </c>
      <c r="H73" s="60">
        <v>64.17</v>
      </c>
      <c r="I73" s="60">
        <v>0.46</v>
      </c>
      <c r="J73" s="60">
        <v>1.25</v>
      </c>
      <c r="K73" s="60">
        <v>31.29</v>
      </c>
      <c r="L73" s="10" t="s">
        <v>42</v>
      </c>
      <c r="M73" s="10" t="s">
        <v>42</v>
      </c>
      <c r="N73" s="60">
        <v>79.5</v>
      </c>
      <c r="O73" s="60">
        <v>0</v>
      </c>
      <c r="P73" s="60">
        <v>1.07</v>
      </c>
      <c r="Q73" s="60">
        <v>145.19999999999999</v>
      </c>
      <c r="R73" s="198"/>
      <c r="S73" s="198"/>
      <c r="T73" s="198"/>
      <c r="U73" s="198"/>
    </row>
    <row r="74" spans="1:21" s="12" customFormat="1" x14ac:dyDescent="0.25">
      <c r="A74" s="201" t="s">
        <v>1462</v>
      </c>
      <c r="B74" s="60">
        <v>6.11</v>
      </c>
      <c r="C74" s="60">
        <v>86.48</v>
      </c>
      <c r="D74" s="60">
        <v>52.62</v>
      </c>
      <c r="E74" s="60">
        <v>5.17</v>
      </c>
      <c r="F74" s="60">
        <v>2.77</v>
      </c>
      <c r="G74" s="60">
        <v>128.30000000000001</v>
      </c>
      <c r="H74" s="60">
        <v>64.17</v>
      </c>
      <c r="I74" s="60">
        <v>0.48</v>
      </c>
      <c r="J74" s="60">
        <v>1.06</v>
      </c>
      <c r="K74" s="60">
        <v>36.6</v>
      </c>
      <c r="L74" s="10" t="s">
        <v>42</v>
      </c>
      <c r="M74" s="10" t="s">
        <v>42</v>
      </c>
      <c r="N74" s="60">
        <v>65.400000000000006</v>
      </c>
      <c r="O74" s="60">
        <v>0</v>
      </c>
      <c r="P74" s="60">
        <v>1.1000000000000001</v>
      </c>
      <c r="Q74" s="60">
        <v>131.88</v>
      </c>
      <c r="R74" s="198"/>
      <c r="S74" s="198"/>
      <c r="T74" s="198"/>
      <c r="U74" s="198"/>
    </row>
    <row r="75" spans="1:21" s="12" customFormat="1" x14ac:dyDescent="0.25">
      <c r="A75" s="201" t="s">
        <v>1463</v>
      </c>
      <c r="B75" s="60">
        <v>6.2</v>
      </c>
      <c r="C75" s="60">
        <v>84.86</v>
      </c>
      <c r="D75" s="60">
        <v>51.8</v>
      </c>
      <c r="E75" s="60">
        <v>5.6</v>
      </c>
      <c r="F75" s="60">
        <v>3.85</v>
      </c>
      <c r="G75" s="60">
        <v>128.30000000000001</v>
      </c>
      <c r="H75" s="60">
        <v>64.17</v>
      </c>
      <c r="I75" s="60">
        <v>0.47</v>
      </c>
      <c r="J75" s="60">
        <v>0.94</v>
      </c>
      <c r="K75" s="60">
        <v>31.22</v>
      </c>
      <c r="L75" s="10" t="s">
        <v>42</v>
      </c>
      <c r="M75" s="10" t="s">
        <v>42</v>
      </c>
      <c r="N75" s="60">
        <v>52.3</v>
      </c>
      <c r="O75" s="60">
        <v>0</v>
      </c>
      <c r="P75" s="60">
        <v>1.1200000000000001</v>
      </c>
      <c r="Q75" s="60">
        <v>124.46</v>
      </c>
      <c r="R75" s="198"/>
      <c r="S75" s="198"/>
      <c r="T75" s="198"/>
      <c r="U75" s="198"/>
    </row>
    <row r="76" spans="1:21" s="12" customFormat="1" x14ac:dyDescent="0.25">
      <c r="A76" s="201" t="s">
        <v>1464</v>
      </c>
      <c r="B76" s="60">
        <v>5.76</v>
      </c>
      <c r="C76" s="60">
        <v>88.97</v>
      </c>
      <c r="D76" s="60">
        <v>53.72</v>
      </c>
      <c r="E76" s="60">
        <v>5.79</v>
      </c>
      <c r="F76" s="60">
        <v>4.41</v>
      </c>
      <c r="G76" s="60">
        <v>128.83000000000001</v>
      </c>
      <c r="H76" s="60">
        <v>63.83</v>
      </c>
      <c r="I76" s="60">
        <v>0.46</v>
      </c>
      <c r="J76" s="60">
        <v>0.96</v>
      </c>
      <c r="K76" s="60">
        <v>40.880000000000003</v>
      </c>
      <c r="L76" s="10" t="s">
        <v>42</v>
      </c>
      <c r="M76" s="10" t="s">
        <v>42</v>
      </c>
      <c r="N76" s="60">
        <v>39.6</v>
      </c>
      <c r="O76" s="60">
        <v>0</v>
      </c>
      <c r="P76" s="60">
        <v>1.1499999999999999</v>
      </c>
      <c r="Q76" s="60">
        <v>119.07</v>
      </c>
      <c r="R76" s="198"/>
      <c r="S76" s="198"/>
      <c r="T76" s="198"/>
      <c r="U76" s="198"/>
    </row>
    <row r="77" spans="1:21" s="12" customFormat="1" x14ac:dyDescent="0.25">
      <c r="A77" s="201" t="s">
        <v>1465</v>
      </c>
      <c r="B77" s="60">
        <v>8.2799999999999994</v>
      </c>
      <c r="C77" s="60">
        <v>96.78</v>
      </c>
      <c r="D77" s="60">
        <v>60.05</v>
      </c>
      <c r="E77" s="60">
        <v>5.28</v>
      </c>
      <c r="F77" s="60">
        <v>4.1100000000000003</v>
      </c>
      <c r="G77" s="60">
        <v>133.24</v>
      </c>
      <c r="H77" s="60">
        <v>60.4</v>
      </c>
      <c r="I77" s="60">
        <v>0.46</v>
      </c>
      <c r="J77" s="60">
        <v>0.52</v>
      </c>
      <c r="K77" s="60">
        <v>39.06</v>
      </c>
      <c r="L77" s="10" t="s">
        <v>42</v>
      </c>
      <c r="M77" s="10" t="s">
        <v>42</v>
      </c>
      <c r="N77" s="60">
        <v>30</v>
      </c>
      <c r="O77" s="60">
        <v>0</v>
      </c>
      <c r="P77" s="60">
        <v>1.24</v>
      </c>
      <c r="Q77" s="60">
        <v>114.8</v>
      </c>
      <c r="R77" s="198"/>
      <c r="S77" s="198"/>
      <c r="T77" s="198"/>
      <c r="U77" s="198"/>
    </row>
    <row r="78" spans="1:21" s="12" customFormat="1" x14ac:dyDescent="0.25">
      <c r="A78" s="201" t="s">
        <v>1466</v>
      </c>
      <c r="B78" s="60">
        <v>10.76</v>
      </c>
      <c r="C78" s="60">
        <v>101.71</v>
      </c>
      <c r="D78" s="60">
        <v>64.760000000000005</v>
      </c>
      <c r="E78" s="60">
        <v>5.51</v>
      </c>
      <c r="F78" s="60">
        <v>2.89</v>
      </c>
      <c r="G78" s="60">
        <v>133.24</v>
      </c>
      <c r="H78" s="60">
        <v>60.4</v>
      </c>
      <c r="I78" s="60">
        <v>0.46</v>
      </c>
      <c r="J78" s="60">
        <v>0.3</v>
      </c>
      <c r="K78" s="60">
        <v>25.23</v>
      </c>
      <c r="L78" s="10" t="s">
        <v>42</v>
      </c>
      <c r="M78" s="10" t="s">
        <v>42</v>
      </c>
      <c r="N78" s="60">
        <v>24.9</v>
      </c>
      <c r="O78" s="60">
        <v>0</v>
      </c>
      <c r="P78" s="60">
        <v>1.38</v>
      </c>
      <c r="Q78" s="60">
        <v>114.56</v>
      </c>
      <c r="R78" s="198"/>
      <c r="S78" s="198"/>
      <c r="T78" s="198"/>
      <c r="U78" s="198"/>
    </row>
    <row r="79" spans="1:21" s="12" customFormat="1" x14ac:dyDescent="0.25">
      <c r="A79" s="201" t="s">
        <v>1467</v>
      </c>
      <c r="B79" s="60">
        <v>10.55</v>
      </c>
      <c r="C79" s="60">
        <v>96.15</v>
      </c>
      <c r="D79" s="60">
        <v>61.52</v>
      </c>
      <c r="E79" s="60">
        <v>4.8899999999999997</v>
      </c>
      <c r="F79" s="60">
        <v>2.35</v>
      </c>
      <c r="G79" s="60">
        <v>133.24</v>
      </c>
      <c r="H79" s="60">
        <v>60.4</v>
      </c>
      <c r="I79" s="60">
        <v>0.47</v>
      </c>
      <c r="J79" s="60">
        <v>0.19</v>
      </c>
      <c r="K79" s="60">
        <v>57.92</v>
      </c>
      <c r="L79" s="10" t="s">
        <v>42</v>
      </c>
      <c r="M79" s="10" t="s">
        <v>42</v>
      </c>
      <c r="N79" s="60">
        <v>23.5</v>
      </c>
      <c r="O79" s="60">
        <v>0</v>
      </c>
      <c r="P79" s="60">
        <v>1.39</v>
      </c>
      <c r="Q79" s="60">
        <v>118.41</v>
      </c>
      <c r="R79" s="198"/>
      <c r="S79" s="198"/>
      <c r="T79" s="198"/>
      <c r="U79" s="198"/>
    </row>
    <row r="80" spans="1:21" s="12" customFormat="1" x14ac:dyDescent="0.25">
      <c r="A80" s="201" t="s">
        <v>1468</v>
      </c>
      <c r="B80" s="60">
        <v>13.99</v>
      </c>
      <c r="C80" s="60">
        <v>104.48</v>
      </c>
      <c r="D80" s="60">
        <v>68.88</v>
      </c>
      <c r="E80" s="60">
        <v>4.8600000000000003</v>
      </c>
      <c r="F80" s="60">
        <v>2.69</v>
      </c>
      <c r="G80" s="60">
        <v>138.05000000000001</v>
      </c>
      <c r="H80" s="60">
        <v>60.88</v>
      </c>
      <c r="I80" s="60">
        <v>0.49</v>
      </c>
      <c r="J80" s="60">
        <v>0.32</v>
      </c>
      <c r="K80" s="60">
        <v>40.44</v>
      </c>
      <c r="L80" s="10" t="s">
        <v>42</v>
      </c>
      <c r="M80" s="10" t="s">
        <v>42</v>
      </c>
      <c r="N80" s="60">
        <v>23</v>
      </c>
      <c r="O80" s="60">
        <v>0</v>
      </c>
      <c r="P80" s="60">
        <v>1.53</v>
      </c>
      <c r="Q80" s="60">
        <v>128.57</v>
      </c>
      <c r="R80" s="198"/>
      <c r="S80" s="198"/>
      <c r="T80" s="198"/>
      <c r="U80" s="198"/>
    </row>
    <row r="81" spans="1:26" s="12" customFormat="1" x14ac:dyDescent="0.25">
      <c r="A81" s="201" t="s">
        <v>1469</v>
      </c>
      <c r="B81" s="60">
        <v>15</v>
      </c>
      <c r="C81" s="60">
        <v>107.37</v>
      </c>
      <c r="D81" s="60">
        <v>71.28</v>
      </c>
      <c r="E81" s="60">
        <v>5.21</v>
      </c>
      <c r="F81" s="60">
        <v>2.63</v>
      </c>
      <c r="G81" s="60">
        <v>178.61</v>
      </c>
      <c r="H81" s="60">
        <v>65.849999999999994</v>
      </c>
      <c r="I81" s="60">
        <v>0.52</v>
      </c>
      <c r="J81" s="60">
        <v>0.26</v>
      </c>
      <c r="K81" s="60">
        <v>88.08</v>
      </c>
      <c r="L81" s="10" t="s">
        <v>42</v>
      </c>
      <c r="M81" s="10" t="s">
        <v>42</v>
      </c>
      <c r="N81" s="60">
        <v>23.1</v>
      </c>
      <c r="O81" s="60">
        <v>0</v>
      </c>
      <c r="P81" s="60">
        <v>1.52</v>
      </c>
      <c r="Q81" s="60">
        <v>133.85</v>
      </c>
      <c r="R81" s="198"/>
      <c r="S81" s="198"/>
      <c r="T81" s="198"/>
      <c r="U81" s="198"/>
    </row>
    <row r="82" spans="1:26" s="12" customFormat="1" x14ac:dyDescent="0.25">
      <c r="A82" s="201" t="s">
        <v>1470</v>
      </c>
      <c r="B82" s="60">
        <v>13.95</v>
      </c>
      <c r="C82" s="60">
        <v>101.51</v>
      </c>
      <c r="D82" s="60">
        <v>67.209999999999994</v>
      </c>
      <c r="E82" s="60">
        <v>5.43</v>
      </c>
      <c r="F82" s="60">
        <v>2.04</v>
      </c>
      <c r="G82" s="60">
        <v>178.61</v>
      </c>
      <c r="H82" s="60">
        <v>65.849999999999994</v>
      </c>
      <c r="I82" s="60">
        <v>0.55000000000000004</v>
      </c>
      <c r="J82" s="60">
        <v>0.28000000000000003</v>
      </c>
      <c r="K82" s="60">
        <v>75.959999999999994</v>
      </c>
      <c r="L82" s="10" t="s">
        <v>42</v>
      </c>
      <c r="M82" s="10" t="s">
        <v>42</v>
      </c>
      <c r="N82" s="60">
        <v>23.1</v>
      </c>
      <c r="O82" s="60">
        <v>0</v>
      </c>
      <c r="P82" s="60">
        <v>1.54</v>
      </c>
      <c r="Q82" s="60">
        <v>139.12</v>
      </c>
      <c r="R82" s="198"/>
      <c r="S82" s="198"/>
      <c r="T82" s="198"/>
      <c r="U82" s="198"/>
    </row>
    <row r="83" spans="1:26" s="12" customFormat="1" x14ac:dyDescent="0.25">
      <c r="A83" s="201" t="s">
        <v>1471</v>
      </c>
      <c r="B83" s="60">
        <v>19.43</v>
      </c>
      <c r="C83" s="60">
        <v>109.08</v>
      </c>
      <c r="D83" s="60">
        <v>75.78</v>
      </c>
      <c r="E83" s="60">
        <v>6.13</v>
      </c>
      <c r="F83" s="60">
        <v>0.84</v>
      </c>
      <c r="G83" s="60">
        <v>178.61</v>
      </c>
      <c r="H83" s="60">
        <v>65.849999999999994</v>
      </c>
      <c r="I83" s="60">
        <v>0.57999999999999996</v>
      </c>
      <c r="J83" s="60">
        <v>0.22</v>
      </c>
      <c r="K83" s="60">
        <v>104.73</v>
      </c>
      <c r="L83" s="10" t="s">
        <v>42</v>
      </c>
      <c r="M83" s="10" t="s">
        <v>42</v>
      </c>
      <c r="N83" s="60">
        <v>23.1</v>
      </c>
      <c r="O83" s="60">
        <v>0</v>
      </c>
      <c r="P83" s="60">
        <v>1.69</v>
      </c>
      <c r="Q83" s="60">
        <v>143.02000000000001</v>
      </c>
      <c r="R83" s="198"/>
      <c r="S83" s="198"/>
      <c r="T83" s="198"/>
      <c r="U83" s="198"/>
    </row>
    <row r="84" spans="1:26" s="12" customFormat="1" x14ac:dyDescent="0.25">
      <c r="A84" s="201" t="s">
        <v>1472</v>
      </c>
      <c r="B84" s="60">
        <v>18.850000000000001</v>
      </c>
      <c r="C84" s="60">
        <v>110.25</v>
      </c>
      <c r="D84" s="60">
        <v>75.959999999999994</v>
      </c>
      <c r="E84" s="60">
        <v>5.85</v>
      </c>
      <c r="F84" s="60">
        <v>0.77</v>
      </c>
      <c r="G84" s="60">
        <v>183.85</v>
      </c>
      <c r="H84" s="60">
        <v>66.67</v>
      </c>
      <c r="I84" s="60">
        <v>0.62</v>
      </c>
      <c r="J84" s="60">
        <v>0.24</v>
      </c>
      <c r="K84" s="60">
        <v>103.41</v>
      </c>
      <c r="L84" s="10" t="s">
        <v>42</v>
      </c>
      <c r="M84" s="10" t="s">
        <v>42</v>
      </c>
      <c r="N84" s="60">
        <v>23</v>
      </c>
      <c r="O84" s="60">
        <v>0</v>
      </c>
      <c r="P84" s="60">
        <v>1.75</v>
      </c>
      <c r="Q84" s="60">
        <v>147.25</v>
      </c>
      <c r="R84" s="198"/>
      <c r="S84" s="198"/>
      <c r="T84" s="198"/>
      <c r="U84" s="198"/>
    </row>
    <row r="85" spans="1:26" s="12" customFormat="1" x14ac:dyDescent="0.25">
      <c r="A85" s="201" t="s">
        <v>1473</v>
      </c>
      <c r="B85" s="60">
        <v>18.760000000000002</v>
      </c>
      <c r="C85" s="60">
        <v>109.45</v>
      </c>
      <c r="D85" s="60">
        <v>75.45</v>
      </c>
      <c r="E85" s="60">
        <v>5.71</v>
      </c>
      <c r="F85" s="60">
        <v>0.95</v>
      </c>
      <c r="G85" s="60">
        <v>228.01</v>
      </c>
      <c r="H85" s="60">
        <v>75.02</v>
      </c>
      <c r="I85" s="60">
        <v>0.68</v>
      </c>
      <c r="J85" s="60">
        <v>0.24</v>
      </c>
      <c r="K85" s="60">
        <v>99.08</v>
      </c>
      <c r="L85" s="10" t="s">
        <v>42</v>
      </c>
      <c r="M85" s="10" t="s">
        <v>42</v>
      </c>
      <c r="N85" s="60">
        <v>23.1</v>
      </c>
      <c r="O85" s="60">
        <v>0</v>
      </c>
      <c r="P85" s="60">
        <v>1.76</v>
      </c>
      <c r="Q85" s="60">
        <v>147.21</v>
      </c>
      <c r="R85" s="198"/>
      <c r="S85" s="198"/>
      <c r="T85" s="198"/>
      <c r="U85" s="198"/>
    </row>
    <row r="86" spans="1:26" s="12" customFormat="1" x14ac:dyDescent="0.25">
      <c r="A86" s="201" t="s">
        <v>1474</v>
      </c>
      <c r="B86" s="60">
        <v>18.04</v>
      </c>
      <c r="C86" s="60">
        <v>101.16</v>
      </c>
      <c r="D86" s="60">
        <v>70.290000000000006</v>
      </c>
      <c r="E86" s="60">
        <v>5.43</v>
      </c>
      <c r="F86" s="60">
        <v>0.65</v>
      </c>
      <c r="G86" s="60">
        <v>228.01</v>
      </c>
      <c r="H86" s="60">
        <v>75.02</v>
      </c>
      <c r="I86" s="60">
        <v>0.71</v>
      </c>
      <c r="J86" s="60">
        <v>0.03</v>
      </c>
      <c r="K86" s="60">
        <v>113.75</v>
      </c>
      <c r="L86" s="10" t="s">
        <v>42</v>
      </c>
      <c r="M86" s="10" t="s">
        <v>42</v>
      </c>
      <c r="N86" s="60">
        <v>23.5</v>
      </c>
      <c r="O86" s="60">
        <v>0</v>
      </c>
      <c r="P86" s="60">
        <v>1.82</v>
      </c>
      <c r="Q86" s="60">
        <v>151.22</v>
      </c>
      <c r="R86" s="198"/>
      <c r="S86" s="198"/>
      <c r="T86" s="198"/>
      <c r="U86" s="198"/>
    </row>
    <row r="87" spans="1:26" s="12" customFormat="1" x14ac:dyDescent="0.25">
      <c r="A87" s="201" t="s">
        <v>1475</v>
      </c>
      <c r="B87" s="60">
        <v>18.03</v>
      </c>
      <c r="C87" s="60">
        <v>96.92</v>
      </c>
      <c r="D87" s="60">
        <v>67.95</v>
      </c>
      <c r="E87" s="60">
        <v>5.61</v>
      </c>
      <c r="F87" s="60">
        <v>0.53</v>
      </c>
      <c r="G87" s="60">
        <v>228.01</v>
      </c>
      <c r="H87" s="60">
        <v>75.02</v>
      </c>
      <c r="I87" s="60">
        <v>0.75</v>
      </c>
      <c r="J87" s="60">
        <v>0.06</v>
      </c>
      <c r="K87" s="60">
        <v>324.49</v>
      </c>
      <c r="L87" s="10" t="s">
        <v>42</v>
      </c>
      <c r="M87" s="10" t="s">
        <v>42</v>
      </c>
      <c r="N87" s="60">
        <v>23.5</v>
      </c>
      <c r="O87" s="60">
        <v>0</v>
      </c>
      <c r="P87" s="60">
        <v>1.84</v>
      </c>
      <c r="Q87" s="60">
        <v>150.28</v>
      </c>
      <c r="R87" s="198"/>
      <c r="S87" s="198"/>
      <c r="T87" s="198"/>
      <c r="U87" s="198"/>
    </row>
    <row r="88" spans="1:26" s="12" customFormat="1" x14ac:dyDescent="0.25">
      <c r="A88" s="201" t="s">
        <v>1476</v>
      </c>
      <c r="B88" s="60">
        <v>19.12</v>
      </c>
      <c r="C88" s="60">
        <v>97.11</v>
      </c>
      <c r="D88" s="60">
        <v>68.930000000000007</v>
      </c>
      <c r="E88" s="60">
        <v>2.2200000000000002</v>
      </c>
      <c r="F88" s="60">
        <v>0.49</v>
      </c>
      <c r="G88" s="60">
        <v>229.73</v>
      </c>
      <c r="H88" s="60">
        <v>75.34</v>
      </c>
      <c r="I88" s="60">
        <v>0.78</v>
      </c>
      <c r="J88" s="60">
        <v>0.12</v>
      </c>
      <c r="K88" s="60">
        <v>38.65</v>
      </c>
      <c r="L88" s="10" t="s">
        <v>42</v>
      </c>
      <c r="M88" s="10" t="s">
        <v>42</v>
      </c>
      <c r="N88" s="60">
        <v>23.4</v>
      </c>
      <c r="O88" s="60">
        <v>0</v>
      </c>
      <c r="P88" s="60">
        <v>1.91</v>
      </c>
      <c r="Q88" s="60">
        <v>143.53</v>
      </c>
      <c r="R88" s="198"/>
      <c r="S88" s="198"/>
      <c r="T88" s="198"/>
      <c r="U88" s="198"/>
    </row>
    <row r="89" spans="1:26" s="12" customFormat="1" x14ac:dyDescent="0.25">
      <c r="A89" s="201" t="s">
        <v>1477</v>
      </c>
      <c r="B89" s="60">
        <v>22.85</v>
      </c>
      <c r="C89" s="60">
        <v>101.03</v>
      </c>
      <c r="D89" s="60">
        <v>74.08</v>
      </c>
      <c r="E89" s="60">
        <v>4.51</v>
      </c>
      <c r="F89" s="60">
        <v>0.43</v>
      </c>
      <c r="G89" s="60">
        <v>244.25</v>
      </c>
      <c r="H89" s="60">
        <v>78.55</v>
      </c>
      <c r="I89" s="60">
        <v>0.81</v>
      </c>
      <c r="J89" s="60">
        <v>0.05</v>
      </c>
      <c r="K89" s="60">
        <v>27.35</v>
      </c>
      <c r="L89" s="10" t="s">
        <v>42</v>
      </c>
      <c r="M89" s="10" t="s">
        <v>42</v>
      </c>
      <c r="N89" s="60">
        <v>23.5</v>
      </c>
      <c r="O89" s="60">
        <v>0</v>
      </c>
      <c r="P89" s="60">
        <v>2.0499999999999998</v>
      </c>
      <c r="Q89" s="60">
        <v>140.55000000000001</v>
      </c>
      <c r="R89" s="198"/>
      <c r="S89" s="198"/>
      <c r="T89" s="198"/>
      <c r="U89" s="198"/>
    </row>
    <row r="90" spans="1:26" s="12" customFormat="1" x14ac:dyDescent="0.25">
      <c r="A90" s="201" t="s">
        <v>1478</v>
      </c>
      <c r="B90" s="60">
        <v>25.28</v>
      </c>
      <c r="C90" s="60">
        <v>103.15</v>
      </c>
      <c r="D90" s="60">
        <v>77.2</v>
      </c>
      <c r="E90" s="60">
        <v>4.5999999999999996</v>
      </c>
      <c r="F90" s="60">
        <v>0.86</v>
      </c>
      <c r="G90" s="60">
        <v>244.25</v>
      </c>
      <c r="H90" s="60">
        <v>78.55</v>
      </c>
      <c r="I90" s="60">
        <v>0.85</v>
      </c>
      <c r="J90" s="60">
        <v>0.11</v>
      </c>
      <c r="K90" s="60">
        <v>34</v>
      </c>
      <c r="L90" s="10" t="s">
        <v>42</v>
      </c>
      <c r="M90" s="10" t="s">
        <v>42</v>
      </c>
      <c r="N90" s="60">
        <v>22.9</v>
      </c>
      <c r="O90" s="60">
        <v>0</v>
      </c>
      <c r="P90" s="60">
        <v>2.11</v>
      </c>
      <c r="Q90" s="60">
        <v>141.53</v>
      </c>
      <c r="R90" s="198"/>
      <c r="S90" s="198"/>
      <c r="T90" s="198"/>
      <c r="U90" s="198"/>
    </row>
    <row r="91" spans="1:26" s="12" customFormat="1" x14ac:dyDescent="0.25">
      <c r="A91" s="201" t="s">
        <v>1479</v>
      </c>
      <c r="B91" s="60">
        <v>28.73</v>
      </c>
      <c r="C91" s="60">
        <v>111.72</v>
      </c>
      <c r="D91" s="60">
        <v>84.69</v>
      </c>
      <c r="E91" s="60">
        <v>4.6399999999999997</v>
      </c>
      <c r="F91" s="60">
        <v>1.06</v>
      </c>
      <c r="G91" s="60">
        <v>244.25</v>
      </c>
      <c r="H91" s="60">
        <v>78.55</v>
      </c>
      <c r="I91" s="60">
        <v>0.9</v>
      </c>
      <c r="J91" s="60">
        <v>0.22</v>
      </c>
      <c r="K91" s="60">
        <v>53.81</v>
      </c>
      <c r="L91" s="10" t="s">
        <v>42</v>
      </c>
      <c r="M91" s="10" t="s">
        <v>42</v>
      </c>
      <c r="N91" s="60">
        <v>22.3</v>
      </c>
      <c r="O91" s="60">
        <v>0</v>
      </c>
      <c r="P91" s="60">
        <v>2.1800000000000002</v>
      </c>
      <c r="Q91" s="60">
        <v>142.44</v>
      </c>
      <c r="R91" s="198"/>
      <c r="S91" s="198"/>
      <c r="T91" s="198"/>
      <c r="U91" s="198"/>
    </row>
    <row r="92" spans="1:26" s="12" customFormat="1" x14ac:dyDescent="0.25">
      <c r="A92" s="201" t="s">
        <v>1480</v>
      </c>
      <c r="B92" s="60">
        <v>30.57</v>
      </c>
      <c r="C92" s="60">
        <v>114.14</v>
      </c>
      <c r="D92" s="60">
        <v>87.51</v>
      </c>
      <c r="E92" s="60">
        <v>5.08</v>
      </c>
      <c r="F92" s="60">
        <v>0.97</v>
      </c>
      <c r="G92" s="60">
        <v>249.11</v>
      </c>
      <c r="H92" s="60">
        <v>78.41</v>
      </c>
      <c r="I92" s="60">
        <v>0.94</v>
      </c>
      <c r="J92" s="60">
        <v>0.3</v>
      </c>
      <c r="K92" s="60">
        <v>91.14</v>
      </c>
      <c r="L92" s="10" t="s">
        <v>42</v>
      </c>
      <c r="M92" s="10" t="s">
        <v>42</v>
      </c>
      <c r="N92" s="60">
        <v>21.8</v>
      </c>
      <c r="O92" s="60">
        <v>0</v>
      </c>
      <c r="P92" s="60">
        <v>2.25</v>
      </c>
      <c r="Q92" s="60">
        <v>143.57</v>
      </c>
      <c r="R92" s="198"/>
      <c r="S92" s="198"/>
      <c r="T92" s="198"/>
      <c r="U92" s="198"/>
    </row>
    <row r="93" spans="1:26" s="12" customFormat="1" x14ac:dyDescent="0.25">
      <c r="A93" s="201" t="s">
        <v>1481</v>
      </c>
      <c r="B93" s="60">
        <v>28.9</v>
      </c>
      <c r="C93" s="60">
        <v>110.11</v>
      </c>
      <c r="D93" s="60">
        <v>83.94</v>
      </c>
      <c r="E93" s="60">
        <v>4.87</v>
      </c>
      <c r="F93" s="60">
        <v>0.86</v>
      </c>
      <c r="G93" s="60">
        <v>290.13</v>
      </c>
      <c r="H93" s="60">
        <v>77</v>
      </c>
      <c r="I93" s="60">
        <v>0.99</v>
      </c>
      <c r="J93" s="60">
        <v>0.26</v>
      </c>
      <c r="K93" s="60">
        <v>100.38</v>
      </c>
      <c r="L93" s="10" t="s">
        <v>42</v>
      </c>
      <c r="M93" s="10" t="s">
        <v>42</v>
      </c>
      <c r="N93" s="60">
        <v>22.3</v>
      </c>
      <c r="O93" s="60">
        <v>0</v>
      </c>
      <c r="P93" s="60">
        <v>2.23</v>
      </c>
      <c r="Q93" s="60">
        <v>140.97</v>
      </c>
      <c r="R93" s="198"/>
      <c r="S93" s="198"/>
      <c r="T93" s="198"/>
      <c r="U93" s="198"/>
    </row>
    <row r="94" spans="1:26" s="12" customFormat="1" x14ac:dyDescent="0.25">
      <c r="A94" s="201" t="s">
        <v>1482</v>
      </c>
      <c r="B94" s="60">
        <v>26.87</v>
      </c>
      <c r="C94" s="60">
        <v>106.83</v>
      </c>
      <c r="D94" s="60">
        <v>80.510000000000005</v>
      </c>
      <c r="E94" s="60">
        <v>5.08</v>
      </c>
      <c r="F94" s="60">
        <v>1.39</v>
      </c>
      <c r="G94" s="60">
        <v>290.13</v>
      </c>
      <c r="H94" s="60">
        <v>77</v>
      </c>
      <c r="I94" s="60">
        <v>1.0900000000000001</v>
      </c>
      <c r="J94" s="60">
        <v>0.63</v>
      </c>
      <c r="K94" s="60">
        <v>122.79</v>
      </c>
      <c r="L94" s="10" t="s">
        <v>42</v>
      </c>
      <c r="M94" s="10" t="s">
        <v>42</v>
      </c>
      <c r="N94" s="60">
        <v>21.7</v>
      </c>
      <c r="O94" s="60">
        <v>0</v>
      </c>
      <c r="P94" s="60">
        <v>2.16</v>
      </c>
      <c r="Q94" s="60">
        <v>145.13</v>
      </c>
      <c r="R94" s="198"/>
      <c r="S94" s="198"/>
      <c r="T94" s="198"/>
      <c r="U94" s="198"/>
    </row>
    <row r="95" spans="1:26" s="12" customFormat="1" x14ac:dyDescent="0.25">
      <c r="A95" s="201" t="s">
        <v>1483</v>
      </c>
      <c r="B95" s="60">
        <v>24.98</v>
      </c>
      <c r="C95" s="60">
        <v>103.05</v>
      </c>
      <c r="D95" s="60">
        <v>76.900000000000006</v>
      </c>
      <c r="E95" s="60">
        <v>4.82</v>
      </c>
      <c r="F95" s="60">
        <v>1.28</v>
      </c>
      <c r="G95" s="60">
        <v>290.13</v>
      </c>
      <c r="H95" s="60">
        <v>77</v>
      </c>
      <c r="I95" s="60">
        <v>1.06</v>
      </c>
      <c r="J95" s="60">
        <v>0.76</v>
      </c>
      <c r="K95" s="60">
        <v>117.28</v>
      </c>
      <c r="L95" s="10" t="s">
        <v>42</v>
      </c>
      <c r="M95" s="10" t="s">
        <v>42</v>
      </c>
      <c r="N95" s="60">
        <v>22.2</v>
      </c>
      <c r="O95" s="60">
        <v>0</v>
      </c>
      <c r="P95" s="60">
        <v>2.12</v>
      </c>
      <c r="Q95" s="60">
        <v>150.97</v>
      </c>
      <c r="R95" s="198"/>
      <c r="S95" s="198"/>
      <c r="T95" s="198"/>
      <c r="U95" s="198"/>
    </row>
    <row r="96" spans="1:26" s="12" customFormat="1" x14ac:dyDescent="0.25">
      <c r="A96" s="201" t="s">
        <v>1484</v>
      </c>
      <c r="B96" s="60">
        <v>22.86</v>
      </c>
      <c r="C96" s="60">
        <v>99.54</v>
      </c>
      <c r="D96" s="60">
        <v>73.27</v>
      </c>
      <c r="E96" s="60">
        <v>5.09</v>
      </c>
      <c r="F96" s="60">
        <v>1.44</v>
      </c>
      <c r="G96" s="60">
        <v>281.58999999999997</v>
      </c>
      <c r="H96" s="60">
        <v>76.83</v>
      </c>
      <c r="I96" s="60">
        <v>1.06</v>
      </c>
      <c r="J96" s="60">
        <v>0.47</v>
      </c>
      <c r="K96" s="60">
        <v>119.96</v>
      </c>
      <c r="L96" s="10" t="s">
        <v>42</v>
      </c>
      <c r="M96" s="10" t="s">
        <v>42</v>
      </c>
      <c r="N96" s="60">
        <v>23</v>
      </c>
      <c r="O96" s="60">
        <v>0</v>
      </c>
      <c r="P96" s="60">
        <v>2.0699999999999998</v>
      </c>
      <c r="Q96" s="60">
        <v>154.77000000000001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1485</v>
      </c>
      <c r="B97" s="60">
        <v>20.72</v>
      </c>
      <c r="C97" s="60">
        <v>96.34</v>
      </c>
      <c r="D97" s="60">
        <v>69.78</v>
      </c>
      <c r="E97" s="60">
        <v>5.18</v>
      </c>
      <c r="F97" s="60">
        <v>1.73</v>
      </c>
      <c r="G97" s="60">
        <v>209.64</v>
      </c>
      <c r="H97" s="60">
        <v>75.099999999999994</v>
      </c>
      <c r="I97" s="60">
        <v>0.98</v>
      </c>
      <c r="J97" s="60">
        <v>0.33</v>
      </c>
      <c r="K97" s="60">
        <v>151.16999999999999</v>
      </c>
      <c r="L97" s="10" t="s">
        <v>42</v>
      </c>
      <c r="M97" s="10" t="s">
        <v>42</v>
      </c>
      <c r="N97" s="60">
        <v>23</v>
      </c>
      <c r="O97" s="60">
        <v>0</v>
      </c>
      <c r="P97" s="60">
        <v>2</v>
      </c>
      <c r="Q97" s="60">
        <v>153.88999999999999</v>
      </c>
      <c r="R97" s="198"/>
      <c r="S97" s="198"/>
      <c r="T97" s="198"/>
      <c r="U97" s="198"/>
    </row>
    <row r="98" spans="1:33" s="12" customFormat="1" x14ac:dyDescent="0.25">
      <c r="A98" s="201" t="s">
        <v>1486</v>
      </c>
      <c r="B98" s="60">
        <v>18.64</v>
      </c>
      <c r="C98" s="60">
        <v>93.48</v>
      </c>
      <c r="D98" s="60">
        <v>66.540000000000006</v>
      </c>
      <c r="E98" s="60">
        <v>5.49</v>
      </c>
      <c r="F98" s="60">
        <v>1.75</v>
      </c>
      <c r="G98" s="60">
        <v>209.64</v>
      </c>
      <c r="H98" s="60">
        <v>75.099999999999994</v>
      </c>
      <c r="I98" s="60">
        <v>0.96</v>
      </c>
      <c r="J98" s="60">
        <v>0.66</v>
      </c>
      <c r="K98" s="60">
        <v>178.57</v>
      </c>
      <c r="L98" s="10" t="s">
        <v>42</v>
      </c>
      <c r="M98" s="10" t="s">
        <v>42</v>
      </c>
      <c r="N98" s="60">
        <v>22.4</v>
      </c>
      <c r="O98" s="60">
        <v>0</v>
      </c>
      <c r="P98" s="60">
        <v>1.94</v>
      </c>
      <c r="Q98" s="60">
        <v>154.03</v>
      </c>
      <c r="R98" s="198"/>
      <c r="S98" s="198"/>
      <c r="T98" s="198"/>
      <c r="U98" s="198"/>
    </row>
    <row r="99" spans="1:33" s="12" customFormat="1" x14ac:dyDescent="0.25">
      <c r="A99" s="201" t="s">
        <v>1487</v>
      </c>
      <c r="B99" s="60">
        <v>16.72</v>
      </c>
      <c r="C99" s="60">
        <v>90.82</v>
      </c>
      <c r="D99" s="60">
        <v>63.53</v>
      </c>
      <c r="E99" s="60">
        <v>5.49</v>
      </c>
      <c r="F99" s="60">
        <v>1.19</v>
      </c>
      <c r="G99" s="60">
        <v>209.64</v>
      </c>
      <c r="H99" s="60">
        <v>75.099999999999994</v>
      </c>
      <c r="I99" s="60">
        <v>0.95</v>
      </c>
      <c r="J99" s="60">
        <v>0.7</v>
      </c>
      <c r="K99" s="60">
        <v>152.19</v>
      </c>
      <c r="L99" s="10" t="s">
        <v>42</v>
      </c>
      <c r="M99" s="10" t="s">
        <v>42</v>
      </c>
      <c r="N99" s="60">
        <v>22.6</v>
      </c>
      <c r="O99" s="60">
        <v>0</v>
      </c>
      <c r="P99" s="60">
        <v>1.89</v>
      </c>
      <c r="Q99" s="60">
        <v>154.86000000000001</v>
      </c>
      <c r="R99" s="198"/>
      <c r="S99" s="198"/>
      <c r="T99" s="198"/>
      <c r="U99" s="198"/>
    </row>
    <row r="100" spans="1:33" s="12" customFormat="1" x14ac:dyDescent="0.25">
      <c r="A100" s="201" t="s">
        <v>1488</v>
      </c>
      <c r="B100" s="60">
        <v>15.1</v>
      </c>
      <c r="C100" s="60">
        <v>89.49</v>
      </c>
      <c r="D100" s="60">
        <v>61.5</v>
      </c>
      <c r="E100" s="60">
        <v>4.7699999999999996</v>
      </c>
      <c r="F100" s="60">
        <v>0.74</v>
      </c>
      <c r="G100" s="60">
        <v>205.41</v>
      </c>
      <c r="H100" s="60">
        <v>74.900000000000006</v>
      </c>
      <c r="I100" s="60">
        <v>0.94</v>
      </c>
      <c r="J100" s="60">
        <v>0.2</v>
      </c>
      <c r="K100" s="60">
        <v>42.46</v>
      </c>
      <c r="L100" s="10" t="s">
        <v>42</v>
      </c>
      <c r="M100" s="10" t="s">
        <v>42</v>
      </c>
      <c r="N100" s="60">
        <v>23.6</v>
      </c>
      <c r="O100" s="60">
        <v>0</v>
      </c>
      <c r="P100" s="60">
        <v>1.83</v>
      </c>
      <c r="Q100" s="60">
        <v>154.69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1489</v>
      </c>
      <c r="B101" s="60">
        <v>14.42</v>
      </c>
      <c r="C101" s="60">
        <v>90.23</v>
      </c>
      <c r="D101" s="60">
        <v>61.36</v>
      </c>
      <c r="E101" s="60">
        <v>5.0999999999999996</v>
      </c>
      <c r="F101" s="60">
        <v>1.04</v>
      </c>
      <c r="G101" s="60">
        <v>169.82</v>
      </c>
      <c r="H101" s="60">
        <v>72.84</v>
      </c>
      <c r="I101" s="60">
        <v>0.93</v>
      </c>
      <c r="J101" s="60">
        <v>0.19</v>
      </c>
      <c r="K101" s="60">
        <v>17.350000000000001</v>
      </c>
      <c r="L101" s="10" t="s">
        <v>42</v>
      </c>
      <c r="M101" s="10" t="s">
        <v>42</v>
      </c>
      <c r="N101" s="60">
        <v>23.4</v>
      </c>
      <c r="O101" s="60">
        <v>0</v>
      </c>
      <c r="P101" s="60">
        <v>1.78</v>
      </c>
      <c r="Q101" s="60">
        <v>145.03</v>
      </c>
      <c r="R101" s="198"/>
      <c r="S101" s="198"/>
      <c r="T101" s="198"/>
      <c r="U101" s="198"/>
    </row>
    <row r="102" spans="1:33" s="12" customFormat="1" x14ac:dyDescent="0.25">
      <c r="A102" s="201" t="s">
        <v>1490</v>
      </c>
      <c r="B102" s="60">
        <v>15.95</v>
      </c>
      <c r="C102" s="60">
        <v>92.14</v>
      </c>
      <c r="D102" s="60">
        <v>63.65</v>
      </c>
      <c r="E102" s="60">
        <v>4.75</v>
      </c>
      <c r="F102" s="60">
        <v>0.99</v>
      </c>
      <c r="G102" s="60">
        <v>169.82</v>
      </c>
      <c r="H102" s="60">
        <v>72.84</v>
      </c>
      <c r="I102" s="60">
        <v>0.92</v>
      </c>
      <c r="J102" s="60">
        <v>0.16</v>
      </c>
      <c r="K102" s="60">
        <v>339.21</v>
      </c>
      <c r="L102" s="10" t="s">
        <v>42</v>
      </c>
      <c r="M102" s="10" t="s">
        <v>42</v>
      </c>
      <c r="N102" s="60">
        <v>23.4</v>
      </c>
      <c r="O102" s="60">
        <v>0</v>
      </c>
      <c r="P102" s="60">
        <v>1.77</v>
      </c>
      <c r="Q102" s="60">
        <v>136.87</v>
      </c>
      <c r="R102" s="198"/>
      <c r="S102" s="198"/>
      <c r="T102" s="198"/>
      <c r="U102" s="198"/>
    </row>
    <row r="103" spans="1:33" s="12" customFormat="1" x14ac:dyDescent="0.25">
      <c r="A103" s="201" t="s">
        <v>1491</v>
      </c>
      <c r="B103" s="60">
        <v>18.100000000000001</v>
      </c>
      <c r="C103" s="60">
        <v>94.29</v>
      </c>
      <c r="D103" s="60">
        <v>66.55</v>
      </c>
      <c r="E103" s="60">
        <v>5.08</v>
      </c>
      <c r="F103" s="60">
        <v>0.83</v>
      </c>
      <c r="G103" s="60">
        <v>169.82</v>
      </c>
      <c r="H103" s="60">
        <v>72.84</v>
      </c>
      <c r="I103" s="60">
        <v>0.9</v>
      </c>
      <c r="J103" s="60">
        <v>0.2</v>
      </c>
      <c r="K103" s="60">
        <v>354.18</v>
      </c>
      <c r="L103" s="10" t="s">
        <v>42</v>
      </c>
      <c r="M103" s="10" t="s">
        <v>42</v>
      </c>
      <c r="N103" s="60">
        <v>23.1</v>
      </c>
      <c r="O103" s="60">
        <v>0</v>
      </c>
      <c r="P103" s="60">
        <v>1.73</v>
      </c>
      <c r="Q103" s="60">
        <v>133.61000000000001</v>
      </c>
      <c r="R103" s="198"/>
      <c r="S103" s="198"/>
      <c r="T103" s="198"/>
      <c r="U103" s="198"/>
    </row>
    <row r="104" spans="1:33" s="12" customFormat="1" x14ac:dyDescent="0.25">
      <c r="A104" s="201" t="s">
        <v>1492</v>
      </c>
      <c r="B104" s="60">
        <v>17.440000000000001</v>
      </c>
      <c r="C104" s="60">
        <v>93.18</v>
      </c>
      <c r="D104" s="60">
        <v>65.41</v>
      </c>
      <c r="E104" s="60">
        <v>2.4300000000000002</v>
      </c>
      <c r="F104" s="60">
        <v>1.02</v>
      </c>
      <c r="G104" s="60">
        <v>169.74</v>
      </c>
      <c r="H104" s="60">
        <v>72.260000000000005</v>
      </c>
      <c r="I104" s="60">
        <v>0.89</v>
      </c>
      <c r="J104" s="60">
        <v>0.12</v>
      </c>
      <c r="K104" s="60">
        <v>352.37</v>
      </c>
      <c r="L104" s="10" t="s">
        <v>42</v>
      </c>
      <c r="M104" s="10" t="s">
        <v>42</v>
      </c>
      <c r="N104" s="60">
        <v>23.5</v>
      </c>
      <c r="O104" s="60">
        <v>0</v>
      </c>
      <c r="P104" s="60">
        <v>1.67</v>
      </c>
      <c r="Q104" s="60">
        <v>128.19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1.75</v>
      </c>
      <c r="C106" s="67">
        <f>MIN(C9:C104)</f>
        <v>65.59</v>
      </c>
      <c r="D106" s="67">
        <f t="shared" ref="D106:Q106" si="0">MIN(D9:D104)</f>
        <v>37.6</v>
      </c>
      <c r="E106" s="67">
        <f t="shared" si="0"/>
        <v>2.2200000000000002</v>
      </c>
      <c r="F106" s="67">
        <f t="shared" si="0"/>
        <v>0.43</v>
      </c>
      <c r="G106" s="67">
        <f t="shared" si="0"/>
        <v>111.17</v>
      </c>
      <c r="H106" s="67">
        <f t="shared" si="0"/>
        <v>57.84</v>
      </c>
      <c r="I106" s="67">
        <f t="shared" si="0"/>
        <v>0.43</v>
      </c>
      <c r="J106" s="67">
        <f t="shared" si="0"/>
        <v>0.03</v>
      </c>
      <c r="K106" s="67">
        <f t="shared" si="0"/>
        <v>17.350000000000001</v>
      </c>
      <c r="L106" s="67">
        <f t="shared" si="0"/>
        <v>0</v>
      </c>
      <c r="M106" s="67">
        <f t="shared" si="0"/>
        <v>0</v>
      </c>
      <c r="N106" s="67">
        <f t="shared" si="0"/>
        <v>21.7</v>
      </c>
      <c r="O106" s="67">
        <f t="shared" si="0"/>
        <v>0</v>
      </c>
      <c r="P106" s="67">
        <f t="shared" si="0"/>
        <v>0.98</v>
      </c>
      <c r="Q106" s="67">
        <f t="shared" si="0"/>
        <v>114.56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31.27</v>
      </c>
      <c r="C107" s="66">
        <f t="shared" ref="C107:Q107" si="1">MAX(C9:C104)</f>
        <v>114.14</v>
      </c>
      <c r="D107" s="66">
        <f t="shared" si="1"/>
        <v>87.51</v>
      </c>
      <c r="E107" s="66">
        <f t="shared" si="1"/>
        <v>6.7</v>
      </c>
      <c r="F107" s="66">
        <f t="shared" si="1"/>
        <v>10.19</v>
      </c>
      <c r="G107" s="66">
        <f t="shared" si="1"/>
        <v>290.13</v>
      </c>
      <c r="H107" s="66">
        <f t="shared" si="1"/>
        <v>86.27</v>
      </c>
      <c r="I107" s="66">
        <f t="shared" si="1"/>
        <v>1.0900000000000001</v>
      </c>
      <c r="J107" s="66">
        <f t="shared" si="1"/>
        <v>1.4</v>
      </c>
      <c r="K107" s="66">
        <f t="shared" si="1"/>
        <v>357.78</v>
      </c>
      <c r="L107" s="66">
        <f t="shared" si="1"/>
        <v>0</v>
      </c>
      <c r="M107" s="66">
        <f t="shared" si="1"/>
        <v>0</v>
      </c>
      <c r="N107" s="66">
        <f t="shared" si="1"/>
        <v>671.6</v>
      </c>
      <c r="O107" s="66">
        <f t="shared" si="1"/>
        <v>0</v>
      </c>
      <c r="P107" s="66">
        <f t="shared" si="1"/>
        <v>2.25</v>
      </c>
      <c r="Q107" s="66">
        <f t="shared" si="1"/>
        <v>197.67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15.950312500000001</v>
      </c>
      <c r="C108" s="67">
        <f t="shared" ref="C108:Q108" si="2">AVERAGE(C9:C104)</f>
        <v>88.190520833333323</v>
      </c>
      <c r="D108" s="67">
        <f t="shared" si="2"/>
        <v>61.460833333333312</v>
      </c>
      <c r="E108" s="67">
        <f t="shared" si="2"/>
        <v>4.7462499999999999</v>
      </c>
      <c r="F108" s="67">
        <f t="shared" si="2"/>
        <v>1.9858333333333338</v>
      </c>
      <c r="G108" s="67">
        <f t="shared" si="2"/>
        <v>181.35312499999998</v>
      </c>
      <c r="H108" s="67">
        <f t="shared" si="2"/>
        <v>71.460937500000057</v>
      </c>
      <c r="I108" s="67">
        <f t="shared" si="2"/>
        <v>0.72687500000000016</v>
      </c>
      <c r="J108" s="67">
        <f t="shared" si="2"/>
        <v>0.4895833333333332</v>
      </c>
      <c r="K108" s="67">
        <f t="shared" si="2"/>
        <v>97.866145833333306</v>
      </c>
      <c r="L108" s="67" t="e">
        <f t="shared" si="2"/>
        <v>#DIV/0!</v>
      </c>
      <c r="M108" s="67" t="e">
        <f t="shared" si="2"/>
        <v>#DIV/0!</v>
      </c>
      <c r="N108" s="67">
        <f t="shared" si="2"/>
        <v>184.25624999999999</v>
      </c>
      <c r="O108" s="67">
        <f t="shared" si="2"/>
        <v>0</v>
      </c>
      <c r="P108" s="67">
        <f t="shared" si="2"/>
        <v>1.5612499999999996</v>
      </c>
      <c r="Q108" s="67">
        <f t="shared" si="2"/>
        <v>148.48291666666668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8.6279890263118624</v>
      </c>
      <c r="C109" s="67">
        <f t="shared" ref="C109:Q109" si="3">STDEV(C9:C104)</f>
        <v>11.601013782360354</v>
      </c>
      <c r="D109" s="67">
        <f t="shared" si="3"/>
        <v>12.300826986890229</v>
      </c>
      <c r="E109" s="67">
        <f t="shared" si="3"/>
        <v>0.84317726175273944</v>
      </c>
      <c r="F109" s="67">
        <f t="shared" si="3"/>
        <v>2.0726889053221691</v>
      </c>
      <c r="G109" s="67">
        <f t="shared" si="3"/>
        <v>49.13836319516566</v>
      </c>
      <c r="H109" s="67">
        <f t="shared" si="3"/>
        <v>8.172656732005974</v>
      </c>
      <c r="I109" s="67">
        <f t="shared" si="3"/>
        <v>0.20043800721630087</v>
      </c>
      <c r="J109" s="67">
        <f t="shared" si="3"/>
        <v>0.35811470278512353</v>
      </c>
      <c r="K109" s="67">
        <f t="shared" si="3"/>
        <v>76.960625686396725</v>
      </c>
      <c r="L109" s="67" t="e">
        <f t="shared" si="3"/>
        <v>#DIV/0!</v>
      </c>
      <c r="M109" s="67" t="e">
        <f t="shared" si="3"/>
        <v>#DIV/0!</v>
      </c>
      <c r="N109" s="67">
        <f t="shared" si="3"/>
        <v>233.98792178117583</v>
      </c>
      <c r="O109" s="67">
        <f t="shared" si="3"/>
        <v>0</v>
      </c>
      <c r="P109" s="67">
        <f t="shared" si="3"/>
        <v>0.34778471864979554</v>
      </c>
      <c r="Q109" s="67">
        <f t="shared" si="3"/>
        <v>18.781480235182748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 t="shared" ref="C110:P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>COUNT(M9:M104)+96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25" sqref="G25:H3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1495</v>
      </c>
      <c r="B9" s="60">
        <v>16.25</v>
      </c>
      <c r="C9" s="60">
        <v>91.29</v>
      </c>
      <c r="D9" s="60">
        <v>63.41</v>
      </c>
      <c r="E9" s="60">
        <v>4.6399999999999997</v>
      </c>
      <c r="F9" s="60">
        <v>0.84</v>
      </c>
      <c r="G9" s="60">
        <v>169.05</v>
      </c>
      <c r="H9" s="60">
        <v>66.349999999999994</v>
      </c>
      <c r="I9" s="60">
        <v>0.86</v>
      </c>
      <c r="J9" s="60">
        <v>0.13</v>
      </c>
      <c r="K9" s="60">
        <v>319.16000000000003</v>
      </c>
      <c r="L9" s="213" t="s">
        <v>35</v>
      </c>
      <c r="M9" s="213" t="s">
        <v>35</v>
      </c>
      <c r="N9" s="60">
        <v>22.7</v>
      </c>
      <c r="O9" s="60">
        <v>0</v>
      </c>
      <c r="P9" s="60">
        <v>1.63</v>
      </c>
      <c r="Q9" s="60">
        <v>121.61</v>
      </c>
      <c r="R9" s="198"/>
      <c r="S9" s="198"/>
      <c r="T9" s="198"/>
      <c r="U9" s="198"/>
    </row>
    <row r="10" spans="1:21" s="12" customFormat="1" x14ac:dyDescent="0.25">
      <c r="A10" s="201" t="s">
        <v>1496</v>
      </c>
      <c r="B10" s="60">
        <v>15.55</v>
      </c>
      <c r="C10" s="60">
        <v>90.66</v>
      </c>
      <c r="D10" s="60">
        <v>62.51</v>
      </c>
      <c r="E10" s="60">
        <v>4.3</v>
      </c>
      <c r="F10" s="60">
        <v>0.66</v>
      </c>
      <c r="G10" s="60">
        <v>169.05</v>
      </c>
      <c r="H10" s="60">
        <v>66.349999999999994</v>
      </c>
      <c r="I10" s="60">
        <v>0.84</v>
      </c>
      <c r="J10" s="60">
        <v>0.11</v>
      </c>
      <c r="K10" s="60">
        <v>329.25</v>
      </c>
      <c r="L10" s="213" t="s">
        <v>35</v>
      </c>
      <c r="M10" s="213" t="s">
        <v>35</v>
      </c>
      <c r="N10" s="60">
        <v>23.5</v>
      </c>
      <c r="O10" s="60">
        <v>0</v>
      </c>
      <c r="P10" s="60">
        <v>1.59</v>
      </c>
      <c r="Q10" s="60">
        <v>118.47</v>
      </c>
      <c r="R10" s="198"/>
      <c r="S10" s="198"/>
      <c r="T10" s="198"/>
      <c r="U10" s="198"/>
    </row>
    <row r="11" spans="1:21" s="12" customFormat="1" x14ac:dyDescent="0.25">
      <c r="A11" s="201" t="s">
        <v>1497</v>
      </c>
      <c r="B11" s="60">
        <v>14.84</v>
      </c>
      <c r="C11" s="60">
        <v>88.99</v>
      </c>
      <c r="D11" s="60">
        <v>61.01</v>
      </c>
      <c r="E11" s="60">
        <v>4.53</v>
      </c>
      <c r="F11" s="60">
        <v>0.44</v>
      </c>
      <c r="G11" s="60">
        <v>169.05</v>
      </c>
      <c r="H11" s="60">
        <v>66.349999999999994</v>
      </c>
      <c r="I11" s="60">
        <v>0.82</v>
      </c>
      <c r="J11" s="60">
        <v>0.16</v>
      </c>
      <c r="K11" s="60">
        <v>319.72000000000003</v>
      </c>
      <c r="L11" s="213" t="s">
        <v>35</v>
      </c>
      <c r="M11" s="213" t="s">
        <v>35</v>
      </c>
      <c r="N11" s="60">
        <v>23.2</v>
      </c>
      <c r="O11" s="60">
        <v>0</v>
      </c>
      <c r="P11" s="60">
        <v>1.56</v>
      </c>
      <c r="Q11" s="60">
        <v>114.42</v>
      </c>
      <c r="R11" s="198"/>
      <c r="S11" s="198"/>
      <c r="T11" s="198"/>
      <c r="U11" s="198"/>
    </row>
    <row r="12" spans="1:21" s="12" customFormat="1" x14ac:dyDescent="0.25">
      <c r="A12" s="201" t="s">
        <v>1498</v>
      </c>
      <c r="B12" s="60">
        <v>13.91</v>
      </c>
      <c r="C12" s="60">
        <v>86.8</v>
      </c>
      <c r="D12" s="60">
        <v>59.06</v>
      </c>
      <c r="E12" s="60">
        <v>4.6100000000000003</v>
      </c>
      <c r="F12" s="60">
        <v>0.62</v>
      </c>
      <c r="G12" s="60">
        <v>166.36</v>
      </c>
      <c r="H12" s="60">
        <v>66.06</v>
      </c>
      <c r="I12" s="60">
        <v>0.8</v>
      </c>
      <c r="J12" s="60">
        <v>0.16</v>
      </c>
      <c r="K12" s="60">
        <v>305.08999999999997</v>
      </c>
      <c r="L12" s="213" t="s">
        <v>35</v>
      </c>
      <c r="M12" s="213" t="s">
        <v>35</v>
      </c>
      <c r="N12" s="60">
        <v>23.1</v>
      </c>
      <c r="O12" s="60">
        <v>0</v>
      </c>
      <c r="P12" s="60">
        <v>1.51</v>
      </c>
      <c r="Q12" s="60">
        <v>114.76</v>
      </c>
      <c r="R12" s="198"/>
      <c r="S12" s="198"/>
      <c r="T12" s="198"/>
      <c r="U12" s="198"/>
    </row>
    <row r="13" spans="1:21" s="12" customFormat="1" x14ac:dyDescent="0.25">
      <c r="A13" s="201" t="s">
        <v>1499</v>
      </c>
      <c r="B13" s="60">
        <v>12.87</v>
      </c>
      <c r="C13" s="60">
        <v>84.04</v>
      </c>
      <c r="D13" s="60">
        <v>56.7</v>
      </c>
      <c r="E13" s="60">
        <v>4.7699999999999996</v>
      </c>
      <c r="F13" s="60">
        <v>0.62</v>
      </c>
      <c r="G13" s="60">
        <v>143.72</v>
      </c>
      <c r="H13" s="60">
        <v>63.1</v>
      </c>
      <c r="I13" s="60">
        <v>0.78</v>
      </c>
      <c r="J13" s="60">
        <v>0.1</v>
      </c>
      <c r="K13" s="60">
        <v>289.19</v>
      </c>
      <c r="L13" s="213" t="s">
        <v>35</v>
      </c>
      <c r="M13" s="213" t="s">
        <v>35</v>
      </c>
      <c r="N13" s="60">
        <v>23.4</v>
      </c>
      <c r="O13" s="60">
        <v>0</v>
      </c>
      <c r="P13" s="60">
        <v>1.34</v>
      </c>
      <c r="Q13" s="60">
        <v>117.4</v>
      </c>
      <c r="R13" s="198"/>
      <c r="S13" s="198"/>
      <c r="T13" s="198"/>
      <c r="U13" s="198"/>
    </row>
    <row r="14" spans="1:21" s="12" customFormat="1" x14ac:dyDescent="0.25">
      <c r="A14" s="201" t="s">
        <v>1500</v>
      </c>
      <c r="B14" s="60">
        <v>11.82</v>
      </c>
      <c r="C14" s="60">
        <v>81.7</v>
      </c>
      <c r="D14" s="60">
        <v>54.57</v>
      </c>
      <c r="E14" s="60">
        <v>4.41</v>
      </c>
      <c r="F14" s="60">
        <v>0.69</v>
      </c>
      <c r="G14" s="60">
        <v>143.72</v>
      </c>
      <c r="H14" s="60">
        <v>63.1</v>
      </c>
      <c r="I14" s="60">
        <v>0.77</v>
      </c>
      <c r="J14" s="60">
        <v>0.3</v>
      </c>
      <c r="K14" s="60">
        <v>30.96</v>
      </c>
      <c r="L14" s="213" t="s">
        <v>35</v>
      </c>
      <c r="M14" s="213" t="s">
        <v>35</v>
      </c>
      <c r="N14" s="60">
        <v>22.9</v>
      </c>
      <c r="O14" s="60">
        <v>0</v>
      </c>
      <c r="P14" s="60">
        <v>1.37</v>
      </c>
      <c r="Q14" s="60">
        <v>118.79</v>
      </c>
      <c r="R14" s="198"/>
      <c r="S14" s="198"/>
      <c r="T14" s="198"/>
      <c r="U14" s="198"/>
    </row>
    <row r="15" spans="1:21" s="12" customFormat="1" x14ac:dyDescent="0.25">
      <c r="A15" s="201" t="s">
        <v>1501</v>
      </c>
      <c r="B15" s="60">
        <v>11.09</v>
      </c>
      <c r="C15" s="60">
        <v>80.010000000000005</v>
      </c>
      <c r="D15" s="60">
        <v>53.05</v>
      </c>
      <c r="E15" s="60">
        <v>4.82</v>
      </c>
      <c r="F15" s="60">
        <v>0.75</v>
      </c>
      <c r="G15" s="60">
        <v>143.72</v>
      </c>
      <c r="H15" s="60">
        <v>63.1</v>
      </c>
      <c r="I15" s="60">
        <v>0.77</v>
      </c>
      <c r="J15" s="60">
        <v>0.18</v>
      </c>
      <c r="K15" s="60">
        <v>26.81</v>
      </c>
      <c r="L15" s="213" t="s">
        <v>35</v>
      </c>
      <c r="M15" s="213" t="s">
        <v>35</v>
      </c>
      <c r="N15" s="60">
        <v>22.9</v>
      </c>
      <c r="O15" s="60">
        <v>0</v>
      </c>
      <c r="P15" s="60">
        <v>1.32</v>
      </c>
      <c r="Q15" s="60">
        <v>117.63</v>
      </c>
      <c r="R15" s="198"/>
      <c r="S15" s="198"/>
      <c r="T15" s="198"/>
      <c r="U15" s="198"/>
    </row>
    <row r="16" spans="1:21" s="12" customFormat="1" x14ac:dyDescent="0.25">
      <c r="A16" s="201" t="s">
        <v>1502</v>
      </c>
      <c r="B16" s="60">
        <v>10.5</v>
      </c>
      <c r="C16" s="60">
        <v>78.33</v>
      </c>
      <c r="D16" s="60">
        <v>51.65</v>
      </c>
      <c r="E16" s="60">
        <v>4.67</v>
      </c>
      <c r="F16" s="60">
        <v>0.63</v>
      </c>
      <c r="G16" s="60">
        <v>143.41</v>
      </c>
      <c r="H16" s="60">
        <v>62.94</v>
      </c>
      <c r="I16" s="60">
        <v>0.77</v>
      </c>
      <c r="J16" s="60">
        <v>0.47</v>
      </c>
      <c r="K16" s="60">
        <v>9.1300000000000008</v>
      </c>
      <c r="L16" s="213" t="s">
        <v>35</v>
      </c>
      <c r="M16" s="213" t="s">
        <v>35</v>
      </c>
      <c r="N16" s="60">
        <v>22</v>
      </c>
      <c r="O16" s="60">
        <v>0</v>
      </c>
      <c r="P16" s="60">
        <v>1.3</v>
      </c>
      <c r="Q16" s="60">
        <v>115.51</v>
      </c>
      <c r="R16" s="198"/>
      <c r="S16" s="198"/>
      <c r="T16" s="198"/>
      <c r="U16" s="198"/>
    </row>
    <row r="17" spans="1:21" s="12" customFormat="1" x14ac:dyDescent="0.25">
      <c r="A17" s="201" t="s">
        <v>1503</v>
      </c>
      <c r="B17" s="60">
        <v>10.25</v>
      </c>
      <c r="C17" s="60">
        <v>77.87</v>
      </c>
      <c r="D17" s="60">
        <v>51.19</v>
      </c>
      <c r="E17" s="60">
        <v>4.6100000000000003</v>
      </c>
      <c r="F17" s="60">
        <v>0.71</v>
      </c>
      <c r="G17" s="60">
        <v>140.88</v>
      </c>
      <c r="H17" s="60">
        <v>61.31</v>
      </c>
      <c r="I17" s="60">
        <v>0.76</v>
      </c>
      <c r="J17" s="60">
        <v>0.11</v>
      </c>
      <c r="K17" s="60">
        <v>349.74</v>
      </c>
      <c r="L17" s="213" t="s">
        <v>35</v>
      </c>
      <c r="M17" s="213" t="s">
        <v>35</v>
      </c>
      <c r="N17" s="60">
        <v>23.4</v>
      </c>
      <c r="O17" s="60">
        <v>0</v>
      </c>
      <c r="P17" s="60">
        <v>1.29</v>
      </c>
      <c r="Q17" s="60">
        <v>112.78</v>
      </c>
      <c r="R17" s="198"/>
      <c r="S17" s="198"/>
      <c r="T17" s="198"/>
      <c r="U17" s="198"/>
    </row>
    <row r="18" spans="1:21" s="12" customFormat="1" x14ac:dyDescent="0.25">
      <c r="A18" s="201" t="s">
        <v>1504</v>
      </c>
      <c r="B18" s="60">
        <v>10.199999999999999</v>
      </c>
      <c r="C18" s="60">
        <v>77.38</v>
      </c>
      <c r="D18" s="60">
        <v>50.89</v>
      </c>
      <c r="E18" s="60">
        <v>4.5</v>
      </c>
      <c r="F18" s="60">
        <v>0.6</v>
      </c>
      <c r="G18" s="60">
        <v>140.88</v>
      </c>
      <c r="H18" s="60">
        <v>61.31</v>
      </c>
      <c r="I18" s="60">
        <v>0.74</v>
      </c>
      <c r="J18" s="60">
        <v>0.2</v>
      </c>
      <c r="K18" s="60">
        <v>281.08999999999997</v>
      </c>
      <c r="L18" s="213" t="s">
        <v>35</v>
      </c>
      <c r="M18" s="213" t="s">
        <v>35</v>
      </c>
      <c r="N18" s="60">
        <v>22.7</v>
      </c>
      <c r="O18" s="60">
        <v>0</v>
      </c>
      <c r="P18" s="60">
        <v>1.3</v>
      </c>
      <c r="Q18" s="60">
        <v>113.13</v>
      </c>
      <c r="R18" s="198"/>
      <c r="S18" s="198"/>
      <c r="T18" s="198"/>
      <c r="U18" s="198"/>
    </row>
    <row r="19" spans="1:21" s="12" customFormat="1" x14ac:dyDescent="0.25">
      <c r="A19" s="201" t="s">
        <v>1505</v>
      </c>
      <c r="B19" s="60">
        <v>10.29</v>
      </c>
      <c r="C19" s="60">
        <v>77.22</v>
      </c>
      <c r="D19" s="60">
        <v>50.87</v>
      </c>
      <c r="E19" s="60">
        <v>4.72</v>
      </c>
      <c r="F19" s="60">
        <v>0.51</v>
      </c>
      <c r="G19" s="60">
        <v>140.88</v>
      </c>
      <c r="H19" s="60">
        <v>61.31</v>
      </c>
      <c r="I19" s="60">
        <v>0.75</v>
      </c>
      <c r="J19" s="60">
        <v>0.09</v>
      </c>
      <c r="K19" s="60">
        <v>41.5</v>
      </c>
      <c r="L19" s="213" t="s">
        <v>35</v>
      </c>
      <c r="M19" s="213" t="s">
        <v>35</v>
      </c>
      <c r="N19" s="60">
        <v>23.3</v>
      </c>
      <c r="O19" s="60">
        <v>0</v>
      </c>
      <c r="P19" s="60">
        <v>1.3</v>
      </c>
      <c r="Q19" s="60">
        <v>113.57</v>
      </c>
      <c r="R19" s="198"/>
      <c r="S19" s="198"/>
      <c r="T19" s="198"/>
      <c r="U19" s="198"/>
    </row>
    <row r="20" spans="1:21" s="12" customFormat="1" x14ac:dyDescent="0.25">
      <c r="A20" s="201" t="s">
        <v>1506</v>
      </c>
      <c r="B20" s="60">
        <v>10.66</v>
      </c>
      <c r="C20" s="60">
        <v>76.930000000000007</v>
      </c>
      <c r="D20" s="60">
        <v>51</v>
      </c>
      <c r="E20" s="60">
        <v>4.38</v>
      </c>
      <c r="F20" s="60">
        <v>0.54</v>
      </c>
      <c r="G20" s="60">
        <v>146.78</v>
      </c>
      <c r="H20" s="60">
        <v>62.99</v>
      </c>
      <c r="I20" s="60">
        <v>0.76</v>
      </c>
      <c r="J20" s="60">
        <v>0.18</v>
      </c>
      <c r="K20" s="60">
        <v>304.25</v>
      </c>
      <c r="L20" s="213" t="s">
        <v>35</v>
      </c>
      <c r="M20" s="213" t="s">
        <v>35</v>
      </c>
      <c r="N20" s="60">
        <v>22.6</v>
      </c>
      <c r="O20" s="60">
        <v>0</v>
      </c>
      <c r="P20" s="60">
        <v>1.31</v>
      </c>
      <c r="Q20" s="60">
        <v>106.98</v>
      </c>
      <c r="R20" s="198"/>
      <c r="S20" s="198"/>
      <c r="T20" s="198"/>
      <c r="U20" s="198"/>
    </row>
    <row r="21" spans="1:21" s="12" customFormat="1" x14ac:dyDescent="0.25">
      <c r="A21" s="201" t="s">
        <v>1507</v>
      </c>
      <c r="B21" s="60">
        <v>11.18</v>
      </c>
      <c r="C21" s="60">
        <v>76.36</v>
      </c>
      <c r="D21" s="60">
        <v>51.11</v>
      </c>
      <c r="E21" s="60">
        <v>4.5999999999999996</v>
      </c>
      <c r="F21" s="60">
        <v>0.52</v>
      </c>
      <c r="G21" s="60">
        <v>196.47</v>
      </c>
      <c r="H21" s="60">
        <v>80.290000000000006</v>
      </c>
      <c r="I21" s="60">
        <v>0.74</v>
      </c>
      <c r="J21" s="60">
        <v>0.1</v>
      </c>
      <c r="K21" s="60">
        <v>332.51</v>
      </c>
      <c r="L21" s="213" t="s">
        <v>35</v>
      </c>
      <c r="M21" s="213" t="s">
        <v>35</v>
      </c>
      <c r="N21" s="60">
        <v>22.8</v>
      </c>
      <c r="O21" s="60">
        <v>0</v>
      </c>
      <c r="P21" s="60">
        <v>1.31</v>
      </c>
      <c r="Q21" s="60">
        <v>98.55</v>
      </c>
      <c r="R21" s="198"/>
      <c r="S21" s="198"/>
      <c r="T21" s="198"/>
      <c r="U21" s="198"/>
    </row>
    <row r="22" spans="1:21" s="12" customFormat="1" x14ac:dyDescent="0.25">
      <c r="A22" s="201" t="s">
        <v>1508</v>
      </c>
      <c r="B22" s="60">
        <v>12.09</v>
      </c>
      <c r="C22" s="60">
        <v>75.989999999999995</v>
      </c>
      <c r="D22" s="60">
        <v>51.63</v>
      </c>
      <c r="E22" s="60">
        <v>4.5599999999999996</v>
      </c>
      <c r="F22" s="60">
        <v>0.72</v>
      </c>
      <c r="G22" s="60">
        <v>196.47</v>
      </c>
      <c r="H22" s="60">
        <v>80.290000000000006</v>
      </c>
      <c r="I22" s="60">
        <v>0.71</v>
      </c>
      <c r="J22" s="60">
        <v>0.09</v>
      </c>
      <c r="K22" s="60">
        <v>332.07</v>
      </c>
      <c r="L22" s="213" t="s">
        <v>35</v>
      </c>
      <c r="M22" s="213" t="s">
        <v>35</v>
      </c>
      <c r="N22" s="60">
        <v>23</v>
      </c>
      <c r="O22" s="60">
        <v>0</v>
      </c>
      <c r="P22" s="60">
        <v>1.31</v>
      </c>
      <c r="Q22" s="60">
        <v>97.43</v>
      </c>
      <c r="R22" s="198"/>
      <c r="S22" s="198"/>
      <c r="T22" s="198"/>
      <c r="U22" s="198"/>
    </row>
    <row r="23" spans="1:21" s="12" customFormat="1" x14ac:dyDescent="0.25">
      <c r="A23" s="201" t="s">
        <v>1509</v>
      </c>
      <c r="B23" s="60">
        <v>13.08</v>
      </c>
      <c r="C23" s="60">
        <v>76.08</v>
      </c>
      <c r="D23" s="60">
        <v>52.47</v>
      </c>
      <c r="E23" s="60">
        <v>4.66</v>
      </c>
      <c r="F23" s="60">
        <v>0.53</v>
      </c>
      <c r="G23" s="60">
        <v>196.47</v>
      </c>
      <c r="H23" s="60">
        <v>80.290000000000006</v>
      </c>
      <c r="I23" s="60">
        <v>0.71</v>
      </c>
      <c r="J23" s="60">
        <v>0.05</v>
      </c>
      <c r="K23" s="60">
        <v>91.48</v>
      </c>
      <c r="L23" s="213" t="s">
        <v>35</v>
      </c>
      <c r="M23" s="213" t="s">
        <v>35</v>
      </c>
      <c r="N23" s="60">
        <v>23</v>
      </c>
      <c r="O23" s="60">
        <v>0</v>
      </c>
      <c r="P23" s="60">
        <v>1.32</v>
      </c>
      <c r="Q23" s="60">
        <v>97.55</v>
      </c>
      <c r="R23" s="198"/>
      <c r="S23" s="198"/>
      <c r="T23" s="198"/>
      <c r="U23" s="198"/>
    </row>
    <row r="24" spans="1:21" s="12" customFormat="1" x14ac:dyDescent="0.25">
      <c r="A24" s="201" t="s">
        <v>1510</v>
      </c>
      <c r="B24" s="60">
        <v>15.14</v>
      </c>
      <c r="C24" s="60">
        <v>77.430000000000007</v>
      </c>
      <c r="D24" s="60">
        <v>54.87</v>
      </c>
      <c r="E24" s="60">
        <v>1.89</v>
      </c>
      <c r="F24" s="60">
        <v>0.53</v>
      </c>
      <c r="G24" s="60">
        <v>213.02</v>
      </c>
      <c r="H24" s="60">
        <v>83.72</v>
      </c>
      <c r="I24" s="60">
        <v>0.74</v>
      </c>
      <c r="J24" s="60">
        <v>0.12</v>
      </c>
      <c r="K24" s="60">
        <v>297.10000000000002</v>
      </c>
      <c r="L24" s="213" t="s">
        <v>35</v>
      </c>
      <c r="M24" s="213" t="s">
        <v>35</v>
      </c>
      <c r="N24" s="60">
        <v>22.9</v>
      </c>
      <c r="O24" s="60">
        <v>0</v>
      </c>
      <c r="P24" s="60">
        <v>1.34</v>
      </c>
      <c r="Q24" s="60">
        <v>97.75</v>
      </c>
      <c r="R24" s="198"/>
      <c r="S24" s="198"/>
      <c r="T24" s="198"/>
      <c r="U24" s="198"/>
    </row>
    <row r="25" spans="1:21" s="12" customFormat="1" x14ac:dyDescent="0.25">
      <c r="A25" s="201" t="s">
        <v>1511</v>
      </c>
      <c r="B25" s="60">
        <v>17.739999999999998</v>
      </c>
      <c r="C25" s="60">
        <v>79.209999999999994</v>
      </c>
      <c r="D25" s="60">
        <v>57.94</v>
      </c>
      <c r="E25" s="60">
        <v>4.33</v>
      </c>
      <c r="F25" s="60">
        <v>0.63</v>
      </c>
      <c r="G25" s="10" t="s">
        <v>42</v>
      </c>
      <c r="H25" s="10" t="s">
        <v>42</v>
      </c>
      <c r="I25" s="60">
        <v>0.74</v>
      </c>
      <c r="J25" s="60">
        <v>0.08</v>
      </c>
      <c r="K25" s="60">
        <v>305.16000000000003</v>
      </c>
      <c r="L25" s="213" t="s">
        <v>35</v>
      </c>
      <c r="M25" s="213" t="s">
        <v>35</v>
      </c>
      <c r="N25" s="60">
        <v>22.8</v>
      </c>
      <c r="O25" s="60">
        <v>0</v>
      </c>
      <c r="P25" s="60">
        <v>1.36</v>
      </c>
      <c r="Q25" s="60">
        <v>97.35</v>
      </c>
      <c r="R25" s="198"/>
      <c r="S25" s="198"/>
      <c r="T25" s="198"/>
      <c r="U25" s="198"/>
    </row>
    <row r="26" spans="1:21" s="12" customFormat="1" x14ac:dyDescent="0.25">
      <c r="A26" s="201" t="s">
        <v>1512</v>
      </c>
      <c r="B26" s="60">
        <v>20.48</v>
      </c>
      <c r="C26" s="60">
        <v>81.86</v>
      </c>
      <c r="D26" s="60">
        <v>61.6</v>
      </c>
      <c r="E26" s="60">
        <v>4.2</v>
      </c>
      <c r="F26" s="60">
        <v>0.38</v>
      </c>
      <c r="G26" s="10" t="s">
        <v>42</v>
      </c>
      <c r="H26" s="10" t="s">
        <v>42</v>
      </c>
      <c r="I26" s="60">
        <v>0.73</v>
      </c>
      <c r="J26" s="60">
        <v>0.13</v>
      </c>
      <c r="K26" s="60">
        <v>43.28</v>
      </c>
      <c r="L26" s="213" t="s">
        <v>35</v>
      </c>
      <c r="M26" s="213" t="s">
        <v>35</v>
      </c>
      <c r="N26" s="60">
        <v>22.9</v>
      </c>
      <c r="O26" s="60">
        <v>0</v>
      </c>
      <c r="P26" s="60">
        <v>1.38</v>
      </c>
      <c r="Q26" s="60">
        <v>101.16</v>
      </c>
      <c r="R26" s="198"/>
      <c r="S26" s="198"/>
      <c r="T26" s="198"/>
      <c r="U26" s="198"/>
    </row>
    <row r="27" spans="1:21" s="12" customFormat="1" x14ac:dyDescent="0.25">
      <c r="A27" s="201" t="s">
        <v>1513</v>
      </c>
      <c r="B27" s="60">
        <v>24.45</v>
      </c>
      <c r="C27" s="60">
        <v>85.65</v>
      </c>
      <c r="D27" s="60">
        <v>66.88</v>
      </c>
      <c r="E27" s="60">
        <v>4.41</v>
      </c>
      <c r="F27" s="60">
        <v>0.56999999999999995</v>
      </c>
      <c r="G27" s="10" t="s">
        <v>42</v>
      </c>
      <c r="H27" s="10" t="s">
        <v>42</v>
      </c>
      <c r="I27" s="60">
        <v>0.73</v>
      </c>
      <c r="J27" s="60">
        <v>0.1</v>
      </c>
      <c r="K27" s="60">
        <v>70.650000000000006</v>
      </c>
      <c r="L27" s="213" t="s">
        <v>35</v>
      </c>
      <c r="M27" s="213" t="s">
        <v>35</v>
      </c>
      <c r="N27" s="60">
        <v>22.9</v>
      </c>
      <c r="O27" s="60">
        <v>0</v>
      </c>
      <c r="P27" s="60">
        <v>1.41</v>
      </c>
      <c r="Q27" s="60">
        <v>111.24</v>
      </c>
      <c r="R27" s="198"/>
      <c r="S27" s="198"/>
      <c r="T27" s="198"/>
      <c r="U27" s="198"/>
    </row>
    <row r="28" spans="1:21" s="12" customFormat="1" x14ac:dyDescent="0.25">
      <c r="A28" s="201" t="s">
        <v>1514</v>
      </c>
      <c r="B28" s="60">
        <v>28.12</v>
      </c>
      <c r="C28" s="60">
        <v>88.72</v>
      </c>
      <c r="D28" s="60">
        <v>71.510000000000005</v>
      </c>
      <c r="E28" s="60">
        <v>4.18</v>
      </c>
      <c r="F28" s="60">
        <v>0.32</v>
      </c>
      <c r="G28" s="10" t="s">
        <v>42</v>
      </c>
      <c r="H28" s="10" t="s">
        <v>42</v>
      </c>
      <c r="I28" s="60">
        <v>0.74</v>
      </c>
      <c r="J28" s="60">
        <v>0.18</v>
      </c>
      <c r="K28" s="60">
        <v>38.39</v>
      </c>
      <c r="L28" s="213" t="s">
        <v>35</v>
      </c>
      <c r="M28" s="213" t="s">
        <v>35</v>
      </c>
      <c r="N28" s="60">
        <v>22.6</v>
      </c>
      <c r="O28" s="60">
        <v>0</v>
      </c>
      <c r="P28" s="60">
        <v>1.45</v>
      </c>
      <c r="Q28" s="60">
        <v>117.22</v>
      </c>
      <c r="R28" s="198"/>
      <c r="S28" s="198"/>
      <c r="T28" s="198"/>
      <c r="U28" s="198"/>
    </row>
    <row r="29" spans="1:21" s="12" customFormat="1" x14ac:dyDescent="0.25">
      <c r="A29" s="201" t="s">
        <v>1515</v>
      </c>
      <c r="B29" s="60">
        <v>32.26</v>
      </c>
      <c r="C29" s="60">
        <v>92.99</v>
      </c>
      <c r="D29" s="60">
        <v>77.19</v>
      </c>
      <c r="E29" s="60">
        <v>4.72</v>
      </c>
      <c r="F29" s="60">
        <v>0.64</v>
      </c>
      <c r="G29" s="10" t="s">
        <v>42</v>
      </c>
      <c r="H29" s="10" t="s">
        <v>42</v>
      </c>
      <c r="I29" s="60">
        <v>0.74</v>
      </c>
      <c r="J29" s="60">
        <v>0.2</v>
      </c>
      <c r="K29" s="60">
        <v>76.44</v>
      </c>
      <c r="L29" s="213" t="s">
        <v>35</v>
      </c>
      <c r="M29" s="213" t="s">
        <v>35</v>
      </c>
      <c r="N29" s="60">
        <v>22.3</v>
      </c>
      <c r="O29" s="60">
        <v>0</v>
      </c>
      <c r="P29" s="60">
        <v>1.48</v>
      </c>
      <c r="Q29" s="60">
        <v>120.77</v>
      </c>
      <c r="R29" s="198"/>
      <c r="S29" s="198"/>
      <c r="T29" s="198"/>
      <c r="U29" s="198"/>
    </row>
    <row r="30" spans="1:21" s="12" customFormat="1" x14ac:dyDescent="0.25">
      <c r="A30" s="201" t="s">
        <v>1516</v>
      </c>
      <c r="B30" s="60">
        <v>34.47</v>
      </c>
      <c r="C30" s="60">
        <v>94.85</v>
      </c>
      <c r="D30" s="60">
        <v>79.989999999999995</v>
      </c>
      <c r="E30" s="60">
        <v>4.82</v>
      </c>
      <c r="F30" s="60">
        <v>0.62</v>
      </c>
      <c r="G30" s="10" t="s">
        <v>42</v>
      </c>
      <c r="H30" s="10" t="s">
        <v>42</v>
      </c>
      <c r="I30" s="60">
        <v>0.73</v>
      </c>
      <c r="J30" s="60">
        <v>0.25</v>
      </c>
      <c r="K30" s="60">
        <v>52.72</v>
      </c>
      <c r="L30" s="213" t="s">
        <v>35</v>
      </c>
      <c r="M30" s="213" t="s">
        <v>35</v>
      </c>
      <c r="N30" s="60">
        <v>22.5</v>
      </c>
      <c r="O30" s="60">
        <v>0</v>
      </c>
      <c r="P30" s="60">
        <v>1.52</v>
      </c>
      <c r="Q30" s="60">
        <v>123.85</v>
      </c>
      <c r="R30" s="198"/>
      <c r="S30" s="198"/>
      <c r="T30" s="198"/>
      <c r="U30" s="198"/>
    </row>
    <row r="31" spans="1:21" s="12" customFormat="1" x14ac:dyDescent="0.25">
      <c r="A31" s="201" t="s">
        <v>1517</v>
      </c>
      <c r="B31" s="60">
        <v>34.81</v>
      </c>
      <c r="C31" s="60">
        <v>95.34</v>
      </c>
      <c r="D31" s="60">
        <v>80.53</v>
      </c>
      <c r="E31" s="60">
        <v>4.66</v>
      </c>
      <c r="F31" s="60">
        <v>0.79</v>
      </c>
      <c r="G31" s="10" t="s">
        <v>42</v>
      </c>
      <c r="H31" s="10" t="s">
        <v>42</v>
      </c>
      <c r="I31" s="60">
        <v>0.74</v>
      </c>
      <c r="J31" s="60">
        <v>0.21</v>
      </c>
      <c r="K31" s="60">
        <v>78.900000000000006</v>
      </c>
      <c r="L31" s="213" t="s">
        <v>35</v>
      </c>
      <c r="M31" s="213" t="s">
        <v>35</v>
      </c>
      <c r="N31" s="60">
        <v>22.4</v>
      </c>
      <c r="O31" s="60">
        <v>0</v>
      </c>
      <c r="P31" s="60">
        <v>1.52</v>
      </c>
      <c r="Q31" s="60">
        <v>125.12</v>
      </c>
      <c r="R31" s="198"/>
      <c r="S31" s="198"/>
      <c r="T31" s="198"/>
      <c r="U31" s="198"/>
    </row>
    <row r="32" spans="1:21" s="12" customFormat="1" x14ac:dyDescent="0.25">
      <c r="A32" s="201" t="s">
        <v>1518</v>
      </c>
      <c r="B32" s="60">
        <v>33.58</v>
      </c>
      <c r="C32" s="60">
        <v>94.64</v>
      </c>
      <c r="D32" s="60">
        <v>79.16</v>
      </c>
      <c r="E32" s="60">
        <v>4.59</v>
      </c>
      <c r="F32" s="60">
        <v>0.64</v>
      </c>
      <c r="G32" s="10" t="s">
        <v>42</v>
      </c>
      <c r="H32" s="10" t="s">
        <v>42</v>
      </c>
      <c r="I32" s="60">
        <v>0.73</v>
      </c>
      <c r="J32" s="60">
        <v>0.28999999999999998</v>
      </c>
      <c r="K32" s="60">
        <v>87.63</v>
      </c>
      <c r="L32" s="213" t="s">
        <v>35</v>
      </c>
      <c r="M32" s="213" t="s">
        <v>35</v>
      </c>
      <c r="N32" s="60">
        <v>23.1</v>
      </c>
      <c r="O32" s="60">
        <v>0</v>
      </c>
      <c r="P32" s="60">
        <v>1.5</v>
      </c>
      <c r="Q32" s="60">
        <v>123.28</v>
      </c>
      <c r="R32" s="198"/>
      <c r="S32" s="198"/>
      <c r="T32" s="198"/>
      <c r="U32" s="198"/>
    </row>
    <row r="33" spans="1:21" s="12" customFormat="1" x14ac:dyDescent="0.25">
      <c r="A33" s="201" t="s">
        <v>1519</v>
      </c>
      <c r="B33" s="60">
        <v>32.22</v>
      </c>
      <c r="C33" s="60">
        <v>94.03</v>
      </c>
      <c r="D33" s="60">
        <v>77.73</v>
      </c>
      <c r="E33" s="60">
        <v>4.29</v>
      </c>
      <c r="F33" s="60">
        <v>0.51</v>
      </c>
      <c r="G33" s="60">
        <v>261.43</v>
      </c>
      <c r="H33" s="60">
        <v>116.94</v>
      </c>
      <c r="I33" s="60">
        <v>0.74</v>
      </c>
      <c r="J33" s="60">
        <v>0.31</v>
      </c>
      <c r="K33" s="60">
        <v>96.01</v>
      </c>
      <c r="L33" s="213" t="s">
        <v>35</v>
      </c>
      <c r="M33" s="213" t="s">
        <v>35</v>
      </c>
      <c r="N33" s="60">
        <v>26.3</v>
      </c>
      <c r="O33" s="60">
        <v>0</v>
      </c>
      <c r="P33" s="60">
        <v>1.47</v>
      </c>
      <c r="Q33" s="60">
        <v>120.16</v>
      </c>
      <c r="R33" s="198"/>
      <c r="S33" s="198"/>
      <c r="T33" s="198"/>
      <c r="U33" s="198"/>
    </row>
    <row r="34" spans="1:21" s="12" customFormat="1" x14ac:dyDescent="0.25">
      <c r="A34" s="201" t="s">
        <v>1520</v>
      </c>
      <c r="B34" s="60">
        <v>30.37</v>
      </c>
      <c r="C34" s="60">
        <v>91.33</v>
      </c>
      <c r="D34" s="60">
        <v>74.75</v>
      </c>
      <c r="E34" s="60">
        <v>4.6399999999999997</v>
      </c>
      <c r="F34" s="60">
        <v>0.85</v>
      </c>
      <c r="G34" s="60">
        <v>261.43</v>
      </c>
      <c r="H34" s="60">
        <v>116.94</v>
      </c>
      <c r="I34" s="60">
        <v>0.73</v>
      </c>
      <c r="J34" s="60">
        <v>0.32</v>
      </c>
      <c r="K34" s="60">
        <v>62.55</v>
      </c>
      <c r="L34" s="213" t="s">
        <v>35</v>
      </c>
      <c r="M34" s="213" t="s">
        <v>35</v>
      </c>
      <c r="N34" s="60">
        <v>36</v>
      </c>
      <c r="O34" s="60">
        <v>0</v>
      </c>
      <c r="P34" s="60">
        <v>1.44</v>
      </c>
      <c r="Q34" s="60">
        <v>113.47</v>
      </c>
      <c r="R34" s="198"/>
      <c r="S34" s="198"/>
      <c r="T34" s="198"/>
      <c r="U34" s="198"/>
    </row>
    <row r="35" spans="1:21" s="12" customFormat="1" x14ac:dyDescent="0.25">
      <c r="A35" s="201" t="s">
        <v>1521</v>
      </c>
      <c r="B35" s="60">
        <v>29.27</v>
      </c>
      <c r="C35" s="60">
        <v>91.85</v>
      </c>
      <c r="D35" s="60">
        <v>74.16</v>
      </c>
      <c r="E35" s="60">
        <v>4.67</v>
      </c>
      <c r="F35" s="60">
        <v>0.61</v>
      </c>
      <c r="G35" s="60">
        <v>261.43</v>
      </c>
      <c r="H35" s="60">
        <v>116.94</v>
      </c>
      <c r="I35" s="60">
        <v>0.73</v>
      </c>
      <c r="J35" s="60">
        <v>0.26</v>
      </c>
      <c r="K35" s="60">
        <v>61.61</v>
      </c>
      <c r="L35" s="213" t="s">
        <v>35</v>
      </c>
      <c r="M35" s="213" t="s">
        <v>35</v>
      </c>
      <c r="N35" s="60">
        <v>50.6</v>
      </c>
      <c r="O35" s="60">
        <v>0</v>
      </c>
      <c r="P35" s="60">
        <v>1.43</v>
      </c>
      <c r="Q35" s="60">
        <v>106.99</v>
      </c>
      <c r="R35" s="198"/>
      <c r="S35" s="198"/>
      <c r="T35" s="198"/>
      <c r="U35" s="198"/>
    </row>
    <row r="36" spans="1:21" s="12" customFormat="1" x14ac:dyDescent="0.25">
      <c r="A36" s="201" t="s">
        <v>1522</v>
      </c>
      <c r="B36" s="60">
        <v>29.07</v>
      </c>
      <c r="C36" s="60">
        <v>93.08</v>
      </c>
      <c r="D36" s="60">
        <v>74.680000000000007</v>
      </c>
      <c r="E36" s="60">
        <v>4.6500000000000004</v>
      </c>
      <c r="F36" s="60">
        <v>0.51</v>
      </c>
      <c r="G36" s="60">
        <v>262.7</v>
      </c>
      <c r="H36" s="60">
        <v>116.35</v>
      </c>
      <c r="I36" s="60">
        <v>0.7</v>
      </c>
      <c r="J36" s="60">
        <v>0.19</v>
      </c>
      <c r="K36" s="60">
        <v>48.6</v>
      </c>
      <c r="L36" s="213" t="s">
        <v>35</v>
      </c>
      <c r="M36" s="213" t="s">
        <v>35</v>
      </c>
      <c r="N36" s="60">
        <v>65.599999999999994</v>
      </c>
      <c r="O36" s="60">
        <v>0</v>
      </c>
      <c r="P36" s="60">
        <v>1.42</v>
      </c>
      <c r="Q36" s="60">
        <v>103.26</v>
      </c>
      <c r="R36" s="198"/>
      <c r="S36" s="198"/>
      <c r="T36" s="198"/>
      <c r="U36" s="198"/>
    </row>
    <row r="37" spans="1:21" s="12" customFormat="1" x14ac:dyDescent="0.25">
      <c r="A37" s="201" t="s">
        <v>1523</v>
      </c>
      <c r="B37" s="60">
        <v>29.48</v>
      </c>
      <c r="C37" s="60">
        <v>96.5</v>
      </c>
      <c r="D37" s="60">
        <v>76.900000000000006</v>
      </c>
      <c r="E37" s="60">
        <v>4.33</v>
      </c>
      <c r="F37" s="60">
        <v>0.68</v>
      </c>
      <c r="G37" s="60">
        <v>273.39</v>
      </c>
      <c r="H37" s="60">
        <v>110.27</v>
      </c>
      <c r="I37" s="60">
        <v>0.68</v>
      </c>
      <c r="J37" s="60">
        <v>0.73</v>
      </c>
      <c r="K37" s="60">
        <v>37.32</v>
      </c>
      <c r="L37" s="213" t="s">
        <v>35</v>
      </c>
      <c r="M37" s="213" t="s">
        <v>35</v>
      </c>
      <c r="N37" s="60">
        <v>107.2</v>
      </c>
      <c r="O37" s="60">
        <v>0</v>
      </c>
      <c r="P37" s="60">
        <v>1.46</v>
      </c>
      <c r="Q37" s="60">
        <v>98.06</v>
      </c>
      <c r="R37" s="198"/>
      <c r="S37" s="198"/>
      <c r="T37" s="198"/>
      <c r="U37" s="198"/>
    </row>
    <row r="38" spans="1:21" s="12" customFormat="1" x14ac:dyDescent="0.25">
      <c r="A38" s="201" t="s">
        <v>1524</v>
      </c>
      <c r="B38" s="60">
        <v>30.34</v>
      </c>
      <c r="C38" s="60">
        <v>99.66</v>
      </c>
      <c r="D38" s="60">
        <v>79.33</v>
      </c>
      <c r="E38" s="60">
        <v>4.6900000000000004</v>
      </c>
      <c r="F38" s="60">
        <v>0.63</v>
      </c>
      <c r="G38" s="60">
        <v>273.39</v>
      </c>
      <c r="H38" s="60">
        <v>110.27</v>
      </c>
      <c r="I38" s="60">
        <v>0.63</v>
      </c>
      <c r="J38" s="60">
        <v>1.01</v>
      </c>
      <c r="K38" s="60">
        <v>44.44</v>
      </c>
      <c r="L38" s="213" t="s">
        <v>35</v>
      </c>
      <c r="M38" s="213" t="s">
        <v>35</v>
      </c>
      <c r="N38" s="60">
        <v>204.2</v>
      </c>
      <c r="O38" s="60">
        <v>0</v>
      </c>
      <c r="P38" s="60">
        <v>1.63</v>
      </c>
      <c r="Q38" s="60">
        <v>99.66</v>
      </c>
      <c r="R38" s="198"/>
      <c r="S38" s="198"/>
      <c r="T38" s="198"/>
      <c r="U38" s="198"/>
    </row>
    <row r="39" spans="1:21" s="12" customFormat="1" x14ac:dyDescent="0.25">
      <c r="A39" s="201" t="s">
        <v>1525</v>
      </c>
      <c r="B39" s="60">
        <v>31.59</v>
      </c>
      <c r="C39" s="60">
        <v>103.03</v>
      </c>
      <c r="D39" s="60">
        <v>82.19</v>
      </c>
      <c r="E39" s="60">
        <v>4.8899999999999997</v>
      </c>
      <c r="F39" s="60">
        <v>0.82</v>
      </c>
      <c r="G39" s="60">
        <v>273.39</v>
      </c>
      <c r="H39" s="60">
        <v>110.27</v>
      </c>
      <c r="I39" s="60">
        <v>0.67</v>
      </c>
      <c r="J39" s="60">
        <v>0.75</v>
      </c>
      <c r="K39" s="60">
        <v>42.87</v>
      </c>
      <c r="L39" s="213" t="s">
        <v>35</v>
      </c>
      <c r="M39" s="213" t="s">
        <v>35</v>
      </c>
      <c r="N39" s="60">
        <v>260.39999999999998</v>
      </c>
      <c r="O39" s="60">
        <v>0</v>
      </c>
      <c r="P39" s="60">
        <v>1.72</v>
      </c>
      <c r="Q39" s="60">
        <v>101.85</v>
      </c>
      <c r="R39" s="198"/>
      <c r="S39" s="198"/>
      <c r="T39" s="198"/>
      <c r="U39" s="198"/>
    </row>
    <row r="40" spans="1:21" s="12" customFormat="1" x14ac:dyDescent="0.25">
      <c r="A40" s="201" t="s">
        <v>1526</v>
      </c>
      <c r="B40" s="60">
        <v>32.770000000000003</v>
      </c>
      <c r="C40" s="60">
        <v>105.66</v>
      </c>
      <c r="D40" s="60">
        <v>84.59</v>
      </c>
      <c r="E40" s="60">
        <v>3.39</v>
      </c>
      <c r="F40" s="60">
        <v>0.77</v>
      </c>
      <c r="G40" s="60">
        <v>269.06</v>
      </c>
      <c r="H40" s="60">
        <v>109.03</v>
      </c>
      <c r="I40" s="60">
        <v>0.67</v>
      </c>
      <c r="J40" s="60">
        <v>0.68</v>
      </c>
      <c r="K40" s="60">
        <v>46.53</v>
      </c>
      <c r="L40" s="213" t="s">
        <v>35</v>
      </c>
      <c r="M40" s="213" t="s">
        <v>35</v>
      </c>
      <c r="N40" s="60">
        <v>312.39999999999998</v>
      </c>
      <c r="O40" s="60">
        <v>0</v>
      </c>
      <c r="P40" s="60">
        <v>1.8</v>
      </c>
      <c r="Q40" s="60">
        <v>104.19</v>
      </c>
      <c r="R40" s="198"/>
      <c r="S40" s="198"/>
      <c r="T40" s="198"/>
      <c r="U40" s="198"/>
    </row>
    <row r="41" spans="1:21" s="12" customFormat="1" x14ac:dyDescent="0.25">
      <c r="A41" s="201" t="s">
        <v>1527</v>
      </c>
      <c r="B41" s="60">
        <v>33.950000000000003</v>
      </c>
      <c r="C41" s="60">
        <v>108.68</v>
      </c>
      <c r="D41" s="60">
        <v>87.2</v>
      </c>
      <c r="E41" s="60">
        <v>5.57</v>
      </c>
      <c r="F41" s="60">
        <v>0.6</v>
      </c>
      <c r="G41" s="60">
        <v>232.59</v>
      </c>
      <c r="H41" s="60">
        <v>96.31</v>
      </c>
      <c r="I41" s="60">
        <v>0.64</v>
      </c>
      <c r="J41" s="60">
        <v>0.49</v>
      </c>
      <c r="K41" s="60">
        <v>42.48</v>
      </c>
      <c r="L41" s="213" t="s">
        <v>35</v>
      </c>
      <c r="M41" s="213" t="s">
        <v>35</v>
      </c>
      <c r="N41" s="60">
        <v>363.1</v>
      </c>
      <c r="O41" s="60">
        <v>0</v>
      </c>
      <c r="P41" s="60">
        <v>1.85</v>
      </c>
      <c r="Q41" s="60">
        <v>110.38</v>
      </c>
      <c r="R41" s="198"/>
      <c r="S41" s="198"/>
      <c r="T41" s="198"/>
      <c r="U41" s="198"/>
    </row>
    <row r="42" spans="1:21" s="12" customFormat="1" x14ac:dyDescent="0.25">
      <c r="A42" s="201" t="s">
        <v>1528</v>
      </c>
      <c r="B42" s="60">
        <v>34.22</v>
      </c>
      <c r="C42" s="60">
        <v>108.44</v>
      </c>
      <c r="D42" s="60">
        <v>87.28</v>
      </c>
      <c r="E42" s="60">
        <v>5.27</v>
      </c>
      <c r="F42" s="60">
        <v>0.65</v>
      </c>
      <c r="G42" s="60">
        <v>232.59</v>
      </c>
      <c r="H42" s="60">
        <v>96.31</v>
      </c>
      <c r="I42" s="60">
        <v>0.63</v>
      </c>
      <c r="J42" s="60">
        <v>0.83</v>
      </c>
      <c r="K42" s="60">
        <v>148.03</v>
      </c>
      <c r="L42" s="213" t="s">
        <v>35</v>
      </c>
      <c r="M42" s="213" t="s">
        <v>35</v>
      </c>
      <c r="N42" s="60">
        <v>420.6</v>
      </c>
      <c r="O42" s="60">
        <v>0</v>
      </c>
      <c r="P42" s="60">
        <v>1.88</v>
      </c>
      <c r="Q42" s="60">
        <v>117.01</v>
      </c>
      <c r="R42" s="198"/>
      <c r="S42" s="198"/>
      <c r="T42" s="198"/>
      <c r="U42" s="198"/>
    </row>
    <row r="43" spans="1:21" s="12" customFormat="1" x14ac:dyDescent="0.25">
      <c r="A43" s="201" t="s">
        <v>1529</v>
      </c>
      <c r="B43" s="60">
        <v>32.799999999999997</v>
      </c>
      <c r="C43" s="60">
        <v>105.8</v>
      </c>
      <c r="D43" s="60">
        <v>84.69</v>
      </c>
      <c r="E43" s="60">
        <v>4.87</v>
      </c>
      <c r="F43" s="60">
        <v>0.86</v>
      </c>
      <c r="G43" s="60">
        <v>232.59</v>
      </c>
      <c r="H43" s="60">
        <v>96.31</v>
      </c>
      <c r="I43" s="60">
        <v>0.64</v>
      </c>
      <c r="J43" s="60">
        <v>0.47</v>
      </c>
      <c r="K43" s="60">
        <v>135.22999999999999</v>
      </c>
      <c r="L43" s="213" t="s">
        <v>35</v>
      </c>
      <c r="M43" s="213" t="s">
        <v>35</v>
      </c>
      <c r="N43" s="60">
        <v>459</v>
      </c>
      <c r="O43" s="60">
        <v>0</v>
      </c>
      <c r="P43" s="60">
        <v>1.86</v>
      </c>
      <c r="Q43" s="60">
        <v>122.39</v>
      </c>
      <c r="R43" s="198"/>
      <c r="S43" s="198"/>
      <c r="T43" s="198"/>
      <c r="U43" s="198"/>
    </row>
    <row r="44" spans="1:21" s="12" customFormat="1" x14ac:dyDescent="0.25">
      <c r="A44" s="201" t="s">
        <v>1530</v>
      </c>
      <c r="B44" s="60">
        <v>30.79</v>
      </c>
      <c r="C44" s="60">
        <v>102.91</v>
      </c>
      <c r="D44" s="60">
        <v>81.48</v>
      </c>
      <c r="E44" s="60">
        <v>4.95</v>
      </c>
      <c r="F44" s="60">
        <v>0.86</v>
      </c>
      <c r="G44" s="60">
        <v>227.15</v>
      </c>
      <c r="H44" s="60">
        <v>95.93</v>
      </c>
      <c r="I44" s="60">
        <v>0.65</v>
      </c>
      <c r="J44" s="60">
        <v>0.41</v>
      </c>
      <c r="K44" s="60">
        <v>86.59</v>
      </c>
      <c r="L44" s="213" t="s">
        <v>35</v>
      </c>
      <c r="M44" s="213" t="s">
        <v>35</v>
      </c>
      <c r="N44" s="60">
        <v>501.8</v>
      </c>
      <c r="O44" s="60">
        <v>0</v>
      </c>
      <c r="P44" s="60">
        <v>1.85</v>
      </c>
      <c r="Q44" s="60">
        <v>128.53</v>
      </c>
      <c r="R44" s="198"/>
      <c r="S44" s="198"/>
      <c r="T44" s="198"/>
      <c r="U44" s="198"/>
    </row>
    <row r="45" spans="1:21" s="12" customFormat="1" x14ac:dyDescent="0.25">
      <c r="A45" s="201" t="s">
        <v>1531</v>
      </c>
      <c r="B45" s="60">
        <v>29.06</v>
      </c>
      <c r="C45" s="60">
        <v>101.05</v>
      </c>
      <c r="D45" s="60">
        <v>79.08</v>
      </c>
      <c r="E45" s="60">
        <v>4.8</v>
      </c>
      <c r="F45" s="60">
        <v>0.78</v>
      </c>
      <c r="G45" s="60">
        <v>181.35</v>
      </c>
      <c r="H45" s="60">
        <v>92.09</v>
      </c>
      <c r="I45" s="60">
        <v>0.66</v>
      </c>
      <c r="J45" s="60">
        <v>0.28999999999999998</v>
      </c>
      <c r="K45" s="60">
        <v>48.05</v>
      </c>
      <c r="L45" s="213" t="s">
        <v>35</v>
      </c>
      <c r="M45" s="213" t="s">
        <v>35</v>
      </c>
      <c r="N45" s="60">
        <v>546.79999999999995</v>
      </c>
      <c r="O45" s="60">
        <v>0</v>
      </c>
      <c r="P45" s="60">
        <v>1.8</v>
      </c>
      <c r="Q45" s="60">
        <v>135.61000000000001</v>
      </c>
      <c r="R45" s="198"/>
      <c r="S45" s="198"/>
      <c r="T45" s="198"/>
      <c r="U45" s="198"/>
    </row>
    <row r="46" spans="1:21" s="12" customFormat="1" x14ac:dyDescent="0.25">
      <c r="A46" s="201" t="s">
        <v>1532</v>
      </c>
      <c r="B46" s="60">
        <v>27.5</v>
      </c>
      <c r="C46" s="60">
        <v>100.14</v>
      </c>
      <c r="D46" s="60">
        <v>77.319999999999993</v>
      </c>
      <c r="E46" s="60">
        <v>5.08</v>
      </c>
      <c r="F46" s="60">
        <v>1.1599999999999999</v>
      </c>
      <c r="G46" s="60">
        <v>181.35</v>
      </c>
      <c r="H46" s="60">
        <v>92.09</v>
      </c>
      <c r="I46" s="60">
        <v>0.63</v>
      </c>
      <c r="J46" s="60">
        <v>0.47</v>
      </c>
      <c r="K46" s="60">
        <v>53.13</v>
      </c>
      <c r="L46" s="213" t="s">
        <v>35</v>
      </c>
      <c r="M46" s="213" t="s">
        <v>35</v>
      </c>
      <c r="N46" s="60">
        <v>583.29999999999995</v>
      </c>
      <c r="O46" s="60">
        <v>0</v>
      </c>
      <c r="P46" s="60">
        <v>1.74</v>
      </c>
      <c r="Q46" s="60">
        <v>144.59</v>
      </c>
      <c r="R46" s="198"/>
      <c r="S46" s="198"/>
      <c r="T46" s="198"/>
      <c r="U46" s="198"/>
    </row>
    <row r="47" spans="1:21" s="12" customFormat="1" x14ac:dyDescent="0.25">
      <c r="A47" s="201" t="s">
        <v>1533</v>
      </c>
      <c r="B47" s="60">
        <v>25.29</v>
      </c>
      <c r="C47" s="60">
        <v>99.29</v>
      </c>
      <c r="D47" s="60">
        <v>75.069999999999993</v>
      </c>
      <c r="E47" s="60">
        <v>4.96</v>
      </c>
      <c r="F47" s="60">
        <v>1.07</v>
      </c>
      <c r="G47" s="60">
        <v>181.35</v>
      </c>
      <c r="H47" s="60">
        <v>92.09</v>
      </c>
      <c r="I47" s="60">
        <v>0.63</v>
      </c>
      <c r="J47" s="60">
        <v>0.71</v>
      </c>
      <c r="K47" s="60">
        <v>111.47</v>
      </c>
      <c r="L47" s="213" t="s">
        <v>35</v>
      </c>
      <c r="M47" s="213" t="s">
        <v>35</v>
      </c>
      <c r="N47" s="60">
        <v>614.70000000000005</v>
      </c>
      <c r="O47" s="60">
        <v>0</v>
      </c>
      <c r="P47" s="60">
        <v>1.68</v>
      </c>
      <c r="Q47" s="60">
        <v>152.32</v>
      </c>
      <c r="R47" s="198"/>
      <c r="S47" s="198"/>
      <c r="T47" s="198"/>
      <c r="U47" s="198"/>
    </row>
    <row r="48" spans="1:21" s="12" customFormat="1" x14ac:dyDescent="0.25">
      <c r="A48" s="201" t="s">
        <v>1534</v>
      </c>
      <c r="B48" s="60">
        <v>22.32</v>
      </c>
      <c r="C48" s="60">
        <v>96.42</v>
      </c>
      <c r="D48" s="60">
        <v>71.11</v>
      </c>
      <c r="E48" s="60">
        <v>5.26</v>
      </c>
      <c r="F48" s="60">
        <v>1.06</v>
      </c>
      <c r="G48" s="60">
        <v>175.12</v>
      </c>
      <c r="H48" s="60">
        <v>90.53</v>
      </c>
      <c r="I48" s="60">
        <v>0.64</v>
      </c>
      <c r="J48" s="60">
        <v>0.78</v>
      </c>
      <c r="K48" s="60">
        <v>146.12</v>
      </c>
      <c r="L48" s="213" t="s">
        <v>35</v>
      </c>
      <c r="M48" s="213" t="s">
        <v>35</v>
      </c>
      <c r="N48" s="60">
        <v>651.1</v>
      </c>
      <c r="O48" s="60">
        <v>0</v>
      </c>
      <c r="P48" s="60">
        <v>1.61</v>
      </c>
      <c r="Q48" s="60">
        <v>159.53</v>
      </c>
      <c r="R48" s="198"/>
      <c r="S48" s="198"/>
      <c r="T48" s="198"/>
      <c r="U48" s="198"/>
    </row>
    <row r="49" spans="1:21" s="12" customFormat="1" x14ac:dyDescent="0.25">
      <c r="A49" s="201" t="s">
        <v>1535</v>
      </c>
      <c r="B49" s="60">
        <v>18.97</v>
      </c>
      <c r="C49" s="60">
        <v>93.56</v>
      </c>
      <c r="D49" s="60">
        <v>66.849999999999994</v>
      </c>
      <c r="E49" s="60">
        <v>4.9800000000000004</v>
      </c>
      <c r="F49" s="60">
        <v>1.1399999999999999</v>
      </c>
      <c r="G49" s="60">
        <v>122.59</v>
      </c>
      <c r="H49" s="60">
        <v>74.540000000000006</v>
      </c>
      <c r="I49" s="60">
        <v>0.64</v>
      </c>
      <c r="J49" s="60">
        <v>0.61</v>
      </c>
      <c r="K49" s="60">
        <v>143.24</v>
      </c>
      <c r="L49" s="213" t="s">
        <v>35</v>
      </c>
      <c r="M49" s="213" t="s">
        <v>35</v>
      </c>
      <c r="N49" s="60">
        <v>664.7</v>
      </c>
      <c r="O49" s="60">
        <v>0</v>
      </c>
      <c r="P49" s="60">
        <v>1.53</v>
      </c>
      <c r="Q49" s="60">
        <v>158.38</v>
      </c>
      <c r="R49" s="198"/>
      <c r="S49" s="198"/>
      <c r="T49" s="198"/>
      <c r="U49" s="198"/>
    </row>
    <row r="50" spans="1:21" s="12" customFormat="1" x14ac:dyDescent="0.25">
      <c r="A50" s="201" t="s">
        <v>1536</v>
      </c>
      <c r="B50" s="60">
        <v>15.71</v>
      </c>
      <c r="C50" s="60">
        <v>90.45</v>
      </c>
      <c r="D50" s="60">
        <v>62.52</v>
      </c>
      <c r="E50" s="60">
        <v>4.46</v>
      </c>
      <c r="F50" s="60">
        <v>1.1200000000000001</v>
      </c>
      <c r="G50" s="60">
        <v>122.59</v>
      </c>
      <c r="H50" s="60">
        <v>74.540000000000006</v>
      </c>
      <c r="I50" s="60">
        <v>0.63</v>
      </c>
      <c r="J50" s="60">
        <v>0.63</v>
      </c>
      <c r="K50" s="60">
        <v>109.7</v>
      </c>
      <c r="L50" s="213" t="s">
        <v>35</v>
      </c>
      <c r="M50" s="213" t="s">
        <v>35</v>
      </c>
      <c r="N50" s="60">
        <v>680.1</v>
      </c>
      <c r="O50" s="60">
        <v>0</v>
      </c>
      <c r="P50" s="60">
        <v>1.46</v>
      </c>
      <c r="Q50" s="60">
        <v>158.75</v>
      </c>
      <c r="R50" s="198"/>
      <c r="S50" s="198"/>
      <c r="T50" s="198"/>
      <c r="U50" s="198"/>
    </row>
    <row r="51" spans="1:21" s="12" customFormat="1" x14ac:dyDescent="0.25">
      <c r="A51" s="201" t="s">
        <v>1537</v>
      </c>
      <c r="B51" s="60">
        <v>12.1</v>
      </c>
      <c r="C51" s="60">
        <v>88.76</v>
      </c>
      <c r="D51" s="60">
        <v>58.69</v>
      </c>
      <c r="E51" s="60">
        <v>5.08</v>
      </c>
      <c r="F51" s="60">
        <v>3.04</v>
      </c>
      <c r="G51" s="60">
        <v>122.59</v>
      </c>
      <c r="H51" s="60">
        <v>74.540000000000006</v>
      </c>
      <c r="I51" s="60">
        <v>0.61</v>
      </c>
      <c r="J51" s="60">
        <v>0.97</v>
      </c>
      <c r="K51" s="60">
        <v>113.2</v>
      </c>
      <c r="L51" s="213" t="s">
        <v>35</v>
      </c>
      <c r="M51" s="213" t="s">
        <v>35</v>
      </c>
      <c r="N51" s="60">
        <v>693.3</v>
      </c>
      <c r="O51" s="60">
        <v>0</v>
      </c>
      <c r="P51" s="60">
        <v>1.34</v>
      </c>
      <c r="Q51" s="60">
        <v>157.13</v>
      </c>
      <c r="R51" s="198"/>
      <c r="S51" s="198"/>
      <c r="T51" s="198"/>
      <c r="U51" s="198"/>
    </row>
    <row r="52" spans="1:21" s="12" customFormat="1" x14ac:dyDescent="0.25">
      <c r="A52" s="201" t="s">
        <v>1538</v>
      </c>
      <c r="B52" s="60">
        <v>7.51</v>
      </c>
      <c r="C52" s="60">
        <v>90.33</v>
      </c>
      <c r="D52" s="60">
        <v>55.88</v>
      </c>
      <c r="E52" s="60">
        <v>5.03</v>
      </c>
      <c r="F52" s="60">
        <v>3.14</v>
      </c>
      <c r="G52" s="60">
        <v>120.26</v>
      </c>
      <c r="H52" s="60">
        <v>73.540000000000006</v>
      </c>
      <c r="I52" s="60">
        <v>0.57999999999999996</v>
      </c>
      <c r="J52" s="60">
        <v>0.98</v>
      </c>
      <c r="K52" s="60">
        <v>127.05</v>
      </c>
      <c r="L52" s="213" t="s">
        <v>35</v>
      </c>
      <c r="M52" s="213" t="s">
        <v>35</v>
      </c>
      <c r="N52" s="60">
        <v>708.5</v>
      </c>
      <c r="O52" s="60">
        <v>0</v>
      </c>
      <c r="P52" s="60">
        <v>1.21</v>
      </c>
      <c r="Q52" s="60">
        <v>150.91999999999999</v>
      </c>
      <c r="R52" s="198"/>
      <c r="S52" s="198"/>
      <c r="T52" s="198"/>
      <c r="U52" s="198"/>
    </row>
    <row r="53" spans="1:21" s="12" customFormat="1" x14ac:dyDescent="0.25">
      <c r="A53" s="201" t="s">
        <v>1539</v>
      </c>
      <c r="B53" s="60">
        <v>5.01</v>
      </c>
      <c r="C53" s="60">
        <v>90.34</v>
      </c>
      <c r="D53" s="60">
        <v>53.88</v>
      </c>
      <c r="E53" s="60">
        <v>6.09</v>
      </c>
      <c r="F53" s="60">
        <v>5.08</v>
      </c>
      <c r="G53" s="60">
        <v>100.64</v>
      </c>
      <c r="H53" s="60">
        <v>63.38</v>
      </c>
      <c r="I53" s="60">
        <v>0.54</v>
      </c>
      <c r="J53" s="60">
        <v>1.96</v>
      </c>
      <c r="K53" s="60">
        <v>123.07</v>
      </c>
      <c r="L53" s="213" t="s">
        <v>35</v>
      </c>
      <c r="M53" s="213" t="s">
        <v>35</v>
      </c>
      <c r="N53" s="60">
        <v>735.4</v>
      </c>
      <c r="O53" s="60">
        <v>0</v>
      </c>
      <c r="P53" s="60">
        <v>1.06</v>
      </c>
      <c r="Q53" s="60">
        <v>141.94999999999999</v>
      </c>
      <c r="R53" s="198"/>
      <c r="S53" s="198"/>
      <c r="T53" s="198"/>
      <c r="U53" s="198"/>
    </row>
    <row r="54" spans="1:21" s="12" customFormat="1" x14ac:dyDescent="0.25">
      <c r="A54" s="201" t="s">
        <v>1540</v>
      </c>
      <c r="B54" s="60">
        <v>2.61</v>
      </c>
      <c r="C54" s="60">
        <v>86.59</v>
      </c>
      <c r="D54" s="60">
        <v>49.88</v>
      </c>
      <c r="E54" s="60">
        <v>6.66</v>
      </c>
      <c r="F54" s="60">
        <v>6.46</v>
      </c>
      <c r="G54" s="60">
        <v>100.64</v>
      </c>
      <c r="H54" s="60">
        <v>63.38</v>
      </c>
      <c r="I54" s="60">
        <v>0.48</v>
      </c>
      <c r="J54" s="60">
        <v>0.54</v>
      </c>
      <c r="K54" s="60">
        <v>82.52</v>
      </c>
      <c r="L54" s="213" t="s">
        <v>35</v>
      </c>
      <c r="M54" s="213" t="s">
        <v>35</v>
      </c>
      <c r="N54" s="60">
        <v>724.9</v>
      </c>
      <c r="O54" s="60">
        <v>0</v>
      </c>
      <c r="P54" s="60">
        <v>0.91</v>
      </c>
      <c r="Q54" s="60">
        <v>133.5</v>
      </c>
      <c r="R54" s="198"/>
      <c r="S54" s="198"/>
      <c r="T54" s="198"/>
      <c r="U54" s="198"/>
    </row>
    <row r="55" spans="1:21" s="12" customFormat="1" x14ac:dyDescent="0.25">
      <c r="A55" s="201" t="s">
        <v>1541</v>
      </c>
      <c r="B55" s="60">
        <v>2.42</v>
      </c>
      <c r="C55" s="60">
        <v>86.09</v>
      </c>
      <c r="D55" s="60">
        <v>49.45</v>
      </c>
      <c r="E55" s="60">
        <v>9.42</v>
      </c>
      <c r="F55" s="60">
        <v>7.41</v>
      </c>
      <c r="G55" s="60">
        <v>100.64</v>
      </c>
      <c r="H55" s="60">
        <v>63.38</v>
      </c>
      <c r="I55" s="60">
        <v>0.44</v>
      </c>
      <c r="J55" s="60">
        <v>0.7</v>
      </c>
      <c r="K55" s="60">
        <v>49.79</v>
      </c>
      <c r="L55" s="213" t="s">
        <v>35</v>
      </c>
      <c r="M55" s="213" t="s">
        <v>35</v>
      </c>
      <c r="N55" s="60">
        <v>735.5</v>
      </c>
      <c r="O55" s="60">
        <v>0</v>
      </c>
      <c r="P55" s="60">
        <v>0.87</v>
      </c>
      <c r="Q55" s="60">
        <v>129.66</v>
      </c>
      <c r="R55" s="198"/>
      <c r="S55" s="198"/>
      <c r="T55" s="198"/>
      <c r="U55" s="198"/>
    </row>
    <row r="56" spans="1:21" s="12" customFormat="1" x14ac:dyDescent="0.25">
      <c r="A56" s="201" t="s">
        <v>1542</v>
      </c>
      <c r="B56" s="60">
        <v>3.4</v>
      </c>
      <c r="C56" s="60">
        <v>88.93</v>
      </c>
      <c r="D56" s="60">
        <v>51.81</v>
      </c>
      <c r="E56" s="60">
        <v>6.3</v>
      </c>
      <c r="F56" s="60">
        <v>8.7799999999999994</v>
      </c>
      <c r="G56" s="60">
        <v>101.13</v>
      </c>
      <c r="H56" s="60">
        <v>63.98</v>
      </c>
      <c r="I56" s="60">
        <v>0.35</v>
      </c>
      <c r="J56" s="60">
        <v>0.63</v>
      </c>
      <c r="K56" s="60">
        <v>102.6</v>
      </c>
      <c r="L56" s="213" t="s">
        <v>35</v>
      </c>
      <c r="M56" s="213" t="s">
        <v>35</v>
      </c>
      <c r="N56" s="60">
        <v>722.7</v>
      </c>
      <c r="O56" s="60">
        <v>0</v>
      </c>
      <c r="P56" s="60">
        <v>0.82</v>
      </c>
      <c r="Q56" s="60">
        <v>128.6</v>
      </c>
      <c r="R56" s="198"/>
      <c r="S56" s="198"/>
      <c r="T56" s="198"/>
      <c r="U56" s="198"/>
    </row>
    <row r="57" spans="1:21" s="12" customFormat="1" x14ac:dyDescent="0.25">
      <c r="A57" s="201" t="s">
        <v>1543</v>
      </c>
      <c r="B57" s="60">
        <v>2.4300000000000002</v>
      </c>
      <c r="C57" s="60">
        <v>86.26</v>
      </c>
      <c r="D57" s="60">
        <v>49.55</v>
      </c>
      <c r="E57" s="60">
        <v>7.43</v>
      </c>
      <c r="F57" s="60">
        <v>7.1</v>
      </c>
      <c r="G57" s="60">
        <v>105.3</v>
      </c>
      <c r="H57" s="60">
        <v>70.180000000000007</v>
      </c>
      <c r="I57" s="60">
        <v>0.32</v>
      </c>
      <c r="J57" s="60">
        <v>0.82</v>
      </c>
      <c r="K57" s="60">
        <v>52.76</v>
      </c>
      <c r="L57" s="213" t="s">
        <v>35</v>
      </c>
      <c r="M57" s="213" t="s">
        <v>35</v>
      </c>
      <c r="N57" s="60">
        <v>692.4</v>
      </c>
      <c r="O57" s="60">
        <v>0</v>
      </c>
      <c r="P57" s="60">
        <v>0.77</v>
      </c>
      <c r="Q57" s="60">
        <v>121.72</v>
      </c>
      <c r="R57" s="198"/>
      <c r="S57" s="198"/>
      <c r="T57" s="198"/>
      <c r="U57" s="198"/>
    </row>
    <row r="58" spans="1:21" s="12" customFormat="1" x14ac:dyDescent="0.25">
      <c r="A58" s="201" t="s">
        <v>1544</v>
      </c>
      <c r="B58" s="60">
        <v>5.03</v>
      </c>
      <c r="C58" s="60">
        <v>88.04</v>
      </c>
      <c r="D58" s="60">
        <v>52.62</v>
      </c>
      <c r="E58" s="60">
        <v>10.86</v>
      </c>
      <c r="F58" s="60">
        <v>14.96</v>
      </c>
      <c r="G58" s="60">
        <v>105.3</v>
      </c>
      <c r="H58" s="60">
        <v>70.180000000000007</v>
      </c>
      <c r="I58" s="60">
        <v>0.31</v>
      </c>
      <c r="J58" s="60">
        <v>1.22</v>
      </c>
      <c r="K58" s="60">
        <v>58.04</v>
      </c>
      <c r="L58" s="213" t="s">
        <v>35</v>
      </c>
      <c r="M58" s="213" t="s">
        <v>35</v>
      </c>
      <c r="N58" s="60">
        <v>682.1</v>
      </c>
      <c r="O58" s="60">
        <v>0</v>
      </c>
      <c r="P58" s="60">
        <v>0.78</v>
      </c>
      <c r="Q58" s="60">
        <v>117.01</v>
      </c>
      <c r="R58" s="198"/>
      <c r="S58" s="198"/>
      <c r="T58" s="198"/>
      <c r="U58" s="198"/>
    </row>
    <row r="59" spans="1:21" s="12" customFormat="1" x14ac:dyDescent="0.25">
      <c r="A59" s="201" t="s">
        <v>1545</v>
      </c>
      <c r="B59" s="60">
        <v>3.73</v>
      </c>
      <c r="C59" s="60">
        <v>91.8</v>
      </c>
      <c r="D59" s="60">
        <v>53.65</v>
      </c>
      <c r="E59" s="60">
        <v>10.74</v>
      </c>
      <c r="F59" s="60">
        <v>9.1199999999999992</v>
      </c>
      <c r="G59" s="60">
        <v>105.3</v>
      </c>
      <c r="H59" s="60">
        <v>70.180000000000007</v>
      </c>
      <c r="I59" s="60">
        <v>0.3</v>
      </c>
      <c r="J59" s="60">
        <v>0.74</v>
      </c>
      <c r="K59" s="60">
        <v>99.47</v>
      </c>
      <c r="L59" s="213" t="s">
        <v>35</v>
      </c>
      <c r="M59" s="213" t="s">
        <v>35</v>
      </c>
      <c r="N59" s="60">
        <v>684.1</v>
      </c>
      <c r="O59" s="60">
        <v>0</v>
      </c>
      <c r="P59" s="60">
        <v>0.76</v>
      </c>
      <c r="Q59" s="60">
        <v>115.33</v>
      </c>
      <c r="R59" s="198"/>
      <c r="S59" s="198"/>
      <c r="T59" s="198"/>
      <c r="U59" s="198"/>
    </row>
    <row r="60" spans="1:21" s="12" customFormat="1" x14ac:dyDescent="0.25">
      <c r="A60" s="201" t="s">
        <v>1546</v>
      </c>
      <c r="B60" s="60">
        <v>4.0199999999999996</v>
      </c>
      <c r="C60" s="60">
        <v>96.2</v>
      </c>
      <c r="D60" s="60">
        <v>56.32</v>
      </c>
      <c r="E60" s="60">
        <v>12.3</v>
      </c>
      <c r="F60" s="60">
        <v>7.92</v>
      </c>
      <c r="G60" s="60">
        <v>105.5</v>
      </c>
      <c r="H60" s="60">
        <v>69.47</v>
      </c>
      <c r="I60" s="60">
        <v>0.28000000000000003</v>
      </c>
      <c r="J60" s="60">
        <v>0.51</v>
      </c>
      <c r="K60" s="60">
        <v>78.05</v>
      </c>
      <c r="L60" s="213" t="s">
        <v>35</v>
      </c>
      <c r="M60" s="213" t="s">
        <v>35</v>
      </c>
      <c r="N60" s="60">
        <v>669.2</v>
      </c>
      <c r="O60" s="60">
        <v>0</v>
      </c>
      <c r="P60" s="60">
        <v>0.71</v>
      </c>
      <c r="Q60" s="60">
        <v>112.35</v>
      </c>
      <c r="R60" s="198"/>
      <c r="S60" s="198"/>
      <c r="T60" s="198"/>
      <c r="U60" s="198"/>
    </row>
    <row r="61" spans="1:21" s="12" customFormat="1" x14ac:dyDescent="0.25">
      <c r="A61" s="201" t="s">
        <v>1547</v>
      </c>
      <c r="B61" s="60">
        <v>8.94</v>
      </c>
      <c r="C61" s="60">
        <v>101.27</v>
      </c>
      <c r="D61" s="60">
        <v>63.06</v>
      </c>
      <c r="E61" s="60">
        <v>17.07</v>
      </c>
      <c r="F61" s="60">
        <v>9.6199999999999992</v>
      </c>
      <c r="G61" s="60">
        <v>107.2</v>
      </c>
      <c r="H61" s="60">
        <v>62.16</v>
      </c>
      <c r="I61" s="60">
        <v>0.28999999999999998</v>
      </c>
      <c r="J61" s="60">
        <v>0.69</v>
      </c>
      <c r="K61" s="60">
        <v>49.27</v>
      </c>
      <c r="L61" s="213" t="s">
        <v>35</v>
      </c>
      <c r="M61" s="213" t="s">
        <v>35</v>
      </c>
      <c r="N61" s="60">
        <v>637.29999999999995</v>
      </c>
      <c r="O61" s="60">
        <v>0</v>
      </c>
      <c r="P61" s="60">
        <v>0.71</v>
      </c>
      <c r="Q61" s="60">
        <v>109.44</v>
      </c>
      <c r="R61" s="198"/>
      <c r="S61" s="198"/>
      <c r="T61" s="198"/>
      <c r="U61" s="198"/>
    </row>
    <row r="62" spans="1:21" s="12" customFormat="1" x14ac:dyDescent="0.25">
      <c r="A62" s="201" t="s">
        <v>1548</v>
      </c>
      <c r="B62" s="60">
        <v>7.73</v>
      </c>
      <c r="C62" s="60">
        <v>112.02</v>
      </c>
      <c r="D62" s="60">
        <v>68.02</v>
      </c>
      <c r="E62" s="60">
        <v>26.27</v>
      </c>
      <c r="F62" s="60">
        <v>8.44</v>
      </c>
      <c r="G62" s="60">
        <v>107.2</v>
      </c>
      <c r="H62" s="60">
        <v>62.16</v>
      </c>
      <c r="I62" s="60">
        <v>0.27</v>
      </c>
      <c r="J62" s="60">
        <v>0.91</v>
      </c>
      <c r="K62" s="60">
        <v>40.03</v>
      </c>
      <c r="L62" s="213" t="s">
        <v>35</v>
      </c>
      <c r="M62" s="213" t="s">
        <v>35</v>
      </c>
      <c r="N62" s="60">
        <v>610</v>
      </c>
      <c r="O62" s="60">
        <v>0</v>
      </c>
      <c r="P62" s="60">
        <v>0.77</v>
      </c>
      <c r="Q62" s="60">
        <v>112.73</v>
      </c>
      <c r="R62" s="198"/>
      <c r="S62" s="198"/>
      <c r="T62" s="198"/>
      <c r="U62" s="198"/>
    </row>
    <row r="63" spans="1:21" s="12" customFormat="1" x14ac:dyDescent="0.25">
      <c r="A63" s="201" t="s">
        <v>1549</v>
      </c>
      <c r="B63" s="60">
        <v>7.42</v>
      </c>
      <c r="C63" s="60">
        <v>114.06</v>
      </c>
      <c r="D63" s="60">
        <v>68.900000000000006</v>
      </c>
      <c r="E63" s="60">
        <v>8.3000000000000007</v>
      </c>
      <c r="F63" s="60">
        <v>4.97</v>
      </c>
      <c r="G63" s="60">
        <v>107.2</v>
      </c>
      <c r="H63" s="60">
        <v>62.16</v>
      </c>
      <c r="I63" s="60">
        <v>0.28000000000000003</v>
      </c>
      <c r="J63" s="60">
        <v>1.23</v>
      </c>
      <c r="K63" s="60">
        <v>36.299999999999997</v>
      </c>
      <c r="L63" s="213" t="s">
        <v>35</v>
      </c>
      <c r="M63" s="213" t="s">
        <v>35</v>
      </c>
      <c r="N63" s="60">
        <v>585.5</v>
      </c>
      <c r="O63" s="60">
        <v>0</v>
      </c>
      <c r="P63" s="60">
        <v>0.8</v>
      </c>
      <c r="Q63" s="60">
        <v>104.28</v>
      </c>
      <c r="R63" s="198"/>
      <c r="S63" s="198"/>
      <c r="T63" s="198"/>
      <c r="U63" s="198"/>
    </row>
    <row r="64" spans="1:21" s="12" customFormat="1" x14ac:dyDescent="0.25">
      <c r="A64" s="201" t="s">
        <v>1550</v>
      </c>
      <c r="B64" s="60">
        <v>9.3699999999999992</v>
      </c>
      <c r="C64" s="60">
        <v>122.45</v>
      </c>
      <c r="D64" s="60">
        <v>75.09</v>
      </c>
      <c r="E64" s="60">
        <v>13.7</v>
      </c>
      <c r="F64" s="60">
        <v>6.57</v>
      </c>
      <c r="G64" s="60">
        <v>108.75</v>
      </c>
      <c r="H64" s="60">
        <v>61.63</v>
      </c>
      <c r="I64" s="60">
        <v>0.28000000000000003</v>
      </c>
      <c r="J64" s="60">
        <v>0.96</v>
      </c>
      <c r="K64" s="60">
        <v>72.400000000000006</v>
      </c>
      <c r="L64" s="213" t="s">
        <v>35</v>
      </c>
      <c r="M64" s="213" t="s">
        <v>35</v>
      </c>
      <c r="N64" s="60">
        <v>554</v>
      </c>
      <c r="O64" s="60">
        <v>0</v>
      </c>
      <c r="P64" s="60">
        <v>0.81</v>
      </c>
      <c r="Q64" s="60">
        <v>93.79</v>
      </c>
      <c r="R64" s="198"/>
      <c r="S64" s="198"/>
      <c r="T64" s="198"/>
      <c r="U64" s="198"/>
    </row>
    <row r="65" spans="1:21" s="12" customFormat="1" x14ac:dyDescent="0.25">
      <c r="A65" s="201" t="s">
        <v>1551</v>
      </c>
      <c r="B65" s="60">
        <v>8.3000000000000007</v>
      </c>
      <c r="C65" s="60">
        <v>120.73</v>
      </c>
      <c r="D65" s="60">
        <v>73.28</v>
      </c>
      <c r="E65" s="60">
        <v>11.58</v>
      </c>
      <c r="F65" s="60">
        <v>5.38</v>
      </c>
      <c r="G65" s="60">
        <v>121.84</v>
      </c>
      <c r="H65" s="60">
        <v>56.25</v>
      </c>
      <c r="I65" s="60">
        <v>0.28999999999999998</v>
      </c>
      <c r="J65" s="60">
        <v>0.99</v>
      </c>
      <c r="K65" s="60">
        <v>58.06</v>
      </c>
      <c r="L65" s="213" t="s">
        <v>35</v>
      </c>
      <c r="M65" s="213" t="s">
        <v>35</v>
      </c>
      <c r="N65" s="60">
        <v>514.9</v>
      </c>
      <c r="O65" s="60">
        <v>0</v>
      </c>
      <c r="P65" s="60">
        <v>0.8</v>
      </c>
      <c r="Q65" s="60">
        <v>87.21</v>
      </c>
      <c r="R65" s="198"/>
      <c r="S65" s="198"/>
      <c r="T65" s="198"/>
      <c r="U65" s="198"/>
    </row>
    <row r="66" spans="1:21" s="12" customFormat="1" x14ac:dyDescent="0.25">
      <c r="A66" s="201" t="s">
        <v>1552</v>
      </c>
      <c r="B66" s="60">
        <v>8.1999999999999993</v>
      </c>
      <c r="C66" s="60">
        <v>119.62</v>
      </c>
      <c r="D66" s="60">
        <v>72.59</v>
      </c>
      <c r="E66" s="60">
        <v>14.29</v>
      </c>
      <c r="F66" s="60">
        <v>8.6199999999999992</v>
      </c>
      <c r="G66" s="60">
        <v>121.84</v>
      </c>
      <c r="H66" s="60">
        <v>56.25</v>
      </c>
      <c r="I66" s="60">
        <v>0.27</v>
      </c>
      <c r="J66" s="60">
        <v>0.74</v>
      </c>
      <c r="K66" s="60">
        <v>63.61</v>
      </c>
      <c r="L66" s="213" t="s">
        <v>35</v>
      </c>
      <c r="M66" s="213" t="s">
        <v>35</v>
      </c>
      <c r="N66" s="60">
        <v>383.7</v>
      </c>
      <c r="O66" s="60">
        <v>0</v>
      </c>
      <c r="P66" s="60">
        <v>0.81</v>
      </c>
      <c r="Q66" s="60">
        <v>84.78</v>
      </c>
      <c r="R66" s="198"/>
      <c r="S66" s="198"/>
      <c r="T66" s="198"/>
      <c r="U66" s="198"/>
    </row>
    <row r="67" spans="1:21" s="12" customFormat="1" x14ac:dyDescent="0.25">
      <c r="A67" s="201" t="s">
        <v>1553</v>
      </c>
      <c r="B67" s="60">
        <v>8.91</v>
      </c>
      <c r="C67" s="60">
        <v>116.53</v>
      </c>
      <c r="D67" s="60">
        <v>71.45</v>
      </c>
      <c r="E67" s="60">
        <v>16.63</v>
      </c>
      <c r="F67" s="60">
        <v>14.53</v>
      </c>
      <c r="G67" s="60">
        <v>121.84</v>
      </c>
      <c r="H67" s="60">
        <v>56.25</v>
      </c>
      <c r="I67" s="60">
        <v>0.26</v>
      </c>
      <c r="J67" s="60">
        <v>0.88</v>
      </c>
      <c r="K67" s="60">
        <v>37.26</v>
      </c>
      <c r="L67" s="213" t="s">
        <v>35</v>
      </c>
      <c r="M67" s="213" t="s">
        <v>35</v>
      </c>
      <c r="N67" s="60">
        <v>244.6</v>
      </c>
      <c r="O67" s="60">
        <v>0</v>
      </c>
      <c r="P67" s="60">
        <v>0.79</v>
      </c>
      <c r="Q67" s="60">
        <v>81.03</v>
      </c>
      <c r="R67" s="198"/>
      <c r="S67" s="198"/>
      <c r="T67" s="198"/>
      <c r="U67" s="198"/>
    </row>
    <row r="68" spans="1:21" s="12" customFormat="1" x14ac:dyDescent="0.25">
      <c r="A68" s="201" t="s">
        <v>1554</v>
      </c>
      <c r="B68" s="60">
        <v>9.0500000000000007</v>
      </c>
      <c r="C68" s="60">
        <v>120.25</v>
      </c>
      <c r="D68" s="60">
        <v>73.62</v>
      </c>
      <c r="E68" s="60">
        <v>15.64</v>
      </c>
      <c r="F68" s="60">
        <v>13.8</v>
      </c>
      <c r="G68" s="60">
        <v>119.55</v>
      </c>
      <c r="H68" s="60">
        <v>55.73</v>
      </c>
      <c r="I68" s="60">
        <v>0.26</v>
      </c>
      <c r="J68" s="60">
        <v>0.82</v>
      </c>
      <c r="K68" s="60">
        <v>66.17</v>
      </c>
      <c r="L68" s="213" t="s">
        <v>35</v>
      </c>
      <c r="M68" s="213" t="s">
        <v>35</v>
      </c>
      <c r="N68" s="60">
        <v>134.69999999999999</v>
      </c>
      <c r="O68" s="60">
        <v>0</v>
      </c>
      <c r="P68" s="60">
        <v>0.79</v>
      </c>
      <c r="Q68" s="60">
        <v>79.61</v>
      </c>
      <c r="R68" s="198"/>
      <c r="S68" s="198"/>
      <c r="T68" s="198"/>
      <c r="U68" s="198"/>
    </row>
    <row r="69" spans="1:21" s="12" customFormat="1" x14ac:dyDescent="0.25">
      <c r="A69" s="201" t="s">
        <v>1555</v>
      </c>
      <c r="B69" s="60">
        <v>7.4</v>
      </c>
      <c r="C69" s="60">
        <v>121.34</v>
      </c>
      <c r="D69" s="60">
        <v>72.900000000000006</v>
      </c>
      <c r="E69" s="60">
        <v>23.52</v>
      </c>
      <c r="F69" s="60">
        <v>21.19</v>
      </c>
      <c r="G69" s="60">
        <v>100.22</v>
      </c>
      <c r="H69" s="60">
        <v>50.45</v>
      </c>
      <c r="I69" s="60">
        <v>0.24</v>
      </c>
      <c r="J69" s="60">
        <v>1.02</v>
      </c>
      <c r="K69" s="60">
        <v>29.38</v>
      </c>
      <c r="L69" s="213" t="s">
        <v>35</v>
      </c>
      <c r="M69" s="213" t="s">
        <v>35</v>
      </c>
      <c r="N69" s="60">
        <v>124.8</v>
      </c>
      <c r="O69" s="60">
        <v>0</v>
      </c>
      <c r="P69" s="60">
        <v>0.76</v>
      </c>
      <c r="Q69" s="60">
        <v>81.47</v>
      </c>
      <c r="R69" s="198"/>
      <c r="S69" s="198"/>
      <c r="T69" s="198"/>
      <c r="U69" s="198"/>
    </row>
    <row r="70" spans="1:21" s="12" customFormat="1" x14ac:dyDescent="0.25">
      <c r="A70" s="201" t="s">
        <v>1556</v>
      </c>
      <c r="B70" s="60">
        <v>8.02</v>
      </c>
      <c r="C70" s="60">
        <v>128.58000000000001</v>
      </c>
      <c r="D70" s="60">
        <v>77.39</v>
      </c>
      <c r="E70" s="60">
        <v>28.4</v>
      </c>
      <c r="F70" s="60">
        <v>17.11</v>
      </c>
      <c r="G70" s="60">
        <v>100.22</v>
      </c>
      <c r="H70" s="60">
        <v>50.45</v>
      </c>
      <c r="I70" s="60">
        <v>0.23</v>
      </c>
      <c r="J70" s="60">
        <v>0.64</v>
      </c>
      <c r="K70" s="60">
        <v>54.01</v>
      </c>
      <c r="L70" s="213" t="s">
        <v>35</v>
      </c>
      <c r="M70" s="213" t="s">
        <v>35</v>
      </c>
      <c r="N70" s="60">
        <v>101.1</v>
      </c>
      <c r="O70" s="60">
        <v>0</v>
      </c>
      <c r="P70" s="60">
        <v>0.82</v>
      </c>
      <c r="Q70" s="60">
        <v>91.16</v>
      </c>
      <c r="R70" s="198"/>
      <c r="S70" s="198"/>
      <c r="T70" s="198"/>
      <c r="U70" s="198"/>
    </row>
    <row r="71" spans="1:21" s="12" customFormat="1" x14ac:dyDescent="0.25">
      <c r="A71" s="201" t="s">
        <v>1557</v>
      </c>
      <c r="B71" s="60">
        <v>5.49</v>
      </c>
      <c r="C71" s="60">
        <v>122.97</v>
      </c>
      <c r="D71" s="60">
        <v>72.27</v>
      </c>
      <c r="E71" s="60">
        <v>27.11</v>
      </c>
      <c r="F71" s="60">
        <v>11.07</v>
      </c>
      <c r="G71" s="60">
        <v>100.22</v>
      </c>
      <c r="H71" s="60">
        <v>50.45</v>
      </c>
      <c r="I71" s="60">
        <v>0.22</v>
      </c>
      <c r="J71" s="60">
        <v>0.9</v>
      </c>
      <c r="K71" s="60">
        <v>91.42</v>
      </c>
      <c r="L71" s="213" t="s">
        <v>35</v>
      </c>
      <c r="M71" s="213" t="s">
        <v>35</v>
      </c>
      <c r="N71" s="60">
        <v>94.4</v>
      </c>
      <c r="O71" s="60">
        <v>0</v>
      </c>
      <c r="P71" s="60">
        <v>0.8</v>
      </c>
      <c r="Q71" s="60">
        <v>100.77</v>
      </c>
      <c r="R71" s="198"/>
      <c r="S71" s="198"/>
      <c r="T71" s="198"/>
      <c r="U71" s="198"/>
    </row>
    <row r="72" spans="1:21" s="12" customFormat="1" x14ac:dyDescent="0.25">
      <c r="A72" s="201" t="s">
        <v>1558</v>
      </c>
      <c r="B72" s="60">
        <v>5.62</v>
      </c>
      <c r="C72" s="60">
        <v>119.85</v>
      </c>
      <c r="D72" s="60">
        <v>70.650000000000006</v>
      </c>
      <c r="E72" s="60">
        <v>17.649999999999999</v>
      </c>
      <c r="F72" s="60">
        <v>13.43</v>
      </c>
      <c r="G72" s="60">
        <v>102.5</v>
      </c>
      <c r="H72" s="60">
        <v>50.19</v>
      </c>
      <c r="I72" s="60">
        <v>0.23</v>
      </c>
      <c r="J72" s="60">
        <v>0.86</v>
      </c>
      <c r="K72" s="60">
        <v>104.1</v>
      </c>
      <c r="L72" s="213" t="s">
        <v>35</v>
      </c>
      <c r="M72" s="213" t="s">
        <v>35</v>
      </c>
      <c r="N72" s="60">
        <v>83.2</v>
      </c>
      <c r="O72" s="60">
        <v>0</v>
      </c>
      <c r="P72" s="60">
        <v>0.79</v>
      </c>
      <c r="Q72" s="60">
        <v>108.21</v>
      </c>
      <c r="R72" s="198"/>
      <c r="S72" s="198"/>
      <c r="T72" s="198"/>
      <c r="U72" s="198"/>
    </row>
    <row r="73" spans="1:21" s="12" customFormat="1" x14ac:dyDescent="0.25">
      <c r="A73" s="201" t="s">
        <v>1559</v>
      </c>
      <c r="B73" s="60">
        <v>3.9</v>
      </c>
      <c r="C73" s="60">
        <v>117.02</v>
      </c>
      <c r="D73" s="60">
        <v>67.709999999999994</v>
      </c>
      <c r="E73" s="60">
        <v>26.64</v>
      </c>
      <c r="F73" s="60">
        <v>10.52</v>
      </c>
      <c r="G73" s="60">
        <v>121.72</v>
      </c>
      <c r="H73" s="60">
        <v>47.48</v>
      </c>
      <c r="I73" s="60">
        <v>0.25</v>
      </c>
      <c r="J73" s="60">
        <v>1.04</v>
      </c>
      <c r="K73" s="60">
        <v>113.42</v>
      </c>
      <c r="L73" s="213" t="s">
        <v>35</v>
      </c>
      <c r="M73" s="213" t="s">
        <v>35</v>
      </c>
      <c r="N73" s="60">
        <v>66.7</v>
      </c>
      <c r="O73" s="60">
        <v>0</v>
      </c>
      <c r="P73" s="60">
        <v>0.73</v>
      </c>
      <c r="Q73" s="60">
        <v>111.69</v>
      </c>
      <c r="R73" s="198"/>
      <c r="S73" s="198"/>
      <c r="T73" s="198"/>
      <c r="U73" s="198"/>
    </row>
    <row r="74" spans="1:21" s="12" customFormat="1" x14ac:dyDescent="0.25">
      <c r="A74" s="201" t="s">
        <v>1560</v>
      </c>
      <c r="B74" s="60">
        <v>4.84</v>
      </c>
      <c r="C74" s="60">
        <v>121.74</v>
      </c>
      <c r="D74" s="60">
        <v>71.06</v>
      </c>
      <c r="E74" s="60">
        <v>23.28</v>
      </c>
      <c r="F74" s="60">
        <v>8.73</v>
      </c>
      <c r="G74" s="60">
        <v>121.72</v>
      </c>
      <c r="H74" s="60">
        <v>47.48</v>
      </c>
      <c r="I74" s="60">
        <v>0.25</v>
      </c>
      <c r="J74" s="60">
        <v>0.76</v>
      </c>
      <c r="K74" s="60">
        <v>103.51</v>
      </c>
      <c r="L74" s="213" t="s">
        <v>35</v>
      </c>
      <c r="M74" s="213" t="s">
        <v>35</v>
      </c>
      <c r="N74" s="60">
        <v>55.5</v>
      </c>
      <c r="O74" s="60">
        <v>0</v>
      </c>
      <c r="P74" s="60">
        <v>0.74</v>
      </c>
      <c r="Q74" s="60">
        <v>115.94</v>
      </c>
      <c r="R74" s="198"/>
      <c r="S74" s="198"/>
      <c r="T74" s="198"/>
      <c r="U74" s="198"/>
    </row>
    <row r="75" spans="1:21" s="12" customFormat="1" x14ac:dyDescent="0.25">
      <c r="A75" s="201" t="s">
        <v>1561</v>
      </c>
      <c r="B75" s="60">
        <v>3.63</v>
      </c>
      <c r="C75" s="60">
        <v>129.43</v>
      </c>
      <c r="D75" s="60">
        <v>74.34</v>
      </c>
      <c r="E75" s="60">
        <v>31.17</v>
      </c>
      <c r="F75" s="60">
        <v>10.32</v>
      </c>
      <c r="G75" s="60">
        <v>121.72</v>
      </c>
      <c r="H75" s="60">
        <v>47.48</v>
      </c>
      <c r="I75" s="60">
        <v>0.26</v>
      </c>
      <c r="J75" s="60">
        <v>0.5</v>
      </c>
      <c r="K75" s="60">
        <v>105.09</v>
      </c>
      <c r="L75" s="213" t="s">
        <v>35</v>
      </c>
      <c r="M75" s="213" t="s">
        <v>35</v>
      </c>
      <c r="N75" s="60">
        <v>44.4</v>
      </c>
      <c r="O75" s="60">
        <v>0</v>
      </c>
      <c r="P75" s="60">
        <v>0.71</v>
      </c>
      <c r="Q75" s="60">
        <v>114.82</v>
      </c>
      <c r="R75" s="198"/>
      <c r="S75" s="198"/>
      <c r="T75" s="198"/>
      <c r="U75" s="198"/>
    </row>
    <row r="76" spans="1:21" s="12" customFormat="1" x14ac:dyDescent="0.25">
      <c r="A76" s="201" t="s">
        <v>1562</v>
      </c>
      <c r="B76" s="60">
        <v>2.5299999999999998</v>
      </c>
      <c r="C76" s="60">
        <v>130.76</v>
      </c>
      <c r="D76" s="60">
        <v>74.2</v>
      </c>
      <c r="E76" s="60">
        <v>33.36</v>
      </c>
      <c r="F76" s="60">
        <v>11.74</v>
      </c>
      <c r="G76" s="60">
        <v>119</v>
      </c>
      <c r="H76" s="60">
        <v>47.09</v>
      </c>
      <c r="I76" s="60">
        <v>0.26</v>
      </c>
      <c r="J76" s="60">
        <v>0.41</v>
      </c>
      <c r="K76" s="60">
        <v>105.18</v>
      </c>
      <c r="L76" s="213" t="s">
        <v>35</v>
      </c>
      <c r="M76" s="213" t="s">
        <v>35</v>
      </c>
      <c r="N76" s="60">
        <v>33.4</v>
      </c>
      <c r="O76" s="60">
        <v>0</v>
      </c>
      <c r="P76" s="60">
        <v>0.7</v>
      </c>
      <c r="Q76" s="60">
        <v>112.71</v>
      </c>
      <c r="R76" s="198"/>
      <c r="S76" s="198"/>
      <c r="T76" s="198"/>
      <c r="U76" s="198"/>
    </row>
    <row r="77" spans="1:21" s="12" customFormat="1" x14ac:dyDescent="0.25">
      <c r="A77" s="201" t="s">
        <v>1563</v>
      </c>
      <c r="B77" s="60">
        <v>3.49</v>
      </c>
      <c r="C77" s="60">
        <v>134.53</v>
      </c>
      <c r="D77" s="60">
        <v>77.040000000000006</v>
      </c>
      <c r="E77" s="60">
        <v>31.7</v>
      </c>
      <c r="F77" s="60">
        <v>11.6</v>
      </c>
      <c r="G77" s="60">
        <v>96.15</v>
      </c>
      <c r="H77" s="60">
        <v>43.08</v>
      </c>
      <c r="I77" s="60">
        <v>0.25</v>
      </c>
      <c r="J77" s="60">
        <v>0.31</v>
      </c>
      <c r="K77" s="60">
        <v>72.5</v>
      </c>
      <c r="L77" s="213" t="s">
        <v>35</v>
      </c>
      <c r="M77" s="213" t="s">
        <v>35</v>
      </c>
      <c r="N77" s="60">
        <v>24.7</v>
      </c>
      <c r="O77" s="60">
        <v>0</v>
      </c>
      <c r="P77" s="60">
        <v>0.76</v>
      </c>
      <c r="Q77" s="60">
        <v>103.8</v>
      </c>
      <c r="R77" s="198"/>
      <c r="S77" s="198"/>
      <c r="T77" s="198"/>
      <c r="U77" s="198"/>
    </row>
    <row r="78" spans="1:21" s="12" customFormat="1" x14ac:dyDescent="0.25">
      <c r="A78" s="201" t="s">
        <v>1564</v>
      </c>
      <c r="B78" s="60">
        <v>15.22</v>
      </c>
      <c r="C78" s="60">
        <v>157.32</v>
      </c>
      <c r="D78" s="60">
        <v>99.02</v>
      </c>
      <c r="E78" s="60">
        <v>29.57</v>
      </c>
      <c r="F78" s="60">
        <v>6.14</v>
      </c>
      <c r="G78" s="60">
        <v>96.15</v>
      </c>
      <c r="H78" s="60">
        <v>43.08</v>
      </c>
      <c r="I78" s="60">
        <v>0.25</v>
      </c>
      <c r="J78" s="60">
        <v>0.15</v>
      </c>
      <c r="K78" s="60">
        <v>79.430000000000007</v>
      </c>
      <c r="L78" s="213" t="s">
        <v>35</v>
      </c>
      <c r="M78" s="213" t="s">
        <v>35</v>
      </c>
      <c r="N78" s="60">
        <v>20.2</v>
      </c>
      <c r="O78" s="60">
        <v>0</v>
      </c>
      <c r="P78" s="60">
        <v>0.97</v>
      </c>
      <c r="Q78" s="60">
        <v>94.74</v>
      </c>
      <c r="R78" s="198"/>
      <c r="S78" s="198"/>
      <c r="T78" s="198"/>
      <c r="U78" s="198"/>
    </row>
    <row r="79" spans="1:21" s="12" customFormat="1" x14ac:dyDescent="0.25">
      <c r="A79" s="201" t="s">
        <v>1565</v>
      </c>
      <c r="B79" s="60">
        <v>10.42</v>
      </c>
      <c r="C79" s="60">
        <v>132.41</v>
      </c>
      <c r="D79" s="60">
        <v>81.430000000000007</v>
      </c>
      <c r="E79" s="60">
        <v>7.3</v>
      </c>
      <c r="F79" s="60">
        <v>1.35</v>
      </c>
      <c r="G79" s="60">
        <v>96.15</v>
      </c>
      <c r="H79" s="60">
        <v>43.08</v>
      </c>
      <c r="I79" s="60">
        <v>0.26</v>
      </c>
      <c r="J79" s="60">
        <v>7.0000000000000007E-2</v>
      </c>
      <c r="K79" s="60">
        <v>17.38</v>
      </c>
      <c r="L79" s="213" t="s">
        <v>35</v>
      </c>
      <c r="M79" s="213" t="s">
        <v>35</v>
      </c>
      <c r="N79" s="60">
        <v>18.899999999999999</v>
      </c>
      <c r="O79" s="60">
        <v>0</v>
      </c>
      <c r="P79" s="60">
        <v>0.89</v>
      </c>
      <c r="Q79" s="60">
        <v>94.36</v>
      </c>
      <c r="R79" s="198"/>
      <c r="S79" s="198"/>
      <c r="T79" s="198"/>
      <c r="U79" s="198"/>
    </row>
    <row r="80" spans="1:21" s="12" customFormat="1" x14ac:dyDescent="0.25">
      <c r="A80" s="201" t="s">
        <v>1566</v>
      </c>
      <c r="B80" s="60">
        <v>20.34</v>
      </c>
      <c r="C80" s="60">
        <v>140.53</v>
      </c>
      <c r="D80" s="60">
        <v>93.87</v>
      </c>
      <c r="E80" s="60">
        <v>4.79</v>
      </c>
      <c r="F80" s="60">
        <v>0.72</v>
      </c>
      <c r="G80" s="60">
        <v>118.38</v>
      </c>
      <c r="H80" s="60">
        <v>44.88</v>
      </c>
      <c r="I80" s="60">
        <v>0.32</v>
      </c>
      <c r="J80" s="60">
        <v>0.12</v>
      </c>
      <c r="K80" s="60">
        <v>7.06</v>
      </c>
      <c r="L80" s="213" t="s">
        <v>35</v>
      </c>
      <c r="M80" s="213" t="s">
        <v>35</v>
      </c>
      <c r="N80" s="60">
        <v>18.5</v>
      </c>
      <c r="O80" s="60">
        <v>0</v>
      </c>
      <c r="P80" s="60">
        <v>1.02</v>
      </c>
      <c r="Q80" s="60">
        <v>101.41</v>
      </c>
      <c r="R80" s="198"/>
      <c r="S80" s="198"/>
      <c r="T80" s="198"/>
      <c r="U80" s="198"/>
    </row>
    <row r="81" spans="1:26" s="12" customFormat="1" x14ac:dyDescent="0.25">
      <c r="A81" s="201" t="s">
        <v>1567</v>
      </c>
      <c r="B81" s="60">
        <v>27.73</v>
      </c>
      <c r="C81" s="60">
        <v>147.26</v>
      </c>
      <c r="D81" s="60">
        <v>103.51</v>
      </c>
      <c r="E81" s="60">
        <v>4.25</v>
      </c>
      <c r="F81" s="60">
        <v>0.97</v>
      </c>
      <c r="G81" s="218" t="s">
        <v>42</v>
      </c>
      <c r="H81" s="218" t="s">
        <v>42</v>
      </c>
      <c r="I81" s="60">
        <v>0.34</v>
      </c>
      <c r="J81" s="60">
        <v>0.06</v>
      </c>
      <c r="K81" s="60">
        <v>324.24</v>
      </c>
      <c r="L81" s="213" t="s">
        <v>35</v>
      </c>
      <c r="M81" s="213" t="s">
        <v>35</v>
      </c>
      <c r="N81" s="60">
        <v>18.5</v>
      </c>
      <c r="O81" s="60">
        <v>0</v>
      </c>
      <c r="P81" s="60">
        <v>1.1399999999999999</v>
      </c>
      <c r="Q81" s="60">
        <v>107.76</v>
      </c>
      <c r="R81" s="198"/>
      <c r="S81" s="198"/>
      <c r="T81" s="198"/>
      <c r="U81" s="198"/>
    </row>
    <row r="82" spans="1:26" s="12" customFormat="1" x14ac:dyDescent="0.25">
      <c r="A82" s="201" t="s">
        <v>1568</v>
      </c>
      <c r="B82" s="60">
        <v>40.44</v>
      </c>
      <c r="C82" s="60">
        <v>153.97</v>
      </c>
      <c r="D82" s="60">
        <v>117.4</v>
      </c>
      <c r="E82" s="60">
        <v>4.4000000000000004</v>
      </c>
      <c r="F82" s="60">
        <v>1.07</v>
      </c>
      <c r="G82" s="218" t="s">
        <v>42</v>
      </c>
      <c r="H82" s="218" t="s">
        <v>42</v>
      </c>
      <c r="I82" s="60">
        <v>0.38</v>
      </c>
      <c r="J82" s="60">
        <v>0.06</v>
      </c>
      <c r="K82" s="60">
        <v>76.55</v>
      </c>
      <c r="L82" s="213" t="s">
        <v>35</v>
      </c>
      <c r="M82" s="213" t="s">
        <v>35</v>
      </c>
      <c r="N82" s="60">
        <v>18.399999999999999</v>
      </c>
      <c r="O82" s="60">
        <v>0</v>
      </c>
      <c r="P82" s="60">
        <v>1.3</v>
      </c>
      <c r="Q82" s="60">
        <v>117</v>
      </c>
      <c r="R82" s="198"/>
      <c r="S82" s="198"/>
      <c r="T82" s="198"/>
      <c r="U82" s="198"/>
    </row>
    <row r="83" spans="1:26" s="12" customFormat="1" x14ac:dyDescent="0.25">
      <c r="A83" s="201" t="s">
        <v>1569</v>
      </c>
      <c r="B83" s="60">
        <v>45.69</v>
      </c>
      <c r="C83" s="60">
        <v>153.52000000000001</v>
      </c>
      <c r="D83" s="60">
        <v>121.37</v>
      </c>
      <c r="E83" s="60">
        <v>4.57</v>
      </c>
      <c r="F83" s="60">
        <v>0.94</v>
      </c>
      <c r="G83" s="218" t="s">
        <v>42</v>
      </c>
      <c r="H83" s="218" t="s">
        <v>42</v>
      </c>
      <c r="I83" s="60">
        <v>0.45</v>
      </c>
      <c r="J83" s="60">
        <v>0.03</v>
      </c>
      <c r="K83" s="60">
        <v>342.2</v>
      </c>
      <c r="L83" s="213" t="s">
        <v>35</v>
      </c>
      <c r="M83" s="213" t="s">
        <v>35</v>
      </c>
      <c r="N83" s="60">
        <v>18.399999999999999</v>
      </c>
      <c r="O83" s="60">
        <v>0</v>
      </c>
      <c r="P83" s="60">
        <v>1.42</v>
      </c>
      <c r="Q83" s="60">
        <v>130.75</v>
      </c>
      <c r="R83" s="198"/>
      <c r="S83" s="198"/>
      <c r="T83" s="198"/>
      <c r="U83" s="198"/>
    </row>
    <row r="84" spans="1:26" s="12" customFormat="1" x14ac:dyDescent="0.25">
      <c r="A84" s="201" t="s">
        <v>1570</v>
      </c>
      <c r="B84" s="60">
        <v>53.28</v>
      </c>
      <c r="C84" s="60">
        <v>160.47</v>
      </c>
      <c r="D84" s="60">
        <v>131.29</v>
      </c>
      <c r="E84" s="60">
        <v>4.7699999999999996</v>
      </c>
      <c r="F84" s="60">
        <v>0.66</v>
      </c>
      <c r="G84" s="218" t="s">
        <v>42</v>
      </c>
      <c r="H84" s="218" t="s">
        <v>42</v>
      </c>
      <c r="I84" s="60">
        <v>0.56999999999999995</v>
      </c>
      <c r="J84" s="60">
        <v>0.06</v>
      </c>
      <c r="K84" s="60">
        <v>29.41</v>
      </c>
      <c r="L84" s="213" t="s">
        <v>35</v>
      </c>
      <c r="M84" s="213" t="s">
        <v>35</v>
      </c>
      <c r="N84" s="60">
        <v>18.600000000000001</v>
      </c>
      <c r="O84" s="60">
        <v>0</v>
      </c>
      <c r="P84" s="60">
        <v>1.52</v>
      </c>
      <c r="Q84" s="60">
        <v>144.88999999999999</v>
      </c>
      <c r="R84" s="198"/>
      <c r="S84" s="198"/>
      <c r="T84" s="198"/>
      <c r="U84" s="198"/>
    </row>
    <row r="85" spans="1:26" s="12" customFormat="1" x14ac:dyDescent="0.25">
      <c r="A85" s="201" t="s">
        <v>1571</v>
      </c>
      <c r="B85" s="60">
        <v>59.15</v>
      </c>
      <c r="C85" s="60">
        <v>165.15</v>
      </c>
      <c r="D85" s="60">
        <v>138.58000000000001</v>
      </c>
      <c r="E85" s="60">
        <v>4.58</v>
      </c>
      <c r="F85" s="60">
        <v>0.34</v>
      </c>
      <c r="G85" s="218" t="s">
        <v>42</v>
      </c>
      <c r="H85" s="218" t="s">
        <v>42</v>
      </c>
      <c r="I85" s="60">
        <v>0.65</v>
      </c>
      <c r="J85" s="60">
        <v>0.06</v>
      </c>
      <c r="K85" s="60">
        <v>48.15</v>
      </c>
      <c r="L85" s="213" t="s">
        <v>35</v>
      </c>
      <c r="M85" s="213" t="s">
        <v>35</v>
      </c>
      <c r="N85" s="60">
        <v>18.3</v>
      </c>
      <c r="O85" s="60">
        <v>0</v>
      </c>
      <c r="P85" s="60">
        <v>1.41</v>
      </c>
      <c r="Q85" s="60">
        <v>152.03</v>
      </c>
      <c r="R85" s="198"/>
      <c r="S85" s="198"/>
      <c r="T85" s="198"/>
      <c r="U85" s="198"/>
    </row>
    <row r="86" spans="1:26" s="12" customFormat="1" x14ac:dyDescent="0.25">
      <c r="A86" s="201" t="s">
        <v>1572</v>
      </c>
      <c r="B86" s="60">
        <v>69.17</v>
      </c>
      <c r="C86" s="60">
        <v>173.5</v>
      </c>
      <c r="D86" s="60">
        <v>151.22</v>
      </c>
      <c r="E86" s="60">
        <v>4.71</v>
      </c>
      <c r="F86" s="60">
        <v>0.44</v>
      </c>
      <c r="G86" s="218" t="s">
        <v>42</v>
      </c>
      <c r="H86" s="218" t="s">
        <v>42</v>
      </c>
      <c r="I86" s="60">
        <v>0.72</v>
      </c>
      <c r="J86" s="60">
        <v>0.04</v>
      </c>
      <c r="K86" s="60">
        <v>31.1</v>
      </c>
      <c r="L86" s="213" t="s">
        <v>35</v>
      </c>
      <c r="M86" s="213" t="s">
        <v>35</v>
      </c>
      <c r="N86" s="60">
        <v>18.3</v>
      </c>
      <c r="O86" s="60">
        <v>0</v>
      </c>
      <c r="P86" s="60">
        <v>1.58</v>
      </c>
      <c r="Q86" s="60">
        <v>162.94999999999999</v>
      </c>
      <c r="R86" s="198"/>
      <c r="S86" s="198"/>
      <c r="T86" s="198"/>
      <c r="U86" s="198"/>
    </row>
    <row r="87" spans="1:26" s="12" customFormat="1" x14ac:dyDescent="0.25">
      <c r="A87" s="201" t="s">
        <v>1573</v>
      </c>
      <c r="B87" s="60">
        <v>82.38</v>
      </c>
      <c r="C87" s="60">
        <v>180.43</v>
      </c>
      <c r="D87" s="60">
        <v>165.64</v>
      </c>
      <c r="E87" s="60">
        <v>4.59</v>
      </c>
      <c r="F87" s="60">
        <v>0.64</v>
      </c>
      <c r="G87" s="218" t="s">
        <v>42</v>
      </c>
      <c r="H87" s="218" t="s">
        <v>42</v>
      </c>
      <c r="I87" s="60">
        <v>0.79</v>
      </c>
      <c r="J87" s="60">
        <v>0.19</v>
      </c>
      <c r="K87" s="60">
        <v>354.76</v>
      </c>
      <c r="L87" s="213" t="s">
        <v>35</v>
      </c>
      <c r="M87" s="213" t="s">
        <v>35</v>
      </c>
      <c r="N87" s="60">
        <v>17.899999999999999</v>
      </c>
      <c r="O87" s="60">
        <v>0</v>
      </c>
      <c r="P87" s="60">
        <v>1.72</v>
      </c>
      <c r="Q87" s="60">
        <v>179.64</v>
      </c>
      <c r="R87" s="198"/>
      <c r="S87" s="198"/>
      <c r="T87" s="198"/>
      <c r="U87" s="198"/>
    </row>
    <row r="88" spans="1:26" s="12" customFormat="1" x14ac:dyDescent="0.25">
      <c r="A88" s="201" t="s">
        <v>1574</v>
      </c>
      <c r="B88" s="60">
        <v>103.74</v>
      </c>
      <c r="C88" s="60">
        <v>194.94</v>
      </c>
      <c r="D88" s="60">
        <v>190.78</v>
      </c>
      <c r="E88" s="60">
        <v>2.69</v>
      </c>
      <c r="F88" s="60">
        <v>0.78</v>
      </c>
      <c r="G88" s="218" t="s">
        <v>42</v>
      </c>
      <c r="H88" s="218" t="s">
        <v>42</v>
      </c>
      <c r="I88" s="60">
        <v>0.91</v>
      </c>
      <c r="J88" s="60">
        <v>0.14000000000000001</v>
      </c>
      <c r="K88" s="60">
        <v>329.79</v>
      </c>
      <c r="L88" s="213" t="s">
        <v>35</v>
      </c>
      <c r="M88" s="213" t="s">
        <v>35</v>
      </c>
      <c r="N88" s="60">
        <v>18</v>
      </c>
      <c r="O88" s="60">
        <v>0</v>
      </c>
      <c r="P88" s="60">
        <v>2.0099999999999998</v>
      </c>
      <c r="Q88" s="60">
        <v>200.99</v>
      </c>
      <c r="R88" s="198"/>
      <c r="S88" s="198"/>
      <c r="T88" s="198"/>
      <c r="U88" s="198"/>
    </row>
    <row r="89" spans="1:26" s="12" customFormat="1" x14ac:dyDescent="0.25">
      <c r="A89" s="201" t="s">
        <v>1575</v>
      </c>
      <c r="B89" s="60">
        <v>114.81</v>
      </c>
      <c r="C89" s="60">
        <v>199.97</v>
      </c>
      <c r="D89" s="60">
        <v>202.43</v>
      </c>
      <c r="E89" s="60">
        <v>5.42</v>
      </c>
      <c r="F89" s="60">
        <v>0.7</v>
      </c>
      <c r="G89" s="218" t="s">
        <v>42</v>
      </c>
      <c r="H89" s="218" t="s">
        <v>42</v>
      </c>
      <c r="I89" s="60">
        <v>1.01</v>
      </c>
      <c r="J89" s="60">
        <v>0.17</v>
      </c>
      <c r="K89" s="60">
        <v>9.8000000000000007</v>
      </c>
      <c r="L89" s="213" t="s">
        <v>35</v>
      </c>
      <c r="M89" s="213" t="s">
        <v>35</v>
      </c>
      <c r="N89" s="60">
        <v>17.8</v>
      </c>
      <c r="O89" s="60">
        <v>0</v>
      </c>
      <c r="P89" s="60">
        <v>2.2200000000000002</v>
      </c>
      <c r="Q89" s="60">
        <v>216.69</v>
      </c>
      <c r="R89" s="198"/>
      <c r="S89" s="198"/>
      <c r="T89" s="198"/>
      <c r="U89" s="198"/>
    </row>
    <row r="90" spans="1:26" s="12" customFormat="1" x14ac:dyDescent="0.25">
      <c r="A90" s="201" t="s">
        <v>1576</v>
      </c>
      <c r="B90" s="60">
        <v>128.01</v>
      </c>
      <c r="C90" s="60">
        <v>211.46</v>
      </c>
      <c r="D90" s="60">
        <v>219.35</v>
      </c>
      <c r="E90" s="60">
        <v>5.92</v>
      </c>
      <c r="F90" s="60">
        <v>0.51</v>
      </c>
      <c r="G90" s="218" t="s">
        <v>42</v>
      </c>
      <c r="H90" s="218" t="s">
        <v>42</v>
      </c>
      <c r="I90" s="60">
        <v>1.1100000000000001</v>
      </c>
      <c r="J90" s="60">
        <v>0.1</v>
      </c>
      <c r="K90" s="60">
        <v>352.74</v>
      </c>
      <c r="L90" s="213" t="s">
        <v>35</v>
      </c>
      <c r="M90" s="213" t="s">
        <v>35</v>
      </c>
      <c r="N90" s="60">
        <v>18.3</v>
      </c>
      <c r="O90" s="60">
        <v>0</v>
      </c>
      <c r="P90" s="60">
        <v>2.4500000000000002</v>
      </c>
      <c r="Q90" s="60">
        <v>234.19</v>
      </c>
      <c r="R90" s="198"/>
      <c r="S90" s="198"/>
      <c r="T90" s="198"/>
      <c r="U90" s="198"/>
    </row>
    <row r="91" spans="1:26" s="12" customFormat="1" x14ac:dyDescent="0.25">
      <c r="A91" s="201" t="s">
        <v>1577</v>
      </c>
      <c r="B91" s="60">
        <v>137.47</v>
      </c>
      <c r="C91" s="60">
        <v>220.02</v>
      </c>
      <c r="D91" s="60">
        <v>231.66</v>
      </c>
      <c r="E91" s="60">
        <v>5.73</v>
      </c>
      <c r="F91" s="60">
        <v>0.5</v>
      </c>
      <c r="G91" s="218" t="s">
        <v>42</v>
      </c>
      <c r="H91" s="218" t="s">
        <v>42</v>
      </c>
      <c r="I91" s="60">
        <v>1.25</v>
      </c>
      <c r="J91" s="60">
        <v>0.05</v>
      </c>
      <c r="K91" s="60">
        <v>305.64</v>
      </c>
      <c r="L91" s="213" t="s">
        <v>35</v>
      </c>
      <c r="M91" s="213" t="s">
        <v>35</v>
      </c>
      <c r="N91" s="60">
        <v>18.3</v>
      </c>
      <c r="O91" s="60">
        <v>0</v>
      </c>
      <c r="P91" s="60">
        <v>2.62</v>
      </c>
      <c r="Q91" s="60">
        <v>248.1</v>
      </c>
      <c r="R91" s="198"/>
      <c r="S91" s="198"/>
      <c r="T91" s="198"/>
      <c r="U91" s="198"/>
    </row>
    <row r="92" spans="1:26" s="12" customFormat="1" x14ac:dyDescent="0.25">
      <c r="A92" s="201" t="s">
        <v>1578</v>
      </c>
      <c r="B92" s="60">
        <v>143.78</v>
      </c>
      <c r="C92" s="60">
        <v>224.7</v>
      </c>
      <c r="D92" s="60">
        <v>239.31</v>
      </c>
      <c r="E92" s="60">
        <v>5.59</v>
      </c>
      <c r="F92" s="60">
        <v>0.52</v>
      </c>
      <c r="G92" s="218" t="s">
        <v>42</v>
      </c>
      <c r="H92" s="218" t="s">
        <v>42</v>
      </c>
      <c r="I92" s="60">
        <v>1.36</v>
      </c>
      <c r="J92" s="60">
        <v>0.13</v>
      </c>
      <c r="K92" s="60">
        <v>247.14</v>
      </c>
      <c r="L92" s="213" t="s">
        <v>35</v>
      </c>
      <c r="M92" s="213" t="s">
        <v>35</v>
      </c>
      <c r="N92" s="60">
        <v>17.8</v>
      </c>
      <c r="O92" s="60">
        <v>0</v>
      </c>
      <c r="P92" s="60">
        <v>2.72</v>
      </c>
      <c r="Q92" s="60">
        <v>253.75</v>
      </c>
      <c r="R92" s="198"/>
      <c r="S92" s="198"/>
      <c r="T92" s="198"/>
      <c r="U92" s="198"/>
    </row>
    <row r="93" spans="1:26" s="12" customFormat="1" x14ac:dyDescent="0.25">
      <c r="A93" s="201" t="s">
        <v>1579</v>
      </c>
      <c r="B93" s="60">
        <v>151.34</v>
      </c>
      <c r="C93" s="60">
        <v>229.44</v>
      </c>
      <c r="D93" s="60">
        <v>247.99</v>
      </c>
      <c r="E93" s="60">
        <v>5.61</v>
      </c>
      <c r="F93" s="60">
        <v>0.55000000000000004</v>
      </c>
      <c r="G93" s="218" t="s">
        <v>42</v>
      </c>
      <c r="H93" s="218" t="s">
        <v>42</v>
      </c>
      <c r="I93" s="60">
        <v>1.43</v>
      </c>
      <c r="J93" s="60">
        <v>0.22</v>
      </c>
      <c r="K93" s="60">
        <v>289.39</v>
      </c>
      <c r="L93" s="213" t="s">
        <v>35</v>
      </c>
      <c r="M93" s="213" t="s">
        <v>35</v>
      </c>
      <c r="N93" s="60">
        <v>17.600000000000001</v>
      </c>
      <c r="O93" s="60">
        <v>0</v>
      </c>
      <c r="P93" s="60">
        <v>2.84</v>
      </c>
      <c r="Q93" s="60">
        <v>257.97000000000003</v>
      </c>
      <c r="R93" s="198"/>
      <c r="S93" s="198"/>
      <c r="T93" s="198"/>
      <c r="U93" s="198"/>
    </row>
    <row r="94" spans="1:26" s="12" customFormat="1" x14ac:dyDescent="0.25">
      <c r="A94" s="201" t="s">
        <v>1580</v>
      </c>
      <c r="B94" s="60">
        <v>155.44</v>
      </c>
      <c r="C94" s="60">
        <v>229.67</v>
      </c>
      <c r="D94" s="60">
        <v>251.4</v>
      </c>
      <c r="E94" s="60">
        <v>5.32</v>
      </c>
      <c r="F94" s="60">
        <v>0.57999999999999996</v>
      </c>
      <c r="G94" s="218" t="s">
        <v>42</v>
      </c>
      <c r="H94" s="218" t="s">
        <v>42</v>
      </c>
      <c r="I94" s="60">
        <v>1.47</v>
      </c>
      <c r="J94" s="60">
        <v>0.21</v>
      </c>
      <c r="K94" s="60">
        <v>319.07</v>
      </c>
      <c r="L94" s="213" t="s">
        <v>35</v>
      </c>
      <c r="M94" s="213" t="s">
        <v>35</v>
      </c>
      <c r="N94" s="60">
        <v>17.600000000000001</v>
      </c>
      <c r="O94" s="60">
        <v>0</v>
      </c>
      <c r="P94" s="60">
        <v>2.91</v>
      </c>
      <c r="Q94" s="60">
        <v>260.27999999999997</v>
      </c>
      <c r="R94" s="198"/>
      <c r="S94" s="198"/>
      <c r="T94" s="198"/>
      <c r="U94" s="198"/>
    </row>
    <row r="95" spans="1:26" s="12" customFormat="1" x14ac:dyDescent="0.25">
      <c r="A95" s="201" t="s">
        <v>1581</v>
      </c>
      <c r="B95" s="60">
        <v>161.99</v>
      </c>
      <c r="C95" s="60">
        <v>232.62</v>
      </c>
      <c r="D95" s="60">
        <v>258.29000000000002</v>
      </c>
      <c r="E95" s="60">
        <v>5.68</v>
      </c>
      <c r="F95" s="60">
        <v>0.77</v>
      </c>
      <c r="G95" s="218" t="s">
        <v>42</v>
      </c>
      <c r="H95" s="218" t="s">
        <v>42</v>
      </c>
      <c r="I95" s="60">
        <v>1.52</v>
      </c>
      <c r="J95" s="60">
        <v>0.21</v>
      </c>
      <c r="K95" s="60">
        <v>326.82</v>
      </c>
      <c r="L95" s="213" t="s">
        <v>35</v>
      </c>
      <c r="M95" s="213" t="s">
        <v>35</v>
      </c>
      <c r="N95" s="60">
        <v>17.899999999999999</v>
      </c>
      <c r="O95" s="60">
        <v>0</v>
      </c>
      <c r="P95" s="60">
        <v>3.07</v>
      </c>
      <c r="Q95" s="60">
        <v>264.79000000000002</v>
      </c>
      <c r="R95" s="198"/>
      <c r="S95" s="198"/>
      <c r="T95" s="198"/>
      <c r="U95" s="198"/>
    </row>
    <row r="96" spans="1:26" s="12" customFormat="1" x14ac:dyDescent="0.25">
      <c r="A96" s="201" t="s">
        <v>1582</v>
      </c>
      <c r="B96" s="60">
        <v>164.42</v>
      </c>
      <c r="C96" s="60">
        <v>232.51</v>
      </c>
      <c r="D96" s="60">
        <v>260.17</v>
      </c>
      <c r="E96" s="60">
        <v>5.69</v>
      </c>
      <c r="F96" s="60">
        <v>0.79</v>
      </c>
      <c r="G96" s="218" t="s">
        <v>42</v>
      </c>
      <c r="H96" s="218" t="s">
        <v>42</v>
      </c>
      <c r="I96" s="60">
        <v>1.57</v>
      </c>
      <c r="J96" s="60">
        <v>0.22</v>
      </c>
      <c r="K96" s="60">
        <v>327.89</v>
      </c>
      <c r="L96" s="213" t="s">
        <v>35</v>
      </c>
      <c r="M96" s="213" t="s">
        <v>35</v>
      </c>
      <c r="N96" s="60">
        <v>18</v>
      </c>
      <c r="O96" s="60">
        <v>0</v>
      </c>
      <c r="P96" s="60">
        <v>3.07</v>
      </c>
      <c r="Q96" s="60">
        <v>265.87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1583</v>
      </c>
      <c r="B97" s="60">
        <v>162.15</v>
      </c>
      <c r="C97" s="60">
        <v>228.22</v>
      </c>
      <c r="D97" s="60">
        <v>255.98</v>
      </c>
      <c r="E97" s="60">
        <v>5.35</v>
      </c>
      <c r="F97" s="60">
        <v>0.71</v>
      </c>
      <c r="G97" s="218" t="s">
        <v>42</v>
      </c>
      <c r="H97" s="218" t="s">
        <v>42</v>
      </c>
      <c r="I97" s="60">
        <v>1.58</v>
      </c>
      <c r="J97" s="60">
        <v>0.16</v>
      </c>
      <c r="K97" s="60">
        <v>345.35</v>
      </c>
      <c r="L97" s="213" t="s">
        <v>35</v>
      </c>
      <c r="M97" s="213" t="s">
        <v>35</v>
      </c>
      <c r="N97" s="60">
        <v>18.2</v>
      </c>
      <c r="O97" s="60">
        <v>0</v>
      </c>
      <c r="P97" s="60">
        <v>3.03</v>
      </c>
      <c r="Q97" s="60">
        <v>261.99</v>
      </c>
      <c r="R97" s="198"/>
      <c r="S97" s="198"/>
      <c r="T97" s="198"/>
      <c r="U97" s="198"/>
    </row>
    <row r="98" spans="1:33" s="12" customFormat="1" x14ac:dyDescent="0.25">
      <c r="A98" s="201" t="s">
        <v>1584</v>
      </c>
      <c r="B98" s="60">
        <v>153.84</v>
      </c>
      <c r="C98" s="60">
        <v>218.11</v>
      </c>
      <c r="D98" s="60">
        <v>243.74</v>
      </c>
      <c r="E98" s="60">
        <v>5.93</v>
      </c>
      <c r="F98" s="60">
        <v>0.71</v>
      </c>
      <c r="G98" s="218" t="s">
        <v>42</v>
      </c>
      <c r="H98" s="218" t="s">
        <v>42</v>
      </c>
      <c r="I98" s="60">
        <v>1.58</v>
      </c>
      <c r="J98" s="60">
        <v>0.2</v>
      </c>
      <c r="K98" s="60">
        <v>274.22000000000003</v>
      </c>
      <c r="L98" s="213" t="s">
        <v>35</v>
      </c>
      <c r="M98" s="213" t="s">
        <v>35</v>
      </c>
      <c r="N98" s="60">
        <v>17.8</v>
      </c>
      <c r="O98" s="60">
        <v>0</v>
      </c>
      <c r="P98" s="60">
        <v>2.95</v>
      </c>
      <c r="Q98" s="60">
        <v>260.55</v>
      </c>
      <c r="R98" s="198"/>
      <c r="S98" s="198"/>
      <c r="T98" s="198"/>
      <c r="U98" s="198"/>
    </row>
    <row r="99" spans="1:33" s="12" customFormat="1" x14ac:dyDescent="0.25">
      <c r="A99" s="201" t="s">
        <v>1585</v>
      </c>
      <c r="B99" s="60">
        <v>146.5</v>
      </c>
      <c r="C99" s="60">
        <v>210.92</v>
      </c>
      <c r="D99" s="60">
        <v>233.89</v>
      </c>
      <c r="E99" s="60">
        <v>5.96</v>
      </c>
      <c r="F99" s="60">
        <v>0.56999999999999995</v>
      </c>
      <c r="G99" s="218" t="s">
        <v>42</v>
      </c>
      <c r="H99" s="218" t="s">
        <v>42</v>
      </c>
      <c r="I99" s="60">
        <v>1.57</v>
      </c>
      <c r="J99" s="60">
        <v>0.12</v>
      </c>
      <c r="K99" s="60">
        <v>340.63</v>
      </c>
      <c r="L99" s="213" t="s">
        <v>35</v>
      </c>
      <c r="M99" s="213" t="s">
        <v>35</v>
      </c>
      <c r="N99" s="60">
        <v>18.399999999999999</v>
      </c>
      <c r="O99" s="60">
        <v>0</v>
      </c>
      <c r="P99" s="60">
        <v>2.86</v>
      </c>
      <c r="Q99" s="60">
        <v>255</v>
      </c>
      <c r="R99" s="198"/>
      <c r="S99" s="198"/>
      <c r="T99" s="198"/>
      <c r="U99" s="198"/>
    </row>
    <row r="100" spans="1:33" s="12" customFormat="1" x14ac:dyDescent="0.25">
      <c r="A100" s="201" t="s">
        <v>1586</v>
      </c>
      <c r="B100" s="60">
        <v>141.08000000000001</v>
      </c>
      <c r="C100" s="60">
        <v>205.04</v>
      </c>
      <c r="D100" s="60">
        <v>226.3</v>
      </c>
      <c r="E100" s="60">
        <v>5.61</v>
      </c>
      <c r="F100" s="60">
        <v>0.62</v>
      </c>
      <c r="G100" s="218" t="s">
        <v>42</v>
      </c>
      <c r="H100" s="218" t="s">
        <v>42</v>
      </c>
      <c r="I100" s="60">
        <v>1.54</v>
      </c>
      <c r="J100" s="60">
        <v>0.11</v>
      </c>
      <c r="K100" s="60">
        <v>323.44</v>
      </c>
      <c r="L100" s="213" t="s">
        <v>35</v>
      </c>
      <c r="M100" s="213" t="s">
        <v>35</v>
      </c>
      <c r="N100" s="60">
        <v>18.3</v>
      </c>
      <c r="O100" s="60">
        <v>0</v>
      </c>
      <c r="P100" s="60">
        <v>2.77</v>
      </c>
      <c r="Q100" s="60">
        <v>247.54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1587</v>
      </c>
      <c r="B101" s="60">
        <v>134.07</v>
      </c>
      <c r="C101" s="60">
        <v>198.42</v>
      </c>
      <c r="D101" s="60">
        <v>217.02</v>
      </c>
      <c r="E101" s="60">
        <v>5.9</v>
      </c>
      <c r="F101" s="60">
        <v>1.31</v>
      </c>
      <c r="G101" s="60">
        <v>193.36</v>
      </c>
      <c r="H101" s="60">
        <v>90.19</v>
      </c>
      <c r="I101" s="60">
        <v>1.51</v>
      </c>
      <c r="J101" s="60">
        <v>0.19</v>
      </c>
      <c r="K101" s="60">
        <v>322.29000000000002</v>
      </c>
      <c r="L101" s="213" t="s">
        <v>35</v>
      </c>
      <c r="M101" s="213" t="s">
        <v>35</v>
      </c>
      <c r="N101" s="60">
        <v>18</v>
      </c>
      <c r="O101" s="60">
        <v>0</v>
      </c>
      <c r="P101" s="60">
        <v>2.67</v>
      </c>
      <c r="Q101" s="60">
        <v>235.85</v>
      </c>
      <c r="R101" s="198"/>
      <c r="S101" s="198"/>
      <c r="T101" s="198"/>
      <c r="U101" s="198"/>
    </row>
    <row r="102" spans="1:33" s="12" customFormat="1" x14ac:dyDescent="0.25">
      <c r="A102" s="201" t="s">
        <v>1588</v>
      </c>
      <c r="B102" s="60">
        <v>127.12</v>
      </c>
      <c r="C102" s="60">
        <v>190.64</v>
      </c>
      <c r="D102" s="60">
        <v>207.15</v>
      </c>
      <c r="E102" s="60">
        <v>5.59</v>
      </c>
      <c r="F102" s="60">
        <v>0.97</v>
      </c>
      <c r="G102" s="60">
        <v>193.36</v>
      </c>
      <c r="H102" s="60">
        <v>90.19</v>
      </c>
      <c r="I102" s="60">
        <v>1.46</v>
      </c>
      <c r="J102" s="60">
        <v>0.17</v>
      </c>
      <c r="K102" s="60">
        <v>305.62</v>
      </c>
      <c r="L102" s="213" t="s">
        <v>35</v>
      </c>
      <c r="M102" s="213" t="s">
        <v>35</v>
      </c>
      <c r="N102" s="60">
        <v>18</v>
      </c>
      <c r="O102" s="60">
        <v>0</v>
      </c>
      <c r="P102" s="60">
        <v>2.56</v>
      </c>
      <c r="Q102" s="60">
        <v>227.67</v>
      </c>
      <c r="R102" s="198"/>
      <c r="S102" s="198"/>
      <c r="T102" s="198"/>
      <c r="U102" s="198"/>
    </row>
    <row r="103" spans="1:33" s="12" customFormat="1" x14ac:dyDescent="0.25">
      <c r="A103" s="201" t="s">
        <v>1589</v>
      </c>
      <c r="B103" s="60">
        <v>119.95</v>
      </c>
      <c r="C103" s="60">
        <v>183.75</v>
      </c>
      <c r="D103" s="60">
        <v>197.6</v>
      </c>
      <c r="E103" s="60">
        <v>5.73</v>
      </c>
      <c r="F103" s="60">
        <v>0.56000000000000005</v>
      </c>
      <c r="G103" s="60">
        <v>193.36</v>
      </c>
      <c r="H103" s="60">
        <v>90.19</v>
      </c>
      <c r="I103" s="60">
        <v>1.42</v>
      </c>
      <c r="J103" s="60">
        <v>0.16</v>
      </c>
      <c r="K103" s="60">
        <v>320.14</v>
      </c>
      <c r="L103" s="213" t="s">
        <v>35</v>
      </c>
      <c r="M103" s="213" t="s">
        <v>35</v>
      </c>
      <c r="N103" s="60">
        <v>18</v>
      </c>
      <c r="O103" s="60">
        <v>0</v>
      </c>
      <c r="P103" s="60">
        <v>2.46</v>
      </c>
      <c r="Q103" s="60">
        <v>221.59</v>
      </c>
      <c r="R103" s="198"/>
      <c r="S103" s="198"/>
      <c r="T103" s="198"/>
      <c r="U103" s="198"/>
    </row>
    <row r="104" spans="1:33" s="12" customFormat="1" x14ac:dyDescent="0.25">
      <c r="A104" s="201" t="s">
        <v>1590</v>
      </c>
      <c r="B104" s="60">
        <v>113.37</v>
      </c>
      <c r="C104" s="60">
        <v>177.53</v>
      </c>
      <c r="D104" s="60">
        <v>188.89</v>
      </c>
      <c r="E104" s="60">
        <v>3.2</v>
      </c>
      <c r="F104" s="60">
        <v>0.46</v>
      </c>
      <c r="G104" s="60">
        <v>188.14</v>
      </c>
      <c r="H104" s="60">
        <v>89.32</v>
      </c>
      <c r="I104" s="60">
        <v>1.39</v>
      </c>
      <c r="J104" s="60">
        <v>0.1</v>
      </c>
      <c r="K104" s="60">
        <v>323.66000000000003</v>
      </c>
      <c r="L104" s="213" t="s">
        <v>35</v>
      </c>
      <c r="M104" s="213" t="s">
        <v>35</v>
      </c>
      <c r="N104" s="60">
        <v>18.2</v>
      </c>
      <c r="O104" s="60">
        <v>0</v>
      </c>
      <c r="P104" s="60">
        <v>2.36</v>
      </c>
      <c r="Q104" s="60">
        <v>214.6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2.42</v>
      </c>
      <c r="C106" s="67">
        <f>MIN(C9:C104)</f>
        <v>75.989999999999995</v>
      </c>
      <c r="D106" s="67">
        <f t="shared" ref="D106:Q106" si="0">MIN(D9:D104)</f>
        <v>49.45</v>
      </c>
      <c r="E106" s="67">
        <f t="shared" si="0"/>
        <v>1.89</v>
      </c>
      <c r="F106" s="67">
        <f t="shared" si="0"/>
        <v>0.32</v>
      </c>
      <c r="G106" s="67">
        <f t="shared" si="0"/>
        <v>96.15</v>
      </c>
      <c r="H106" s="67">
        <f t="shared" si="0"/>
        <v>43.08</v>
      </c>
      <c r="I106" s="67">
        <f t="shared" si="0"/>
        <v>0.22</v>
      </c>
      <c r="J106" s="67">
        <f t="shared" si="0"/>
        <v>0.03</v>
      </c>
      <c r="K106" s="67">
        <f t="shared" si="0"/>
        <v>7.06</v>
      </c>
      <c r="L106" s="67">
        <f t="shared" si="0"/>
        <v>0</v>
      </c>
      <c r="M106" s="67">
        <f t="shared" si="0"/>
        <v>0</v>
      </c>
      <c r="N106" s="67">
        <f t="shared" si="0"/>
        <v>17.600000000000001</v>
      </c>
      <c r="O106" s="67">
        <f t="shared" si="0"/>
        <v>0</v>
      </c>
      <c r="P106" s="67">
        <f t="shared" si="0"/>
        <v>0.7</v>
      </c>
      <c r="Q106" s="67">
        <f t="shared" si="0"/>
        <v>79.61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164.42</v>
      </c>
      <c r="C107" s="66">
        <f t="shared" ref="C107:Q107" si="1">MAX(C9:C104)</f>
        <v>232.62</v>
      </c>
      <c r="D107" s="66">
        <f t="shared" si="1"/>
        <v>260.17</v>
      </c>
      <c r="E107" s="66">
        <f t="shared" si="1"/>
        <v>33.36</v>
      </c>
      <c r="F107" s="66">
        <f t="shared" si="1"/>
        <v>21.19</v>
      </c>
      <c r="G107" s="66">
        <f t="shared" si="1"/>
        <v>273.39</v>
      </c>
      <c r="H107" s="66">
        <f t="shared" si="1"/>
        <v>116.94</v>
      </c>
      <c r="I107" s="66">
        <f t="shared" si="1"/>
        <v>1.58</v>
      </c>
      <c r="J107" s="66">
        <f t="shared" si="1"/>
        <v>1.96</v>
      </c>
      <c r="K107" s="66">
        <f t="shared" si="1"/>
        <v>354.76</v>
      </c>
      <c r="L107" s="66">
        <f t="shared" si="1"/>
        <v>0</v>
      </c>
      <c r="M107" s="66">
        <f t="shared" si="1"/>
        <v>0</v>
      </c>
      <c r="N107" s="66">
        <f t="shared" si="1"/>
        <v>735.5</v>
      </c>
      <c r="O107" s="66">
        <f t="shared" si="1"/>
        <v>0</v>
      </c>
      <c r="P107" s="66">
        <f t="shared" si="1"/>
        <v>3.07</v>
      </c>
      <c r="Q107" s="66">
        <f t="shared" si="1"/>
        <v>265.87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40.472395833333337</v>
      </c>
      <c r="C108" s="67">
        <f t="shared" ref="C108:Q108" si="2">AVERAGE(C9:C104)</f>
        <v>123.86697916666672</v>
      </c>
      <c r="D108" s="67">
        <f t="shared" si="2"/>
        <v>100.81562500000001</v>
      </c>
      <c r="E108" s="67">
        <f t="shared" si="2"/>
        <v>8.3645833333333357</v>
      </c>
      <c r="F108" s="67">
        <f t="shared" si="2"/>
        <v>3.2782291666666663</v>
      </c>
      <c r="G108" s="67">
        <f t="shared" si="2"/>
        <v>157.21338235294112</v>
      </c>
      <c r="H108" s="67">
        <f t="shared" si="2"/>
        <v>73.183676470588182</v>
      </c>
      <c r="I108" s="67">
        <f t="shared" si="2"/>
        <v>0.69947916666666643</v>
      </c>
      <c r="J108" s="67">
        <f t="shared" si="2"/>
        <v>0.41833333333333322</v>
      </c>
      <c r="K108" s="67">
        <f t="shared" si="2"/>
        <v>149.35791666666668</v>
      </c>
      <c r="L108" s="67" t="e">
        <f t="shared" si="2"/>
        <v>#DIV/0!</v>
      </c>
      <c r="M108" s="67" t="e">
        <f t="shared" si="2"/>
        <v>#DIV/0!</v>
      </c>
      <c r="N108" s="67">
        <f t="shared" si="2"/>
        <v>197.18750000000011</v>
      </c>
      <c r="O108" s="67">
        <f t="shared" si="2"/>
        <v>0</v>
      </c>
      <c r="P108" s="67">
        <f t="shared" si="2"/>
        <v>1.5021875</v>
      </c>
      <c r="Q108" s="67">
        <f t="shared" si="2"/>
        <v>139.02093750000003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48.607532830660844</v>
      </c>
      <c r="C109" s="67">
        <f t="shared" ref="C109:Q109" si="3">STDEV(C9:C104)</f>
        <v>47.170886719844404</v>
      </c>
      <c r="D109" s="67">
        <f t="shared" si="3"/>
        <v>63.453588688899202</v>
      </c>
      <c r="E109" s="67">
        <f t="shared" si="3"/>
        <v>7.4818534034607449</v>
      </c>
      <c r="F109" s="67">
        <f t="shared" si="3"/>
        <v>4.6210497770167622</v>
      </c>
      <c r="G109" s="67">
        <f t="shared" si="3"/>
        <v>55.937721542569371</v>
      </c>
      <c r="H109" s="67">
        <f t="shared" si="3"/>
        <v>20.939151496331288</v>
      </c>
      <c r="I109" s="67">
        <f t="shared" si="3"/>
        <v>0.38541671171170916</v>
      </c>
      <c r="J109" s="67">
        <f t="shared" si="3"/>
        <v>0.36661084104528319</v>
      </c>
      <c r="K109" s="67">
        <f t="shared" si="3"/>
        <v>120.95646013440373</v>
      </c>
      <c r="L109" s="67" t="e">
        <f t="shared" si="3"/>
        <v>#DIV/0!</v>
      </c>
      <c r="M109" s="67" t="e">
        <f t="shared" si="3"/>
        <v>#DIV/0!</v>
      </c>
      <c r="N109" s="67">
        <f t="shared" si="3"/>
        <v>263.11230671971316</v>
      </c>
      <c r="O109" s="67">
        <f t="shared" si="3"/>
        <v>0</v>
      </c>
      <c r="P109" s="67">
        <f t="shared" si="3"/>
        <v>0.65294991042676098</v>
      </c>
      <c r="Q109" s="67">
        <f t="shared" si="3"/>
        <v>52.531365669586776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68</v>
      </c>
      <c r="H110" s="66">
        <f t="shared" si="4"/>
        <v>68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>COUNT(M9:M104)+96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1591</v>
      </c>
      <c r="B9" s="60">
        <v>105.99</v>
      </c>
      <c r="C9" s="60">
        <v>170.96</v>
      </c>
      <c r="D9" s="60">
        <v>179.35</v>
      </c>
      <c r="E9" s="60">
        <v>5.04</v>
      </c>
      <c r="F9" s="60">
        <v>0.45</v>
      </c>
      <c r="G9" s="60">
        <v>149.68</v>
      </c>
      <c r="H9" s="60">
        <v>80.41</v>
      </c>
      <c r="I9" s="60">
        <v>1.35</v>
      </c>
      <c r="J9" s="60">
        <v>0.17</v>
      </c>
      <c r="K9" s="60">
        <v>344.94</v>
      </c>
      <c r="L9" s="213" t="s">
        <v>35</v>
      </c>
      <c r="M9" s="213" t="s">
        <v>35</v>
      </c>
      <c r="N9" s="60">
        <v>18.2</v>
      </c>
      <c r="O9" s="60">
        <v>0</v>
      </c>
      <c r="P9" s="60">
        <v>2.25</v>
      </c>
      <c r="Q9" s="60">
        <v>203.63</v>
      </c>
      <c r="R9" s="198"/>
      <c r="S9" s="198"/>
      <c r="T9" s="198"/>
      <c r="U9" s="198"/>
    </row>
    <row r="10" spans="1:21" s="12" customFormat="1" x14ac:dyDescent="0.25">
      <c r="A10" s="201" t="s">
        <v>1592</v>
      </c>
      <c r="B10" s="60">
        <v>98.65</v>
      </c>
      <c r="C10" s="60">
        <v>163.04</v>
      </c>
      <c r="D10" s="60">
        <v>169.09</v>
      </c>
      <c r="E10" s="60">
        <v>5.0199999999999996</v>
      </c>
      <c r="F10" s="60">
        <v>0.73</v>
      </c>
      <c r="G10" s="60">
        <v>149.68</v>
      </c>
      <c r="H10" s="60">
        <v>80.41</v>
      </c>
      <c r="I10" s="60">
        <v>1.29</v>
      </c>
      <c r="J10" s="60">
        <v>0.11</v>
      </c>
      <c r="K10" s="60">
        <v>337.35</v>
      </c>
      <c r="L10" s="213" t="s">
        <v>35</v>
      </c>
      <c r="M10" s="213" t="s">
        <v>35</v>
      </c>
      <c r="N10" s="60">
        <v>18.2</v>
      </c>
      <c r="O10" s="60">
        <v>0</v>
      </c>
      <c r="P10" s="60">
        <v>2.15</v>
      </c>
      <c r="Q10" s="60">
        <v>188.57</v>
      </c>
      <c r="R10" s="198"/>
      <c r="S10" s="198"/>
      <c r="T10" s="198"/>
      <c r="U10" s="198"/>
    </row>
    <row r="11" spans="1:21" s="12" customFormat="1" x14ac:dyDescent="0.25">
      <c r="A11" s="201" t="s">
        <v>1593</v>
      </c>
      <c r="B11" s="60">
        <v>92.42</v>
      </c>
      <c r="C11" s="60">
        <v>156.04</v>
      </c>
      <c r="D11" s="60">
        <v>160.22</v>
      </c>
      <c r="E11" s="60">
        <v>4.92</v>
      </c>
      <c r="F11" s="60">
        <v>0.79</v>
      </c>
      <c r="G11" s="60">
        <v>149.68</v>
      </c>
      <c r="H11" s="60">
        <v>80.41</v>
      </c>
      <c r="I11" s="60">
        <v>1.24</v>
      </c>
      <c r="J11" s="60">
        <v>0.12</v>
      </c>
      <c r="K11" s="60">
        <v>326.26</v>
      </c>
      <c r="L11" s="213" t="s">
        <v>35</v>
      </c>
      <c r="M11" s="213" t="s">
        <v>35</v>
      </c>
      <c r="N11" s="60">
        <v>17.899999999999999</v>
      </c>
      <c r="O11" s="60">
        <v>0</v>
      </c>
      <c r="P11" s="60">
        <v>2.0699999999999998</v>
      </c>
      <c r="Q11" s="60">
        <v>176.85</v>
      </c>
      <c r="R11" s="198"/>
      <c r="S11" s="198"/>
      <c r="T11" s="198"/>
      <c r="U11" s="198"/>
    </row>
    <row r="12" spans="1:21" s="12" customFormat="1" x14ac:dyDescent="0.25">
      <c r="A12" s="201" t="s">
        <v>1594</v>
      </c>
      <c r="B12" s="60">
        <v>85.98</v>
      </c>
      <c r="C12" s="60">
        <v>149.66</v>
      </c>
      <c r="D12" s="60">
        <v>151.54</v>
      </c>
      <c r="E12" s="60">
        <v>4.82</v>
      </c>
      <c r="F12" s="60">
        <v>0.69</v>
      </c>
      <c r="G12" s="60">
        <v>146.38</v>
      </c>
      <c r="H12" s="60">
        <v>80.16</v>
      </c>
      <c r="I12" s="60">
        <v>1.18</v>
      </c>
      <c r="J12" s="60">
        <v>0.28999999999999998</v>
      </c>
      <c r="K12" s="60">
        <v>7.43</v>
      </c>
      <c r="L12" s="213" t="s">
        <v>35</v>
      </c>
      <c r="M12" s="213" t="s">
        <v>35</v>
      </c>
      <c r="N12" s="60">
        <v>17.899999999999999</v>
      </c>
      <c r="O12" s="60">
        <v>0</v>
      </c>
      <c r="P12" s="60">
        <v>1.98</v>
      </c>
      <c r="Q12" s="60">
        <v>166.6</v>
      </c>
      <c r="R12" s="198"/>
      <c r="S12" s="198"/>
      <c r="T12" s="198"/>
      <c r="U12" s="198"/>
    </row>
    <row r="13" spans="1:21" s="12" customFormat="1" x14ac:dyDescent="0.25">
      <c r="A13" s="201" t="s">
        <v>1595</v>
      </c>
      <c r="B13" s="60">
        <v>80.010000000000005</v>
      </c>
      <c r="C13" s="60">
        <v>143.88999999999999</v>
      </c>
      <c r="D13" s="60">
        <v>143.58000000000001</v>
      </c>
      <c r="E13" s="60">
        <v>4.6100000000000003</v>
      </c>
      <c r="F13" s="60">
        <v>0.7</v>
      </c>
      <c r="G13" s="60">
        <v>122.05</v>
      </c>
      <c r="H13" s="60">
        <v>77.62</v>
      </c>
      <c r="I13" s="60">
        <v>1.1299999999999999</v>
      </c>
      <c r="J13" s="60">
        <v>0.08</v>
      </c>
      <c r="K13" s="60">
        <v>121.39</v>
      </c>
      <c r="L13" s="213" t="s">
        <v>35</v>
      </c>
      <c r="M13" s="213" t="s">
        <v>35</v>
      </c>
      <c r="N13" s="60">
        <v>17.7</v>
      </c>
      <c r="O13" s="60">
        <v>0</v>
      </c>
      <c r="P13" s="60">
        <v>1.84</v>
      </c>
      <c r="Q13" s="60">
        <v>156.19</v>
      </c>
      <c r="R13" s="198"/>
      <c r="S13" s="198"/>
      <c r="T13" s="198"/>
      <c r="U13" s="198"/>
    </row>
    <row r="14" spans="1:21" s="12" customFormat="1" x14ac:dyDescent="0.25">
      <c r="A14" s="201" t="s">
        <v>1596</v>
      </c>
      <c r="B14" s="60">
        <v>74.19</v>
      </c>
      <c r="C14" s="60">
        <v>138.79</v>
      </c>
      <c r="D14" s="60">
        <v>136.09</v>
      </c>
      <c r="E14" s="60">
        <v>4.75</v>
      </c>
      <c r="F14" s="60">
        <v>0.61</v>
      </c>
      <c r="G14" s="60">
        <v>122.05</v>
      </c>
      <c r="H14" s="60">
        <v>77.62</v>
      </c>
      <c r="I14" s="60">
        <v>1.0900000000000001</v>
      </c>
      <c r="J14" s="60">
        <v>7.0000000000000007E-2</v>
      </c>
      <c r="K14" s="60">
        <v>303.33</v>
      </c>
      <c r="L14" s="213" t="s">
        <v>35</v>
      </c>
      <c r="M14" s="213" t="s">
        <v>35</v>
      </c>
      <c r="N14" s="60">
        <v>18.100000000000001</v>
      </c>
      <c r="O14" s="60">
        <v>0</v>
      </c>
      <c r="P14" s="60">
        <v>1.82</v>
      </c>
      <c r="Q14" s="60">
        <v>148.47</v>
      </c>
      <c r="R14" s="198"/>
      <c r="S14" s="198"/>
      <c r="T14" s="198"/>
      <c r="U14" s="198"/>
    </row>
    <row r="15" spans="1:21" s="12" customFormat="1" x14ac:dyDescent="0.25">
      <c r="A15" s="201" t="s">
        <v>1597</v>
      </c>
      <c r="B15" s="60">
        <v>68.459999999999994</v>
      </c>
      <c r="C15" s="60">
        <v>133.25</v>
      </c>
      <c r="D15" s="60">
        <v>128.44</v>
      </c>
      <c r="E15" s="60">
        <v>4.55</v>
      </c>
      <c r="F15" s="60">
        <v>0.69</v>
      </c>
      <c r="G15" s="60">
        <v>122.05</v>
      </c>
      <c r="H15" s="60">
        <v>77.62</v>
      </c>
      <c r="I15" s="60">
        <v>1.04</v>
      </c>
      <c r="J15" s="60">
        <v>7.0000000000000007E-2</v>
      </c>
      <c r="K15" s="60">
        <v>313.83</v>
      </c>
      <c r="L15" s="213" t="s">
        <v>35</v>
      </c>
      <c r="M15" s="213" t="s">
        <v>35</v>
      </c>
      <c r="N15" s="60">
        <v>18.2</v>
      </c>
      <c r="O15" s="60">
        <v>0</v>
      </c>
      <c r="P15" s="60">
        <v>1.74</v>
      </c>
      <c r="Q15" s="60">
        <v>140.58000000000001</v>
      </c>
      <c r="R15" s="198"/>
      <c r="S15" s="198"/>
      <c r="T15" s="198"/>
      <c r="U15" s="198"/>
    </row>
    <row r="16" spans="1:21" s="12" customFormat="1" x14ac:dyDescent="0.25">
      <c r="A16" s="201" t="s">
        <v>1598</v>
      </c>
      <c r="B16" s="60">
        <v>63.28</v>
      </c>
      <c r="C16" s="60">
        <v>128.85</v>
      </c>
      <c r="D16" s="60">
        <v>121.85</v>
      </c>
      <c r="E16" s="60">
        <v>4.57</v>
      </c>
      <c r="F16" s="60">
        <v>0.5</v>
      </c>
      <c r="G16" s="60">
        <v>123.3</v>
      </c>
      <c r="H16" s="60">
        <v>77.319999999999993</v>
      </c>
      <c r="I16" s="60">
        <v>0.99</v>
      </c>
      <c r="J16" s="60">
        <v>0.06</v>
      </c>
      <c r="K16" s="60">
        <v>221.38</v>
      </c>
      <c r="L16" s="213" t="s">
        <v>35</v>
      </c>
      <c r="M16" s="213" t="s">
        <v>35</v>
      </c>
      <c r="N16" s="60">
        <v>18</v>
      </c>
      <c r="O16" s="60">
        <v>0</v>
      </c>
      <c r="P16" s="60">
        <v>1.69</v>
      </c>
      <c r="Q16" s="60">
        <v>136.44999999999999</v>
      </c>
      <c r="R16" s="198"/>
      <c r="S16" s="198"/>
      <c r="T16" s="198"/>
      <c r="U16" s="198"/>
    </row>
    <row r="17" spans="1:21" s="12" customFormat="1" x14ac:dyDescent="0.25">
      <c r="A17" s="201" t="s">
        <v>1599</v>
      </c>
      <c r="B17" s="60">
        <v>58.3</v>
      </c>
      <c r="C17" s="60">
        <v>125.11</v>
      </c>
      <c r="D17" s="60">
        <v>115.8</v>
      </c>
      <c r="E17" s="60">
        <v>4.8899999999999997</v>
      </c>
      <c r="F17" s="60">
        <v>0.43</v>
      </c>
      <c r="G17" s="60">
        <v>133.76</v>
      </c>
      <c r="H17" s="60">
        <v>74.319999999999993</v>
      </c>
      <c r="I17" s="60">
        <v>0.95</v>
      </c>
      <c r="J17" s="60">
        <v>0.08</v>
      </c>
      <c r="K17" s="60">
        <v>317.35000000000002</v>
      </c>
      <c r="L17" s="213" t="s">
        <v>35</v>
      </c>
      <c r="M17" s="213" t="s">
        <v>35</v>
      </c>
      <c r="N17" s="60">
        <v>18</v>
      </c>
      <c r="O17" s="60">
        <v>0</v>
      </c>
      <c r="P17" s="60">
        <v>1.63</v>
      </c>
      <c r="Q17" s="60">
        <v>132.94999999999999</v>
      </c>
      <c r="R17" s="198"/>
      <c r="S17" s="198"/>
      <c r="T17" s="198"/>
      <c r="U17" s="198"/>
    </row>
    <row r="18" spans="1:21" s="12" customFormat="1" x14ac:dyDescent="0.25">
      <c r="A18" s="201" t="s">
        <v>1600</v>
      </c>
      <c r="B18" s="60">
        <v>53.66</v>
      </c>
      <c r="C18" s="60">
        <v>121.3</v>
      </c>
      <c r="D18" s="60">
        <v>109.98</v>
      </c>
      <c r="E18" s="60">
        <v>4.75</v>
      </c>
      <c r="F18" s="60">
        <v>0.17</v>
      </c>
      <c r="G18" s="60">
        <v>133.76</v>
      </c>
      <c r="H18" s="60">
        <v>74.319999999999993</v>
      </c>
      <c r="I18" s="60">
        <v>0.92</v>
      </c>
      <c r="J18" s="60">
        <v>0.1</v>
      </c>
      <c r="K18" s="60">
        <v>357.53</v>
      </c>
      <c r="L18" s="213" t="s">
        <v>35</v>
      </c>
      <c r="M18" s="213" t="s">
        <v>35</v>
      </c>
      <c r="N18" s="60">
        <v>18.100000000000001</v>
      </c>
      <c r="O18" s="60">
        <v>0</v>
      </c>
      <c r="P18" s="60">
        <v>1.59</v>
      </c>
      <c r="Q18" s="60">
        <v>130.54</v>
      </c>
      <c r="R18" s="198"/>
      <c r="S18" s="198"/>
      <c r="T18" s="198"/>
      <c r="U18" s="198"/>
    </row>
    <row r="19" spans="1:21" s="12" customFormat="1" x14ac:dyDescent="0.25">
      <c r="A19" s="201" t="s">
        <v>1601</v>
      </c>
      <c r="B19" s="60">
        <v>49.41</v>
      </c>
      <c r="C19" s="60">
        <v>117.54</v>
      </c>
      <c r="D19" s="60">
        <v>104.5</v>
      </c>
      <c r="E19" s="60">
        <v>4.62</v>
      </c>
      <c r="F19" s="60">
        <v>0.05</v>
      </c>
      <c r="G19" s="60">
        <v>133.76</v>
      </c>
      <c r="H19" s="60">
        <v>74.319999999999993</v>
      </c>
      <c r="I19" s="60">
        <v>0.91</v>
      </c>
      <c r="J19" s="60">
        <v>0.03</v>
      </c>
      <c r="K19" s="60">
        <v>42.52</v>
      </c>
      <c r="L19" s="213" t="s">
        <v>35</v>
      </c>
      <c r="M19" s="213" t="s">
        <v>35</v>
      </c>
      <c r="N19" s="60">
        <v>18.100000000000001</v>
      </c>
      <c r="O19" s="60">
        <v>0</v>
      </c>
      <c r="P19" s="60">
        <v>1.55</v>
      </c>
      <c r="Q19" s="60">
        <v>127.53</v>
      </c>
      <c r="R19" s="198"/>
      <c r="S19" s="198"/>
      <c r="T19" s="198"/>
      <c r="U19" s="198"/>
    </row>
    <row r="20" spans="1:21" s="12" customFormat="1" x14ac:dyDescent="0.25">
      <c r="A20" s="201" t="s">
        <v>1602</v>
      </c>
      <c r="B20" s="60">
        <v>45.72</v>
      </c>
      <c r="C20" s="60">
        <v>113.98</v>
      </c>
      <c r="D20" s="60">
        <v>99.57</v>
      </c>
      <c r="E20" s="60">
        <v>4.67</v>
      </c>
      <c r="F20" s="60">
        <v>0.19</v>
      </c>
      <c r="G20" s="60">
        <v>139.72</v>
      </c>
      <c r="H20" s="60">
        <v>74.55</v>
      </c>
      <c r="I20" s="60">
        <v>0.89</v>
      </c>
      <c r="J20" s="60">
        <v>7.0000000000000007E-2</v>
      </c>
      <c r="K20" s="60">
        <v>186.57</v>
      </c>
      <c r="L20" s="213" t="s">
        <v>35</v>
      </c>
      <c r="M20" s="213" t="s">
        <v>35</v>
      </c>
      <c r="N20" s="60">
        <v>18.2</v>
      </c>
      <c r="O20" s="60">
        <v>0</v>
      </c>
      <c r="P20" s="60">
        <v>1.53</v>
      </c>
      <c r="Q20" s="60">
        <v>123.57</v>
      </c>
      <c r="R20" s="198"/>
      <c r="S20" s="198"/>
      <c r="T20" s="198"/>
      <c r="U20" s="198"/>
    </row>
    <row r="21" spans="1:21" s="12" customFormat="1" x14ac:dyDescent="0.25">
      <c r="A21" s="201" t="s">
        <v>1603</v>
      </c>
      <c r="B21" s="60">
        <v>42.62</v>
      </c>
      <c r="C21" s="60">
        <v>110.5</v>
      </c>
      <c r="D21" s="60">
        <v>95.16</v>
      </c>
      <c r="E21" s="60">
        <v>5.13</v>
      </c>
      <c r="F21" s="60">
        <v>0.66</v>
      </c>
      <c r="G21" s="60">
        <v>189.96</v>
      </c>
      <c r="H21" s="60">
        <v>76.819999999999993</v>
      </c>
      <c r="I21" s="60">
        <v>0.87</v>
      </c>
      <c r="J21" s="60">
        <v>0.11</v>
      </c>
      <c r="K21" s="60">
        <v>12.94</v>
      </c>
      <c r="L21" s="213" t="s">
        <v>35</v>
      </c>
      <c r="M21" s="213" t="s">
        <v>35</v>
      </c>
      <c r="N21" s="60">
        <v>17.899999999999999</v>
      </c>
      <c r="O21" s="60">
        <v>0</v>
      </c>
      <c r="P21" s="60">
        <v>1.5</v>
      </c>
      <c r="Q21" s="60">
        <v>116.42</v>
      </c>
      <c r="R21" s="198"/>
      <c r="S21" s="198"/>
      <c r="T21" s="198"/>
      <c r="U21" s="198"/>
    </row>
    <row r="22" spans="1:21" s="12" customFormat="1" x14ac:dyDescent="0.25">
      <c r="A22" s="201" t="s">
        <v>1604</v>
      </c>
      <c r="B22" s="60">
        <v>41.24</v>
      </c>
      <c r="C22" s="60">
        <v>108.75</v>
      </c>
      <c r="D22" s="60">
        <v>93.09</v>
      </c>
      <c r="E22" s="60">
        <v>5.16</v>
      </c>
      <c r="F22" s="60">
        <v>0.95</v>
      </c>
      <c r="G22" s="60">
        <v>189.96</v>
      </c>
      <c r="H22" s="60">
        <v>76.819999999999993</v>
      </c>
      <c r="I22" s="60">
        <v>0.85</v>
      </c>
      <c r="J22" s="60">
        <v>0.16</v>
      </c>
      <c r="K22" s="60">
        <v>325.14</v>
      </c>
      <c r="L22" s="213" t="s">
        <v>35</v>
      </c>
      <c r="M22" s="213" t="s">
        <v>35</v>
      </c>
      <c r="N22" s="60">
        <v>17.8</v>
      </c>
      <c r="O22" s="60">
        <v>0</v>
      </c>
      <c r="P22" s="60">
        <v>1.48</v>
      </c>
      <c r="Q22" s="60">
        <v>115.75</v>
      </c>
      <c r="R22" s="198"/>
      <c r="S22" s="198"/>
      <c r="T22" s="198"/>
      <c r="U22" s="198"/>
    </row>
    <row r="23" spans="1:21" s="12" customFormat="1" x14ac:dyDescent="0.25">
      <c r="A23" s="201" t="s">
        <v>1605</v>
      </c>
      <c r="B23" s="60">
        <v>41.26</v>
      </c>
      <c r="C23" s="60">
        <v>108.41</v>
      </c>
      <c r="D23" s="60">
        <v>92.92</v>
      </c>
      <c r="E23" s="60">
        <v>4.8499999999999996</v>
      </c>
      <c r="F23" s="60">
        <v>0.1</v>
      </c>
      <c r="G23" s="60">
        <v>189.96</v>
      </c>
      <c r="H23" s="60">
        <v>76.819999999999993</v>
      </c>
      <c r="I23" s="60">
        <v>0.85</v>
      </c>
      <c r="J23" s="60">
        <v>0.23</v>
      </c>
      <c r="K23" s="60">
        <v>277.99</v>
      </c>
      <c r="L23" s="213" t="s">
        <v>35</v>
      </c>
      <c r="M23" s="213" t="s">
        <v>35</v>
      </c>
      <c r="N23" s="60">
        <v>17.600000000000001</v>
      </c>
      <c r="O23" s="60">
        <v>0</v>
      </c>
      <c r="P23" s="60">
        <v>1.46</v>
      </c>
      <c r="Q23" s="60">
        <v>118.86</v>
      </c>
      <c r="R23" s="198"/>
      <c r="S23" s="198"/>
      <c r="T23" s="198"/>
      <c r="U23" s="198"/>
    </row>
    <row r="24" spans="1:21" s="12" customFormat="1" x14ac:dyDescent="0.25">
      <c r="A24" s="201" t="s">
        <v>1606</v>
      </c>
      <c r="B24" s="60">
        <v>40.22</v>
      </c>
      <c r="C24" s="60">
        <v>105.21</v>
      </c>
      <c r="D24" s="60">
        <v>90.32</v>
      </c>
      <c r="E24" s="60">
        <v>2.44</v>
      </c>
      <c r="F24" s="60">
        <v>0.44</v>
      </c>
      <c r="G24" s="60">
        <v>190.71</v>
      </c>
      <c r="H24" s="60">
        <v>76.459999999999994</v>
      </c>
      <c r="I24" s="60">
        <v>0.85</v>
      </c>
      <c r="J24" s="60">
        <v>0.16</v>
      </c>
      <c r="K24" s="60">
        <v>306.64</v>
      </c>
      <c r="L24" s="213" t="s">
        <v>35</v>
      </c>
      <c r="M24" s="213" t="s">
        <v>35</v>
      </c>
      <c r="N24" s="60">
        <v>17.899999999999999</v>
      </c>
      <c r="O24" s="60">
        <v>0</v>
      </c>
      <c r="P24" s="60">
        <v>1.4</v>
      </c>
      <c r="Q24" s="60">
        <v>113.21</v>
      </c>
      <c r="R24" s="198"/>
      <c r="S24" s="198"/>
      <c r="T24" s="198"/>
      <c r="U24" s="198"/>
    </row>
    <row r="25" spans="1:21" s="12" customFormat="1" x14ac:dyDescent="0.25">
      <c r="A25" s="201" t="s">
        <v>1607</v>
      </c>
      <c r="B25" s="60">
        <v>39.450000000000003</v>
      </c>
      <c r="C25" s="60">
        <v>102.16</v>
      </c>
      <c r="D25" s="60">
        <v>88.02</v>
      </c>
      <c r="E25" s="60">
        <v>4.04</v>
      </c>
      <c r="F25" s="60">
        <v>0.46</v>
      </c>
      <c r="G25" s="60">
        <v>197.01</v>
      </c>
      <c r="H25" s="60">
        <v>72.75</v>
      </c>
      <c r="I25" s="60">
        <v>0.83</v>
      </c>
      <c r="J25" s="60">
        <v>0.09</v>
      </c>
      <c r="K25" s="60">
        <v>332.87</v>
      </c>
      <c r="L25" s="213" t="s">
        <v>35</v>
      </c>
      <c r="M25" s="213" t="s">
        <v>35</v>
      </c>
      <c r="N25" s="60">
        <v>18</v>
      </c>
      <c r="O25" s="60">
        <v>0</v>
      </c>
      <c r="P25" s="60">
        <v>1.38</v>
      </c>
      <c r="Q25" s="60">
        <v>105.38</v>
      </c>
      <c r="R25" s="198"/>
      <c r="S25" s="198"/>
      <c r="T25" s="198"/>
      <c r="U25" s="198"/>
    </row>
    <row r="26" spans="1:21" s="12" customFormat="1" x14ac:dyDescent="0.25">
      <c r="A26" s="201" t="s">
        <v>1608</v>
      </c>
      <c r="B26" s="60">
        <v>38.97</v>
      </c>
      <c r="C26" s="60">
        <v>99.94</v>
      </c>
      <c r="D26" s="60">
        <v>86.41</v>
      </c>
      <c r="E26" s="60">
        <v>3.87</v>
      </c>
      <c r="F26" s="60">
        <v>0.42</v>
      </c>
      <c r="G26" s="60">
        <v>197.01</v>
      </c>
      <c r="H26" s="60">
        <v>72.75</v>
      </c>
      <c r="I26" s="60">
        <v>0.8</v>
      </c>
      <c r="J26" s="60">
        <v>0.13</v>
      </c>
      <c r="K26" s="60">
        <v>7.02</v>
      </c>
      <c r="L26" s="213" t="s">
        <v>35</v>
      </c>
      <c r="M26" s="213" t="s">
        <v>35</v>
      </c>
      <c r="N26" s="60">
        <v>18.100000000000001</v>
      </c>
      <c r="O26" s="60">
        <v>0</v>
      </c>
      <c r="P26" s="60">
        <v>1.35</v>
      </c>
      <c r="Q26" s="60">
        <v>101.19</v>
      </c>
      <c r="R26" s="198"/>
      <c r="S26" s="198"/>
      <c r="T26" s="198"/>
      <c r="U26" s="198"/>
    </row>
    <row r="27" spans="1:21" s="12" customFormat="1" x14ac:dyDescent="0.25">
      <c r="A27" s="201" t="s">
        <v>1609</v>
      </c>
      <c r="B27" s="60">
        <v>38.92</v>
      </c>
      <c r="C27" s="60">
        <v>98.8</v>
      </c>
      <c r="D27" s="60">
        <v>85.74</v>
      </c>
      <c r="E27" s="60">
        <v>4.17</v>
      </c>
      <c r="F27" s="60">
        <v>0.23</v>
      </c>
      <c r="G27" s="60">
        <v>197.01</v>
      </c>
      <c r="H27" s="60">
        <v>72.75</v>
      </c>
      <c r="I27" s="60">
        <v>0.79</v>
      </c>
      <c r="J27" s="60">
        <v>0.1</v>
      </c>
      <c r="K27" s="60">
        <v>353.81</v>
      </c>
      <c r="L27" s="213" t="s">
        <v>35</v>
      </c>
      <c r="M27" s="213" t="s">
        <v>35</v>
      </c>
      <c r="N27" s="60">
        <v>18.100000000000001</v>
      </c>
      <c r="O27" s="60">
        <v>0</v>
      </c>
      <c r="P27" s="60">
        <v>1.32</v>
      </c>
      <c r="Q27" s="60">
        <v>99.31</v>
      </c>
      <c r="R27" s="198"/>
      <c r="S27" s="198"/>
      <c r="T27" s="198"/>
      <c r="U27" s="198"/>
    </row>
    <row r="28" spans="1:21" s="12" customFormat="1" x14ac:dyDescent="0.25">
      <c r="A28" s="201" t="s">
        <v>1610</v>
      </c>
      <c r="B28" s="60">
        <v>39.299999999999997</v>
      </c>
      <c r="C28" s="60">
        <v>98.15</v>
      </c>
      <c r="D28" s="60">
        <v>85.68</v>
      </c>
      <c r="E28" s="60">
        <v>4.2</v>
      </c>
      <c r="F28" s="60">
        <v>1.44</v>
      </c>
      <c r="G28" s="60">
        <v>190.87</v>
      </c>
      <c r="H28" s="60">
        <v>72.77</v>
      </c>
      <c r="I28" s="60">
        <v>0.77</v>
      </c>
      <c r="J28" s="60">
        <v>0.13</v>
      </c>
      <c r="K28" s="60">
        <v>1.87</v>
      </c>
      <c r="L28" s="213" t="s">
        <v>35</v>
      </c>
      <c r="M28" s="213" t="s">
        <v>35</v>
      </c>
      <c r="N28" s="60">
        <v>17.899999999999999</v>
      </c>
      <c r="O28" s="60">
        <v>0</v>
      </c>
      <c r="P28" s="60">
        <v>1.3</v>
      </c>
      <c r="Q28" s="60">
        <v>97.79</v>
      </c>
      <c r="R28" s="198"/>
      <c r="S28" s="198"/>
      <c r="T28" s="198"/>
      <c r="U28" s="198"/>
    </row>
    <row r="29" spans="1:21" s="12" customFormat="1" x14ac:dyDescent="0.25">
      <c r="A29" s="201" t="s">
        <v>1611</v>
      </c>
      <c r="B29" s="60">
        <v>40.72</v>
      </c>
      <c r="C29" s="60">
        <v>98.43</v>
      </c>
      <c r="D29" s="60">
        <v>86.98</v>
      </c>
      <c r="E29" s="60">
        <v>4.2699999999999996</v>
      </c>
      <c r="F29" s="60">
        <v>0.77</v>
      </c>
      <c r="G29" s="60">
        <v>139.16</v>
      </c>
      <c r="H29" s="60">
        <v>72.900000000000006</v>
      </c>
      <c r="I29" s="60">
        <v>0.76</v>
      </c>
      <c r="J29" s="60">
        <v>0.1</v>
      </c>
      <c r="K29" s="60">
        <v>337.5</v>
      </c>
      <c r="L29" s="213" t="s">
        <v>35</v>
      </c>
      <c r="M29" s="213" t="s">
        <v>35</v>
      </c>
      <c r="N29" s="60">
        <v>17.899999999999999</v>
      </c>
      <c r="O29" s="60">
        <v>0</v>
      </c>
      <c r="P29" s="60">
        <v>1.29</v>
      </c>
      <c r="Q29" s="60">
        <v>96.78</v>
      </c>
      <c r="R29" s="198"/>
      <c r="S29" s="198"/>
      <c r="T29" s="198"/>
      <c r="U29" s="198"/>
    </row>
    <row r="30" spans="1:21" s="12" customFormat="1" x14ac:dyDescent="0.25">
      <c r="A30" s="201" t="s">
        <v>1612</v>
      </c>
      <c r="B30" s="60">
        <v>42.93</v>
      </c>
      <c r="C30" s="60">
        <v>100.25</v>
      </c>
      <c r="D30" s="60">
        <v>89.76</v>
      </c>
      <c r="E30" s="60">
        <v>4.6399999999999997</v>
      </c>
      <c r="F30" s="60">
        <v>0.46</v>
      </c>
      <c r="G30" s="60">
        <v>139.16</v>
      </c>
      <c r="H30" s="60">
        <v>72.900000000000006</v>
      </c>
      <c r="I30" s="60">
        <v>0.75</v>
      </c>
      <c r="J30" s="60">
        <v>0.04</v>
      </c>
      <c r="K30" s="60">
        <v>49.42</v>
      </c>
      <c r="L30" s="213" t="s">
        <v>35</v>
      </c>
      <c r="M30" s="213" t="s">
        <v>35</v>
      </c>
      <c r="N30" s="60">
        <v>17.899999999999999</v>
      </c>
      <c r="O30" s="60">
        <v>0</v>
      </c>
      <c r="P30" s="60">
        <v>1.29</v>
      </c>
      <c r="Q30" s="60">
        <v>102.9</v>
      </c>
      <c r="R30" s="198"/>
      <c r="S30" s="198"/>
      <c r="T30" s="198"/>
      <c r="U30" s="198"/>
    </row>
    <row r="31" spans="1:21" s="12" customFormat="1" x14ac:dyDescent="0.25">
      <c r="A31" s="201" t="s">
        <v>1613</v>
      </c>
      <c r="B31" s="60">
        <v>45.3</v>
      </c>
      <c r="C31" s="60">
        <v>102.22</v>
      </c>
      <c r="D31" s="60">
        <v>92.74</v>
      </c>
      <c r="E31" s="60">
        <v>4.5</v>
      </c>
      <c r="F31" s="60">
        <v>0.52</v>
      </c>
      <c r="G31" s="60">
        <v>139.16</v>
      </c>
      <c r="H31" s="60">
        <v>72.900000000000006</v>
      </c>
      <c r="I31" s="60">
        <v>0.75</v>
      </c>
      <c r="J31" s="60">
        <v>0.04</v>
      </c>
      <c r="K31" s="60">
        <v>158.43</v>
      </c>
      <c r="L31" s="213" t="s">
        <v>35</v>
      </c>
      <c r="M31" s="213" t="s">
        <v>35</v>
      </c>
      <c r="N31" s="60">
        <v>17.7</v>
      </c>
      <c r="O31" s="60">
        <v>0</v>
      </c>
      <c r="P31" s="60">
        <v>1.29</v>
      </c>
      <c r="Q31" s="60">
        <v>110.14</v>
      </c>
      <c r="R31" s="198"/>
      <c r="S31" s="198"/>
      <c r="T31" s="198"/>
      <c r="U31" s="198"/>
    </row>
    <row r="32" spans="1:21" s="12" customFormat="1" x14ac:dyDescent="0.25">
      <c r="A32" s="201" t="s">
        <v>1614</v>
      </c>
      <c r="B32" s="60">
        <v>49.29</v>
      </c>
      <c r="C32" s="60">
        <v>106.26</v>
      </c>
      <c r="D32" s="60">
        <v>98.17</v>
      </c>
      <c r="E32" s="60">
        <v>4.3600000000000003</v>
      </c>
      <c r="F32" s="60">
        <v>0.55000000000000004</v>
      </c>
      <c r="G32" s="60">
        <v>159.25</v>
      </c>
      <c r="H32" s="60">
        <v>73.13</v>
      </c>
      <c r="I32" s="60">
        <v>0.75</v>
      </c>
      <c r="J32" s="60">
        <v>0.25</v>
      </c>
      <c r="K32" s="60">
        <v>82.69</v>
      </c>
      <c r="L32" s="213" t="s">
        <v>35</v>
      </c>
      <c r="M32" s="213" t="s">
        <v>35</v>
      </c>
      <c r="N32" s="60">
        <v>17.8</v>
      </c>
      <c r="O32" s="60">
        <v>0</v>
      </c>
      <c r="P32" s="60">
        <v>1.32</v>
      </c>
      <c r="Q32" s="60">
        <v>116.31</v>
      </c>
      <c r="R32" s="198"/>
      <c r="S32" s="198"/>
      <c r="T32" s="198"/>
      <c r="U32" s="198"/>
    </row>
    <row r="33" spans="1:21" s="12" customFormat="1" x14ac:dyDescent="0.25">
      <c r="A33" s="201" t="s">
        <v>1615</v>
      </c>
      <c r="B33" s="60">
        <v>54.81</v>
      </c>
      <c r="C33" s="60">
        <v>111.65</v>
      </c>
      <c r="D33" s="60">
        <v>105.57</v>
      </c>
      <c r="E33" s="60">
        <v>4.53</v>
      </c>
      <c r="F33" s="60">
        <v>0.63</v>
      </c>
      <c r="G33" s="218" t="s">
        <v>42</v>
      </c>
      <c r="H33" s="218" t="s">
        <v>42</v>
      </c>
      <c r="I33" s="60">
        <v>0.77</v>
      </c>
      <c r="J33" s="60">
        <v>0.31</v>
      </c>
      <c r="K33" s="60">
        <v>104.48</v>
      </c>
      <c r="L33" s="213" t="s">
        <v>35</v>
      </c>
      <c r="M33" s="213" t="s">
        <v>35</v>
      </c>
      <c r="N33" s="60">
        <v>20.399999999999999</v>
      </c>
      <c r="O33" s="60">
        <v>0</v>
      </c>
      <c r="P33" s="60">
        <v>1.38</v>
      </c>
      <c r="Q33" s="60">
        <v>122.63</v>
      </c>
      <c r="R33" s="198"/>
      <c r="S33" s="198"/>
      <c r="T33" s="198"/>
      <c r="U33" s="198"/>
    </row>
    <row r="34" spans="1:21" s="12" customFormat="1" x14ac:dyDescent="0.25">
      <c r="A34" s="201" t="s">
        <v>1616</v>
      </c>
      <c r="B34" s="60">
        <v>56.03</v>
      </c>
      <c r="C34" s="60">
        <v>113.39</v>
      </c>
      <c r="D34" s="60">
        <v>107.51</v>
      </c>
      <c r="E34" s="60">
        <v>5</v>
      </c>
      <c r="F34" s="60">
        <v>0.63</v>
      </c>
      <c r="G34" s="218" t="s">
        <v>42</v>
      </c>
      <c r="H34" s="218" t="s">
        <v>42</v>
      </c>
      <c r="I34" s="60">
        <v>0.75</v>
      </c>
      <c r="J34" s="60">
        <v>0.22</v>
      </c>
      <c r="K34" s="60">
        <v>82</v>
      </c>
      <c r="L34" s="213" t="s">
        <v>35</v>
      </c>
      <c r="M34" s="213" t="s">
        <v>35</v>
      </c>
      <c r="N34" s="60">
        <v>29.9</v>
      </c>
      <c r="O34" s="60">
        <v>0</v>
      </c>
      <c r="P34" s="60">
        <v>1.5</v>
      </c>
      <c r="Q34" s="60">
        <v>125.38</v>
      </c>
      <c r="R34" s="198"/>
      <c r="S34" s="198"/>
      <c r="T34" s="198"/>
      <c r="U34" s="198"/>
    </row>
    <row r="35" spans="1:21" s="12" customFormat="1" x14ac:dyDescent="0.25">
      <c r="A35" s="201" t="s">
        <v>1617</v>
      </c>
      <c r="B35" s="60">
        <v>57.07</v>
      </c>
      <c r="C35" s="60">
        <v>115.37</v>
      </c>
      <c r="D35" s="60">
        <v>109.43</v>
      </c>
      <c r="E35" s="60">
        <v>4.67</v>
      </c>
      <c r="F35" s="60">
        <v>0.86</v>
      </c>
      <c r="G35" s="218" t="s">
        <v>42</v>
      </c>
      <c r="H35" s="218" t="s">
        <v>42</v>
      </c>
      <c r="I35" s="60">
        <v>0.78</v>
      </c>
      <c r="J35" s="60">
        <v>0.16</v>
      </c>
      <c r="K35" s="60">
        <v>94.29</v>
      </c>
      <c r="L35" s="213" t="s">
        <v>35</v>
      </c>
      <c r="M35" s="213" t="s">
        <v>35</v>
      </c>
      <c r="N35" s="60">
        <v>43.2</v>
      </c>
      <c r="O35" s="60">
        <v>0</v>
      </c>
      <c r="P35" s="60">
        <v>1.59</v>
      </c>
      <c r="Q35" s="60">
        <v>128.13999999999999</v>
      </c>
      <c r="R35" s="198"/>
      <c r="S35" s="198"/>
      <c r="T35" s="198"/>
      <c r="U35" s="198"/>
    </row>
    <row r="36" spans="1:21" s="12" customFormat="1" x14ac:dyDescent="0.25">
      <c r="A36" s="201" t="s">
        <v>1618</v>
      </c>
      <c r="B36" s="60">
        <v>59.92</v>
      </c>
      <c r="C36" s="60">
        <v>118.31</v>
      </c>
      <c r="D36" s="60">
        <v>113.34</v>
      </c>
      <c r="E36" s="60">
        <v>4.92</v>
      </c>
      <c r="F36" s="60">
        <v>0.79</v>
      </c>
      <c r="G36" s="218" t="s">
        <v>42</v>
      </c>
      <c r="H36" s="218" t="s">
        <v>42</v>
      </c>
      <c r="I36" s="60">
        <v>0.77</v>
      </c>
      <c r="J36" s="60">
        <v>0.18</v>
      </c>
      <c r="K36" s="60">
        <v>48.78</v>
      </c>
      <c r="L36" s="213" t="s">
        <v>35</v>
      </c>
      <c r="M36" s="213" t="s">
        <v>35</v>
      </c>
      <c r="N36" s="60">
        <v>57.9</v>
      </c>
      <c r="O36" s="60">
        <v>0</v>
      </c>
      <c r="P36" s="60">
        <v>1.68</v>
      </c>
      <c r="Q36" s="60">
        <v>131.97</v>
      </c>
      <c r="R36" s="198"/>
      <c r="S36" s="198"/>
      <c r="T36" s="198"/>
      <c r="U36" s="198"/>
    </row>
    <row r="37" spans="1:21" s="12" customFormat="1" x14ac:dyDescent="0.25">
      <c r="A37" s="201" t="s">
        <v>1619</v>
      </c>
      <c r="B37" s="60">
        <v>62.86</v>
      </c>
      <c r="C37" s="60">
        <v>122.67</v>
      </c>
      <c r="D37" s="60">
        <v>118.11</v>
      </c>
      <c r="E37" s="60">
        <v>5.23</v>
      </c>
      <c r="F37" s="60">
        <v>0.51</v>
      </c>
      <c r="G37" s="218" t="s">
        <v>42</v>
      </c>
      <c r="H37" s="218" t="s">
        <v>42</v>
      </c>
      <c r="I37" s="60">
        <v>0.77</v>
      </c>
      <c r="J37" s="60">
        <v>0.19</v>
      </c>
      <c r="K37" s="60">
        <v>40.729999999999997</v>
      </c>
      <c r="L37" s="213" t="s">
        <v>35</v>
      </c>
      <c r="M37" s="213" t="s">
        <v>35</v>
      </c>
      <c r="N37" s="60">
        <v>94.9</v>
      </c>
      <c r="O37" s="60">
        <v>0</v>
      </c>
      <c r="P37" s="60">
        <v>1.72</v>
      </c>
      <c r="Q37" s="60">
        <v>133.03</v>
      </c>
      <c r="R37" s="198"/>
      <c r="S37" s="198"/>
      <c r="T37" s="198"/>
      <c r="U37" s="198"/>
    </row>
    <row r="38" spans="1:21" s="12" customFormat="1" x14ac:dyDescent="0.25">
      <c r="A38" s="201" t="s">
        <v>1620</v>
      </c>
      <c r="B38" s="60">
        <v>64.83</v>
      </c>
      <c r="C38" s="60">
        <v>127.43</v>
      </c>
      <c r="D38" s="60">
        <v>122.31</v>
      </c>
      <c r="E38" s="60">
        <v>4.72</v>
      </c>
      <c r="F38" s="60">
        <v>0.59</v>
      </c>
      <c r="G38" s="218" t="s">
        <v>42</v>
      </c>
      <c r="H38" s="218" t="s">
        <v>42</v>
      </c>
      <c r="I38" s="60">
        <v>0.77</v>
      </c>
      <c r="J38" s="60">
        <v>0.34</v>
      </c>
      <c r="K38" s="60">
        <v>87.17</v>
      </c>
      <c r="L38" s="213" t="s">
        <v>35</v>
      </c>
      <c r="M38" s="213" t="s">
        <v>35</v>
      </c>
      <c r="N38" s="60">
        <v>177.4</v>
      </c>
      <c r="O38" s="60">
        <v>0</v>
      </c>
      <c r="P38" s="60">
        <v>1.85</v>
      </c>
      <c r="Q38" s="60">
        <v>134.87</v>
      </c>
      <c r="R38" s="198"/>
      <c r="S38" s="198"/>
      <c r="T38" s="198"/>
      <c r="U38" s="198"/>
    </row>
    <row r="39" spans="1:21" s="12" customFormat="1" x14ac:dyDescent="0.25">
      <c r="A39" s="201" t="s">
        <v>1621</v>
      </c>
      <c r="B39" s="60">
        <v>65.209999999999994</v>
      </c>
      <c r="C39" s="60">
        <v>137.26</v>
      </c>
      <c r="D39" s="60">
        <v>128.04</v>
      </c>
      <c r="E39" s="60">
        <v>4.91</v>
      </c>
      <c r="F39" s="60">
        <v>0.53</v>
      </c>
      <c r="G39" s="218" t="s">
        <v>42</v>
      </c>
      <c r="H39" s="218" t="s">
        <v>42</v>
      </c>
      <c r="I39" s="60">
        <v>0.77</v>
      </c>
      <c r="J39" s="60">
        <v>0.3</v>
      </c>
      <c r="K39" s="60">
        <v>104.59</v>
      </c>
      <c r="L39" s="213" t="s">
        <v>35</v>
      </c>
      <c r="M39" s="213" t="s">
        <v>35</v>
      </c>
      <c r="N39" s="60">
        <v>237</v>
      </c>
      <c r="O39" s="60">
        <v>0</v>
      </c>
      <c r="P39" s="60">
        <v>1.9</v>
      </c>
      <c r="Q39" s="60">
        <v>131.58000000000001</v>
      </c>
      <c r="R39" s="198"/>
      <c r="S39" s="198"/>
      <c r="T39" s="198"/>
      <c r="U39" s="198"/>
    </row>
    <row r="40" spans="1:21" s="12" customFormat="1" x14ac:dyDescent="0.25">
      <c r="A40" s="201" t="s">
        <v>1622</v>
      </c>
      <c r="B40" s="60">
        <v>64.75</v>
      </c>
      <c r="C40" s="60">
        <v>136.69999999999999</v>
      </c>
      <c r="D40" s="60">
        <v>127.37</v>
      </c>
      <c r="E40" s="60">
        <v>2.57</v>
      </c>
      <c r="F40" s="60">
        <v>1.23</v>
      </c>
      <c r="G40" s="218" t="s">
        <v>42</v>
      </c>
      <c r="H40" s="218" t="s">
        <v>42</v>
      </c>
      <c r="I40" s="60">
        <v>0.76</v>
      </c>
      <c r="J40" s="60">
        <v>0.21</v>
      </c>
      <c r="K40" s="60">
        <v>71.959999999999994</v>
      </c>
      <c r="L40" s="213" t="s">
        <v>35</v>
      </c>
      <c r="M40" s="213" t="s">
        <v>35</v>
      </c>
      <c r="N40" s="60">
        <v>289.5</v>
      </c>
      <c r="O40" s="60">
        <v>0</v>
      </c>
      <c r="P40" s="60">
        <v>1.91</v>
      </c>
      <c r="Q40" s="60">
        <v>130.05000000000001</v>
      </c>
      <c r="R40" s="198"/>
      <c r="S40" s="198"/>
      <c r="T40" s="198"/>
      <c r="U40" s="198"/>
    </row>
    <row r="41" spans="1:21" s="12" customFormat="1" x14ac:dyDescent="0.25">
      <c r="A41" s="201" t="s">
        <v>1623</v>
      </c>
      <c r="B41" s="60">
        <v>64.28</v>
      </c>
      <c r="C41" s="60">
        <v>132.36000000000001</v>
      </c>
      <c r="D41" s="60">
        <v>124.6</v>
      </c>
      <c r="E41" s="60">
        <v>4.92</v>
      </c>
      <c r="F41" s="60">
        <v>0.93</v>
      </c>
      <c r="G41" s="218" t="s">
        <v>42</v>
      </c>
      <c r="H41" s="218" t="s">
        <v>42</v>
      </c>
      <c r="I41" s="60">
        <v>0.75</v>
      </c>
      <c r="J41" s="60">
        <v>0.81</v>
      </c>
      <c r="K41" s="60">
        <v>134.01</v>
      </c>
      <c r="L41" s="213" t="s">
        <v>35</v>
      </c>
      <c r="M41" s="213" t="s">
        <v>35</v>
      </c>
      <c r="N41" s="60">
        <v>348.3</v>
      </c>
      <c r="O41" s="60">
        <v>0</v>
      </c>
      <c r="P41" s="60">
        <v>1.92</v>
      </c>
      <c r="Q41" s="60">
        <v>128.77000000000001</v>
      </c>
      <c r="R41" s="198"/>
      <c r="S41" s="198"/>
      <c r="T41" s="198"/>
      <c r="U41" s="198"/>
    </row>
    <row r="42" spans="1:21" s="12" customFormat="1" x14ac:dyDescent="0.25">
      <c r="A42" s="201" t="s">
        <v>1624</v>
      </c>
      <c r="B42" s="60">
        <v>62.03</v>
      </c>
      <c r="C42" s="60">
        <v>130.54</v>
      </c>
      <c r="D42" s="60">
        <v>121.79</v>
      </c>
      <c r="E42" s="60">
        <v>4.95</v>
      </c>
      <c r="F42" s="60">
        <v>0.87</v>
      </c>
      <c r="G42" s="218" t="s">
        <v>42</v>
      </c>
      <c r="H42" s="218" t="s">
        <v>42</v>
      </c>
      <c r="I42" s="60">
        <v>0.74</v>
      </c>
      <c r="J42" s="60">
        <v>0.72</v>
      </c>
      <c r="K42" s="60">
        <v>109.41</v>
      </c>
      <c r="L42" s="213" t="s">
        <v>35</v>
      </c>
      <c r="M42" s="213" t="s">
        <v>35</v>
      </c>
      <c r="N42" s="60">
        <v>402.6</v>
      </c>
      <c r="O42" s="60">
        <v>0</v>
      </c>
      <c r="P42" s="60">
        <v>1.89</v>
      </c>
      <c r="Q42" s="60">
        <v>130.77000000000001</v>
      </c>
      <c r="R42" s="198"/>
      <c r="S42" s="198"/>
      <c r="T42" s="198"/>
      <c r="U42" s="198"/>
    </row>
    <row r="43" spans="1:21" s="12" customFormat="1" x14ac:dyDescent="0.25">
      <c r="A43" s="201" t="s">
        <v>1625</v>
      </c>
      <c r="B43" s="60">
        <v>58.96</v>
      </c>
      <c r="C43" s="60">
        <v>128.22999999999999</v>
      </c>
      <c r="D43" s="60">
        <v>118.05</v>
      </c>
      <c r="E43" s="60">
        <v>5.05</v>
      </c>
      <c r="F43" s="60">
        <v>0.97</v>
      </c>
      <c r="G43" s="218" t="s">
        <v>42</v>
      </c>
      <c r="H43" s="218" t="s">
        <v>42</v>
      </c>
      <c r="I43" s="60">
        <v>0.73</v>
      </c>
      <c r="J43" s="60">
        <v>0.47</v>
      </c>
      <c r="K43" s="60">
        <v>48.46</v>
      </c>
      <c r="L43" s="213" t="s">
        <v>35</v>
      </c>
      <c r="M43" s="213" t="s">
        <v>35</v>
      </c>
      <c r="N43" s="60">
        <v>440.9</v>
      </c>
      <c r="O43" s="60">
        <v>0</v>
      </c>
      <c r="P43" s="60">
        <v>1.86</v>
      </c>
      <c r="Q43" s="60">
        <v>133.1</v>
      </c>
      <c r="R43" s="198"/>
      <c r="S43" s="198"/>
      <c r="T43" s="198"/>
      <c r="U43" s="198"/>
    </row>
    <row r="44" spans="1:21" s="12" customFormat="1" x14ac:dyDescent="0.25">
      <c r="A44" s="201" t="s">
        <v>1626</v>
      </c>
      <c r="B44" s="60">
        <v>56.24</v>
      </c>
      <c r="C44" s="60">
        <v>128.56</v>
      </c>
      <c r="D44" s="60">
        <v>116.05</v>
      </c>
      <c r="E44" s="60">
        <v>5.13</v>
      </c>
      <c r="F44" s="60">
        <v>0.87</v>
      </c>
      <c r="G44" s="218" t="s">
        <v>42</v>
      </c>
      <c r="H44" s="218" t="s">
        <v>42</v>
      </c>
      <c r="I44" s="60">
        <v>0.73</v>
      </c>
      <c r="J44" s="60">
        <v>0.96</v>
      </c>
      <c r="K44" s="60">
        <v>136.49</v>
      </c>
      <c r="L44" s="213" t="s">
        <v>35</v>
      </c>
      <c r="M44" s="213" t="s">
        <v>35</v>
      </c>
      <c r="N44" s="60">
        <v>478.8</v>
      </c>
      <c r="O44" s="60">
        <v>0</v>
      </c>
      <c r="P44" s="60">
        <v>1.84</v>
      </c>
      <c r="Q44" s="60">
        <v>133.19999999999999</v>
      </c>
      <c r="R44" s="198"/>
      <c r="S44" s="198"/>
      <c r="T44" s="198"/>
      <c r="U44" s="198"/>
    </row>
    <row r="45" spans="1:21" s="12" customFormat="1" x14ac:dyDescent="0.25">
      <c r="A45" s="201" t="s">
        <v>1627</v>
      </c>
      <c r="B45" s="60">
        <v>52.52</v>
      </c>
      <c r="C45" s="60">
        <v>125.75</v>
      </c>
      <c r="D45" s="60">
        <v>111.51</v>
      </c>
      <c r="E45" s="60">
        <v>5.6</v>
      </c>
      <c r="F45" s="60">
        <v>0.7</v>
      </c>
      <c r="G45" s="60">
        <v>202.82</v>
      </c>
      <c r="H45" s="60">
        <v>104.42</v>
      </c>
      <c r="I45" s="60">
        <v>0.71</v>
      </c>
      <c r="J45" s="60">
        <v>1.44</v>
      </c>
      <c r="K45" s="60">
        <v>123.61</v>
      </c>
      <c r="L45" s="213" t="s">
        <v>35</v>
      </c>
      <c r="M45" s="213" t="s">
        <v>35</v>
      </c>
      <c r="N45" s="60">
        <v>522.70000000000005</v>
      </c>
      <c r="O45" s="60">
        <v>0</v>
      </c>
      <c r="P45" s="60">
        <v>1.81</v>
      </c>
      <c r="Q45" s="60">
        <v>141.87</v>
      </c>
      <c r="R45" s="198"/>
      <c r="S45" s="198"/>
      <c r="T45" s="198"/>
      <c r="U45" s="198"/>
    </row>
    <row r="46" spans="1:21" s="12" customFormat="1" x14ac:dyDescent="0.25">
      <c r="A46" s="201" t="s">
        <v>1628</v>
      </c>
      <c r="B46" s="60">
        <v>47.27</v>
      </c>
      <c r="C46" s="60">
        <v>121.08</v>
      </c>
      <c r="D46" s="60">
        <v>104.73</v>
      </c>
      <c r="E46" s="60">
        <v>5.46</v>
      </c>
      <c r="F46" s="60">
        <v>0.88</v>
      </c>
      <c r="G46" s="60">
        <v>202.82</v>
      </c>
      <c r="H46" s="60">
        <v>104.42</v>
      </c>
      <c r="I46" s="60">
        <v>0.72</v>
      </c>
      <c r="J46" s="60">
        <v>0.96</v>
      </c>
      <c r="K46" s="60">
        <v>138.18</v>
      </c>
      <c r="L46" s="213" t="s">
        <v>35</v>
      </c>
      <c r="M46" s="213" t="s">
        <v>35</v>
      </c>
      <c r="N46" s="60">
        <v>546.1</v>
      </c>
      <c r="O46" s="60">
        <v>0</v>
      </c>
      <c r="P46" s="60">
        <v>1.74</v>
      </c>
      <c r="Q46" s="60">
        <v>156.46</v>
      </c>
      <c r="R46" s="198"/>
      <c r="S46" s="198"/>
      <c r="T46" s="198"/>
      <c r="U46" s="198"/>
    </row>
    <row r="47" spans="1:21" s="12" customFormat="1" x14ac:dyDescent="0.25">
      <c r="A47" s="201" t="s">
        <v>1629</v>
      </c>
      <c r="B47" s="60">
        <v>41.68</v>
      </c>
      <c r="C47" s="60">
        <v>117.02</v>
      </c>
      <c r="D47" s="60">
        <v>98</v>
      </c>
      <c r="E47" s="60">
        <v>5.61</v>
      </c>
      <c r="F47" s="60">
        <v>0.82</v>
      </c>
      <c r="G47" s="60">
        <v>202.82</v>
      </c>
      <c r="H47" s="60">
        <v>104.42</v>
      </c>
      <c r="I47" s="60">
        <v>0.71</v>
      </c>
      <c r="J47" s="60">
        <v>0.81</v>
      </c>
      <c r="K47" s="60">
        <v>112.08</v>
      </c>
      <c r="L47" s="213" t="s">
        <v>35</v>
      </c>
      <c r="M47" s="213" t="s">
        <v>35</v>
      </c>
      <c r="N47" s="60">
        <v>578.5</v>
      </c>
      <c r="O47" s="60">
        <v>0</v>
      </c>
      <c r="P47" s="60">
        <v>1.67</v>
      </c>
      <c r="Q47" s="60">
        <v>163.41999999999999</v>
      </c>
      <c r="R47" s="198"/>
      <c r="S47" s="198"/>
      <c r="T47" s="198"/>
      <c r="U47" s="198"/>
    </row>
    <row r="48" spans="1:21" s="12" customFormat="1" x14ac:dyDescent="0.25">
      <c r="A48" s="201" t="s">
        <v>1630</v>
      </c>
      <c r="B48" s="60">
        <v>36.659999999999997</v>
      </c>
      <c r="C48" s="60">
        <v>114.41</v>
      </c>
      <c r="D48" s="60">
        <v>92.54</v>
      </c>
      <c r="E48" s="60">
        <v>5.38</v>
      </c>
      <c r="F48" s="60">
        <v>1.52</v>
      </c>
      <c r="G48" s="60">
        <v>192.61</v>
      </c>
      <c r="H48" s="60">
        <v>102.16</v>
      </c>
      <c r="I48" s="60">
        <v>0.65</v>
      </c>
      <c r="J48" s="60">
        <v>0.59</v>
      </c>
      <c r="K48" s="60">
        <v>92.03</v>
      </c>
      <c r="L48" s="213" t="s">
        <v>35</v>
      </c>
      <c r="M48" s="213" t="s">
        <v>35</v>
      </c>
      <c r="N48" s="60">
        <v>595.79999999999995</v>
      </c>
      <c r="O48" s="60">
        <v>0</v>
      </c>
      <c r="P48" s="60">
        <v>1.61</v>
      </c>
      <c r="Q48" s="60">
        <v>165.13</v>
      </c>
      <c r="R48" s="198"/>
      <c r="S48" s="198"/>
      <c r="T48" s="198"/>
      <c r="U48" s="198"/>
    </row>
    <row r="49" spans="1:21" s="12" customFormat="1" x14ac:dyDescent="0.25">
      <c r="A49" s="201" t="s">
        <v>1631</v>
      </c>
      <c r="B49" s="60">
        <v>31.87</v>
      </c>
      <c r="C49" s="60">
        <v>112.89</v>
      </c>
      <c r="D49" s="60">
        <v>87.86</v>
      </c>
      <c r="E49" s="60">
        <v>5.46</v>
      </c>
      <c r="F49" s="60">
        <v>1.9</v>
      </c>
      <c r="G49" s="60">
        <v>106.51</v>
      </c>
      <c r="H49" s="60">
        <v>78.989999999999995</v>
      </c>
      <c r="I49" s="60">
        <v>0.65</v>
      </c>
      <c r="J49" s="60">
        <v>0.45</v>
      </c>
      <c r="K49" s="60">
        <v>87.78</v>
      </c>
      <c r="L49" s="213" t="s">
        <v>35</v>
      </c>
      <c r="M49" s="213" t="s">
        <v>35</v>
      </c>
      <c r="N49" s="60">
        <v>622.5</v>
      </c>
      <c r="O49" s="60">
        <v>0</v>
      </c>
      <c r="P49" s="60">
        <v>1.54</v>
      </c>
      <c r="Q49" s="60">
        <v>163.03</v>
      </c>
      <c r="R49" s="198"/>
      <c r="S49" s="198"/>
      <c r="T49" s="198"/>
      <c r="U49" s="198"/>
    </row>
    <row r="50" spans="1:21" s="12" customFormat="1" x14ac:dyDescent="0.25">
      <c r="A50" s="201" t="s">
        <v>1632</v>
      </c>
      <c r="B50" s="60">
        <v>24.61</v>
      </c>
      <c r="C50" s="60">
        <v>113.51</v>
      </c>
      <c r="D50" s="60">
        <v>82.38</v>
      </c>
      <c r="E50" s="60">
        <v>6.02</v>
      </c>
      <c r="F50" s="60">
        <v>3.18</v>
      </c>
      <c r="G50" s="60">
        <v>106.51</v>
      </c>
      <c r="H50" s="60">
        <v>78.989999999999995</v>
      </c>
      <c r="I50" s="60">
        <v>0.63</v>
      </c>
      <c r="J50" s="60">
        <v>0.84</v>
      </c>
      <c r="K50" s="60">
        <v>129.06</v>
      </c>
      <c r="L50" s="213" t="s">
        <v>35</v>
      </c>
      <c r="M50" s="213" t="s">
        <v>35</v>
      </c>
      <c r="N50" s="60">
        <v>638</v>
      </c>
      <c r="O50" s="60">
        <v>0</v>
      </c>
      <c r="P50" s="60">
        <v>1.45</v>
      </c>
      <c r="Q50" s="60">
        <v>160.22</v>
      </c>
      <c r="R50" s="198"/>
      <c r="S50" s="198"/>
      <c r="T50" s="198"/>
      <c r="U50" s="198"/>
    </row>
    <row r="51" spans="1:21" s="12" customFormat="1" x14ac:dyDescent="0.25">
      <c r="A51" s="201" t="s">
        <v>1633</v>
      </c>
      <c r="B51" s="60">
        <v>14.07</v>
      </c>
      <c r="C51" s="60">
        <v>112.93</v>
      </c>
      <c r="D51" s="60">
        <v>73.599999999999994</v>
      </c>
      <c r="E51" s="60">
        <v>5.97</v>
      </c>
      <c r="F51" s="60">
        <v>4.21</v>
      </c>
      <c r="G51" s="60">
        <v>106.51</v>
      </c>
      <c r="H51" s="60">
        <v>78.989999999999995</v>
      </c>
      <c r="I51" s="60">
        <v>0.6</v>
      </c>
      <c r="J51" s="60">
        <v>0.83</v>
      </c>
      <c r="K51" s="60">
        <v>133.27000000000001</v>
      </c>
      <c r="L51" s="213" t="s">
        <v>35</v>
      </c>
      <c r="M51" s="213" t="s">
        <v>35</v>
      </c>
      <c r="N51" s="60">
        <v>660.6</v>
      </c>
      <c r="O51" s="60">
        <v>0</v>
      </c>
      <c r="P51" s="60">
        <v>1.28</v>
      </c>
      <c r="Q51" s="60">
        <v>152.55000000000001</v>
      </c>
      <c r="R51" s="198"/>
      <c r="S51" s="198"/>
      <c r="T51" s="198"/>
      <c r="U51" s="198"/>
    </row>
    <row r="52" spans="1:21" s="12" customFormat="1" x14ac:dyDescent="0.25">
      <c r="A52" s="201" t="s">
        <v>1634</v>
      </c>
      <c r="B52" s="60">
        <v>6.1</v>
      </c>
      <c r="C52" s="60">
        <v>110.12</v>
      </c>
      <c r="D52" s="60">
        <v>65.66</v>
      </c>
      <c r="E52" s="60">
        <v>5.81</v>
      </c>
      <c r="F52" s="60">
        <v>6.48</v>
      </c>
      <c r="G52" s="60">
        <v>104.08</v>
      </c>
      <c r="H52" s="60">
        <v>78.09</v>
      </c>
      <c r="I52" s="60">
        <v>0.54</v>
      </c>
      <c r="J52" s="60">
        <v>1.1200000000000001</v>
      </c>
      <c r="K52" s="60">
        <v>135.19999999999999</v>
      </c>
      <c r="L52" s="213" t="s">
        <v>35</v>
      </c>
      <c r="M52" s="213" t="s">
        <v>35</v>
      </c>
      <c r="N52" s="60">
        <v>676.3</v>
      </c>
      <c r="O52" s="60">
        <v>0</v>
      </c>
      <c r="P52" s="60">
        <v>1.0900000000000001</v>
      </c>
      <c r="Q52" s="60">
        <v>138.86000000000001</v>
      </c>
      <c r="R52" s="198"/>
      <c r="S52" s="198"/>
      <c r="T52" s="198"/>
      <c r="U52" s="198"/>
    </row>
    <row r="53" spans="1:21" s="12" customFormat="1" x14ac:dyDescent="0.25">
      <c r="A53" s="201" t="s">
        <v>1635</v>
      </c>
      <c r="B53" s="60">
        <v>5.54</v>
      </c>
      <c r="C53" s="60">
        <v>106.09</v>
      </c>
      <c r="D53" s="60">
        <v>62.99</v>
      </c>
      <c r="E53" s="60">
        <v>6.08</v>
      </c>
      <c r="F53" s="60">
        <v>8.99</v>
      </c>
      <c r="G53" s="60">
        <v>83.59</v>
      </c>
      <c r="H53" s="60">
        <v>68.87</v>
      </c>
      <c r="I53" s="60">
        <v>0.47</v>
      </c>
      <c r="J53" s="60">
        <v>0.75</v>
      </c>
      <c r="K53" s="60">
        <v>96.64</v>
      </c>
      <c r="L53" s="213" t="s">
        <v>35</v>
      </c>
      <c r="M53" s="213" t="s">
        <v>35</v>
      </c>
      <c r="N53" s="60">
        <v>672.8</v>
      </c>
      <c r="O53" s="60">
        <v>0</v>
      </c>
      <c r="P53" s="60">
        <v>0.94</v>
      </c>
      <c r="Q53" s="60">
        <v>114.23</v>
      </c>
      <c r="R53" s="198"/>
      <c r="S53" s="198"/>
      <c r="T53" s="198"/>
      <c r="U53" s="198"/>
    </row>
    <row r="54" spans="1:21" s="12" customFormat="1" x14ac:dyDescent="0.25">
      <c r="A54" s="201" t="s">
        <v>1636</v>
      </c>
      <c r="B54" s="60">
        <v>3.87</v>
      </c>
      <c r="C54" s="60">
        <v>98.92</v>
      </c>
      <c r="D54" s="60">
        <v>57.7</v>
      </c>
      <c r="E54" s="60">
        <v>9.01</v>
      </c>
      <c r="F54" s="60">
        <v>11</v>
      </c>
      <c r="G54" s="60">
        <v>83.59</v>
      </c>
      <c r="H54" s="60">
        <v>68.87</v>
      </c>
      <c r="I54" s="60">
        <v>0.39</v>
      </c>
      <c r="J54" s="60">
        <v>0.62</v>
      </c>
      <c r="K54" s="60">
        <v>96.92</v>
      </c>
      <c r="L54" s="213" t="s">
        <v>35</v>
      </c>
      <c r="M54" s="213" t="s">
        <v>35</v>
      </c>
      <c r="N54" s="60">
        <v>683.5</v>
      </c>
      <c r="O54" s="60">
        <v>0</v>
      </c>
      <c r="P54" s="60">
        <v>0.82</v>
      </c>
      <c r="Q54" s="60">
        <v>105.7</v>
      </c>
      <c r="R54" s="198"/>
      <c r="S54" s="198"/>
      <c r="T54" s="198"/>
      <c r="U54" s="198"/>
    </row>
    <row r="55" spans="1:21" s="12" customFormat="1" x14ac:dyDescent="0.25">
      <c r="A55" s="201" t="s">
        <v>1637</v>
      </c>
      <c r="B55" s="60">
        <v>3.35</v>
      </c>
      <c r="C55" s="60">
        <v>101.71</v>
      </c>
      <c r="D55" s="60">
        <v>58.81</v>
      </c>
      <c r="E55" s="60">
        <v>8.49</v>
      </c>
      <c r="F55" s="60">
        <v>7.51</v>
      </c>
      <c r="G55" s="60">
        <v>83.59</v>
      </c>
      <c r="H55" s="60">
        <v>68.87</v>
      </c>
      <c r="I55" s="60">
        <v>0.33</v>
      </c>
      <c r="J55" s="60">
        <v>0.63</v>
      </c>
      <c r="K55" s="60">
        <v>125.7</v>
      </c>
      <c r="L55" s="213" t="s">
        <v>35</v>
      </c>
      <c r="M55" s="213" t="s">
        <v>35</v>
      </c>
      <c r="N55" s="60">
        <v>685.3</v>
      </c>
      <c r="O55" s="60">
        <v>0</v>
      </c>
      <c r="P55" s="60">
        <v>0.79</v>
      </c>
      <c r="Q55" s="60">
        <v>99.56</v>
      </c>
      <c r="R55" s="198"/>
      <c r="S55" s="198"/>
      <c r="T55" s="198"/>
      <c r="U55" s="198"/>
    </row>
    <row r="56" spans="1:21" s="12" customFormat="1" x14ac:dyDescent="0.25">
      <c r="A56" s="201" t="s">
        <v>1638</v>
      </c>
      <c r="B56" s="60">
        <v>2.13</v>
      </c>
      <c r="C56" s="60">
        <v>97.51</v>
      </c>
      <c r="D56" s="60">
        <v>55.53</v>
      </c>
      <c r="E56" s="60">
        <v>2.83</v>
      </c>
      <c r="F56" s="60">
        <v>9.1</v>
      </c>
      <c r="G56" s="60">
        <v>86.39</v>
      </c>
      <c r="H56" s="60">
        <v>68.87</v>
      </c>
      <c r="I56" s="60">
        <v>0.28999999999999998</v>
      </c>
      <c r="J56" s="60">
        <v>0.74</v>
      </c>
      <c r="K56" s="60">
        <v>117.87</v>
      </c>
      <c r="L56" s="213" t="s">
        <v>35</v>
      </c>
      <c r="M56" s="213" t="s">
        <v>35</v>
      </c>
      <c r="N56" s="60">
        <v>667.8</v>
      </c>
      <c r="O56" s="60">
        <v>0</v>
      </c>
      <c r="P56" s="60">
        <v>0.71</v>
      </c>
      <c r="Q56" s="60">
        <v>92.4</v>
      </c>
      <c r="R56" s="198"/>
      <c r="S56" s="198"/>
      <c r="T56" s="198"/>
      <c r="U56" s="198"/>
    </row>
    <row r="57" spans="1:21" s="12" customFormat="1" x14ac:dyDescent="0.25">
      <c r="A57" s="201" t="s">
        <v>1639</v>
      </c>
      <c r="B57" s="60">
        <v>3.03</v>
      </c>
      <c r="C57" s="60">
        <v>96.15</v>
      </c>
      <c r="D57" s="60">
        <v>55.49</v>
      </c>
      <c r="E57" s="60">
        <v>4.57</v>
      </c>
      <c r="F57" s="60">
        <v>5.9</v>
      </c>
      <c r="G57" s="60">
        <v>110.08</v>
      </c>
      <c r="H57" s="60">
        <v>68.900000000000006</v>
      </c>
      <c r="I57" s="60">
        <v>0.27</v>
      </c>
      <c r="J57" s="60">
        <v>0.74</v>
      </c>
      <c r="K57" s="60">
        <v>115.11</v>
      </c>
      <c r="L57" s="213" t="s">
        <v>35</v>
      </c>
      <c r="M57" s="213" t="s">
        <v>35</v>
      </c>
      <c r="N57" s="60">
        <v>656.9</v>
      </c>
      <c r="O57" s="60">
        <v>0</v>
      </c>
      <c r="P57" s="60">
        <v>0.7</v>
      </c>
      <c r="Q57" s="60">
        <v>87.4</v>
      </c>
      <c r="R57" s="198"/>
      <c r="S57" s="198"/>
      <c r="T57" s="198"/>
      <c r="U57" s="198"/>
    </row>
    <row r="58" spans="1:21" s="12" customFormat="1" x14ac:dyDescent="0.25">
      <c r="A58" s="201" t="s">
        <v>1640</v>
      </c>
      <c r="B58" s="60">
        <v>5.42</v>
      </c>
      <c r="C58" s="60">
        <v>98.59</v>
      </c>
      <c r="D58" s="60">
        <v>58.76</v>
      </c>
      <c r="E58" s="60">
        <v>5.09</v>
      </c>
      <c r="F58" s="60">
        <v>7.67</v>
      </c>
      <c r="G58" s="60">
        <v>110.08</v>
      </c>
      <c r="H58" s="60">
        <v>68.900000000000006</v>
      </c>
      <c r="I58" s="60">
        <v>0.25</v>
      </c>
      <c r="J58" s="60">
        <v>0.72</v>
      </c>
      <c r="K58" s="60">
        <v>102.38</v>
      </c>
      <c r="L58" s="213" t="s">
        <v>35</v>
      </c>
      <c r="M58" s="213" t="s">
        <v>35</v>
      </c>
      <c r="N58" s="60">
        <v>635.1</v>
      </c>
      <c r="O58" s="60">
        <v>0</v>
      </c>
      <c r="P58" s="60">
        <v>0.69</v>
      </c>
      <c r="Q58" s="60">
        <v>93.89</v>
      </c>
      <c r="R58" s="198"/>
      <c r="S58" s="198"/>
      <c r="T58" s="198"/>
      <c r="U58" s="198"/>
    </row>
    <row r="59" spans="1:21" s="12" customFormat="1" x14ac:dyDescent="0.25">
      <c r="A59" s="201" t="s">
        <v>1641</v>
      </c>
      <c r="B59" s="60">
        <v>3.4</v>
      </c>
      <c r="C59" s="60">
        <v>96.39</v>
      </c>
      <c r="D59" s="60">
        <v>55.92</v>
      </c>
      <c r="E59" s="60">
        <v>4.93</v>
      </c>
      <c r="F59" s="60">
        <v>4.68</v>
      </c>
      <c r="G59" s="60">
        <v>110.08</v>
      </c>
      <c r="H59" s="60">
        <v>68.900000000000006</v>
      </c>
      <c r="I59" s="60">
        <v>0.25</v>
      </c>
      <c r="J59" s="60">
        <v>0.33</v>
      </c>
      <c r="K59" s="60">
        <v>106.67</v>
      </c>
      <c r="L59" s="213" t="s">
        <v>35</v>
      </c>
      <c r="M59" s="213" t="s">
        <v>35</v>
      </c>
      <c r="N59" s="60">
        <v>604.70000000000005</v>
      </c>
      <c r="O59" s="60">
        <v>0</v>
      </c>
      <c r="P59" s="60">
        <v>0.67</v>
      </c>
      <c r="Q59" s="60">
        <v>97.21</v>
      </c>
      <c r="R59" s="198"/>
      <c r="S59" s="198"/>
      <c r="T59" s="198"/>
      <c r="U59" s="198"/>
    </row>
    <row r="60" spans="1:21" s="12" customFormat="1" x14ac:dyDescent="0.25">
      <c r="A60" s="201" t="s">
        <v>1642</v>
      </c>
      <c r="B60" s="60">
        <v>1.96</v>
      </c>
      <c r="C60" s="60">
        <v>88.61</v>
      </c>
      <c r="D60" s="60">
        <v>50.47</v>
      </c>
      <c r="E60" s="60">
        <v>6.68</v>
      </c>
      <c r="F60" s="60">
        <v>11.07</v>
      </c>
      <c r="G60" s="60">
        <v>107.98</v>
      </c>
      <c r="H60" s="60">
        <v>68.03</v>
      </c>
      <c r="I60" s="60">
        <v>0.25</v>
      </c>
      <c r="J60" s="60">
        <v>0.99</v>
      </c>
      <c r="K60" s="60">
        <v>145.01</v>
      </c>
      <c r="L60" s="213" t="s">
        <v>35</v>
      </c>
      <c r="M60" s="213" t="s">
        <v>35</v>
      </c>
      <c r="N60" s="60">
        <v>593.29999999999995</v>
      </c>
      <c r="O60" s="60">
        <v>0</v>
      </c>
      <c r="P60" s="60">
        <v>0.62</v>
      </c>
      <c r="Q60" s="60">
        <v>98.85</v>
      </c>
      <c r="R60" s="198"/>
      <c r="S60" s="198"/>
      <c r="T60" s="198"/>
      <c r="U60" s="198"/>
    </row>
    <row r="61" spans="1:21" s="12" customFormat="1" x14ac:dyDescent="0.25">
      <c r="A61" s="201" t="s">
        <v>1643</v>
      </c>
      <c r="B61" s="60">
        <v>1.38</v>
      </c>
      <c r="C61" s="60">
        <v>81.59</v>
      </c>
      <c r="D61" s="60">
        <v>46.13</v>
      </c>
      <c r="E61" s="60">
        <v>6.92</v>
      </c>
      <c r="F61" s="60">
        <v>10.09</v>
      </c>
      <c r="G61" s="60">
        <v>90.31</v>
      </c>
      <c r="H61" s="60">
        <v>59.05</v>
      </c>
      <c r="I61" s="60">
        <v>0.25</v>
      </c>
      <c r="J61" s="60">
        <v>0.81</v>
      </c>
      <c r="K61" s="60">
        <v>146.22</v>
      </c>
      <c r="L61" s="213" t="s">
        <v>35</v>
      </c>
      <c r="M61" s="213" t="s">
        <v>35</v>
      </c>
      <c r="N61" s="60">
        <v>563.4</v>
      </c>
      <c r="O61" s="60">
        <v>0</v>
      </c>
      <c r="P61" s="60">
        <v>0.62</v>
      </c>
      <c r="Q61" s="60">
        <v>99.32</v>
      </c>
      <c r="R61" s="198"/>
      <c r="S61" s="198"/>
      <c r="T61" s="198"/>
      <c r="U61" s="198"/>
    </row>
    <row r="62" spans="1:21" s="12" customFormat="1" x14ac:dyDescent="0.25">
      <c r="A62" s="201" t="s">
        <v>1644</v>
      </c>
      <c r="B62" s="60">
        <v>2.25</v>
      </c>
      <c r="C62" s="60">
        <v>84.04</v>
      </c>
      <c r="D62" s="60">
        <v>48.18</v>
      </c>
      <c r="E62" s="60">
        <v>7.73</v>
      </c>
      <c r="F62" s="60">
        <v>14.51</v>
      </c>
      <c r="G62" s="60">
        <v>90.31</v>
      </c>
      <c r="H62" s="60">
        <v>59.05</v>
      </c>
      <c r="I62" s="60">
        <v>0.24</v>
      </c>
      <c r="J62" s="60">
        <v>0.48</v>
      </c>
      <c r="K62" s="60">
        <v>92.84</v>
      </c>
      <c r="L62" s="213" t="s">
        <v>35</v>
      </c>
      <c r="M62" s="213" t="s">
        <v>35</v>
      </c>
      <c r="N62" s="60">
        <v>531.79999999999995</v>
      </c>
      <c r="O62" s="60">
        <v>0</v>
      </c>
      <c r="P62" s="60">
        <v>0.68</v>
      </c>
      <c r="Q62" s="60">
        <v>110.04</v>
      </c>
      <c r="R62" s="198"/>
      <c r="S62" s="198"/>
      <c r="T62" s="198"/>
      <c r="U62" s="198"/>
    </row>
    <row r="63" spans="1:21" s="12" customFormat="1" x14ac:dyDescent="0.25">
      <c r="A63" s="201" t="s">
        <v>1645</v>
      </c>
      <c r="B63" s="60">
        <v>4.8899999999999997</v>
      </c>
      <c r="C63" s="60">
        <v>83.69</v>
      </c>
      <c r="D63" s="60">
        <v>50.11</v>
      </c>
      <c r="E63" s="60">
        <v>6.11</v>
      </c>
      <c r="F63" s="60">
        <v>13.25</v>
      </c>
      <c r="G63" s="60">
        <v>90.31</v>
      </c>
      <c r="H63" s="60">
        <v>59.05</v>
      </c>
      <c r="I63" s="60">
        <v>0.27</v>
      </c>
      <c r="J63" s="60">
        <v>0.99</v>
      </c>
      <c r="K63" s="60">
        <v>48.34</v>
      </c>
      <c r="L63" s="213" t="s">
        <v>35</v>
      </c>
      <c r="M63" s="213" t="s">
        <v>35</v>
      </c>
      <c r="N63" s="60">
        <v>498.1</v>
      </c>
      <c r="O63" s="60">
        <v>0</v>
      </c>
      <c r="P63" s="60">
        <v>0.7</v>
      </c>
      <c r="Q63" s="60">
        <v>111.02</v>
      </c>
      <c r="R63" s="198"/>
      <c r="S63" s="198"/>
      <c r="T63" s="198"/>
      <c r="U63" s="198"/>
    </row>
    <row r="64" spans="1:21" s="12" customFormat="1" x14ac:dyDescent="0.25">
      <c r="A64" s="201" t="s">
        <v>1646</v>
      </c>
      <c r="B64" s="60">
        <v>2.72</v>
      </c>
      <c r="C64" s="60">
        <v>84.93</v>
      </c>
      <c r="D64" s="60">
        <v>49.06</v>
      </c>
      <c r="E64" s="60">
        <v>5.0599999999999996</v>
      </c>
      <c r="F64" s="60">
        <v>3.66</v>
      </c>
      <c r="G64" s="60">
        <v>95.87</v>
      </c>
      <c r="H64" s="60">
        <v>58.96</v>
      </c>
      <c r="I64" s="60">
        <v>0.24</v>
      </c>
      <c r="J64" s="60">
        <v>0.74</v>
      </c>
      <c r="K64" s="60">
        <v>25.95</v>
      </c>
      <c r="L64" s="213" t="s">
        <v>35</v>
      </c>
      <c r="M64" s="213" t="s">
        <v>35</v>
      </c>
      <c r="N64" s="60">
        <v>471.1</v>
      </c>
      <c r="O64" s="60">
        <v>0</v>
      </c>
      <c r="P64" s="60">
        <v>0.72</v>
      </c>
      <c r="Q64" s="60">
        <v>115.37</v>
      </c>
      <c r="R64" s="198"/>
      <c r="S64" s="198"/>
      <c r="T64" s="198"/>
      <c r="U64" s="198"/>
    </row>
    <row r="65" spans="1:21" s="12" customFormat="1" x14ac:dyDescent="0.25">
      <c r="A65" s="201" t="s">
        <v>1647</v>
      </c>
      <c r="B65" s="60">
        <v>3.1</v>
      </c>
      <c r="C65" s="60">
        <v>84.35</v>
      </c>
      <c r="D65" s="60">
        <v>49.04</v>
      </c>
      <c r="E65" s="60">
        <v>5.18</v>
      </c>
      <c r="F65" s="60">
        <v>5.5</v>
      </c>
      <c r="G65" s="60">
        <v>142.72999999999999</v>
      </c>
      <c r="H65" s="60">
        <v>57.96</v>
      </c>
      <c r="I65" s="60">
        <v>0.25</v>
      </c>
      <c r="J65" s="60">
        <v>0.51</v>
      </c>
      <c r="K65" s="60">
        <v>51.84</v>
      </c>
      <c r="L65" s="213" t="s">
        <v>35</v>
      </c>
      <c r="M65" s="213" t="s">
        <v>35</v>
      </c>
      <c r="N65" s="60">
        <v>456.7</v>
      </c>
      <c r="O65" s="60">
        <v>0</v>
      </c>
      <c r="P65" s="60">
        <v>0.74</v>
      </c>
      <c r="Q65" s="60">
        <v>118.17</v>
      </c>
      <c r="R65" s="198"/>
      <c r="S65" s="198"/>
      <c r="T65" s="198"/>
      <c r="U65" s="198"/>
    </row>
    <row r="66" spans="1:21" s="12" customFormat="1" x14ac:dyDescent="0.25">
      <c r="A66" s="201" t="s">
        <v>1648</v>
      </c>
      <c r="B66" s="60">
        <v>3.43</v>
      </c>
      <c r="C66" s="60">
        <v>85.97</v>
      </c>
      <c r="D66" s="60">
        <v>50.2</v>
      </c>
      <c r="E66" s="60">
        <v>5.26</v>
      </c>
      <c r="F66" s="60">
        <v>4.16</v>
      </c>
      <c r="G66" s="60">
        <v>142.72999999999999</v>
      </c>
      <c r="H66" s="60">
        <v>57.96</v>
      </c>
      <c r="I66" s="60">
        <v>0.28999999999999998</v>
      </c>
      <c r="J66" s="60">
        <v>0.53</v>
      </c>
      <c r="K66" s="60">
        <v>19.63</v>
      </c>
      <c r="L66" s="213" t="s">
        <v>35</v>
      </c>
      <c r="M66" s="213" t="s">
        <v>35</v>
      </c>
      <c r="N66" s="60">
        <v>332.1</v>
      </c>
      <c r="O66" s="60">
        <v>0</v>
      </c>
      <c r="P66" s="60">
        <v>0.75</v>
      </c>
      <c r="Q66" s="60">
        <v>121.37</v>
      </c>
      <c r="R66" s="198"/>
      <c r="S66" s="198"/>
      <c r="T66" s="198"/>
      <c r="U66" s="198"/>
    </row>
    <row r="67" spans="1:21" s="12" customFormat="1" x14ac:dyDescent="0.25">
      <c r="A67" s="201" t="s">
        <v>1649</v>
      </c>
      <c r="B67" s="60">
        <v>2.71</v>
      </c>
      <c r="C67" s="60">
        <v>81.319999999999993</v>
      </c>
      <c r="D67" s="60">
        <v>47.05</v>
      </c>
      <c r="E67" s="60">
        <v>4.2300000000000004</v>
      </c>
      <c r="F67" s="60">
        <v>6.69</v>
      </c>
      <c r="G67" s="60">
        <v>142.72999999999999</v>
      </c>
      <c r="H67" s="60">
        <v>57.96</v>
      </c>
      <c r="I67" s="60">
        <v>0.3</v>
      </c>
      <c r="J67" s="60">
        <v>0.79</v>
      </c>
      <c r="K67" s="60">
        <v>21.39</v>
      </c>
      <c r="L67" s="213" t="s">
        <v>35</v>
      </c>
      <c r="M67" s="213" t="s">
        <v>35</v>
      </c>
      <c r="N67" s="60">
        <v>203.5</v>
      </c>
      <c r="O67" s="60">
        <v>0</v>
      </c>
      <c r="P67" s="60">
        <v>0.75</v>
      </c>
      <c r="Q67" s="60">
        <v>113.75</v>
      </c>
      <c r="R67" s="198"/>
      <c r="S67" s="198"/>
      <c r="T67" s="198"/>
      <c r="U67" s="198"/>
    </row>
    <row r="68" spans="1:21" s="12" customFormat="1" x14ac:dyDescent="0.25">
      <c r="A68" s="201" t="s">
        <v>1650</v>
      </c>
      <c r="B68" s="60">
        <v>2.64</v>
      </c>
      <c r="C68" s="60">
        <v>83.16</v>
      </c>
      <c r="D68" s="60">
        <v>48.01</v>
      </c>
      <c r="E68" s="60">
        <v>5.22</v>
      </c>
      <c r="F68" s="60">
        <v>7.57</v>
      </c>
      <c r="G68" s="60">
        <v>140.84</v>
      </c>
      <c r="H68" s="60">
        <v>58.06</v>
      </c>
      <c r="I68" s="60">
        <v>0.32</v>
      </c>
      <c r="J68" s="60">
        <v>0.65</v>
      </c>
      <c r="K68" s="60">
        <v>36.08</v>
      </c>
      <c r="L68" s="213" t="s">
        <v>35</v>
      </c>
      <c r="M68" s="213" t="s">
        <v>35</v>
      </c>
      <c r="N68" s="60">
        <v>140.4</v>
      </c>
      <c r="O68" s="60">
        <v>0</v>
      </c>
      <c r="P68" s="60">
        <v>0.77</v>
      </c>
      <c r="Q68" s="60">
        <v>103.04</v>
      </c>
      <c r="R68" s="198"/>
      <c r="S68" s="198"/>
      <c r="T68" s="198"/>
      <c r="U68" s="198"/>
    </row>
    <row r="69" spans="1:21" s="12" customFormat="1" x14ac:dyDescent="0.25">
      <c r="A69" s="201" t="s">
        <v>1651</v>
      </c>
      <c r="B69" s="60">
        <v>4.88</v>
      </c>
      <c r="C69" s="60">
        <v>91</v>
      </c>
      <c r="D69" s="60">
        <v>54.13</v>
      </c>
      <c r="E69" s="60">
        <v>4.75</v>
      </c>
      <c r="F69" s="60">
        <v>7.14</v>
      </c>
      <c r="G69" s="60">
        <v>124.96</v>
      </c>
      <c r="H69" s="60">
        <v>59.11</v>
      </c>
      <c r="I69" s="60">
        <v>0.31</v>
      </c>
      <c r="J69" s="60">
        <v>0.85</v>
      </c>
      <c r="K69" s="60">
        <v>43.83</v>
      </c>
      <c r="L69" s="213" t="s">
        <v>35</v>
      </c>
      <c r="M69" s="213" t="s">
        <v>35</v>
      </c>
      <c r="N69" s="60">
        <v>129.80000000000001</v>
      </c>
      <c r="O69" s="60">
        <v>0</v>
      </c>
      <c r="P69" s="60">
        <v>0.77</v>
      </c>
      <c r="Q69" s="60">
        <v>95.96</v>
      </c>
      <c r="R69" s="198"/>
      <c r="S69" s="198"/>
      <c r="T69" s="198"/>
      <c r="U69" s="198"/>
    </row>
    <row r="70" spans="1:21" s="12" customFormat="1" x14ac:dyDescent="0.25">
      <c r="A70" s="201" t="s">
        <v>1652</v>
      </c>
      <c r="B70" s="60">
        <v>5.22</v>
      </c>
      <c r="C70" s="60">
        <v>88.6</v>
      </c>
      <c r="D70" s="60">
        <v>53.08</v>
      </c>
      <c r="E70" s="60">
        <v>5.56</v>
      </c>
      <c r="F70" s="60">
        <v>9.01</v>
      </c>
      <c r="G70" s="60">
        <v>124.96</v>
      </c>
      <c r="H70" s="60">
        <v>59.11</v>
      </c>
      <c r="I70" s="60">
        <v>0.34</v>
      </c>
      <c r="J70" s="60">
        <v>0.34</v>
      </c>
      <c r="K70" s="60">
        <v>71.12</v>
      </c>
      <c r="L70" s="213" t="s">
        <v>35</v>
      </c>
      <c r="M70" s="213" t="s">
        <v>35</v>
      </c>
      <c r="N70" s="60">
        <v>111.7</v>
      </c>
      <c r="O70" s="60">
        <v>0</v>
      </c>
      <c r="P70" s="60">
        <v>0.77</v>
      </c>
      <c r="Q70" s="60">
        <v>98.98</v>
      </c>
      <c r="R70" s="198"/>
      <c r="S70" s="198"/>
      <c r="T70" s="198"/>
      <c r="U70" s="198"/>
    </row>
    <row r="71" spans="1:21" s="12" customFormat="1" x14ac:dyDescent="0.25">
      <c r="A71" s="201" t="s">
        <v>1653</v>
      </c>
      <c r="B71" s="60">
        <v>7.27</v>
      </c>
      <c r="C71" s="60">
        <v>97.09</v>
      </c>
      <c r="D71" s="60">
        <v>59.41</v>
      </c>
      <c r="E71" s="60">
        <v>5.51</v>
      </c>
      <c r="F71" s="60">
        <v>11.77</v>
      </c>
      <c r="G71" s="60">
        <v>124.96</v>
      </c>
      <c r="H71" s="60">
        <v>59.11</v>
      </c>
      <c r="I71" s="60">
        <v>0.28999999999999998</v>
      </c>
      <c r="J71" s="60">
        <v>1.1599999999999999</v>
      </c>
      <c r="K71" s="60">
        <v>44.66</v>
      </c>
      <c r="L71" s="213" t="s">
        <v>35</v>
      </c>
      <c r="M71" s="213" t="s">
        <v>35</v>
      </c>
      <c r="N71" s="60">
        <v>90</v>
      </c>
      <c r="O71" s="60">
        <v>0</v>
      </c>
      <c r="P71" s="60">
        <v>0.84</v>
      </c>
      <c r="Q71" s="60">
        <v>100.56</v>
      </c>
      <c r="R71" s="198"/>
      <c r="S71" s="198"/>
      <c r="T71" s="198"/>
      <c r="U71" s="198"/>
    </row>
    <row r="72" spans="1:21" s="12" customFormat="1" x14ac:dyDescent="0.25">
      <c r="A72" s="201" t="s">
        <v>1654</v>
      </c>
      <c r="B72" s="60">
        <v>5.0599999999999996</v>
      </c>
      <c r="C72" s="60">
        <v>98.13</v>
      </c>
      <c r="D72" s="60">
        <v>58.21</v>
      </c>
      <c r="E72" s="60">
        <v>4.55</v>
      </c>
      <c r="F72" s="60">
        <v>17.25</v>
      </c>
      <c r="G72" s="60">
        <v>123.32</v>
      </c>
      <c r="H72" s="60">
        <v>58.62</v>
      </c>
      <c r="I72" s="60">
        <v>0.28000000000000003</v>
      </c>
      <c r="J72" s="60">
        <v>0.69</v>
      </c>
      <c r="K72" s="60">
        <v>40.46</v>
      </c>
      <c r="L72" s="213" t="s">
        <v>35</v>
      </c>
      <c r="M72" s="213" t="s">
        <v>35</v>
      </c>
      <c r="N72" s="60">
        <v>75.900000000000006</v>
      </c>
      <c r="O72" s="60">
        <v>0</v>
      </c>
      <c r="P72" s="60">
        <v>0.87</v>
      </c>
      <c r="Q72" s="60">
        <v>99.58</v>
      </c>
      <c r="R72" s="198"/>
      <c r="S72" s="198"/>
      <c r="T72" s="198"/>
      <c r="U72" s="198"/>
    </row>
    <row r="73" spans="1:21" s="12" customFormat="1" x14ac:dyDescent="0.25">
      <c r="A73" s="201" t="s">
        <v>1655</v>
      </c>
      <c r="B73" s="60">
        <v>6.95</v>
      </c>
      <c r="C73" s="60">
        <v>105.12</v>
      </c>
      <c r="D73" s="60">
        <v>63.59</v>
      </c>
      <c r="E73" s="60">
        <v>8.98</v>
      </c>
      <c r="F73" s="60">
        <v>15.9</v>
      </c>
      <c r="G73" s="60">
        <v>109.54</v>
      </c>
      <c r="H73" s="60">
        <v>53.59</v>
      </c>
      <c r="I73" s="60">
        <v>0.28000000000000003</v>
      </c>
      <c r="J73" s="60">
        <v>0.96</v>
      </c>
      <c r="K73" s="60">
        <v>42.68</v>
      </c>
      <c r="L73" s="213" t="s">
        <v>35</v>
      </c>
      <c r="M73" s="213" t="s">
        <v>35</v>
      </c>
      <c r="N73" s="60">
        <v>64.400000000000006</v>
      </c>
      <c r="O73" s="60">
        <v>0</v>
      </c>
      <c r="P73" s="60">
        <v>0.96</v>
      </c>
      <c r="Q73" s="60">
        <v>98.5</v>
      </c>
      <c r="R73" s="198"/>
      <c r="S73" s="198"/>
      <c r="T73" s="198"/>
      <c r="U73" s="198"/>
    </row>
    <row r="74" spans="1:21" s="12" customFormat="1" x14ac:dyDescent="0.25">
      <c r="A74" s="201" t="s">
        <v>1656</v>
      </c>
      <c r="B74" s="60">
        <v>8.3699999999999992</v>
      </c>
      <c r="C74" s="60">
        <v>111.8</v>
      </c>
      <c r="D74" s="60">
        <v>68.41</v>
      </c>
      <c r="E74" s="60">
        <v>12.3</v>
      </c>
      <c r="F74" s="60">
        <v>13.57</v>
      </c>
      <c r="G74" s="60">
        <v>109.54</v>
      </c>
      <c r="H74" s="60">
        <v>53.59</v>
      </c>
      <c r="I74" s="60">
        <v>0.26</v>
      </c>
      <c r="J74" s="60">
        <v>0.8</v>
      </c>
      <c r="K74" s="60">
        <v>40.96</v>
      </c>
      <c r="L74" s="213" t="s">
        <v>35</v>
      </c>
      <c r="M74" s="213" t="s">
        <v>35</v>
      </c>
      <c r="N74" s="60">
        <v>53.7</v>
      </c>
      <c r="O74" s="60">
        <v>0</v>
      </c>
      <c r="P74" s="60">
        <v>1.02</v>
      </c>
      <c r="Q74" s="60">
        <v>111.82</v>
      </c>
      <c r="R74" s="198"/>
      <c r="S74" s="198"/>
      <c r="T74" s="198"/>
      <c r="U74" s="198"/>
    </row>
    <row r="75" spans="1:21" s="12" customFormat="1" x14ac:dyDescent="0.25">
      <c r="A75" s="201" t="s">
        <v>1657</v>
      </c>
      <c r="B75" s="60">
        <v>9.3699999999999992</v>
      </c>
      <c r="C75" s="60">
        <v>115.96</v>
      </c>
      <c r="D75" s="60">
        <v>71.510000000000005</v>
      </c>
      <c r="E75" s="60">
        <v>7.16</v>
      </c>
      <c r="F75" s="60">
        <v>12.26</v>
      </c>
      <c r="G75" s="60">
        <v>109.54</v>
      </c>
      <c r="H75" s="60">
        <v>53.59</v>
      </c>
      <c r="I75" s="60">
        <v>0.27</v>
      </c>
      <c r="J75" s="60">
        <v>0.85</v>
      </c>
      <c r="K75" s="60">
        <v>28.32</v>
      </c>
      <c r="L75" s="213" t="s">
        <v>35</v>
      </c>
      <c r="M75" s="213" t="s">
        <v>35</v>
      </c>
      <c r="N75" s="60">
        <v>43.6</v>
      </c>
      <c r="O75" s="60">
        <v>0</v>
      </c>
      <c r="P75" s="60">
        <v>1.1100000000000001</v>
      </c>
      <c r="Q75" s="60">
        <v>124.49</v>
      </c>
      <c r="R75" s="198"/>
      <c r="S75" s="198"/>
      <c r="T75" s="198"/>
      <c r="U75" s="198"/>
    </row>
    <row r="76" spans="1:21" s="12" customFormat="1" x14ac:dyDescent="0.25">
      <c r="A76" s="201" t="s">
        <v>1658</v>
      </c>
      <c r="B76" s="60">
        <v>13.11</v>
      </c>
      <c r="C76" s="60">
        <v>136.37</v>
      </c>
      <c r="D76" s="60">
        <v>85.77</v>
      </c>
      <c r="E76" s="60">
        <v>6.57</v>
      </c>
      <c r="F76" s="60">
        <v>8.4</v>
      </c>
      <c r="G76" s="60">
        <v>111.38</v>
      </c>
      <c r="H76" s="60">
        <v>53.52</v>
      </c>
      <c r="I76" s="60">
        <v>0.28999999999999998</v>
      </c>
      <c r="J76" s="60">
        <v>0.5</v>
      </c>
      <c r="K76" s="60">
        <v>25.7</v>
      </c>
      <c r="L76" s="213" t="s">
        <v>35</v>
      </c>
      <c r="M76" s="213" t="s">
        <v>35</v>
      </c>
      <c r="N76" s="60">
        <v>33.799999999999997</v>
      </c>
      <c r="O76" s="60">
        <v>0</v>
      </c>
      <c r="P76" s="60">
        <v>1.3</v>
      </c>
      <c r="Q76" s="60">
        <v>131.51</v>
      </c>
      <c r="R76" s="198"/>
      <c r="S76" s="198"/>
      <c r="T76" s="198"/>
      <c r="U76" s="198"/>
    </row>
    <row r="77" spans="1:21" s="12" customFormat="1" x14ac:dyDescent="0.25">
      <c r="A77" s="201" t="s">
        <v>1659</v>
      </c>
      <c r="B77" s="60">
        <v>22.19</v>
      </c>
      <c r="C77" s="60">
        <v>153.9</v>
      </c>
      <c r="D77" s="60">
        <v>102.73</v>
      </c>
      <c r="E77" s="60">
        <v>6.47</v>
      </c>
      <c r="F77" s="60">
        <v>6.94</v>
      </c>
      <c r="G77" s="60">
        <v>126.92</v>
      </c>
      <c r="H77" s="60">
        <v>52.8</v>
      </c>
      <c r="I77" s="60">
        <v>0.32</v>
      </c>
      <c r="J77" s="60">
        <v>0.36</v>
      </c>
      <c r="K77" s="60">
        <v>30.22</v>
      </c>
      <c r="L77" s="213" t="s">
        <v>35</v>
      </c>
      <c r="M77" s="213" t="s">
        <v>35</v>
      </c>
      <c r="N77" s="60">
        <v>24.1</v>
      </c>
      <c r="O77" s="60">
        <v>0</v>
      </c>
      <c r="P77" s="60">
        <v>1.52</v>
      </c>
      <c r="Q77" s="60">
        <v>133.34</v>
      </c>
      <c r="R77" s="198"/>
      <c r="S77" s="198"/>
      <c r="T77" s="198"/>
      <c r="U77" s="198"/>
    </row>
    <row r="78" spans="1:21" s="12" customFormat="1" x14ac:dyDescent="0.25">
      <c r="A78" s="201" t="s">
        <v>1660</v>
      </c>
      <c r="B78" s="60">
        <v>19.77</v>
      </c>
      <c r="C78" s="60">
        <v>165.85</v>
      </c>
      <c r="D78" s="60">
        <v>107.38</v>
      </c>
      <c r="E78" s="60">
        <v>6.07</v>
      </c>
      <c r="F78" s="60">
        <v>3.08</v>
      </c>
      <c r="G78" s="60">
        <v>126.92</v>
      </c>
      <c r="H78" s="60">
        <v>52.8</v>
      </c>
      <c r="I78" s="60">
        <v>0.42</v>
      </c>
      <c r="J78" s="60">
        <v>0.06</v>
      </c>
      <c r="K78" s="60">
        <v>169.84</v>
      </c>
      <c r="L78" s="213" t="s">
        <v>35</v>
      </c>
      <c r="M78" s="213" t="s">
        <v>35</v>
      </c>
      <c r="N78" s="60">
        <v>19.5</v>
      </c>
      <c r="O78" s="60">
        <v>0</v>
      </c>
      <c r="P78" s="60">
        <v>1.56</v>
      </c>
      <c r="Q78" s="60">
        <v>143.07</v>
      </c>
      <c r="R78" s="198"/>
      <c r="S78" s="198"/>
      <c r="T78" s="198"/>
      <c r="U78" s="198"/>
    </row>
    <row r="79" spans="1:21" s="12" customFormat="1" x14ac:dyDescent="0.25">
      <c r="A79" s="201" t="s">
        <v>1661</v>
      </c>
      <c r="B79" s="60">
        <v>20.6</v>
      </c>
      <c r="C79" s="60">
        <v>155.07</v>
      </c>
      <c r="D79" s="60">
        <v>102.09</v>
      </c>
      <c r="E79" s="60">
        <v>4.33</v>
      </c>
      <c r="F79" s="60">
        <v>1.07</v>
      </c>
      <c r="G79" s="60">
        <v>126.92</v>
      </c>
      <c r="H79" s="60">
        <v>52.8</v>
      </c>
      <c r="I79" s="60">
        <v>0.47</v>
      </c>
      <c r="J79" s="60">
        <v>7.0000000000000007E-2</v>
      </c>
      <c r="K79" s="60">
        <v>132.65</v>
      </c>
      <c r="L79" s="213" t="s">
        <v>35</v>
      </c>
      <c r="M79" s="213" t="s">
        <v>35</v>
      </c>
      <c r="N79" s="60">
        <v>18</v>
      </c>
      <c r="O79" s="60">
        <v>0</v>
      </c>
      <c r="P79" s="60">
        <v>1.5</v>
      </c>
      <c r="Q79" s="60">
        <v>150.04</v>
      </c>
      <c r="R79" s="198"/>
      <c r="S79" s="198"/>
      <c r="T79" s="198"/>
      <c r="U79" s="198"/>
    </row>
    <row r="80" spans="1:21" s="12" customFormat="1" x14ac:dyDescent="0.25">
      <c r="A80" s="201" t="s">
        <v>1662</v>
      </c>
      <c r="B80" s="60">
        <v>25.67</v>
      </c>
      <c r="C80" s="60">
        <v>152.32</v>
      </c>
      <c r="D80" s="60">
        <v>104.65</v>
      </c>
      <c r="E80" s="60">
        <v>3.77</v>
      </c>
      <c r="F80" s="60">
        <v>0.75</v>
      </c>
      <c r="G80" s="60">
        <v>147.43</v>
      </c>
      <c r="H80" s="60">
        <v>53.42</v>
      </c>
      <c r="I80" s="60">
        <v>0.52</v>
      </c>
      <c r="J80" s="60">
        <v>0.09</v>
      </c>
      <c r="K80" s="60">
        <v>355.97</v>
      </c>
      <c r="L80" s="213" t="s">
        <v>35</v>
      </c>
      <c r="M80" s="213" t="s">
        <v>35</v>
      </c>
      <c r="N80" s="60">
        <v>17.600000000000001</v>
      </c>
      <c r="O80" s="60">
        <v>0</v>
      </c>
      <c r="P80" s="60">
        <v>1.53</v>
      </c>
      <c r="Q80" s="60">
        <v>154.91999999999999</v>
      </c>
      <c r="R80" s="198"/>
      <c r="S80" s="198"/>
      <c r="T80" s="198"/>
      <c r="U80" s="198"/>
    </row>
    <row r="81" spans="1:26" s="12" customFormat="1" x14ac:dyDescent="0.25">
      <c r="A81" s="201" t="s">
        <v>1663</v>
      </c>
      <c r="B81" s="60">
        <v>30.5</v>
      </c>
      <c r="C81" s="60">
        <v>151.02000000000001</v>
      </c>
      <c r="D81" s="60">
        <v>107.8</v>
      </c>
      <c r="E81" s="60">
        <v>3.57</v>
      </c>
      <c r="F81" s="60">
        <v>1.04</v>
      </c>
      <c r="G81" s="218" t="s">
        <v>42</v>
      </c>
      <c r="H81" s="218" t="s">
        <v>42</v>
      </c>
      <c r="I81" s="60">
        <v>0.56999999999999995</v>
      </c>
      <c r="J81" s="60">
        <v>0.04</v>
      </c>
      <c r="K81" s="60">
        <v>349.32</v>
      </c>
      <c r="L81" s="213" t="s">
        <v>35</v>
      </c>
      <c r="M81" s="213" t="s">
        <v>35</v>
      </c>
      <c r="N81" s="60">
        <v>17.2</v>
      </c>
      <c r="O81" s="60">
        <v>0</v>
      </c>
      <c r="P81" s="60">
        <v>1.59</v>
      </c>
      <c r="Q81" s="60">
        <v>154.87</v>
      </c>
      <c r="R81" s="198"/>
      <c r="S81" s="198"/>
      <c r="T81" s="198"/>
      <c r="U81" s="198"/>
    </row>
    <row r="82" spans="1:26" s="12" customFormat="1" x14ac:dyDescent="0.25">
      <c r="A82" s="201" t="s">
        <v>1664</v>
      </c>
      <c r="B82" s="60">
        <v>40.24</v>
      </c>
      <c r="C82" s="60">
        <v>157.75</v>
      </c>
      <c r="D82" s="60">
        <v>119.33</v>
      </c>
      <c r="E82" s="60">
        <v>2.9</v>
      </c>
      <c r="F82" s="60">
        <v>0.78</v>
      </c>
      <c r="G82" s="218" t="s">
        <v>42</v>
      </c>
      <c r="H82" s="218" t="s">
        <v>42</v>
      </c>
      <c r="I82" s="60">
        <v>0.61</v>
      </c>
      <c r="J82" s="60">
        <v>0.22</v>
      </c>
      <c r="K82" s="60">
        <v>121.14</v>
      </c>
      <c r="L82" s="213" t="s">
        <v>35</v>
      </c>
      <c r="M82" s="213" t="s">
        <v>35</v>
      </c>
      <c r="N82" s="60">
        <v>17</v>
      </c>
      <c r="O82" s="60">
        <v>0</v>
      </c>
      <c r="P82" s="60">
        <v>1.66</v>
      </c>
      <c r="Q82" s="60">
        <v>158.74</v>
      </c>
      <c r="R82" s="198"/>
      <c r="S82" s="198"/>
      <c r="T82" s="198"/>
      <c r="U82" s="198"/>
    </row>
    <row r="83" spans="1:26" s="12" customFormat="1" x14ac:dyDescent="0.25">
      <c r="A83" s="201" t="s">
        <v>1665</v>
      </c>
      <c r="B83" s="60">
        <v>53.94</v>
      </c>
      <c r="C83" s="60">
        <v>164.17</v>
      </c>
      <c r="D83" s="60">
        <v>133.85</v>
      </c>
      <c r="E83" s="60">
        <v>2.88</v>
      </c>
      <c r="F83" s="60">
        <v>0.67</v>
      </c>
      <c r="G83" s="218" t="s">
        <v>42</v>
      </c>
      <c r="H83" s="218" t="s">
        <v>42</v>
      </c>
      <c r="I83" s="60">
        <v>0.65</v>
      </c>
      <c r="J83" s="60">
        <v>0.09</v>
      </c>
      <c r="K83" s="60">
        <v>112</v>
      </c>
      <c r="L83" s="213" t="s">
        <v>35</v>
      </c>
      <c r="M83" s="213" t="s">
        <v>35</v>
      </c>
      <c r="N83" s="60">
        <v>17.3</v>
      </c>
      <c r="O83" s="60">
        <v>0</v>
      </c>
      <c r="P83" s="60">
        <v>1.75</v>
      </c>
      <c r="Q83" s="60">
        <v>166.48</v>
      </c>
      <c r="R83" s="198"/>
      <c r="S83" s="198"/>
      <c r="T83" s="198"/>
      <c r="U83" s="198"/>
    </row>
    <row r="84" spans="1:26" s="12" customFormat="1" x14ac:dyDescent="0.25">
      <c r="A84" s="201" t="s">
        <v>1666</v>
      </c>
      <c r="B84" s="60">
        <v>67.099999999999994</v>
      </c>
      <c r="C84" s="60">
        <v>177.84</v>
      </c>
      <c r="D84" s="60">
        <v>151.96</v>
      </c>
      <c r="E84" s="60">
        <v>3.1</v>
      </c>
      <c r="F84" s="60">
        <v>0.53</v>
      </c>
      <c r="G84" s="218" t="s">
        <v>42</v>
      </c>
      <c r="H84" s="218" t="s">
        <v>42</v>
      </c>
      <c r="I84" s="60">
        <v>0.7</v>
      </c>
      <c r="J84" s="60">
        <v>0.06</v>
      </c>
      <c r="K84" s="60">
        <v>144.52000000000001</v>
      </c>
      <c r="L84" s="213" t="s">
        <v>35</v>
      </c>
      <c r="M84" s="213" t="s">
        <v>35</v>
      </c>
      <c r="N84" s="60">
        <v>17.100000000000001</v>
      </c>
      <c r="O84" s="60">
        <v>0</v>
      </c>
      <c r="P84" s="60">
        <v>1.87</v>
      </c>
      <c r="Q84" s="60">
        <v>177.63</v>
      </c>
      <c r="R84" s="198"/>
      <c r="S84" s="198"/>
      <c r="T84" s="198"/>
      <c r="U84" s="198"/>
    </row>
    <row r="85" spans="1:26" s="12" customFormat="1" x14ac:dyDescent="0.25">
      <c r="A85" s="201" t="s">
        <v>1667</v>
      </c>
      <c r="B85" s="60">
        <v>77.709999999999994</v>
      </c>
      <c r="C85" s="60">
        <v>179.3</v>
      </c>
      <c r="D85" s="60">
        <v>161.27000000000001</v>
      </c>
      <c r="E85" s="60">
        <v>2.95</v>
      </c>
      <c r="F85" s="60">
        <v>0.72</v>
      </c>
      <c r="G85" s="218" t="s">
        <v>42</v>
      </c>
      <c r="H85" s="218" t="s">
        <v>42</v>
      </c>
      <c r="I85" s="60">
        <v>0.78</v>
      </c>
      <c r="J85" s="60">
        <v>0.02</v>
      </c>
      <c r="K85" s="60">
        <v>141.78</v>
      </c>
      <c r="L85" s="213" t="s">
        <v>35</v>
      </c>
      <c r="M85" s="213" t="s">
        <v>35</v>
      </c>
      <c r="N85" s="60">
        <v>16.899999999999999</v>
      </c>
      <c r="O85" s="60">
        <v>0</v>
      </c>
      <c r="P85" s="60">
        <v>1.89</v>
      </c>
      <c r="Q85" s="60">
        <v>184.1</v>
      </c>
      <c r="R85" s="198"/>
      <c r="S85" s="198"/>
      <c r="T85" s="198"/>
      <c r="U85" s="198"/>
    </row>
    <row r="86" spans="1:26" s="12" customFormat="1" x14ac:dyDescent="0.25">
      <c r="A86" s="201" t="s">
        <v>1668</v>
      </c>
      <c r="B86" s="60">
        <v>86.48</v>
      </c>
      <c r="C86" s="60">
        <v>188.36</v>
      </c>
      <c r="D86" s="60">
        <v>173.3</v>
      </c>
      <c r="E86" s="60">
        <v>3.45</v>
      </c>
      <c r="F86" s="60">
        <v>0.95</v>
      </c>
      <c r="G86" s="218" t="s">
        <v>42</v>
      </c>
      <c r="H86" s="218" t="s">
        <v>42</v>
      </c>
      <c r="I86" s="60">
        <v>0.86</v>
      </c>
      <c r="J86" s="60">
        <v>7.0000000000000007E-2</v>
      </c>
      <c r="K86" s="60">
        <v>39.29</v>
      </c>
      <c r="L86" s="213" t="s">
        <v>35</v>
      </c>
      <c r="M86" s="213" t="s">
        <v>35</v>
      </c>
      <c r="N86" s="60">
        <v>16.600000000000001</v>
      </c>
      <c r="O86" s="60">
        <v>0</v>
      </c>
      <c r="P86" s="60">
        <v>2.09</v>
      </c>
      <c r="Q86" s="60">
        <v>195.26</v>
      </c>
      <c r="R86" s="198"/>
      <c r="S86" s="198"/>
      <c r="T86" s="198"/>
      <c r="U86" s="198"/>
    </row>
    <row r="87" spans="1:26" s="12" customFormat="1" x14ac:dyDescent="0.25">
      <c r="A87" s="201" t="s">
        <v>1669</v>
      </c>
      <c r="B87" s="60">
        <v>100.81</v>
      </c>
      <c r="C87" s="60">
        <v>200.78</v>
      </c>
      <c r="D87" s="60">
        <v>191.65</v>
      </c>
      <c r="E87" s="60">
        <v>3.58</v>
      </c>
      <c r="F87" s="60">
        <v>0.85</v>
      </c>
      <c r="G87" s="218" t="s">
        <v>42</v>
      </c>
      <c r="H87" s="218" t="s">
        <v>42</v>
      </c>
      <c r="I87" s="60">
        <v>0.93</v>
      </c>
      <c r="J87" s="60">
        <v>0.18</v>
      </c>
      <c r="K87" s="60">
        <v>37</v>
      </c>
      <c r="L87" s="213" t="s">
        <v>35</v>
      </c>
      <c r="M87" s="213" t="s">
        <v>35</v>
      </c>
      <c r="N87" s="60">
        <v>17</v>
      </c>
      <c r="O87" s="60">
        <v>0</v>
      </c>
      <c r="P87" s="60">
        <v>2.3199999999999998</v>
      </c>
      <c r="Q87" s="60">
        <v>210.1</v>
      </c>
      <c r="R87" s="198"/>
      <c r="S87" s="198"/>
      <c r="T87" s="198"/>
      <c r="U87" s="198"/>
    </row>
    <row r="88" spans="1:26" s="12" customFormat="1" x14ac:dyDescent="0.25">
      <c r="A88" s="201" t="s">
        <v>1670</v>
      </c>
      <c r="B88" s="60">
        <v>113.45</v>
      </c>
      <c r="C88" s="60">
        <v>208.59</v>
      </c>
      <c r="D88" s="60">
        <v>206.1</v>
      </c>
      <c r="E88" s="60">
        <v>2.12</v>
      </c>
      <c r="F88" s="60">
        <v>0.57999999999999996</v>
      </c>
      <c r="G88" s="218" t="s">
        <v>42</v>
      </c>
      <c r="H88" s="218" t="s">
        <v>42</v>
      </c>
      <c r="I88" s="60">
        <v>1.01</v>
      </c>
      <c r="J88" s="60">
        <v>0.09</v>
      </c>
      <c r="K88" s="60">
        <v>29.79</v>
      </c>
      <c r="L88" s="213" t="s">
        <v>35</v>
      </c>
      <c r="M88" s="213" t="s">
        <v>35</v>
      </c>
      <c r="N88" s="60">
        <v>17.100000000000001</v>
      </c>
      <c r="O88" s="60">
        <v>0</v>
      </c>
      <c r="P88" s="60">
        <v>2.54</v>
      </c>
      <c r="Q88" s="60">
        <v>230.26</v>
      </c>
      <c r="R88" s="198"/>
      <c r="S88" s="198"/>
      <c r="T88" s="198"/>
      <c r="U88" s="198"/>
    </row>
    <row r="89" spans="1:26" s="12" customFormat="1" x14ac:dyDescent="0.25">
      <c r="A89" s="201" t="s">
        <v>1671</v>
      </c>
      <c r="B89" s="60">
        <v>126.41</v>
      </c>
      <c r="C89" s="60">
        <v>216.85</v>
      </c>
      <c r="D89" s="60">
        <v>221.05</v>
      </c>
      <c r="E89" s="60">
        <v>4.07</v>
      </c>
      <c r="F89" s="60">
        <v>0.39</v>
      </c>
      <c r="G89" s="218" t="s">
        <v>42</v>
      </c>
      <c r="H89" s="218" t="s">
        <v>42</v>
      </c>
      <c r="I89" s="60">
        <v>1.1200000000000001</v>
      </c>
      <c r="J89" s="60">
        <v>0.06</v>
      </c>
      <c r="K89" s="60">
        <v>237.41</v>
      </c>
      <c r="L89" s="213" t="s">
        <v>35</v>
      </c>
      <c r="M89" s="213" t="s">
        <v>35</v>
      </c>
      <c r="N89" s="60">
        <v>17.100000000000001</v>
      </c>
      <c r="O89" s="60">
        <v>0</v>
      </c>
      <c r="P89" s="60">
        <v>2.69</v>
      </c>
      <c r="Q89" s="60">
        <v>244.66</v>
      </c>
      <c r="R89" s="198"/>
      <c r="S89" s="198"/>
      <c r="T89" s="198"/>
      <c r="U89" s="198"/>
    </row>
    <row r="90" spans="1:26" s="12" customFormat="1" x14ac:dyDescent="0.25">
      <c r="A90" s="201" t="s">
        <v>1672</v>
      </c>
      <c r="B90" s="60">
        <v>138.56</v>
      </c>
      <c r="C90" s="60">
        <v>228.6</v>
      </c>
      <c r="D90" s="60">
        <v>237.27</v>
      </c>
      <c r="E90" s="60">
        <v>3.88</v>
      </c>
      <c r="F90" s="60">
        <v>0.52</v>
      </c>
      <c r="G90" s="218" t="s">
        <v>42</v>
      </c>
      <c r="H90" s="218" t="s">
        <v>42</v>
      </c>
      <c r="I90" s="60">
        <v>1.24</v>
      </c>
      <c r="J90" s="60">
        <v>0.15</v>
      </c>
      <c r="K90" s="60">
        <v>343.37</v>
      </c>
      <c r="L90" s="213" t="s">
        <v>35</v>
      </c>
      <c r="M90" s="213" t="s">
        <v>35</v>
      </c>
      <c r="N90" s="60">
        <v>16.7</v>
      </c>
      <c r="O90" s="60">
        <v>0</v>
      </c>
      <c r="P90" s="60">
        <v>2.88</v>
      </c>
      <c r="Q90" s="60">
        <v>262.74</v>
      </c>
      <c r="R90" s="198"/>
      <c r="S90" s="198"/>
      <c r="T90" s="198"/>
      <c r="U90" s="198"/>
    </row>
    <row r="91" spans="1:26" s="12" customFormat="1" x14ac:dyDescent="0.25">
      <c r="A91" s="201" t="s">
        <v>1673</v>
      </c>
      <c r="B91" s="60">
        <v>151.63999999999999</v>
      </c>
      <c r="C91" s="60">
        <v>235.3</v>
      </c>
      <c r="D91" s="60">
        <v>251.46</v>
      </c>
      <c r="E91" s="60">
        <v>4.2300000000000004</v>
      </c>
      <c r="F91" s="60">
        <v>0.64</v>
      </c>
      <c r="G91" s="218" t="s">
        <v>42</v>
      </c>
      <c r="H91" s="218" t="s">
        <v>42</v>
      </c>
      <c r="I91" s="60">
        <v>1.35</v>
      </c>
      <c r="J91" s="60">
        <v>0.06</v>
      </c>
      <c r="K91" s="60">
        <v>94.57</v>
      </c>
      <c r="L91" s="213" t="s">
        <v>35</v>
      </c>
      <c r="M91" s="213" t="s">
        <v>35</v>
      </c>
      <c r="N91" s="60">
        <v>17</v>
      </c>
      <c r="O91" s="60">
        <v>0</v>
      </c>
      <c r="P91" s="60">
        <v>3.06</v>
      </c>
      <c r="Q91" s="60">
        <v>279.20999999999998</v>
      </c>
      <c r="R91" s="198"/>
      <c r="S91" s="198"/>
      <c r="T91" s="198"/>
      <c r="U91" s="198"/>
    </row>
    <row r="92" spans="1:26" s="12" customFormat="1" x14ac:dyDescent="0.25">
      <c r="A92" s="201" t="s">
        <v>1674</v>
      </c>
      <c r="B92" s="60">
        <v>165.52</v>
      </c>
      <c r="C92" s="60">
        <v>249.54</v>
      </c>
      <c r="D92" s="60">
        <v>270.45</v>
      </c>
      <c r="E92" s="60">
        <v>4.6100000000000003</v>
      </c>
      <c r="F92" s="60">
        <v>0.62</v>
      </c>
      <c r="G92" s="218" t="s">
        <v>42</v>
      </c>
      <c r="H92" s="218" t="s">
        <v>42</v>
      </c>
      <c r="I92" s="60">
        <v>1.45</v>
      </c>
      <c r="J92" s="60">
        <v>0.09</v>
      </c>
      <c r="K92" s="60">
        <v>139.36000000000001</v>
      </c>
      <c r="L92" s="213" t="s">
        <v>35</v>
      </c>
      <c r="M92" s="213" t="s">
        <v>35</v>
      </c>
      <c r="N92" s="60">
        <v>17.2</v>
      </c>
      <c r="O92" s="60">
        <v>0</v>
      </c>
      <c r="P92" s="60">
        <v>3.24</v>
      </c>
      <c r="Q92" s="60">
        <v>294.04000000000002</v>
      </c>
      <c r="R92" s="198"/>
      <c r="S92" s="198"/>
      <c r="T92" s="198"/>
      <c r="U92" s="198"/>
    </row>
    <row r="93" spans="1:26" s="12" customFormat="1" x14ac:dyDescent="0.25">
      <c r="A93" s="201" t="s">
        <v>1675</v>
      </c>
      <c r="B93" s="60">
        <v>173.96</v>
      </c>
      <c r="C93" s="60">
        <v>261.5</v>
      </c>
      <c r="D93" s="60">
        <v>283.82</v>
      </c>
      <c r="E93" s="60">
        <v>4.6500000000000004</v>
      </c>
      <c r="F93" s="60">
        <v>0.73</v>
      </c>
      <c r="G93" s="218" t="s">
        <v>42</v>
      </c>
      <c r="H93" s="218" t="s">
        <v>42</v>
      </c>
      <c r="I93" s="60">
        <v>1.55</v>
      </c>
      <c r="J93" s="60">
        <v>0.02</v>
      </c>
      <c r="K93" s="60">
        <v>116.84</v>
      </c>
      <c r="L93" s="213" t="s">
        <v>35</v>
      </c>
      <c r="M93" s="213" t="s">
        <v>35</v>
      </c>
      <c r="N93" s="60">
        <v>17.100000000000001</v>
      </c>
      <c r="O93" s="60">
        <v>0</v>
      </c>
      <c r="P93" s="60">
        <v>3.37</v>
      </c>
      <c r="Q93" s="60">
        <v>307.77</v>
      </c>
      <c r="R93" s="198"/>
      <c r="S93" s="198"/>
      <c r="T93" s="198"/>
      <c r="U93" s="198"/>
    </row>
    <row r="94" spans="1:26" s="12" customFormat="1" x14ac:dyDescent="0.25">
      <c r="A94" s="201" t="s">
        <v>1676</v>
      </c>
      <c r="B94" s="60">
        <v>186.3</v>
      </c>
      <c r="C94" s="60">
        <v>263.29000000000002</v>
      </c>
      <c r="D94" s="60">
        <v>294.7</v>
      </c>
      <c r="E94" s="60">
        <v>4.8600000000000003</v>
      </c>
      <c r="F94" s="60">
        <v>0.66</v>
      </c>
      <c r="G94" s="218" t="s">
        <v>42</v>
      </c>
      <c r="H94" s="218" t="s">
        <v>42</v>
      </c>
      <c r="I94" s="60">
        <v>1.65</v>
      </c>
      <c r="J94" s="60">
        <v>0.21</v>
      </c>
      <c r="K94" s="60">
        <v>19.98</v>
      </c>
      <c r="L94" s="213" t="s">
        <v>35</v>
      </c>
      <c r="M94" s="213" t="s">
        <v>35</v>
      </c>
      <c r="N94" s="60">
        <v>16.5</v>
      </c>
      <c r="O94" s="60">
        <v>0</v>
      </c>
      <c r="P94" s="60">
        <v>3.47</v>
      </c>
      <c r="Q94" s="60">
        <v>320.45</v>
      </c>
      <c r="R94" s="198"/>
      <c r="S94" s="198"/>
      <c r="T94" s="198"/>
      <c r="U94" s="198"/>
    </row>
    <row r="95" spans="1:26" s="12" customFormat="1" x14ac:dyDescent="0.25">
      <c r="A95" s="201" t="s">
        <v>1677</v>
      </c>
      <c r="B95" s="218" t="s">
        <v>42</v>
      </c>
      <c r="C95" s="218" t="s">
        <v>42</v>
      </c>
      <c r="D95" s="218" t="s">
        <v>42</v>
      </c>
      <c r="E95" s="60">
        <v>5.21</v>
      </c>
      <c r="F95" s="60">
        <v>0.78</v>
      </c>
      <c r="G95" s="218" t="s">
        <v>42</v>
      </c>
      <c r="H95" s="218" t="s">
        <v>42</v>
      </c>
      <c r="I95" s="60">
        <v>1.7</v>
      </c>
      <c r="J95" s="60">
        <v>0.14000000000000001</v>
      </c>
      <c r="K95" s="60">
        <v>11.7</v>
      </c>
      <c r="L95" s="213" t="s">
        <v>35</v>
      </c>
      <c r="M95" s="213" t="s">
        <v>35</v>
      </c>
      <c r="N95" s="60">
        <v>16.899999999999999</v>
      </c>
      <c r="O95" s="60">
        <v>0</v>
      </c>
      <c r="P95" s="60">
        <v>3.68</v>
      </c>
      <c r="Q95" s="60">
        <v>336.57</v>
      </c>
      <c r="R95" s="198"/>
      <c r="S95" s="198"/>
      <c r="T95" s="198"/>
      <c r="U95" s="198"/>
    </row>
    <row r="96" spans="1:26" s="12" customFormat="1" x14ac:dyDescent="0.25">
      <c r="A96" s="201" t="s">
        <v>1678</v>
      </c>
      <c r="B96" s="218" t="s">
        <v>42</v>
      </c>
      <c r="C96" s="218" t="s">
        <v>42</v>
      </c>
      <c r="D96" s="218" t="s">
        <v>42</v>
      </c>
      <c r="E96" s="60">
        <v>5.0199999999999996</v>
      </c>
      <c r="F96" s="60">
        <v>0.7</v>
      </c>
      <c r="G96" s="218" t="s">
        <v>42</v>
      </c>
      <c r="H96" s="218" t="s">
        <v>42</v>
      </c>
      <c r="I96" s="60">
        <v>1.78</v>
      </c>
      <c r="J96" s="60">
        <v>0.13</v>
      </c>
      <c r="K96" s="60">
        <v>351.05</v>
      </c>
      <c r="L96" s="213" t="s">
        <v>35</v>
      </c>
      <c r="M96" s="213" t="s">
        <v>35</v>
      </c>
      <c r="N96" s="60">
        <v>16.899999999999999</v>
      </c>
      <c r="O96" s="60">
        <v>0</v>
      </c>
      <c r="P96" s="60">
        <v>3.87</v>
      </c>
      <c r="Q96" s="60">
        <v>349.11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1679</v>
      </c>
      <c r="B97" s="218" t="s">
        <v>42</v>
      </c>
      <c r="C97" s="218" t="s">
        <v>42</v>
      </c>
      <c r="D97" s="218" t="s">
        <v>42</v>
      </c>
      <c r="E97" s="60">
        <v>5.08</v>
      </c>
      <c r="F97" s="60">
        <v>0.57999999999999996</v>
      </c>
      <c r="G97" s="218" t="s">
        <v>42</v>
      </c>
      <c r="H97" s="218" t="s">
        <v>42</v>
      </c>
      <c r="I97" s="60">
        <v>1.84</v>
      </c>
      <c r="J97" s="60">
        <v>0.19</v>
      </c>
      <c r="K97" s="60">
        <v>3.19</v>
      </c>
      <c r="L97" s="213" t="s">
        <v>35</v>
      </c>
      <c r="M97" s="213" t="s">
        <v>35</v>
      </c>
      <c r="N97" s="60">
        <v>16.8</v>
      </c>
      <c r="O97" s="60">
        <v>0</v>
      </c>
      <c r="P97" s="60">
        <v>4</v>
      </c>
      <c r="Q97" s="60">
        <v>353.36</v>
      </c>
      <c r="R97" s="198"/>
      <c r="S97" s="198"/>
      <c r="T97" s="198"/>
      <c r="U97" s="198"/>
    </row>
    <row r="98" spans="1:33" s="12" customFormat="1" x14ac:dyDescent="0.25">
      <c r="A98" s="201" t="s">
        <v>1680</v>
      </c>
      <c r="B98" s="218" t="s">
        <v>42</v>
      </c>
      <c r="C98" s="218" t="s">
        <v>42</v>
      </c>
      <c r="D98" s="218" t="s">
        <v>42</v>
      </c>
      <c r="E98" s="60">
        <v>5.29</v>
      </c>
      <c r="F98" s="60">
        <v>0.56999999999999995</v>
      </c>
      <c r="G98" s="218" t="s">
        <v>42</v>
      </c>
      <c r="H98" s="218" t="s">
        <v>42</v>
      </c>
      <c r="I98" s="60">
        <v>1.89</v>
      </c>
      <c r="J98" s="60">
        <v>0.06</v>
      </c>
      <c r="K98" s="60">
        <v>97.69</v>
      </c>
      <c r="L98" s="213" t="s">
        <v>35</v>
      </c>
      <c r="M98" s="213" t="s">
        <v>35</v>
      </c>
      <c r="N98" s="60">
        <v>16.8</v>
      </c>
      <c r="O98" s="60">
        <v>0</v>
      </c>
      <c r="P98" s="60">
        <v>4.1500000000000004</v>
      </c>
      <c r="Q98" s="60">
        <v>363.03</v>
      </c>
      <c r="R98" s="198"/>
      <c r="S98" s="198"/>
      <c r="T98" s="198"/>
      <c r="U98" s="198"/>
    </row>
    <row r="99" spans="1:33" s="12" customFormat="1" x14ac:dyDescent="0.25">
      <c r="A99" s="201" t="s">
        <v>1681</v>
      </c>
      <c r="B99" s="218" t="s">
        <v>42</v>
      </c>
      <c r="C99" s="218" t="s">
        <v>42</v>
      </c>
      <c r="D99" s="218" t="s">
        <v>42</v>
      </c>
      <c r="E99" s="60">
        <v>5.59</v>
      </c>
      <c r="F99" s="60">
        <v>0.13</v>
      </c>
      <c r="G99" s="218" t="s">
        <v>42</v>
      </c>
      <c r="H99" s="218" t="s">
        <v>42</v>
      </c>
      <c r="I99" s="60">
        <v>1.92</v>
      </c>
      <c r="J99" s="60">
        <v>0.15</v>
      </c>
      <c r="K99" s="60">
        <v>344.81</v>
      </c>
      <c r="L99" s="213" t="s">
        <v>35</v>
      </c>
      <c r="M99" s="213" t="s">
        <v>35</v>
      </c>
      <c r="N99" s="60">
        <v>16.7</v>
      </c>
      <c r="O99" s="60">
        <v>0</v>
      </c>
      <c r="P99" s="60">
        <v>4.2300000000000004</v>
      </c>
      <c r="Q99" s="60">
        <v>368.08</v>
      </c>
      <c r="R99" s="198"/>
      <c r="S99" s="198"/>
      <c r="T99" s="198"/>
      <c r="U99" s="198"/>
    </row>
    <row r="100" spans="1:33" s="12" customFormat="1" x14ac:dyDescent="0.25">
      <c r="A100" s="201" t="s">
        <v>1682</v>
      </c>
      <c r="B100" s="218" t="s">
        <v>42</v>
      </c>
      <c r="C100" s="218" t="s">
        <v>42</v>
      </c>
      <c r="D100" s="218" t="s">
        <v>42</v>
      </c>
      <c r="E100" s="60">
        <v>5.29</v>
      </c>
      <c r="F100" s="60">
        <v>0.38</v>
      </c>
      <c r="G100" s="218" t="s">
        <v>42</v>
      </c>
      <c r="H100" s="218" t="s">
        <v>42</v>
      </c>
      <c r="I100" s="60">
        <v>1.97</v>
      </c>
      <c r="J100" s="60">
        <v>0.08</v>
      </c>
      <c r="K100" s="60">
        <v>354.1</v>
      </c>
      <c r="L100" s="213" t="s">
        <v>35</v>
      </c>
      <c r="M100" s="213" t="s">
        <v>35</v>
      </c>
      <c r="N100" s="60">
        <v>16.899999999999999</v>
      </c>
      <c r="O100" s="60">
        <v>0</v>
      </c>
      <c r="P100" s="60">
        <v>4.2300000000000004</v>
      </c>
      <c r="Q100" s="60">
        <v>368.45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1683</v>
      </c>
      <c r="B101" s="218" t="s">
        <v>42</v>
      </c>
      <c r="C101" s="218" t="s">
        <v>42</v>
      </c>
      <c r="D101" s="218" t="s">
        <v>42</v>
      </c>
      <c r="E101" s="60">
        <v>5.27</v>
      </c>
      <c r="F101" s="60">
        <v>0.69</v>
      </c>
      <c r="G101" s="218" t="s">
        <v>42</v>
      </c>
      <c r="H101" s="218" t="s">
        <v>42</v>
      </c>
      <c r="I101" s="60">
        <v>1.99</v>
      </c>
      <c r="J101" s="60">
        <v>0.04</v>
      </c>
      <c r="K101" s="60">
        <v>27.94</v>
      </c>
      <c r="L101" s="213" t="s">
        <v>35</v>
      </c>
      <c r="M101" s="213" t="s">
        <v>35</v>
      </c>
      <c r="N101" s="60">
        <v>17</v>
      </c>
      <c r="O101" s="60">
        <v>0</v>
      </c>
      <c r="P101" s="60">
        <v>4.1900000000000004</v>
      </c>
      <c r="Q101" s="60">
        <v>363.22</v>
      </c>
      <c r="R101" s="198"/>
      <c r="S101" s="198"/>
      <c r="T101" s="198"/>
      <c r="U101" s="198"/>
    </row>
    <row r="102" spans="1:33" s="12" customFormat="1" x14ac:dyDescent="0.25">
      <c r="A102" s="201" t="s">
        <v>1684</v>
      </c>
      <c r="B102" s="218" t="s">
        <v>42</v>
      </c>
      <c r="C102" s="218" t="s">
        <v>42</v>
      </c>
      <c r="D102" s="218" t="s">
        <v>42</v>
      </c>
      <c r="E102" s="60">
        <v>5.43</v>
      </c>
      <c r="F102" s="60">
        <v>0.49</v>
      </c>
      <c r="G102" s="218" t="s">
        <v>42</v>
      </c>
      <c r="H102" s="218" t="s">
        <v>42</v>
      </c>
      <c r="I102" s="60">
        <v>1.99</v>
      </c>
      <c r="J102" s="60">
        <v>0.15</v>
      </c>
      <c r="K102" s="60">
        <v>316.70999999999998</v>
      </c>
      <c r="L102" s="213" t="s">
        <v>35</v>
      </c>
      <c r="M102" s="213" t="s">
        <v>35</v>
      </c>
      <c r="N102" s="60">
        <v>16.7</v>
      </c>
      <c r="O102" s="60">
        <v>0</v>
      </c>
      <c r="P102" s="60">
        <v>4.0999999999999996</v>
      </c>
      <c r="Q102" s="60">
        <v>361.17</v>
      </c>
      <c r="R102" s="198"/>
      <c r="S102" s="198"/>
      <c r="T102" s="198"/>
      <c r="U102" s="198"/>
    </row>
    <row r="103" spans="1:33" s="12" customFormat="1" x14ac:dyDescent="0.25">
      <c r="A103" s="201" t="s">
        <v>1685</v>
      </c>
      <c r="B103" s="218" t="s">
        <v>42</v>
      </c>
      <c r="C103" s="218" t="s">
        <v>42</v>
      </c>
      <c r="D103" s="218" t="s">
        <v>42</v>
      </c>
      <c r="E103" s="60">
        <v>5.32</v>
      </c>
      <c r="F103" s="60">
        <v>0.53</v>
      </c>
      <c r="G103" s="218" t="s">
        <v>42</v>
      </c>
      <c r="H103" s="218" t="s">
        <v>42</v>
      </c>
      <c r="I103" s="60">
        <v>1.97</v>
      </c>
      <c r="J103" s="60">
        <v>0.05</v>
      </c>
      <c r="K103" s="60">
        <v>347.86</v>
      </c>
      <c r="L103" s="213" t="s">
        <v>35</v>
      </c>
      <c r="M103" s="213" t="s">
        <v>35</v>
      </c>
      <c r="N103" s="60">
        <v>16.7</v>
      </c>
      <c r="O103" s="60">
        <v>0</v>
      </c>
      <c r="P103" s="60">
        <v>3.97</v>
      </c>
      <c r="Q103" s="60">
        <v>354.23</v>
      </c>
      <c r="R103" s="198"/>
      <c r="S103" s="198"/>
      <c r="T103" s="198"/>
      <c r="U103" s="198"/>
    </row>
    <row r="104" spans="1:33" s="12" customFormat="1" x14ac:dyDescent="0.25">
      <c r="A104" s="201" t="s">
        <v>1686</v>
      </c>
      <c r="B104" s="218" t="s">
        <v>42</v>
      </c>
      <c r="C104" s="218" t="s">
        <v>42</v>
      </c>
      <c r="D104" s="218" t="s">
        <v>42</v>
      </c>
      <c r="E104" s="60">
        <v>3.17</v>
      </c>
      <c r="F104" s="60">
        <v>0.67</v>
      </c>
      <c r="G104" s="218" t="s">
        <v>42</v>
      </c>
      <c r="H104" s="218" t="s">
        <v>42</v>
      </c>
      <c r="I104" s="60">
        <v>1.93</v>
      </c>
      <c r="J104" s="60">
        <v>0.17</v>
      </c>
      <c r="K104" s="60">
        <v>71.03</v>
      </c>
      <c r="L104" s="213" t="s">
        <v>35</v>
      </c>
      <c r="M104" s="213" t="s">
        <v>35</v>
      </c>
      <c r="N104" s="60">
        <v>16.5</v>
      </c>
      <c r="O104" s="60">
        <v>0</v>
      </c>
      <c r="P104" s="60">
        <v>3.83</v>
      </c>
      <c r="Q104" s="60">
        <v>343.5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1.38</v>
      </c>
      <c r="C106" s="67">
        <f>MIN(C9:C104)</f>
        <v>81.319999999999993</v>
      </c>
      <c r="D106" s="67">
        <f t="shared" ref="D106:Q106" si="0">MIN(D9:D104)</f>
        <v>46.13</v>
      </c>
      <c r="E106" s="67">
        <f t="shared" si="0"/>
        <v>2.12</v>
      </c>
      <c r="F106" s="67">
        <f t="shared" si="0"/>
        <v>0.05</v>
      </c>
      <c r="G106" s="67">
        <f t="shared" si="0"/>
        <v>83.59</v>
      </c>
      <c r="H106" s="67">
        <f t="shared" si="0"/>
        <v>52.8</v>
      </c>
      <c r="I106" s="67">
        <f t="shared" si="0"/>
        <v>0.24</v>
      </c>
      <c r="J106" s="67">
        <f t="shared" si="0"/>
        <v>0.02</v>
      </c>
      <c r="K106" s="67">
        <f t="shared" si="0"/>
        <v>1.87</v>
      </c>
      <c r="L106" s="67">
        <f t="shared" si="0"/>
        <v>0</v>
      </c>
      <c r="M106" s="67">
        <f t="shared" si="0"/>
        <v>0</v>
      </c>
      <c r="N106" s="67">
        <f t="shared" si="0"/>
        <v>16.5</v>
      </c>
      <c r="O106" s="67">
        <f t="shared" si="0"/>
        <v>0</v>
      </c>
      <c r="P106" s="67">
        <f t="shared" si="0"/>
        <v>0.62</v>
      </c>
      <c r="Q106" s="67">
        <f t="shared" si="0"/>
        <v>87.4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186.3</v>
      </c>
      <c r="C107" s="66">
        <f t="shared" ref="C107:Q107" si="1">MAX(C9:C104)</f>
        <v>263.29000000000002</v>
      </c>
      <c r="D107" s="66">
        <f t="shared" si="1"/>
        <v>294.7</v>
      </c>
      <c r="E107" s="66">
        <f t="shared" si="1"/>
        <v>12.3</v>
      </c>
      <c r="F107" s="66">
        <f t="shared" si="1"/>
        <v>17.25</v>
      </c>
      <c r="G107" s="66">
        <f t="shared" si="1"/>
        <v>202.82</v>
      </c>
      <c r="H107" s="66">
        <f t="shared" si="1"/>
        <v>104.42</v>
      </c>
      <c r="I107" s="66">
        <f t="shared" si="1"/>
        <v>1.99</v>
      </c>
      <c r="J107" s="66">
        <f t="shared" si="1"/>
        <v>1.44</v>
      </c>
      <c r="K107" s="66">
        <f t="shared" si="1"/>
        <v>357.53</v>
      </c>
      <c r="L107" s="66">
        <f t="shared" si="1"/>
        <v>0</v>
      </c>
      <c r="M107" s="66">
        <f t="shared" si="1"/>
        <v>0</v>
      </c>
      <c r="N107" s="66">
        <f t="shared" si="1"/>
        <v>685.3</v>
      </c>
      <c r="O107" s="66">
        <f t="shared" si="1"/>
        <v>0</v>
      </c>
      <c r="P107" s="66">
        <f t="shared" si="1"/>
        <v>4.2300000000000004</v>
      </c>
      <c r="Q107" s="66">
        <f t="shared" si="1"/>
        <v>368.45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47.336744186046488</v>
      </c>
      <c r="C108" s="67">
        <f t="shared" ref="C108:Q108" si="2">AVERAGE(C9:C104)</f>
        <v>129.52081395348841</v>
      </c>
      <c r="D108" s="67">
        <f t="shared" si="2"/>
        <v>109.44034883720933</v>
      </c>
      <c r="E108" s="67">
        <f t="shared" si="2"/>
        <v>5.017500000000001</v>
      </c>
      <c r="F108" s="67">
        <f t="shared" si="2"/>
        <v>3.0811458333333319</v>
      </c>
      <c r="G108" s="67">
        <f t="shared" si="2"/>
        <v>135.7895</v>
      </c>
      <c r="H108" s="67">
        <f t="shared" si="2"/>
        <v>70.494166666666686</v>
      </c>
      <c r="I108" s="67">
        <f t="shared" si="2"/>
        <v>0.82354166666666684</v>
      </c>
      <c r="J108" s="67">
        <f t="shared" si="2"/>
        <v>0.36427083333333354</v>
      </c>
      <c r="K108" s="67">
        <f t="shared" si="2"/>
        <v>139.24197916666668</v>
      </c>
      <c r="L108" s="67" t="e">
        <f t="shared" si="2"/>
        <v>#DIV/0!</v>
      </c>
      <c r="M108" s="67" t="e">
        <f t="shared" si="2"/>
        <v>#DIV/0!</v>
      </c>
      <c r="N108" s="67">
        <f t="shared" si="2"/>
        <v>181.00833333333333</v>
      </c>
      <c r="O108" s="67">
        <f t="shared" si="2"/>
        <v>0</v>
      </c>
      <c r="P108" s="67">
        <f t="shared" si="2"/>
        <v>1.7868750000000002</v>
      </c>
      <c r="Q108" s="67">
        <f t="shared" si="2"/>
        <v>164.60541666666671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42.065771175257019</v>
      </c>
      <c r="C109" s="67">
        <f t="shared" ref="C109:Q109" si="3">STDEV(C9:C104)</f>
        <v>42.117509121786803</v>
      </c>
      <c r="D109" s="67">
        <f t="shared" si="3"/>
        <v>55.338322610001853</v>
      </c>
      <c r="E109" s="67">
        <f t="shared" si="3"/>
        <v>1.4295836714527117</v>
      </c>
      <c r="F109" s="67">
        <f t="shared" si="3"/>
        <v>4.2416813622087153</v>
      </c>
      <c r="G109" s="67">
        <f t="shared" si="3"/>
        <v>35.24479985323952</v>
      </c>
      <c r="H109" s="67">
        <f t="shared" si="3"/>
        <v>12.795649590635199</v>
      </c>
      <c r="I109" s="67">
        <f t="shared" si="3"/>
        <v>0.49102251886760512</v>
      </c>
      <c r="J109" s="67">
        <f t="shared" si="3"/>
        <v>0.34153752908271962</v>
      </c>
      <c r="K109" s="67">
        <f t="shared" si="3"/>
        <v>113.64886325520183</v>
      </c>
      <c r="L109" s="67" t="e">
        <f t="shared" si="3"/>
        <v>#DIV/0!</v>
      </c>
      <c r="M109" s="67" t="e">
        <f t="shared" si="3"/>
        <v>#DIV/0!</v>
      </c>
      <c r="N109" s="67">
        <f t="shared" si="3"/>
        <v>242.91581459933016</v>
      </c>
      <c r="O109" s="67">
        <f t="shared" si="3"/>
        <v>0</v>
      </c>
      <c r="P109" s="67">
        <f t="shared" si="3"/>
        <v>0.97732536466677866</v>
      </c>
      <c r="Q109" s="67">
        <f t="shared" si="3"/>
        <v>80.639881447237698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86</v>
      </c>
      <c r="C110" s="66">
        <f>COUNT(C9:C104)</f>
        <v>86</v>
      </c>
      <c r="D110" s="66">
        <f>COUNT(D9:D104)</f>
        <v>86</v>
      </c>
      <c r="E110" s="66">
        <f t="shared" ref="E110:P110" si="4">COUNT(E9:E104)</f>
        <v>96</v>
      </c>
      <c r="F110" s="66">
        <f>COUNT(F9:F104)</f>
        <v>96</v>
      </c>
      <c r="G110" s="66">
        <f t="shared" si="4"/>
        <v>60</v>
      </c>
      <c r="H110" s="66">
        <f t="shared" si="4"/>
        <v>60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>COUNT(M9:M104)+96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1687</v>
      </c>
      <c r="B9" s="60">
        <v>200.5</v>
      </c>
      <c r="C9" s="60">
        <v>263.05</v>
      </c>
      <c r="D9" s="60">
        <v>305.95999999999998</v>
      </c>
      <c r="E9" s="60">
        <v>5.41</v>
      </c>
      <c r="F9" s="60">
        <v>0.47</v>
      </c>
      <c r="G9" s="60">
        <v>262.83999999999997</v>
      </c>
      <c r="H9" s="60">
        <v>105.65</v>
      </c>
      <c r="I9" s="60">
        <v>1.91</v>
      </c>
      <c r="J9" s="60">
        <v>0.12</v>
      </c>
      <c r="K9" s="60">
        <v>286.70999999999998</v>
      </c>
      <c r="L9" s="213" t="s">
        <v>35</v>
      </c>
      <c r="M9" s="213" t="s">
        <v>35</v>
      </c>
      <c r="N9" s="60">
        <v>16.3</v>
      </c>
      <c r="O9" s="60">
        <v>0</v>
      </c>
      <c r="P9" s="60">
        <v>3.7</v>
      </c>
      <c r="Q9" s="60">
        <v>332.12</v>
      </c>
      <c r="R9" s="198"/>
      <c r="S9" s="198"/>
      <c r="T9" s="198"/>
      <c r="U9" s="198"/>
    </row>
    <row r="10" spans="1:21" s="12" customFormat="1" x14ac:dyDescent="0.25">
      <c r="A10" s="201" t="s">
        <v>1688</v>
      </c>
      <c r="B10" s="60">
        <v>190.33</v>
      </c>
      <c r="C10" s="60">
        <v>253.48</v>
      </c>
      <c r="D10" s="60">
        <v>292.52</v>
      </c>
      <c r="E10" s="60">
        <v>5.2</v>
      </c>
      <c r="F10" s="60">
        <v>0.41</v>
      </c>
      <c r="G10" s="60">
        <v>262.83999999999997</v>
      </c>
      <c r="H10" s="60">
        <v>105.65</v>
      </c>
      <c r="I10" s="60">
        <v>1.85</v>
      </c>
      <c r="J10" s="60">
        <v>0.04</v>
      </c>
      <c r="K10" s="60">
        <v>211.61</v>
      </c>
      <c r="L10" s="213" t="s">
        <v>35</v>
      </c>
      <c r="M10" s="213" t="s">
        <v>35</v>
      </c>
      <c r="N10" s="60">
        <v>17</v>
      </c>
      <c r="O10" s="60">
        <v>0</v>
      </c>
      <c r="P10" s="60">
        <v>3.57</v>
      </c>
      <c r="Q10" s="60">
        <v>320.33999999999997</v>
      </c>
      <c r="R10" s="198"/>
      <c r="S10" s="198"/>
      <c r="T10" s="198"/>
      <c r="U10" s="198"/>
    </row>
    <row r="11" spans="1:21" s="12" customFormat="1" x14ac:dyDescent="0.25">
      <c r="A11" s="201" t="s">
        <v>1689</v>
      </c>
      <c r="B11" s="60">
        <v>178.64</v>
      </c>
      <c r="C11" s="60">
        <v>242.89</v>
      </c>
      <c r="D11" s="60">
        <v>277.3</v>
      </c>
      <c r="E11" s="60">
        <v>5.13</v>
      </c>
      <c r="F11" s="60">
        <v>0.68</v>
      </c>
      <c r="G11" s="60">
        <v>262.83999999999997</v>
      </c>
      <c r="H11" s="60">
        <v>105.65</v>
      </c>
      <c r="I11" s="60">
        <v>1.82</v>
      </c>
      <c r="J11" s="60">
        <v>0.06</v>
      </c>
      <c r="K11" s="60">
        <v>356.99</v>
      </c>
      <c r="L11" s="213" t="s">
        <v>35</v>
      </c>
      <c r="M11" s="213" t="s">
        <v>35</v>
      </c>
      <c r="N11" s="60">
        <v>17.2</v>
      </c>
      <c r="O11" s="60">
        <v>0</v>
      </c>
      <c r="P11" s="60">
        <v>3.44</v>
      </c>
      <c r="Q11" s="60">
        <v>306.47000000000003</v>
      </c>
      <c r="R11" s="198"/>
      <c r="S11" s="198"/>
      <c r="T11" s="198"/>
      <c r="U11" s="198"/>
    </row>
    <row r="12" spans="1:21" s="12" customFormat="1" x14ac:dyDescent="0.25">
      <c r="A12" s="201" t="s">
        <v>1690</v>
      </c>
      <c r="B12" s="60">
        <v>167.15</v>
      </c>
      <c r="C12" s="60">
        <v>231.66</v>
      </c>
      <c r="D12" s="60">
        <v>261.89</v>
      </c>
      <c r="E12" s="60">
        <v>5.12</v>
      </c>
      <c r="F12" s="60">
        <v>0.57999999999999996</v>
      </c>
      <c r="G12" s="60">
        <v>252.36</v>
      </c>
      <c r="H12" s="60">
        <v>104.21</v>
      </c>
      <c r="I12" s="60">
        <v>1.78</v>
      </c>
      <c r="J12" s="60">
        <v>0.09</v>
      </c>
      <c r="K12" s="60">
        <v>353.42</v>
      </c>
      <c r="L12" s="213" t="s">
        <v>35</v>
      </c>
      <c r="M12" s="213" t="s">
        <v>35</v>
      </c>
      <c r="N12" s="60">
        <v>17.2</v>
      </c>
      <c r="O12" s="60">
        <v>0</v>
      </c>
      <c r="P12" s="60">
        <v>3.3</v>
      </c>
      <c r="Q12" s="60">
        <v>292.61</v>
      </c>
      <c r="R12" s="198"/>
      <c r="S12" s="198"/>
      <c r="T12" s="198"/>
      <c r="U12" s="198"/>
    </row>
    <row r="13" spans="1:21" s="12" customFormat="1" x14ac:dyDescent="0.25">
      <c r="A13" s="201" t="s">
        <v>1691</v>
      </c>
      <c r="B13" s="60">
        <v>158.16999999999999</v>
      </c>
      <c r="C13" s="60">
        <v>222.46</v>
      </c>
      <c r="D13" s="60">
        <v>249.61</v>
      </c>
      <c r="E13" s="60">
        <v>4.79</v>
      </c>
      <c r="F13" s="60">
        <v>0.54</v>
      </c>
      <c r="G13" s="60">
        <v>175.02</v>
      </c>
      <c r="H13" s="60">
        <v>89.49</v>
      </c>
      <c r="I13" s="60">
        <v>1.73</v>
      </c>
      <c r="J13" s="60">
        <v>0.13</v>
      </c>
      <c r="K13" s="60">
        <v>337.85</v>
      </c>
      <c r="L13" s="213" t="s">
        <v>35</v>
      </c>
      <c r="M13" s="213" t="s">
        <v>35</v>
      </c>
      <c r="N13" s="60">
        <v>16.899999999999999</v>
      </c>
      <c r="O13" s="60">
        <v>0</v>
      </c>
      <c r="P13" s="60">
        <v>2.89</v>
      </c>
      <c r="Q13" s="60">
        <v>280.02999999999997</v>
      </c>
      <c r="R13" s="198"/>
      <c r="S13" s="198"/>
      <c r="T13" s="198"/>
      <c r="U13" s="198"/>
    </row>
    <row r="14" spans="1:21" s="12" customFormat="1" x14ac:dyDescent="0.25">
      <c r="A14" s="201" t="s">
        <v>1692</v>
      </c>
      <c r="B14" s="60">
        <v>150.33000000000001</v>
      </c>
      <c r="C14" s="60">
        <v>211.31</v>
      </c>
      <c r="D14" s="60">
        <v>237.17</v>
      </c>
      <c r="E14" s="60">
        <v>4.93</v>
      </c>
      <c r="F14" s="60">
        <v>0.69</v>
      </c>
      <c r="G14" s="60">
        <v>175.02</v>
      </c>
      <c r="H14" s="60">
        <v>89.49</v>
      </c>
      <c r="I14" s="60">
        <v>1.68</v>
      </c>
      <c r="J14" s="60">
        <v>0.12</v>
      </c>
      <c r="K14" s="60">
        <v>340.51</v>
      </c>
      <c r="L14" s="213" t="s">
        <v>35</v>
      </c>
      <c r="M14" s="213" t="s">
        <v>35</v>
      </c>
      <c r="N14" s="60">
        <v>17</v>
      </c>
      <c r="O14" s="60">
        <v>0</v>
      </c>
      <c r="P14" s="60">
        <v>2.96</v>
      </c>
      <c r="Q14" s="60">
        <v>260.62</v>
      </c>
      <c r="R14" s="198"/>
      <c r="S14" s="198"/>
      <c r="T14" s="198"/>
      <c r="U14" s="198"/>
    </row>
    <row r="15" spans="1:21" s="12" customFormat="1" x14ac:dyDescent="0.25">
      <c r="A15" s="201" t="s">
        <v>1693</v>
      </c>
      <c r="B15" s="60">
        <v>140.94</v>
      </c>
      <c r="C15" s="60">
        <v>202.74</v>
      </c>
      <c r="D15" s="60">
        <v>224.91</v>
      </c>
      <c r="E15" s="60">
        <v>4.7699999999999996</v>
      </c>
      <c r="F15" s="60">
        <v>0.57999999999999996</v>
      </c>
      <c r="G15" s="60">
        <v>175.02</v>
      </c>
      <c r="H15" s="60">
        <v>89.49</v>
      </c>
      <c r="I15" s="60">
        <v>1.66</v>
      </c>
      <c r="J15" s="60">
        <v>0.16</v>
      </c>
      <c r="K15" s="60">
        <v>139.61000000000001</v>
      </c>
      <c r="L15" s="213" t="s">
        <v>35</v>
      </c>
      <c r="M15" s="213" t="s">
        <v>35</v>
      </c>
      <c r="N15" s="60">
        <v>16.8</v>
      </c>
      <c r="O15" s="60">
        <v>0</v>
      </c>
      <c r="P15" s="60">
        <v>2.86</v>
      </c>
      <c r="Q15" s="60">
        <v>253.12</v>
      </c>
      <c r="R15" s="198"/>
      <c r="S15" s="198"/>
      <c r="T15" s="198"/>
      <c r="U15" s="198"/>
    </row>
    <row r="16" spans="1:21" s="12" customFormat="1" x14ac:dyDescent="0.25">
      <c r="A16" s="201" t="s">
        <v>1694</v>
      </c>
      <c r="B16" s="60">
        <v>132.24</v>
      </c>
      <c r="C16" s="60">
        <v>192.2</v>
      </c>
      <c r="D16" s="60">
        <v>212.12</v>
      </c>
      <c r="E16" s="60">
        <v>4.72</v>
      </c>
      <c r="F16" s="60">
        <v>0.52</v>
      </c>
      <c r="G16" s="60">
        <v>173.38</v>
      </c>
      <c r="H16" s="60">
        <v>88.14</v>
      </c>
      <c r="I16" s="60">
        <v>1.6</v>
      </c>
      <c r="J16" s="60">
        <v>0.1</v>
      </c>
      <c r="K16" s="60">
        <v>301.39999999999998</v>
      </c>
      <c r="L16" s="213" t="s">
        <v>35</v>
      </c>
      <c r="M16" s="213" t="s">
        <v>35</v>
      </c>
      <c r="N16" s="60">
        <v>16.899999999999999</v>
      </c>
      <c r="O16" s="60">
        <v>0</v>
      </c>
      <c r="P16" s="60">
        <v>2.78</v>
      </c>
      <c r="Q16" s="60">
        <v>238.97</v>
      </c>
      <c r="R16" s="198"/>
      <c r="S16" s="198"/>
      <c r="T16" s="198"/>
      <c r="U16" s="198"/>
    </row>
    <row r="17" spans="1:21" s="12" customFormat="1" x14ac:dyDescent="0.25">
      <c r="A17" s="201" t="s">
        <v>1695</v>
      </c>
      <c r="B17" s="60">
        <v>124.54</v>
      </c>
      <c r="C17" s="60">
        <v>184.52</v>
      </c>
      <c r="D17" s="60">
        <v>201.7</v>
      </c>
      <c r="E17" s="60">
        <v>4.93</v>
      </c>
      <c r="F17" s="60">
        <v>0.53</v>
      </c>
      <c r="G17" s="60">
        <v>159.55000000000001</v>
      </c>
      <c r="H17" s="60">
        <v>74.37</v>
      </c>
      <c r="I17" s="60">
        <v>1.57</v>
      </c>
      <c r="J17" s="60">
        <v>0.15</v>
      </c>
      <c r="K17" s="60">
        <v>338.42</v>
      </c>
      <c r="L17" s="213" t="s">
        <v>35</v>
      </c>
      <c r="M17" s="213" t="s">
        <v>35</v>
      </c>
      <c r="N17" s="60">
        <v>16.8</v>
      </c>
      <c r="O17" s="60">
        <v>0</v>
      </c>
      <c r="P17" s="60">
        <v>2.7</v>
      </c>
      <c r="Q17" s="60">
        <v>228.74</v>
      </c>
      <c r="R17" s="198"/>
      <c r="S17" s="198"/>
      <c r="T17" s="198"/>
      <c r="U17" s="198"/>
    </row>
    <row r="18" spans="1:21" s="12" customFormat="1" x14ac:dyDescent="0.25">
      <c r="A18" s="201" t="s">
        <v>1696</v>
      </c>
      <c r="B18" s="60">
        <v>117.85</v>
      </c>
      <c r="C18" s="60">
        <v>177.41</v>
      </c>
      <c r="D18" s="60">
        <v>192.41</v>
      </c>
      <c r="E18" s="60">
        <v>4.37</v>
      </c>
      <c r="F18" s="60">
        <v>0.45</v>
      </c>
      <c r="G18" s="60">
        <v>159.55000000000001</v>
      </c>
      <c r="H18" s="60">
        <v>74.37</v>
      </c>
      <c r="I18" s="60">
        <v>1.52</v>
      </c>
      <c r="J18" s="60">
        <v>0.1</v>
      </c>
      <c r="K18" s="60">
        <v>300.20999999999998</v>
      </c>
      <c r="L18" s="213" t="s">
        <v>35</v>
      </c>
      <c r="M18" s="213" t="s">
        <v>35</v>
      </c>
      <c r="N18" s="60">
        <v>16.899999999999999</v>
      </c>
      <c r="O18" s="60">
        <v>0</v>
      </c>
      <c r="P18" s="60">
        <v>2.6</v>
      </c>
      <c r="Q18" s="60">
        <v>221.79</v>
      </c>
      <c r="R18" s="198"/>
      <c r="S18" s="198"/>
      <c r="T18" s="198"/>
      <c r="U18" s="198"/>
    </row>
    <row r="19" spans="1:21" s="12" customFormat="1" x14ac:dyDescent="0.25">
      <c r="A19" s="201" t="s">
        <v>1697</v>
      </c>
      <c r="B19" s="60">
        <v>111.95</v>
      </c>
      <c r="C19" s="60">
        <v>170.57</v>
      </c>
      <c r="D19" s="60">
        <v>183.91</v>
      </c>
      <c r="E19" s="60">
        <v>4.5599999999999996</v>
      </c>
      <c r="F19" s="60">
        <v>0.61</v>
      </c>
      <c r="G19" s="60">
        <v>159.55000000000001</v>
      </c>
      <c r="H19" s="60">
        <v>74.37</v>
      </c>
      <c r="I19" s="60">
        <v>1.49</v>
      </c>
      <c r="J19" s="60">
        <v>0.3</v>
      </c>
      <c r="K19" s="60">
        <v>265.39999999999998</v>
      </c>
      <c r="L19" s="213" t="s">
        <v>35</v>
      </c>
      <c r="M19" s="213" t="s">
        <v>35</v>
      </c>
      <c r="N19" s="60">
        <v>16.100000000000001</v>
      </c>
      <c r="O19" s="60">
        <v>0</v>
      </c>
      <c r="P19" s="60">
        <v>2.5099999999999998</v>
      </c>
      <c r="Q19" s="60">
        <v>213.9</v>
      </c>
      <c r="R19" s="198"/>
      <c r="S19" s="198"/>
      <c r="T19" s="198"/>
      <c r="U19" s="198"/>
    </row>
    <row r="20" spans="1:21" s="12" customFormat="1" x14ac:dyDescent="0.25">
      <c r="A20" s="201" t="s">
        <v>1698</v>
      </c>
      <c r="B20" s="60">
        <v>106.38</v>
      </c>
      <c r="C20" s="60">
        <v>164.47</v>
      </c>
      <c r="D20" s="60">
        <v>176.07</v>
      </c>
      <c r="E20" s="60">
        <v>4.55</v>
      </c>
      <c r="F20" s="60">
        <v>0.56999999999999995</v>
      </c>
      <c r="G20" s="60">
        <v>158.02000000000001</v>
      </c>
      <c r="H20" s="60">
        <v>74.459999999999994</v>
      </c>
      <c r="I20" s="60">
        <v>1.45</v>
      </c>
      <c r="J20" s="60">
        <v>0.17</v>
      </c>
      <c r="K20" s="60">
        <v>326.60000000000002</v>
      </c>
      <c r="L20" s="213" t="s">
        <v>35</v>
      </c>
      <c r="M20" s="213" t="s">
        <v>35</v>
      </c>
      <c r="N20" s="60">
        <v>17</v>
      </c>
      <c r="O20" s="60">
        <v>0</v>
      </c>
      <c r="P20" s="60">
        <v>2.4300000000000002</v>
      </c>
      <c r="Q20" s="60">
        <v>207.97</v>
      </c>
      <c r="R20" s="198"/>
      <c r="S20" s="198"/>
      <c r="T20" s="198"/>
      <c r="U20" s="198"/>
    </row>
    <row r="21" spans="1:21" s="12" customFormat="1" x14ac:dyDescent="0.25">
      <c r="A21" s="201" t="s">
        <v>1699</v>
      </c>
      <c r="B21" s="60">
        <v>100.84</v>
      </c>
      <c r="C21" s="60">
        <v>160.16</v>
      </c>
      <c r="D21" s="60">
        <v>169.25</v>
      </c>
      <c r="E21" s="60">
        <v>4.66</v>
      </c>
      <c r="F21" s="60">
        <v>0.38</v>
      </c>
      <c r="G21" s="60">
        <v>145.15</v>
      </c>
      <c r="H21" s="60">
        <v>75.400000000000006</v>
      </c>
      <c r="I21" s="60">
        <v>1.42</v>
      </c>
      <c r="J21" s="60">
        <v>0.23</v>
      </c>
      <c r="K21" s="60">
        <v>279.67</v>
      </c>
      <c r="L21" s="213" t="s">
        <v>35</v>
      </c>
      <c r="M21" s="213" t="s">
        <v>35</v>
      </c>
      <c r="N21" s="60">
        <v>16.7</v>
      </c>
      <c r="O21" s="60">
        <v>0</v>
      </c>
      <c r="P21" s="60">
        <v>2.33</v>
      </c>
      <c r="Q21" s="60">
        <v>202.18</v>
      </c>
      <c r="R21" s="198"/>
      <c r="S21" s="198"/>
      <c r="T21" s="198"/>
      <c r="U21" s="198"/>
    </row>
    <row r="22" spans="1:21" s="12" customFormat="1" x14ac:dyDescent="0.25">
      <c r="A22" s="201" t="s">
        <v>1700</v>
      </c>
      <c r="B22" s="60">
        <v>94.29</v>
      </c>
      <c r="C22" s="60">
        <v>153.08000000000001</v>
      </c>
      <c r="D22" s="60">
        <v>160.09</v>
      </c>
      <c r="E22" s="60">
        <v>4.82</v>
      </c>
      <c r="F22" s="60">
        <v>0.48</v>
      </c>
      <c r="G22" s="60">
        <v>145.15</v>
      </c>
      <c r="H22" s="60">
        <v>75.400000000000006</v>
      </c>
      <c r="I22" s="60">
        <v>1.38</v>
      </c>
      <c r="J22" s="60">
        <v>0.22</v>
      </c>
      <c r="K22" s="60">
        <v>279.77</v>
      </c>
      <c r="L22" s="213" t="s">
        <v>35</v>
      </c>
      <c r="M22" s="213" t="s">
        <v>35</v>
      </c>
      <c r="N22" s="60">
        <v>16.899999999999999</v>
      </c>
      <c r="O22" s="60">
        <v>0</v>
      </c>
      <c r="P22" s="60">
        <v>2.2200000000000002</v>
      </c>
      <c r="Q22" s="60">
        <v>195.66</v>
      </c>
      <c r="R22" s="198"/>
      <c r="S22" s="198"/>
      <c r="T22" s="198"/>
      <c r="U22" s="198"/>
    </row>
    <row r="23" spans="1:21" s="12" customFormat="1" x14ac:dyDescent="0.25">
      <c r="A23" s="201" t="s">
        <v>1701</v>
      </c>
      <c r="B23" s="60">
        <v>87.52</v>
      </c>
      <c r="C23" s="60">
        <v>145.91</v>
      </c>
      <c r="D23" s="60">
        <v>150.71</v>
      </c>
      <c r="E23" s="60">
        <v>4.7</v>
      </c>
      <c r="F23" s="60">
        <v>0.52</v>
      </c>
      <c r="G23" s="60">
        <v>145.15</v>
      </c>
      <c r="H23" s="60">
        <v>75.400000000000006</v>
      </c>
      <c r="I23" s="60">
        <v>1.35</v>
      </c>
      <c r="J23" s="60">
        <v>0.16</v>
      </c>
      <c r="K23" s="60">
        <v>250.66</v>
      </c>
      <c r="L23" s="213" t="s">
        <v>35</v>
      </c>
      <c r="M23" s="213" t="s">
        <v>35</v>
      </c>
      <c r="N23" s="60">
        <v>16.899999999999999</v>
      </c>
      <c r="O23" s="60">
        <v>0</v>
      </c>
      <c r="P23" s="60">
        <v>2.12</v>
      </c>
      <c r="Q23" s="60">
        <v>188.68</v>
      </c>
      <c r="R23" s="198"/>
      <c r="S23" s="198"/>
      <c r="T23" s="198"/>
      <c r="U23" s="198"/>
    </row>
    <row r="24" spans="1:21" s="12" customFormat="1" x14ac:dyDescent="0.25">
      <c r="A24" s="201" t="s">
        <v>1702</v>
      </c>
      <c r="B24" s="60">
        <v>81.52</v>
      </c>
      <c r="C24" s="60">
        <v>140.02000000000001</v>
      </c>
      <c r="D24" s="60">
        <v>142.63999999999999</v>
      </c>
      <c r="E24" s="60">
        <v>2.58</v>
      </c>
      <c r="F24" s="60">
        <v>0.64</v>
      </c>
      <c r="G24" s="60">
        <v>141.31</v>
      </c>
      <c r="H24" s="60">
        <v>75.510000000000005</v>
      </c>
      <c r="I24" s="60">
        <v>1.3</v>
      </c>
      <c r="J24" s="60">
        <v>0.2</v>
      </c>
      <c r="K24" s="60">
        <v>293.37</v>
      </c>
      <c r="L24" s="213" t="s">
        <v>35</v>
      </c>
      <c r="M24" s="213" t="s">
        <v>35</v>
      </c>
      <c r="N24" s="60">
        <v>17</v>
      </c>
      <c r="O24" s="60">
        <v>0</v>
      </c>
      <c r="P24" s="60">
        <v>2.02</v>
      </c>
      <c r="Q24" s="60">
        <v>182.61</v>
      </c>
      <c r="R24" s="198"/>
      <c r="S24" s="198"/>
      <c r="T24" s="198"/>
      <c r="U24" s="198"/>
    </row>
    <row r="25" spans="1:21" s="12" customFormat="1" x14ac:dyDescent="0.25">
      <c r="A25" s="201" t="s">
        <v>1703</v>
      </c>
      <c r="B25" s="60">
        <v>76.28</v>
      </c>
      <c r="C25" s="60">
        <v>134.25</v>
      </c>
      <c r="D25" s="60">
        <v>135.26</v>
      </c>
      <c r="E25" s="60">
        <v>3.88</v>
      </c>
      <c r="F25" s="60">
        <v>0.49</v>
      </c>
      <c r="G25" s="60">
        <v>108.94</v>
      </c>
      <c r="H25" s="60">
        <v>76.61</v>
      </c>
      <c r="I25" s="60">
        <v>1.25</v>
      </c>
      <c r="J25" s="60">
        <v>0.25</v>
      </c>
      <c r="K25" s="60">
        <v>264.3</v>
      </c>
      <c r="L25" s="213" t="s">
        <v>35</v>
      </c>
      <c r="M25" s="213" t="s">
        <v>35</v>
      </c>
      <c r="N25" s="60">
        <v>16.600000000000001</v>
      </c>
      <c r="O25" s="60">
        <v>0</v>
      </c>
      <c r="P25" s="60">
        <v>1.94</v>
      </c>
      <c r="Q25" s="60">
        <v>174.91</v>
      </c>
      <c r="R25" s="198"/>
      <c r="S25" s="198"/>
      <c r="T25" s="198"/>
      <c r="U25" s="198"/>
    </row>
    <row r="26" spans="1:21" s="12" customFormat="1" x14ac:dyDescent="0.25">
      <c r="A26" s="201" t="s">
        <v>1704</v>
      </c>
      <c r="B26" s="60">
        <v>71.98</v>
      </c>
      <c r="C26" s="60">
        <v>129.72</v>
      </c>
      <c r="D26" s="60">
        <v>129.31</v>
      </c>
      <c r="E26" s="60">
        <v>4.41</v>
      </c>
      <c r="F26" s="60">
        <v>0.67</v>
      </c>
      <c r="G26" s="60">
        <v>108.94</v>
      </c>
      <c r="H26" s="60">
        <v>76.61</v>
      </c>
      <c r="I26" s="60">
        <v>1.2</v>
      </c>
      <c r="J26" s="60">
        <v>0.24</v>
      </c>
      <c r="K26" s="60">
        <v>270.10000000000002</v>
      </c>
      <c r="L26" s="213" t="s">
        <v>35</v>
      </c>
      <c r="M26" s="213" t="s">
        <v>35</v>
      </c>
      <c r="N26" s="60">
        <v>16.8</v>
      </c>
      <c r="O26" s="60">
        <v>0</v>
      </c>
      <c r="P26" s="60">
        <v>1.85</v>
      </c>
      <c r="Q26" s="60">
        <v>171.19</v>
      </c>
      <c r="R26" s="198"/>
      <c r="S26" s="198"/>
      <c r="T26" s="198"/>
      <c r="U26" s="198"/>
    </row>
    <row r="27" spans="1:21" s="12" customFormat="1" x14ac:dyDescent="0.25">
      <c r="A27" s="201" t="s">
        <v>1705</v>
      </c>
      <c r="B27" s="60">
        <v>68.36</v>
      </c>
      <c r="C27" s="60">
        <v>124.16</v>
      </c>
      <c r="D27" s="60">
        <v>123.34</v>
      </c>
      <c r="E27" s="60">
        <v>4.32</v>
      </c>
      <c r="F27" s="60">
        <v>0.54</v>
      </c>
      <c r="G27" s="60">
        <v>108.94</v>
      </c>
      <c r="H27" s="60">
        <v>76.61</v>
      </c>
      <c r="I27" s="60">
        <v>1.1599999999999999</v>
      </c>
      <c r="J27" s="60">
        <v>0.21</v>
      </c>
      <c r="K27" s="60">
        <v>281.2</v>
      </c>
      <c r="L27" s="213" t="s">
        <v>35</v>
      </c>
      <c r="M27" s="213" t="s">
        <v>35</v>
      </c>
      <c r="N27" s="60">
        <v>16.8</v>
      </c>
      <c r="O27" s="60">
        <v>0</v>
      </c>
      <c r="P27" s="60">
        <v>1.77</v>
      </c>
      <c r="Q27" s="60">
        <v>166.11</v>
      </c>
      <c r="R27" s="198"/>
      <c r="S27" s="198"/>
      <c r="T27" s="198"/>
      <c r="U27" s="198"/>
    </row>
    <row r="28" spans="1:21" s="12" customFormat="1" x14ac:dyDescent="0.25">
      <c r="A28" s="201" t="s">
        <v>1706</v>
      </c>
      <c r="B28" s="60">
        <v>65.08</v>
      </c>
      <c r="C28" s="60">
        <v>116.74</v>
      </c>
      <c r="D28" s="60">
        <v>116.62</v>
      </c>
      <c r="E28" s="60">
        <v>3.81</v>
      </c>
      <c r="F28" s="60">
        <v>0.49</v>
      </c>
      <c r="G28" s="60">
        <v>109.96</v>
      </c>
      <c r="H28" s="60">
        <v>75.27</v>
      </c>
      <c r="I28" s="60">
        <v>1.1100000000000001</v>
      </c>
      <c r="J28" s="60">
        <v>0.02</v>
      </c>
      <c r="K28" s="60">
        <v>1.86</v>
      </c>
      <c r="L28" s="213" t="s">
        <v>35</v>
      </c>
      <c r="M28" s="213" t="s">
        <v>35</v>
      </c>
      <c r="N28" s="60">
        <v>17.2</v>
      </c>
      <c r="O28" s="60">
        <v>0</v>
      </c>
      <c r="P28" s="60">
        <v>1.71</v>
      </c>
      <c r="Q28" s="60">
        <v>151.99</v>
      </c>
      <c r="R28" s="198"/>
      <c r="S28" s="198"/>
      <c r="T28" s="198"/>
      <c r="U28" s="198"/>
    </row>
    <row r="29" spans="1:21" s="12" customFormat="1" x14ac:dyDescent="0.25">
      <c r="A29" s="201" t="s">
        <v>1707</v>
      </c>
      <c r="B29" s="60">
        <v>63.16</v>
      </c>
      <c r="C29" s="60">
        <v>116.08</v>
      </c>
      <c r="D29" s="60">
        <v>114.71</v>
      </c>
      <c r="E29" s="60">
        <v>4.46</v>
      </c>
      <c r="F29" s="60">
        <v>0.68</v>
      </c>
      <c r="G29" s="60">
        <v>118.54</v>
      </c>
      <c r="H29" s="60">
        <v>61.55</v>
      </c>
      <c r="I29" s="60">
        <v>1.07</v>
      </c>
      <c r="J29" s="60">
        <v>0.16</v>
      </c>
      <c r="K29" s="60">
        <v>267.43</v>
      </c>
      <c r="L29" s="213" t="s">
        <v>35</v>
      </c>
      <c r="M29" s="213" t="s">
        <v>35</v>
      </c>
      <c r="N29" s="60">
        <v>16.5</v>
      </c>
      <c r="O29" s="60">
        <v>0</v>
      </c>
      <c r="P29" s="60">
        <v>1.66</v>
      </c>
      <c r="Q29" s="60">
        <v>145.57</v>
      </c>
      <c r="R29" s="198"/>
      <c r="S29" s="198"/>
      <c r="T29" s="198"/>
      <c r="U29" s="198"/>
    </row>
    <row r="30" spans="1:21" s="12" customFormat="1" x14ac:dyDescent="0.25">
      <c r="A30" s="201" t="s">
        <v>1708</v>
      </c>
      <c r="B30" s="60">
        <v>62.15</v>
      </c>
      <c r="C30" s="60">
        <v>115.98</v>
      </c>
      <c r="D30" s="60">
        <v>113.84</v>
      </c>
      <c r="E30" s="60">
        <v>3.91</v>
      </c>
      <c r="F30" s="60">
        <v>0.46</v>
      </c>
      <c r="G30" s="60">
        <v>118.54</v>
      </c>
      <c r="H30" s="60">
        <v>61.55</v>
      </c>
      <c r="I30" s="60">
        <v>1.02</v>
      </c>
      <c r="J30" s="60">
        <v>0.13</v>
      </c>
      <c r="K30" s="60">
        <v>1.73</v>
      </c>
      <c r="L30" s="213" t="s">
        <v>35</v>
      </c>
      <c r="M30" s="213" t="s">
        <v>35</v>
      </c>
      <c r="N30" s="60">
        <v>17.100000000000001</v>
      </c>
      <c r="O30" s="60">
        <v>0</v>
      </c>
      <c r="P30" s="60">
        <v>1.6</v>
      </c>
      <c r="Q30" s="60">
        <v>145.91</v>
      </c>
      <c r="R30" s="198"/>
      <c r="S30" s="198"/>
      <c r="T30" s="198"/>
      <c r="U30" s="198"/>
    </row>
    <row r="31" spans="1:21" s="12" customFormat="1" x14ac:dyDescent="0.25">
      <c r="A31" s="201" t="s">
        <v>1709</v>
      </c>
      <c r="B31" s="60">
        <v>64.47</v>
      </c>
      <c r="C31" s="60">
        <v>117.77</v>
      </c>
      <c r="D31" s="60">
        <v>116.69</v>
      </c>
      <c r="E31" s="60">
        <v>3.8</v>
      </c>
      <c r="F31" s="60">
        <v>0.64</v>
      </c>
      <c r="G31" s="60">
        <v>118.54</v>
      </c>
      <c r="H31" s="60">
        <v>61.55</v>
      </c>
      <c r="I31" s="60">
        <v>0.99</v>
      </c>
      <c r="J31" s="60">
        <v>0.1</v>
      </c>
      <c r="K31" s="60">
        <v>10.38</v>
      </c>
      <c r="L31" s="213" t="s">
        <v>35</v>
      </c>
      <c r="M31" s="213" t="s">
        <v>35</v>
      </c>
      <c r="N31" s="60">
        <v>17</v>
      </c>
      <c r="O31" s="60">
        <v>0</v>
      </c>
      <c r="P31" s="60">
        <v>1.59</v>
      </c>
      <c r="Q31" s="60">
        <v>147.22</v>
      </c>
      <c r="R31" s="198"/>
      <c r="S31" s="198"/>
      <c r="T31" s="198"/>
      <c r="U31" s="198"/>
    </row>
    <row r="32" spans="1:21" s="12" customFormat="1" x14ac:dyDescent="0.25">
      <c r="A32" s="201" t="s">
        <v>1710</v>
      </c>
      <c r="B32" s="60">
        <v>68.58</v>
      </c>
      <c r="C32" s="60">
        <v>121.93</v>
      </c>
      <c r="D32" s="60">
        <v>122.29</v>
      </c>
      <c r="E32" s="60">
        <v>3.98</v>
      </c>
      <c r="F32" s="60">
        <v>0.56999999999999995</v>
      </c>
      <c r="G32" s="60">
        <v>135.88999999999999</v>
      </c>
      <c r="H32" s="60">
        <v>62.22</v>
      </c>
      <c r="I32" s="60">
        <v>0.96</v>
      </c>
      <c r="J32" s="60">
        <v>0.11</v>
      </c>
      <c r="K32" s="60">
        <v>316.2</v>
      </c>
      <c r="L32" s="213" t="s">
        <v>35</v>
      </c>
      <c r="M32" s="213" t="s">
        <v>35</v>
      </c>
      <c r="N32" s="60">
        <v>17.100000000000001</v>
      </c>
      <c r="O32" s="60">
        <v>0</v>
      </c>
      <c r="P32" s="60">
        <v>1.59</v>
      </c>
      <c r="Q32" s="60">
        <v>151.22</v>
      </c>
      <c r="R32" s="198"/>
      <c r="S32" s="198"/>
      <c r="T32" s="198"/>
      <c r="U32" s="198"/>
    </row>
    <row r="33" spans="1:21" s="12" customFormat="1" x14ac:dyDescent="0.25">
      <c r="A33" s="201" t="s">
        <v>1711</v>
      </c>
      <c r="B33" s="60">
        <v>70.569999999999993</v>
      </c>
      <c r="C33" s="60">
        <v>124.97</v>
      </c>
      <c r="D33" s="60">
        <v>125.56</v>
      </c>
      <c r="E33" s="60">
        <v>3.87</v>
      </c>
      <c r="F33" s="60">
        <v>0.72</v>
      </c>
      <c r="G33" s="60">
        <v>282.14999999999998</v>
      </c>
      <c r="H33" s="60">
        <v>69.14</v>
      </c>
      <c r="I33" s="60">
        <v>0.94</v>
      </c>
      <c r="J33" s="60">
        <v>0.15</v>
      </c>
      <c r="K33" s="60">
        <v>353.78</v>
      </c>
      <c r="L33" s="213" t="s">
        <v>35</v>
      </c>
      <c r="M33" s="213" t="s">
        <v>35</v>
      </c>
      <c r="N33" s="60">
        <v>18.600000000000001</v>
      </c>
      <c r="O33" s="60">
        <v>0</v>
      </c>
      <c r="P33" s="60">
        <v>1.57</v>
      </c>
      <c r="Q33" s="60">
        <v>151.58000000000001</v>
      </c>
      <c r="R33" s="198"/>
      <c r="S33" s="198"/>
      <c r="T33" s="198"/>
      <c r="U33" s="198"/>
    </row>
    <row r="34" spans="1:21" s="12" customFormat="1" x14ac:dyDescent="0.25">
      <c r="A34" s="201" t="s">
        <v>1712</v>
      </c>
      <c r="B34" s="60">
        <v>70.36</v>
      </c>
      <c r="C34" s="60">
        <v>127.65</v>
      </c>
      <c r="D34" s="60">
        <v>126.87</v>
      </c>
      <c r="E34" s="60">
        <v>4.3499999999999996</v>
      </c>
      <c r="F34" s="60">
        <v>0.67</v>
      </c>
      <c r="G34" s="60">
        <v>282.14999999999998</v>
      </c>
      <c r="H34" s="60">
        <v>69.14</v>
      </c>
      <c r="I34" s="60">
        <v>0.93</v>
      </c>
      <c r="J34" s="60">
        <v>0.11</v>
      </c>
      <c r="K34" s="60">
        <v>6.52</v>
      </c>
      <c r="L34" s="213" t="s">
        <v>35</v>
      </c>
      <c r="M34" s="213" t="s">
        <v>35</v>
      </c>
      <c r="N34" s="60">
        <v>28.2</v>
      </c>
      <c r="O34" s="60">
        <v>0</v>
      </c>
      <c r="P34" s="60">
        <v>1.57</v>
      </c>
      <c r="Q34" s="60">
        <v>155.16</v>
      </c>
      <c r="R34" s="198"/>
      <c r="S34" s="198"/>
      <c r="T34" s="198"/>
      <c r="U34" s="198"/>
    </row>
    <row r="35" spans="1:21" s="12" customFormat="1" x14ac:dyDescent="0.25">
      <c r="A35" s="201" t="s">
        <v>1713</v>
      </c>
      <c r="B35" s="60">
        <v>69.87</v>
      </c>
      <c r="C35" s="60">
        <v>126.69</v>
      </c>
      <c r="D35" s="60">
        <v>125.95</v>
      </c>
      <c r="E35" s="60">
        <v>3.59</v>
      </c>
      <c r="F35" s="60">
        <v>0.5</v>
      </c>
      <c r="G35" s="60">
        <v>282.14999999999998</v>
      </c>
      <c r="H35" s="60">
        <v>69.14</v>
      </c>
      <c r="I35" s="60">
        <v>0.91</v>
      </c>
      <c r="J35" s="60">
        <v>0.21</v>
      </c>
      <c r="K35" s="60">
        <v>353.53</v>
      </c>
      <c r="L35" s="213" t="s">
        <v>35</v>
      </c>
      <c r="M35" s="213" t="s">
        <v>35</v>
      </c>
      <c r="N35" s="60">
        <v>41.7</v>
      </c>
      <c r="O35" s="60">
        <v>0</v>
      </c>
      <c r="P35" s="60">
        <v>1.56</v>
      </c>
      <c r="Q35" s="60">
        <v>159.61000000000001</v>
      </c>
      <c r="R35" s="198"/>
      <c r="S35" s="198"/>
      <c r="T35" s="198"/>
      <c r="U35" s="198"/>
    </row>
    <row r="36" spans="1:21" s="12" customFormat="1" x14ac:dyDescent="0.25">
      <c r="A36" s="201" t="s">
        <v>1714</v>
      </c>
      <c r="B36" s="60">
        <v>67.790000000000006</v>
      </c>
      <c r="C36" s="60">
        <v>127.08</v>
      </c>
      <c r="D36" s="60">
        <v>124.5</v>
      </c>
      <c r="E36" s="60">
        <v>4.21</v>
      </c>
      <c r="F36" s="60">
        <v>0.54</v>
      </c>
      <c r="G36" s="60">
        <v>279.32</v>
      </c>
      <c r="H36" s="60">
        <v>69.75</v>
      </c>
      <c r="I36" s="60">
        <v>0.9</v>
      </c>
      <c r="J36" s="60">
        <v>0.14000000000000001</v>
      </c>
      <c r="K36" s="60">
        <v>291.87</v>
      </c>
      <c r="L36" s="213" t="s">
        <v>35</v>
      </c>
      <c r="M36" s="213" t="s">
        <v>35</v>
      </c>
      <c r="N36" s="60">
        <v>56.9</v>
      </c>
      <c r="O36" s="60">
        <v>0</v>
      </c>
      <c r="P36" s="60">
        <v>1.54</v>
      </c>
      <c r="Q36" s="60">
        <v>159.34</v>
      </c>
      <c r="R36" s="198"/>
      <c r="S36" s="198"/>
      <c r="T36" s="198"/>
      <c r="U36" s="198"/>
    </row>
    <row r="37" spans="1:21" s="12" customFormat="1" x14ac:dyDescent="0.25">
      <c r="A37" s="201" t="s">
        <v>1715</v>
      </c>
      <c r="B37" s="60">
        <v>64.430000000000007</v>
      </c>
      <c r="C37" s="60">
        <v>125.8</v>
      </c>
      <c r="D37" s="60">
        <v>121.09</v>
      </c>
      <c r="E37" s="60">
        <v>4.3600000000000003</v>
      </c>
      <c r="F37" s="60">
        <v>0.65</v>
      </c>
      <c r="G37" s="60">
        <v>255.51</v>
      </c>
      <c r="H37" s="60">
        <v>75.98</v>
      </c>
      <c r="I37" s="60">
        <v>0.88</v>
      </c>
      <c r="J37" s="60">
        <v>0.13</v>
      </c>
      <c r="K37" s="60">
        <v>270.02</v>
      </c>
      <c r="L37" s="213" t="s">
        <v>35</v>
      </c>
      <c r="M37" s="213" t="s">
        <v>35</v>
      </c>
      <c r="N37" s="60">
        <v>88.2</v>
      </c>
      <c r="O37" s="60">
        <v>0</v>
      </c>
      <c r="P37" s="60">
        <v>1.53</v>
      </c>
      <c r="Q37" s="60">
        <v>153.85</v>
      </c>
      <c r="R37" s="198"/>
      <c r="S37" s="198"/>
      <c r="T37" s="198"/>
      <c r="U37" s="198"/>
    </row>
    <row r="38" spans="1:21" s="12" customFormat="1" x14ac:dyDescent="0.25">
      <c r="A38" s="201" t="s">
        <v>1716</v>
      </c>
      <c r="B38" s="60">
        <v>61.91</v>
      </c>
      <c r="C38" s="60">
        <v>125.38</v>
      </c>
      <c r="D38" s="60">
        <v>118.84</v>
      </c>
      <c r="E38" s="60">
        <v>4.5599999999999996</v>
      </c>
      <c r="F38" s="60">
        <v>0.52</v>
      </c>
      <c r="G38" s="60">
        <v>255.51</v>
      </c>
      <c r="H38" s="60">
        <v>75.98</v>
      </c>
      <c r="I38" s="60">
        <v>0.85</v>
      </c>
      <c r="J38" s="60">
        <v>0.4</v>
      </c>
      <c r="K38" s="60">
        <v>236.54</v>
      </c>
      <c r="L38" s="213" t="s">
        <v>35</v>
      </c>
      <c r="M38" s="213" t="s">
        <v>35</v>
      </c>
      <c r="N38" s="60">
        <v>172.9</v>
      </c>
      <c r="O38" s="60">
        <v>0</v>
      </c>
      <c r="P38" s="60">
        <v>1.6</v>
      </c>
      <c r="Q38" s="60">
        <v>152.16999999999999</v>
      </c>
      <c r="R38" s="198"/>
      <c r="S38" s="198"/>
      <c r="T38" s="198"/>
      <c r="U38" s="198"/>
    </row>
    <row r="39" spans="1:21" s="12" customFormat="1" x14ac:dyDescent="0.25">
      <c r="A39" s="201" t="s">
        <v>1717</v>
      </c>
      <c r="B39" s="60">
        <v>61.85</v>
      </c>
      <c r="C39" s="60">
        <v>129.43</v>
      </c>
      <c r="D39" s="60">
        <v>121.03</v>
      </c>
      <c r="E39" s="60">
        <v>4.29</v>
      </c>
      <c r="F39" s="60">
        <v>0.48</v>
      </c>
      <c r="G39" s="60">
        <v>255.51</v>
      </c>
      <c r="H39" s="60">
        <v>75.98</v>
      </c>
      <c r="I39" s="60">
        <v>0.85</v>
      </c>
      <c r="J39" s="60">
        <v>0.4</v>
      </c>
      <c r="K39" s="60">
        <v>239.25</v>
      </c>
      <c r="L39" s="213" t="s">
        <v>35</v>
      </c>
      <c r="M39" s="213" t="s">
        <v>35</v>
      </c>
      <c r="N39" s="60">
        <v>226.3</v>
      </c>
      <c r="O39" s="60">
        <v>0</v>
      </c>
      <c r="P39" s="60">
        <v>1.6</v>
      </c>
      <c r="Q39" s="60">
        <v>154.24</v>
      </c>
      <c r="R39" s="198"/>
      <c r="S39" s="198"/>
      <c r="T39" s="198"/>
      <c r="U39" s="198"/>
    </row>
    <row r="40" spans="1:21" s="12" customFormat="1" x14ac:dyDescent="0.25">
      <c r="A40" s="201" t="s">
        <v>1718</v>
      </c>
      <c r="B40" s="60">
        <v>61.77</v>
      </c>
      <c r="C40" s="60">
        <v>141.02000000000001</v>
      </c>
      <c r="D40" s="60">
        <v>127.36</v>
      </c>
      <c r="E40" s="60">
        <v>2.2000000000000002</v>
      </c>
      <c r="F40" s="60">
        <v>0.55000000000000004</v>
      </c>
      <c r="G40" s="60">
        <v>253.16</v>
      </c>
      <c r="H40" s="60">
        <v>77.36</v>
      </c>
      <c r="I40" s="60">
        <v>0.83</v>
      </c>
      <c r="J40" s="60">
        <v>0.36</v>
      </c>
      <c r="K40" s="60">
        <v>234.91</v>
      </c>
      <c r="L40" s="213" t="s">
        <v>35</v>
      </c>
      <c r="M40" s="213" t="s">
        <v>35</v>
      </c>
      <c r="N40" s="60">
        <v>271.60000000000002</v>
      </c>
      <c r="O40" s="60">
        <v>0</v>
      </c>
      <c r="P40" s="60">
        <v>1.6</v>
      </c>
      <c r="Q40" s="60">
        <v>155.43</v>
      </c>
      <c r="R40" s="198"/>
      <c r="S40" s="198"/>
      <c r="T40" s="198"/>
      <c r="U40" s="198"/>
    </row>
    <row r="41" spans="1:21" s="12" customFormat="1" x14ac:dyDescent="0.25">
      <c r="A41" s="201" t="s">
        <v>1719</v>
      </c>
      <c r="B41" s="60">
        <v>60.75</v>
      </c>
      <c r="C41" s="60">
        <v>137.22999999999999</v>
      </c>
      <c r="D41" s="60">
        <v>124.45</v>
      </c>
      <c r="E41" s="60">
        <v>3.99</v>
      </c>
      <c r="F41" s="60">
        <v>0.6</v>
      </c>
      <c r="G41" s="60">
        <v>233.38</v>
      </c>
      <c r="H41" s="60">
        <v>91.49</v>
      </c>
      <c r="I41" s="60">
        <v>0.84</v>
      </c>
      <c r="J41" s="60">
        <v>0.59</v>
      </c>
      <c r="K41" s="60">
        <v>204.82</v>
      </c>
      <c r="L41" s="213" t="s">
        <v>35</v>
      </c>
      <c r="M41" s="213" t="s">
        <v>35</v>
      </c>
      <c r="N41" s="60">
        <v>319.89999999999998</v>
      </c>
      <c r="O41" s="60">
        <v>0</v>
      </c>
      <c r="P41" s="60">
        <v>1.6</v>
      </c>
      <c r="Q41" s="60">
        <v>154.85</v>
      </c>
      <c r="R41" s="198"/>
      <c r="S41" s="198"/>
      <c r="T41" s="198"/>
      <c r="U41" s="198"/>
    </row>
    <row r="42" spans="1:21" s="12" customFormat="1" x14ac:dyDescent="0.25">
      <c r="A42" s="201" t="s">
        <v>1720</v>
      </c>
      <c r="B42" s="60">
        <v>58.44</v>
      </c>
      <c r="C42" s="60">
        <v>128.26</v>
      </c>
      <c r="D42" s="60">
        <v>117.65</v>
      </c>
      <c r="E42" s="60">
        <v>3.9</v>
      </c>
      <c r="F42" s="60">
        <v>0.61</v>
      </c>
      <c r="G42" s="60">
        <v>233.38</v>
      </c>
      <c r="H42" s="60">
        <v>91.49</v>
      </c>
      <c r="I42" s="60">
        <v>0.84</v>
      </c>
      <c r="J42" s="60">
        <v>0.77</v>
      </c>
      <c r="K42" s="60">
        <v>198.12</v>
      </c>
      <c r="L42" s="213" t="s">
        <v>35</v>
      </c>
      <c r="M42" s="213" t="s">
        <v>35</v>
      </c>
      <c r="N42" s="60">
        <v>362.9</v>
      </c>
      <c r="O42" s="60">
        <v>0</v>
      </c>
      <c r="P42" s="60">
        <v>1.61</v>
      </c>
      <c r="Q42" s="60">
        <v>149.94999999999999</v>
      </c>
      <c r="R42" s="198"/>
      <c r="S42" s="198"/>
      <c r="T42" s="198"/>
      <c r="U42" s="198"/>
    </row>
    <row r="43" spans="1:21" s="12" customFormat="1" x14ac:dyDescent="0.25">
      <c r="A43" s="201" t="s">
        <v>1721</v>
      </c>
      <c r="B43" s="60">
        <v>55.74</v>
      </c>
      <c r="C43" s="60">
        <v>122.68</v>
      </c>
      <c r="D43" s="60">
        <v>112.4</v>
      </c>
      <c r="E43" s="60">
        <v>3.99</v>
      </c>
      <c r="F43" s="60">
        <v>0.46</v>
      </c>
      <c r="G43" s="60">
        <v>233.38</v>
      </c>
      <c r="H43" s="60">
        <v>91.49</v>
      </c>
      <c r="I43" s="60">
        <v>0.84</v>
      </c>
      <c r="J43" s="60">
        <v>0.4</v>
      </c>
      <c r="K43" s="60">
        <v>199.9</v>
      </c>
      <c r="L43" s="213" t="s">
        <v>35</v>
      </c>
      <c r="M43" s="213" t="s">
        <v>35</v>
      </c>
      <c r="N43" s="60">
        <v>399.8</v>
      </c>
      <c r="O43" s="60">
        <v>0</v>
      </c>
      <c r="P43" s="60">
        <v>1.6</v>
      </c>
      <c r="Q43" s="60">
        <v>142.26</v>
      </c>
      <c r="R43" s="198"/>
      <c r="S43" s="198"/>
      <c r="T43" s="198"/>
      <c r="U43" s="198"/>
    </row>
    <row r="44" spans="1:21" s="12" customFormat="1" x14ac:dyDescent="0.25">
      <c r="A44" s="201" t="s">
        <v>1722</v>
      </c>
      <c r="B44" s="60">
        <v>52.67</v>
      </c>
      <c r="C44" s="60">
        <v>121.81</v>
      </c>
      <c r="D44" s="60">
        <v>109.46</v>
      </c>
      <c r="E44" s="60">
        <v>3.85</v>
      </c>
      <c r="F44" s="60">
        <v>0.79</v>
      </c>
      <c r="G44" s="60">
        <v>236.05</v>
      </c>
      <c r="H44" s="60">
        <v>91.81</v>
      </c>
      <c r="I44" s="60">
        <v>0.83</v>
      </c>
      <c r="J44" s="60">
        <v>0.47</v>
      </c>
      <c r="K44" s="60">
        <v>194.07</v>
      </c>
      <c r="L44" s="213" t="s">
        <v>35</v>
      </c>
      <c r="M44" s="213" t="s">
        <v>35</v>
      </c>
      <c r="N44" s="60">
        <v>434.1</v>
      </c>
      <c r="O44" s="60">
        <v>0</v>
      </c>
      <c r="P44" s="60">
        <v>1.59</v>
      </c>
      <c r="Q44" s="60">
        <v>137.93</v>
      </c>
      <c r="R44" s="198"/>
      <c r="S44" s="198"/>
      <c r="T44" s="198"/>
      <c r="U44" s="198"/>
    </row>
    <row r="45" spans="1:21" s="12" customFormat="1" x14ac:dyDescent="0.25">
      <c r="A45" s="201" t="s">
        <v>1723</v>
      </c>
      <c r="B45" s="60">
        <v>49.11</v>
      </c>
      <c r="C45" s="60">
        <v>121.75</v>
      </c>
      <c r="D45" s="60">
        <v>106.57</v>
      </c>
      <c r="E45" s="60">
        <v>3.8</v>
      </c>
      <c r="F45" s="60">
        <v>0.77</v>
      </c>
      <c r="G45" s="60">
        <v>258.61</v>
      </c>
      <c r="H45" s="60">
        <v>95.19</v>
      </c>
      <c r="I45" s="60">
        <v>0.81</v>
      </c>
      <c r="J45" s="60">
        <v>0.44</v>
      </c>
      <c r="K45" s="60">
        <v>180.79</v>
      </c>
      <c r="L45" s="213" t="s">
        <v>35</v>
      </c>
      <c r="M45" s="213" t="s">
        <v>35</v>
      </c>
      <c r="N45" s="60">
        <v>463</v>
      </c>
      <c r="O45" s="60">
        <v>0</v>
      </c>
      <c r="P45" s="60">
        <v>1.58</v>
      </c>
      <c r="Q45" s="60">
        <v>134.53</v>
      </c>
      <c r="R45" s="198"/>
      <c r="S45" s="198"/>
      <c r="T45" s="198"/>
      <c r="U45" s="198"/>
    </row>
    <row r="46" spans="1:21" s="12" customFormat="1" x14ac:dyDescent="0.25">
      <c r="A46" s="201" t="s">
        <v>1724</v>
      </c>
      <c r="B46" s="60">
        <v>45.41</v>
      </c>
      <c r="C46" s="60">
        <v>120.95</v>
      </c>
      <c r="D46" s="60">
        <v>103.16</v>
      </c>
      <c r="E46" s="60">
        <v>3.86</v>
      </c>
      <c r="F46" s="60">
        <v>0.8</v>
      </c>
      <c r="G46" s="60">
        <v>258.61</v>
      </c>
      <c r="H46" s="60">
        <v>95.19</v>
      </c>
      <c r="I46" s="60">
        <v>0.8</v>
      </c>
      <c r="J46" s="60">
        <v>0.43</v>
      </c>
      <c r="K46" s="60">
        <v>174.47</v>
      </c>
      <c r="L46" s="213" t="s">
        <v>35</v>
      </c>
      <c r="M46" s="213" t="s">
        <v>35</v>
      </c>
      <c r="N46" s="60">
        <v>492.9</v>
      </c>
      <c r="O46" s="60">
        <v>0</v>
      </c>
      <c r="P46" s="60">
        <v>1.59</v>
      </c>
      <c r="Q46" s="60">
        <v>132.03</v>
      </c>
      <c r="R46" s="198"/>
      <c r="S46" s="198"/>
      <c r="T46" s="198"/>
      <c r="U46" s="198"/>
    </row>
    <row r="47" spans="1:21" s="12" customFormat="1" x14ac:dyDescent="0.25">
      <c r="A47" s="201" t="s">
        <v>1725</v>
      </c>
      <c r="B47" s="60">
        <v>41.68</v>
      </c>
      <c r="C47" s="60">
        <v>121.94</v>
      </c>
      <c r="D47" s="60">
        <v>100.72</v>
      </c>
      <c r="E47" s="60">
        <v>3.88</v>
      </c>
      <c r="F47" s="60">
        <v>1.05</v>
      </c>
      <c r="G47" s="60">
        <v>258.61</v>
      </c>
      <c r="H47" s="60">
        <v>95.19</v>
      </c>
      <c r="I47" s="60">
        <v>0.79</v>
      </c>
      <c r="J47" s="60">
        <v>0.22</v>
      </c>
      <c r="K47" s="60">
        <v>14.96</v>
      </c>
      <c r="L47" s="213" t="s">
        <v>35</v>
      </c>
      <c r="M47" s="213" t="s">
        <v>35</v>
      </c>
      <c r="N47" s="60">
        <v>506.5</v>
      </c>
      <c r="O47" s="60">
        <v>0</v>
      </c>
      <c r="P47" s="60">
        <v>1.58</v>
      </c>
      <c r="Q47" s="60">
        <v>131.85</v>
      </c>
      <c r="R47" s="198"/>
      <c r="S47" s="198"/>
      <c r="T47" s="198"/>
      <c r="U47" s="198"/>
    </row>
    <row r="48" spans="1:21" s="12" customFormat="1" x14ac:dyDescent="0.25">
      <c r="A48" s="201" t="s">
        <v>1726</v>
      </c>
      <c r="B48" s="60">
        <v>38.56</v>
      </c>
      <c r="C48" s="60">
        <v>124.91</v>
      </c>
      <c r="D48" s="60">
        <v>99.85</v>
      </c>
      <c r="E48" s="60">
        <v>4.2699999999999996</v>
      </c>
      <c r="F48" s="60">
        <v>0.92</v>
      </c>
      <c r="G48" s="60">
        <v>259.99</v>
      </c>
      <c r="H48" s="60">
        <v>95.61</v>
      </c>
      <c r="I48" s="60">
        <v>0.77</v>
      </c>
      <c r="J48" s="60">
        <v>0.66</v>
      </c>
      <c r="K48" s="60">
        <v>152.76</v>
      </c>
      <c r="L48" s="213" t="s">
        <v>35</v>
      </c>
      <c r="M48" s="213" t="s">
        <v>35</v>
      </c>
      <c r="N48" s="60">
        <v>546.6</v>
      </c>
      <c r="O48" s="60">
        <v>0</v>
      </c>
      <c r="P48" s="60">
        <v>1.61</v>
      </c>
      <c r="Q48" s="60">
        <v>133.11000000000001</v>
      </c>
      <c r="R48" s="198"/>
      <c r="S48" s="198"/>
      <c r="T48" s="198"/>
      <c r="U48" s="198"/>
    </row>
    <row r="49" spans="1:21" s="12" customFormat="1" x14ac:dyDescent="0.25">
      <c r="A49" s="201" t="s">
        <v>1727</v>
      </c>
      <c r="B49" s="60">
        <v>35.340000000000003</v>
      </c>
      <c r="C49" s="60">
        <v>124.08</v>
      </c>
      <c r="D49" s="60">
        <v>96.82</v>
      </c>
      <c r="E49" s="60">
        <v>4.42</v>
      </c>
      <c r="F49" s="60">
        <v>0.77</v>
      </c>
      <c r="G49" s="60">
        <v>271.60000000000002</v>
      </c>
      <c r="H49" s="60">
        <v>99.96</v>
      </c>
      <c r="I49" s="60">
        <v>0.76</v>
      </c>
      <c r="J49" s="60">
        <v>0.71</v>
      </c>
      <c r="K49" s="60">
        <v>101.87</v>
      </c>
      <c r="L49" s="213" t="s">
        <v>35</v>
      </c>
      <c r="M49" s="213" t="s">
        <v>35</v>
      </c>
      <c r="N49" s="60">
        <v>579.5</v>
      </c>
      <c r="O49" s="60">
        <v>0</v>
      </c>
      <c r="P49" s="60">
        <v>1.59</v>
      </c>
      <c r="Q49" s="60">
        <v>141.56</v>
      </c>
      <c r="R49" s="198"/>
      <c r="S49" s="198"/>
      <c r="T49" s="198"/>
      <c r="U49" s="198"/>
    </row>
    <row r="50" spans="1:21" s="12" customFormat="1" x14ac:dyDescent="0.25">
      <c r="A50" s="201" t="s">
        <v>1728</v>
      </c>
      <c r="B50" s="60">
        <v>31.44</v>
      </c>
      <c r="C50" s="60">
        <v>122.28</v>
      </c>
      <c r="D50" s="60">
        <v>92.7</v>
      </c>
      <c r="E50" s="60">
        <v>5.51</v>
      </c>
      <c r="F50" s="60">
        <v>1.86</v>
      </c>
      <c r="G50" s="60">
        <v>271.60000000000002</v>
      </c>
      <c r="H50" s="60">
        <v>99.96</v>
      </c>
      <c r="I50" s="60">
        <v>0.76</v>
      </c>
      <c r="J50" s="60">
        <v>0.47</v>
      </c>
      <c r="K50" s="60">
        <v>92.31</v>
      </c>
      <c r="L50" s="213" t="s">
        <v>35</v>
      </c>
      <c r="M50" s="213" t="s">
        <v>35</v>
      </c>
      <c r="N50" s="60">
        <v>593.5</v>
      </c>
      <c r="O50" s="60">
        <v>0</v>
      </c>
      <c r="P50" s="60">
        <v>1.58</v>
      </c>
      <c r="Q50" s="60">
        <v>150.56</v>
      </c>
      <c r="R50" s="198"/>
      <c r="S50" s="198"/>
      <c r="T50" s="198"/>
      <c r="U50" s="198"/>
    </row>
    <row r="51" spans="1:21" s="12" customFormat="1" x14ac:dyDescent="0.25">
      <c r="A51" s="201" t="s">
        <v>1729</v>
      </c>
      <c r="B51" s="60">
        <v>27.9</v>
      </c>
      <c r="C51" s="60">
        <v>120.14</v>
      </c>
      <c r="D51" s="60">
        <v>88.68</v>
      </c>
      <c r="E51" s="60">
        <v>5.78</v>
      </c>
      <c r="F51" s="60">
        <v>1.83</v>
      </c>
      <c r="G51" s="60">
        <v>271.60000000000002</v>
      </c>
      <c r="H51" s="60">
        <v>99.96</v>
      </c>
      <c r="I51" s="60">
        <v>0.76</v>
      </c>
      <c r="J51" s="60">
        <v>1.45</v>
      </c>
      <c r="K51" s="60">
        <v>136.13</v>
      </c>
      <c r="L51" s="213" t="s">
        <v>35</v>
      </c>
      <c r="M51" s="213" t="s">
        <v>35</v>
      </c>
      <c r="N51" s="60">
        <v>623</v>
      </c>
      <c r="O51" s="60">
        <v>0</v>
      </c>
      <c r="P51" s="60">
        <v>1.55</v>
      </c>
      <c r="Q51" s="60">
        <v>156.09</v>
      </c>
      <c r="R51" s="198"/>
      <c r="S51" s="198"/>
      <c r="T51" s="198"/>
      <c r="U51" s="198"/>
    </row>
    <row r="52" spans="1:21" s="12" customFormat="1" x14ac:dyDescent="0.25">
      <c r="A52" s="201" t="s">
        <v>1730</v>
      </c>
      <c r="B52" s="60">
        <v>24.48</v>
      </c>
      <c r="C52" s="60">
        <v>116.47</v>
      </c>
      <c r="D52" s="60">
        <v>83.91</v>
      </c>
      <c r="E52" s="60">
        <v>4.67</v>
      </c>
      <c r="F52" s="60">
        <v>1.1299999999999999</v>
      </c>
      <c r="G52" s="60">
        <v>261.88</v>
      </c>
      <c r="H52" s="60">
        <v>99.38</v>
      </c>
      <c r="I52" s="60">
        <v>0.75</v>
      </c>
      <c r="J52" s="60">
        <v>1.23</v>
      </c>
      <c r="K52" s="60">
        <v>117.18</v>
      </c>
      <c r="L52" s="213" t="s">
        <v>35</v>
      </c>
      <c r="M52" s="213" t="s">
        <v>35</v>
      </c>
      <c r="N52" s="60">
        <v>633.4</v>
      </c>
      <c r="O52" s="60">
        <v>0</v>
      </c>
      <c r="P52" s="60">
        <v>1.51</v>
      </c>
      <c r="Q52" s="60">
        <v>163.09</v>
      </c>
      <c r="R52" s="198"/>
      <c r="S52" s="198"/>
      <c r="T52" s="198"/>
      <c r="U52" s="198"/>
    </row>
    <row r="53" spans="1:21" s="12" customFormat="1" x14ac:dyDescent="0.25">
      <c r="A53" s="201" t="s">
        <v>1731</v>
      </c>
      <c r="B53" s="60">
        <v>20.96</v>
      </c>
      <c r="C53" s="60">
        <v>111.81</v>
      </c>
      <c r="D53" s="60">
        <v>78.52</v>
      </c>
      <c r="E53" s="60">
        <v>4.8600000000000003</v>
      </c>
      <c r="F53" s="60">
        <v>1.3</v>
      </c>
      <c r="G53" s="60">
        <v>179.98</v>
      </c>
      <c r="H53" s="60">
        <v>93.41</v>
      </c>
      <c r="I53" s="60">
        <v>0.76</v>
      </c>
      <c r="J53" s="60">
        <v>1.1599999999999999</v>
      </c>
      <c r="K53" s="60">
        <v>139.71</v>
      </c>
      <c r="L53" s="213" t="s">
        <v>35</v>
      </c>
      <c r="M53" s="213" t="s">
        <v>35</v>
      </c>
      <c r="N53" s="60">
        <v>645.5</v>
      </c>
      <c r="O53" s="60">
        <v>0</v>
      </c>
      <c r="P53" s="60">
        <v>1.46</v>
      </c>
      <c r="Q53" s="60">
        <v>167.28</v>
      </c>
      <c r="R53" s="198"/>
      <c r="S53" s="198"/>
      <c r="T53" s="198"/>
      <c r="U53" s="198"/>
    </row>
    <row r="54" spans="1:21" s="12" customFormat="1" x14ac:dyDescent="0.25">
      <c r="A54" s="201" t="s">
        <v>1732</v>
      </c>
      <c r="B54" s="60">
        <v>17.75</v>
      </c>
      <c r="C54" s="60">
        <v>107.06</v>
      </c>
      <c r="D54" s="60">
        <v>73.319999999999993</v>
      </c>
      <c r="E54" s="60">
        <v>5.38</v>
      </c>
      <c r="F54" s="60">
        <v>1.52</v>
      </c>
      <c r="G54" s="60">
        <v>179.98</v>
      </c>
      <c r="H54" s="60">
        <v>93.41</v>
      </c>
      <c r="I54" s="60">
        <v>0.74</v>
      </c>
      <c r="J54" s="60">
        <v>0.56000000000000005</v>
      </c>
      <c r="K54" s="60">
        <v>159.94</v>
      </c>
      <c r="L54" s="213" t="s">
        <v>35</v>
      </c>
      <c r="M54" s="213" t="s">
        <v>35</v>
      </c>
      <c r="N54" s="60">
        <v>633.29999999999995</v>
      </c>
      <c r="O54" s="60">
        <v>0</v>
      </c>
      <c r="P54" s="60">
        <v>1.41</v>
      </c>
      <c r="Q54" s="60">
        <v>171.09</v>
      </c>
      <c r="R54" s="198"/>
      <c r="S54" s="198"/>
      <c r="T54" s="198"/>
      <c r="U54" s="198"/>
    </row>
    <row r="55" spans="1:21" s="12" customFormat="1" x14ac:dyDescent="0.25">
      <c r="A55" s="201" t="s">
        <v>1733</v>
      </c>
      <c r="B55" s="60">
        <v>15.23</v>
      </c>
      <c r="C55" s="60">
        <v>103.26</v>
      </c>
      <c r="D55" s="60">
        <v>69.2</v>
      </c>
      <c r="E55" s="60">
        <v>5.27</v>
      </c>
      <c r="F55" s="60">
        <v>2.4</v>
      </c>
      <c r="G55" s="60">
        <v>179.98</v>
      </c>
      <c r="H55" s="60">
        <v>93.41</v>
      </c>
      <c r="I55" s="60">
        <v>0.68</v>
      </c>
      <c r="J55" s="60">
        <v>0.87</v>
      </c>
      <c r="K55" s="60">
        <v>137.04</v>
      </c>
      <c r="L55" s="213" t="s">
        <v>35</v>
      </c>
      <c r="M55" s="213" t="s">
        <v>35</v>
      </c>
      <c r="N55" s="60">
        <v>640.5</v>
      </c>
      <c r="O55" s="60">
        <v>0</v>
      </c>
      <c r="P55" s="60">
        <v>1.36</v>
      </c>
      <c r="Q55" s="60">
        <v>173.75</v>
      </c>
      <c r="R55" s="198"/>
      <c r="S55" s="198"/>
      <c r="T55" s="198"/>
      <c r="U55" s="198"/>
    </row>
    <row r="56" spans="1:21" s="12" customFormat="1" x14ac:dyDescent="0.25">
      <c r="A56" s="201" t="s">
        <v>1734</v>
      </c>
      <c r="B56" s="60">
        <v>12.98</v>
      </c>
      <c r="C56" s="60">
        <v>99.65</v>
      </c>
      <c r="D56" s="60">
        <v>65.41</v>
      </c>
      <c r="E56" s="60">
        <v>2.68</v>
      </c>
      <c r="F56" s="60">
        <v>2.42</v>
      </c>
      <c r="G56" s="60">
        <v>172.31</v>
      </c>
      <c r="H56" s="60">
        <v>91.93</v>
      </c>
      <c r="I56" s="60">
        <v>0.67</v>
      </c>
      <c r="J56" s="60">
        <v>0.3</v>
      </c>
      <c r="K56" s="60">
        <v>126.96</v>
      </c>
      <c r="L56" s="213" t="s">
        <v>35</v>
      </c>
      <c r="M56" s="213" t="s">
        <v>35</v>
      </c>
      <c r="N56" s="60">
        <v>642.9</v>
      </c>
      <c r="O56" s="60">
        <v>0</v>
      </c>
      <c r="P56" s="60">
        <v>1.31</v>
      </c>
      <c r="Q56" s="60">
        <v>172.18</v>
      </c>
      <c r="R56" s="198"/>
      <c r="S56" s="198"/>
      <c r="T56" s="198"/>
      <c r="U56" s="198"/>
    </row>
    <row r="57" spans="1:21" s="12" customFormat="1" x14ac:dyDescent="0.25">
      <c r="A57" s="201" t="s">
        <v>1735</v>
      </c>
      <c r="B57" s="60">
        <v>10.7</v>
      </c>
      <c r="C57" s="60">
        <v>99.12</v>
      </c>
      <c r="D57" s="60">
        <v>63.29</v>
      </c>
      <c r="E57" s="60">
        <v>5.57</v>
      </c>
      <c r="F57" s="60">
        <v>2.44</v>
      </c>
      <c r="G57" s="60">
        <v>107.67</v>
      </c>
      <c r="H57" s="60">
        <v>76.760000000000005</v>
      </c>
      <c r="I57" s="60">
        <v>0.65</v>
      </c>
      <c r="J57" s="60">
        <v>0.43</v>
      </c>
      <c r="K57" s="60">
        <v>66.37</v>
      </c>
      <c r="L57" s="213" t="s">
        <v>35</v>
      </c>
      <c r="M57" s="213" t="s">
        <v>35</v>
      </c>
      <c r="N57" s="60">
        <v>635.70000000000005</v>
      </c>
      <c r="O57" s="60">
        <v>0</v>
      </c>
      <c r="P57" s="60">
        <v>1.28</v>
      </c>
      <c r="Q57" s="60">
        <v>158.69</v>
      </c>
      <c r="R57" s="198"/>
      <c r="S57" s="198"/>
      <c r="T57" s="198"/>
      <c r="U57" s="198"/>
    </row>
    <row r="58" spans="1:21" s="12" customFormat="1" x14ac:dyDescent="0.25">
      <c r="A58" s="201" t="s">
        <v>1736</v>
      </c>
      <c r="B58" s="60">
        <v>9.5299999999999994</v>
      </c>
      <c r="C58" s="60">
        <v>98.63</v>
      </c>
      <c r="D58" s="60">
        <v>62.07</v>
      </c>
      <c r="E58" s="60">
        <v>5.82</v>
      </c>
      <c r="F58" s="60">
        <v>3</v>
      </c>
      <c r="G58" s="60">
        <v>107.67</v>
      </c>
      <c r="H58" s="60">
        <v>76.760000000000005</v>
      </c>
      <c r="I58" s="60">
        <v>0.64</v>
      </c>
      <c r="J58" s="60">
        <v>0.78</v>
      </c>
      <c r="K58" s="60">
        <v>37.44</v>
      </c>
      <c r="L58" s="213" t="s">
        <v>35</v>
      </c>
      <c r="M58" s="213" t="s">
        <v>35</v>
      </c>
      <c r="N58" s="60">
        <v>661.7</v>
      </c>
      <c r="O58" s="60">
        <v>0</v>
      </c>
      <c r="P58" s="60">
        <v>1.25</v>
      </c>
      <c r="Q58" s="60">
        <v>148.63</v>
      </c>
      <c r="R58" s="198"/>
      <c r="S58" s="198"/>
      <c r="T58" s="198"/>
      <c r="U58" s="198"/>
    </row>
    <row r="59" spans="1:21" s="12" customFormat="1" x14ac:dyDescent="0.25">
      <c r="A59" s="201" t="s">
        <v>1737</v>
      </c>
      <c r="B59" s="60">
        <v>8.1199999999999992</v>
      </c>
      <c r="C59" s="60">
        <v>100.62</v>
      </c>
      <c r="D59" s="60">
        <v>62.04</v>
      </c>
      <c r="E59" s="60">
        <v>6</v>
      </c>
      <c r="F59" s="60">
        <v>4.0599999999999996</v>
      </c>
      <c r="G59" s="60">
        <v>107.67</v>
      </c>
      <c r="H59" s="60">
        <v>76.760000000000005</v>
      </c>
      <c r="I59" s="60">
        <v>0.62</v>
      </c>
      <c r="J59" s="60">
        <v>0.41</v>
      </c>
      <c r="K59" s="60">
        <v>38.200000000000003</v>
      </c>
      <c r="L59" s="213" t="s">
        <v>35</v>
      </c>
      <c r="M59" s="213" t="s">
        <v>35</v>
      </c>
      <c r="N59" s="60">
        <v>613.9</v>
      </c>
      <c r="O59" s="60">
        <v>0</v>
      </c>
      <c r="P59" s="60">
        <v>1.21</v>
      </c>
      <c r="Q59" s="60">
        <v>143.19</v>
      </c>
      <c r="R59" s="198"/>
      <c r="S59" s="198"/>
      <c r="T59" s="198"/>
      <c r="U59" s="198"/>
    </row>
    <row r="60" spans="1:21" s="12" customFormat="1" x14ac:dyDescent="0.25">
      <c r="A60" s="201" t="s">
        <v>1738</v>
      </c>
      <c r="B60" s="60">
        <v>6.67</v>
      </c>
      <c r="C60" s="60">
        <v>95.51</v>
      </c>
      <c r="D60" s="60">
        <v>58.06</v>
      </c>
      <c r="E60" s="60">
        <v>4.83</v>
      </c>
      <c r="F60" s="60">
        <v>3.12</v>
      </c>
      <c r="G60" s="60">
        <v>105.49</v>
      </c>
      <c r="H60" s="60">
        <v>75.97</v>
      </c>
      <c r="I60" s="60">
        <v>0.59</v>
      </c>
      <c r="J60" s="60">
        <v>0.56000000000000005</v>
      </c>
      <c r="K60" s="60">
        <v>130.18</v>
      </c>
      <c r="L60" s="60">
        <v>27.03</v>
      </c>
      <c r="M60" s="60">
        <v>40.03</v>
      </c>
      <c r="N60" s="60">
        <v>590.1</v>
      </c>
      <c r="O60" s="60">
        <v>0</v>
      </c>
      <c r="P60" s="60">
        <v>1.18</v>
      </c>
      <c r="Q60" s="60">
        <v>138.04</v>
      </c>
      <c r="R60" s="198"/>
      <c r="S60" s="198"/>
      <c r="T60" s="198"/>
      <c r="U60" s="198"/>
    </row>
    <row r="61" spans="1:21" s="12" customFormat="1" x14ac:dyDescent="0.25">
      <c r="A61" s="201" t="s">
        <v>1739</v>
      </c>
      <c r="B61" s="60">
        <v>4.63</v>
      </c>
      <c r="C61" s="60">
        <v>90.02</v>
      </c>
      <c r="D61" s="60">
        <v>53.4</v>
      </c>
      <c r="E61" s="60">
        <v>5.96</v>
      </c>
      <c r="F61" s="60">
        <v>6.36</v>
      </c>
      <c r="G61" s="60">
        <v>87.08</v>
      </c>
      <c r="H61" s="60">
        <v>67.8</v>
      </c>
      <c r="I61" s="60">
        <v>0.56999999999999995</v>
      </c>
      <c r="J61" s="60">
        <v>0.18</v>
      </c>
      <c r="K61" s="60">
        <v>132.25</v>
      </c>
      <c r="L61" s="60">
        <v>10.92</v>
      </c>
      <c r="M61" s="60">
        <v>14.25</v>
      </c>
      <c r="N61" s="60">
        <v>584.20000000000005</v>
      </c>
      <c r="O61" s="60">
        <v>0</v>
      </c>
      <c r="P61" s="60">
        <v>0.97</v>
      </c>
      <c r="Q61" s="60">
        <v>128.91</v>
      </c>
      <c r="R61" s="198"/>
      <c r="S61" s="198"/>
      <c r="T61" s="198"/>
      <c r="U61" s="198"/>
    </row>
    <row r="62" spans="1:21" s="12" customFormat="1" x14ac:dyDescent="0.25">
      <c r="A62" s="201" t="s">
        <v>1740</v>
      </c>
      <c r="B62" s="60">
        <v>2.21</v>
      </c>
      <c r="C62" s="60">
        <v>84.74</v>
      </c>
      <c r="D62" s="60">
        <v>48.54</v>
      </c>
      <c r="E62" s="60">
        <v>5.77</v>
      </c>
      <c r="F62" s="60">
        <v>6.58</v>
      </c>
      <c r="G62" s="60">
        <v>87.08</v>
      </c>
      <c r="H62" s="60">
        <v>67.8</v>
      </c>
      <c r="I62" s="60">
        <v>0.55000000000000004</v>
      </c>
      <c r="J62" s="60">
        <v>1.29</v>
      </c>
      <c r="K62" s="60">
        <v>230.33</v>
      </c>
      <c r="L62" s="213" t="s">
        <v>35</v>
      </c>
      <c r="M62" s="213" t="s">
        <v>35</v>
      </c>
      <c r="N62" s="60">
        <v>536.9</v>
      </c>
      <c r="O62" s="60">
        <v>0</v>
      </c>
      <c r="P62" s="60">
        <v>0.96</v>
      </c>
      <c r="Q62" s="60">
        <v>120.85</v>
      </c>
      <c r="R62" s="198"/>
      <c r="S62" s="198"/>
      <c r="T62" s="198"/>
      <c r="U62" s="198"/>
    </row>
    <row r="63" spans="1:21" s="12" customFormat="1" x14ac:dyDescent="0.25">
      <c r="A63" s="201" t="s">
        <v>1741</v>
      </c>
      <c r="B63" s="60">
        <v>2.37</v>
      </c>
      <c r="C63" s="60">
        <v>84.91</v>
      </c>
      <c r="D63" s="60">
        <v>48.76</v>
      </c>
      <c r="E63" s="60">
        <v>6.14</v>
      </c>
      <c r="F63" s="60">
        <v>8.08</v>
      </c>
      <c r="G63" s="60">
        <v>87.08</v>
      </c>
      <c r="H63" s="60">
        <v>67.8</v>
      </c>
      <c r="I63" s="60">
        <v>0.49</v>
      </c>
      <c r="J63" s="60">
        <v>0.82</v>
      </c>
      <c r="K63" s="60">
        <v>233.37</v>
      </c>
      <c r="L63" s="213" t="s">
        <v>35</v>
      </c>
      <c r="M63" s="213" t="s">
        <v>35</v>
      </c>
      <c r="N63" s="60">
        <v>508.4</v>
      </c>
      <c r="O63" s="60">
        <v>0</v>
      </c>
      <c r="P63" s="60">
        <v>0.87</v>
      </c>
      <c r="Q63" s="60">
        <v>122.56</v>
      </c>
      <c r="R63" s="198"/>
      <c r="S63" s="198"/>
      <c r="T63" s="198"/>
      <c r="U63" s="198"/>
    </row>
    <row r="64" spans="1:21" s="12" customFormat="1" x14ac:dyDescent="0.25">
      <c r="A64" s="201" t="s">
        <v>1742</v>
      </c>
      <c r="B64" s="60">
        <v>1.66</v>
      </c>
      <c r="C64" s="60">
        <v>80.680000000000007</v>
      </c>
      <c r="D64" s="60">
        <v>45.85</v>
      </c>
      <c r="E64" s="60">
        <v>6.29</v>
      </c>
      <c r="F64" s="60">
        <v>8.1</v>
      </c>
      <c r="G64" s="60">
        <v>89.85</v>
      </c>
      <c r="H64" s="60">
        <v>66.62</v>
      </c>
      <c r="I64" s="60">
        <v>0.44</v>
      </c>
      <c r="J64" s="60">
        <v>0.51</v>
      </c>
      <c r="K64" s="60">
        <v>233.7</v>
      </c>
      <c r="L64" s="213" t="s">
        <v>35</v>
      </c>
      <c r="M64" s="213" t="s">
        <v>35</v>
      </c>
      <c r="N64" s="60">
        <v>480.8</v>
      </c>
      <c r="O64" s="60">
        <v>0</v>
      </c>
      <c r="P64" s="60">
        <v>0.84</v>
      </c>
      <c r="Q64" s="60">
        <v>124.88</v>
      </c>
      <c r="R64" s="198"/>
      <c r="S64" s="198"/>
      <c r="T64" s="198"/>
      <c r="U64" s="198"/>
    </row>
    <row r="65" spans="1:21" s="12" customFormat="1" x14ac:dyDescent="0.25">
      <c r="A65" s="201" t="s">
        <v>1743</v>
      </c>
      <c r="B65" s="60">
        <v>1.97</v>
      </c>
      <c r="C65" s="60">
        <v>78.39</v>
      </c>
      <c r="D65" s="60">
        <v>44.84</v>
      </c>
      <c r="E65" s="60">
        <v>6.81</v>
      </c>
      <c r="F65" s="60">
        <v>12.41</v>
      </c>
      <c r="G65" s="60">
        <v>113.22</v>
      </c>
      <c r="H65" s="60">
        <v>54.53</v>
      </c>
      <c r="I65" s="60">
        <v>0.37</v>
      </c>
      <c r="J65" s="60">
        <v>1.18</v>
      </c>
      <c r="K65" s="60">
        <v>233.32</v>
      </c>
      <c r="L65" s="213" t="s">
        <v>35</v>
      </c>
      <c r="M65" s="213" t="s">
        <v>35</v>
      </c>
      <c r="N65" s="60">
        <v>433.2</v>
      </c>
      <c r="O65" s="60">
        <v>0</v>
      </c>
      <c r="P65" s="60">
        <v>0.81</v>
      </c>
      <c r="Q65" s="60">
        <v>124.03</v>
      </c>
      <c r="R65" s="198"/>
      <c r="S65" s="198"/>
      <c r="T65" s="198"/>
      <c r="U65" s="198"/>
    </row>
    <row r="66" spans="1:21" s="12" customFormat="1" x14ac:dyDescent="0.25">
      <c r="A66" s="201" t="s">
        <v>1744</v>
      </c>
      <c r="B66" s="60">
        <v>2.16</v>
      </c>
      <c r="C66" s="60">
        <v>79.97</v>
      </c>
      <c r="D66" s="60">
        <v>45.86</v>
      </c>
      <c r="E66" s="60">
        <v>5.51</v>
      </c>
      <c r="F66" s="60">
        <v>6.07</v>
      </c>
      <c r="G66" s="60">
        <v>113.22</v>
      </c>
      <c r="H66" s="60">
        <v>54.53</v>
      </c>
      <c r="I66" s="60">
        <v>0.37</v>
      </c>
      <c r="J66" s="60">
        <v>1.1200000000000001</v>
      </c>
      <c r="K66" s="60">
        <v>232.74</v>
      </c>
      <c r="L66" s="213" t="s">
        <v>35</v>
      </c>
      <c r="M66" s="213" t="s">
        <v>35</v>
      </c>
      <c r="N66" s="60">
        <v>336.6</v>
      </c>
      <c r="O66" s="60">
        <v>0</v>
      </c>
      <c r="P66" s="60">
        <v>0.8</v>
      </c>
      <c r="Q66" s="60">
        <v>125.7</v>
      </c>
      <c r="R66" s="198"/>
      <c r="S66" s="198"/>
      <c r="T66" s="198"/>
      <c r="U66" s="198"/>
    </row>
    <row r="67" spans="1:21" s="12" customFormat="1" x14ac:dyDescent="0.25">
      <c r="A67" s="201" t="s">
        <v>1745</v>
      </c>
      <c r="B67" s="60">
        <v>3.87</v>
      </c>
      <c r="C67" s="60">
        <v>81.17</v>
      </c>
      <c r="D67" s="60">
        <v>47.9</v>
      </c>
      <c r="E67" s="60">
        <v>5.52</v>
      </c>
      <c r="F67" s="60">
        <v>10.85</v>
      </c>
      <c r="G67" s="60">
        <v>113.22</v>
      </c>
      <c r="H67" s="60">
        <v>54.53</v>
      </c>
      <c r="I67" s="60">
        <v>0.37</v>
      </c>
      <c r="J67" s="60">
        <v>0.92</v>
      </c>
      <c r="K67" s="60">
        <v>232.52</v>
      </c>
      <c r="L67" s="213" t="s">
        <v>35</v>
      </c>
      <c r="M67" s="213" t="s">
        <v>35</v>
      </c>
      <c r="N67" s="60">
        <v>194.1</v>
      </c>
      <c r="O67" s="60">
        <v>0</v>
      </c>
      <c r="P67" s="60">
        <v>0.77</v>
      </c>
      <c r="Q67" s="60">
        <v>126.88</v>
      </c>
      <c r="R67" s="198"/>
      <c r="S67" s="198"/>
      <c r="T67" s="198"/>
      <c r="U67" s="198"/>
    </row>
    <row r="68" spans="1:21" s="12" customFormat="1" x14ac:dyDescent="0.25">
      <c r="A68" s="201" t="s">
        <v>1746</v>
      </c>
      <c r="B68" s="60">
        <v>2.87</v>
      </c>
      <c r="C68" s="60">
        <v>82.78</v>
      </c>
      <c r="D68" s="60">
        <v>47.98</v>
      </c>
      <c r="E68" s="60">
        <v>7.6</v>
      </c>
      <c r="F68" s="60">
        <v>9.4600000000000009</v>
      </c>
      <c r="G68" s="60">
        <v>110.33</v>
      </c>
      <c r="H68" s="60">
        <v>54.38</v>
      </c>
      <c r="I68" s="60">
        <v>0.37</v>
      </c>
      <c r="J68" s="60">
        <v>1.1499999999999999</v>
      </c>
      <c r="K68" s="60">
        <v>232.13</v>
      </c>
      <c r="L68" s="213" t="s">
        <v>35</v>
      </c>
      <c r="M68" s="213" t="s">
        <v>35</v>
      </c>
      <c r="N68" s="60">
        <v>125.4</v>
      </c>
      <c r="O68" s="60">
        <v>0</v>
      </c>
      <c r="P68" s="60">
        <v>0.74</v>
      </c>
      <c r="Q68" s="60">
        <v>126.05</v>
      </c>
      <c r="R68" s="198"/>
      <c r="S68" s="198"/>
      <c r="T68" s="198"/>
      <c r="U68" s="198"/>
    </row>
    <row r="69" spans="1:21" s="12" customFormat="1" x14ac:dyDescent="0.25">
      <c r="A69" s="201" t="s">
        <v>1747</v>
      </c>
      <c r="B69" s="60">
        <v>3.64</v>
      </c>
      <c r="C69" s="60">
        <v>82.75</v>
      </c>
      <c r="D69" s="60">
        <v>48.59</v>
      </c>
      <c r="E69" s="60">
        <v>6.37</v>
      </c>
      <c r="F69" s="60">
        <v>6.29</v>
      </c>
      <c r="G69" s="60">
        <v>85.9</v>
      </c>
      <c r="H69" s="60">
        <v>52.87</v>
      </c>
      <c r="I69" s="60">
        <v>0.36</v>
      </c>
      <c r="J69" s="60">
        <v>1.23</v>
      </c>
      <c r="K69" s="60">
        <v>231.56</v>
      </c>
      <c r="L69" s="213" t="s">
        <v>35</v>
      </c>
      <c r="M69" s="213" t="s">
        <v>35</v>
      </c>
      <c r="N69" s="60">
        <v>104.4</v>
      </c>
      <c r="O69" s="60">
        <v>0</v>
      </c>
      <c r="P69" s="60">
        <v>0.75</v>
      </c>
      <c r="Q69" s="60">
        <v>131.97999999999999</v>
      </c>
      <c r="R69" s="198"/>
      <c r="S69" s="198"/>
      <c r="T69" s="198"/>
      <c r="U69" s="198"/>
    </row>
    <row r="70" spans="1:21" s="12" customFormat="1" x14ac:dyDescent="0.25">
      <c r="A70" s="201" t="s">
        <v>1748</v>
      </c>
      <c r="B70" s="60">
        <v>2.54</v>
      </c>
      <c r="C70" s="60">
        <v>75.510000000000005</v>
      </c>
      <c r="D70" s="60">
        <v>43.71</v>
      </c>
      <c r="E70" s="60">
        <v>4.5</v>
      </c>
      <c r="F70" s="60">
        <v>3.41</v>
      </c>
      <c r="G70" s="60">
        <v>85.9</v>
      </c>
      <c r="H70" s="60">
        <v>52.87</v>
      </c>
      <c r="I70" s="60">
        <v>0.34</v>
      </c>
      <c r="J70" s="60">
        <v>1.1599999999999999</v>
      </c>
      <c r="K70" s="60">
        <v>231.12</v>
      </c>
      <c r="L70" s="213" t="s">
        <v>35</v>
      </c>
      <c r="M70" s="213" t="s">
        <v>35</v>
      </c>
      <c r="N70" s="60">
        <v>106.5</v>
      </c>
      <c r="O70" s="60">
        <v>0</v>
      </c>
      <c r="P70" s="60">
        <v>0.7</v>
      </c>
      <c r="Q70" s="60">
        <v>141.18</v>
      </c>
      <c r="R70" s="198"/>
      <c r="S70" s="198"/>
      <c r="T70" s="198"/>
      <c r="U70" s="198"/>
    </row>
    <row r="71" spans="1:21" s="12" customFormat="1" x14ac:dyDescent="0.25">
      <c r="A71" s="201" t="s">
        <v>1749</v>
      </c>
      <c r="B71" s="60">
        <v>2.36</v>
      </c>
      <c r="C71" s="60">
        <v>73.069999999999993</v>
      </c>
      <c r="D71" s="60">
        <v>42.22</v>
      </c>
      <c r="E71" s="60">
        <v>4.87</v>
      </c>
      <c r="F71" s="60">
        <v>8.8699999999999992</v>
      </c>
      <c r="G71" s="60">
        <v>85.9</v>
      </c>
      <c r="H71" s="60">
        <v>52.87</v>
      </c>
      <c r="I71" s="60">
        <v>0.34</v>
      </c>
      <c r="J71" s="60">
        <v>1.02</v>
      </c>
      <c r="K71" s="60">
        <v>230.94</v>
      </c>
      <c r="L71" s="213" t="s">
        <v>35</v>
      </c>
      <c r="M71" s="213" t="s">
        <v>35</v>
      </c>
      <c r="N71" s="60">
        <v>82.5</v>
      </c>
      <c r="O71" s="60">
        <v>0</v>
      </c>
      <c r="P71" s="60">
        <v>0.66</v>
      </c>
      <c r="Q71" s="60">
        <v>138.44</v>
      </c>
      <c r="R71" s="198"/>
      <c r="S71" s="198"/>
      <c r="T71" s="198"/>
      <c r="U71" s="198"/>
    </row>
    <row r="72" spans="1:21" s="12" customFormat="1" x14ac:dyDescent="0.25">
      <c r="A72" s="201" t="s">
        <v>1750</v>
      </c>
      <c r="B72" s="60">
        <v>2.42</v>
      </c>
      <c r="C72" s="60">
        <v>81.02</v>
      </c>
      <c r="D72" s="60">
        <v>46.66</v>
      </c>
      <c r="E72" s="60">
        <v>7.45</v>
      </c>
      <c r="F72" s="60">
        <v>8.7899999999999991</v>
      </c>
      <c r="G72" s="60">
        <v>85.63</v>
      </c>
      <c r="H72" s="60">
        <v>51.55</v>
      </c>
      <c r="I72" s="60">
        <v>0.36</v>
      </c>
      <c r="J72" s="60">
        <v>0.76</v>
      </c>
      <c r="K72" s="60">
        <v>230.87</v>
      </c>
      <c r="L72" s="213" t="s">
        <v>35</v>
      </c>
      <c r="M72" s="213" t="s">
        <v>35</v>
      </c>
      <c r="N72" s="60">
        <v>61.8</v>
      </c>
      <c r="O72" s="60">
        <v>0</v>
      </c>
      <c r="P72" s="60">
        <v>0.64</v>
      </c>
      <c r="Q72" s="60">
        <v>130.03</v>
      </c>
      <c r="R72" s="198"/>
      <c r="S72" s="198"/>
      <c r="T72" s="198"/>
      <c r="U72" s="198"/>
    </row>
    <row r="73" spans="1:21" s="12" customFormat="1" x14ac:dyDescent="0.25">
      <c r="A73" s="201" t="s">
        <v>1751</v>
      </c>
      <c r="B73" s="60">
        <v>2.13</v>
      </c>
      <c r="C73" s="60">
        <v>82.25</v>
      </c>
      <c r="D73" s="60">
        <v>47.1</v>
      </c>
      <c r="E73" s="60">
        <v>8.3800000000000008</v>
      </c>
      <c r="F73" s="60">
        <v>13.81</v>
      </c>
      <c r="G73" s="60">
        <v>82.97</v>
      </c>
      <c r="H73" s="60">
        <v>37.96</v>
      </c>
      <c r="I73" s="60">
        <v>0.36</v>
      </c>
      <c r="J73" s="60">
        <v>0.47</v>
      </c>
      <c r="K73" s="60">
        <v>230.78</v>
      </c>
      <c r="L73" s="213" t="s">
        <v>35</v>
      </c>
      <c r="M73" s="213" t="s">
        <v>35</v>
      </c>
      <c r="N73" s="60">
        <v>50.4</v>
      </c>
      <c r="O73" s="60">
        <v>0</v>
      </c>
      <c r="P73" s="60">
        <v>0.62</v>
      </c>
      <c r="Q73" s="60">
        <v>122.94</v>
      </c>
      <c r="R73" s="198"/>
      <c r="S73" s="198"/>
      <c r="T73" s="198"/>
      <c r="U73" s="198"/>
    </row>
    <row r="74" spans="1:21" s="12" customFormat="1" x14ac:dyDescent="0.25">
      <c r="A74" s="201" t="s">
        <v>1752</v>
      </c>
      <c r="B74" s="60">
        <v>3.45</v>
      </c>
      <c r="C74" s="60">
        <v>87.47</v>
      </c>
      <c r="D74" s="60">
        <v>51.04</v>
      </c>
      <c r="E74" s="60">
        <v>14.14</v>
      </c>
      <c r="F74" s="60">
        <v>19.350000000000001</v>
      </c>
      <c r="G74" s="60">
        <v>82.97</v>
      </c>
      <c r="H74" s="60">
        <v>37.96</v>
      </c>
      <c r="I74" s="60">
        <v>0.28000000000000003</v>
      </c>
      <c r="J74" s="60">
        <v>0.39</v>
      </c>
      <c r="K74" s="60">
        <v>230.65</v>
      </c>
      <c r="L74" s="60">
        <v>27.73</v>
      </c>
      <c r="M74" s="60">
        <v>37.869999999999997</v>
      </c>
      <c r="N74" s="60">
        <v>39.9</v>
      </c>
      <c r="O74" s="60">
        <v>0</v>
      </c>
      <c r="P74" s="60">
        <v>0.65</v>
      </c>
      <c r="Q74" s="60">
        <v>126.11</v>
      </c>
      <c r="R74" s="198"/>
      <c r="S74" s="198"/>
      <c r="T74" s="198"/>
      <c r="U74" s="198"/>
    </row>
    <row r="75" spans="1:21" s="12" customFormat="1" x14ac:dyDescent="0.25">
      <c r="A75" s="201" t="s">
        <v>1753</v>
      </c>
      <c r="B75" s="60">
        <v>2.31</v>
      </c>
      <c r="C75" s="60">
        <v>83.84</v>
      </c>
      <c r="D75" s="60">
        <v>48.12</v>
      </c>
      <c r="E75" s="60">
        <v>15.6</v>
      </c>
      <c r="F75" s="60">
        <v>23.58</v>
      </c>
      <c r="G75" s="60">
        <v>82.97</v>
      </c>
      <c r="H75" s="60">
        <v>37.96</v>
      </c>
      <c r="I75" s="60">
        <v>0.27</v>
      </c>
      <c r="J75" s="60">
        <v>0.24</v>
      </c>
      <c r="K75" s="60">
        <v>230.44</v>
      </c>
      <c r="L75" s="60">
        <v>27.43</v>
      </c>
      <c r="M75" s="60">
        <v>37.79</v>
      </c>
      <c r="N75" s="60">
        <v>29.1</v>
      </c>
      <c r="O75" s="60">
        <v>0</v>
      </c>
      <c r="P75" s="60">
        <v>0.56999999999999995</v>
      </c>
      <c r="Q75" s="60">
        <v>130.56</v>
      </c>
      <c r="R75" s="198"/>
      <c r="S75" s="198"/>
      <c r="T75" s="198"/>
      <c r="U75" s="198"/>
    </row>
    <row r="76" spans="1:21" s="12" customFormat="1" x14ac:dyDescent="0.25">
      <c r="A76" s="201" t="s">
        <v>1754</v>
      </c>
      <c r="B76" s="60">
        <v>8.49</v>
      </c>
      <c r="C76" s="60">
        <v>110.21</v>
      </c>
      <c r="D76" s="60">
        <v>67.63</v>
      </c>
      <c r="E76" s="60">
        <v>11.3</v>
      </c>
      <c r="F76" s="60">
        <v>11.04</v>
      </c>
      <c r="G76" s="60">
        <v>89.27</v>
      </c>
      <c r="H76" s="60">
        <v>38.409999999999997</v>
      </c>
      <c r="I76" s="60">
        <v>0.24</v>
      </c>
      <c r="J76" s="60">
        <v>0.17</v>
      </c>
      <c r="K76" s="60">
        <v>230.44</v>
      </c>
      <c r="L76" s="60">
        <v>26.78</v>
      </c>
      <c r="M76" s="60">
        <v>47.41</v>
      </c>
      <c r="N76" s="60">
        <v>19.3</v>
      </c>
      <c r="O76" s="60">
        <v>0</v>
      </c>
      <c r="P76" s="60">
        <v>0.94</v>
      </c>
      <c r="Q76" s="60">
        <v>129.38999999999999</v>
      </c>
      <c r="R76" s="198"/>
      <c r="S76" s="198"/>
      <c r="T76" s="198"/>
      <c r="U76" s="198"/>
    </row>
    <row r="77" spans="1:21" s="12" customFormat="1" x14ac:dyDescent="0.25">
      <c r="A77" s="201" t="s">
        <v>1755</v>
      </c>
      <c r="B77" s="60">
        <v>19.11</v>
      </c>
      <c r="C77" s="60">
        <v>151.25</v>
      </c>
      <c r="D77" s="60">
        <v>98.8</v>
      </c>
      <c r="E77" s="60">
        <v>9.26</v>
      </c>
      <c r="F77" s="60">
        <v>2.36</v>
      </c>
      <c r="G77" s="60">
        <v>142.37</v>
      </c>
      <c r="H77" s="60">
        <v>42.93</v>
      </c>
      <c r="I77" s="60">
        <v>0.23</v>
      </c>
      <c r="J77" s="60">
        <v>0.11</v>
      </c>
      <c r="K77" s="60">
        <v>230.04</v>
      </c>
      <c r="L77" s="60">
        <v>25.56</v>
      </c>
      <c r="M77" s="60">
        <v>51.34</v>
      </c>
      <c r="N77" s="60">
        <v>11</v>
      </c>
      <c r="O77" s="60">
        <v>0</v>
      </c>
      <c r="P77" s="60">
        <v>1.26</v>
      </c>
      <c r="Q77" s="60">
        <v>137.29</v>
      </c>
      <c r="R77" s="198"/>
      <c r="S77" s="198"/>
      <c r="T77" s="198"/>
      <c r="U77" s="198"/>
    </row>
    <row r="78" spans="1:21" s="12" customFormat="1" x14ac:dyDescent="0.25">
      <c r="A78" s="201" t="s">
        <v>1756</v>
      </c>
      <c r="B78" s="60">
        <v>24.71</v>
      </c>
      <c r="C78" s="60">
        <v>151.47999999999999</v>
      </c>
      <c r="D78" s="60">
        <v>103.41</v>
      </c>
      <c r="E78" s="60">
        <v>6.56</v>
      </c>
      <c r="F78" s="60">
        <v>2.06</v>
      </c>
      <c r="G78" s="60">
        <v>142.37</v>
      </c>
      <c r="H78" s="60">
        <v>42.93</v>
      </c>
      <c r="I78" s="60">
        <v>0.3</v>
      </c>
      <c r="J78" s="60">
        <v>0.2</v>
      </c>
      <c r="K78" s="60">
        <v>229.64</v>
      </c>
      <c r="L78" s="60">
        <v>24.53</v>
      </c>
      <c r="M78" s="60">
        <v>59.7</v>
      </c>
      <c r="N78" s="60">
        <v>6.5</v>
      </c>
      <c r="O78" s="60">
        <v>0</v>
      </c>
      <c r="P78" s="60">
        <v>1.44</v>
      </c>
      <c r="Q78" s="60">
        <v>162.5</v>
      </c>
      <c r="R78" s="198"/>
      <c r="S78" s="198"/>
      <c r="T78" s="198"/>
      <c r="U78" s="198"/>
    </row>
    <row r="79" spans="1:21" s="12" customFormat="1" x14ac:dyDescent="0.25">
      <c r="A79" s="201" t="s">
        <v>1757</v>
      </c>
      <c r="B79" s="60">
        <v>35.130000000000003</v>
      </c>
      <c r="C79" s="60">
        <v>156.87</v>
      </c>
      <c r="D79" s="60">
        <v>114.74</v>
      </c>
      <c r="E79" s="60">
        <v>4.83</v>
      </c>
      <c r="F79" s="60">
        <v>1.27</v>
      </c>
      <c r="G79" s="60">
        <v>142.37</v>
      </c>
      <c r="H79" s="60">
        <v>42.93</v>
      </c>
      <c r="I79" s="60">
        <v>0.41</v>
      </c>
      <c r="J79" s="60">
        <v>0.11</v>
      </c>
      <c r="K79" s="60">
        <v>229.39</v>
      </c>
      <c r="L79" s="60">
        <v>23.93</v>
      </c>
      <c r="M79" s="60">
        <v>55.56</v>
      </c>
      <c r="N79" s="60">
        <v>5.0999999999999996</v>
      </c>
      <c r="O79" s="60">
        <v>0</v>
      </c>
      <c r="P79" s="60">
        <v>1.53</v>
      </c>
      <c r="Q79" s="60">
        <v>175.56</v>
      </c>
      <c r="R79" s="198"/>
      <c r="S79" s="198"/>
      <c r="T79" s="198"/>
      <c r="U79" s="198"/>
    </row>
    <row r="80" spans="1:21" s="12" customFormat="1" x14ac:dyDescent="0.25">
      <c r="A80" s="201" t="s">
        <v>1758</v>
      </c>
      <c r="B80" s="60">
        <v>35.159999999999997</v>
      </c>
      <c r="C80" s="60">
        <v>158.63999999999999</v>
      </c>
      <c r="D80" s="60">
        <v>115.74</v>
      </c>
      <c r="E80" s="60">
        <v>4.22</v>
      </c>
      <c r="F80" s="60">
        <v>0.75</v>
      </c>
      <c r="G80" s="60">
        <v>158.55000000000001</v>
      </c>
      <c r="H80" s="60">
        <v>43.89</v>
      </c>
      <c r="I80" s="60">
        <v>0.44</v>
      </c>
      <c r="J80" s="60">
        <v>0.08</v>
      </c>
      <c r="K80" s="60">
        <v>228.94</v>
      </c>
      <c r="L80" s="60">
        <v>23.42</v>
      </c>
      <c r="M80" s="60">
        <v>57.52</v>
      </c>
      <c r="N80" s="60">
        <v>5</v>
      </c>
      <c r="O80" s="60">
        <v>0</v>
      </c>
      <c r="P80" s="60">
        <v>1.56</v>
      </c>
      <c r="Q80" s="60">
        <v>183.14</v>
      </c>
      <c r="R80" s="198"/>
      <c r="S80" s="198"/>
      <c r="T80" s="198"/>
      <c r="U80" s="198"/>
    </row>
    <row r="81" spans="1:26" s="12" customFormat="1" x14ac:dyDescent="0.25">
      <c r="A81" s="201" t="s">
        <v>1759</v>
      </c>
      <c r="B81" s="60">
        <v>35.97</v>
      </c>
      <c r="C81" s="60">
        <v>137.65</v>
      </c>
      <c r="D81" s="60">
        <v>104.81</v>
      </c>
      <c r="E81" s="60">
        <v>3.74</v>
      </c>
      <c r="F81" s="60">
        <v>0.75</v>
      </c>
      <c r="G81" s="218" t="s">
        <v>42</v>
      </c>
      <c r="H81" s="218" t="s">
        <v>42</v>
      </c>
      <c r="I81" s="60">
        <v>0.51</v>
      </c>
      <c r="J81" s="60">
        <v>0.12</v>
      </c>
      <c r="K81" s="60">
        <v>228.64</v>
      </c>
      <c r="L81" s="60">
        <v>22.94</v>
      </c>
      <c r="M81" s="60">
        <v>62.45</v>
      </c>
      <c r="N81" s="60">
        <v>4.9000000000000004</v>
      </c>
      <c r="O81" s="60">
        <v>0</v>
      </c>
      <c r="P81" s="60">
        <v>1.52</v>
      </c>
      <c r="Q81" s="60">
        <v>188.22</v>
      </c>
      <c r="R81" s="198"/>
      <c r="S81" s="198"/>
      <c r="T81" s="198"/>
      <c r="U81" s="198"/>
    </row>
    <row r="82" spans="1:26" s="12" customFormat="1" x14ac:dyDescent="0.25">
      <c r="A82" s="201" t="s">
        <v>1760</v>
      </c>
      <c r="B82" s="60">
        <v>54.97</v>
      </c>
      <c r="C82" s="60">
        <v>168.71</v>
      </c>
      <c r="D82" s="60">
        <v>137.19</v>
      </c>
      <c r="E82" s="60">
        <v>3.87</v>
      </c>
      <c r="F82" s="60">
        <v>0.64</v>
      </c>
      <c r="G82" s="218" t="s">
        <v>42</v>
      </c>
      <c r="H82" s="218" t="s">
        <v>42</v>
      </c>
      <c r="I82" s="60">
        <v>0.55000000000000004</v>
      </c>
      <c r="J82" s="60">
        <v>0.14000000000000001</v>
      </c>
      <c r="K82" s="60">
        <v>228.56</v>
      </c>
      <c r="L82" s="60">
        <v>22.56</v>
      </c>
      <c r="M82" s="60">
        <v>65.34</v>
      </c>
      <c r="N82" s="60">
        <v>4.8</v>
      </c>
      <c r="O82" s="60">
        <v>0</v>
      </c>
      <c r="P82" s="60">
        <v>1.68</v>
      </c>
      <c r="Q82" s="60">
        <v>199.76</v>
      </c>
      <c r="R82" s="198"/>
      <c r="S82" s="198"/>
      <c r="T82" s="198"/>
      <c r="U82" s="198"/>
    </row>
    <row r="83" spans="1:26" s="12" customFormat="1" x14ac:dyDescent="0.25">
      <c r="A83" s="201" t="s">
        <v>1761</v>
      </c>
      <c r="B83" s="60">
        <v>56.58</v>
      </c>
      <c r="C83" s="60">
        <v>162.97999999999999</v>
      </c>
      <c r="D83" s="60">
        <v>135.31</v>
      </c>
      <c r="E83" s="60">
        <v>3.89</v>
      </c>
      <c r="F83" s="60">
        <v>0.65</v>
      </c>
      <c r="G83" s="218" t="s">
        <v>42</v>
      </c>
      <c r="H83" s="218" t="s">
        <v>42</v>
      </c>
      <c r="I83" s="60">
        <v>0.62</v>
      </c>
      <c r="J83" s="60">
        <v>0.14000000000000001</v>
      </c>
      <c r="K83" s="60">
        <v>228.43</v>
      </c>
      <c r="L83" s="60">
        <v>22.65</v>
      </c>
      <c r="M83" s="60">
        <v>63.19</v>
      </c>
      <c r="N83" s="60">
        <v>4.5</v>
      </c>
      <c r="O83" s="60">
        <v>0</v>
      </c>
      <c r="P83" s="60">
        <v>1.76</v>
      </c>
      <c r="Q83" s="60">
        <v>212.75</v>
      </c>
      <c r="R83" s="198"/>
      <c r="S83" s="198"/>
      <c r="T83" s="198"/>
      <c r="U83" s="198"/>
    </row>
    <row r="84" spans="1:26" s="12" customFormat="1" x14ac:dyDescent="0.25">
      <c r="A84" s="201" t="s">
        <v>1762</v>
      </c>
      <c r="B84" s="60">
        <v>59.99</v>
      </c>
      <c r="C84" s="60">
        <v>162.78</v>
      </c>
      <c r="D84" s="60">
        <v>137.94</v>
      </c>
      <c r="E84" s="60">
        <v>3.6</v>
      </c>
      <c r="F84" s="60">
        <v>0.57999999999999996</v>
      </c>
      <c r="G84" s="218" t="s">
        <v>42</v>
      </c>
      <c r="H84" s="218" t="s">
        <v>42</v>
      </c>
      <c r="I84" s="60">
        <v>0.7</v>
      </c>
      <c r="J84" s="60">
        <v>0.2</v>
      </c>
      <c r="K84" s="60">
        <v>228.32</v>
      </c>
      <c r="L84" s="60">
        <v>22.39</v>
      </c>
      <c r="M84" s="60">
        <v>62.8</v>
      </c>
      <c r="N84" s="60">
        <v>4.3</v>
      </c>
      <c r="O84" s="60">
        <v>0</v>
      </c>
      <c r="P84" s="60">
        <v>1.81</v>
      </c>
      <c r="Q84" s="60">
        <v>221.49</v>
      </c>
      <c r="R84" s="198"/>
      <c r="S84" s="198"/>
      <c r="T84" s="198"/>
      <c r="U84" s="198"/>
    </row>
    <row r="85" spans="1:26" s="12" customFormat="1" x14ac:dyDescent="0.25">
      <c r="A85" s="201" t="s">
        <v>1763</v>
      </c>
      <c r="B85" s="60">
        <v>60.21</v>
      </c>
      <c r="C85" s="60">
        <v>160.35</v>
      </c>
      <c r="D85" s="60">
        <v>136.78</v>
      </c>
      <c r="E85" s="60">
        <v>4.0999999999999996</v>
      </c>
      <c r="F85" s="60">
        <v>0.59</v>
      </c>
      <c r="G85" s="218" t="s">
        <v>42</v>
      </c>
      <c r="H85" s="218" t="s">
        <v>42</v>
      </c>
      <c r="I85" s="60">
        <v>0.77</v>
      </c>
      <c r="J85" s="60">
        <v>0.21</v>
      </c>
      <c r="K85" s="60">
        <v>228.44</v>
      </c>
      <c r="L85" s="60">
        <v>22.78</v>
      </c>
      <c r="M85" s="60">
        <v>57.63</v>
      </c>
      <c r="N85" s="60">
        <v>4.2</v>
      </c>
      <c r="O85" s="60">
        <v>0</v>
      </c>
      <c r="P85" s="60">
        <v>1.87</v>
      </c>
      <c r="Q85" s="60">
        <v>212.99</v>
      </c>
      <c r="R85" s="198"/>
      <c r="S85" s="198"/>
      <c r="T85" s="198"/>
      <c r="U85" s="198"/>
    </row>
    <row r="86" spans="1:26" s="12" customFormat="1" x14ac:dyDescent="0.25">
      <c r="A86" s="201" t="s">
        <v>1764</v>
      </c>
      <c r="B86" s="60">
        <v>65.69</v>
      </c>
      <c r="C86" s="60">
        <v>161.71</v>
      </c>
      <c r="D86" s="60">
        <v>141.93</v>
      </c>
      <c r="E86" s="60">
        <v>3.94</v>
      </c>
      <c r="F86" s="60">
        <v>0.64</v>
      </c>
      <c r="G86" s="218" t="s">
        <v>42</v>
      </c>
      <c r="H86" s="218" t="s">
        <v>42</v>
      </c>
      <c r="I86" s="60">
        <v>0.82</v>
      </c>
      <c r="J86" s="60">
        <v>0.21</v>
      </c>
      <c r="K86" s="60">
        <v>228.51</v>
      </c>
      <c r="L86" s="60">
        <v>22.21</v>
      </c>
      <c r="M86" s="60">
        <v>69.11</v>
      </c>
      <c r="N86" s="60">
        <v>4.8</v>
      </c>
      <c r="O86" s="60">
        <v>0</v>
      </c>
      <c r="P86" s="60">
        <v>2.04</v>
      </c>
      <c r="Q86" s="60">
        <v>209.4</v>
      </c>
      <c r="R86" s="198"/>
      <c r="S86" s="198"/>
      <c r="T86" s="198"/>
      <c r="U86" s="198"/>
    </row>
    <row r="87" spans="1:26" s="12" customFormat="1" x14ac:dyDescent="0.25">
      <c r="A87" s="201" t="s">
        <v>1765</v>
      </c>
      <c r="B87" s="60">
        <v>74.099999999999994</v>
      </c>
      <c r="C87" s="60">
        <v>169.18</v>
      </c>
      <c r="D87" s="60">
        <v>152.79</v>
      </c>
      <c r="E87" s="60">
        <v>4.34</v>
      </c>
      <c r="F87" s="60">
        <v>0.67</v>
      </c>
      <c r="G87" s="218" t="s">
        <v>42</v>
      </c>
      <c r="H87" s="218" t="s">
        <v>42</v>
      </c>
      <c r="I87" s="60">
        <v>0.88</v>
      </c>
      <c r="J87" s="60">
        <v>0.06</v>
      </c>
      <c r="K87" s="60">
        <v>228.49</v>
      </c>
      <c r="L87" s="60">
        <v>21.3</v>
      </c>
      <c r="M87" s="60">
        <v>71.81</v>
      </c>
      <c r="N87" s="60">
        <v>5.2</v>
      </c>
      <c r="O87" s="60">
        <v>0</v>
      </c>
      <c r="P87" s="60">
        <v>2.2999999999999998</v>
      </c>
      <c r="Q87" s="60">
        <v>216.81</v>
      </c>
      <c r="R87" s="198"/>
      <c r="S87" s="198"/>
      <c r="T87" s="198"/>
      <c r="U87" s="198"/>
    </row>
    <row r="88" spans="1:26" s="12" customFormat="1" x14ac:dyDescent="0.25">
      <c r="A88" s="201" t="s">
        <v>1766</v>
      </c>
      <c r="B88" s="60">
        <v>80.61</v>
      </c>
      <c r="C88" s="60">
        <v>172.7</v>
      </c>
      <c r="D88" s="60">
        <v>159.96</v>
      </c>
      <c r="E88" s="60">
        <v>1.62</v>
      </c>
      <c r="F88" s="60">
        <v>0.72</v>
      </c>
      <c r="G88" s="218" t="s">
        <v>42</v>
      </c>
      <c r="H88" s="218" t="s">
        <v>42</v>
      </c>
      <c r="I88" s="60">
        <v>0.96</v>
      </c>
      <c r="J88" s="60">
        <v>0.12</v>
      </c>
      <c r="K88" s="60">
        <v>228.04</v>
      </c>
      <c r="L88" s="60">
        <v>20.93</v>
      </c>
      <c r="M88" s="60">
        <v>70.099999999999994</v>
      </c>
      <c r="N88" s="60">
        <v>4.8</v>
      </c>
      <c r="O88" s="60">
        <v>0</v>
      </c>
      <c r="P88" s="60">
        <v>2.48</v>
      </c>
      <c r="Q88" s="60">
        <v>225.46</v>
      </c>
      <c r="R88" s="198"/>
      <c r="S88" s="198"/>
      <c r="T88" s="198"/>
      <c r="U88" s="198"/>
    </row>
    <row r="89" spans="1:26" s="12" customFormat="1" x14ac:dyDescent="0.25">
      <c r="A89" s="201" t="s">
        <v>1767</v>
      </c>
      <c r="B89" s="60">
        <v>90.71</v>
      </c>
      <c r="C89" s="60">
        <v>181.56</v>
      </c>
      <c r="D89" s="60">
        <v>172.94</v>
      </c>
      <c r="E89" s="60">
        <v>3.17</v>
      </c>
      <c r="F89" s="60">
        <v>0.7</v>
      </c>
      <c r="G89" s="218" t="s">
        <v>42</v>
      </c>
      <c r="H89" s="218" t="s">
        <v>42</v>
      </c>
      <c r="I89" s="60">
        <v>1.1599999999999999</v>
      </c>
      <c r="J89" s="60">
        <v>0.16</v>
      </c>
      <c r="K89" s="60">
        <v>228.04</v>
      </c>
      <c r="L89" s="60">
        <v>20.69</v>
      </c>
      <c r="M89" s="60">
        <v>74.290000000000006</v>
      </c>
      <c r="N89" s="60">
        <v>4.7</v>
      </c>
      <c r="O89" s="60">
        <v>0</v>
      </c>
      <c r="P89" s="60">
        <v>2.65</v>
      </c>
      <c r="Q89" s="60">
        <v>233.12</v>
      </c>
      <c r="R89" s="198"/>
      <c r="S89" s="198"/>
      <c r="T89" s="198"/>
      <c r="U89" s="198"/>
    </row>
    <row r="90" spans="1:26" s="12" customFormat="1" x14ac:dyDescent="0.25">
      <c r="A90" s="201" t="s">
        <v>1768</v>
      </c>
      <c r="B90" s="60">
        <v>101.61</v>
      </c>
      <c r="C90" s="60">
        <v>188.82</v>
      </c>
      <c r="D90" s="60">
        <v>185.69</v>
      </c>
      <c r="E90" s="60">
        <v>3.97</v>
      </c>
      <c r="F90" s="60">
        <v>0.63</v>
      </c>
      <c r="G90" s="218" t="s">
        <v>42</v>
      </c>
      <c r="H90" s="218" t="s">
        <v>42</v>
      </c>
      <c r="I90" s="60">
        <v>1.25</v>
      </c>
      <c r="J90" s="60">
        <v>0.11</v>
      </c>
      <c r="K90" s="60">
        <v>227.94</v>
      </c>
      <c r="L90" s="60">
        <v>20.440000000000001</v>
      </c>
      <c r="M90" s="60">
        <v>72.709999999999994</v>
      </c>
      <c r="N90" s="60">
        <v>4.8</v>
      </c>
      <c r="O90" s="60">
        <v>0</v>
      </c>
      <c r="P90" s="60">
        <v>2.82</v>
      </c>
      <c r="Q90" s="60">
        <v>247</v>
      </c>
      <c r="R90" s="198"/>
      <c r="S90" s="198"/>
      <c r="T90" s="198"/>
      <c r="U90" s="198"/>
    </row>
    <row r="91" spans="1:26" s="12" customFormat="1" x14ac:dyDescent="0.25">
      <c r="A91" s="201" t="s">
        <v>1769</v>
      </c>
      <c r="B91" s="60">
        <v>112.97</v>
      </c>
      <c r="C91" s="60">
        <v>198.78</v>
      </c>
      <c r="D91" s="60">
        <v>200.3</v>
      </c>
      <c r="E91" s="60">
        <v>3.73</v>
      </c>
      <c r="F91" s="60">
        <v>0.48</v>
      </c>
      <c r="G91" s="218" t="s">
        <v>42</v>
      </c>
      <c r="H91" s="218" t="s">
        <v>42</v>
      </c>
      <c r="I91" s="60">
        <v>1.31</v>
      </c>
      <c r="J91" s="60">
        <v>0.09</v>
      </c>
      <c r="K91" s="60">
        <v>227.81</v>
      </c>
      <c r="L91" s="60">
        <v>20.100000000000001</v>
      </c>
      <c r="M91" s="60">
        <v>71.69</v>
      </c>
      <c r="N91" s="60">
        <v>4.8</v>
      </c>
      <c r="O91" s="60">
        <v>0</v>
      </c>
      <c r="P91" s="60">
        <v>2.96</v>
      </c>
      <c r="Q91" s="60">
        <v>260.58999999999997</v>
      </c>
      <c r="R91" s="198"/>
      <c r="S91" s="198"/>
      <c r="T91" s="198"/>
      <c r="U91" s="198"/>
    </row>
    <row r="92" spans="1:26" s="12" customFormat="1" x14ac:dyDescent="0.25">
      <c r="A92" s="201" t="s">
        <v>1770</v>
      </c>
      <c r="B92" s="60">
        <v>126.87</v>
      </c>
      <c r="C92" s="60">
        <v>207.95</v>
      </c>
      <c r="D92" s="60">
        <v>216.5</v>
      </c>
      <c r="E92" s="60">
        <v>4.29</v>
      </c>
      <c r="F92" s="60">
        <v>0.46</v>
      </c>
      <c r="G92" s="218" t="s">
        <v>42</v>
      </c>
      <c r="H92" s="218" t="s">
        <v>42</v>
      </c>
      <c r="I92" s="60">
        <v>1.44</v>
      </c>
      <c r="J92" s="60">
        <v>0.23</v>
      </c>
      <c r="K92" s="60">
        <v>227.66</v>
      </c>
      <c r="L92" s="60">
        <v>20.07</v>
      </c>
      <c r="M92" s="60">
        <v>76.36</v>
      </c>
      <c r="N92" s="60">
        <v>4.2</v>
      </c>
      <c r="O92" s="60">
        <v>0</v>
      </c>
      <c r="P92" s="60">
        <v>3.17</v>
      </c>
      <c r="Q92" s="60">
        <v>275.17</v>
      </c>
      <c r="R92" s="198"/>
      <c r="S92" s="198"/>
      <c r="T92" s="198"/>
      <c r="U92" s="198"/>
    </row>
    <row r="93" spans="1:26" s="12" customFormat="1" x14ac:dyDescent="0.25">
      <c r="A93" s="201" t="s">
        <v>1771</v>
      </c>
      <c r="B93" s="60">
        <v>141.33000000000001</v>
      </c>
      <c r="C93" s="60">
        <v>219.07</v>
      </c>
      <c r="D93" s="60">
        <v>234.24</v>
      </c>
      <c r="E93" s="60">
        <v>5.0199999999999996</v>
      </c>
      <c r="F93" s="60">
        <v>0.62</v>
      </c>
      <c r="G93" s="218" t="s">
        <v>42</v>
      </c>
      <c r="H93" s="218" t="s">
        <v>42</v>
      </c>
      <c r="I93" s="60">
        <v>1.52</v>
      </c>
      <c r="J93" s="60">
        <v>0.1</v>
      </c>
      <c r="K93" s="60">
        <v>227.71</v>
      </c>
      <c r="L93" s="60">
        <v>20.11</v>
      </c>
      <c r="M93" s="60">
        <v>77.3</v>
      </c>
      <c r="N93" s="60">
        <v>4.7</v>
      </c>
      <c r="O93" s="60">
        <v>0</v>
      </c>
      <c r="P93" s="60">
        <v>3.38</v>
      </c>
      <c r="Q93" s="60">
        <v>291.85000000000002</v>
      </c>
      <c r="R93" s="198"/>
      <c r="S93" s="198"/>
      <c r="T93" s="198"/>
      <c r="U93" s="198"/>
    </row>
    <row r="94" spans="1:26" s="12" customFormat="1" x14ac:dyDescent="0.25">
      <c r="A94" s="201" t="s">
        <v>1772</v>
      </c>
      <c r="B94" s="60">
        <v>163.13999999999999</v>
      </c>
      <c r="C94" s="60">
        <v>239.16</v>
      </c>
      <c r="D94" s="60">
        <v>262.81</v>
      </c>
      <c r="E94" s="60">
        <v>4.72</v>
      </c>
      <c r="F94" s="60">
        <v>0.67</v>
      </c>
      <c r="G94" s="218" t="s">
        <v>42</v>
      </c>
      <c r="H94" s="218" t="s">
        <v>42</v>
      </c>
      <c r="I94" s="60">
        <v>1.63</v>
      </c>
      <c r="J94" s="60">
        <v>0.18</v>
      </c>
      <c r="K94" s="60">
        <v>227.69</v>
      </c>
      <c r="L94" s="60">
        <v>19.79</v>
      </c>
      <c r="M94" s="60">
        <v>81.099999999999994</v>
      </c>
      <c r="N94" s="60">
        <v>4.5999999999999996</v>
      </c>
      <c r="O94" s="60">
        <v>0</v>
      </c>
      <c r="P94" s="60">
        <v>3.65</v>
      </c>
      <c r="Q94" s="60">
        <v>320.01</v>
      </c>
      <c r="R94" s="198"/>
      <c r="S94" s="198"/>
      <c r="T94" s="198"/>
      <c r="U94" s="198"/>
    </row>
    <row r="95" spans="1:26" s="12" customFormat="1" x14ac:dyDescent="0.25">
      <c r="A95" s="201" t="s">
        <v>1773</v>
      </c>
      <c r="B95" s="60">
        <v>180.17</v>
      </c>
      <c r="C95" s="60">
        <v>253.28</v>
      </c>
      <c r="D95" s="60">
        <v>284.26</v>
      </c>
      <c r="E95" s="60">
        <v>4.99</v>
      </c>
      <c r="F95" s="60">
        <v>0.68</v>
      </c>
      <c r="G95" s="218" t="s">
        <v>42</v>
      </c>
      <c r="H95" s="218" t="s">
        <v>42</v>
      </c>
      <c r="I95" s="60">
        <v>1.77</v>
      </c>
      <c r="J95" s="60">
        <v>0.12</v>
      </c>
      <c r="K95" s="60">
        <v>227.65</v>
      </c>
      <c r="L95" s="60">
        <v>19.41</v>
      </c>
      <c r="M95" s="60">
        <v>82.7</v>
      </c>
      <c r="N95" s="60">
        <v>4.7</v>
      </c>
      <c r="O95" s="60">
        <v>0</v>
      </c>
      <c r="P95" s="60">
        <v>3.99</v>
      </c>
      <c r="Q95" s="60">
        <v>344.23</v>
      </c>
      <c r="R95" s="198"/>
      <c r="S95" s="198"/>
      <c r="T95" s="198"/>
      <c r="U95" s="198"/>
    </row>
    <row r="96" spans="1:26" s="12" customFormat="1" x14ac:dyDescent="0.25">
      <c r="A96" s="201" t="s">
        <v>1774</v>
      </c>
      <c r="B96" s="60">
        <v>196.72</v>
      </c>
      <c r="C96" s="60">
        <v>270.17</v>
      </c>
      <c r="D96" s="60">
        <v>306.86</v>
      </c>
      <c r="E96" s="60">
        <v>5.37</v>
      </c>
      <c r="F96" s="60">
        <v>0.69</v>
      </c>
      <c r="G96" s="218" t="s">
        <v>42</v>
      </c>
      <c r="H96" s="218" t="s">
        <v>42</v>
      </c>
      <c r="I96" s="60">
        <v>1.89</v>
      </c>
      <c r="J96" s="60">
        <v>0.11</v>
      </c>
      <c r="K96" s="60">
        <v>227.5</v>
      </c>
      <c r="L96" s="60">
        <v>19.3</v>
      </c>
      <c r="M96" s="60">
        <v>81.45</v>
      </c>
      <c r="N96" s="60">
        <v>4.7</v>
      </c>
      <c r="O96" s="60">
        <v>0</v>
      </c>
      <c r="P96" s="60">
        <v>4.25</v>
      </c>
      <c r="Q96" s="60">
        <v>363.23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1775</v>
      </c>
      <c r="B97" s="60">
        <v>201.14</v>
      </c>
      <c r="C97" s="60">
        <v>269.64999999999998</v>
      </c>
      <c r="D97" s="60">
        <v>310.11</v>
      </c>
      <c r="E97" s="60">
        <v>5.45</v>
      </c>
      <c r="F97" s="60">
        <v>0.62</v>
      </c>
      <c r="G97" s="218" t="s">
        <v>42</v>
      </c>
      <c r="H97" s="218" t="s">
        <v>42</v>
      </c>
      <c r="I97" s="60">
        <v>2.0299999999999998</v>
      </c>
      <c r="J97" s="60">
        <v>0.2</v>
      </c>
      <c r="K97" s="60">
        <v>227.53</v>
      </c>
      <c r="L97" s="60">
        <v>19.239999999999998</v>
      </c>
      <c r="M97" s="60">
        <v>82.21</v>
      </c>
      <c r="N97" s="60">
        <v>4.4000000000000004</v>
      </c>
      <c r="O97" s="60">
        <v>0</v>
      </c>
      <c r="P97" s="60">
        <v>4.3499999999999996</v>
      </c>
      <c r="Q97" s="60">
        <v>370.03</v>
      </c>
      <c r="R97" s="198"/>
      <c r="S97" s="198"/>
      <c r="T97" s="198"/>
      <c r="U97" s="198"/>
    </row>
    <row r="98" spans="1:33" s="12" customFormat="1" x14ac:dyDescent="0.25">
      <c r="A98" s="201" t="s">
        <v>1776</v>
      </c>
      <c r="B98" s="60">
        <v>211.76</v>
      </c>
      <c r="C98" s="60">
        <v>276.70999999999998</v>
      </c>
      <c r="D98" s="60">
        <v>322.52999999999997</v>
      </c>
      <c r="E98" s="60">
        <v>5.69</v>
      </c>
      <c r="F98" s="60">
        <v>0.68</v>
      </c>
      <c r="G98" s="218" t="s">
        <v>42</v>
      </c>
      <c r="H98" s="218" t="s">
        <v>42</v>
      </c>
      <c r="I98" s="60">
        <v>2.14</v>
      </c>
      <c r="J98" s="60">
        <v>0.13</v>
      </c>
      <c r="K98" s="60">
        <v>227.51</v>
      </c>
      <c r="L98" s="60">
        <v>18.93</v>
      </c>
      <c r="M98" s="60">
        <v>85.4</v>
      </c>
      <c r="N98" s="60">
        <v>4.7</v>
      </c>
      <c r="O98" s="60">
        <v>0</v>
      </c>
      <c r="P98" s="60">
        <v>4.5599999999999996</v>
      </c>
      <c r="Q98" s="60">
        <v>383.44</v>
      </c>
      <c r="R98" s="198"/>
      <c r="S98" s="198"/>
      <c r="T98" s="198"/>
      <c r="U98" s="198"/>
    </row>
    <row r="99" spans="1:33" s="12" customFormat="1" x14ac:dyDescent="0.25">
      <c r="A99" s="201" t="s">
        <v>1777</v>
      </c>
      <c r="B99" s="60">
        <v>222.83</v>
      </c>
      <c r="C99" s="60">
        <v>278.64</v>
      </c>
      <c r="D99" s="60">
        <v>332.47</v>
      </c>
      <c r="E99" s="60">
        <v>5.67</v>
      </c>
      <c r="F99" s="60">
        <v>0.63</v>
      </c>
      <c r="G99" s="218" t="s">
        <v>42</v>
      </c>
      <c r="H99" s="218" t="s">
        <v>42</v>
      </c>
      <c r="I99" s="60">
        <v>2.21</v>
      </c>
      <c r="J99" s="60">
        <v>0.06</v>
      </c>
      <c r="K99" s="60">
        <v>227.51</v>
      </c>
      <c r="L99" s="60">
        <v>18.670000000000002</v>
      </c>
      <c r="M99" s="60">
        <v>84.42</v>
      </c>
      <c r="N99" s="60">
        <v>4.9000000000000004</v>
      </c>
      <c r="O99" s="60">
        <v>0</v>
      </c>
      <c r="P99" s="60">
        <v>4.7</v>
      </c>
      <c r="Q99" s="60">
        <v>385.07</v>
      </c>
      <c r="R99" s="198"/>
      <c r="S99" s="198"/>
      <c r="T99" s="198"/>
      <c r="U99" s="198"/>
    </row>
    <row r="100" spans="1:33" s="12" customFormat="1" x14ac:dyDescent="0.25">
      <c r="A100" s="201" t="s">
        <v>1778</v>
      </c>
      <c r="B100" s="60">
        <v>227.62</v>
      </c>
      <c r="C100" s="60">
        <v>282.08</v>
      </c>
      <c r="D100" s="60">
        <v>338.21</v>
      </c>
      <c r="E100" s="60">
        <v>5.44</v>
      </c>
      <c r="F100" s="60">
        <v>0.64</v>
      </c>
      <c r="G100" s="218" t="s">
        <v>42</v>
      </c>
      <c r="H100" s="218" t="s">
        <v>42</v>
      </c>
      <c r="I100" s="60">
        <v>2.27</v>
      </c>
      <c r="J100" s="60">
        <v>0.12</v>
      </c>
      <c r="K100" s="60">
        <v>227.22</v>
      </c>
      <c r="L100" s="60">
        <v>18.5</v>
      </c>
      <c r="M100" s="60">
        <v>86.5</v>
      </c>
      <c r="N100" s="60">
        <v>4.5999999999999996</v>
      </c>
      <c r="O100" s="60">
        <v>0</v>
      </c>
      <c r="P100" s="60">
        <v>4.72</v>
      </c>
      <c r="Q100" s="60">
        <v>384.35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1779</v>
      </c>
      <c r="B101" s="60">
        <v>238.39</v>
      </c>
      <c r="C101" s="60">
        <v>295.25</v>
      </c>
      <c r="D101" s="60">
        <v>354.11</v>
      </c>
      <c r="E101" s="60">
        <v>5.43</v>
      </c>
      <c r="F101" s="60">
        <v>0.45</v>
      </c>
      <c r="G101" s="218" t="s">
        <v>42</v>
      </c>
      <c r="H101" s="218" t="s">
        <v>42</v>
      </c>
      <c r="I101" s="60">
        <v>2.3199999999999998</v>
      </c>
      <c r="J101" s="60">
        <v>0.09</v>
      </c>
      <c r="K101" s="60">
        <v>227.33</v>
      </c>
      <c r="L101" s="60">
        <v>18.37</v>
      </c>
      <c r="M101" s="60">
        <v>87.01</v>
      </c>
      <c r="N101" s="60">
        <v>4.5999999999999996</v>
      </c>
      <c r="O101" s="60">
        <v>0</v>
      </c>
      <c r="P101" s="60">
        <v>4.78</v>
      </c>
      <c r="Q101" s="60">
        <v>391.21</v>
      </c>
      <c r="R101" s="198"/>
      <c r="S101" s="198"/>
      <c r="T101" s="198"/>
      <c r="U101" s="198"/>
    </row>
    <row r="102" spans="1:33" s="12" customFormat="1" x14ac:dyDescent="0.25">
      <c r="A102" s="201" t="s">
        <v>1780</v>
      </c>
      <c r="B102" s="60">
        <v>246.25</v>
      </c>
      <c r="C102" s="60">
        <v>301.24</v>
      </c>
      <c r="D102" s="60">
        <v>363.72</v>
      </c>
      <c r="E102" s="60">
        <v>6.19</v>
      </c>
      <c r="F102" s="60">
        <v>0.52</v>
      </c>
      <c r="G102" s="218" t="s">
        <v>42</v>
      </c>
      <c r="H102" s="218" t="s">
        <v>42</v>
      </c>
      <c r="I102" s="60">
        <v>2.3199999999999998</v>
      </c>
      <c r="J102" s="60">
        <v>7.0000000000000007E-2</v>
      </c>
      <c r="K102" s="60">
        <v>227.22</v>
      </c>
      <c r="L102" s="60">
        <v>18.16</v>
      </c>
      <c r="M102" s="60">
        <v>87.74</v>
      </c>
      <c r="N102" s="60">
        <v>4.7</v>
      </c>
      <c r="O102" s="60">
        <v>0</v>
      </c>
      <c r="P102" s="60">
        <v>4.8099999999999996</v>
      </c>
      <c r="Q102" s="218" t="s">
        <v>42</v>
      </c>
      <c r="R102" s="198"/>
      <c r="S102" s="198"/>
      <c r="T102" s="198"/>
      <c r="U102" s="198"/>
    </row>
    <row r="103" spans="1:33" s="12" customFormat="1" x14ac:dyDescent="0.25">
      <c r="A103" s="201" t="s">
        <v>1781</v>
      </c>
      <c r="B103" s="60">
        <v>249.74</v>
      </c>
      <c r="C103" s="60">
        <v>301.35000000000002</v>
      </c>
      <c r="D103" s="60">
        <v>366.57</v>
      </c>
      <c r="E103" s="60">
        <v>5.57</v>
      </c>
      <c r="F103" s="60">
        <v>0.56000000000000005</v>
      </c>
      <c r="G103" s="218" t="s">
        <v>42</v>
      </c>
      <c r="H103" s="218" t="s">
        <v>42</v>
      </c>
      <c r="I103" s="60">
        <v>2.36</v>
      </c>
      <c r="J103" s="60">
        <v>0.11</v>
      </c>
      <c r="K103" s="60">
        <v>227.19</v>
      </c>
      <c r="L103" s="60">
        <v>18.079999999999998</v>
      </c>
      <c r="M103" s="60">
        <v>88.5</v>
      </c>
      <c r="N103" s="60">
        <v>4.5999999999999996</v>
      </c>
      <c r="O103" s="60">
        <v>0</v>
      </c>
      <c r="P103" s="60">
        <v>4.7699999999999996</v>
      </c>
      <c r="Q103" s="218" t="s">
        <v>42</v>
      </c>
      <c r="R103" s="198"/>
      <c r="S103" s="198"/>
      <c r="T103" s="198"/>
      <c r="U103" s="198"/>
    </row>
    <row r="104" spans="1:33" s="12" customFormat="1" x14ac:dyDescent="0.25">
      <c r="A104" s="201" t="s">
        <v>1782</v>
      </c>
      <c r="B104" s="60">
        <v>251.09</v>
      </c>
      <c r="C104" s="60">
        <v>301.31</v>
      </c>
      <c r="D104" s="60">
        <v>367.64</v>
      </c>
      <c r="E104" s="60">
        <v>2.48</v>
      </c>
      <c r="F104" s="60">
        <v>0.55000000000000004</v>
      </c>
      <c r="G104" s="218" t="s">
        <v>42</v>
      </c>
      <c r="H104" s="218" t="s">
        <v>42</v>
      </c>
      <c r="I104" s="60">
        <v>2.36</v>
      </c>
      <c r="J104" s="60">
        <v>0.14000000000000001</v>
      </c>
      <c r="K104" s="60">
        <v>227.08</v>
      </c>
      <c r="L104" s="60">
        <v>17.97</v>
      </c>
      <c r="M104" s="60">
        <v>89.1</v>
      </c>
      <c r="N104" s="60">
        <v>4.5</v>
      </c>
      <c r="O104" s="60">
        <v>0</v>
      </c>
      <c r="P104" s="60">
        <v>4.72</v>
      </c>
      <c r="Q104" s="218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1.66</v>
      </c>
      <c r="C106" s="67">
        <f>MIN(C9:C104)</f>
        <v>73.069999999999993</v>
      </c>
      <c r="D106" s="67">
        <f t="shared" ref="D106:Q106" si="0">MIN(D9:D104)</f>
        <v>42.22</v>
      </c>
      <c r="E106" s="67">
        <f t="shared" si="0"/>
        <v>1.62</v>
      </c>
      <c r="F106" s="67">
        <f t="shared" si="0"/>
        <v>0.38</v>
      </c>
      <c r="G106" s="67">
        <f t="shared" si="0"/>
        <v>82.97</v>
      </c>
      <c r="H106" s="67">
        <f t="shared" si="0"/>
        <v>37.96</v>
      </c>
      <c r="I106" s="67">
        <f t="shared" si="0"/>
        <v>0.23</v>
      </c>
      <c r="J106" s="67">
        <f t="shared" si="0"/>
        <v>0.02</v>
      </c>
      <c r="K106" s="67">
        <f t="shared" si="0"/>
        <v>1.73</v>
      </c>
      <c r="L106" s="67">
        <f t="shared" si="0"/>
        <v>10.92</v>
      </c>
      <c r="M106" s="67">
        <f t="shared" si="0"/>
        <v>14.25</v>
      </c>
      <c r="N106" s="67">
        <f t="shared" si="0"/>
        <v>4.2</v>
      </c>
      <c r="O106" s="67">
        <f t="shared" si="0"/>
        <v>0</v>
      </c>
      <c r="P106" s="67">
        <f t="shared" si="0"/>
        <v>0.56999999999999995</v>
      </c>
      <c r="Q106" s="67">
        <f t="shared" si="0"/>
        <v>120.85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251.09</v>
      </c>
      <c r="C107" s="66">
        <f t="shared" ref="C107:Q107" si="1">MAX(C9:C104)</f>
        <v>301.35000000000002</v>
      </c>
      <c r="D107" s="66">
        <f t="shared" si="1"/>
        <v>367.64</v>
      </c>
      <c r="E107" s="66">
        <f t="shared" si="1"/>
        <v>15.6</v>
      </c>
      <c r="F107" s="66">
        <f t="shared" si="1"/>
        <v>23.58</v>
      </c>
      <c r="G107" s="66">
        <f t="shared" si="1"/>
        <v>282.14999999999998</v>
      </c>
      <c r="H107" s="66">
        <f t="shared" si="1"/>
        <v>105.65</v>
      </c>
      <c r="I107" s="66">
        <f t="shared" si="1"/>
        <v>2.36</v>
      </c>
      <c r="J107" s="66">
        <f t="shared" si="1"/>
        <v>1.45</v>
      </c>
      <c r="K107" s="66">
        <f t="shared" si="1"/>
        <v>356.99</v>
      </c>
      <c r="L107" s="66">
        <f t="shared" si="1"/>
        <v>27.73</v>
      </c>
      <c r="M107" s="66">
        <f t="shared" si="1"/>
        <v>89.1</v>
      </c>
      <c r="N107" s="66">
        <f t="shared" si="1"/>
        <v>661.7</v>
      </c>
      <c r="O107" s="66">
        <f t="shared" si="1"/>
        <v>0</v>
      </c>
      <c r="P107" s="66">
        <f t="shared" si="1"/>
        <v>4.8099999999999996</v>
      </c>
      <c r="Q107" s="66">
        <f t="shared" si="1"/>
        <v>391.21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77.592812499999994</v>
      </c>
      <c r="C108" s="67">
        <f t="shared" ref="C108:Q108" si="2">AVERAGE(C9:C104)</f>
        <v>153.50874999999996</v>
      </c>
      <c r="D108" s="67">
        <f t="shared" si="2"/>
        <v>146.94125</v>
      </c>
      <c r="E108" s="67">
        <f t="shared" si="2"/>
        <v>5.0513541666666679</v>
      </c>
      <c r="F108" s="67">
        <f t="shared" si="2"/>
        <v>2.4372916666666664</v>
      </c>
      <c r="G108" s="67">
        <f t="shared" si="2"/>
        <v>170.6137499999999</v>
      </c>
      <c r="H108" s="67">
        <f t="shared" si="2"/>
        <v>74.440833333333345</v>
      </c>
      <c r="I108" s="67">
        <f t="shared" si="2"/>
        <v>1.0365624999999994</v>
      </c>
      <c r="J108" s="67">
        <f t="shared" si="2"/>
        <v>0.36156250000000006</v>
      </c>
      <c r="K108" s="67">
        <f t="shared" si="2"/>
        <v>215.1898958333334</v>
      </c>
      <c r="L108" s="67">
        <f t="shared" si="2"/>
        <v>21.300606060606057</v>
      </c>
      <c r="M108" s="67">
        <f t="shared" si="2"/>
        <v>67.647878787878781</v>
      </c>
      <c r="N108" s="67">
        <f t="shared" si="2"/>
        <v>168.33958333333337</v>
      </c>
      <c r="O108" s="67">
        <f t="shared" si="2"/>
        <v>0</v>
      </c>
      <c r="P108" s="67">
        <f t="shared" si="2"/>
        <v>2.0622916666666664</v>
      </c>
      <c r="Q108" s="67">
        <f t="shared" si="2"/>
        <v>194.27021505376337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69.342075412644633</v>
      </c>
      <c r="C109" s="67">
        <f t="shared" ref="C109:Q109" si="3">STDEV(C9:C104)</f>
        <v>62.025052990070584</v>
      </c>
      <c r="D109" s="67">
        <f t="shared" si="3"/>
        <v>89.134580840316644</v>
      </c>
      <c r="E109" s="67">
        <f t="shared" si="3"/>
        <v>1.9826391872778582</v>
      </c>
      <c r="F109" s="67">
        <f t="shared" si="3"/>
        <v>4.0965545161158001</v>
      </c>
      <c r="G109" s="67">
        <f t="shared" si="3"/>
        <v>69.420100905163906</v>
      </c>
      <c r="H109" s="67">
        <f t="shared" si="3"/>
        <v>18.86378613812159</v>
      </c>
      <c r="I109" s="67">
        <f t="shared" si="3"/>
        <v>0.57669261743150579</v>
      </c>
      <c r="J109" s="67">
        <f t="shared" si="3"/>
        <v>0.35394417676119166</v>
      </c>
      <c r="K109" s="67">
        <f t="shared" si="3"/>
        <v>80.229554686861874</v>
      </c>
      <c r="L109" s="67">
        <f t="shared" si="3"/>
        <v>3.4451804555367156</v>
      </c>
      <c r="M109" s="67">
        <f t="shared" si="3"/>
        <v>17.916372009557357</v>
      </c>
      <c r="N109" s="67">
        <f t="shared" si="3"/>
        <v>235.04357825693629</v>
      </c>
      <c r="O109" s="67">
        <f t="shared" si="3"/>
        <v>0</v>
      </c>
      <c r="P109" s="67">
        <f t="shared" si="3"/>
        <v>1.1359192698952243</v>
      </c>
      <c r="Q109" s="67">
        <f t="shared" si="3"/>
        <v>73.16625959710889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72</v>
      </c>
      <c r="H110" s="66">
        <f t="shared" si="4"/>
        <v>72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COUNT(L9:L104)+63</f>
        <v>96</v>
      </c>
      <c r="M110" s="66">
        <f>COUNT(M9:M104)+63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93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1783</v>
      </c>
      <c r="B9" s="60">
        <v>249.05</v>
      </c>
      <c r="C9" s="60">
        <v>298.93</v>
      </c>
      <c r="D9" s="60">
        <v>364.7</v>
      </c>
      <c r="E9" s="60">
        <v>5.17</v>
      </c>
      <c r="F9" s="60">
        <v>0.74</v>
      </c>
      <c r="G9" s="218" t="s">
        <v>42</v>
      </c>
      <c r="H9" s="218" t="s">
        <v>42</v>
      </c>
      <c r="I9" s="60">
        <v>2.37</v>
      </c>
      <c r="J9" s="60">
        <v>0.17</v>
      </c>
      <c r="K9" s="60">
        <v>226.99</v>
      </c>
      <c r="L9" s="60">
        <v>18.07</v>
      </c>
      <c r="M9" s="60">
        <v>84.89</v>
      </c>
      <c r="N9" s="60">
        <v>4.5</v>
      </c>
      <c r="O9" s="60">
        <v>0</v>
      </c>
      <c r="P9" s="60">
        <v>4.67</v>
      </c>
      <c r="Q9" s="60">
        <v>399.55</v>
      </c>
      <c r="R9" s="198"/>
      <c r="S9" s="198"/>
      <c r="T9" s="198"/>
      <c r="U9" s="198"/>
    </row>
    <row r="10" spans="1:21" s="12" customFormat="1" x14ac:dyDescent="0.25">
      <c r="A10" s="201" t="s">
        <v>1784</v>
      </c>
      <c r="B10" s="60">
        <v>239.81</v>
      </c>
      <c r="C10" s="60">
        <v>289.73</v>
      </c>
      <c r="D10" s="60">
        <v>352.21</v>
      </c>
      <c r="E10" s="60">
        <v>5.38</v>
      </c>
      <c r="F10" s="60">
        <v>0.55000000000000004</v>
      </c>
      <c r="G10" s="218" t="s">
        <v>42</v>
      </c>
      <c r="H10" s="218" t="s">
        <v>42</v>
      </c>
      <c r="I10" s="60">
        <v>2.33</v>
      </c>
      <c r="J10" s="60">
        <v>0.52</v>
      </c>
      <c r="K10" s="60">
        <v>227.22</v>
      </c>
      <c r="L10" s="60">
        <v>18.02</v>
      </c>
      <c r="M10" s="60">
        <v>85.59</v>
      </c>
      <c r="N10" s="60">
        <v>3.9</v>
      </c>
      <c r="O10" s="60">
        <v>0</v>
      </c>
      <c r="P10" s="60">
        <v>4.55</v>
      </c>
      <c r="Q10" s="60">
        <v>395.34</v>
      </c>
      <c r="R10" s="198"/>
      <c r="S10" s="198"/>
      <c r="T10" s="198"/>
      <c r="U10" s="198"/>
    </row>
    <row r="11" spans="1:21" s="12" customFormat="1" x14ac:dyDescent="0.25">
      <c r="A11" s="201" t="s">
        <v>1785</v>
      </c>
      <c r="B11" s="60">
        <v>229.71</v>
      </c>
      <c r="C11" s="60">
        <v>280.69</v>
      </c>
      <c r="D11" s="60">
        <v>339.11</v>
      </c>
      <c r="E11" s="60">
        <v>5.25</v>
      </c>
      <c r="F11" s="60">
        <v>0.57999999999999996</v>
      </c>
      <c r="G11" s="218" t="s">
        <v>42</v>
      </c>
      <c r="H11" s="218" t="s">
        <v>42</v>
      </c>
      <c r="I11" s="60">
        <v>2.29</v>
      </c>
      <c r="J11" s="60">
        <v>0.43</v>
      </c>
      <c r="K11" s="60">
        <v>227.38</v>
      </c>
      <c r="L11" s="60">
        <v>18.29</v>
      </c>
      <c r="M11" s="60">
        <v>80.48</v>
      </c>
      <c r="N11" s="60">
        <v>3.8</v>
      </c>
      <c r="O11" s="60">
        <v>0</v>
      </c>
      <c r="P11" s="60">
        <v>4.4000000000000004</v>
      </c>
      <c r="Q11" s="60">
        <v>383.54</v>
      </c>
      <c r="R11" s="198"/>
      <c r="S11" s="198"/>
      <c r="T11" s="198"/>
      <c r="U11" s="198"/>
    </row>
    <row r="12" spans="1:21" s="12" customFormat="1" x14ac:dyDescent="0.25">
      <c r="A12" s="201" t="s">
        <v>1786</v>
      </c>
      <c r="B12" s="60">
        <v>216.6</v>
      </c>
      <c r="C12" s="60">
        <v>271.2</v>
      </c>
      <c r="D12" s="60">
        <v>323.36</v>
      </c>
      <c r="E12" s="60">
        <v>5.18</v>
      </c>
      <c r="F12" s="60">
        <v>0.46</v>
      </c>
      <c r="G12" s="218" t="s">
        <v>42</v>
      </c>
      <c r="H12" s="218" t="s">
        <v>42</v>
      </c>
      <c r="I12" s="60">
        <v>2.2400000000000002</v>
      </c>
      <c r="J12" s="60">
        <v>0.13</v>
      </c>
      <c r="K12" s="60">
        <v>227.19</v>
      </c>
      <c r="L12" s="60">
        <v>18.649999999999999</v>
      </c>
      <c r="M12" s="60">
        <v>77.2</v>
      </c>
      <c r="N12" s="60">
        <v>4.7</v>
      </c>
      <c r="O12" s="60">
        <v>0</v>
      </c>
      <c r="P12" s="60">
        <v>4.24</v>
      </c>
      <c r="Q12" s="60">
        <v>370.49</v>
      </c>
      <c r="R12" s="198"/>
      <c r="S12" s="198"/>
      <c r="T12" s="198"/>
      <c r="U12" s="198"/>
    </row>
    <row r="13" spans="1:21" s="12" customFormat="1" x14ac:dyDescent="0.25">
      <c r="A13" s="201" t="s">
        <v>1787</v>
      </c>
      <c r="B13" s="60">
        <v>205.03</v>
      </c>
      <c r="C13" s="60">
        <v>260.39999999999998</v>
      </c>
      <c r="D13" s="60">
        <v>308.13</v>
      </c>
      <c r="E13" s="60">
        <v>5.0199999999999996</v>
      </c>
      <c r="F13" s="60">
        <v>0.44</v>
      </c>
      <c r="G13" s="60">
        <v>232.39</v>
      </c>
      <c r="H13" s="60">
        <v>93.43</v>
      </c>
      <c r="I13" s="60">
        <v>2.19</v>
      </c>
      <c r="J13" s="60">
        <v>0.22</v>
      </c>
      <c r="K13" s="60">
        <v>227.25</v>
      </c>
      <c r="L13" s="60">
        <v>18.420000000000002</v>
      </c>
      <c r="M13" s="60">
        <v>77.430000000000007</v>
      </c>
      <c r="N13" s="60">
        <v>4.7</v>
      </c>
      <c r="O13" s="60">
        <v>0</v>
      </c>
      <c r="P13" s="60">
        <v>3.73</v>
      </c>
      <c r="Q13" s="60">
        <v>356.57</v>
      </c>
      <c r="R13" s="198"/>
      <c r="S13" s="198"/>
      <c r="T13" s="198"/>
      <c r="U13" s="198"/>
    </row>
    <row r="14" spans="1:21" s="12" customFormat="1" x14ac:dyDescent="0.25">
      <c r="A14" s="201" t="s">
        <v>1788</v>
      </c>
      <c r="B14" s="60">
        <v>192.61</v>
      </c>
      <c r="C14" s="60">
        <v>248.67</v>
      </c>
      <c r="D14" s="60">
        <v>291.7</v>
      </c>
      <c r="E14" s="60">
        <v>5.0999999999999996</v>
      </c>
      <c r="F14" s="60">
        <v>0.54</v>
      </c>
      <c r="G14" s="60">
        <v>232.39</v>
      </c>
      <c r="H14" s="60">
        <v>93.43</v>
      </c>
      <c r="I14" s="60">
        <v>2.13</v>
      </c>
      <c r="J14" s="60">
        <v>0.24</v>
      </c>
      <c r="K14" s="60">
        <v>227.22</v>
      </c>
      <c r="L14" s="60">
        <v>18.13</v>
      </c>
      <c r="M14" s="60">
        <v>80.89</v>
      </c>
      <c r="N14" s="60">
        <v>4.8</v>
      </c>
      <c r="O14" s="60">
        <v>0</v>
      </c>
      <c r="P14" s="60">
        <v>3.79</v>
      </c>
      <c r="Q14" s="60">
        <v>342.48</v>
      </c>
      <c r="R14" s="198"/>
      <c r="S14" s="198"/>
      <c r="T14" s="198"/>
      <c r="U14" s="198"/>
    </row>
    <row r="15" spans="1:21" s="12" customFormat="1" x14ac:dyDescent="0.25">
      <c r="A15" s="201" t="s">
        <v>1789</v>
      </c>
      <c r="B15" s="60">
        <v>181.11</v>
      </c>
      <c r="C15" s="60">
        <v>238.26</v>
      </c>
      <c r="D15" s="60">
        <v>276.72000000000003</v>
      </c>
      <c r="E15" s="60">
        <v>5.01</v>
      </c>
      <c r="F15" s="60">
        <v>0.68</v>
      </c>
      <c r="G15" s="60">
        <v>232.39</v>
      </c>
      <c r="H15" s="60">
        <v>93.43</v>
      </c>
      <c r="I15" s="60">
        <v>2.1</v>
      </c>
      <c r="J15" s="60">
        <v>0.2</v>
      </c>
      <c r="K15" s="60">
        <v>226.89</v>
      </c>
      <c r="L15" s="60">
        <v>17.739999999999998</v>
      </c>
      <c r="M15" s="60">
        <v>81.98</v>
      </c>
      <c r="N15" s="60">
        <v>4.8</v>
      </c>
      <c r="O15" s="60">
        <v>0</v>
      </c>
      <c r="P15" s="60">
        <v>3.67</v>
      </c>
      <c r="Q15" s="60">
        <v>328.61</v>
      </c>
      <c r="R15" s="198"/>
      <c r="S15" s="198"/>
      <c r="T15" s="198"/>
      <c r="U15" s="198"/>
    </row>
    <row r="16" spans="1:21" s="12" customFormat="1" x14ac:dyDescent="0.25">
      <c r="A16" s="201" t="s">
        <v>1790</v>
      </c>
      <c r="B16" s="60">
        <v>170.94</v>
      </c>
      <c r="C16" s="60">
        <v>229.02</v>
      </c>
      <c r="D16" s="60">
        <v>263.47000000000003</v>
      </c>
      <c r="E16" s="60">
        <v>4.62</v>
      </c>
      <c r="F16" s="60">
        <v>0.44</v>
      </c>
      <c r="G16" s="60">
        <v>231.89</v>
      </c>
      <c r="H16" s="60">
        <v>93.93</v>
      </c>
      <c r="I16" s="60">
        <v>2.0499999999999998</v>
      </c>
      <c r="J16" s="60">
        <v>0.25</v>
      </c>
      <c r="K16" s="60">
        <v>226.87</v>
      </c>
      <c r="L16" s="60">
        <v>17.809999999999999</v>
      </c>
      <c r="M16" s="60">
        <v>80.53</v>
      </c>
      <c r="N16" s="60">
        <v>4.3</v>
      </c>
      <c r="O16" s="60">
        <v>0</v>
      </c>
      <c r="P16" s="60">
        <v>3.54</v>
      </c>
      <c r="Q16" s="60">
        <v>316.48</v>
      </c>
      <c r="R16" s="198"/>
      <c r="S16" s="198"/>
      <c r="T16" s="198"/>
      <c r="U16" s="198"/>
    </row>
    <row r="17" spans="1:21" s="12" customFormat="1" x14ac:dyDescent="0.25">
      <c r="A17" s="201" t="s">
        <v>1791</v>
      </c>
      <c r="B17" s="60">
        <v>161.94999999999999</v>
      </c>
      <c r="C17" s="60">
        <v>219.56</v>
      </c>
      <c r="D17" s="60">
        <v>251.05</v>
      </c>
      <c r="E17" s="60">
        <v>4.75</v>
      </c>
      <c r="F17" s="60">
        <v>0.22</v>
      </c>
      <c r="G17" s="60">
        <v>227.71</v>
      </c>
      <c r="H17" s="60">
        <v>99.09</v>
      </c>
      <c r="I17" s="60">
        <v>1.97</v>
      </c>
      <c r="J17" s="60">
        <v>0.21</v>
      </c>
      <c r="K17" s="60">
        <v>226.92</v>
      </c>
      <c r="L17" s="60">
        <v>18.12</v>
      </c>
      <c r="M17" s="60">
        <v>80.17</v>
      </c>
      <c r="N17" s="60">
        <v>4.5</v>
      </c>
      <c r="O17" s="60">
        <v>0</v>
      </c>
      <c r="P17" s="60">
        <v>3.43</v>
      </c>
      <c r="Q17" s="60">
        <v>301.57</v>
      </c>
      <c r="R17" s="198"/>
      <c r="S17" s="198"/>
      <c r="T17" s="198"/>
      <c r="U17" s="198"/>
    </row>
    <row r="18" spans="1:21" s="12" customFormat="1" x14ac:dyDescent="0.25">
      <c r="A18" s="201" t="s">
        <v>1792</v>
      </c>
      <c r="B18" s="60">
        <v>153.94999999999999</v>
      </c>
      <c r="C18" s="60">
        <v>208.38</v>
      </c>
      <c r="D18" s="60">
        <v>238.46</v>
      </c>
      <c r="E18" s="60">
        <v>4.4000000000000004</v>
      </c>
      <c r="F18" s="60">
        <v>1.83</v>
      </c>
      <c r="G18" s="60">
        <v>227.71</v>
      </c>
      <c r="H18" s="60">
        <v>99.09</v>
      </c>
      <c r="I18" s="60">
        <v>1.91</v>
      </c>
      <c r="J18" s="60">
        <v>0.31</v>
      </c>
      <c r="K18" s="60">
        <v>226.88</v>
      </c>
      <c r="L18" s="60">
        <v>17.8</v>
      </c>
      <c r="M18" s="60">
        <v>86.01</v>
      </c>
      <c r="N18" s="60">
        <v>4.3</v>
      </c>
      <c r="O18" s="60">
        <v>0</v>
      </c>
      <c r="P18" s="60">
        <v>3.3</v>
      </c>
      <c r="Q18" s="60">
        <v>282.38</v>
      </c>
      <c r="R18" s="198"/>
      <c r="S18" s="198"/>
      <c r="T18" s="198"/>
      <c r="U18" s="198"/>
    </row>
    <row r="19" spans="1:21" s="12" customFormat="1" x14ac:dyDescent="0.25">
      <c r="A19" s="201" t="s">
        <v>1793</v>
      </c>
      <c r="B19" s="60">
        <v>146.6</v>
      </c>
      <c r="C19" s="60">
        <v>198.19</v>
      </c>
      <c r="D19" s="60">
        <v>226.94</v>
      </c>
      <c r="E19" s="60">
        <v>4.3499999999999996</v>
      </c>
      <c r="F19" s="60">
        <v>0.8</v>
      </c>
      <c r="G19" s="60">
        <v>227.71</v>
      </c>
      <c r="H19" s="60">
        <v>99.09</v>
      </c>
      <c r="I19" s="60">
        <v>1.88</v>
      </c>
      <c r="J19" s="60">
        <v>0.18</v>
      </c>
      <c r="K19" s="60">
        <v>226.97</v>
      </c>
      <c r="L19" s="60">
        <v>17.21</v>
      </c>
      <c r="M19" s="60">
        <v>89.45</v>
      </c>
      <c r="N19" s="60">
        <v>5</v>
      </c>
      <c r="O19" s="60">
        <v>0</v>
      </c>
      <c r="P19" s="60">
        <v>3.17</v>
      </c>
      <c r="Q19" s="60">
        <v>265.66000000000003</v>
      </c>
      <c r="R19" s="198"/>
      <c r="S19" s="198"/>
      <c r="T19" s="198"/>
      <c r="U19" s="198"/>
    </row>
    <row r="20" spans="1:21" s="12" customFormat="1" x14ac:dyDescent="0.25">
      <c r="A20" s="201" t="s">
        <v>1794</v>
      </c>
      <c r="B20" s="60">
        <v>139.59</v>
      </c>
      <c r="C20" s="60">
        <v>193.48</v>
      </c>
      <c r="D20" s="60">
        <v>218.72</v>
      </c>
      <c r="E20" s="60">
        <v>4.45</v>
      </c>
      <c r="F20" s="60">
        <v>0.4</v>
      </c>
      <c r="G20" s="60">
        <v>220.36</v>
      </c>
      <c r="H20" s="60">
        <v>97.73</v>
      </c>
      <c r="I20" s="60">
        <v>1.81</v>
      </c>
      <c r="J20" s="60">
        <v>0.21</v>
      </c>
      <c r="K20" s="60">
        <v>226.83</v>
      </c>
      <c r="L20" s="60">
        <v>16.63</v>
      </c>
      <c r="M20" s="60">
        <v>91.53</v>
      </c>
      <c r="N20" s="60">
        <v>4.7</v>
      </c>
      <c r="O20" s="60">
        <v>0</v>
      </c>
      <c r="P20" s="60">
        <v>3.02</v>
      </c>
      <c r="Q20" s="60">
        <v>256.11</v>
      </c>
      <c r="R20" s="198"/>
      <c r="S20" s="198"/>
      <c r="T20" s="198"/>
      <c r="U20" s="198"/>
    </row>
    <row r="21" spans="1:21" s="12" customFormat="1" x14ac:dyDescent="0.25">
      <c r="A21" s="201" t="s">
        <v>1795</v>
      </c>
      <c r="B21" s="60">
        <v>131.91999999999999</v>
      </c>
      <c r="C21" s="60">
        <v>185.57</v>
      </c>
      <c r="D21" s="60">
        <v>208.2</v>
      </c>
      <c r="E21" s="60">
        <v>4.53</v>
      </c>
      <c r="F21" s="60">
        <v>0.49</v>
      </c>
      <c r="G21" s="60">
        <v>158.35</v>
      </c>
      <c r="H21" s="60">
        <v>83.8</v>
      </c>
      <c r="I21" s="60">
        <v>1.73</v>
      </c>
      <c r="J21" s="60">
        <v>0.15</v>
      </c>
      <c r="K21" s="60">
        <v>226.6</v>
      </c>
      <c r="L21" s="60">
        <v>16.32</v>
      </c>
      <c r="M21" s="60">
        <v>92.42</v>
      </c>
      <c r="N21" s="60">
        <v>4.8</v>
      </c>
      <c r="O21" s="60">
        <v>0</v>
      </c>
      <c r="P21" s="60">
        <v>2.9</v>
      </c>
      <c r="Q21" s="60">
        <v>241.88</v>
      </c>
      <c r="R21" s="198"/>
      <c r="S21" s="198"/>
      <c r="T21" s="198"/>
      <c r="U21" s="198"/>
    </row>
    <row r="22" spans="1:21" s="12" customFormat="1" x14ac:dyDescent="0.25">
      <c r="A22" s="201" t="s">
        <v>1796</v>
      </c>
      <c r="B22" s="60">
        <v>123.91</v>
      </c>
      <c r="C22" s="60">
        <v>177.34</v>
      </c>
      <c r="D22" s="60">
        <v>197.24</v>
      </c>
      <c r="E22" s="60">
        <v>4.55</v>
      </c>
      <c r="F22" s="60">
        <v>0.59</v>
      </c>
      <c r="G22" s="60">
        <v>158.35</v>
      </c>
      <c r="H22" s="60">
        <v>83.8</v>
      </c>
      <c r="I22" s="60">
        <v>1.67</v>
      </c>
      <c r="J22" s="60">
        <v>0.16</v>
      </c>
      <c r="K22" s="60">
        <v>226.51</v>
      </c>
      <c r="L22" s="60">
        <v>16.25</v>
      </c>
      <c r="M22" s="60">
        <v>94.08</v>
      </c>
      <c r="N22" s="60">
        <v>4.7</v>
      </c>
      <c r="O22" s="60">
        <v>0</v>
      </c>
      <c r="P22" s="60">
        <v>2.76</v>
      </c>
      <c r="Q22" s="60">
        <v>234.43</v>
      </c>
      <c r="R22" s="198"/>
      <c r="S22" s="198"/>
      <c r="T22" s="198"/>
      <c r="U22" s="198"/>
    </row>
    <row r="23" spans="1:21" s="12" customFormat="1" x14ac:dyDescent="0.25">
      <c r="A23" s="201" t="s">
        <v>1797</v>
      </c>
      <c r="B23" s="60">
        <v>116.26</v>
      </c>
      <c r="C23" s="60">
        <v>169.7</v>
      </c>
      <c r="D23" s="60">
        <v>186.89</v>
      </c>
      <c r="E23" s="60">
        <v>4.07</v>
      </c>
      <c r="F23" s="60">
        <v>0.88</v>
      </c>
      <c r="G23" s="60">
        <v>158.35</v>
      </c>
      <c r="H23" s="60">
        <v>83.8</v>
      </c>
      <c r="I23" s="60">
        <v>1.6</v>
      </c>
      <c r="J23" s="60">
        <v>0.24</v>
      </c>
      <c r="K23" s="60">
        <v>226.55</v>
      </c>
      <c r="L23" s="60">
        <v>16.52</v>
      </c>
      <c r="M23" s="60">
        <v>92.17</v>
      </c>
      <c r="N23" s="60">
        <v>4.4000000000000004</v>
      </c>
      <c r="O23" s="60">
        <v>0</v>
      </c>
      <c r="P23" s="60">
        <v>2.65</v>
      </c>
      <c r="Q23" s="60">
        <v>226.37</v>
      </c>
      <c r="R23" s="198"/>
      <c r="S23" s="198"/>
      <c r="T23" s="198"/>
      <c r="U23" s="198"/>
    </row>
    <row r="24" spans="1:21" s="12" customFormat="1" x14ac:dyDescent="0.25">
      <c r="A24" s="201" t="s">
        <v>1798</v>
      </c>
      <c r="B24" s="60">
        <v>109.41</v>
      </c>
      <c r="C24" s="60">
        <v>164.04</v>
      </c>
      <c r="D24" s="60">
        <v>178.27</v>
      </c>
      <c r="E24" s="60">
        <v>2.3199999999999998</v>
      </c>
      <c r="F24" s="60">
        <v>0.61</v>
      </c>
      <c r="G24" s="60">
        <v>155.56</v>
      </c>
      <c r="H24" s="60">
        <v>82.12</v>
      </c>
      <c r="I24" s="60">
        <v>1.54</v>
      </c>
      <c r="J24" s="60">
        <v>0.12</v>
      </c>
      <c r="K24" s="60">
        <v>226.57</v>
      </c>
      <c r="L24" s="60">
        <v>16.260000000000002</v>
      </c>
      <c r="M24" s="60">
        <v>94.08</v>
      </c>
      <c r="N24" s="60">
        <v>4.7</v>
      </c>
      <c r="O24" s="60">
        <v>0</v>
      </c>
      <c r="P24" s="60">
        <v>2.52</v>
      </c>
      <c r="Q24" s="60">
        <v>224.63</v>
      </c>
      <c r="R24" s="198"/>
      <c r="S24" s="198"/>
      <c r="T24" s="198"/>
      <c r="U24" s="198"/>
    </row>
    <row r="25" spans="1:21" s="12" customFormat="1" x14ac:dyDescent="0.25">
      <c r="A25" s="201" t="s">
        <v>1799</v>
      </c>
      <c r="B25" s="60">
        <v>102.97</v>
      </c>
      <c r="C25" s="60">
        <v>158.4</v>
      </c>
      <c r="D25" s="60">
        <v>169.99</v>
      </c>
      <c r="E25" s="60">
        <v>5</v>
      </c>
      <c r="F25" s="60">
        <v>0.53</v>
      </c>
      <c r="G25" s="60">
        <v>132.02000000000001</v>
      </c>
      <c r="H25" s="60">
        <v>62.19</v>
      </c>
      <c r="I25" s="60">
        <v>1.48</v>
      </c>
      <c r="J25" s="60">
        <v>0.14000000000000001</v>
      </c>
      <c r="K25" s="60">
        <v>226.37</v>
      </c>
      <c r="L25" s="60">
        <v>16.170000000000002</v>
      </c>
      <c r="M25" s="60">
        <v>95.04</v>
      </c>
      <c r="N25" s="60">
        <v>4.5999999999999996</v>
      </c>
      <c r="O25" s="60">
        <v>0</v>
      </c>
      <c r="P25" s="60">
        <v>2.42</v>
      </c>
      <c r="Q25" s="60">
        <v>219.58</v>
      </c>
      <c r="R25" s="198"/>
      <c r="S25" s="198"/>
      <c r="T25" s="198"/>
      <c r="U25" s="198"/>
    </row>
    <row r="26" spans="1:21" s="12" customFormat="1" x14ac:dyDescent="0.25">
      <c r="A26" s="201" t="s">
        <v>1800</v>
      </c>
      <c r="B26" s="60">
        <v>97.39</v>
      </c>
      <c r="C26" s="60">
        <v>152.79</v>
      </c>
      <c r="D26" s="60">
        <v>162.41999999999999</v>
      </c>
      <c r="E26" s="60">
        <v>5</v>
      </c>
      <c r="F26" s="60">
        <v>0.51</v>
      </c>
      <c r="G26" s="60">
        <v>132.02000000000001</v>
      </c>
      <c r="H26" s="60">
        <v>62.19</v>
      </c>
      <c r="I26" s="60">
        <v>1.42</v>
      </c>
      <c r="J26" s="60">
        <v>0.12</v>
      </c>
      <c r="K26" s="60">
        <v>226.46</v>
      </c>
      <c r="L26" s="60">
        <v>16.21</v>
      </c>
      <c r="M26" s="60">
        <v>93.46</v>
      </c>
      <c r="N26" s="60">
        <v>4.7</v>
      </c>
      <c r="O26" s="60">
        <v>0</v>
      </c>
      <c r="P26" s="60">
        <v>2.3199999999999998</v>
      </c>
      <c r="Q26" s="60">
        <v>215.8</v>
      </c>
      <c r="R26" s="198"/>
      <c r="S26" s="198"/>
      <c r="T26" s="198"/>
      <c r="U26" s="198"/>
    </row>
    <row r="27" spans="1:21" s="12" customFormat="1" x14ac:dyDescent="0.25">
      <c r="A27" s="201" t="s">
        <v>1801</v>
      </c>
      <c r="B27" s="60">
        <v>95.15</v>
      </c>
      <c r="C27" s="60">
        <v>151.08000000000001</v>
      </c>
      <c r="D27" s="60">
        <v>159.69</v>
      </c>
      <c r="E27" s="60">
        <v>5.26</v>
      </c>
      <c r="F27" s="60">
        <v>0.51</v>
      </c>
      <c r="G27" s="60">
        <v>132.02000000000001</v>
      </c>
      <c r="H27" s="60">
        <v>62.19</v>
      </c>
      <c r="I27" s="60">
        <v>1.37</v>
      </c>
      <c r="J27" s="60">
        <v>0.19</v>
      </c>
      <c r="K27" s="60">
        <v>226.46</v>
      </c>
      <c r="L27" s="60">
        <v>16.149999999999999</v>
      </c>
      <c r="M27" s="60">
        <v>90.2</v>
      </c>
      <c r="N27" s="60">
        <v>4.5</v>
      </c>
      <c r="O27" s="60">
        <v>0</v>
      </c>
      <c r="P27" s="60">
        <v>2.25</v>
      </c>
      <c r="Q27" s="60">
        <v>215.17</v>
      </c>
      <c r="R27" s="198"/>
      <c r="S27" s="198"/>
      <c r="T27" s="198"/>
      <c r="U27" s="198"/>
    </row>
    <row r="28" spans="1:21" s="12" customFormat="1" x14ac:dyDescent="0.25">
      <c r="A28" s="201" t="s">
        <v>1802</v>
      </c>
      <c r="B28" s="60">
        <v>95.26</v>
      </c>
      <c r="C28" s="60">
        <v>151.05000000000001</v>
      </c>
      <c r="D28" s="60">
        <v>159.76</v>
      </c>
      <c r="E28" s="60">
        <v>4.95</v>
      </c>
      <c r="F28" s="60">
        <v>0.56000000000000005</v>
      </c>
      <c r="G28" s="60">
        <v>141.75</v>
      </c>
      <c r="H28" s="60">
        <v>62.95</v>
      </c>
      <c r="I28" s="60">
        <v>1.32</v>
      </c>
      <c r="J28" s="60">
        <v>0.36</v>
      </c>
      <c r="K28" s="60">
        <v>226.39</v>
      </c>
      <c r="L28" s="60">
        <v>16.48</v>
      </c>
      <c r="M28" s="60">
        <v>87.12</v>
      </c>
      <c r="N28" s="60">
        <v>3.7</v>
      </c>
      <c r="O28" s="60">
        <v>0</v>
      </c>
      <c r="P28" s="60">
        <v>2.19</v>
      </c>
      <c r="Q28" s="60">
        <v>214.53</v>
      </c>
      <c r="R28" s="198"/>
      <c r="S28" s="198"/>
      <c r="T28" s="198"/>
      <c r="U28" s="198"/>
    </row>
    <row r="29" spans="1:21" s="12" customFormat="1" x14ac:dyDescent="0.25">
      <c r="A29" s="201" t="s">
        <v>1803</v>
      </c>
      <c r="B29" s="60">
        <v>92.94</v>
      </c>
      <c r="C29" s="60">
        <v>149.69999999999999</v>
      </c>
      <c r="D29" s="60">
        <v>157.15</v>
      </c>
      <c r="E29" s="60">
        <v>4.8600000000000003</v>
      </c>
      <c r="F29" s="60">
        <v>0.42</v>
      </c>
      <c r="G29" s="60">
        <v>223.77</v>
      </c>
      <c r="H29" s="60">
        <v>70.739999999999995</v>
      </c>
      <c r="I29" s="60">
        <v>1.31</v>
      </c>
      <c r="J29" s="60">
        <v>0.21</v>
      </c>
      <c r="K29" s="60">
        <v>226.47</v>
      </c>
      <c r="L29" s="60">
        <v>16.62</v>
      </c>
      <c r="M29" s="60">
        <v>87.78</v>
      </c>
      <c r="N29" s="60">
        <v>4.2</v>
      </c>
      <c r="O29" s="60">
        <v>0</v>
      </c>
      <c r="P29" s="60">
        <v>2.1</v>
      </c>
      <c r="Q29" s="60">
        <v>209.93</v>
      </c>
      <c r="R29" s="198"/>
      <c r="S29" s="198"/>
      <c r="T29" s="198"/>
      <c r="U29" s="198"/>
    </row>
    <row r="30" spans="1:21" s="12" customFormat="1" x14ac:dyDescent="0.25">
      <c r="A30" s="201" t="s">
        <v>1804</v>
      </c>
      <c r="B30" s="60">
        <v>89.11</v>
      </c>
      <c r="C30" s="60">
        <v>145.43</v>
      </c>
      <c r="D30" s="60">
        <v>151.72</v>
      </c>
      <c r="E30" s="60">
        <v>5.09</v>
      </c>
      <c r="F30" s="60">
        <v>0.43</v>
      </c>
      <c r="G30" s="60">
        <v>223.77</v>
      </c>
      <c r="H30" s="60">
        <v>70.739999999999995</v>
      </c>
      <c r="I30" s="60">
        <v>1.26</v>
      </c>
      <c r="J30" s="60">
        <v>0.18</v>
      </c>
      <c r="K30" s="60">
        <v>226.46</v>
      </c>
      <c r="L30" s="60">
        <v>16.170000000000002</v>
      </c>
      <c r="M30" s="60">
        <v>89.88</v>
      </c>
      <c r="N30" s="60">
        <v>4.7</v>
      </c>
      <c r="O30" s="60">
        <v>0</v>
      </c>
      <c r="P30" s="60">
        <v>2.02</v>
      </c>
      <c r="Q30" s="60">
        <v>204.11</v>
      </c>
      <c r="R30" s="198"/>
      <c r="S30" s="198"/>
      <c r="T30" s="198"/>
      <c r="U30" s="198"/>
    </row>
    <row r="31" spans="1:21" s="12" customFormat="1" x14ac:dyDescent="0.25">
      <c r="A31" s="201" t="s">
        <v>1805</v>
      </c>
      <c r="B31" s="60">
        <v>86.22</v>
      </c>
      <c r="C31" s="60">
        <v>142.68</v>
      </c>
      <c r="D31" s="60">
        <v>147.88999999999999</v>
      </c>
      <c r="E31" s="60">
        <v>5.01</v>
      </c>
      <c r="F31" s="60">
        <v>0.72</v>
      </c>
      <c r="G31" s="60">
        <v>223.77</v>
      </c>
      <c r="H31" s="60">
        <v>70.739999999999995</v>
      </c>
      <c r="I31" s="60">
        <v>1.23</v>
      </c>
      <c r="J31" s="60">
        <v>0.14000000000000001</v>
      </c>
      <c r="K31" s="60">
        <v>226.4</v>
      </c>
      <c r="L31" s="60">
        <v>15.58</v>
      </c>
      <c r="M31" s="60">
        <v>92.18</v>
      </c>
      <c r="N31" s="60">
        <v>4.8</v>
      </c>
      <c r="O31" s="60">
        <v>0</v>
      </c>
      <c r="P31" s="60">
        <v>1.94</v>
      </c>
      <c r="Q31" s="60">
        <v>200.97</v>
      </c>
      <c r="R31" s="198"/>
      <c r="S31" s="198"/>
      <c r="T31" s="198"/>
      <c r="U31" s="198"/>
    </row>
    <row r="32" spans="1:21" s="12" customFormat="1" x14ac:dyDescent="0.25">
      <c r="A32" s="201" t="s">
        <v>1806</v>
      </c>
      <c r="B32" s="60">
        <v>86.39</v>
      </c>
      <c r="C32" s="60">
        <v>139.9</v>
      </c>
      <c r="D32" s="60">
        <v>146.49</v>
      </c>
      <c r="E32" s="60">
        <v>4.58</v>
      </c>
      <c r="F32" s="60">
        <v>0.69</v>
      </c>
      <c r="G32" s="60">
        <v>219.48</v>
      </c>
      <c r="H32" s="60">
        <v>71.209999999999994</v>
      </c>
      <c r="I32" s="60">
        <v>1.19</v>
      </c>
      <c r="J32" s="60">
        <v>0.17</v>
      </c>
      <c r="K32" s="60">
        <v>226.32</v>
      </c>
      <c r="L32" s="60">
        <v>15.44</v>
      </c>
      <c r="M32" s="60">
        <v>92.78</v>
      </c>
      <c r="N32" s="60">
        <v>5</v>
      </c>
      <c r="O32" s="60">
        <v>0</v>
      </c>
      <c r="P32" s="60">
        <v>1.89</v>
      </c>
      <c r="Q32" s="60">
        <v>189.14</v>
      </c>
      <c r="R32" s="198"/>
      <c r="S32" s="198"/>
      <c r="T32" s="198"/>
      <c r="U32" s="198"/>
    </row>
    <row r="33" spans="1:21" s="12" customFormat="1" x14ac:dyDescent="0.25">
      <c r="A33" s="201" t="s">
        <v>1807</v>
      </c>
      <c r="B33" s="60">
        <v>84.42</v>
      </c>
      <c r="C33" s="60">
        <v>139.88999999999999</v>
      </c>
      <c r="D33" s="60">
        <v>144.9</v>
      </c>
      <c r="E33" s="60">
        <v>4.96</v>
      </c>
      <c r="F33" s="60">
        <v>0.72</v>
      </c>
      <c r="G33" s="60">
        <v>183.28</v>
      </c>
      <c r="H33" s="60">
        <v>76</v>
      </c>
      <c r="I33" s="60">
        <v>1.1499999999999999</v>
      </c>
      <c r="J33" s="60">
        <v>0.18</v>
      </c>
      <c r="K33" s="60">
        <v>226.23</v>
      </c>
      <c r="L33" s="60">
        <v>15.59</v>
      </c>
      <c r="M33" s="60">
        <v>92.18</v>
      </c>
      <c r="N33" s="60">
        <v>7.3</v>
      </c>
      <c r="O33" s="60">
        <v>0</v>
      </c>
      <c r="P33" s="60">
        <v>1.84</v>
      </c>
      <c r="Q33" s="60">
        <v>181.17</v>
      </c>
      <c r="R33" s="198"/>
      <c r="S33" s="198"/>
      <c r="T33" s="198"/>
      <c r="U33" s="198"/>
    </row>
    <row r="34" spans="1:21" s="12" customFormat="1" x14ac:dyDescent="0.25">
      <c r="A34" s="201" t="s">
        <v>1808</v>
      </c>
      <c r="B34" s="60">
        <v>82.19</v>
      </c>
      <c r="C34" s="60">
        <v>140.68</v>
      </c>
      <c r="D34" s="60">
        <v>143.55000000000001</v>
      </c>
      <c r="E34" s="60">
        <v>4.68</v>
      </c>
      <c r="F34" s="60">
        <v>0.8</v>
      </c>
      <c r="G34" s="60">
        <v>183.28</v>
      </c>
      <c r="H34" s="60">
        <v>76</v>
      </c>
      <c r="I34" s="60">
        <v>1.1000000000000001</v>
      </c>
      <c r="J34" s="60">
        <v>0.16</v>
      </c>
      <c r="K34" s="60">
        <v>226.29</v>
      </c>
      <c r="L34" s="60">
        <v>15.62</v>
      </c>
      <c r="M34" s="60">
        <v>93.25</v>
      </c>
      <c r="N34" s="60">
        <v>16</v>
      </c>
      <c r="O34" s="60">
        <v>0</v>
      </c>
      <c r="P34" s="60">
        <v>1.79</v>
      </c>
      <c r="Q34" s="60">
        <v>178.18</v>
      </c>
      <c r="R34" s="198"/>
      <c r="S34" s="198"/>
      <c r="T34" s="198"/>
      <c r="U34" s="198"/>
    </row>
    <row r="35" spans="1:21" s="12" customFormat="1" x14ac:dyDescent="0.25">
      <c r="A35" s="201" t="s">
        <v>1809</v>
      </c>
      <c r="B35" s="60">
        <v>84.4</v>
      </c>
      <c r="C35" s="60">
        <v>139.75</v>
      </c>
      <c r="D35" s="60">
        <v>144.81</v>
      </c>
      <c r="E35" s="60">
        <v>4.72</v>
      </c>
      <c r="F35" s="60">
        <v>0.67</v>
      </c>
      <c r="G35" s="60">
        <v>183.28</v>
      </c>
      <c r="H35" s="60">
        <v>76</v>
      </c>
      <c r="I35" s="60">
        <v>1.08</v>
      </c>
      <c r="J35" s="60">
        <v>0.14000000000000001</v>
      </c>
      <c r="K35" s="60">
        <v>226.2</v>
      </c>
      <c r="L35" s="60">
        <v>15.95</v>
      </c>
      <c r="M35" s="60">
        <v>92.61</v>
      </c>
      <c r="N35" s="60">
        <v>28.3</v>
      </c>
      <c r="O35" s="60">
        <v>0</v>
      </c>
      <c r="P35" s="60">
        <v>1.78</v>
      </c>
      <c r="Q35" s="60">
        <v>181.85</v>
      </c>
      <c r="R35" s="198"/>
      <c r="S35" s="198"/>
      <c r="T35" s="198"/>
      <c r="U35" s="198"/>
    </row>
    <row r="36" spans="1:21" s="12" customFormat="1" x14ac:dyDescent="0.25">
      <c r="A36" s="201" t="s">
        <v>1810</v>
      </c>
      <c r="B36" s="60">
        <v>91.28</v>
      </c>
      <c r="C36" s="60">
        <v>144.63</v>
      </c>
      <c r="D36" s="60">
        <v>153.02000000000001</v>
      </c>
      <c r="E36" s="60">
        <v>4.8899999999999997</v>
      </c>
      <c r="F36" s="60">
        <v>0.7</v>
      </c>
      <c r="G36" s="60">
        <v>190.73</v>
      </c>
      <c r="H36" s="60">
        <v>76.67</v>
      </c>
      <c r="I36" s="60">
        <v>1.04</v>
      </c>
      <c r="J36" s="60">
        <v>0.09</v>
      </c>
      <c r="K36" s="60">
        <v>226.38</v>
      </c>
      <c r="L36" s="60">
        <v>16.46</v>
      </c>
      <c r="M36" s="60">
        <v>90.57</v>
      </c>
      <c r="N36" s="60">
        <v>41.1</v>
      </c>
      <c r="O36" s="60">
        <v>0</v>
      </c>
      <c r="P36" s="60">
        <v>1.79</v>
      </c>
      <c r="Q36" s="60">
        <v>190.16</v>
      </c>
      <c r="R36" s="198"/>
      <c r="S36" s="198"/>
      <c r="T36" s="198"/>
      <c r="U36" s="198"/>
    </row>
    <row r="37" spans="1:21" s="12" customFormat="1" x14ac:dyDescent="0.25">
      <c r="A37" s="201" t="s">
        <v>1811</v>
      </c>
      <c r="B37" s="60">
        <v>94.89</v>
      </c>
      <c r="C37" s="60">
        <v>148.91</v>
      </c>
      <c r="D37" s="60">
        <v>158.27000000000001</v>
      </c>
      <c r="E37" s="60">
        <v>4.96</v>
      </c>
      <c r="F37" s="60">
        <v>0.55000000000000004</v>
      </c>
      <c r="G37" s="60">
        <v>253.52</v>
      </c>
      <c r="H37" s="60">
        <v>83.52</v>
      </c>
      <c r="I37" s="60">
        <v>1.03</v>
      </c>
      <c r="J37" s="60">
        <v>0.13</v>
      </c>
      <c r="K37" s="60">
        <v>226.77</v>
      </c>
      <c r="L37" s="60">
        <v>17.36</v>
      </c>
      <c r="M37" s="60">
        <v>86.98</v>
      </c>
      <c r="N37" s="60">
        <v>72.5</v>
      </c>
      <c r="O37" s="60">
        <v>0</v>
      </c>
      <c r="P37" s="60">
        <v>1.76</v>
      </c>
      <c r="Q37" s="60">
        <v>191.05</v>
      </c>
      <c r="R37" s="198"/>
      <c r="S37" s="198"/>
      <c r="T37" s="198"/>
      <c r="U37" s="198"/>
    </row>
    <row r="38" spans="1:21" s="12" customFormat="1" x14ac:dyDescent="0.25">
      <c r="A38" s="201" t="s">
        <v>1812</v>
      </c>
      <c r="B38" s="60">
        <v>95.41</v>
      </c>
      <c r="C38" s="60">
        <v>149.86000000000001</v>
      </c>
      <c r="D38" s="60">
        <v>159.22</v>
      </c>
      <c r="E38" s="60">
        <v>5.0999999999999996</v>
      </c>
      <c r="F38" s="60">
        <v>0.6</v>
      </c>
      <c r="G38" s="60">
        <v>253.52</v>
      </c>
      <c r="H38" s="60">
        <v>83.52</v>
      </c>
      <c r="I38" s="60">
        <v>1.01</v>
      </c>
      <c r="J38" s="60">
        <v>0.33</v>
      </c>
      <c r="K38" s="60">
        <v>227.61</v>
      </c>
      <c r="L38" s="60">
        <v>18.670000000000002</v>
      </c>
      <c r="M38" s="60">
        <v>81.62</v>
      </c>
      <c r="N38" s="60">
        <v>149.6</v>
      </c>
      <c r="O38" s="60">
        <v>0</v>
      </c>
      <c r="P38" s="60">
        <v>1.84</v>
      </c>
      <c r="Q38" s="60">
        <v>191.17</v>
      </c>
      <c r="R38" s="198"/>
      <c r="S38" s="198"/>
      <c r="T38" s="198"/>
      <c r="U38" s="198"/>
    </row>
    <row r="39" spans="1:21" s="12" customFormat="1" x14ac:dyDescent="0.25">
      <c r="A39" s="201" t="s">
        <v>1813</v>
      </c>
      <c r="B39" s="60">
        <v>92.45</v>
      </c>
      <c r="C39" s="60">
        <v>154.35</v>
      </c>
      <c r="D39" s="60">
        <v>159.32</v>
      </c>
      <c r="E39" s="60">
        <v>4.87</v>
      </c>
      <c r="F39" s="60">
        <v>0.65</v>
      </c>
      <c r="G39" s="60">
        <v>253.52</v>
      </c>
      <c r="H39" s="60">
        <v>83.52</v>
      </c>
      <c r="I39" s="60">
        <v>1.01</v>
      </c>
      <c r="J39" s="60">
        <v>0.5</v>
      </c>
      <c r="K39" s="60">
        <v>228.25</v>
      </c>
      <c r="L39" s="60">
        <v>19.760000000000002</v>
      </c>
      <c r="M39" s="60">
        <v>77.86</v>
      </c>
      <c r="N39" s="60">
        <v>202.5</v>
      </c>
      <c r="O39" s="60">
        <v>0</v>
      </c>
      <c r="P39" s="60">
        <v>1.82</v>
      </c>
      <c r="Q39" s="60">
        <v>196.34</v>
      </c>
      <c r="R39" s="198"/>
      <c r="S39" s="198"/>
      <c r="T39" s="198"/>
      <c r="U39" s="198"/>
    </row>
    <row r="40" spans="1:21" s="12" customFormat="1" x14ac:dyDescent="0.25">
      <c r="A40" s="201" t="s">
        <v>1814</v>
      </c>
      <c r="B40" s="60">
        <v>89.81</v>
      </c>
      <c r="C40" s="60">
        <v>163</v>
      </c>
      <c r="D40" s="60">
        <v>161.97999999999999</v>
      </c>
      <c r="E40" s="60">
        <v>2.98</v>
      </c>
      <c r="F40" s="60">
        <v>0.78</v>
      </c>
      <c r="G40" s="60">
        <v>251.95</v>
      </c>
      <c r="H40" s="60">
        <v>84.28</v>
      </c>
      <c r="I40" s="60">
        <v>1.01</v>
      </c>
      <c r="J40" s="60">
        <v>0.18</v>
      </c>
      <c r="K40" s="60">
        <v>229.27</v>
      </c>
      <c r="L40" s="60">
        <v>22.07</v>
      </c>
      <c r="M40" s="60">
        <v>69.06</v>
      </c>
      <c r="N40" s="60">
        <v>241.3</v>
      </c>
      <c r="O40" s="60">
        <v>0</v>
      </c>
      <c r="P40" s="60">
        <v>1.82</v>
      </c>
      <c r="Q40" s="60">
        <v>199.41</v>
      </c>
      <c r="R40" s="198"/>
      <c r="S40" s="198"/>
      <c r="T40" s="198"/>
      <c r="U40" s="198"/>
    </row>
    <row r="41" spans="1:21" s="12" customFormat="1" x14ac:dyDescent="0.25">
      <c r="A41" s="201" t="s">
        <v>1815</v>
      </c>
      <c r="B41" s="60">
        <v>87.92</v>
      </c>
      <c r="C41" s="60">
        <v>163.81</v>
      </c>
      <c r="D41" s="60">
        <v>160.91</v>
      </c>
      <c r="E41" s="60">
        <v>5.32</v>
      </c>
      <c r="F41" s="60">
        <v>0.62</v>
      </c>
      <c r="G41" s="60">
        <v>238.72</v>
      </c>
      <c r="H41" s="60">
        <v>92.04</v>
      </c>
      <c r="I41" s="60">
        <v>0.98</v>
      </c>
      <c r="J41" s="60">
        <v>0.57999999999999996</v>
      </c>
      <c r="K41" s="60">
        <v>230.35</v>
      </c>
      <c r="L41" s="60">
        <v>22.85</v>
      </c>
      <c r="M41" s="60">
        <v>66.2</v>
      </c>
      <c r="N41" s="60">
        <v>283.2</v>
      </c>
      <c r="O41" s="60">
        <v>0</v>
      </c>
      <c r="P41" s="60">
        <v>1.83</v>
      </c>
      <c r="Q41" s="60">
        <v>199.11</v>
      </c>
      <c r="R41" s="198"/>
      <c r="S41" s="198"/>
      <c r="T41" s="198"/>
      <c r="U41" s="198"/>
    </row>
    <row r="42" spans="1:21" s="12" customFormat="1" x14ac:dyDescent="0.25">
      <c r="A42" s="201" t="s">
        <v>1816</v>
      </c>
      <c r="B42" s="60">
        <v>84.48</v>
      </c>
      <c r="C42" s="60">
        <v>159.38999999999999</v>
      </c>
      <c r="D42" s="60">
        <v>155.71</v>
      </c>
      <c r="E42" s="60">
        <v>5.48</v>
      </c>
      <c r="F42" s="60">
        <v>0.51</v>
      </c>
      <c r="G42" s="60">
        <v>238.72</v>
      </c>
      <c r="H42" s="60">
        <v>92.04</v>
      </c>
      <c r="I42" s="60">
        <v>0.99</v>
      </c>
      <c r="J42" s="60">
        <v>0.79</v>
      </c>
      <c r="K42" s="60">
        <v>230.21</v>
      </c>
      <c r="L42" s="60">
        <v>21.76</v>
      </c>
      <c r="M42" s="60">
        <v>69.989999999999995</v>
      </c>
      <c r="N42" s="60">
        <v>324.2</v>
      </c>
      <c r="O42" s="60">
        <v>0</v>
      </c>
      <c r="P42" s="60">
        <v>1.83</v>
      </c>
      <c r="Q42" s="60">
        <v>200.83</v>
      </c>
      <c r="R42" s="198"/>
      <c r="S42" s="198"/>
      <c r="T42" s="198"/>
      <c r="U42" s="198"/>
    </row>
    <row r="43" spans="1:21" s="12" customFormat="1" x14ac:dyDescent="0.25">
      <c r="A43" s="201" t="s">
        <v>1817</v>
      </c>
      <c r="B43" s="60">
        <v>79.2</v>
      </c>
      <c r="C43" s="60">
        <v>152.77000000000001</v>
      </c>
      <c r="D43" s="60">
        <v>147.82</v>
      </c>
      <c r="E43" s="60">
        <v>5.67</v>
      </c>
      <c r="F43" s="60">
        <v>0.73</v>
      </c>
      <c r="G43" s="60">
        <v>238.72</v>
      </c>
      <c r="H43" s="60">
        <v>92.04</v>
      </c>
      <c r="I43" s="60">
        <v>1</v>
      </c>
      <c r="J43" s="60">
        <v>0.47</v>
      </c>
      <c r="K43" s="60">
        <v>230.57</v>
      </c>
      <c r="L43" s="60">
        <v>22.46</v>
      </c>
      <c r="M43" s="60">
        <v>67.52</v>
      </c>
      <c r="N43" s="60">
        <v>366.4</v>
      </c>
      <c r="O43" s="60">
        <v>0</v>
      </c>
      <c r="P43" s="60">
        <v>1.8</v>
      </c>
      <c r="Q43" s="60">
        <v>198.64</v>
      </c>
      <c r="R43" s="198"/>
      <c r="S43" s="198"/>
      <c r="T43" s="198"/>
      <c r="U43" s="198"/>
    </row>
    <row r="44" spans="1:21" s="12" customFormat="1" x14ac:dyDescent="0.25">
      <c r="A44" s="201" t="s">
        <v>1818</v>
      </c>
      <c r="B44" s="60">
        <v>73.58</v>
      </c>
      <c r="C44" s="60">
        <v>148.91999999999999</v>
      </c>
      <c r="D44" s="60">
        <v>141.19</v>
      </c>
      <c r="E44" s="60">
        <v>4.78</v>
      </c>
      <c r="F44" s="60">
        <v>0.79</v>
      </c>
      <c r="G44" s="60">
        <v>238.11</v>
      </c>
      <c r="H44" s="60">
        <v>92.27</v>
      </c>
      <c r="I44" s="60">
        <v>0.99</v>
      </c>
      <c r="J44" s="60">
        <v>0.75</v>
      </c>
      <c r="K44" s="60">
        <v>231.37</v>
      </c>
      <c r="L44" s="60">
        <v>23.43</v>
      </c>
      <c r="M44" s="60">
        <v>63.2</v>
      </c>
      <c r="N44" s="60">
        <v>394.3</v>
      </c>
      <c r="O44" s="60">
        <v>0</v>
      </c>
      <c r="P44" s="60">
        <v>1.78</v>
      </c>
      <c r="Q44" s="60">
        <v>195.61</v>
      </c>
      <c r="R44" s="198"/>
      <c r="S44" s="198"/>
      <c r="T44" s="198"/>
      <c r="U44" s="198"/>
    </row>
    <row r="45" spans="1:21" s="12" customFormat="1" x14ac:dyDescent="0.25">
      <c r="A45" s="201" t="s">
        <v>1819</v>
      </c>
      <c r="B45" s="60">
        <v>67.760000000000005</v>
      </c>
      <c r="C45" s="60">
        <v>145.68</v>
      </c>
      <c r="D45" s="60">
        <v>134.72999999999999</v>
      </c>
      <c r="E45" s="60">
        <v>5.23</v>
      </c>
      <c r="F45" s="60">
        <v>0.47</v>
      </c>
      <c r="G45" s="60">
        <v>232.96</v>
      </c>
      <c r="H45" s="60">
        <v>94.64</v>
      </c>
      <c r="I45" s="60">
        <v>0.97</v>
      </c>
      <c r="J45" s="60">
        <v>0.56999999999999995</v>
      </c>
      <c r="K45" s="60">
        <v>231.51</v>
      </c>
      <c r="L45" s="60">
        <v>24.03</v>
      </c>
      <c r="M45" s="60">
        <v>60.91</v>
      </c>
      <c r="N45" s="60">
        <v>427.6</v>
      </c>
      <c r="O45" s="60">
        <v>0</v>
      </c>
      <c r="P45" s="60">
        <v>1.75</v>
      </c>
      <c r="Q45" s="60">
        <v>190.42</v>
      </c>
      <c r="R45" s="198"/>
      <c r="S45" s="198"/>
      <c r="T45" s="198"/>
      <c r="U45" s="198"/>
    </row>
    <row r="46" spans="1:21" s="12" customFormat="1" x14ac:dyDescent="0.25">
      <c r="A46" s="201" t="s">
        <v>1820</v>
      </c>
      <c r="B46" s="60">
        <v>61.16</v>
      </c>
      <c r="C46" s="60">
        <v>139.11000000000001</v>
      </c>
      <c r="D46" s="60">
        <v>125.81</v>
      </c>
      <c r="E46" s="60">
        <v>4.78</v>
      </c>
      <c r="F46" s="60">
        <v>0.78</v>
      </c>
      <c r="G46" s="60">
        <v>232.96</v>
      </c>
      <c r="H46" s="60">
        <v>94.64</v>
      </c>
      <c r="I46" s="60">
        <v>0.97</v>
      </c>
      <c r="J46" s="60">
        <v>0.89</v>
      </c>
      <c r="K46" s="60">
        <v>231.86</v>
      </c>
      <c r="L46" s="60">
        <v>24.6</v>
      </c>
      <c r="M46" s="60">
        <v>58.73</v>
      </c>
      <c r="N46" s="60">
        <v>454</v>
      </c>
      <c r="O46" s="60">
        <v>0</v>
      </c>
      <c r="P46" s="60">
        <v>1.7</v>
      </c>
      <c r="Q46" s="60">
        <v>177.88</v>
      </c>
      <c r="R46" s="198"/>
      <c r="S46" s="198"/>
      <c r="T46" s="198"/>
      <c r="U46" s="198"/>
    </row>
    <row r="47" spans="1:21" s="12" customFormat="1" x14ac:dyDescent="0.25">
      <c r="A47" s="201" t="s">
        <v>1821</v>
      </c>
      <c r="B47" s="60">
        <v>54.61</v>
      </c>
      <c r="C47" s="60">
        <v>133.91</v>
      </c>
      <c r="D47" s="60">
        <v>117.69</v>
      </c>
      <c r="E47" s="60">
        <v>5.0199999999999996</v>
      </c>
      <c r="F47" s="60">
        <v>0.92</v>
      </c>
      <c r="G47" s="60">
        <v>232.96</v>
      </c>
      <c r="H47" s="60">
        <v>94.64</v>
      </c>
      <c r="I47" s="60">
        <v>0.96</v>
      </c>
      <c r="J47" s="60">
        <v>0.79</v>
      </c>
      <c r="K47" s="60">
        <v>232.24</v>
      </c>
      <c r="L47" s="60">
        <v>25.46</v>
      </c>
      <c r="M47" s="60">
        <v>56.89</v>
      </c>
      <c r="N47" s="60">
        <v>487.4</v>
      </c>
      <c r="O47" s="60">
        <v>0</v>
      </c>
      <c r="P47" s="60">
        <v>1.66</v>
      </c>
      <c r="Q47" s="60">
        <v>164.01</v>
      </c>
      <c r="R47" s="198"/>
      <c r="S47" s="198"/>
      <c r="T47" s="198"/>
      <c r="U47" s="198"/>
    </row>
    <row r="48" spans="1:21" s="12" customFormat="1" x14ac:dyDescent="0.25">
      <c r="A48" s="201" t="s">
        <v>1822</v>
      </c>
      <c r="B48" s="60">
        <v>48.14</v>
      </c>
      <c r="C48" s="60">
        <v>133.13999999999999</v>
      </c>
      <c r="D48" s="60">
        <v>112.09</v>
      </c>
      <c r="E48" s="60">
        <v>4.47</v>
      </c>
      <c r="F48" s="60">
        <v>0.78</v>
      </c>
      <c r="G48" s="60">
        <v>225.27</v>
      </c>
      <c r="H48" s="60">
        <v>94.46</v>
      </c>
      <c r="I48" s="60">
        <v>0.91</v>
      </c>
      <c r="J48" s="60">
        <v>0.41</v>
      </c>
      <c r="K48" s="60">
        <v>232.52</v>
      </c>
      <c r="L48" s="60">
        <v>26.04</v>
      </c>
      <c r="M48" s="60">
        <v>54.48</v>
      </c>
      <c r="N48" s="60">
        <v>512.6</v>
      </c>
      <c r="O48" s="60">
        <v>0</v>
      </c>
      <c r="P48" s="60">
        <v>1.62</v>
      </c>
      <c r="Q48" s="60">
        <v>156.13999999999999</v>
      </c>
      <c r="R48" s="198"/>
      <c r="S48" s="198"/>
      <c r="T48" s="198"/>
      <c r="U48" s="198"/>
    </row>
    <row r="49" spans="1:21" s="12" customFormat="1" x14ac:dyDescent="0.25">
      <c r="A49" s="201" t="s">
        <v>1823</v>
      </c>
      <c r="B49" s="60">
        <v>42.07</v>
      </c>
      <c r="C49" s="60">
        <v>130.96</v>
      </c>
      <c r="D49" s="60">
        <v>106.01</v>
      </c>
      <c r="E49" s="60">
        <v>4.3499999999999996</v>
      </c>
      <c r="F49" s="60">
        <v>0.95</v>
      </c>
      <c r="G49" s="60">
        <v>160.41</v>
      </c>
      <c r="H49" s="60">
        <v>92.58</v>
      </c>
      <c r="I49" s="60">
        <v>0.88</v>
      </c>
      <c r="J49" s="60">
        <v>0.92</v>
      </c>
      <c r="K49" s="60">
        <v>232.96</v>
      </c>
      <c r="L49" s="60">
        <v>26.85</v>
      </c>
      <c r="M49" s="60">
        <v>51.23</v>
      </c>
      <c r="N49" s="60">
        <v>539.79999999999995</v>
      </c>
      <c r="O49" s="60">
        <v>0</v>
      </c>
      <c r="P49" s="60">
        <v>1.58</v>
      </c>
      <c r="Q49" s="60">
        <v>147.66</v>
      </c>
      <c r="R49" s="198"/>
      <c r="S49" s="198"/>
      <c r="T49" s="198"/>
      <c r="U49" s="198"/>
    </row>
    <row r="50" spans="1:21" s="12" customFormat="1" x14ac:dyDescent="0.25">
      <c r="A50" s="201" t="s">
        <v>1824</v>
      </c>
      <c r="B50" s="60">
        <v>36.130000000000003</v>
      </c>
      <c r="C50" s="60">
        <v>128.44999999999999</v>
      </c>
      <c r="D50" s="60">
        <v>99.86</v>
      </c>
      <c r="E50" s="60">
        <v>4.46</v>
      </c>
      <c r="F50" s="60">
        <v>0.96</v>
      </c>
      <c r="G50" s="60">
        <v>160.41</v>
      </c>
      <c r="H50" s="60">
        <v>92.58</v>
      </c>
      <c r="I50" s="60">
        <v>0.85</v>
      </c>
      <c r="J50" s="60">
        <v>0.87</v>
      </c>
      <c r="K50" s="60">
        <v>232.87</v>
      </c>
      <c r="L50" s="60">
        <v>27.04</v>
      </c>
      <c r="M50" s="60">
        <v>49.1</v>
      </c>
      <c r="N50" s="60">
        <v>559.4</v>
      </c>
      <c r="O50" s="60">
        <v>0</v>
      </c>
      <c r="P50" s="60">
        <v>1.52</v>
      </c>
      <c r="Q50" s="60">
        <v>146.18</v>
      </c>
      <c r="R50" s="198"/>
      <c r="S50" s="198"/>
      <c r="T50" s="198"/>
      <c r="U50" s="198"/>
    </row>
    <row r="51" spans="1:21" s="12" customFormat="1" x14ac:dyDescent="0.25">
      <c r="A51" s="201" t="s">
        <v>1825</v>
      </c>
      <c r="B51" s="60">
        <v>30.24</v>
      </c>
      <c r="C51" s="60">
        <v>123.85</v>
      </c>
      <c r="D51" s="60">
        <v>92.6</v>
      </c>
      <c r="E51" s="60">
        <v>4.5199999999999996</v>
      </c>
      <c r="F51" s="60">
        <v>1.07</v>
      </c>
      <c r="G51" s="60">
        <v>160.41</v>
      </c>
      <c r="H51" s="60">
        <v>92.58</v>
      </c>
      <c r="I51" s="60">
        <v>0.83</v>
      </c>
      <c r="J51" s="60">
        <v>1.17</v>
      </c>
      <c r="K51" s="60">
        <v>232.88</v>
      </c>
      <c r="L51" s="60">
        <v>27.41</v>
      </c>
      <c r="M51" s="60">
        <v>46.4</v>
      </c>
      <c r="N51" s="60">
        <v>575.4</v>
      </c>
      <c r="O51" s="60">
        <v>0</v>
      </c>
      <c r="P51" s="60">
        <v>1.47</v>
      </c>
      <c r="Q51" s="60">
        <v>141.31</v>
      </c>
      <c r="R51" s="198"/>
      <c r="S51" s="198"/>
      <c r="T51" s="198"/>
      <c r="U51" s="198"/>
    </row>
    <row r="52" spans="1:21" s="12" customFormat="1" x14ac:dyDescent="0.25">
      <c r="A52" s="201" t="s">
        <v>1826</v>
      </c>
      <c r="B52" s="60">
        <v>24.96</v>
      </c>
      <c r="C52" s="60">
        <v>119.17</v>
      </c>
      <c r="D52" s="60">
        <v>85.78</v>
      </c>
      <c r="E52" s="60">
        <v>5.0999999999999996</v>
      </c>
      <c r="F52" s="60">
        <v>1.6</v>
      </c>
      <c r="G52" s="60">
        <v>147.88</v>
      </c>
      <c r="H52" s="60">
        <v>91.63</v>
      </c>
      <c r="I52" s="60">
        <v>0.81</v>
      </c>
      <c r="J52" s="60">
        <v>0.86</v>
      </c>
      <c r="K52" s="60">
        <v>232.93</v>
      </c>
      <c r="L52" s="60">
        <v>28.13</v>
      </c>
      <c r="M52" s="60">
        <v>44.52</v>
      </c>
      <c r="N52" s="60">
        <v>579.20000000000005</v>
      </c>
      <c r="O52" s="60">
        <v>0</v>
      </c>
      <c r="P52" s="60">
        <v>1.41</v>
      </c>
      <c r="Q52" s="60">
        <v>138.43</v>
      </c>
      <c r="R52" s="198"/>
      <c r="S52" s="198"/>
      <c r="T52" s="198"/>
      <c r="U52" s="198"/>
    </row>
    <row r="53" spans="1:21" s="12" customFormat="1" x14ac:dyDescent="0.25">
      <c r="A53" s="201" t="s">
        <v>1827</v>
      </c>
      <c r="B53" s="60">
        <v>21.27</v>
      </c>
      <c r="C53" s="60">
        <v>116.65</v>
      </c>
      <c r="D53" s="60">
        <v>81.44</v>
      </c>
      <c r="E53" s="60">
        <v>5.08</v>
      </c>
      <c r="F53" s="60">
        <v>1.91</v>
      </c>
      <c r="G53" s="213" t="s">
        <v>35</v>
      </c>
      <c r="H53" s="60">
        <v>81.84</v>
      </c>
      <c r="I53" s="60">
        <v>0.77</v>
      </c>
      <c r="J53" s="60">
        <v>0.61</v>
      </c>
      <c r="K53" s="60">
        <v>233.45</v>
      </c>
      <c r="L53" s="60">
        <v>29</v>
      </c>
      <c r="M53" s="60">
        <v>42.36</v>
      </c>
      <c r="N53" s="60">
        <v>580.1</v>
      </c>
      <c r="O53" s="60">
        <v>0</v>
      </c>
      <c r="P53" s="60">
        <v>1.37</v>
      </c>
      <c r="Q53" s="60">
        <v>137.13999999999999</v>
      </c>
      <c r="R53" s="198"/>
      <c r="S53" s="198"/>
      <c r="T53" s="198"/>
      <c r="U53" s="198"/>
    </row>
    <row r="54" spans="1:21" s="12" customFormat="1" x14ac:dyDescent="0.25">
      <c r="A54" s="201" t="s">
        <v>1828</v>
      </c>
      <c r="B54" s="60">
        <v>18.510000000000002</v>
      </c>
      <c r="C54" s="60">
        <v>112.23</v>
      </c>
      <c r="D54" s="60">
        <v>76.78</v>
      </c>
      <c r="E54" s="60">
        <v>5.07</v>
      </c>
      <c r="F54" s="60">
        <v>1.37</v>
      </c>
      <c r="G54" s="213" t="s">
        <v>35</v>
      </c>
      <c r="H54" s="60">
        <v>81.84</v>
      </c>
      <c r="I54" s="60">
        <v>0.75</v>
      </c>
      <c r="J54" s="60">
        <v>1.01</v>
      </c>
      <c r="K54" s="60">
        <v>233.42</v>
      </c>
      <c r="L54" s="60">
        <v>28.59</v>
      </c>
      <c r="M54" s="60">
        <v>41.62</v>
      </c>
      <c r="N54" s="60">
        <v>587.5</v>
      </c>
      <c r="O54" s="60">
        <v>0</v>
      </c>
      <c r="P54" s="60">
        <v>1.34</v>
      </c>
      <c r="Q54" s="60">
        <v>143.63</v>
      </c>
      <c r="R54" s="198"/>
      <c r="S54" s="198"/>
      <c r="T54" s="198"/>
      <c r="U54" s="198"/>
    </row>
    <row r="55" spans="1:21" s="12" customFormat="1" x14ac:dyDescent="0.25">
      <c r="A55" s="201" t="s">
        <v>1829</v>
      </c>
      <c r="B55" s="60">
        <v>15.82</v>
      </c>
      <c r="C55" s="60">
        <v>107.71</v>
      </c>
      <c r="D55" s="60">
        <v>72.13</v>
      </c>
      <c r="E55" s="60">
        <v>4.93</v>
      </c>
      <c r="F55" s="60">
        <v>1.23</v>
      </c>
      <c r="G55" s="213" t="s">
        <v>35</v>
      </c>
      <c r="H55" s="60">
        <v>81.84</v>
      </c>
      <c r="I55" s="60">
        <v>0.75</v>
      </c>
      <c r="J55" s="60">
        <v>0.75</v>
      </c>
      <c r="K55" s="60">
        <v>233.22</v>
      </c>
      <c r="L55" s="60">
        <v>29.15</v>
      </c>
      <c r="M55" s="60">
        <v>40.4</v>
      </c>
      <c r="N55" s="60">
        <v>581.29999999999995</v>
      </c>
      <c r="O55" s="60">
        <v>0</v>
      </c>
      <c r="P55" s="60">
        <v>1.3</v>
      </c>
      <c r="Q55" s="60">
        <v>151.24</v>
      </c>
      <c r="R55" s="198"/>
      <c r="S55" s="198"/>
      <c r="T55" s="198"/>
      <c r="U55" s="198"/>
    </row>
    <row r="56" spans="1:21" s="12" customFormat="1" x14ac:dyDescent="0.25">
      <c r="A56" s="201" t="s">
        <v>1830</v>
      </c>
      <c r="B56" s="60">
        <v>12.81</v>
      </c>
      <c r="C56" s="60">
        <v>103.6</v>
      </c>
      <c r="D56" s="60">
        <v>67.45</v>
      </c>
      <c r="E56" s="60">
        <v>2.0099999999999998</v>
      </c>
      <c r="F56" s="60">
        <v>1.92</v>
      </c>
      <c r="G56" s="218" t="s">
        <v>42</v>
      </c>
      <c r="H56" s="60">
        <v>81.02</v>
      </c>
      <c r="I56" s="60">
        <v>0.75</v>
      </c>
      <c r="J56" s="60">
        <v>0.65</v>
      </c>
      <c r="K56" s="60">
        <v>233.3</v>
      </c>
      <c r="L56" s="60">
        <v>29.6</v>
      </c>
      <c r="M56" s="60">
        <v>37.299999999999997</v>
      </c>
      <c r="N56" s="60">
        <v>581</v>
      </c>
      <c r="O56" s="60">
        <v>0</v>
      </c>
      <c r="P56" s="60">
        <v>1.24</v>
      </c>
      <c r="Q56" s="60">
        <v>154.27000000000001</v>
      </c>
      <c r="R56" s="198"/>
      <c r="S56" s="198"/>
      <c r="T56" s="198"/>
      <c r="U56" s="198"/>
    </row>
    <row r="57" spans="1:21" s="12" customFormat="1" x14ac:dyDescent="0.25">
      <c r="A57" s="201" t="s">
        <v>1831</v>
      </c>
      <c r="B57" s="60">
        <v>10.54</v>
      </c>
      <c r="C57" s="60">
        <v>99.97</v>
      </c>
      <c r="D57" s="60">
        <v>63.62</v>
      </c>
      <c r="E57" s="60">
        <v>3.66</v>
      </c>
      <c r="F57" s="60">
        <v>1.58</v>
      </c>
      <c r="G57" s="60">
        <v>84.07</v>
      </c>
      <c r="H57" s="60">
        <v>72.599999999999994</v>
      </c>
      <c r="I57" s="60">
        <v>0.73</v>
      </c>
      <c r="J57" s="60">
        <v>0.59</v>
      </c>
      <c r="K57" s="60">
        <v>233.68</v>
      </c>
      <c r="L57" s="60">
        <v>30.84</v>
      </c>
      <c r="M57" s="60">
        <v>35.03</v>
      </c>
      <c r="N57" s="60">
        <v>568.1</v>
      </c>
      <c r="O57" s="60">
        <v>0</v>
      </c>
      <c r="P57" s="60">
        <v>1.21</v>
      </c>
      <c r="Q57" s="60">
        <v>155.18</v>
      </c>
      <c r="R57" s="198"/>
      <c r="S57" s="198"/>
      <c r="T57" s="198"/>
      <c r="U57" s="198"/>
    </row>
    <row r="58" spans="1:21" s="12" customFormat="1" x14ac:dyDescent="0.25">
      <c r="A58" s="201" t="s">
        <v>1832</v>
      </c>
      <c r="B58" s="60">
        <v>9.2200000000000006</v>
      </c>
      <c r="C58" s="60">
        <v>98.38</v>
      </c>
      <c r="D58" s="60">
        <v>61.68</v>
      </c>
      <c r="E58" s="60">
        <v>3.86</v>
      </c>
      <c r="F58" s="60">
        <v>2.38</v>
      </c>
      <c r="G58" s="60">
        <v>84.07</v>
      </c>
      <c r="H58" s="60">
        <v>72.599999999999994</v>
      </c>
      <c r="I58" s="60">
        <v>0.71</v>
      </c>
      <c r="J58" s="60">
        <v>1.02</v>
      </c>
      <c r="K58" s="60">
        <v>233.55</v>
      </c>
      <c r="L58" s="60">
        <v>31.52</v>
      </c>
      <c r="M58" s="60">
        <v>32.619999999999997</v>
      </c>
      <c r="N58" s="60">
        <v>558.5</v>
      </c>
      <c r="O58" s="60">
        <v>0</v>
      </c>
      <c r="P58" s="60">
        <v>1.18</v>
      </c>
      <c r="Q58" s="60">
        <v>156.03</v>
      </c>
      <c r="R58" s="198"/>
      <c r="S58" s="198"/>
      <c r="T58" s="198"/>
      <c r="U58" s="198"/>
    </row>
    <row r="59" spans="1:21" s="12" customFormat="1" x14ac:dyDescent="0.25">
      <c r="A59" s="201" t="s">
        <v>1833</v>
      </c>
      <c r="B59" s="60">
        <v>7.86</v>
      </c>
      <c r="C59" s="60">
        <v>94.86</v>
      </c>
      <c r="D59" s="60">
        <v>58.65</v>
      </c>
      <c r="E59" s="60">
        <v>4.49</v>
      </c>
      <c r="F59" s="60">
        <v>2.79</v>
      </c>
      <c r="G59" s="60">
        <v>84.07</v>
      </c>
      <c r="H59" s="60">
        <v>72.599999999999994</v>
      </c>
      <c r="I59" s="60">
        <v>0.67</v>
      </c>
      <c r="J59" s="60">
        <v>1.58</v>
      </c>
      <c r="K59" s="60">
        <v>232.88</v>
      </c>
      <c r="L59" s="60">
        <v>29.66</v>
      </c>
      <c r="M59" s="60">
        <v>36.04</v>
      </c>
      <c r="N59" s="60">
        <v>539.20000000000005</v>
      </c>
      <c r="O59" s="60">
        <v>0</v>
      </c>
      <c r="P59" s="60">
        <v>1.1399999999999999</v>
      </c>
      <c r="Q59" s="60">
        <v>161.47999999999999</v>
      </c>
      <c r="R59" s="198"/>
      <c r="S59" s="198"/>
      <c r="T59" s="198"/>
      <c r="U59" s="198"/>
    </row>
    <row r="60" spans="1:21" s="12" customFormat="1" x14ac:dyDescent="0.25">
      <c r="A60" s="201" t="s">
        <v>1834</v>
      </c>
      <c r="B60" s="60">
        <v>6.55</v>
      </c>
      <c r="C60" s="60">
        <v>93.16</v>
      </c>
      <c r="D60" s="60">
        <v>56.66</v>
      </c>
      <c r="E60" s="60">
        <v>4.5</v>
      </c>
      <c r="F60" s="60">
        <v>2.29</v>
      </c>
      <c r="G60" s="60">
        <v>83.4</v>
      </c>
      <c r="H60" s="60">
        <v>73.39</v>
      </c>
      <c r="I60" s="60">
        <v>0.67</v>
      </c>
      <c r="J60" s="60">
        <v>1.41</v>
      </c>
      <c r="K60" s="60">
        <v>232.91</v>
      </c>
      <c r="L60" s="60">
        <v>31.21</v>
      </c>
      <c r="M60" s="60">
        <v>33.54</v>
      </c>
      <c r="N60" s="60">
        <v>507.6</v>
      </c>
      <c r="O60" s="60">
        <v>0</v>
      </c>
      <c r="P60" s="60">
        <v>1.1000000000000001</v>
      </c>
      <c r="Q60" s="60">
        <v>165.95</v>
      </c>
      <c r="R60" s="198"/>
      <c r="S60" s="198"/>
      <c r="T60" s="198"/>
      <c r="U60" s="198"/>
    </row>
    <row r="61" spans="1:21" s="12" customFormat="1" x14ac:dyDescent="0.25">
      <c r="A61" s="201" t="s">
        <v>1835</v>
      </c>
      <c r="B61" s="60">
        <v>5.52</v>
      </c>
      <c r="C61" s="60">
        <v>90.53</v>
      </c>
      <c r="D61" s="60">
        <v>54.39</v>
      </c>
      <c r="E61" s="60">
        <v>4.1399999999999997</v>
      </c>
      <c r="F61" s="60">
        <v>2.34</v>
      </c>
      <c r="G61" s="218" t="s">
        <v>42</v>
      </c>
      <c r="H61" s="60">
        <v>81.510000000000005</v>
      </c>
      <c r="I61" s="60">
        <v>0.65</v>
      </c>
      <c r="J61" s="60">
        <v>1.36</v>
      </c>
      <c r="K61" s="60">
        <v>232.64</v>
      </c>
      <c r="L61" s="60">
        <v>29.28</v>
      </c>
      <c r="M61" s="60">
        <v>34.9</v>
      </c>
      <c r="N61" s="60">
        <v>494.4</v>
      </c>
      <c r="O61" s="60">
        <v>0</v>
      </c>
      <c r="P61" s="60">
        <v>1.01</v>
      </c>
      <c r="Q61" s="60">
        <v>157.77000000000001</v>
      </c>
      <c r="R61" s="198"/>
      <c r="S61" s="198"/>
      <c r="T61" s="198"/>
      <c r="U61" s="198"/>
    </row>
    <row r="62" spans="1:21" s="12" customFormat="1" x14ac:dyDescent="0.25">
      <c r="A62" s="201" t="s">
        <v>1836</v>
      </c>
      <c r="B62" s="60">
        <v>4.47</v>
      </c>
      <c r="C62" s="60">
        <v>88.34</v>
      </c>
      <c r="D62" s="60">
        <v>52.34</v>
      </c>
      <c r="E62" s="60">
        <v>4.57</v>
      </c>
      <c r="F62" s="60">
        <v>3.93</v>
      </c>
      <c r="G62" s="218" t="s">
        <v>42</v>
      </c>
      <c r="H62" s="60">
        <v>81.510000000000005</v>
      </c>
      <c r="I62" s="60">
        <v>0.62</v>
      </c>
      <c r="J62" s="60">
        <v>1.1599999999999999</v>
      </c>
      <c r="K62" s="60">
        <v>233.03</v>
      </c>
      <c r="L62" s="60">
        <v>30.96</v>
      </c>
      <c r="M62" s="60">
        <v>33.94</v>
      </c>
      <c r="N62" s="60">
        <v>472.2</v>
      </c>
      <c r="O62" s="60">
        <v>0</v>
      </c>
      <c r="P62" s="60">
        <v>1</v>
      </c>
      <c r="Q62" s="60">
        <v>152.31</v>
      </c>
      <c r="R62" s="198"/>
      <c r="S62" s="198"/>
      <c r="T62" s="198"/>
      <c r="U62" s="198"/>
    </row>
    <row r="63" spans="1:21" s="12" customFormat="1" x14ac:dyDescent="0.25">
      <c r="A63" s="201" t="s">
        <v>1837</v>
      </c>
      <c r="B63" s="60">
        <v>4.05</v>
      </c>
      <c r="C63" s="60">
        <v>88.71</v>
      </c>
      <c r="D63" s="60">
        <v>52.2</v>
      </c>
      <c r="E63" s="60">
        <v>5.79</v>
      </c>
      <c r="F63" s="60">
        <v>5.24</v>
      </c>
      <c r="G63" s="218" t="s">
        <v>42</v>
      </c>
      <c r="H63" s="60">
        <v>81.510000000000005</v>
      </c>
      <c r="I63" s="60">
        <v>0.57999999999999996</v>
      </c>
      <c r="J63" s="60">
        <v>1.07</v>
      </c>
      <c r="K63" s="60">
        <v>233.22</v>
      </c>
      <c r="L63" s="60">
        <v>31.72</v>
      </c>
      <c r="M63" s="60">
        <v>33.090000000000003</v>
      </c>
      <c r="N63" s="60">
        <v>442.4</v>
      </c>
      <c r="O63" s="60">
        <v>0</v>
      </c>
      <c r="P63" s="60">
        <v>0.97</v>
      </c>
      <c r="Q63" s="60">
        <v>147.51</v>
      </c>
      <c r="R63" s="198"/>
      <c r="S63" s="198"/>
      <c r="T63" s="198"/>
      <c r="U63" s="198"/>
    </row>
    <row r="64" spans="1:21" s="12" customFormat="1" x14ac:dyDescent="0.25">
      <c r="A64" s="201" t="s">
        <v>1838</v>
      </c>
      <c r="B64" s="60">
        <v>4.3600000000000003</v>
      </c>
      <c r="C64" s="60">
        <v>91.25</v>
      </c>
      <c r="D64" s="60">
        <v>53.85</v>
      </c>
      <c r="E64" s="60">
        <v>5.24</v>
      </c>
      <c r="F64" s="60">
        <v>4.8499999999999996</v>
      </c>
      <c r="G64" s="218" t="s">
        <v>42</v>
      </c>
      <c r="H64" s="60">
        <v>80.819999999999993</v>
      </c>
      <c r="I64" s="60">
        <v>0.56000000000000005</v>
      </c>
      <c r="J64" s="60">
        <v>1.05</v>
      </c>
      <c r="K64" s="60">
        <v>233.16</v>
      </c>
      <c r="L64" s="60">
        <v>30.99</v>
      </c>
      <c r="M64" s="60">
        <v>34.06</v>
      </c>
      <c r="N64" s="60">
        <v>402.5</v>
      </c>
      <c r="O64" s="60">
        <v>0</v>
      </c>
      <c r="P64" s="60">
        <v>0.97</v>
      </c>
      <c r="Q64" s="60">
        <v>143.41999999999999</v>
      </c>
      <c r="R64" s="198"/>
      <c r="S64" s="198"/>
      <c r="T64" s="198"/>
      <c r="U64" s="198"/>
    </row>
    <row r="65" spans="1:21" s="12" customFormat="1" x14ac:dyDescent="0.25">
      <c r="A65" s="201" t="s">
        <v>1839</v>
      </c>
      <c r="B65" s="60">
        <v>3.77</v>
      </c>
      <c r="C65" s="60">
        <v>90.05</v>
      </c>
      <c r="D65" s="60">
        <v>52.72</v>
      </c>
      <c r="E65" s="60">
        <v>6.09</v>
      </c>
      <c r="F65" s="60">
        <v>4.95</v>
      </c>
      <c r="G65" s="60">
        <v>114.78</v>
      </c>
      <c r="H65" s="60">
        <v>73.67</v>
      </c>
      <c r="I65" s="60">
        <v>0.53</v>
      </c>
      <c r="J65" s="60">
        <v>1.22</v>
      </c>
      <c r="K65" s="60">
        <v>232.97</v>
      </c>
      <c r="L65" s="60">
        <v>30.89</v>
      </c>
      <c r="M65" s="60">
        <v>33.65</v>
      </c>
      <c r="N65" s="60">
        <v>369</v>
      </c>
      <c r="O65" s="60">
        <v>0</v>
      </c>
      <c r="P65" s="60">
        <v>0.97</v>
      </c>
      <c r="Q65" s="60">
        <v>139.1</v>
      </c>
      <c r="R65" s="198"/>
      <c r="S65" s="198"/>
      <c r="T65" s="198"/>
      <c r="U65" s="198"/>
    </row>
    <row r="66" spans="1:21" s="12" customFormat="1" x14ac:dyDescent="0.25">
      <c r="A66" s="201" t="s">
        <v>1840</v>
      </c>
      <c r="B66" s="60">
        <v>3.5</v>
      </c>
      <c r="C66" s="60">
        <v>88.1</v>
      </c>
      <c r="D66" s="60">
        <v>51.43</v>
      </c>
      <c r="E66" s="60">
        <v>4.63</v>
      </c>
      <c r="F66" s="60">
        <v>3.76</v>
      </c>
      <c r="G66" s="60">
        <v>114.78</v>
      </c>
      <c r="H66" s="60">
        <v>73.67</v>
      </c>
      <c r="I66" s="60">
        <v>0.51</v>
      </c>
      <c r="J66" s="60">
        <v>1.03</v>
      </c>
      <c r="K66" s="60">
        <v>232.51</v>
      </c>
      <c r="L66" s="60">
        <v>29.5</v>
      </c>
      <c r="M66" s="60">
        <v>35.549999999999997</v>
      </c>
      <c r="N66" s="60">
        <v>273.3</v>
      </c>
      <c r="O66" s="60">
        <v>0</v>
      </c>
      <c r="P66" s="60">
        <v>0.94</v>
      </c>
      <c r="Q66" s="60">
        <v>142.08000000000001</v>
      </c>
      <c r="R66" s="198"/>
      <c r="S66" s="198"/>
      <c r="T66" s="198"/>
      <c r="U66" s="198"/>
    </row>
    <row r="67" spans="1:21" s="12" customFormat="1" x14ac:dyDescent="0.25">
      <c r="A67" s="201" t="s">
        <v>1841</v>
      </c>
      <c r="B67" s="60">
        <v>4.67</v>
      </c>
      <c r="C67" s="60">
        <v>90.35</v>
      </c>
      <c r="D67" s="60">
        <v>53.61</v>
      </c>
      <c r="E67" s="60">
        <v>9.2200000000000006</v>
      </c>
      <c r="F67" s="60">
        <v>8.0399999999999991</v>
      </c>
      <c r="G67" s="60">
        <v>114.78</v>
      </c>
      <c r="H67" s="60">
        <v>73.67</v>
      </c>
      <c r="I67" s="60">
        <v>0.5</v>
      </c>
      <c r="J67" s="60">
        <v>0.98</v>
      </c>
      <c r="K67" s="60">
        <v>232.7</v>
      </c>
      <c r="L67" s="60">
        <v>30.07</v>
      </c>
      <c r="M67" s="60">
        <v>34.880000000000003</v>
      </c>
      <c r="N67" s="60">
        <v>186.9</v>
      </c>
      <c r="O67" s="60">
        <v>0</v>
      </c>
      <c r="P67" s="60">
        <v>0.92</v>
      </c>
      <c r="Q67" s="60">
        <v>151.59</v>
      </c>
      <c r="R67" s="198"/>
      <c r="S67" s="198"/>
      <c r="T67" s="198"/>
      <c r="U67" s="198"/>
    </row>
    <row r="68" spans="1:21" s="12" customFormat="1" x14ac:dyDescent="0.25">
      <c r="A68" s="201" t="s">
        <v>1842</v>
      </c>
      <c r="B68" s="60">
        <v>3.83</v>
      </c>
      <c r="C68" s="60">
        <v>83.09</v>
      </c>
      <c r="D68" s="60">
        <v>48.93</v>
      </c>
      <c r="E68" s="60">
        <v>7.68</v>
      </c>
      <c r="F68" s="60">
        <v>8.89</v>
      </c>
      <c r="G68" s="60">
        <v>112.64</v>
      </c>
      <c r="H68" s="60">
        <v>72.430000000000007</v>
      </c>
      <c r="I68" s="60">
        <v>0.49</v>
      </c>
      <c r="J68" s="60">
        <v>1.04</v>
      </c>
      <c r="K68" s="60">
        <v>232.19</v>
      </c>
      <c r="L68" s="60">
        <v>29.68</v>
      </c>
      <c r="M68" s="60">
        <v>35.49</v>
      </c>
      <c r="N68" s="60">
        <v>134.69999999999999</v>
      </c>
      <c r="O68" s="60">
        <v>0</v>
      </c>
      <c r="P68" s="60">
        <v>0.9</v>
      </c>
      <c r="Q68" s="60">
        <v>158.06</v>
      </c>
      <c r="R68" s="198"/>
      <c r="S68" s="198"/>
      <c r="T68" s="198"/>
      <c r="U68" s="198"/>
    </row>
    <row r="69" spans="1:21" s="12" customFormat="1" x14ac:dyDescent="0.25">
      <c r="A69" s="201" t="s">
        <v>1843</v>
      </c>
      <c r="B69" s="60">
        <v>4.46</v>
      </c>
      <c r="C69" s="60">
        <v>85.29</v>
      </c>
      <c r="D69" s="60">
        <v>50.65</v>
      </c>
      <c r="E69" s="60">
        <v>9.01</v>
      </c>
      <c r="F69" s="60">
        <v>7.34</v>
      </c>
      <c r="G69" s="60">
        <v>94.55</v>
      </c>
      <c r="H69" s="60">
        <v>59.64</v>
      </c>
      <c r="I69" s="60">
        <v>0.45</v>
      </c>
      <c r="J69" s="60">
        <v>1.02</v>
      </c>
      <c r="K69" s="60">
        <v>231.89</v>
      </c>
      <c r="L69" s="60">
        <v>29.65</v>
      </c>
      <c r="M69" s="60">
        <v>35.44</v>
      </c>
      <c r="N69" s="60">
        <v>106</v>
      </c>
      <c r="O69" s="60">
        <v>0</v>
      </c>
      <c r="P69" s="60">
        <v>0.9</v>
      </c>
      <c r="Q69" s="60">
        <v>157.04</v>
      </c>
      <c r="R69" s="198"/>
      <c r="S69" s="198"/>
      <c r="T69" s="198"/>
      <c r="U69" s="198"/>
    </row>
    <row r="70" spans="1:21" s="12" customFormat="1" x14ac:dyDescent="0.25">
      <c r="A70" s="201" t="s">
        <v>1844</v>
      </c>
      <c r="B70" s="60">
        <v>4.22</v>
      </c>
      <c r="C70" s="60">
        <v>87.6</v>
      </c>
      <c r="D70" s="60">
        <v>51.73</v>
      </c>
      <c r="E70" s="60">
        <v>8.1300000000000008</v>
      </c>
      <c r="F70" s="60">
        <v>7.95</v>
      </c>
      <c r="G70" s="60">
        <v>94.55</v>
      </c>
      <c r="H70" s="60">
        <v>59.64</v>
      </c>
      <c r="I70" s="60">
        <v>0.46</v>
      </c>
      <c r="J70" s="60">
        <v>0.89</v>
      </c>
      <c r="K70" s="60">
        <v>231.6</v>
      </c>
      <c r="L70" s="60">
        <v>28.92</v>
      </c>
      <c r="M70" s="60">
        <v>36.42</v>
      </c>
      <c r="N70" s="60">
        <v>91.9</v>
      </c>
      <c r="O70" s="60">
        <v>0</v>
      </c>
      <c r="P70" s="60">
        <v>0.89</v>
      </c>
      <c r="Q70" s="60">
        <v>158.88</v>
      </c>
      <c r="R70" s="198"/>
      <c r="S70" s="198"/>
      <c r="T70" s="198"/>
      <c r="U70" s="198"/>
    </row>
    <row r="71" spans="1:21" s="12" customFormat="1" x14ac:dyDescent="0.25">
      <c r="A71" s="201" t="s">
        <v>1845</v>
      </c>
      <c r="B71" s="60">
        <v>5.64</v>
      </c>
      <c r="C71" s="60">
        <v>94.47</v>
      </c>
      <c r="D71" s="60">
        <v>56.66</v>
      </c>
      <c r="E71" s="60">
        <v>6.91</v>
      </c>
      <c r="F71" s="60">
        <v>6.33</v>
      </c>
      <c r="G71" s="60">
        <v>94.55</v>
      </c>
      <c r="H71" s="60">
        <v>59.64</v>
      </c>
      <c r="I71" s="60">
        <v>0.46</v>
      </c>
      <c r="J71" s="60">
        <v>0.76</v>
      </c>
      <c r="K71" s="60">
        <v>231.5</v>
      </c>
      <c r="L71" s="60">
        <v>28.66</v>
      </c>
      <c r="M71" s="60">
        <v>37.14</v>
      </c>
      <c r="N71" s="60">
        <v>78.099999999999994</v>
      </c>
      <c r="O71" s="60">
        <v>0</v>
      </c>
      <c r="P71" s="60">
        <v>0.92</v>
      </c>
      <c r="Q71" s="60">
        <v>160.61000000000001</v>
      </c>
      <c r="R71" s="198"/>
      <c r="S71" s="198"/>
      <c r="T71" s="198"/>
      <c r="U71" s="198"/>
    </row>
    <row r="72" spans="1:21" s="12" customFormat="1" x14ac:dyDescent="0.25">
      <c r="A72" s="201" t="s">
        <v>1846</v>
      </c>
      <c r="B72" s="60">
        <v>5.73</v>
      </c>
      <c r="C72" s="60">
        <v>99.19</v>
      </c>
      <c r="D72" s="60">
        <v>59.34</v>
      </c>
      <c r="E72" s="60">
        <v>3.9</v>
      </c>
      <c r="F72" s="60">
        <v>6.96</v>
      </c>
      <c r="G72" s="60">
        <v>96.3</v>
      </c>
      <c r="H72" s="60">
        <v>59.68</v>
      </c>
      <c r="I72" s="60">
        <v>0.46</v>
      </c>
      <c r="J72" s="60">
        <v>0.81</v>
      </c>
      <c r="K72" s="60">
        <v>231.38</v>
      </c>
      <c r="L72" s="60">
        <v>28.42</v>
      </c>
      <c r="M72" s="60">
        <v>37.85</v>
      </c>
      <c r="N72" s="60">
        <v>70.7</v>
      </c>
      <c r="O72" s="60">
        <v>0</v>
      </c>
      <c r="P72" s="60">
        <v>0.95</v>
      </c>
      <c r="Q72" s="60">
        <v>162.22999999999999</v>
      </c>
      <c r="R72" s="198"/>
      <c r="S72" s="198"/>
      <c r="T72" s="198"/>
      <c r="U72" s="198"/>
    </row>
    <row r="73" spans="1:21" s="12" customFormat="1" x14ac:dyDescent="0.25">
      <c r="A73" s="201" t="s">
        <v>1847</v>
      </c>
      <c r="B73" s="60">
        <v>6.89</v>
      </c>
      <c r="C73" s="60">
        <v>97.16</v>
      </c>
      <c r="D73" s="60">
        <v>59.14</v>
      </c>
      <c r="E73" s="60">
        <v>7.28</v>
      </c>
      <c r="F73" s="60">
        <v>6.61</v>
      </c>
      <c r="G73" s="60">
        <v>111</v>
      </c>
      <c r="H73" s="60">
        <v>60.06</v>
      </c>
      <c r="I73" s="60">
        <v>0.46</v>
      </c>
      <c r="J73" s="60">
        <v>0.74</v>
      </c>
      <c r="K73" s="60">
        <v>231.18</v>
      </c>
      <c r="L73" s="60">
        <v>28.26</v>
      </c>
      <c r="M73" s="60">
        <v>37.75</v>
      </c>
      <c r="N73" s="60">
        <v>57</v>
      </c>
      <c r="O73" s="60">
        <v>0</v>
      </c>
      <c r="P73" s="60">
        <v>0.94</v>
      </c>
      <c r="Q73" s="60">
        <v>160.96</v>
      </c>
      <c r="R73" s="198"/>
      <c r="S73" s="198"/>
      <c r="T73" s="198"/>
      <c r="U73" s="198"/>
    </row>
    <row r="74" spans="1:21" s="12" customFormat="1" x14ac:dyDescent="0.25">
      <c r="A74" s="201" t="s">
        <v>1848</v>
      </c>
      <c r="B74" s="60">
        <v>6.04</v>
      </c>
      <c r="C74" s="60">
        <v>98.14</v>
      </c>
      <c r="D74" s="60">
        <v>59.01</v>
      </c>
      <c r="E74" s="60">
        <v>6.94</v>
      </c>
      <c r="F74" s="60">
        <v>5.33</v>
      </c>
      <c r="G74" s="60">
        <v>111</v>
      </c>
      <c r="H74" s="60">
        <v>60.06</v>
      </c>
      <c r="I74" s="60">
        <v>0.46</v>
      </c>
      <c r="J74" s="60">
        <v>0.69</v>
      </c>
      <c r="K74" s="60">
        <v>231.11</v>
      </c>
      <c r="L74" s="60">
        <v>27.99</v>
      </c>
      <c r="M74" s="60">
        <v>38.94</v>
      </c>
      <c r="N74" s="60">
        <v>42.4</v>
      </c>
      <c r="O74" s="60">
        <v>0</v>
      </c>
      <c r="P74" s="60">
        <v>0.98</v>
      </c>
      <c r="Q74" s="60">
        <v>162.56</v>
      </c>
      <c r="R74" s="198"/>
      <c r="S74" s="198"/>
      <c r="T74" s="198"/>
      <c r="U74" s="198"/>
    </row>
    <row r="75" spans="1:21" s="12" customFormat="1" x14ac:dyDescent="0.25">
      <c r="A75" s="201" t="s">
        <v>1849</v>
      </c>
      <c r="B75" s="60">
        <v>6.78</v>
      </c>
      <c r="C75" s="60">
        <v>100.68</v>
      </c>
      <c r="D75" s="60">
        <v>61</v>
      </c>
      <c r="E75" s="60">
        <v>6.76</v>
      </c>
      <c r="F75" s="60">
        <v>5.91</v>
      </c>
      <c r="G75" s="60">
        <v>111</v>
      </c>
      <c r="H75" s="60">
        <v>60.06</v>
      </c>
      <c r="I75" s="60">
        <v>0.47</v>
      </c>
      <c r="J75" s="60">
        <v>0.56000000000000005</v>
      </c>
      <c r="K75" s="60">
        <v>230.88</v>
      </c>
      <c r="L75" s="60">
        <v>27.62</v>
      </c>
      <c r="M75" s="60">
        <v>40.31</v>
      </c>
      <c r="N75" s="60">
        <v>28.6</v>
      </c>
      <c r="O75" s="60">
        <v>0</v>
      </c>
      <c r="P75" s="60">
        <v>1.03</v>
      </c>
      <c r="Q75" s="60">
        <v>153.52000000000001</v>
      </c>
      <c r="R75" s="198"/>
      <c r="S75" s="198"/>
      <c r="T75" s="198"/>
      <c r="U75" s="198"/>
    </row>
    <row r="76" spans="1:21" s="12" customFormat="1" x14ac:dyDescent="0.25">
      <c r="A76" s="201" t="s">
        <v>1850</v>
      </c>
      <c r="B76" s="60">
        <v>7.68</v>
      </c>
      <c r="C76" s="60">
        <v>105.03</v>
      </c>
      <c r="D76" s="60">
        <v>64.12</v>
      </c>
      <c r="E76" s="60">
        <v>6.77</v>
      </c>
      <c r="F76" s="60">
        <v>3.95</v>
      </c>
      <c r="G76" s="60">
        <v>112.85</v>
      </c>
      <c r="H76" s="60">
        <v>59.5</v>
      </c>
      <c r="I76" s="60">
        <v>0.49</v>
      </c>
      <c r="J76" s="60">
        <v>0.54</v>
      </c>
      <c r="K76" s="60">
        <v>230.63</v>
      </c>
      <c r="L76" s="60">
        <v>27</v>
      </c>
      <c r="M76" s="60">
        <v>41.61</v>
      </c>
      <c r="N76" s="60">
        <v>17.8</v>
      </c>
      <c r="O76" s="60">
        <v>0</v>
      </c>
      <c r="P76" s="60">
        <v>1.0900000000000001</v>
      </c>
      <c r="Q76" s="60">
        <v>144.62</v>
      </c>
      <c r="R76" s="198"/>
      <c r="S76" s="198"/>
      <c r="T76" s="198"/>
      <c r="U76" s="198"/>
    </row>
    <row r="77" spans="1:21" s="12" customFormat="1" x14ac:dyDescent="0.25">
      <c r="A77" s="201" t="s">
        <v>1851</v>
      </c>
      <c r="B77" s="60">
        <v>11.1</v>
      </c>
      <c r="C77" s="60">
        <v>113.38</v>
      </c>
      <c r="D77" s="60">
        <v>71.47</v>
      </c>
      <c r="E77" s="60">
        <v>7.13</v>
      </c>
      <c r="F77" s="60">
        <v>4.04</v>
      </c>
      <c r="G77" s="60">
        <v>128.47</v>
      </c>
      <c r="H77" s="60">
        <v>53.71</v>
      </c>
      <c r="I77" s="60">
        <v>0.49</v>
      </c>
      <c r="J77" s="60">
        <v>0.43</v>
      </c>
      <c r="K77" s="60">
        <v>230.46</v>
      </c>
      <c r="L77" s="60">
        <v>26.46</v>
      </c>
      <c r="M77" s="60">
        <v>42.59</v>
      </c>
      <c r="N77" s="60">
        <v>10</v>
      </c>
      <c r="O77" s="60">
        <v>0</v>
      </c>
      <c r="P77" s="60">
        <v>1.18</v>
      </c>
      <c r="Q77" s="60">
        <v>139.18</v>
      </c>
      <c r="R77" s="198"/>
      <c r="S77" s="198"/>
      <c r="T77" s="198"/>
      <c r="U77" s="198"/>
    </row>
    <row r="78" spans="1:21" s="12" customFormat="1" x14ac:dyDescent="0.25">
      <c r="A78" s="201" t="s">
        <v>1852</v>
      </c>
      <c r="B78" s="60">
        <v>8.11</v>
      </c>
      <c r="C78" s="60">
        <v>119.01</v>
      </c>
      <c r="D78" s="60">
        <v>72.180000000000007</v>
      </c>
      <c r="E78" s="60">
        <v>7.13</v>
      </c>
      <c r="F78" s="60">
        <v>4.26</v>
      </c>
      <c r="G78" s="60">
        <v>128.47</v>
      </c>
      <c r="H78" s="60">
        <v>53.71</v>
      </c>
      <c r="I78" s="60">
        <v>0.5</v>
      </c>
      <c r="J78" s="60">
        <v>0.35</v>
      </c>
      <c r="K78" s="60">
        <v>229.8</v>
      </c>
      <c r="L78" s="60">
        <v>25.79</v>
      </c>
      <c r="M78" s="60">
        <v>44.54</v>
      </c>
      <c r="N78" s="60">
        <v>6.3</v>
      </c>
      <c r="O78" s="60">
        <v>0</v>
      </c>
      <c r="P78" s="60">
        <v>1.23</v>
      </c>
      <c r="Q78" s="60">
        <v>139.78</v>
      </c>
      <c r="R78" s="198"/>
      <c r="S78" s="198"/>
      <c r="T78" s="198"/>
      <c r="U78" s="198"/>
    </row>
    <row r="79" spans="1:21" s="12" customFormat="1" x14ac:dyDescent="0.25">
      <c r="A79" s="201" t="s">
        <v>1853</v>
      </c>
      <c r="B79" s="60">
        <v>7.14</v>
      </c>
      <c r="C79" s="60">
        <v>114.41</v>
      </c>
      <c r="D79" s="60">
        <v>68.87</v>
      </c>
      <c r="E79" s="60">
        <v>7.82</v>
      </c>
      <c r="F79" s="60">
        <v>4.38</v>
      </c>
      <c r="G79" s="60">
        <v>128.47</v>
      </c>
      <c r="H79" s="60">
        <v>53.71</v>
      </c>
      <c r="I79" s="60">
        <v>0.52</v>
      </c>
      <c r="J79" s="60">
        <v>0.31</v>
      </c>
      <c r="K79" s="60">
        <v>229.48</v>
      </c>
      <c r="L79" s="60">
        <v>25.07</v>
      </c>
      <c r="M79" s="60">
        <v>47.35</v>
      </c>
      <c r="N79" s="60">
        <v>5.2</v>
      </c>
      <c r="O79" s="60">
        <v>0</v>
      </c>
      <c r="P79" s="60">
        <v>1.26</v>
      </c>
      <c r="Q79" s="60">
        <v>138.9</v>
      </c>
      <c r="R79" s="198"/>
      <c r="S79" s="198"/>
      <c r="T79" s="198"/>
      <c r="U79" s="198"/>
    </row>
    <row r="80" spans="1:21" s="12" customFormat="1" x14ac:dyDescent="0.25">
      <c r="A80" s="201" t="s">
        <v>1854</v>
      </c>
      <c r="B80" s="60">
        <v>7.83</v>
      </c>
      <c r="C80" s="60">
        <v>117.3</v>
      </c>
      <c r="D80" s="60">
        <v>71.010000000000005</v>
      </c>
      <c r="E80" s="60">
        <v>7.88</v>
      </c>
      <c r="F80" s="60">
        <v>3.33</v>
      </c>
      <c r="G80" s="60">
        <v>138.04</v>
      </c>
      <c r="H80" s="60">
        <v>54.03</v>
      </c>
      <c r="I80" s="60">
        <v>0.54</v>
      </c>
      <c r="J80" s="60">
        <v>0.38</v>
      </c>
      <c r="K80" s="60">
        <v>229.32</v>
      </c>
      <c r="L80" s="60">
        <v>24.93</v>
      </c>
      <c r="M80" s="60">
        <v>46.46</v>
      </c>
      <c r="N80" s="60">
        <v>4.7</v>
      </c>
      <c r="O80" s="60">
        <v>0</v>
      </c>
      <c r="P80" s="60">
        <v>1.4</v>
      </c>
      <c r="Q80" s="60">
        <v>137.03</v>
      </c>
      <c r="R80" s="198"/>
      <c r="S80" s="198"/>
      <c r="T80" s="198"/>
      <c r="U80" s="198"/>
    </row>
    <row r="81" spans="1:26" s="12" customFormat="1" x14ac:dyDescent="0.25">
      <c r="A81" s="201" t="s">
        <v>1855</v>
      </c>
      <c r="B81" s="60">
        <v>8.2100000000000009</v>
      </c>
      <c r="C81" s="60">
        <v>118</v>
      </c>
      <c r="D81" s="60">
        <v>71.709999999999994</v>
      </c>
      <c r="E81" s="60">
        <v>6.53</v>
      </c>
      <c r="F81" s="60">
        <v>2.62</v>
      </c>
      <c r="G81" s="60">
        <v>218.7</v>
      </c>
      <c r="H81" s="60">
        <v>57.3</v>
      </c>
      <c r="I81" s="60">
        <v>0.56000000000000005</v>
      </c>
      <c r="J81" s="60">
        <v>0.25</v>
      </c>
      <c r="K81" s="60">
        <v>229.2</v>
      </c>
      <c r="L81" s="60">
        <v>24.53</v>
      </c>
      <c r="M81" s="60">
        <v>48.75</v>
      </c>
      <c r="N81" s="60">
        <v>5</v>
      </c>
      <c r="O81" s="60">
        <v>0</v>
      </c>
      <c r="P81" s="60">
        <v>1.42</v>
      </c>
      <c r="Q81" s="60">
        <v>137.87</v>
      </c>
      <c r="R81" s="198"/>
      <c r="S81" s="198"/>
      <c r="T81" s="198"/>
      <c r="U81" s="198"/>
    </row>
    <row r="82" spans="1:26" s="12" customFormat="1" x14ac:dyDescent="0.25">
      <c r="A82" s="201" t="s">
        <v>1856</v>
      </c>
      <c r="B82" s="60">
        <v>7.91</v>
      </c>
      <c r="C82" s="60">
        <v>114</v>
      </c>
      <c r="D82" s="60">
        <v>69.260000000000005</v>
      </c>
      <c r="E82" s="60">
        <v>6.28</v>
      </c>
      <c r="F82" s="60">
        <v>2.9</v>
      </c>
      <c r="G82" s="60">
        <v>218.7</v>
      </c>
      <c r="H82" s="60">
        <v>57.3</v>
      </c>
      <c r="I82" s="60">
        <v>0.6</v>
      </c>
      <c r="J82" s="60">
        <v>0.35</v>
      </c>
      <c r="K82" s="60">
        <v>229.05</v>
      </c>
      <c r="L82" s="60">
        <v>24.21</v>
      </c>
      <c r="M82" s="60">
        <v>50.77</v>
      </c>
      <c r="N82" s="60">
        <v>4.7</v>
      </c>
      <c r="O82" s="60">
        <v>0</v>
      </c>
      <c r="P82" s="60">
        <v>1.48</v>
      </c>
      <c r="Q82" s="60">
        <v>144.86000000000001</v>
      </c>
      <c r="R82" s="198"/>
      <c r="S82" s="198"/>
      <c r="T82" s="198"/>
      <c r="U82" s="198"/>
    </row>
    <row r="83" spans="1:26" s="12" customFormat="1" x14ac:dyDescent="0.25">
      <c r="A83" s="201" t="s">
        <v>1857</v>
      </c>
      <c r="B83" s="60">
        <v>10.73</v>
      </c>
      <c r="C83" s="60">
        <v>117.37</v>
      </c>
      <c r="D83" s="60">
        <v>73.38</v>
      </c>
      <c r="E83" s="60">
        <v>5.97</v>
      </c>
      <c r="F83" s="60">
        <v>1.87</v>
      </c>
      <c r="G83" s="60">
        <v>218.7</v>
      </c>
      <c r="H83" s="60">
        <v>57.3</v>
      </c>
      <c r="I83" s="60">
        <v>0.61</v>
      </c>
      <c r="J83" s="60">
        <v>0.37</v>
      </c>
      <c r="K83" s="60">
        <v>229.01</v>
      </c>
      <c r="L83" s="60">
        <v>24.21</v>
      </c>
      <c r="M83" s="60">
        <v>50.1</v>
      </c>
      <c r="N83" s="60">
        <v>4.5</v>
      </c>
      <c r="O83" s="60">
        <v>0</v>
      </c>
      <c r="P83" s="60">
        <v>1.51</v>
      </c>
      <c r="Q83" s="60">
        <v>149.97</v>
      </c>
      <c r="R83" s="198"/>
      <c r="S83" s="198"/>
      <c r="T83" s="198"/>
      <c r="U83" s="198"/>
    </row>
    <row r="84" spans="1:26" s="12" customFormat="1" x14ac:dyDescent="0.25">
      <c r="A84" s="201" t="s">
        <v>1858</v>
      </c>
      <c r="B84" s="60">
        <v>13.16</v>
      </c>
      <c r="C84" s="60">
        <v>120</v>
      </c>
      <c r="D84" s="60">
        <v>76.78</v>
      </c>
      <c r="E84" s="60">
        <v>5.38</v>
      </c>
      <c r="F84" s="60">
        <v>1.06</v>
      </c>
      <c r="G84" s="60">
        <v>220.46</v>
      </c>
      <c r="H84" s="60">
        <v>58.07</v>
      </c>
      <c r="I84" s="60">
        <v>0.64</v>
      </c>
      <c r="J84" s="60">
        <v>0.3</v>
      </c>
      <c r="K84" s="60">
        <v>229</v>
      </c>
      <c r="L84" s="60">
        <v>24.11</v>
      </c>
      <c r="M84" s="60">
        <v>51.51</v>
      </c>
      <c r="N84" s="60">
        <v>4.7</v>
      </c>
      <c r="O84" s="60">
        <v>0</v>
      </c>
      <c r="P84" s="60">
        <v>1.68</v>
      </c>
      <c r="Q84" s="60">
        <v>154.71</v>
      </c>
      <c r="R84" s="198"/>
      <c r="S84" s="198"/>
      <c r="T84" s="198"/>
      <c r="U84" s="198"/>
    </row>
    <row r="85" spans="1:26" s="12" customFormat="1" x14ac:dyDescent="0.25">
      <c r="A85" s="201" t="s">
        <v>1859</v>
      </c>
      <c r="B85" s="60">
        <v>13.2</v>
      </c>
      <c r="C85" s="60">
        <v>115.63</v>
      </c>
      <c r="D85" s="60">
        <v>74.400000000000006</v>
      </c>
      <c r="E85" s="60">
        <v>4.5999999999999996</v>
      </c>
      <c r="F85" s="60">
        <v>0.84</v>
      </c>
      <c r="G85" s="60">
        <v>235.28</v>
      </c>
      <c r="H85" s="60">
        <v>65.98</v>
      </c>
      <c r="I85" s="60">
        <v>0.69</v>
      </c>
      <c r="J85" s="60">
        <v>0.2</v>
      </c>
      <c r="K85" s="60">
        <v>228.94</v>
      </c>
      <c r="L85" s="60">
        <v>23.7</v>
      </c>
      <c r="M85" s="60">
        <v>53.79</v>
      </c>
      <c r="N85" s="60">
        <v>4.9000000000000004</v>
      </c>
      <c r="O85" s="60">
        <v>0</v>
      </c>
      <c r="P85" s="60">
        <v>1.6</v>
      </c>
      <c r="Q85" s="60">
        <v>155.86000000000001</v>
      </c>
      <c r="R85" s="198"/>
      <c r="S85" s="198"/>
      <c r="T85" s="198"/>
      <c r="U85" s="198"/>
    </row>
    <row r="86" spans="1:26" s="12" customFormat="1" x14ac:dyDescent="0.25">
      <c r="A86" s="201" t="s">
        <v>1860</v>
      </c>
      <c r="B86" s="60">
        <v>14.35</v>
      </c>
      <c r="C86" s="60">
        <v>114.43</v>
      </c>
      <c r="D86" s="60">
        <v>74.66</v>
      </c>
      <c r="E86" s="60">
        <v>4.92</v>
      </c>
      <c r="F86" s="60">
        <v>0.98</v>
      </c>
      <c r="G86" s="60">
        <v>235.28</v>
      </c>
      <c r="H86" s="60">
        <v>65.98</v>
      </c>
      <c r="I86" s="60">
        <v>0.73</v>
      </c>
      <c r="J86" s="60">
        <v>0.12</v>
      </c>
      <c r="K86" s="60">
        <v>228.82</v>
      </c>
      <c r="L86" s="60">
        <v>22.79</v>
      </c>
      <c r="M86" s="60">
        <v>58.63</v>
      </c>
      <c r="N86" s="60">
        <v>5.2</v>
      </c>
      <c r="O86" s="60">
        <v>0</v>
      </c>
      <c r="P86" s="60">
        <v>1.73</v>
      </c>
      <c r="Q86" s="60">
        <v>160.88</v>
      </c>
      <c r="R86" s="198"/>
      <c r="S86" s="198"/>
      <c r="T86" s="198"/>
      <c r="U86" s="198"/>
    </row>
    <row r="87" spans="1:26" s="12" customFormat="1" x14ac:dyDescent="0.25">
      <c r="A87" s="201" t="s">
        <v>1861</v>
      </c>
      <c r="B87" s="60">
        <v>16.97</v>
      </c>
      <c r="C87" s="60">
        <v>116.22</v>
      </c>
      <c r="D87" s="60">
        <v>77.75</v>
      </c>
      <c r="E87" s="60">
        <v>4.6100000000000003</v>
      </c>
      <c r="F87" s="60">
        <v>0.91</v>
      </c>
      <c r="G87" s="60">
        <v>235.28</v>
      </c>
      <c r="H87" s="60">
        <v>65.98</v>
      </c>
      <c r="I87" s="60">
        <v>0.78</v>
      </c>
      <c r="J87" s="60">
        <v>0.11</v>
      </c>
      <c r="K87" s="60">
        <v>228.69</v>
      </c>
      <c r="L87" s="60">
        <v>22.38</v>
      </c>
      <c r="M87" s="60">
        <v>62.9</v>
      </c>
      <c r="N87" s="60">
        <v>5.0999999999999996</v>
      </c>
      <c r="O87" s="60">
        <v>0</v>
      </c>
      <c r="P87" s="60">
        <v>1.81</v>
      </c>
      <c r="Q87" s="60">
        <v>166.06</v>
      </c>
      <c r="R87" s="198"/>
      <c r="S87" s="198"/>
      <c r="T87" s="198"/>
      <c r="U87" s="198"/>
    </row>
    <row r="88" spans="1:26" s="12" customFormat="1" x14ac:dyDescent="0.25">
      <c r="A88" s="201" t="s">
        <v>1862</v>
      </c>
      <c r="B88" s="60">
        <v>17.91</v>
      </c>
      <c r="C88" s="60">
        <v>111.31</v>
      </c>
      <c r="D88" s="60">
        <v>75.790000000000006</v>
      </c>
      <c r="E88" s="60">
        <v>2.5099999999999998</v>
      </c>
      <c r="F88" s="60">
        <v>0.81</v>
      </c>
      <c r="G88" s="60">
        <v>237.39</v>
      </c>
      <c r="H88" s="60">
        <v>66.56</v>
      </c>
      <c r="I88" s="60">
        <v>0.82</v>
      </c>
      <c r="J88" s="60">
        <v>0.24</v>
      </c>
      <c r="K88" s="60">
        <v>228.61</v>
      </c>
      <c r="L88" s="60">
        <v>21.92</v>
      </c>
      <c r="M88" s="60">
        <v>68.13</v>
      </c>
      <c r="N88" s="60">
        <v>5</v>
      </c>
      <c r="O88" s="60">
        <v>0</v>
      </c>
      <c r="P88" s="60">
        <v>1.83</v>
      </c>
      <c r="Q88" s="60">
        <v>171.2</v>
      </c>
      <c r="R88" s="198"/>
      <c r="S88" s="198"/>
      <c r="T88" s="198"/>
      <c r="U88" s="198"/>
    </row>
    <row r="89" spans="1:26" s="12" customFormat="1" x14ac:dyDescent="0.25">
      <c r="A89" s="201" t="s">
        <v>1863</v>
      </c>
      <c r="B89" s="60">
        <v>20.65</v>
      </c>
      <c r="C89" s="60">
        <v>110.77</v>
      </c>
      <c r="D89" s="60">
        <v>77.69</v>
      </c>
      <c r="E89" s="60">
        <v>4.0199999999999996</v>
      </c>
      <c r="F89" s="60">
        <v>0.87</v>
      </c>
      <c r="G89" s="60">
        <v>255.14</v>
      </c>
      <c r="H89" s="60">
        <v>72.510000000000005</v>
      </c>
      <c r="I89" s="60">
        <v>0.88</v>
      </c>
      <c r="J89" s="60">
        <v>0.27</v>
      </c>
      <c r="K89" s="60">
        <v>228.43</v>
      </c>
      <c r="L89" s="60">
        <v>21.65</v>
      </c>
      <c r="M89" s="60">
        <v>68.63</v>
      </c>
      <c r="N89" s="60">
        <v>4.5</v>
      </c>
      <c r="O89" s="60">
        <v>0</v>
      </c>
      <c r="P89" s="60">
        <v>2</v>
      </c>
      <c r="Q89" s="60">
        <v>169.59</v>
      </c>
      <c r="R89" s="198"/>
      <c r="S89" s="198"/>
      <c r="T89" s="198"/>
      <c r="U89" s="198"/>
    </row>
    <row r="90" spans="1:26" s="12" customFormat="1" x14ac:dyDescent="0.25">
      <c r="A90" s="201" t="s">
        <v>1864</v>
      </c>
      <c r="B90" s="60">
        <v>28.87</v>
      </c>
      <c r="C90" s="60">
        <v>118.46</v>
      </c>
      <c r="D90" s="60">
        <v>88.53</v>
      </c>
      <c r="E90" s="60">
        <v>4.58</v>
      </c>
      <c r="F90" s="60">
        <v>0.87</v>
      </c>
      <c r="G90" s="60">
        <v>255.14</v>
      </c>
      <c r="H90" s="60">
        <v>72.510000000000005</v>
      </c>
      <c r="I90" s="60">
        <v>0.92</v>
      </c>
      <c r="J90" s="60">
        <v>0.16</v>
      </c>
      <c r="K90" s="60">
        <v>228.28</v>
      </c>
      <c r="L90" s="60">
        <v>21.3</v>
      </c>
      <c r="M90" s="60">
        <v>70.17</v>
      </c>
      <c r="N90" s="60">
        <v>4.9000000000000004</v>
      </c>
      <c r="O90" s="60">
        <v>0</v>
      </c>
      <c r="P90" s="60">
        <v>2.21</v>
      </c>
      <c r="Q90" s="60">
        <v>170.36</v>
      </c>
      <c r="R90" s="198"/>
      <c r="S90" s="198"/>
      <c r="T90" s="198"/>
      <c r="U90" s="198"/>
    </row>
    <row r="91" spans="1:26" s="12" customFormat="1" x14ac:dyDescent="0.25">
      <c r="A91" s="201" t="s">
        <v>1865</v>
      </c>
      <c r="B91" s="60">
        <v>40.4</v>
      </c>
      <c r="C91" s="60">
        <v>127.37</v>
      </c>
      <c r="D91" s="60">
        <v>102.69</v>
      </c>
      <c r="E91" s="60">
        <v>4.3099999999999996</v>
      </c>
      <c r="F91" s="60">
        <v>0.73</v>
      </c>
      <c r="G91" s="60">
        <v>255.14</v>
      </c>
      <c r="H91" s="60">
        <v>72.510000000000005</v>
      </c>
      <c r="I91" s="60">
        <v>0.98</v>
      </c>
      <c r="J91" s="60">
        <v>0.12</v>
      </c>
      <c r="K91" s="60">
        <v>228.23</v>
      </c>
      <c r="L91" s="60">
        <v>20.97</v>
      </c>
      <c r="M91" s="60">
        <v>72.739999999999995</v>
      </c>
      <c r="N91" s="60">
        <v>4.9000000000000004</v>
      </c>
      <c r="O91" s="60">
        <v>0</v>
      </c>
      <c r="P91" s="60">
        <v>2.5299999999999998</v>
      </c>
      <c r="Q91" s="60">
        <v>179.35</v>
      </c>
      <c r="R91" s="198"/>
      <c r="S91" s="198"/>
      <c r="T91" s="198"/>
      <c r="U91" s="198"/>
    </row>
    <row r="92" spans="1:26" s="12" customFormat="1" x14ac:dyDescent="0.25">
      <c r="A92" s="201" t="s">
        <v>1866</v>
      </c>
      <c r="B92" s="60">
        <v>53.26</v>
      </c>
      <c r="C92" s="60">
        <v>143.82</v>
      </c>
      <c r="D92" s="60">
        <v>122.08</v>
      </c>
      <c r="E92" s="60">
        <v>4.4400000000000004</v>
      </c>
      <c r="F92" s="60">
        <v>0.64</v>
      </c>
      <c r="G92" s="60">
        <v>274.86</v>
      </c>
      <c r="H92" s="60">
        <v>73.91</v>
      </c>
      <c r="I92" s="60">
        <v>1.07</v>
      </c>
      <c r="J92" s="60">
        <v>0.2</v>
      </c>
      <c r="K92" s="60">
        <v>228.01</v>
      </c>
      <c r="L92" s="60">
        <v>20.78</v>
      </c>
      <c r="M92" s="60">
        <v>72.430000000000007</v>
      </c>
      <c r="N92" s="60">
        <v>4.5999999999999996</v>
      </c>
      <c r="O92" s="60">
        <v>0</v>
      </c>
      <c r="P92" s="60">
        <v>2.83</v>
      </c>
      <c r="Q92" s="60">
        <v>191.56</v>
      </c>
      <c r="R92" s="198"/>
      <c r="S92" s="198"/>
      <c r="T92" s="198"/>
      <c r="U92" s="198"/>
    </row>
    <row r="93" spans="1:26" s="12" customFormat="1" x14ac:dyDescent="0.25">
      <c r="A93" s="201" t="s">
        <v>1867</v>
      </c>
      <c r="B93" s="60">
        <v>58.95</v>
      </c>
      <c r="C93" s="60">
        <v>151.75</v>
      </c>
      <c r="D93" s="60">
        <v>131.02000000000001</v>
      </c>
      <c r="E93" s="60">
        <v>4.71</v>
      </c>
      <c r="F93" s="60">
        <v>0.84</v>
      </c>
      <c r="G93" s="60">
        <v>452.3</v>
      </c>
      <c r="H93" s="60">
        <v>88.27</v>
      </c>
      <c r="I93" s="60">
        <v>1.17</v>
      </c>
      <c r="J93" s="60">
        <v>0.31</v>
      </c>
      <c r="K93" s="60">
        <v>228.04</v>
      </c>
      <c r="L93" s="60">
        <v>21.8</v>
      </c>
      <c r="M93" s="60">
        <v>64.72</v>
      </c>
      <c r="N93" s="60">
        <v>3.7</v>
      </c>
      <c r="O93" s="60">
        <v>0</v>
      </c>
      <c r="P93" s="60">
        <v>2.97</v>
      </c>
      <c r="Q93" s="60">
        <v>195.96</v>
      </c>
      <c r="R93" s="198"/>
      <c r="S93" s="198"/>
      <c r="T93" s="198"/>
      <c r="U93" s="198"/>
    </row>
    <row r="94" spans="1:26" s="12" customFormat="1" x14ac:dyDescent="0.25">
      <c r="A94" s="201" t="s">
        <v>1868</v>
      </c>
      <c r="B94" s="60">
        <v>60.73</v>
      </c>
      <c r="C94" s="60">
        <v>153.31</v>
      </c>
      <c r="D94" s="60">
        <v>133.31</v>
      </c>
      <c r="E94" s="60">
        <v>4.59</v>
      </c>
      <c r="F94" s="60">
        <v>0.85</v>
      </c>
      <c r="G94" s="60">
        <v>452.3</v>
      </c>
      <c r="H94" s="60">
        <v>88.27</v>
      </c>
      <c r="I94" s="60">
        <v>1.28</v>
      </c>
      <c r="J94" s="60">
        <v>0.22</v>
      </c>
      <c r="K94" s="60">
        <v>228.48</v>
      </c>
      <c r="L94" s="60">
        <v>21.77</v>
      </c>
      <c r="M94" s="60">
        <v>64.53</v>
      </c>
      <c r="N94" s="60">
        <v>4.5</v>
      </c>
      <c r="O94" s="60">
        <v>0</v>
      </c>
      <c r="P94" s="60">
        <v>3.01</v>
      </c>
      <c r="Q94" s="60">
        <v>198.36</v>
      </c>
      <c r="R94" s="198"/>
      <c r="S94" s="198"/>
      <c r="T94" s="198"/>
      <c r="U94" s="198"/>
    </row>
    <row r="95" spans="1:26" s="12" customFormat="1" x14ac:dyDescent="0.25">
      <c r="A95" s="201" t="s">
        <v>1869</v>
      </c>
      <c r="B95" s="60">
        <v>67.66</v>
      </c>
      <c r="C95" s="60">
        <v>160.32</v>
      </c>
      <c r="D95" s="60">
        <v>142.72999999999999</v>
      </c>
      <c r="E95" s="60">
        <v>4.53</v>
      </c>
      <c r="F95" s="60">
        <v>0.67</v>
      </c>
      <c r="G95" s="60">
        <v>452.3</v>
      </c>
      <c r="H95" s="60">
        <v>88.27</v>
      </c>
      <c r="I95" s="60">
        <v>1.46</v>
      </c>
      <c r="J95" s="60">
        <v>0.2</v>
      </c>
      <c r="K95" s="60">
        <v>228.39</v>
      </c>
      <c r="L95" s="60">
        <v>21.15</v>
      </c>
      <c r="M95" s="60">
        <v>70.42</v>
      </c>
      <c r="N95" s="60">
        <v>5.0999999999999996</v>
      </c>
      <c r="O95" s="60">
        <v>0</v>
      </c>
      <c r="P95" s="60">
        <v>3.13</v>
      </c>
      <c r="Q95" s="60">
        <v>205.22</v>
      </c>
      <c r="R95" s="198"/>
      <c r="S95" s="198"/>
      <c r="T95" s="198"/>
      <c r="U95" s="198"/>
    </row>
    <row r="96" spans="1:26" s="12" customFormat="1" x14ac:dyDescent="0.25">
      <c r="A96" s="201" t="s">
        <v>1870</v>
      </c>
      <c r="B96" s="60">
        <v>75.61</v>
      </c>
      <c r="C96" s="60">
        <v>166.71</v>
      </c>
      <c r="D96" s="60">
        <v>152.63999999999999</v>
      </c>
      <c r="E96" s="60">
        <v>4.93</v>
      </c>
      <c r="F96" s="60">
        <v>0.57999999999999996</v>
      </c>
      <c r="G96" s="218" t="s">
        <v>42</v>
      </c>
      <c r="H96" s="60">
        <v>88.28</v>
      </c>
      <c r="I96" s="60">
        <v>1.49</v>
      </c>
      <c r="J96" s="60">
        <v>0.17</v>
      </c>
      <c r="K96" s="60">
        <v>228.19</v>
      </c>
      <c r="L96" s="60">
        <v>20.62</v>
      </c>
      <c r="M96" s="60">
        <v>68.53</v>
      </c>
      <c r="N96" s="60">
        <v>4.9000000000000004</v>
      </c>
      <c r="O96" s="60">
        <v>0</v>
      </c>
      <c r="P96" s="60">
        <v>3.23</v>
      </c>
      <c r="Q96" s="60">
        <v>218.44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1871</v>
      </c>
      <c r="B97" s="60">
        <v>76.97</v>
      </c>
      <c r="C97" s="60">
        <v>168.18</v>
      </c>
      <c r="D97" s="60">
        <v>154.54</v>
      </c>
      <c r="E97" s="60">
        <v>4.55</v>
      </c>
      <c r="F97" s="60">
        <v>0.78</v>
      </c>
      <c r="G97" s="60">
        <v>336.93</v>
      </c>
      <c r="H97" s="60">
        <v>88.35</v>
      </c>
      <c r="I97" s="60">
        <v>1.53</v>
      </c>
      <c r="J97" s="60">
        <v>0.39</v>
      </c>
      <c r="K97" s="60">
        <v>227.98</v>
      </c>
      <c r="L97" s="60">
        <v>21.43</v>
      </c>
      <c r="M97" s="60">
        <v>61.42</v>
      </c>
      <c r="N97" s="60">
        <v>3.4</v>
      </c>
      <c r="O97" s="60">
        <v>0</v>
      </c>
      <c r="P97" s="60">
        <v>3.23</v>
      </c>
      <c r="Q97" s="60">
        <v>224.33</v>
      </c>
      <c r="R97" s="198"/>
      <c r="S97" s="198"/>
      <c r="T97" s="198"/>
      <c r="U97" s="198"/>
    </row>
    <row r="98" spans="1:33" s="12" customFormat="1" x14ac:dyDescent="0.25">
      <c r="A98" s="201" t="s">
        <v>1872</v>
      </c>
      <c r="B98" s="60">
        <v>75.39</v>
      </c>
      <c r="C98" s="60">
        <v>164.68</v>
      </c>
      <c r="D98" s="60">
        <v>151.34</v>
      </c>
      <c r="E98" s="60">
        <v>5.52</v>
      </c>
      <c r="F98" s="60">
        <v>0.56999999999999995</v>
      </c>
      <c r="G98" s="60">
        <v>336.93</v>
      </c>
      <c r="H98" s="60">
        <v>88.35</v>
      </c>
      <c r="I98" s="60">
        <v>1.58</v>
      </c>
      <c r="J98" s="60">
        <v>1.03</v>
      </c>
      <c r="K98" s="60">
        <v>228.37</v>
      </c>
      <c r="L98" s="60">
        <v>23.12</v>
      </c>
      <c r="M98" s="60">
        <v>53.14</v>
      </c>
      <c r="N98" s="60">
        <v>2.1</v>
      </c>
      <c r="O98" s="60">
        <v>0</v>
      </c>
      <c r="P98" s="60">
        <v>3.16</v>
      </c>
      <c r="Q98" s="60">
        <v>227.08</v>
      </c>
      <c r="R98" s="198"/>
      <c r="S98" s="198"/>
      <c r="T98" s="198"/>
      <c r="U98" s="198"/>
    </row>
    <row r="99" spans="1:33" s="12" customFormat="1" x14ac:dyDescent="0.25">
      <c r="A99" s="201" t="s">
        <v>1873</v>
      </c>
      <c r="B99" s="60">
        <v>72.099999999999994</v>
      </c>
      <c r="C99" s="60">
        <v>158.86000000000001</v>
      </c>
      <c r="D99" s="60">
        <v>145.49</v>
      </c>
      <c r="E99" s="60">
        <v>5.0199999999999996</v>
      </c>
      <c r="F99" s="60">
        <v>0.65</v>
      </c>
      <c r="G99" s="60">
        <v>336.93</v>
      </c>
      <c r="H99" s="60">
        <v>88.35</v>
      </c>
      <c r="I99" s="60">
        <v>1.59</v>
      </c>
      <c r="J99" s="60">
        <v>1.23</v>
      </c>
      <c r="K99" s="60">
        <v>228.73</v>
      </c>
      <c r="L99" s="60">
        <v>23.71</v>
      </c>
      <c r="M99" s="60">
        <v>50.24</v>
      </c>
      <c r="N99" s="60">
        <v>3.4</v>
      </c>
      <c r="O99" s="60">
        <v>0</v>
      </c>
      <c r="P99" s="60">
        <v>3.05</v>
      </c>
      <c r="Q99" s="60">
        <v>235.58</v>
      </c>
      <c r="R99" s="198"/>
      <c r="S99" s="198"/>
      <c r="T99" s="198"/>
      <c r="U99" s="198"/>
    </row>
    <row r="100" spans="1:33" s="12" customFormat="1" x14ac:dyDescent="0.25">
      <c r="A100" s="201" t="s">
        <v>1874</v>
      </c>
      <c r="B100" s="60">
        <v>66.78</v>
      </c>
      <c r="C100" s="60">
        <v>152.63999999999999</v>
      </c>
      <c r="D100" s="60">
        <v>137.79</v>
      </c>
      <c r="E100" s="60">
        <v>5.18</v>
      </c>
      <c r="F100" s="60">
        <v>0.77</v>
      </c>
      <c r="G100" s="60">
        <v>313.5</v>
      </c>
      <c r="H100" s="60">
        <v>87.17</v>
      </c>
      <c r="I100" s="60">
        <v>1.56</v>
      </c>
      <c r="J100" s="60">
        <v>0.64</v>
      </c>
      <c r="K100" s="60">
        <v>228.83</v>
      </c>
      <c r="L100" s="60">
        <v>23.4</v>
      </c>
      <c r="M100" s="60">
        <v>51.37</v>
      </c>
      <c r="N100" s="60">
        <v>4.8</v>
      </c>
      <c r="O100" s="60">
        <v>0</v>
      </c>
      <c r="P100" s="60">
        <v>2.94</v>
      </c>
      <c r="Q100" s="60">
        <v>242.91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1875</v>
      </c>
      <c r="B101" s="60">
        <v>62.35</v>
      </c>
      <c r="C101" s="60">
        <v>149.26</v>
      </c>
      <c r="D101" s="60">
        <v>132.37</v>
      </c>
      <c r="E101" s="60">
        <v>5.2</v>
      </c>
      <c r="F101" s="60">
        <v>1.05</v>
      </c>
      <c r="G101" s="60">
        <v>115.96</v>
      </c>
      <c r="H101" s="60">
        <v>75.099999999999994</v>
      </c>
      <c r="I101" s="60">
        <v>1.41</v>
      </c>
      <c r="J101" s="60">
        <v>0.46</v>
      </c>
      <c r="K101" s="60">
        <v>228.91</v>
      </c>
      <c r="L101" s="60">
        <v>22.81</v>
      </c>
      <c r="M101" s="60">
        <v>55.65</v>
      </c>
      <c r="N101" s="60">
        <v>5.5</v>
      </c>
      <c r="O101" s="60">
        <v>0</v>
      </c>
      <c r="P101" s="60">
        <v>2.82</v>
      </c>
      <c r="Q101" s="60">
        <v>238.15</v>
      </c>
      <c r="R101" s="198"/>
      <c r="S101" s="198"/>
      <c r="T101" s="198"/>
      <c r="U101" s="198"/>
    </row>
    <row r="102" spans="1:33" s="12" customFormat="1" x14ac:dyDescent="0.25">
      <c r="A102" s="201" t="s">
        <v>1876</v>
      </c>
      <c r="B102" s="60">
        <v>60.51</v>
      </c>
      <c r="C102" s="60">
        <v>144.69999999999999</v>
      </c>
      <c r="D102" s="60">
        <v>128.38</v>
      </c>
      <c r="E102" s="60">
        <v>4.67</v>
      </c>
      <c r="F102" s="60">
        <v>0.98</v>
      </c>
      <c r="G102" s="60">
        <v>115.96</v>
      </c>
      <c r="H102" s="60">
        <v>75.099999999999994</v>
      </c>
      <c r="I102" s="60">
        <v>1.35</v>
      </c>
      <c r="J102" s="60">
        <v>0.4</v>
      </c>
      <c r="K102" s="60">
        <v>228.67</v>
      </c>
      <c r="L102" s="60">
        <v>21.44</v>
      </c>
      <c r="M102" s="60">
        <v>61.07</v>
      </c>
      <c r="N102" s="60">
        <v>5.3</v>
      </c>
      <c r="O102" s="60">
        <v>0</v>
      </c>
      <c r="P102" s="60">
        <v>2.72</v>
      </c>
      <c r="Q102" s="60">
        <v>234.47</v>
      </c>
      <c r="R102" s="198"/>
      <c r="S102" s="198"/>
      <c r="T102" s="198"/>
      <c r="U102" s="198"/>
    </row>
    <row r="103" spans="1:33" s="12" customFormat="1" x14ac:dyDescent="0.25">
      <c r="A103" s="201" t="s">
        <v>1877</v>
      </c>
      <c r="B103" s="60">
        <v>58.11</v>
      </c>
      <c r="C103" s="60">
        <v>141.72</v>
      </c>
      <c r="D103" s="60">
        <v>124.81</v>
      </c>
      <c r="E103" s="60">
        <v>5.08</v>
      </c>
      <c r="F103" s="60">
        <v>0.89</v>
      </c>
      <c r="G103" s="60">
        <v>115.96</v>
      </c>
      <c r="H103" s="60">
        <v>75.099999999999994</v>
      </c>
      <c r="I103" s="60">
        <v>1.31</v>
      </c>
      <c r="J103" s="60">
        <v>0.87</v>
      </c>
      <c r="K103" s="60">
        <v>228.53</v>
      </c>
      <c r="L103" s="60">
        <v>21.1</v>
      </c>
      <c r="M103" s="60">
        <v>62.82</v>
      </c>
      <c r="N103" s="60">
        <v>4.5999999999999996</v>
      </c>
      <c r="O103" s="60">
        <v>0</v>
      </c>
      <c r="P103" s="60">
        <v>2.61</v>
      </c>
      <c r="Q103" s="60">
        <v>225.89</v>
      </c>
      <c r="R103" s="198"/>
      <c r="S103" s="198"/>
      <c r="T103" s="198"/>
      <c r="U103" s="198"/>
    </row>
    <row r="104" spans="1:33" s="12" customFormat="1" x14ac:dyDescent="0.25">
      <c r="A104" s="201" t="s">
        <v>1878</v>
      </c>
      <c r="B104" s="60">
        <v>53.27</v>
      </c>
      <c r="C104" s="60">
        <v>137.28</v>
      </c>
      <c r="D104" s="60">
        <v>118.48</v>
      </c>
      <c r="E104" s="60">
        <v>2.5</v>
      </c>
      <c r="F104" s="60">
        <v>0.86</v>
      </c>
      <c r="G104" s="60">
        <v>125.27</v>
      </c>
      <c r="H104" s="60">
        <v>74.73</v>
      </c>
      <c r="I104" s="60">
        <v>1.29</v>
      </c>
      <c r="J104" s="60">
        <v>1.1499999999999999</v>
      </c>
      <c r="K104" s="60">
        <v>228.53</v>
      </c>
      <c r="L104" s="60">
        <v>21.31</v>
      </c>
      <c r="M104" s="60">
        <v>61.24</v>
      </c>
      <c r="N104" s="60">
        <v>4.4000000000000004</v>
      </c>
      <c r="O104" s="60">
        <v>0</v>
      </c>
      <c r="P104" s="60">
        <v>2.5</v>
      </c>
      <c r="Q104" s="60">
        <v>208.67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3.5</v>
      </c>
      <c r="C106" s="67">
        <f>MIN(C9:C104)</f>
        <v>83.09</v>
      </c>
      <c r="D106" s="67">
        <f t="shared" ref="D106:Q106" si="0">MIN(D9:D104)</f>
        <v>48.93</v>
      </c>
      <c r="E106" s="67">
        <f t="shared" si="0"/>
        <v>2.0099999999999998</v>
      </c>
      <c r="F106" s="67">
        <f t="shared" si="0"/>
        <v>0.22</v>
      </c>
      <c r="G106" s="67">
        <f t="shared" si="0"/>
        <v>83.4</v>
      </c>
      <c r="H106" s="67">
        <f t="shared" si="0"/>
        <v>53.71</v>
      </c>
      <c r="I106" s="67">
        <f t="shared" si="0"/>
        <v>0.45</v>
      </c>
      <c r="J106" s="67">
        <f t="shared" si="0"/>
        <v>0.09</v>
      </c>
      <c r="K106" s="67">
        <f t="shared" si="0"/>
        <v>226.2</v>
      </c>
      <c r="L106" s="67">
        <f t="shared" si="0"/>
        <v>15.44</v>
      </c>
      <c r="M106" s="67">
        <f t="shared" si="0"/>
        <v>32.619999999999997</v>
      </c>
      <c r="N106" s="67">
        <f t="shared" si="0"/>
        <v>2.1</v>
      </c>
      <c r="O106" s="67">
        <f t="shared" si="0"/>
        <v>0</v>
      </c>
      <c r="P106" s="67">
        <f t="shared" si="0"/>
        <v>0.89</v>
      </c>
      <c r="Q106" s="67">
        <f t="shared" si="0"/>
        <v>137.03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249.05</v>
      </c>
      <c r="C107" s="66">
        <f t="shared" ref="C107:Q107" si="1">MAX(C9:C104)</f>
        <v>298.93</v>
      </c>
      <c r="D107" s="66">
        <f t="shared" si="1"/>
        <v>364.7</v>
      </c>
      <c r="E107" s="66">
        <f t="shared" si="1"/>
        <v>9.2200000000000006</v>
      </c>
      <c r="F107" s="66">
        <f t="shared" si="1"/>
        <v>8.89</v>
      </c>
      <c r="G107" s="66">
        <f t="shared" si="1"/>
        <v>452.3</v>
      </c>
      <c r="H107" s="66">
        <f t="shared" si="1"/>
        <v>99.09</v>
      </c>
      <c r="I107" s="66">
        <f t="shared" si="1"/>
        <v>2.37</v>
      </c>
      <c r="J107" s="66">
        <f t="shared" si="1"/>
        <v>1.58</v>
      </c>
      <c r="K107" s="66">
        <f t="shared" si="1"/>
        <v>233.68</v>
      </c>
      <c r="L107" s="66">
        <f t="shared" si="1"/>
        <v>31.72</v>
      </c>
      <c r="M107" s="66">
        <f t="shared" si="1"/>
        <v>95.04</v>
      </c>
      <c r="N107" s="66">
        <f t="shared" si="1"/>
        <v>587.5</v>
      </c>
      <c r="O107" s="66">
        <f t="shared" si="1"/>
        <v>0</v>
      </c>
      <c r="P107" s="66">
        <f t="shared" si="1"/>
        <v>4.67</v>
      </c>
      <c r="Q107" s="66">
        <f t="shared" si="1"/>
        <v>399.55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64.285416666666677</v>
      </c>
      <c r="C108" s="67">
        <f t="shared" ref="C108:Q108" si="2">AVERAGE(C9:C104)</f>
        <v>143.01927083333334</v>
      </c>
      <c r="D108" s="67">
        <f t="shared" si="2"/>
        <v>130.48156250000002</v>
      </c>
      <c r="E108" s="67">
        <f t="shared" si="2"/>
        <v>5.1196874999999977</v>
      </c>
      <c r="F108" s="67">
        <f t="shared" si="2"/>
        <v>1.8616666666666664</v>
      </c>
      <c r="G108" s="67">
        <f t="shared" si="2"/>
        <v>196.48939759036139</v>
      </c>
      <c r="H108" s="67">
        <f t="shared" si="2"/>
        <v>77.310326086956579</v>
      </c>
      <c r="I108" s="67">
        <f t="shared" si="2"/>
        <v>1.0860416666666661</v>
      </c>
      <c r="J108" s="67">
        <f t="shared" si="2"/>
        <v>0.51875000000000016</v>
      </c>
      <c r="K108" s="67">
        <f t="shared" si="2"/>
        <v>229.43145833333313</v>
      </c>
      <c r="L108" s="67">
        <f t="shared" si="2"/>
        <v>22.898333333333341</v>
      </c>
      <c r="M108" s="67">
        <f t="shared" si="2"/>
        <v>62.345937499999998</v>
      </c>
      <c r="N108" s="67">
        <f t="shared" si="2"/>
        <v>148.72916666666669</v>
      </c>
      <c r="O108" s="67">
        <f t="shared" si="2"/>
        <v>0</v>
      </c>
      <c r="P108" s="67">
        <f t="shared" si="2"/>
        <v>2.0436458333333327</v>
      </c>
      <c r="Q108" s="67">
        <f t="shared" si="2"/>
        <v>197.91947916666675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60.975685316563329</v>
      </c>
      <c r="C109" s="67">
        <f t="shared" ref="C109:Q109" si="3">STDEV(C9:C104)</f>
        <v>47.461875032155952</v>
      </c>
      <c r="D109" s="67">
        <f t="shared" si="3"/>
        <v>74.656680080825879</v>
      </c>
      <c r="E109" s="67">
        <f t="shared" si="3"/>
        <v>1.2483314785196999</v>
      </c>
      <c r="F109" s="67">
        <f t="shared" si="3"/>
        <v>2.0621361773741054</v>
      </c>
      <c r="G109" s="67">
        <f t="shared" si="3"/>
        <v>81.752285257077943</v>
      </c>
      <c r="H109" s="67">
        <f t="shared" si="3"/>
        <v>12.975990123019859</v>
      </c>
      <c r="I109" s="67">
        <f t="shared" si="3"/>
        <v>0.52038948807431384</v>
      </c>
      <c r="J109" s="67">
        <f t="shared" si="3"/>
        <v>0.37573857092958945</v>
      </c>
      <c r="K109" s="67">
        <f t="shared" si="3"/>
        <v>2.450097733460602</v>
      </c>
      <c r="L109" s="67">
        <f t="shared" si="3"/>
        <v>5.0005380061426354</v>
      </c>
      <c r="M109" s="67">
        <f t="shared" si="3"/>
        <v>20.633369221424537</v>
      </c>
      <c r="N109" s="67">
        <f t="shared" si="3"/>
        <v>212.96658839341393</v>
      </c>
      <c r="O109" s="67">
        <f t="shared" si="3"/>
        <v>0</v>
      </c>
      <c r="P109" s="67">
        <f t="shared" si="3"/>
        <v>0.94039087034864943</v>
      </c>
      <c r="Q109" s="67">
        <f t="shared" si="3"/>
        <v>61.554684756851216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>COUNT(E9:E104)</f>
        <v>96</v>
      </c>
      <c r="F110" s="66">
        <f>COUNT(F9:F104)</f>
        <v>96</v>
      </c>
      <c r="G110" s="66">
        <f>COUNT(G9:G104)+3</f>
        <v>86</v>
      </c>
      <c r="H110" s="66">
        <f t="shared" ref="H110:Q110" si="4">COUNT(H9:H104)</f>
        <v>92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1879</v>
      </c>
      <c r="B9" s="60">
        <v>49.17</v>
      </c>
      <c r="C9" s="60">
        <v>133.55000000000001</v>
      </c>
      <c r="D9" s="60">
        <v>113.13</v>
      </c>
      <c r="E9" s="60">
        <v>4.2</v>
      </c>
      <c r="F9" s="60">
        <v>0.76</v>
      </c>
      <c r="G9" s="60">
        <v>203.77</v>
      </c>
      <c r="H9" s="60">
        <v>70.94</v>
      </c>
      <c r="I9" s="60">
        <v>1.23</v>
      </c>
      <c r="J9" s="60">
        <v>0.46</v>
      </c>
      <c r="K9" s="60">
        <v>228.28</v>
      </c>
      <c r="L9" s="60">
        <v>21.13</v>
      </c>
      <c r="M9" s="60">
        <v>62.12</v>
      </c>
      <c r="N9" s="60">
        <v>5</v>
      </c>
      <c r="O9" s="60">
        <v>0</v>
      </c>
      <c r="P9" s="60">
        <v>2.46</v>
      </c>
      <c r="Q9" s="60">
        <v>193.19</v>
      </c>
      <c r="R9" s="198"/>
      <c r="S9" s="198"/>
      <c r="T9" s="198"/>
      <c r="U9" s="198"/>
    </row>
    <row r="10" spans="1:21" s="12" customFormat="1" x14ac:dyDescent="0.25">
      <c r="A10" s="201" t="s">
        <v>1880</v>
      </c>
      <c r="B10" s="60">
        <v>46.21</v>
      </c>
      <c r="C10" s="60">
        <v>130.56</v>
      </c>
      <c r="D10" s="60">
        <v>109.11</v>
      </c>
      <c r="E10" s="60">
        <v>3.46</v>
      </c>
      <c r="F10" s="60">
        <v>0.81</v>
      </c>
      <c r="G10" s="60">
        <v>203.77</v>
      </c>
      <c r="H10" s="60">
        <v>70.94</v>
      </c>
      <c r="I10" s="60">
        <v>1.1299999999999999</v>
      </c>
      <c r="J10" s="60">
        <v>0.46</v>
      </c>
      <c r="K10" s="60">
        <v>228.05</v>
      </c>
      <c r="L10" s="60">
        <v>20.81</v>
      </c>
      <c r="M10" s="60">
        <v>63.1</v>
      </c>
      <c r="N10" s="60">
        <v>4.9000000000000004</v>
      </c>
      <c r="O10" s="60">
        <v>0</v>
      </c>
      <c r="P10" s="60">
        <v>2.42</v>
      </c>
      <c r="Q10" s="60">
        <v>186.99</v>
      </c>
      <c r="R10" s="198"/>
      <c r="S10" s="198"/>
      <c r="T10" s="198"/>
      <c r="U10" s="198"/>
    </row>
    <row r="11" spans="1:21" s="12" customFormat="1" x14ac:dyDescent="0.25">
      <c r="A11" s="201" t="s">
        <v>1881</v>
      </c>
      <c r="B11" s="60">
        <v>42.88</v>
      </c>
      <c r="C11" s="60">
        <v>125.69</v>
      </c>
      <c r="D11" s="60">
        <v>103.75</v>
      </c>
      <c r="E11" s="60">
        <v>3.61</v>
      </c>
      <c r="F11" s="60">
        <v>0.87</v>
      </c>
      <c r="G11" s="60">
        <v>203.77</v>
      </c>
      <c r="H11" s="60">
        <v>70.94</v>
      </c>
      <c r="I11" s="60">
        <v>1.0900000000000001</v>
      </c>
      <c r="J11" s="60">
        <v>0.68</v>
      </c>
      <c r="K11" s="60">
        <v>228.23</v>
      </c>
      <c r="L11" s="60">
        <v>20.79</v>
      </c>
      <c r="M11" s="60">
        <v>62.96</v>
      </c>
      <c r="N11" s="60">
        <v>4.4000000000000004</v>
      </c>
      <c r="O11" s="60">
        <v>0</v>
      </c>
      <c r="P11" s="60">
        <v>2.34</v>
      </c>
      <c r="Q11" s="60">
        <v>179.16</v>
      </c>
      <c r="R11" s="198"/>
      <c r="S11" s="198"/>
      <c r="T11" s="198"/>
      <c r="U11" s="198"/>
    </row>
    <row r="12" spans="1:21" s="12" customFormat="1" x14ac:dyDescent="0.25">
      <c r="A12" s="201" t="s">
        <v>1882</v>
      </c>
      <c r="B12" s="60">
        <v>39.31</v>
      </c>
      <c r="C12" s="60">
        <v>120.82</v>
      </c>
      <c r="D12" s="60">
        <v>98.2</v>
      </c>
      <c r="E12" s="60">
        <v>3.69</v>
      </c>
      <c r="F12" s="60">
        <v>0.83</v>
      </c>
      <c r="G12" s="60">
        <v>202.83</v>
      </c>
      <c r="H12" s="60">
        <v>70.2</v>
      </c>
      <c r="I12" s="60">
        <v>1.04</v>
      </c>
      <c r="J12" s="60">
        <v>0.39</v>
      </c>
      <c r="K12" s="60">
        <v>228.1</v>
      </c>
      <c r="L12" s="60">
        <v>20.64</v>
      </c>
      <c r="M12" s="60">
        <v>64</v>
      </c>
      <c r="N12" s="60">
        <v>4.9000000000000004</v>
      </c>
      <c r="O12" s="60">
        <v>0</v>
      </c>
      <c r="P12" s="60">
        <v>2.25</v>
      </c>
      <c r="Q12" s="60">
        <v>170.73</v>
      </c>
      <c r="R12" s="198"/>
      <c r="S12" s="198"/>
      <c r="T12" s="198"/>
      <c r="U12" s="198"/>
    </row>
    <row r="13" spans="1:21" s="12" customFormat="1" x14ac:dyDescent="0.25">
      <c r="A13" s="201" t="s">
        <v>1883</v>
      </c>
      <c r="B13" s="60">
        <v>36.36</v>
      </c>
      <c r="C13" s="60">
        <v>116.7</v>
      </c>
      <c r="D13" s="60">
        <v>93.57</v>
      </c>
      <c r="E13" s="60">
        <v>3.78</v>
      </c>
      <c r="F13" s="60">
        <v>0.81</v>
      </c>
      <c r="G13" s="60">
        <v>194.97</v>
      </c>
      <c r="H13" s="60">
        <v>62.55</v>
      </c>
      <c r="I13" s="60">
        <v>0.99</v>
      </c>
      <c r="J13" s="60">
        <v>0.28999999999999998</v>
      </c>
      <c r="K13" s="60">
        <v>228.01</v>
      </c>
      <c r="L13" s="60">
        <v>20.3</v>
      </c>
      <c r="M13" s="60">
        <v>66.36</v>
      </c>
      <c r="N13" s="60">
        <v>5</v>
      </c>
      <c r="O13" s="60">
        <v>0</v>
      </c>
      <c r="P13" s="60">
        <v>2.12</v>
      </c>
      <c r="Q13" s="60">
        <v>162.41999999999999</v>
      </c>
      <c r="R13" s="198"/>
      <c r="S13" s="198"/>
      <c r="T13" s="198"/>
      <c r="U13" s="198"/>
    </row>
    <row r="14" spans="1:21" s="12" customFormat="1" x14ac:dyDescent="0.25">
      <c r="A14" s="201" t="s">
        <v>1884</v>
      </c>
      <c r="B14" s="60">
        <v>31.87</v>
      </c>
      <c r="C14" s="60">
        <v>108.96</v>
      </c>
      <c r="D14" s="60">
        <v>85.69</v>
      </c>
      <c r="E14" s="60">
        <v>4.0599999999999996</v>
      </c>
      <c r="F14" s="60">
        <v>0.99</v>
      </c>
      <c r="G14" s="60">
        <v>194.97</v>
      </c>
      <c r="H14" s="60">
        <v>62.55</v>
      </c>
      <c r="I14" s="60">
        <v>0.93</v>
      </c>
      <c r="J14" s="60">
        <v>0.7</v>
      </c>
      <c r="K14" s="60">
        <v>228.04</v>
      </c>
      <c r="L14" s="60">
        <v>20.2</v>
      </c>
      <c r="M14" s="60">
        <v>67.37</v>
      </c>
      <c r="N14" s="60">
        <v>4.3</v>
      </c>
      <c r="O14" s="60">
        <v>0</v>
      </c>
      <c r="P14" s="60">
        <v>2.1</v>
      </c>
      <c r="Q14" s="60">
        <v>161.34</v>
      </c>
      <c r="R14" s="198"/>
      <c r="S14" s="198"/>
      <c r="T14" s="198"/>
      <c r="U14" s="198"/>
    </row>
    <row r="15" spans="1:21" s="12" customFormat="1" x14ac:dyDescent="0.25">
      <c r="A15" s="201" t="s">
        <v>1885</v>
      </c>
      <c r="B15" s="60">
        <v>29.41</v>
      </c>
      <c r="C15" s="60">
        <v>106.04</v>
      </c>
      <c r="D15" s="60">
        <v>82.11</v>
      </c>
      <c r="E15" s="60">
        <v>3.97</v>
      </c>
      <c r="F15" s="60">
        <v>0.87</v>
      </c>
      <c r="G15" s="60">
        <v>194.97</v>
      </c>
      <c r="H15" s="60">
        <v>62.55</v>
      </c>
      <c r="I15" s="60">
        <v>0.92</v>
      </c>
      <c r="J15" s="60">
        <v>1.1200000000000001</v>
      </c>
      <c r="K15" s="60">
        <v>228.19</v>
      </c>
      <c r="L15" s="60">
        <v>20.420000000000002</v>
      </c>
      <c r="M15" s="60">
        <v>67.260000000000005</v>
      </c>
      <c r="N15" s="60">
        <v>4.2</v>
      </c>
      <c r="O15" s="60">
        <v>0</v>
      </c>
      <c r="P15" s="60">
        <v>2</v>
      </c>
      <c r="Q15" s="60">
        <v>161.32</v>
      </c>
      <c r="R15" s="198"/>
      <c r="S15" s="198"/>
      <c r="T15" s="198"/>
      <c r="U15" s="198"/>
    </row>
    <row r="16" spans="1:21" s="12" customFormat="1" x14ac:dyDescent="0.25">
      <c r="A16" s="201" t="s">
        <v>1886</v>
      </c>
      <c r="B16" s="60">
        <v>25.65</v>
      </c>
      <c r="C16" s="60">
        <v>104.86</v>
      </c>
      <c r="D16" s="60">
        <v>78.430000000000007</v>
      </c>
      <c r="E16" s="60">
        <v>3.77</v>
      </c>
      <c r="F16" s="60">
        <v>0.97</v>
      </c>
      <c r="G16" s="60">
        <v>192.36</v>
      </c>
      <c r="H16" s="60">
        <v>62.51</v>
      </c>
      <c r="I16" s="60">
        <v>0.88</v>
      </c>
      <c r="J16" s="60">
        <v>0.79</v>
      </c>
      <c r="K16" s="60">
        <v>228.21</v>
      </c>
      <c r="L16" s="60">
        <v>20.27</v>
      </c>
      <c r="M16" s="60">
        <v>68.94</v>
      </c>
      <c r="N16" s="60">
        <v>4.9000000000000004</v>
      </c>
      <c r="O16" s="60">
        <v>0</v>
      </c>
      <c r="P16" s="60">
        <v>1.89</v>
      </c>
      <c r="Q16" s="60">
        <v>158.05000000000001</v>
      </c>
      <c r="R16" s="198"/>
      <c r="S16" s="198"/>
      <c r="T16" s="198"/>
      <c r="U16" s="198"/>
    </row>
    <row r="17" spans="1:21" s="12" customFormat="1" x14ac:dyDescent="0.25">
      <c r="A17" s="201" t="s">
        <v>1887</v>
      </c>
      <c r="B17" s="60">
        <v>22.74</v>
      </c>
      <c r="C17" s="60">
        <v>104.37</v>
      </c>
      <c r="D17" s="60">
        <v>75.84</v>
      </c>
      <c r="E17" s="60">
        <v>4.46</v>
      </c>
      <c r="F17" s="60">
        <v>0.91</v>
      </c>
      <c r="G17" s="60">
        <v>170.38</v>
      </c>
      <c r="H17" s="60">
        <v>62.02</v>
      </c>
      <c r="I17" s="60">
        <v>0.85</v>
      </c>
      <c r="J17" s="60">
        <v>1.2</v>
      </c>
      <c r="K17" s="60">
        <v>228.16</v>
      </c>
      <c r="L17" s="60">
        <v>20.07</v>
      </c>
      <c r="M17" s="60">
        <v>70.31</v>
      </c>
      <c r="N17" s="60">
        <v>4.5999999999999996</v>
      </c>
      <c r="O17" s="60">
        <v>0</v>
      </c>
      <c r="P17" s="60">
        <v>1.86</v>
      </c>
      <c r="Q17" s="60">
        <v>152.91999999999999</v>
      </c>
      <c r="R17" s="198"/>
      <c r="S17" s="198"/>
      <c r="T17" s="198"/>
      <c r="U17" s="198"/>
    </row>
    <row r="18" spans="1:21" s="12" customFormat="1" x14ac:dyDescent="0.25">
      <c r="A18" s="201" t="s">
        <v>1888</v>
      </c>
      <c r="B18" s="60">
        <v>19.940000000000001</v>
      </c>
      <c r="C18" s="60">
        <v>103.24</v>
      </c>
      <c r="D18" s="60">
        <v>72.959999999999994</v>
      </c>
      <c r="E18" s="60">
        <v>4.29</v>
      </c>
      <c r="F18" s="60">
        <v>1.07</v>
      </c>
      <c r="G18" s="60">
        <v>170.38</v>
      </c>
      <c r="H18" s="60">
        <v>62.02</v>
      </c>
      <c r="I18" s="60">
        <v>0.81</v>
      </c>
      <c r="J18" s="60">
        <v>1.34</v>
      </c>
      <c r="K18" s="60">
        <v>228.18</v>
      </c>
      <c r="L18" s="60">
        <v>20.149999999999999</v>
      </c>
      <c r="M18" s="60">
        <v>69.81</v>
      </c>
      <c r="N18" s="60">
        <v>4.5</v>
      </c>
      <c r="O18" s="60">
        <v>0</v>
      </c>
      <c r="P18" s="60">
        <v>1.85</v>
      </c>
      <c r="Q18" s="60">
        <v>150.41</v>
      </c>
      <c r="R18" s="198"/>
      <c r="S18" s="198"/>
      <c r="T18" s="198"/>
      <c r="U18" s="198"/>
    </row>
    <row r="19" spans="1:21" s="12" customFormat="1" x14ac:dyDescent="0.25">
      <c r="A19" s="201" t="s">
        <v>1889</v>
      </c>
      <c r="B19" s="60">
        <v>17.100000000000001</v>
      </c>
      <c r="C19" s="60">
        <v>102.76</v>
      </c>
      <c r="D19" s="60">
        <v>70.42</v>
      </c>
      <c r="E19" s="60">
        <v>4.55</v>
      </c>
      <c r="F19" s="60">
        <v>0.96</v>
      </c>
      <c r="G19" s="60">
        <v>170.38</v>
      </c>
      <c r="H19" s="60">
        <v>62.02</v>
      </c>
      <c r="I19" s="60">
        <v>0.79</v>
      </c>
      <c r="J19" s="60">
        <v>1.32</v>
      </c>
      <c r="K19" s="60">
        <v>228.17</v>
      </c>
      <c r="L19" s="60">
        <v>20.09</v>
      </c>
      <c r="M19" s="60">
        <v>69.88</v>
      </c>
      <c r="N19" s="60">
        <v>4.5999999999999996</v>
      </c>
      <c r="O19" s="60">
        <v>0</v>
      </c>
      <c r="P19" s="60">
        <v>1.81</v>
      </c>
      <c r="Q19" s="60">
        <v>147.26</v>
      </c>
      <c r="R19" s="198"/>
      <c r="S19" s="198"/>
      <c r="T19" s="198"/>
      <c r="U19" s="198"/>
    </row>
    <row r="20" spans="1:21" s="12" customFormat="1" x14ac:dyDescent="0.25">
      <c r="A20" s="201" t="s">
        <v>1890</v>
      </c>
      <c r="B20" s="60">
        <v>14.49</v>
      </c>
      <c r="C20" s="60">
        <v>102.33</v>
      </c>
      <c r="D20" s="60">
        <v>68.09</v>
      </c>
      <c r="E20" s="60">
        <v>4.8</v>
      </c>
      <c r="F20" s="60">
        <v>1.1000000000000001</v>
      </c>
      <c r="G20" s="60">
        <v>167.96</v>
      </c>
      <c r="H20" s="60">
        <v>62.55</v>
      </c>
      <c r="I20" s="60">
        <v>0.75</v>
      </c>
      <c r="J20" s="60">
        <v>1.28</v>
      </c>
      <c r="K20" s="60">
        <v>228.16</v>
      </c>
      <c r="L20" s="60">
        <v>20.04</v>
      </c>
      <c r="M20" s="60">
        <v>69.69</v>
      </c>
      <c r="N20" s="60">
        <v>4.7</v>
      </c>
      <c r="O20" s="60">
        <v>0</v>
      </c>
      <c r="P20" s="60">
        <v>1.77</v>
      </c>
      <c r="Q20" s="60">
        <v>142.93</v>
      </c>
      <c r="R20" s="198"/>
      <c r="S20" s="198"/>
      <c r="T20" s="198"/>
      <c r="U20" s="198"/>
    </row>
    <row r="21" spans="1:21" s="12" customFormat="1" x14ac:dyDescent="0.25">
      <c r="A21" s="201" t="s">
        <v>1891</v>
      </c>
      <c r="B21" s="60">
        <v>12.36</v>
      </c>
      <c r="C21" s="60">
        <v>101.54</v>
      </c>
      <c r="D21" s="60">
        <v>65.95</v>
      </c>
      <c r="E21" s="60">
        <v>4.21</v>
      </c>
      <c r="F21" s="60">
        <v>1.04</v>
      </c>
      <c r="G21" s="60">
        <v>147.51</v>
      </c>
      <c r="H21" s="60">
        <v>67.91</v>
      </c>
      <c r="I21" s="60">
        <v>0.71</v>
      </c>
      <c r="J21" s="60">
        <v>1.26</v>
      </c>
      <c r="K21" s="60">
        <v>228.08</v>
      </c>
      <c r="L21" s="60">
        <v>19.91</v>
      </c>
      <c r="M21" s="60">
        <v>69.92</v>
      </c>
      <c r="N21" s="60">
        <v>4.5999999999999996</v>
      </c>
      <c r="O21" s="60">
        <v>0</v>
      </c>
      <c r="P21" s="60">
        <v>1.74</v>
      </c>
      <c r="Q21" s="60">
        <v>136.33000000000001</v>
      </c>
      <c r="R21" s="198"/>
      <c r="S21" s="198"/>
      <c r="T21" s="198"/>
      <c r="U21" s="198"/>
    </row>
    <row r="22" spans="1:21" s="12" customFormat="1" x14ac:dyDescent="0.25">
      <c r="A22" s="201" t="s">
        <v>1892</v>
      </c>
      <c r="B22" s="60">
        <v>10.66</v>
      </c>
      <c r="C22" s="60">
        <v>98.62</v>
      </c>
      <c r="D22" s="60">
        <v>62.97</v>
      </c>
      <c r="E22" s="60">
        <v>4.28</v>
      </c>
      <c r="F22" s="60">
        <v>1.01</v>
      </c>
      <c r="G22" s="60">
        <v>147.51</v>
      </c>
      <c r="H22" s="60">
        <v>67.91</v>
      </c>
      <c r="I22" s="60">
        <v>0.68</v>
      </c>
      <c r="J22" s="60">
        <v>1.64</v>
      </c>
      <c r="K22" s="60">
        <v>228.1</v>
      </c>
      <c r="L22" s="60">
        <v>20.010000000000002</v>
      </c>
      <c r="M22" s="60">
        <v>68.88</v>
      </c>
      <c r="N22" s="60">
        <v>4.4000000000000004</v>
      </c>
      <c r="O22" s="60">
        <v>0</v>
      </c>
      <c r="P22" s="60">
        <v>1.71</v>
      </c>
      <c r="Q22" s="60">
        <v>128.13</v>
      </c>
      <c r="R22" s="198"/>
      <c r="S22" s="198"/>
      <c r="T22" s="198"/>
      <c r="U22" s="198"/>
    </row>
    <row r="23" spans="1:21" s="12" customFormat="1" x14ac:dyDescent="0.25">
      <c r="A23" s="201" t="s">
        <v>1893</v>
      </c>
      <c r="B23" s="60">
        <v>8.93</v>
      </c>
      <c r="C23" s="60">
        <v>97.27</v>
      </c>
      <c r="D23" s="60">
        <v>60.84</v>
      </c>
      <c r="E23" s="60">
        <v>4.09</v>
      </c>
      <c r="F23" s="60">
        <v>1.1200000000000001</v>
      </c>
      <c r="G23" s="60">
        <v>147.51</v>
      </c>
      <c r="H23" s="60">
        <v>67.91</v>
      </c>
      <c r="I23" s="60">
        <v>0.65</v>
      </c>
      <c r="J23" s="60">
        <v>1.43</v>
      </c>
      <c r="K23" s="60">
        <v>228.12</v>
      </c>
      <c r="L23" s="60">
        <v>19.97</v>
      </c>
      <c r="M23" s="60">
        <v>69.23</v>
      </c>
      <c r="N23" s="60">
        <v>4.8</v>
      </c>
      <c r="O23" s="60">
        <v>0</v>
      </c>
      <c r="P23" s="60">
        <v>1.65</v>
      </c>
      <c r="Q23" s="60">
        <v>120.4</v>
      </c>
      <c r="R23" s="198"/>
      <c r="S23" s="198"/>
      <c r="T23" s="198"/>
      <c r="U23" s="198"/>
    </row>
    <row r="24" spans="1:21" s="12" customFormat="1" x14ac:dyDescent="0.25">
      <c r="A24" s="201" t="s">
        <v>1894</v>
      </c>
      <c r="B24" s="60">
        <v>8.01</v>
      </c>
      <c r="C24" s="60">
        <v>96.25</v>
      </c>
      <c r="D24" s="60">
        <v>59.54</v>
      </c>
      <c r="E24" s="60">
        <v>2.85</v>
      </c>
      <c r="F24" s="60">
        <v>1.33</v>
      </c>
      <c r="G24" s="60">
        <v>151.86000000000001</v>
      </c>
      <c r="H24" s="60">
        <v>68.099999999999994</v>
      </c>
      <c r="I24" s="60">
        <v>0.62</v>
      </c>
      <c r="J24" s="60">
        <v>1.41</v>
      </c>
      <c r="K24" s="60">
        <v>228.08</v>
      </c>
      <c r="L24" s="60">
        <v>19.95</v>
      </c>
      <c r="M24" s="60">
        <v>68.739999999999995</v>
      </c>
      <c r="N24" s="60">
        <v>4.5999999999999996</v>
      </c>
      <c r="O24" s="60">
        <v>0</v>
      </c>
      <c r="P24" s="60">
        <v>1.6</v>
      </c>
      <c r="Q24" s="60">
        <v>115.31</v>
      </c>
      <c r="R24" s="198"/>
      <c r="S24" s="198"/>
      <c r="T24" s="198"/>
      <c r="U24" s="198"/>
    </row>
    <row r="25" spans="1:21" s="12" customFormat="1" x14ac:dyDescent="0.25">
      <c r="A25" s="201" t="s">
        <v>1895</v>
      </c>
      <c r="B25" s="60">
        <v>7.32</v>
      </c>
      <c r="C25" s="60">
        <v>95.64</v>
      </c>
      <c r="D25" s="60">
        <v>58.66</v>
      </c>
      <c r="E25" s="60">
        <v>5.16</v>
      </c>
      <c r="F25" s="60">
        <v>1.44</v>
      </c>
      <c r="G25" s="60">
        <v>188.52</v>
      </c>
      <c r="H25" s="60">
        <v>70.11</v>
      </c>
      <c r="I25" s="60">
        <v>0.59</v>
      </c>
      <c r="J25" s="60">
        <v>1.36</v>
      </c>
      <c r="K25" s="60">
        <v>228.12</v>
      </c>
      <c r="L25" s="60">
        <v>20.010000000000002</v>
      </c>
      <c r="M25" s="60">
        <v>68.09</v>
      </c>
      <c r="N25" s="60">
        <v>4.7</v>
      </c>
      <c r="O25" s="60">
        <v>0</v>
      </c>
      <c r="P25" s="60">
        <v>1.58</v>
      </c>
      <c r="Q25" s="60">
        <v>110.7</v>
      </c>
      <c r="R25" s="198"/>
      <c r="S25" s="198"/>
      <c r="T25" s="198"/>
      <c r="U25" s="198"/>
    </row>
    <row r="26" spans="1:21" s="12" customFormat="1" x14ac:dyDescent="0.25">
      <c r="A26" s="201" t="s">
        <v>1896</v>
      </c>
      <c r="B26" s="60">
        <v>6.7</v>
      </c>
      <c r="C26" s="60">
        <v>94.99</v>
      </c>
      <c r="D26" s="60">
        <v>57.8</v>
      </c>
      <c r="E26" s="60">
        <v>5.17</v>
      </c>
      <c r="F26" s="60">
        <v>1.1200000000000001</v>
      </c>
      <c r="G26" s="60">
        <v>188.52</v>
      </c>
      <c r="H26" s="60">
        <v>70.11</v>
      </c>
      <c r="I26" s="60">
        <v>0.55000000000000004</v>
      </c>
      <c r="J26" s="60">
        <v>1.26</v>
      </c>
      <c r="K26" s="60">
        <v>228.11</v>
      </c>
      <c r="L26" s="60">
        <v>19.829999999999998</v>
      </c>
      <c r="M26" s="60">
        <v>69</v>
      </c>
      <c r="N26" s="60">
        <v>4.9000000000000004</v>
      </c>
      <c r="O26" s="60">
        <v>0</v>
      </c>
      <c r="P26" s="60">
        <v>1.55</v>
      </c>
      <c r="Q26" s="60">
        <v>108.65</v>
      </c>
      <c r="R26" s="198"/>
      <c r="S26" s="198"/>
      <c r="T26" s="198"/>
      <c r="U26" s="198"/>
    </row>
    <row r="27" spans="1:21" s="12" customFormat="1" x14ac:dyDescent="0.25">
      <c r="A27" s="201" t="s">
        <v>1897</v>
      </c>
      <c r="B27" s="60">
        <v>6.23</v>
      </c>
      <c r="C27" s="60">
        <v>93.82</v>
      </c>
      <c r="D27" s="60">
        <v>56.77</v>
      </c>
      <c r="E27" s="60">
        <v>4.96</v>
      </c>
      <c r="F27" s="60">
        <v>1.08</v>
      </c>
      <c r="G27" s="60">
        <v>188.52</v>
      </c>
      <c r="H27" s="60">
        <v>70.11</v>
      </c>
      <c r="I27" s="60">
        <v>0.53</v>
      </c>
      <c r="J27" s="60">
        <v>1.1100000000000001</v>
      </c>
      <c r="K27" s="60">
        <v>227.96</v>
      </c>
      <c r="L27" s="60">
        <v>19.649999999999999</v>
      </c>
      <c r="M27" s="60">
        <v>70.290000000000006</v>
      </c>
      <c r="N27" s="60">
        <v>4.8</v>
      </c>
      <c r="O27" s="60">
        <v>0</v>
      </c>
      <c r="P27" s="60">
        <v>1.54</v>
      </c>
      <c r="Q27" s="60">
        <v>107.11</v>
      </c>
      <c r="R27" s="198"/>
      <c r="S27" s="198"/>
      <c r="T27" s="198"/>
      <c r="U27" s="198"/>
    </row>
    <row r="28" spans="1:21" s="12" customFormat="1" x14ac:dyDescent="0.25">
      <c r="A28" s="201" t="s">
        <v>1898</v>
      </c>
      <c r="B28" s="60">
        <v>6.41</v>
      </c>
      <c r="C28" s="60">
        <v>94.99</v>
      </c>
      <c r="D28" s="60">
        <v>57.56</v>
      </c>
      <c r="E28" s="60">
        <v>5.26</v>
      </c>
      <c r="F28" s="60">
        <v>0.89</v>
      </c>
      <c r="G28" s="60">
        <v>191.86</v>
      </c>
      <c r="H28" s="60">
        <v>70.88</v>
      </c>
      <c r="I28" s="60">
        <v>0.5</v>
      </c>
      <c r="J28" s="60">
        <v>1.31</v>
      </c>
      <c r="K28" s="60">
        <v>227.96</v>
      </c>
      <c r="L28" s="60">
        <v>19.47</v>
      </c>
      <c r="M28" s="60">
        <v>70.84</v>
      </c>
      <c r="N28" s="60">
        <v>4.8</v>
      </c>
      <c r="O28" s="60">
        <v>0</v>
      </c>
      <c r="P28" s="60">
        <v>1.54</v>
      </c>
      <c r="Q28" s="60">
        <v>110.36</v>
      </c>
      <c r="R28" s="198"/>
      <c r="S28" s="198"/>
      <c r="T28" s="198"/>
      <c r="U28" s="198"/>
    </row>
    <row r="29" spans="1:21" s="12" customFormat="1" x14ac:dyDescent="0.25">
      <c r="A29" s="201" t="s">
        <v>1899</v>
      </c>
      <c r="B29" s="60">
        <v>6.56</v>
      </c>
      <c r="C29" s="60">
        <v>95.87</v>
      </c>
      <c r="D29" s="60">
        <v>58.17</v>
      </c>
      <c r="E29" s="60">
        <v>5.34</v>
      </c>
      <c r="F29" s="60">
        <v>0.84</v>
      </c>
      <c r="G29" s="60">
        <v>220.03</v>
      </c>
      <c r="H29" s="60">
        <v>78.75</v>
      </c>
      <c r="I29" s="60">
        <v>0.49</v>
      </c>
      <c r="J29" s="60">
        <v>1.41</v>
      </c>
      <c r="K29" s="60">
        <v>227.93</v>
      </c>
      <c r="L29" s="60">
        <v>19.32</v>
      </c>
      <c r="M29" s="60">
        <v>71.62</v>
      </c>
      <c r="N29" s="60">
        <v>4.7</v>
      </c>
      <c r="O29" s="60">
        <v>0</v>
      </c>
      <c r="P29" s="60">
        <v>1.53</v>
      </c>
      <c r="Q29" s="60">
        <v>112.47</v>
      </c>
      <c r="R29" s="198"/>
      <c r="S29" s="198"/>
      <c r="T29" s="198"/>
      <c r="U29" s="198"/>
    </row>
    <row r="30" spans="1:21" s="12" customFormat="1" x14ac:dyDescent="0.25">
      <c r="A30" s="201" t="s">
        <v>1900</v>
      </c>
      <c r="B30" s="60">
        <v>6.94</v>
      </c>
      <c r="C30" s="60">
        <v>96.94</v>
      </c>
      <c r="D30" s="60">
        <v>59.06</v>
      </c>
      <c r="E30" s="60">
        <v>5.66</v>
      </c>
      <c r="F30" s="60">
        <v>0.92</v>
      </c>
      <c r="G30" s="60">
        <v>220.03</v>
      </c>
      <c r="H30" s="60">
        <v>78.75</v>
      </c>
      <c r="I30" s="60">
        <v>0.49</v>
      </c>
      <c r="J30" s="60">
        <v>1.2</v>
      </c>
      <c r="K30" s="60">
        <v>227.89</v>
      </c>
      <c r="L30" s="60">
        <v>19.260000000000002</v>
      </c>
      <c r="M30" s="60">
        <v>71.650000000000006</v>
      </c>
      <c r="N30" s="60">
        <v>4.7</v>
      </c>
      <c r="O30" s="60">
        <v>0</v>
      </c>
      <c r="P30" s="60">
        <v>1.54</v>
      </c>
      <c r="Q30" s="60">
        <v>115.8</v>
      </c>
      <c r="R30" s="198"/>
      <c r="S30" s="198"/>
      <c r="T30" s="198"/>
      <c r="U30" s="198"/>
    </row>
    <row r="31" spans="1:21" s="12" customFormat="1" x14ac:dyDescent="0.25">
      <c r="A31" s="201" t="s">
        <v>1901</v>
      </c>
      <c r="B31" s="60">
        <v>7.49</v>
      </c>
      <c r="C31" s="60">
        <v>98.58</v>
      </c>
      <c r="D31" s="60">
        <v>60.41</v>
      </c>
      <c r="E31" s="60">
        <v>5.51</v>
      </c>
      <c r="F31" s="60">
        <v>0.82</v>
      </c>
      <c r="G31" s="60">
        <v>220.03</v>
      </c>
      <c r="H31" s="60">
        <v>78.75</v>
      </c>
      <c r="I31" s="60">
        <v>0.49</v>
      </c>
      <c r="J31" s="60">
        <v>1.1599999999999999</v>
      </c>
      <c r="K31" s="60">
        <v>227.85</v>
      </c>
      <c r="L31" s="60">
        <v>19.28</v>
      </c>
      <c r="M31" s="60">
        <v>71.180000000000007</v>
      </c>
      <c r="N31" s="60">
        <v>4.5999999999999996</v>
      </c>
      <c r="O31" s="60">
        <v>0</v>
      </c>
      <c r="P31" s="60">
        <v>1.54</v>
      </c>
      <c r="Q31" s="60">
        <v>117.78</v>
      </c>
      <c r="R31" s="198"/>
      <c r="S31" s="198"/>
      <c r="T31" s="198"/>
      <c r="U31" s="198"/>
    </row>
    <row r="32" spans="1:21" s="12" customFormat="1" x14ac:dyDescent="0.25">
      <c r="A32" s="201" t="s">
        <v>1902</v>
      </c>
      <c r="B32" s="60">
        <v>7.94</v>
      </c>
      <c r="C32" s="60">
        <v>99.2</v>
      </c>
      <c r="D32" s="60">
        <v>61.12</v>
      </c>
      <c r="E32" s="60">
        <v>5.52</v>
      </c>
      <c r="F32" s="60">
        <v>0.8</v>
      </c>
      <c r="G32" s="60">
        <v>218.39</v>
      </c>
      <c r="H32" s="60">
        <v>78.349999999999994</v>
      </c>
      <c r="I32" s="60">
        <v>0.52</v>
      </c>
      <c r="J32" s="60">
        <v>1.07</v>
      </c>
      <c r="K32" s="60">
        <v>227.83</v>
      </c>
      <c r="L32" s="60">
        <v>19.22</v>
      </c>
      <c r="M32" s="60">
        <v>71.59</v>
      </c>
      <c r="N32" s="60">
        <v>5</v>
      </c>
      <c r="O32" s="60">
        <v>0</v>
      </c>
      <c r="P32" s="60">
        <v>1.55</v>
      </c>
      <c r="Q32" s="60">
        <v>118.96</v>
      </c>
      <c r="R32" s="198"/>
      <c r="S32" s="198"/>
      <c r="T32" s="198"/>
      <c r="U32" s="198"/>
    </row>
    <row r="33" spans="1:21" s="12" customFormat="1" x14ac:dyDescent="0.25">
      <c r="A33" s="201" t="s">
        <v>1903</v>
      </c>
      <c r="B33" s="60">
        <v>8.5399999999999991</v>
      </c>
      <c r="C33" s="60">
        <v>100.26</v>
      </c>
      <c r="D33" s="60">
        <v>62.18</v>
      </c>
      <c r="E33" s="60">
        <v>5.5</v>
      </c>
      <c r="F33" s="60">
        <v>0.77</v>
      </c>
      <c r="G33" s="60">
        <v>204.57</v>
      </c>
      <c r="H33" s="60">
        <v>74.28</v>
      </c>
      <c r="I33" s="60">
        <v>0.51</v>
      </c>
      <c r="J33" s="60">
        <v>1.0900000000000001</v>
      </c>
      <c r="K33" s="60">
        <v>227.81</v>
      </c>
      <c r="L33" s="60">
        <v>19.16</v>
      </c>
      <c r="M33" s="60">
        <v>71.819999999999993</v>
      </c>
      <c r="N33" s="60">
        <v>6.8</v>
      </c>
      <c r="O33" s="60">
        <v>0</v>
      </c>
      <c r="P33" s="60">
        <v>1.56</v>
      </c>
      <c r="Q33" s="60">
        <v>119.02</v>
      </c>
      <c r="R33" s="198"/>
      <c r="S33" s="198"/>
      <c r="T33" s="198"/>
      <c r="U33" s="198"/>
    </row>
    <row r="34" spans="1:21" s="12" customFormat="1" x14ac:dyDescent="0.25">
      <c r="A34" s="201" t="s">
        <v>1904</v>
      </c>
      <c r="B34" s="60">
        <v>9.7899999999999991</v>
      </c>
      <c r="C34" s="60">
        <v>101.92</v>
      </c>
      <c r="D34" s="60">
        <v>64.099999999999994</v>
      </c>
      <c r="E34" s="60">
        <v>5.73</v>
      </c>
      <c r="F34" s="60">
        <v>0.69</v>
      </c>
      <c r="G34" s="60">
        <v>204.57</v>
      </c>
      <c r="H34" s="60">
        <v>74.28</v>
      </c>
      <c r="I34" s="60">
        <v>0.49</v>
      </c>
      <c r="J34" s="60">
        <v>1.25</v>
      </c>
      <c r="K34" s="60">
        <v>227.8</v>
      </c>
      <c r="L34" s="60">
        <v>19.13</v>
      </c>
      <c r="M34" s="60">
        <v>72.19</v>
      </c>
      <c r="N34" s="60">
        <v>15.2</v>
      </c>
      <c r="O34" s="60">
        <v>0</v>
      </c>
      <c r="P34" s="60">
        <v>1.58</v>
      </c>
      <c r="Q34" s="60">
        <v>122.01</v>
      </c>
      <c r="R34" s="198"/>
      <c r="S34" s="198"/>
      <c r="T34" s="198"/>
      <c r="U34" s="198"/>
    </row>
    <row r="35" spans="1:21" s="12" customFormat="1" x14ac:dyDescent="0.25">
      <c r="A35" s="201" t="s">
        <v>1905</v>
      </c>
      <c r="B35" s="60">
        <v>11.22</v>
      </c>
      <c r="C35" s="60">
        <v>102.6</v>
      </c>
      <c r="D35" s="60">
        <v>65.62</v>
      </c>
      <c r="E35" s="60">
        <v>5.72</v>
      </c>
      <c r="F35" s="60">
        <v>0.82</v>
      </c>
      <c r="G35" s="60">
        <v>204.57</v>
      </c>
      <c r="H35" s="60">
        <v>74.28</v>
      </c>
      <c r="I35" s="60">
        <v>0.48</v>
      </c>
      <c r="J35" s="60">
        <v>1.04</v>
      </c>
      <c r="K35" s="60">
        <v>227.81</v>
      </c>
      <c r="L35" s="60">
        <v>19.22</v>
      </c>
      <c r="M35" s="60">
        <v>71.87</v>
      </c>
      <c r="N35" s="60">
        <v>25.9</v>
      </c>
      <c r="O35" s="60">
        <v>0</v>
      </c>
      <c r="P35" s="60">
        <v>1.59</v>
      </c>
      <c r="Q35" s="60">
        <v>123.18</v>
      </c>
      <c r="R35" s="198"/>
      <c r="S35" s="198"/>
      <c r="T35" s="198"/>
      <c r="U35" s="198"/>
    </row>
    <row r="36" spans="1:21" s="12" customFormat="1" x14ac:dyDescent="0.25">
      <c r="A36" s="201" t="s">
        <v>1906</v>
      </c>
      <c r="B36" s="60">
        <v>12.83</v>
      </c>
      <c r="C36" s="60">
        <v>104.17</v>
      </c>
      <c r="D36" s="60">
        <v>67.78</v>
      </c>
      <c r="E36" s="60">
        <v>5.49</v>
      </c>
      <c r="F36" s="60">
        <v>0.9</v>
      </c>
      <c r="G36" s="60">
        <v>207.19</v>
      </c>
      <c r="H36" s="60">
        <v>74.97</v>
      </c>
      <c r="I36" s="60">
        <v>0.5</v>
      </c>
      <c r="J36" s="60">
        <v>0.91</v>
      </c>
      <c r="K36" s="60">
        <v>227.9</v>
      </c>
      <c r="L36" s="60">
        <v>19.600000000000001</v>
      </c>
      <c r="M36" s="60">
        <v>70.36</v>
      </c>
      <c r="N36" s="60">
        <v>55.7</v>
      </c>
      <c r="O36" s="60">
        <v>0</v>
      </c>
      <c r="P36" s="60">
        <v>1.6</v>
      </c>
      <c r="Q36" s="60">
        <v>117.31</v>
      </c>
      <c r="R36" s="198"/>
      <c r="S36" s="198"/>
      <c r="T36" s="198"/>
      <c r="U36" s="198"/>
    </row>
    <row r="37" spans="1:21" s="12" customFormat="1" x14ac:dyDescent="0.25">
      <c r="A37" s="201" t="s">
        <v>1907</v>
      </c>
      <c r="B37" s="60">
        <v>14.5</v>
      </c>
      <c r="C37" s="60">
        <v>107.29</v>
      </c>
      <c r="D37" s="60">
        <v>70.84</v>
      </c>
      <c r="E37" s="60">
        <v>5.43</v>
      </c>
      <c r="F37" s="60">
        <v>0.76</v>
      </c>
      <c r="G37" s="60">
        <v>229.32</v>
      </c>
      <c r="H37" s="60">
        <v>82.07</v>
      </c>
      <c r="I37" s="60">
        <v>0.49</v>
      </c>
      <c r="J37" s="60">
        <v>0.9</v>
      </c>
      <c r="K37" s="60">
        <v>228.11</v>
      </c>
      <c r="L37" s="60">
        <v>20.11</v>
      </c>
      <c r="M37" s="60">
        <v>68.62</v>
      </c>
      <c r="N37" s="60">
        <v>92.3</v>
      </c>
      <c r="O37" s="60">
        <v>0</v>
      </c>
      <c r="P37" s="60">
        <v>1.48</v>
      </c>
      <c r="Q37" s="60">
        <v>111.7</v>
      </c>
      <c r="R37" s="198"/>
      <c r="S37" s="198"/>
      <c r="T37" s="198"/>
      <c r="U37" s="198"/>
    </row>
    <row r="38" spans="1:21" s="12" customFormat="1" x14ac:dyDescent="0.25">
      <c r="A38" s="201" t="s">
        <v>1908</v>
      </c>
      <c r="B38" s="60">
        <v>16.3</v>
      </c>
      <c r="C38" s="60">
        <v>109.91</v>
      </c>
      <c r="D38" s="60">
        <v>73.73</v>
      </c>
      <c r="E38" s="60">
        <v>5.61</v>
      </c>
      <c r="F38" s="60">
        <v>1.08</v>
      </c>
      <c r="G38" s="60">
        <v>229.32</v>
      </c>
      <c r="H38" s="60">
        <v>82.07</v>
      </c>
      <c r="I38" s="60">
        <v>0.46</v>
      </c>
      <c r="J38" s="60">
        <v>0.84</v>
      </c>
      <c r="K38" s="60">
        <v>228.41</v>
      </c>
      <c r="L38" s="60">
        <v>20.59</v>
      </c>
      <c r="M38" s="60">
        <v>66.650000000000006</v>
      </c>
      <c r="N38" s="60">
        <v>117.9</v>
      </c>
      <c r="O38" s="60">
        <v>0</v>
      </c>
      <c r="P38" s="60">
        <v>1.59</v>
      </c>
      <c r="Q38" s="60">
        <v>112.78</v>
      </c>
      <c r="R38" s="198"/>
      <c r="S38" s="198"/>
      <c r="T38" s="198"/>
      <c r="U38" s="198"/>
    </row>
    <row r="39" spans="1:21" s="12" customFormat="1" x14ac:dyDescent="0.25">
      <c r="A39" s="201" t="s">
        <v>1909</v>
      </c>
      <c r="B39" s="60">
        <v>18.829999999999998</v>
      </c>
      <c r="C39" s="60">
        <v>109.11</v>
      </c>
      <c r="D39" s="60">
        <v>75.31</v>
      </c>
      <c r="E39" s="60">
        <v>6</v>
      </c>
      <c r="F39" s="60">
        <v>1.05</v>
      </c>
      <c r="G39" s="60">
        <v>229.32</v>
      </c>
      <c r="H39" s="60">
        <v>82.07</v>
      </c>
      <c r="I39" s="60">
        <v>0.45</v>
      </c>
      <c r="J39" s="60">
        <v>0.89</v>
      </c>
      <c r="K39" s="60">
        <v>228.65</v>
      </c>
      <c r="L39" s="60">
        <v>21.18</v>
      </c>
      <c r="M39" s="60">
        <v>63.19</v>
      </c>
      <c r="N39" s="60">
        <v>127.7</v>
      </c>
      <c r="O39" s="60">
        <v>0</v>
      </c>
      <c r="P39" s="60">
        <v>1.6</v>
      </c>
      <c r="Q39" s="60">
        <v>114.26</v>
      </c>
      <c r="R39" s="198"/>
      <c r="S39" s="198"/>
      <c r="T39" s="198"/>
      <c r="U39" s="198"/>
    </row>
    <row r="40" spans="1:21" s="12" customFormat="1" x14ac:dyDescent="0.25">
      <c r="A40" s="201" t="s">
        <v>1910</v>
      </c>
      <c r="B40" s="60">
        <v>18.690000000000001</v>
      </c>
      <c r="C40" s="60">
        <v>113.41</v>
      </c>
      <c r="D40" s="60">
        <v>77.569999999999993</v>
      </c>
      <c r="E40" s="60">
        <v>2.83</v>
      </c>
      <c r="F40" s="60">
        <v>1.1499999999999999</v>
      </c>
      <c r="G40" s="60">
        <v>228.99</v>
      </c>
      <c r="H40" s="60">
        <v>82.19</v>
      </c>
      <c r="I40" s="60">
        <v>0.45</v>
      </c>
      <c r="J40" s="60">
        <v>1.03</v>
      </c>
      <c r="K40" s="60">
        <v>228.88</v>
      </c>
      <c r="L40" s="60">
        <v>21.4</v>
      </c>
      <c r="M40" s="60">
        <v>62.42</v>
      </c>
      <c r="N40" s="60">
        <v>130</v>
      </c>
      <c r="O40" s="60">
        <v>0</v>
      </c>
      <c r="P40" s="60">
        <v>1.58</v>
      </c>
      <c r="Q40" s="60">
        <v>114.69</v>
      </c>
      <c r="R40" s="198"/>
      <c r="S40" s="198"/>
      <c r="T40" s="198"/>
      <c r="U40" s="198"/>
    </row>
    <row r="41" spans="1:21" s="12" customFormat="1" x14ac:dyDescent="0.25">
      <c r="A41" s="201" t="s">
        <v>1911</v>
      </c>
      <c r="B41" s="60">
        <v>18.47</v>
      </c>
      <c r="C41" s="60">
        <v>114.05</v>
      </c>
      <c r="D41" s="60">
        <v>77.75</v>
      </c>
      <c r="E41" s="60">
        <v>5.38</v>
      </c>
      <c r="F41" s="60">
        <v>1.22</v>
      </c>
      <c r="G41" s="60">
        <v>226.17</v>
      </c>
      <c r="H41" s="60">
        <v>83.42</v>
      </c>
      <c r="I41" s="60">
        <v>0.45</v>
      </c>
      <c r="J41" s="60">
        <v>0.94</v>
      </c>
      <c r="K41" s="60">
        <v>229.13</v>
      </c>
      <c r="L41" s="60">
        <v>22.1</v>
      </c>
      <c r="M41" s="60">
        <v>60.16</v>
      </c>
      <c r="N41" s="60">
        <v>224.2</v>
      </c>
      <c r="O41" s="60">
        <v>0</v>
      </c>
      <c r="P41" s="60">
        <v>1.56</v>
      </c>
      <c r="Q41" s="60">
        <v>113.1</v>
      </c>
      <c r="R41" s="198"/>
      <c r="S41" s="198"/>
      <c r="T41" s="198"/>
      <c r="U41" s="198"/>
    </row>
    <row r="42" spans="1:21" s="12" customFormat="1" x14ac:dyDescent="0.25">
      <c r="A42" s="201" t="s">
        <v>1912</v>
      </c>
      <c r="B42" s="60">
        <v>18.34</v>
      </c>
      <c r="C42" s="60">
        <v>116.82</v>
      </c>
      <c r="D42" s="60">
        <v>79.180000000000007</v>
      </c>
      <c r="E42" s="60">
        <v>6.34</v>
      </c>
      <c r="F42" s="60">
        <v>1.35</v>
      </c>
      <c r="G42" s="60">
        <v>226.17</v>
      </c>
      <c r="H42" s="60">
        <v>83.42</v>
      </c>
      <c r="I42" s="60">
        <v>0.44</v>
      </c>
      <c r="J42" s="60">
        <v>1.1499999999999999</v>
      </c>
      <c r="K42" s="60">
        <v>229.59</v>
      </c>
      <c r="L42" s="60">
        <v>23.27</v>
      </c>
      <c r="M42" s="60">
        <v>55.93</v>
      </c>
      <c r="N42" s="60">
        <v>253.5</v>
      </c>
      <c r="O42" s="60">
        <v>0</v>
      </c>
      <c r="P42" s="60">
        <v>1.52</v>
      </c>
      <c r="Q42" s="60">
        <v>115.05</v>
      </c>
      <c r="R42" s="198"/>
      <c r="S42" s="198"/>
      <c r="T42" s="198"/>
      <c r="U42" s="198"/>
    </row>
    <row r="43" spans="1:21" s="12" customFormat="1" x14ac:dyDescent="0.25">
      <c r="A43" s="201" t="s">
        <v>1913</v>
      </c>
      <c r="B43" s="60">
        <v>18.03</v>
      </c>
      <c r="C43" s="60">
        <v>116.67</v>
      </c>
      <c r="D43" s="60">
        <v>78.84</v>
      </c>
      <c r="E43" s="60">
        <v>6.23</v>
      </c>
      <c r="F43" s="60">
        <v>1.33</v>
      </c>
      <c r="G43" s="60">
        <v>226.17</v>
      </c>
      <c r="H43" s="60">
        <v>83.42</v>
      </c>
      <c r="I43" s="60">
        <v>0.44</v>
      </c>
      <c r="J43" s="60">
        <v>0.87</v>
      </c>
      <c r="K43" s="60">
        <v>229.94</v>
      </c>
      <c r="L43" s="60">
        <v>23.61</v>
      </c>
      <c r="M43" s="60">
        <v>54.54</v>
      </c>
      <c r="N43" s="60">
        <v>310.5</v>
      </c>
      <c r="O43" s="60">
        <v>0</v>
      </c>
      <c r="P43" s="60">
        <v>1.48</v>
      </c>
      <c r="Q43" s="60">
        <v>122.47</v>
      </c>
      <c r="R43" s="198"/>
      <c r="S43" s="198"/>
      <c r="T43" s="198"/>
      <c r="U43" s="198"/>
    </row>
    <row r="44" spans="1:21" s="12" customFormat="1" x14ac:dyDescent="0.25">
      <c r="A44" s="201" t="s">
        <v>1914</v>
      </c>
      <c r="B44" s="60">
        <v>17.190000000000001</v>
      </c>
      <c r="C44" s="60">
        <v>114.56</v>
      </c>
      <c r="D44" s="60">
        <v>77.010000000000005</v>
      </c>
      <c r="E44" s="60">
        <v>5.88</v>
      </c>
      <c r="F44" s="60">
        <v>1.35</v>
      </c>
      <c r="G44" s="60">
        <v>221.73</v>
      </c>
      <c r="H44" s="60">
        <v>81.87</v>
      </c>
      <c r="I44" s="60">
        <v>0.46</v>
      </c>
      <c r="J44" s="60">
        <v>0.83</v>
      </c>
      <c r="K44" s="60">
        <v>230.27</v>
      </c>
      <c r="L44" s="60">
        <v>23.54</v>
      </c>
      <c r="M44" s="60">
        <v>53.98</v>
      </c>
      <c r="N44" s="60">
        <v>338.6</v>
      </c>
      <c r="O44" s="60">
        <v>0</v>
      </c>
      <c r="P44" s="60">
        <v>1.44</v>
      </c>
      <c r="Q44" s="60">
        <v>129.88999999999999</v>
      </c>
      <c r="R44" s="198"/>
      <c r="S44" s="198"/>
      <c r="T44" s="198"/>
      <c r="U44" s="198"/>
    </row>
    <row r="45" spans="1:21" s="12" customFormat="1" x14ac:dyDescent="0.25">
      <c r="A45" s="201" t="s">
        <v>1915</v>
      </c>
      <c r="B45" s="60">
        <v>16.14</v>
      </c>
      <c r="C45" s="60">
        <v>116.16</v>
      </c>
      <c r="D45" s="60">
        <v>77.040000000000006</v>
      </c>
      <c r="E45" s="60">
        <v>6.78</v>
      </c>
      <c r="F45" s="60">
        <v>1.68</v>
      </c>
      <c r="G45" s="60">
        <v>184.3</v>
      </c>
      <c r="H45" s="60">
        <v>65.92</v>
      </c>
      <c r="I45" s="60">
        <v>0.44</v>
      </c>
      <c r="J45" s="60">
        <v>1.56</v>
      </c>
      <c r="K45" s="60">
        <v>230.52</v>
      </c>
      <c r="L45" s="60">
        <v>24.14</v>
      </c>
      <c r="M45" s="60">
        <v>50.61</v>
      </c>
      <c r="N45" s="60">
        <v>395.8</v>
      </c>
      <c r="O45" s="60">
        <v>0</v>
      </c>
      <c r="P45" s="60">
        <v>1.39</v>
      </c>
      <c r="Q45" s="60">
        <v>133.13999999999999</v>
      </c>
      <c r="R45" s="198"/>
      <c r="S45" s="198"/>
      <c r="T45" s="198"/>
      <c r="U45" s="198"/>
    </row>
    <row r="46" spans="1:21" s="12" customFormat="1" x14ac:dyDescent="0.25">
      <c r="A46" s="201" t="s">
        <v>1916</v>
      </c>
      <c r="B46" s="60">
        <v>15.54</v>
      </c>
      <c r="C46" s="60">
        <v>114.07</v>
      </c>
      <c r="D46" s="60">
        <v>75.41</v>
      </c>
      <c r="E46" s="60">
        <v>6.4</v>
      </c>
      <c r="F46" s="60">
        <v>1.56</v>
      </c>
      <c r="G46" s="60">
        <v>184.3</v>
      </c>
      <c r="H46" s="60">
        <v>65.92</v>
      </c>
      <c r="I46" s="60">
        <v>0.45</v>
      </c>
      <c r="J46" s="60">
        <v>1.18</v>
      </c>
      <c r="K46" s="60">
        <v>230.74</v>
      </c>
      <c r="L46" s="60">
        <v>24.88</v>
      </c>
      <c r="M46" s="60">
        <v>48.84</v>
      </c>
      <c r="N46" s="60">
        <v>413.2</v>
      </c>
      <c r="O46" s="60">
        <v>0</v>
      </c>
      <c r="P46" s="60">
        <v>1.33</v>
      </c>
      <c r="Q46" s="60">
        <v>142.27000000000001</v>
      </c>
      <c r="R46" s="198"/>
      <c r="S46" s="198"/>
      <c r="T46" s="198"/>
      <c r="U46" s="198"/>
    </row>
    <row r="47" spans="1:21" s="12" customFormat="1" x14ac:dyDescent="0.25">
      <c r="A47" s="201" t="s">
        <v>1917</v>
      </c>
      <c r="B47" s="60">
        <v>14.55</v>
      </c>
      <c r="C47" s="60">
        <v>111.55</v>
      </c>
      <c r="D47" s="60">
        <v>73.23</v>
      </c>
      <c r="E47" s="60">
        <v>6.04</v>
      </c>
      <c r="F47" s="60">
        <v>1</v>
      </c>
      <c r="G47" s="60">
        <v>184.3</v>
      </c>
      <c r="H47" s="60">
        <v>65.92</v>
      </c>
      <c r="I47" s="60">
        <v>0.46</v>
      </c>
      <c r="J47" s="60">
        <v>1.34</v>
      </c>
      <c r="K47" s="60">
        <v>230.98</v>
      </c>
      <c r="L47" s="60">
        <v>24.76</v>
      </c>
      <c r="M47" s="60">
        <v>50.81</v>
      </c>
      <c r="N47" s="60">
        <v>446.8</v>
      </c>
      <c r="O47" s="60">
        <v>0</v>
      </c>
      <c r="P47" s="60">
        <v>1.29</v>
      </c>
      <c r="Q47" s="60">
        <v>149.46</v>
      </c>
      <c r="R47" s="198"/>
      <c r="S47" s="198"/>
      <c r="T47" s="198"/>
      <c r="U47" s="198"/>
    </row>
    <row r="48" spans="1:21" s="12" customFormat="1" x14ac:dyDescent="0.25">
      <c r="A48" s="201" t="s">
        <v>1918</v>
      </c>
      <c r="B48" s="60">
        <v>14.47</v>
      </c>
      <c r="C48" s="60">
        <v>112.78</v>
      </c>
      <c r="D48" s="60">
        <v>73.849999999999994</v>
      </c>
      <c r="E48" s="60">
        <v>6.87</v>
      </c>
      <c r="F48" s="60">
        <v>1.74</v>
      </c>
      <c r="G48" s="60">
        <v>178.29</v>
      </c>
      <c r="H48" s="60">
        <v>66.290000000000006</v>
      </c>
      <c r="I48" s="60">
        <v>0.46</v>
      </c>
      <c r="J48" s="60">
        <v>1.23</v>
      </c>
      <c r="K48" s="60">
        <v>231.34</v>
      </c>
      <c r="L48" s="60">
        <v>26.89</v>
      </c>
      <c r="M48" s="60">
        <v>45.6</v>
      </c>
      <c r="N48" s="60">
        <v>465.6</v>
      </c>
      <c r="O48" s="60">
        <v>0</v>
      </c>
      <c r="P48" s="60">
        <v>1.23</v>
      </c>
      <c r="Q48" s="60">
        <v>155.08000000000001</v>
      </c>
      <c r="R48" s="198"/>
      <c r="S48" s="198"/>
      <c r="T48" s="198"/>
      <c r="U48" s="198"/>
    </row>
    <row r="49" spans="1:21" s="12" customFormat="1" x14ac:dyDescent="0.25">
      <c r="A49" s="201" t="s">
        <v>1919</v>
      </c>
      <c r="B49" s="60">
        <v>15.47</v>
      </c>
      <c r="C49" s="60">
        <v>126.72</v>
      </c>
      <c r="D49" s="60">
        <v>82.34</v>
      </c>
      <c r="E49" s="60">
        <v>9.2799999999999994</v>
      </c>
      <c r="F49" s="60">
        <v>3.28</v>
      </c>
      <c r="G49" s="60">
        <v>127.61</v>
      </c>
      <c r="H49" s="60">
        <v>70.08</v>
      </c>
      <c r="I49" s="60">
        <v>0.45</v>
      </c>
      <c r="J49" s="60">
        <v>1.19</v>
      </c>
      <c r="K49" s="60">
        <v>231.43</v>
      </c>
      <c r="L49" s="60">
        <v>26.02</v>
      </c>
      <c r="M49" s="60">
        <v>46.56</v>
      </c>
      <c r="N49" s="60">
        <v>481.4</v>
      </c>
      <c r="O49" s="60">
        <v>0</v>
      </c>
      <c r="P49" s="60">
        <v>1.05</v>
      </c>
      <c r="Q49" s="60">
        <v>150.93</v>
      </c>
      <c r="R49" s="198"/>
      <c r="S49" s="198"/>
      <c r="T49" s="198"/>
      <c r="U49" s="198"/>
    </row>
    <row r="50" spans="1:21" s="12" customFormat="1" x14ac:dyDescent="0.25">
      <c r="A50" s="201" t="s">
        <v>1920</v>
      </c>
      <c r="B50" s="60">
        <v>12.19</v>
      </c>
      <c r="C50" s="60">
        <v>129.47</v>
      </c>
      <c r="D50" s="60">
        <v>81.22</v>
      </c>
      <c r="E50" s="60">
        <v>6.36</v>
      </c>
      <c r="F50" s="60">
        <v>2.74</v>
      </c>
      <c r="G50" s="60">
        <v>127.61</v>
      </c>
      <c r="H50" s="60">
        <v>70.08</v>
      </c>
      <c r="I50" s="60">
        <v>0.43</v>
      </c>
      <c r="J50" s="60">
        <v>1.18</v>
      </c>
      <c r="K50" s="60">
        <v>231.63</v>
      </c>
      <c r="L50" s="60">
        <v>26.53</v>
      </c>
      <c r="M50" s="60">
        <v>46.31</v>
      </c>
      <c r="N50" s="60">
        <v>499.8</v>
      </c>
      <c r="O50" s="60">
        <v>0</v>
      </c>
      <c r="P50" s="60">
        <v>0.96</v>
      </c>
      <c r="Q50" s="60">
        <v>292.38</v>
      </c>
      <c r="R50" s="198"/>
      <c r="S50" s="198"/>
      <c r="T50" s="198"/>
      <c r="U50" s="198"/>
    </row>
    <row r="51" spans="1:21" s="12" customFormat="1" x14ac:dyDescent="0.25">
      <c r="A51" s="201" t="s">
        <v>1921</v>
      </c>
      <c r="B51" s="60">
        <v>32.1</v>
      </c>
      <c r="C51" s="60">
        <v>30.12</v>
      </c>
      <c r="D51" s="60">
        <v>42.37</v>
      </c>
      <c r="E51" s="60">
        <v>52.26</v>
      </c>
      <c r="F51" s="60">
        <v>23.91</v>
      </c>
      <c r="G51" s="60">
        <v>127.61</v>
      </c>
      <c r="H51" s="60">
        <v>70.08</v>
      </c>
      <c r="I51" s="60">
        <v>0.36</v>
      </c>
      <c r="J51" s="60">
        <v>1.3</v>
      </c>
      <c r="K51" s="60">
        <v>232.05</v>
      </c>
      <c r="L51" s="60">
        <v>27.53</v>
      </c>
      <c r="M51" s="60">
        <v>41.57</v>
      </c>
      <c r="N51" s="60">
        <v>517.4</v>
      </c>
      <c r="O51" s="60">
        <v>0</v>
      </c>
      <c r="P51" s="60">
        <v>0.88</v>
      </c>
      <c r="Q51" s="10" t="s">
        <v>42</v>
      </c>
      <c r="R51" s="198"/>
      <c r="S51" s="198"/>
      <c r="T51" s="198"/>
      <c r="U51" s="198"/>
    </row>
    <row r="52" spans="1:21" s="12" customFormat="1" x14ac:dyDescent="0.25">
      <c r="A52" s="201" t="s">
        <v>1922</v>
      </c>
      <c r="B52" s="60">
        <v>4.97</v>
      </c>
      <c r="C52" s="60">
        <v>117.64</v>
      </c>
      <c r="D52" s="60">
        <v>68.91</v>
      </c>
      <c r="E52" s="60">
        <v>89.83</v>
      </c>
      <c r="F52" s="60">
        <v>11.97</v>
      </c>
      <c r="G52" s="60">
        <v>126.76</v>
      </c>
      <c r="H52" s="60">
        <v>69.27</v>
      </c>
      <c r="I52" s="60">
        <v>0.38</v>
      </c>
      <c r="J52" s="60">
        <v>1.88</v>
      </c>
      <c r="K52" s="60">
        <v>231.77</v>
      </c>
      <c r="L52" s="60">
        <v>27.54</v>
      </c>
      <c r="M52" s="60">
        <v>38.97</v>
      </c>
      <c r="N52" s="60">
        <v>550.20000000000005</v>
      </c>
      <c r="O52" s="60">
        <v>0</v>
      </c>
      <c r="P52" s="60">
        <v>0.78</v>
      </c>
      <c r="Q52" s="10" t="s">
        <v>42</v>
      </c>
      <c r="R52" s="198"/>
      <c r="S52" s="198"/>
      <c r="T52" s="198"/>
      <c r="U52" s="198"/>
    </row>
    <row r="53" spans="1:21" s="12" customFormat="1" x14ac:dyDescent="0.25">
      <c r="A53" s="201" t="s">
        <v>1923</v>
      </c>
      <c r="B53" s="60">
        <v>10.32</v>
      </c>
      <c r="C53" s="60">
        <v>145.76</v>
      </c>
      <c r="D53" s="60">
        <v>88.72</v>
      </c>
      <c r="E53" s="60">
        <v>71.489999999999995</v>
      </c>
      <c r="F53" s="60">
        <v>19.79</v>
      </c>
      <c r="G53" s="60">
        <v>119.64</v>
      </c>
      <c r="H53" s="60">
        <v>60.96</v>
      </c>
      <c r="I53" s="60">
        <v>0.77</v>
      </c>
      <c r="J53" s="60">
        <v>1.62</v>
      </c>
      <c r="K53" s="60">
        <v>231.91</v>
      </c>
      <c r="L53" s="60">
        <v>27.26</v>
      </c>
      <c r="M53" s="60">
        <v>38.92</v>
      </c>
      <c r="N53" s="60">
        <v>574.29999999999995</v>
      </c>
      <c r="O53" s="60">
        <v>0</v>
      </c>
      <c r="P53" s="60">
        <v>0.57999999999999996</v>
      </c>
      <c r="Q53" s="10" t="s">
        <v>42</v>
      </c>
      <c r="R53" s="198"/>
      <c r="S53" s="198"/>
      <c r="T53" s="198"/>
      <c r="U53" s="198"/>
    </row>
    <row r="54" spans="1:21" s="12" customFormat="1" x14ac:dyDescent="0.25">
      <c r="A54" s="201" t="s">
        <v>1924</v>
      </c>
      <c r="B54" s="60">
        <v>3.09</v>
      </c>
      <c r="C54" s="60">
        <v>101.29</v>
      </c>
      <c r="D54" s="60">
        <v>58.38</v>
      </c>
      <c r="E54" s="60">
        <v>60.88</v>
      </c>
      <c r="F54" s="60">
        <v>28.81</v>
      </c>
      <c r="G54" s="60">
        <v>119.64</v>
      </c>
      <c r="H54" s="60">
        <v>60.96</v>
      </c>
      <c r="I54" s="60">
        <v>0.51</v>
      </c>
      <c r="J54" s="60">
        <v>1.85</v>
      </c>
      <c r="K54" s="60">
        <v>231.77</v>
      </c>
      <c r="L54" s="60">
        <v>26.86</v>
      </c>
      <c r="M54" s="60">
        <v>38.43</v>
      </c>
      <c r="N54" s="60">
        <v>574.70000000000005</v>
      </c>
      <c r="O54" s="60">
        <v>0</v>
      </c>
      <c r="P54" s="60">
        <v>0.42</v>
      </c>
      <c r="Q54" s="10" t="s">
        <v>42</v>
      </c>
      <c r="R54" s="198"/>
      <c r="S54" s="198"/>
      <c r="T54" s="198"/>
      <c r="U54" s="198"/>
    </row>
    <row r="55" spans="1:21" s="12" customFormat="1" x14ac:dyDescent="0.25">
      <c r="A55" s="201" t="s">
        <v>1925</v>
      </c>
      <c r="B55" s="60">
        <v>4.43</v>
      </c>
      <c r="C55" s="60">
        <v>101.69</v>
      </c>
      <c r="D55" s="60">
        <v>59.67</v>
      </c>
      <c r="E55" s="60">
        <v>61.84</v>
      </c>
      <c r="F55" s="60">
        <v>11.19</v>
      </c>
      <c r="G55" s="60">
        <v>119.64</v>
      </c>
      <c r="H55" s="60">
        <v>60.96</v>
      </c>
      <c r="I55" s="60">
        <v>0.14000000000000001</v>
      </c>
      <c r="J55" s="60">
        <v>1.46</v>
      </c>
      <c r="K55" s="60">
        <v>231.84</v>
      </c>
      <c r="L55" s="60">
        <v>27.34</v>
      </c>
      <c r="M55" s="60">
        <v>38.47</v>
      </c>
      <c r="N55" s="60">
        <v>562.29999999999995</v>
      </c>
      <c r="O55" s="60">
        <v>0</v>
      </c>
      <c r="P55" s="60">
        <v>0.39</v>
      </c>
      <c r="Q55" s="10" t="s">
        <v>42</v>
      </c>
      <c r="R55" s="198"/>
      <c r="S55" s="198"/>
      <c r="T55" s="198"/>
      <c r="U55" s="198"/>
    </row>
    <row r="56" spans="1:21" s="12" customFormat="1" x14ac:dyDescent="0.25">
      <c r="A56" s="201" t="s">
        <v>1926</v>
      </c>
      <c r="B56" s="60">
        <v>14.89</v>
      </c>
      <c r="C56" s="60">
        <v>110.68</v>
      </c>
      <c r="D56" s="60">
        <v>73.03</v>
      </c>
      <c r="E56" s="60">
        <v>62.77</v>
      </c>
      <c r="F56" s="60">
        <v>7.02</v>
      </c>
      <c r="G56" s="60">
        <v>114.01</v>
      </c>
      <c r="H56" s="60">
        <v>58.43</v>
      </c>
      <c r="I56" s="60">
        <v>0.08</v>
      </c>
      <c r="J56" s="60">
        <v>1.37</v>
      </c>
      <c r="K56" s="60">
        <v>231.92</v>
      </c>
      <c r="L56" s="60">
        <v>27.65</v>
      </c>
      <c r="M56" s="60">
        <v>38.42</v>
      </c>
      <c r="N56" s="60">
        <v>555</v>
      </c>
      <c r="O56" s="60">
        <v>0</v>
      </c>
      <c r="P56" s="60">
        <v>0.41</v>
      </c>
      <c r="Q56" s="60">
        <v>285.92</v>
      </c>
      <c r="R56" s="198"/>
      <c r="S56" s="198"/>
      <c r="T56" s="198"/>
      <c r="U56" s="198"/>
    </row>
    <row r="57" spans="1:21" s="12" customFormat="1" x14ac:dyDescent="0.25">
      <c r="A57" s="201" t="s">
        <v>1927</v>
      </c>
      <c r="B57" s="60">
        <v>11.56</v>
      </c>
      <c r="C57" s="60">
        <v>113.92</v>
      </c>
      <c r="D57" s="60">
        <v>72.14</v>
      </c>
      <c r="E57" s="60">
        <v>59.86</v>
      </c>
      <c r="F57" s="60">
        <v>14.16</v>
      </c>
      <c r="G57" s="60">
        <v>66.540000000000006</v>
      </c>
      <c r="H57" s="60">
        <v>32.51</v>
      </c>
      <c r="I57" s="60">
        <v>0.1</v>
      </c>
      <c r="J57" s="60">
        <v>1.26</v>
      </c>
      <c r="K57" s="60">
        <v>231.92</v>
      </c>
      <c r="L57" s="60">
        <v>27.67</v>
      </c>
      <c r="M57" s="60">
        <v>38.25</v>
      </c>
      <c r="N57" s="60">
        <v>430.6</v>
      </c>
      <c r="O57" s="60">
        <v>0</v>
      </c>
      <c r="P57" s="60">
        <v>0.45</v>
      </c>
      <c r="Q57" s="60">
        <v>252.16</v>
      </c>
      <c r="R57" s="198"/>
      <c r="S57" s="198"/>
      <c r="T57" s="198"/>
      <c r="U57" s="198"/>
    </row>
    <row r="58" spans="1:21" s="12" customFormat="1" x14ac:dyDescent="0.25">
      <c r="A58" s="201" t="s">
        <v>1928</v>
      </c>
      <c r="B58" s="60">
        <v>8.3800000000000008</v>
      </c>
      <c r="C58" s="60">
        <v>109.35</v>
      </c>
      <c r="D58" s="60">
        <v>67.069999999999993</v>
      </c>
      <c r="E58" s="60">
        <v>51.55</v>
      </c>
      <c r="F58" s="60">
        <v>7.27</v>
      </c>
      <c r="G58" s="60">
        <v>66.540000000000006</v>
      </c>
      <c r="H58" s="60">
        <v>32.51</v>
      </c>
      <c r="I58" s="60">
        <v>0.14000000000000001</v>
      </c>
      <c r="J58" s="60">
        <v>1.87</v>
      </c>
      <c r="K58" s="60">
        <v>231.48</v>
      </c>
      <c r="L58" s="60">
        <v>27.22</v>
      </c>
      <c r="M58" s="60">
        <v>38.380000000000003</v>
      </c>
      <c r="N58" s="60">
        <v>408.2</v>
      </c>
      <c r="O58" s="60">
        <v>0</v>
      </c>
      <c r="P58" s="60">
        <v>0.51</v>
      </c>
      <c r="Q58" s="60">
        <v>234.32</v>
      </c>
      <c r="R58" s="198"/>
      <c r="S58" s="198"/>
      <c r="T58" s="198"/>
      <c r="U58" s="198"/>
    </row>
    <row r="59" spans="1:21" s="12" customFormat="1" x14ac:dyDescent="0.25">
      <c r="A59" s="201" t="s">
        <v>1929</v>
      </c>
      <c r="B59" s="60">
        <v>10.08</v>
      </c>
      <c r="C59" s="60">
        <v>105.96</v>
      </c>
      <c r="D59" s="60">
        <v>66.56</v>
      </c>
      <c r="E59" s="60">
        <v>47.26</v>
      </c>
      <c r="F59" s="60">
        <v>6.11</v>
      </c>
      <c r="G59" s="60">
        <v>66.540000000000006</v>
      </c>
      <c r="H59" s="60">
        <v>32.51</v>
      </c>
      <c r="I59" s="60">
        <v>0.14000000000000001</v>
      </c>
      <c r="J59" s="60">
        <v>1.79</v>
      </c>
      <c r="K59" s="60">
        <v>231.35</v>
      </c>
      <c r="L59" s="60">
        <v>27.1</v>
      </c>
      <c r="M59" s="60">
        <v>38.5</v>
      </c>
      <c r="N59" s="60">
        <v>438</v>
      </c>
      <c r="O59" s="60">
        <v>0</v>
      </c>
      <c r="P59" s="60">
        <v>0.49</v>
      </c>
      <c r="Q59" s="60">
        <v>259.69</v>
      </c>
      <c r="R59" s="198"/>
      <c r="S59" s="198"/>
      <c r="T59" s="198"/>
      <c r="U59" s="198"/>
    </row>
    <row r="60" spans="1:21" s="12" customFormat="1" x14ac:dyDescent="0.25">
      <c r="A60" s="201" t="s">
        <v>1930</v>
      </c>
      <c r="B60" s="60">
        <v>11.1</v>
      </c>
      <c r="C60" s="60">
        <v>103.85</v>
      </c>
      <c r="D60" s="60">
        <v>66.209999999999994</v>
      </c>
      <c r="E60" s="60">
        <v>44.23</v>
      </c>
      <c r="F60" s="60">
        <v>4.5</v>
      </c>
      <c r="G60" s="60">
        <v>66.87</v>
      </c>
      <c r="H60" s="60">
        <v>32.31</v>
      </c>
      <c r="I60" s="60">
        <v>0.16</v>
      </c>
      <c r="J60" s="60">
        <v>1.8</v>
      </c>
      <c r="K60" s="60">
        <v>231.31</v>
      </c>
      <c r="L60" s="60">
        <v>26.92</v>
      </c>
      <c r="M60" s="60">
        <v>38.590000000000003</v>
      </c>
      <c r="N60" s="60">
        <v>401.9</v>
      </c>
      <c r="O60" s="60">
        <v>0</v>
      </c>
      <c r="P60" s="60">
        <v>0.46</v>
      </c>
      <c r="Q60" s="60">
        <v>259.27999999999997</v>
      </c>
      <c r="R60" s="198"/>
      <c r="S60" s="198"/>
      <c r="T60" s="198"/>
      <c r="U60" s="198"/>
    </row>
    <row r="61" spans="1:21" s="12" customFormat="1" x14ac:dyDescent="0.25">
      <c r="A61" s="201" t="s">
        <v>1931</v>
      </c>
      <c r="B61" s="60">
        <v>15.06</v>
      </c>
      <c r="C61" s="60">
        <v>100.08</v>
      </c>
      <c r="D61" s="60">
        <v>67.31</v>
      </c>
      <c r="E61" s="60">
        <v>43.7</v>
      </c>
      <c r="F61" s="60">
        <v>5.16</v>
      </c>
      <c r="G61" s="60">
        <v>69.81</v>
      </c>
      <c r="H61" s="60">
        <v>30.2</v>
      </c>
      <c r="I61" s="60">
        <v>0.18</v>
      </c>
      <c r="J61" s="60">
        <v>1.35</v>
      </c>
      <c r="K61" s="60">
        <v>231.83</v>
      </c>
      <c r="L61" s="60">
        <v>28.08</v>
      </c>
      <c r="M61" s="60">
        <v>37.53</v>
      </c>
      <c r="N61" s="60">
        <v>487.3</v>
      </c>
      <c r="O61" s="60">
        <v>0</v>
      </c>
      <c r="P61" s="60">
        <v>0.45</v>
      </c>
      <c r="Q61" s="60">
        <v>277.85000000000002</v>
      </c>
      <c r="R61" s="198"/>
      <c r="S61" s="198"/>
      <c r="T61" s="198"/>
      <c r="U61" s="198"/>
    </row>
    <row r="62" spans="1:21" s="12" customFormat="1" x14ac:dyDescent="0.25">
      <c r="A62" s="201" t="s">
        <v>1932</v>
      </c>
      <c r="B62" s="60">
        <v>17.38</v>
      </c>
      <c r="C62" s="60">
        <v>103.41</v>
      </c>
      <c r="D62" s="60">
        <v>71</v>
      </c>
      <c r="E62" s="60">
        <v>44.55</v>
      </c>
      <c r="F62" s="60">
        <v>16.28</v>
      </c>
      <c r="G62" s="60">
        <v>69.81</v>
      </c>
      <c r="H62" s="60">
        <v>30.2</v>
      </c>
      <c r="I62" s="60">
        <v>0.19</v>
      </c>
      <c r="J62" s="60">
        <v>1.19</v>
      </c>
      <c r="K62" s="60">
        <v>232.32</v>
      </c>
      <c r="L62" s="60">
        <v>30.03</v>
      </c>
      <c r="M62" s="60">
        <v>34.81</v>
      </c>
      <c r="N62" s="60">
        <v>448.4</v>
      </c>
      <c r="O62" s="60">
        <v>0</v>
      </c>
      <c r="P62" s="60">
        <v>0.52</v>
      </c>
      <c r="Q62" s="60">
        <v>284.18</v>
      </c>
      <c r="R62" s="198"/>
      <c r="S62" s="198"/>
      <c r="T62" s="198"/>
      <c r="U62" s="198"/>
    </row>
    <row r="63" spans="1:21" s="12" customFormat="1" x14ac:dyDescent="0.25">
      <c r="A63" s="201" t="s">
        <v>1933</v>
      </c>
      <c r="B63" s="60">
        <v>15.33</v>
      </c>
      <c r="C63" s="60">
        <v>101.51</v>
      </c>
      <c r="D63" s="60">
        <v>68.319999999999993</v>
      </c>
      <c r="E63" s="60">
        <v>41.44</v>
      </c>
      <c r="F63" s="60">
        <v>10.7</v>
      </c>
      <c r="G63" s="60">
        <v>69.81</v>
      </c>
      <c r="H63" s="60">
        <v>30.2</v>
      </c>
      <c r="I63" s="60">
        <v>0.21</v>
      </c>
      <c r="J63" s="60">
        <v>1.2</v>
      </c>
      <c r="K63" s="60">
        <v>232.37</v>
      </c>
      <c r="L63" s="60">
        <v>29.17</v>
      </c>
      <c r="M63" s="60">
        <v>36.44</v>
      </c>
      <c r="N63" s="60">
        <v>423.7</v>
      </c>
      <c r="O63" s="60">
        <v>0</v>
      </c>
      <c r="P63" s="60">
        <v>0.54</v>
      </c>
      <c r="Q63" s="60">
        <v>247.71</v>
      </c>
      <c r="R63" s="198"/>
      <c r="S63" s="198"/>
      <c r="T63" s="198"/>
      <c r="U63" s="198"/>
    </row>
    <row r="64" spans="1:21" s="12" customFormat="1" x14ac:dyDescent="0.25">
      <c r="A64" s="201" t="s">
        <v>1934</v>
      </c>
      <c r="B64" s="60">
        <v>15.29</v>
      </c>
      <c r="C64" s="60">
        <v>103.94</v>
      </c>
      <c r="D64" s="60">
        <v>69.63</v>
      </c>
      <c r="E64" s="60">
        <v>35.21</v>
      </c>
      <c r="F64" s="60">
        <v>8.3000000000000007</v>
      </c>
      <c r="G64" s="60">
        <v>68.930000000000007</v>
      </c>
      <c r="H64" s="60">
        <v>30.26</v>
      </c>
      <c r="I64" s="60">
        <v>0.2</v>
      </c>
      <c r="J64" s="60">
        <v>1.26</v>
      </c>
      <c r="K64" s="60">
        <v>232.21</v>
      </c>
      <c r="L64" s="60">
        <v>28.32</v>
      </c>
      <c r="M64" s="60">
        <v>37.21</v>
      </c>
      <c r="N64" s="60">
        <v>412.9</v>
      </c>
      <c r="O64" s="60">
        <v>0</v>
      </c>
      <c r="P64" s="60">
        <v>0.56000000000000005</v>
      </c>
      <c r="Q64" s="60">
        <v>220.58</v>
      </c>
      <c r="R64" s="198"/>
      <c r="S64" s="198"/>
      <c r="T64" s="198"/>
      <c r="U64" s="198"/>
    </row>
    <row r="65" spans="1:21" s="12" customFormat="1" x14ac:dyDescent="0.25">
      <c r="A65" s="201" t="s">
        <v>1935</v>
      </c>
      <c r="B65" s="60">
        <v>14.82</v>
      </c>
      <c r="C65" s="60">
        <v>107.44</v>
      </c>
      <c r="D65" s="60">
        <v>71.180000000000007</v>
      </c>
      <c r="E65" s="60">
        <v>32.659999999999997</v>
      </c>
      <c r="F65" s="60">
        <v>13.3</v>
      </c>
      <c r="G65" s="60">
        <v>61.54</v>
      </c>
      <c r="H65" s="60">
        <v>30.81</v>
      </c>
      <c r="I65" s="60">
        <v>0.23</v>
      </c>
      <c r="J65" s="60">
        <v>1.08</v>
      </c>
      <c r="K65" s="60">
        <v>232.28</v>
      </c>
      <c r="L65" s="60">
        <v>29.31</v>
      </c>
      <c r="M65" s="60">
        <v>35.33</v>
      </c>
      <c r="N65" s="60">
        <v>421.1</v>
      </c>
      <c r="O65" s="60">
        <v>0</v>
      </c>
      <c r="P65" s="60">
        <v>0.56000000000000005</v>
      </c>
      <c r="Q65" s="60">
        <v>184.56</v>
      </c>
      <c r="R65" s="198"/>
      <c r="S65" s="198"/>
      <c r="T65" s="198"/>
      <c r="U65" s="198"/>
    </row>
    <row r="66" spans="1:21" s="12" customFormat="1" x14ac:dyDescent="0.25">
      <c r="A66" s="201" t="s">
        <v>1936</v>
      </c>
      <c r="B66" s="60">
        <v>16.22</v>
      </c>
      <c r="C66" s="60">
        <v>111.49</v>
      </c>
      <c r="D66" s="60">
        <v>74.53</v>
      </c>
      <c r="E66" s="60">
        <v>28.27</v>
      </c>
      <c r="F66" s="60">
        <v>4.79</v>
      </c>
      <c r="G66" s="60">
        <v>61.54</v>
      </c>
      <c r="H66" s="60">
        <v>30.81</v>
      </c>
      <c r="I66" s="60">
        <v>0.23</v>
      </c>
      <c r="J66" s="60">
        <v>1.31</v>
      </c>
      <c r="K66" s="60">
        <v>232.39</v>
      </c>
      <c r="L66" s="60">
        <v>29.08</v>
      </c>
      <c r="M66" s="60">
        <v>35.61</v>
      </c>
      <c r="N66" s="60">
        <v>325.7</v>
      </c>
      <c r="O66" s="60">
        <v>0</v>
      </c>
      <c r="P66" s="60">
        <v>0.56000000000000005</v>
      </c>
      <c r="Q66" s="60">
        <v>165.68</v>
      </c>
      <c r="R66" s="198"/>
      <c r="S66" s="198"/>
      <c r="T66" s="198"/>
      <c r="U66" s="198"/>
    </row>
    <row r="67" spans="1:21" s="12" customFormat="1" x14ac:dyDescent="0.25">
      <c r="A67" s="201" t="s">
        <v>1937</v>
      </c>
      <c r="B67" s="60">
        <v>20.78</v>
      </c>
      <c r="C67" s="60">
        <v>111.82</v>
      </c>
      <c r="D67" s="60">
        <v>78.38</v>
      </c>
      <c r="E67" s="60">
        <v>26.74</v>
      </c>
      <c r="F67" s="60">
        <v>4.67</v>
      </c>
      <c r="G67" s="60">
        <v>61.54</v>
      </c>
      <c r="H67" s="60">
        <v>30.81</v>
      </c>
      <c r="I67" s="60">
        <v>0.22</v>
      </c>
      <c r="J67" s="60">
        <v>0.95</v>
      </c>
      <c r="K67" s="60">
        <v>232.08</v>
      </c>
      <c r="L67" s="60">
        <v>28.24</v>
      </c>
      <c r="M67" s="60">
        <v>36.659999999999997</v>
      </c>
      <c r="N67" s="60">
        <v>206.8</v>
      </c>
      <c r="O67" s="60">
        <v>0</v>
      </c>
      <c r="P67" s="60">
        <v>0.56999999999999995</v>
      </c>
      <c r="Q67" s="60">
        <v>172.08</v>
      </c>
      <c r="R67" s="198"/>
      <c r="S67" s="198"/>
      <c r="T67" s="198"/>
      <c r="U67" s="198"/>
    </row>
    <row r="68" spans="1:21" s="12" customFormat="1" x14ac:dyDescent="0.25">
      <c r="A68" s="201" t="s">
        <v>1938</v>
      </c>
      <c r="B68" s="60">
        <v>21.75</v>
      </c>
      <c r="C68" s="60">
        <v>106.28</v>
      </c>
      <c r="D68" s="60">
        <v>76.099999999999994</v>
      </c>
      <c r="E68" s="60">
        <v>25.75</v>
      </c>
      <c r="F68" s="60">
        <v>5.55</v>
      </c>
      <c r="G68" s="60">
        <v>62.79</v>
      </c>
      <c r="H68" s="60">
        <v>30.45</v>
      </c>
      <c r="I68" s="60">
        <v>0.24</v>
      </c>
      <c r="J68" s="60">
        <v>1.06</v>
      </c>
      <c r="K68" s="60">
        <v>231.48</v>
      </c>
      <c r="L68" s="60">
        <v>27.88</v>
      </c>
      <c r="M68" s="60">
        <v>37.67</v>
      </c>
      <c r="N68" s="60">
        <v>133.4</v>
      </c>
      <c r="O68" s="60">
        <v>0</v>
      </c>
      <c r="P68" s="60">
        <v>0.56999999999999995</v>
      </c>
      <c r="Q68" s="60">
        <v>171.86</v>
      </c>
      <c r="R68" s="198"/>
      <c r="S68" s="198"/>
      <c r="T68" s="198"/>
      <c r="U68" s="198"/>
    </row>
    <row r="69" spans="1:21" s="12" customFormat="1" x14ac:dyDescent="0.25">
      <c r="A69" s="201" t="s">
        <v>1939</v>
      </c>
      <c r="B69" s="60">
        <v>22.41</v>
      </c>
      <c r="C69" s="60">
        <v>106.67</v>
      </c>
      <c r="D69" s="60">
        <v>76.84</v>
      </c>
      <c r="E69" s="60">
        <v>24.24</v>
      </c>
      <c r="F69" s="60">
        <v>3.27</v>
      </c>
      <c r="G69" s="60">
        <v>73.33</v>
      </c>
      <c r="H69" s="60">
        <v>26.81</v>
      </c>
      <c r="I69" s="60">
        <v>0.25</v>
      </c>
      <c r="J69" s="60">
        <v>1.04</v>
      </c>
      <c r="K69" s="60">
        <v>230.93</v>
      </c>
      <c r="L69" s="60">
        <v>27.29</v>
      </c>
      <c r="M69" s="60">
        <v>38.549999999999997</v>
      </c>
      <c r="N69" s="60">
        <v>100</v>
      </c>
      <c r="O69" s="60">
        <v>0</v>
      </c>
      <c r="P69" s="60">
        <v>0.55000000000000004</v>
      </c>
      <c r="Q69" s="60">
        <v>157.66999999999999</v>
      </c>
      <c r="R69" s="198"/>
      <c r="S69" s="198"/>
      <c r="T69" s="198"/>
      <c r="U69" s="198"/>
    </row>
    <row r="70" spans="1:21" s="12" customFormat="1" x14ac:dyDescent="0.25">
      <c r="A70" s="201" t="s">
        <v>1940</v>
      </c>
      <c r="B70" s="60">
        <v>25.83</v>
      </c>
      <c r="C70" s="60">
        <v>107.07</v>
      </c>
      <c r="D70" s="60">
        <v>79.8</v>
      </c>
      <c r="E70" s="60">
        <v>22.37</v>
      </c>
      <c r="F70" s="60">
        <v>3.41</v>
      </c>
      <c r="G70" s="60">
        <v>73.33</v>
      </c>
      <c r="H70" s="60">
        <v>26.81</v>
      </c>
      <c r="I70" s="60">
        <v>0.24</v>
      </c>
      <c r="J70" s="60">
        <v>0.93</v>
      </c>
      <c r="K70" s="60">
        <v>230.75</v>
      </c>
      <c r="L70" s="60">
        <v>27.41</v>
      </c>
      <c r="M70" s="60">
        <v>38.69</v>
      </c>
      <c r="N70" s="60">
        <v>123.5</v>
      </c>
      <c r="O70" s="60">
        <v>0</v>
      </c>
      <c r="P70" s="60">
        <v>0.56999999999999995</v>
      </c>
      <c r="Q70" s="60">
        <v>163</v>
      </c>
      <c r="R70" s="198"/>
      <c r="S70" s="198"/>
      <c r="T70" s="198"/>
      <c r="U70" s="198"/>
    </row>
    <row r="71" spans="1:21" s="12" customFormat="1" x14ac:dyDescent="0.25">
      <c r="A71" s="201" t="s">
        <v>1941</v>
      </c>
      <c r="B71" s="60">
        <v>27.73</v>
      </c>
      <c r="C71" s="60">
        <v>103.96</v>
      </c>
      <c r="D71" s="60">
        <v>79.61</v>
      </c>
      <c r="E71" s="60">
        <v>24.31</v>
      </c>
      <c r="F71" s="60">
        <v>6.05</v>
      </c>
      <c r="G71" s="60">
        <v>73.33</v>
      </c>
      <c r="H71" s="60">
        <v>26.81</v>
      </c>
      <c r="I71" s="60">
        <v>0.25</v>
      </c>
      <c r="J71" s="60">
        <v>0.85</v>
      </c>
      <c r="K71" s="60">
        <v>230.66</v>
      </c>
      <c r="L71" s="60">
        <v>26.98</v>
      </c>
      <c r="M71" s="60">
        <v>39.18</v>
      </c>
      <c r="N71" s="60">
        <v>87.5</v>
      </c>
      <c r="O71" s="60">
        <v>0</v>
      </c>
      <c r="P71" s="60">
        <v>0.56000000000000005</v>
      </c>
      <c r="Q71" s="60">
        <v>175.15</v>
      </c>
      <c r="R71" s="198"/>
      <c r="S71" s="198"/>
      <c r="T71" s="198"/>
      <c r="U71" s="198"/>
    </row>
    <row r="72" spans="1:21" s="12" customFormat="1" x14ac:dyDescent="0.25">
      <c r="A72" s="201" t="s">
        <v>1942</v>
      </c>
      <c r="B72" s="60">
        <v>30.92</v>
      </c>
      <c r="C72" s="60">
        <v>106.85</v>
      </c>
      <c r="D72" s="60">
        <v>83.76</v>
      </c>
      <c r="E72" s="60">
        <v>17.010000000000002</v>
      </c>
      <c r="F72" s="60">
        <v>5.4</v>
      </c>
      <c r="G72" s="60">
        <v>73.540000000000006</v>
      </c>
      <c r="H72" s="60">
        <v>26.69</v>
      </c>
      <c r="I72" s="60">
        <v>0.26</v>
      </c>
      <c r="J72" s="60">
        <v>0.74</v>
      </c>
      <c r="K72" s="60">
        <v>230.63</v>
      </c>
      <c r="L72" s="60">
        <v>26.92</v>
      </c>
      <c r="M72" s="60">
        <v>40.119999999999997</v>
      </c>
      <c r="N72" s="60">
        <v>65.7</v>
      </c>
      <c r="O72" s="60">
        <v>0</v>
      </c>
      <c r="P72" s="60">
        <v>0.6</v>
      </c>
      <c r="Q72" s="60">
        <v>186.46</v>
      </c>
      <c r="R72" s="198"/>
      <c r="S72" s="198"/>
      <c r="T72" s="198"/>
      <c r="U72" s="198"/>
    </row>
    <row r="73" spans="1:21" s="12" customFormat="1" x14ac:dyDescent="0.25">
      <c r="A73" s="201" t="s">
        <v>1943</v>
      </c>
      <c r="B73" s="60">
        <v>32.39</v>
      </c>
      <c r="C73" s="60">
        <v>123.99</v>
      </c>
      <c r="D73" s="60">
        <v>94.4</v>
      </c>
      <c r="E73" s="60">
        <v>26.11</v>
      </c>
      <c r="F73" s="60">
        <v>5.98</v>
      </c>
      <c r="G73" s="60">
        <v>75.319999999999993</v>
      </c>
      <c r="H73" s="60">
        <v>25.44</v>
      </c>
      <c r="I73" s="60">
        <v>0.27</v>
      </c>
      <c r="J73" s="60">
        <v>0.96</v>
      </c>
      <c r="K73" s="60">
        <v>230.39</v>
      </c>
      <c r="L73" s="60">
        <v>26.76</v>
      </c>
      <c r="M73" s="60">
        <v>39.909999999999997</v>
      </c>
      <c r="N73" s="60">
        <v>53</v>
      </c>
      <c r="O73" s="60">
        <v>0</v>
      </c>
      <c r="P73" s="60">
        <v>0.69</v>
      </c>
      <c r="Q73" s="60">
        <v>174.22</v>
      </c>
      <c r="R73" s="198"/>
      <c r="S73" s="198"/>
      <c r="T73" s="198"/>
      <c r="U73" s="198"/>
    </row>
    <row r="74" spans="1:21" s="12" customFormat="1" x14ac:dyDescent="0.25">
      <c r="A74" s="201" t="s">
        <v>1944</v>
      </c>
      <c r="B74" s="60">
        <v>26.84</v>
      </c>
      <c r="C74" s="60">
        <v>124.55</v>
      </c>
      <c r="D74" s="60">
        <v>90.26</v>
      </c>
      <c r="E74" s="60">
        <v>25.62</v>
      </c>
      <c r="F74" s="60">
        <v>4.53</v>
      </c>
      <c r="G74" s="60">
        <v>75.319999999999993</v>
      </c>
      <c r="H74" s="60">
        <v>25.44</v>
      </c>
      <c r="I74" s="60">
        <v>0.28000000000000003</v>
      </c>
      <c r="J74" s="60">
        <v>0.64</v>
      </c>
      <c r="K74" s="60">
        <v>230.21</v>
      </c>
      <c r="L74" s="60">
        <v>26.2</v>
      </c>
      <c r="M74" s="60">
        <v>40.409999999999997</v>
      </c>
      <c r="N74" s="60">
        <v>41.1</v>
      </c>
      <c r="O74" s="60">
        <v>0</v>
      </c>
      <c r="P74" s="60">
        <v>0.66</v>
      </c>
      <c r="Q74" s="60">
        <v>149.37</v>
      </c>
      <c r="R74" s="198"/>
      <c r="S74" s="198"/>
      <c r="T74" s="198"/>
      <c r="U74" s="198"/>
    </row>
    <row r="75" spans="1:21" s="12" customFormat="1" x14ac:dyDescent="0.25">
      <c r="A75" s="201" t="s">
        <v>1945</v>
      </c>
      <c r="B75" s="60">
        <v>28.93</v>
      </c>
      <c r="C75" s="60">
        <v>124.5</v>
      </c>
      <c r="D75" s="60">
        <v>91.91</v>
      </c>
      <c r="E75" s="60">
        <v>22.98</v>
      </c>
      <c r="F75" s="60">
        <v>5.36</v>
      </c>
      <c r="G75" s="60">
        <v>75.319999999999993</v>
      </c>
      <c r="H75" s="60">
        <v>25.44</v>
      </c>
      <c r="I75" s="60">
        <v>0.28000000000000003</v>
      </c>
      <c r="J75" s="60">
        <v>0.4</v>
      </c>
      <c r="K75" s="60">
        <v>230.03</v>
      </c>
      <c r="L75" s="60">
        <v>25.78</v>
      </c>
      <c r="M75" s="60">
        <v>46.03</v>
      </c>
      <c r="N75" s="60">
        <v>29.3</v>
      </c>
      <c r="O75" s="60">
        <v>0</v>
      </c>
      <c r="P75" s="60">
        <v>0.69</v>
      </c>
      <c r="Q75" s="60">
        <v>156.26</v>
      </c>
      <c r="R75" s="198"/>
      <c r="S75" s="198"/>
      <c r="T75" s="198"/>
      <c r="U75" s="198"/>
    </row>
    <row r="76" spans="1:21" s="12" customFormat="1" x14ac:dyDescent="0.25">
      <c r="A76" s="201" t="s">
        <v>1946</v>
      </c>
      <c r="B76" s="60">
        <v>31.64</v>
      </c>
      <c r="C76" s="60">
        <v>119.87</v>
      </c>
      <c r="D76" s="60">
        <v>91.52</v>
      </c>
      <c r="E76" s="60">
        <v>21.41</v>
      </c>
      <c r="F76" s="60">
        <v>5.92</v>
      </c>
      <c r="G76" s="60">
        <v>76.34</v>
      </c>
      <c r="H76" s="60">
        <v>25.64</v>
      </c>
      <c r="I76" s="60">
        <v>0.28000000000000003</v>
      </c>
      <c r="J76" s="60">
        <v>0.39</v>
      </c>
      <c r="K76" s="60">
        <v>229.75</v>
      </c>
      <c r="L76" s="60">
        <v>25.11</v>
      </c>
      <c r="M76" s="60">
        <v>50.53</v>
      </c>
      <c r="N76" s="60">
        <v>18.899999999999999</v>
      </c>
      <c r="O76" s="60">
        <v>0</v>
      </c>
      <c r="P76" s="60">
        <v>0.7</v>
      </c>
      <c r="Q76" s="60">
        <v>170.46</v>
      </c>
      <c r="R76" s="198"/>
      <c r="S76" s="198"/>
      <c r="T76" s="198"/>
      <c r="U76" s="198"/>
    </row>
    <row r="77" spans="1:21" s="12" customFormat="1" x14ac:dyDescent="0.25">
      <c r="A77" s="201" t="s">
        <v>1947</v>
      </c>
      <c r="B77" s="60">
        <v>32.78</v>
      </c>
      <c r="C77" s="60">
        <v>114</v>
      </c>
      <c r="D77" s="60">
        <v>89.2</v>
      </c>
      <c r="E77" s="60">
        <v>20.12</v>
      </c>
      <c r="F77" s="60">
        <v>5.33</v>
      </c>
      <c r="G77" s="60">
        <v>84.93</v>
      </c>
      <c r="H77" s="60">
        <v>27.68</v>
      </c>
      <c r="I77" s="60">
        <v>0.28999999999999998</v>
      </c>
      <c r="J77" s="60">
        <v>0.24</v>
      </c>
      <c r="K77" s="60">
        <v>229.55</v>
      </c>
      <c r="L77" s="60">
        <v>24.72</v>
      </c>
      <c r="M77" s="60">
        <v>52.69</v>
      </c>
      <c r="N77" s="60">
        <v>10.3</v>
      </c>
      <c r="O77" s="60">
        <v>0</v>
      </c>
      <c r="P77" s="60">
        <v>0.69</v>
      </c>
      <c r="Q77" s="60">
        <v>176.98</v>
      </c>
      <c r="R77" s="198"/>
      <c r="S77" s="198"/>
      <c r="T77" s="198"/>
      <c r="U77" s="198"/>
    </row>
    <row r="78" spans="1:21" s="12" customFormat="1" x14ac:dyDescent="0.25">
      <c r="A78" s="201" t="s">
        <v>1948</v>
      </c>
      <c r="B78" s="60">
        <v>35.799999999999997</v>
      </c>
      <c r="C78" s="60">
        <v>119.57</v>
      </c>
      <c r="D78" s="60">
        <v>94.7</v>
      </c>
      <c r="E78" s="60">
        <v>19.47</v>
      </c>
      <c r="F78" s="60">
        <v>2.38</v>
      </c>
      <c r="G78" s="60">
        <v>84.93</v>
      </c>
      <c r="H78" s="60">
        <v>27.68</v>
      </c>
      <c r="I78" s="60">
        <v>0.31</v>
      </c>
      <c r="J78" s="60">
        <v>0.34</v>
      </c>
      <c r="K78" s="60">
        <v>229.3</v>
      </c>
      <c r="L78" s="60">
        <v>24.46</v>
      </c>
      <c r="M78" s="60">
        <v>54.07</v>
      </c>
      <c r="N78" s="60">
        <v>5.8</v>
      </c>
      <c r="O78" s="60">
        <v>0</v>
      </c>
      <c r="P78" s="60">
        <v>0.73</v>
      </c>
      <c r="Q78" s="60">
        <v>177.43</v>
      </c>
      <c r="R78" s="198"/>
      <c r="S78" s="198"/>
      <c r="T78" s="198"/>
      <c r="U78" s="198"/>
    </row>
    <row r="79" spans="1:21" s="12" customFormat="1" x14ac:dyDescent="0.25">
      <c r="A79" s="201" t="s">
        <v>1949</v>
      </c>
      <c r="B79" s="60">
        <v>46.5</v>
      </c>
      <c r="C79" s="60">
        <v>130.56</v>
      </c>
      <c r="D79" s="60">
        <v>109.34</v>
      </c>
      <c r="E79" s="60">
        <v>16.45</v>
      </c>
      <c r="F79" s="60">
        <v>1.34</v>
      </c>
      <c r="G79" s="60">
        <v>84.93</v>
      </c>
      <c r="H79" s="60">
        <v>27.68</v>
      </c>
      <c r="I79" s="60">
        <v>0.33</v>
      </c>
      <c r="J79" s="60">
        <v>0.24</v>
      </c>
      <c r="K79" s="60">
        <v>229.28</v>
      </c>
      <c r="L79" s="60">
        <v>24.15</v>
      </c>
      <c r="M79" s="60">
        <v>52.61</v>
      </c>
      <c r="N79" s="60">
        <v>5.0999999999999996</v>
      </c>
      <c r="O79" s="60">
        <v>0</v>
      </c>
      <c r="P79" s="60">
        <v>0.89</v>
      </c>
      <c r="Q79" s="60">
        <v>178.08</v>
      </c>
      <c r="R79" s="198"/>
      <c r="S79" s="198"/>
      <c r="T79" s="198"/>
      <c r="U79" s="198"/>
    </row>
    <row r="80" spans="1:21" s="12" customFormat="1" x14ac:dyDescent="0.25">
      <c r="A80" s="201" t="s">
        <v>1950</v>
      </c>
      <c r="B80" s="60">
        <v>49.57</v>
      </c>
      <c r="C80" s="60">
        <v>135.94</v>
      </c>
      <c r="D80" s="60">
        <v>114.77</v>
      </c>
      <c r="E80" s="60">
        <v>15.72</v>
      </c>
      <c r="F80" s="60">
        <v>1.43</v>
      </c>
      <c r="G80" s="60">
        <v>88.07</v>
      </c>
      <c r="H80" s="60">
        <v>28.17</v>
      </c>
      <c r="I80" s="60">
        <v>0.36</v>
      </c>
      <c r="J80" s="60">
        <v>0.26</v>
      </c>
      <c r="K80" s="60">
        <v>228.93</v>
      </c>
      <c r="L80" s="60">
        <v>23.7</v>
      </c>
      <c r="M80" s="60">
        <v>51.1</v>
      </c>
      <c r="N80" s="60">
        <v>4.9000000000000004</v>
      </c>
      <c r="O80" s="60">
        <v>0</v>
      </c>
      <c r="P80" s="60">
        <v>1.06</v>
      </c>
      <c r="Q80" s="60">
        <v>183.77</v>
      </c>
      <c r="R80" s="198"/>
      <c r="S80" s="198"/>
      <c r="T80" s="198"/>
      <c r="U80" s="198"/>
    </row>
    <row r="81" spans="1:26" s="12" customFormat="1" x14ac:dyDescent="0.25">
      <c r="A81" s="201" t="s">
        <v>1951</v>
      </c>
      <c r="B81" s="60">
        <v>61.95</v>
      </c>
      <c r="C81" s="60">
        <v>148.15</v>
      </c>
      <c r="D81" s="60">
        <v>131.44</v>
      </c>
      <c r="E81" s="60">
        <v>15.45</v>
      </c>
      <c r="F81" s="60">
        <v>1.38</v>
      </c>
      <c r="G81" s="60">
        <v>114.55</v>
      </c>
      <c r="H81" s="60">
        <v>33.270000000000003</v>
      </c>
      <c r="I81" s="60">
        <v>0.41</v>
      </c>
      <c r="J81" s="60">
        <v>0.13</v>
      </c>
      <c r="K81" s="60">
        <v>228.85</v>
      </c>
      <c r="L81" s="60">
        <v>23.16</v>
      </c>
      <c r="M81" s="60">
        <v>54.94</v>
      </c>
      <c r="N81" s="60">
        <v>5.2</v>
      </c>
      <c r="O81" s="60">
        <v>0</v>
      </c>
      <c r="P81" s="60">
        <v>1.21</v>
      </c>
      <c r="Q81" s="60">
        <v>187.98</v>
      </c>
      <c r="R81" s="198"/>
      <c r="S81" s="198"/>
      <c r="T81" s="198"/>
      <c r="U81" s="198"/>
    </row>
    <row r="82" spans="1:26" s="12" customFormat="1" x14ac:dyDescent="0.25">
      <c r="A82" s="201" t="s">
        <v>1952</v>
      </c>
      <c r="B82" s="60">
        <v>68.36</v>
      </c>
      <c r="C82" s="60">
        <v>143.01</v>
      </c>
      <c r="D82" s="60">
        <v>133.75</v>
      </c>
      <c r="E82" s="60">
        <v>14.41</v>
      </c>
      <c r="F82" s="60">
        <v>1.1499999999999999</v>
      </c>
      <c r="G82" s="60">
        <v>114.55</v>
      </c>
      <c r="H82" s="60">
        <v>33.270000000000003</v>
      </c>
      <c r="I82" s="60">
        <v>0.46</v>
      </c>
      <c r="J82" s="60">
        <v>0.27</v>
      </c>
      <c r="K82" s="60">
        <v>228.67</v>
      </c>
      <c r="L82" s="60">
        <v>22.54</v>
      </c>
      <c r="M82" s="60">
        <v>58.46</v>
      </c>
      <c r="N82" s="60">
        <v>4.8</v>
      </c>
      <c r="O82" s="60">
        <v>0</v>
      </c>
      <c r="P82" s="60">
        <v>1.32</v>
      </c>
      <c r="Q82" s="60">
        <v>199.69</v>
      </c>
      <c r="R82" s="198"/>
      <c r="S82" s="198"/>
      <c r="T82" s="198"/>
      <c r="U82" s="198"/>
    </row>
    <row r="83" spans="1:26" s="12" customFormat="1" x14ac:dyDescent="0.25">
      <c r="A83" s="201" t="s">
        <v>1953</v>
      </c>
      <c r="B83" s="60">
        <v>68.790000000000006</v>
      </c>
      <c r="C83" s="60">
        <v>152.38</v>
      </c>
      <c r="D83" s="60">
        <v>139.25</v>
      </c>
      <c r="E83" s="60">
        <v>14.94</v>
      </c>
      <c r="F83" s="60">
        <v>1.23</v>
      </c>
      <c r="G83" s="60">
        <v>114.55</v>
      </c>
      <c r="H83" s="60">
        <v>33.270000000000003</v>
      </c>
      <c r="I83" s="60">
        <v>0.5</v>
      </c>
      <c r="J83" s="60">
        <v>0.15</v>
      </c>
      <c r="K83" s="60">
        <v>228.51</v>
      </c>
      <c r="L83" s="60">
        <v>22.82</v>
      </c>
      <c r="M83" s="60">
        <v>53.82</v>
      </c>
      <c r="N83" s="60">
        <v>4.8</v>
      </c>
      <c r="O83" s="60">
        <v>0</v>
      </c>
      <c r="P83" s="60">
        <v>1.44</v>
      </c>
      <c r="Q83" s="60">
        <v>207.04</v>
      </c>
      <c r="R83" s="198"/>
      <c r="S83" s="198"/>
      <c r="T83" s="198"/>
      <c r="U83" s="198"/>
    </row>
    <row r="84" spans="1:26" s="12" customFormat="1" x14ac:dyDescent="0.25">
      <c r="A84" s="201" t="s">
        <v>1954</v>
      </c>
      <c r="B84" s="60">
        <v>73.66</v>
      </c>
      <c r="C84" s="60">
        <v>157.46</v>
      </c>
      <c r="D84" s="60">
        <v>145.97</v>
      </c>
      <c r="E84" s="60">
        <v>14.65</v>
      </c>
      <c r="F84" s="60">
        <v>1.23</v>
      </c>
      <c r="G84" s="60">
        <v>124.77</v>
      </c>
      <c r="H84" s="60">
        <v>33.729999999999997</v>
      </c>
      <c r="I84" s="60">
        <v>0.55000000000000004</v>
      </c>
      <c r="J84" s="60">
        <v>0.21</v>
      </c>
      <c r="K84" s="60">
        <v>228.37</v>
      </c>
      <c r="L84" s="60">
        <v>22.58</v>
      </c>
      <c r="M84" s="60">
        <v>55.87</v>
      </c>
      <c r="N84" s="60">
        <v>4.7</v>
      </c>
      <c r="O84" s="60">
        <v>0</v>
      </c>
      <c r="P84" s="60">
        <v>1.48</v>
      </c>
      <c r="Q84" s="60">
        <v>208.6</v>
      </c>
      <c r="R84" s="198"/>
      <c r="S84" s="198"/>
      <c r="T84" s="198"/>
      <c r="U84" s="198"/>
    </row>
    <row r="85" spans="1:26" s="12" customFormat="1" x14ac:dyDescent="0.25">
      <c r="A85" s="201" t="s">
        <v>1955</v>
      </c>
      <c r="B85" s="60">
        <v>78.64</v>
      </c>
      <c r="C85" s="60">
        <v>159.88999999999999</v>
      </c>
      <c r="D85" s="60">
        <v>151.30000000000001</v>
      </c>
      <c r="E85" s="60">
        <v>16.21</v>
      </c>
      <c r="F85" s="60">
        <v>1.02</v>
      </c>
      <c r="G85" s="60">
        <v>210.85</v>
      </c>
      <c r="H85" s="60">
        <v>38.39</v>
      </c>
      <c r="I85" s="60">
        <v>0.61</v>
      </c>
      <c r="J85" s="60">
        <v>0.18</v>
      </c>
      <c r="K85" s="60">
        <v>228.36</v>
      </c>
      <c r="L85" s="60">
        <v>22.15</v>
      </c>
      <c r="M85" s="60">
        <v>59.78</v>
      </c>
      <c r="N85" s="60">
        <v>4.9000000000000004</v>
      </c>
      <c r="O85" s="60">
        <v>0</v>
      </c>
      <c r="P85" s="60">
        <v>1.54</v>
      </c>
      <c r="Q85" s="60">
        <v>212.27</v>
      </c>
      <c r="R85" s="198"/>
      <c r="S85" s="198"/>
      <c r="T85" s="198"/>
      <c r="U85" s="198"/>
    </row>
    <row r="86" spans="1:26" s="12" customFormat="1" x14ac:dyDescent="0.25">
      <c r="A86" s="201" t="s">
        <v>1956</v>
      </c>
      <c r="B86" s="60">
        <v>80.41</v>
      </c>
      <c r="C86" s="60">
        <v>164.54</v>
      </c>
      <c r="D86" s="60">
        <v>155.29</v>
      </c>
      <c r="E86" s="60">
        <v>16.760000000000002</v>
      </c>
      <c r="F86" s="60">
        <v>1.04</v>
      </c>
      <c r="G86" s="60">
        <v>210.85</v>
      </c>
      <c r="H86" s="60">
        <v>38.39</v>
      </c>
      <c r="I86" s="60">
        <v>0.64</v>
      </c>
      <c r="J86" s="60">
        <v>0.23</v>
      </c>
      <c r="K86" s="60">
        <v>228.23</v>
      </c>
      <c r="L86" s="60">
        <v>22.08</v>
      </c>
      <c r="M86" s="60">
        <v>57.13</v>
      </c>
      <c r="N86" s="60">
        <v>4.5999999999999996</v>
      </c>
      <c r="O86" s="60">
        <v>0</v>
      </c>
      <c r="P86" s="60">
        <v>1.68</v>
      </c>
      <c r="Q86" s="60">
        <v>224.51</v>
      </c>
      <c r="R86" s="198"/>
      <c r="S86" s="198"/>
      <c r="T86" s="198"/>
      <c r="U86" s="198"/>
    </row>
    <row r="87" spans="1:26" s="12" customFormat="1" x14ac:dyDescent="0.25">
      <c r="A87" s="201" t="s">
        <v>1957</v>
      </c>
      <c r="B87" s="60">
        <v>81.459999999999994</v>
      </c>
      <c r="C87" s="60">
        <v>167.04</v>
      </c>
      <c r="D87" s="60">
        <v>157.51</v>
      </c>
      <c r="E87" s="60">
        <v>16.22</v>
      </c>
      <c r="F87" s="60">
        <v>1.01</v>
      </c>
      <c r="G87" s="60">
        <v>210.85</v>
      </c>
      <c r="H87" s="60">
        <v>38.39</v>
      </c>
      <c r="I87" s="60">
        <v>0.69</v>
      </c>
      <c r="J87" s="60">
        <v>0.24</v>
      </c>
      <c r="K87" s="60">
        <v>228.26</v>
      </c>
      <c r="L87" s="60">
        <v>22.28</v>
      </c>
      <c r="M87" s="60">
        <v>55.83</v>
      </c>
      <c r="N87" s="60">
        <v>4.5999999999999996</v>
      </c>
      <c r="O87" s="60">
        <v>0</v>
      </c>
      <c r="P87" s="60">
        <v>1.71</v>
      </c>
      <c r="Q87" s="60">
        <v>233.48</v>
      </c>
      <c r="R87" s="198"/>
      <c r="S87" s="198"/>
      <c r="T87" s="198"/>
      <c r="U87" s="198"/>
    </row>
    <row r="88" spans="1:26" s="12" customFormat="1" x14ac:dyDescent="0.25">
      <c r="A88" s="201" t="s">
        <v>1958</v>
      </c>
      <c r="B88" s="60">
        <v>83.43</v>
      </c>
      <c r="C88" s="60">
        <v>159.07</v>
      </c>
      <c r="D88" s="60">
        <v>154.69</v>
      </c>
      <c r="E88" s="60">
        <v>12.62</v>
      </c>
      <c r="F88" s="60">
        <v>0.99</v>
      </c>
      <c r="G88" s="60">
        <v>204.57</v>
      </c>
      <c r="H88" s="60">
        <v>38.659999999999997</v>
      </c>
      <c r="I88" s="60">
        <v>0.74</v>
      </c>
      <c r="J88" s="60">
        <v>0.24</v>
      </c>
      <c r="K88" s="60">
        <v>228.29</v>
      </c>
      <c r="L88" s="60">
        <v>22.1</v>
      </c>
      <c r="M88" s="60">
        <v>56.93</v>
      </c>
      <c r="N88" s="60">
        <v>4.5999999999999996</v>
      </c>
      <c r="O88" s="60">
        <v>0</v>
      </c>
      <c r="P88" s="60">
        <v>1.76</v>
      </c>
      <c r="Q88" s="60">
        <v>238.01</v>
      </c>
      <c r="R88" s="198"/>
      <c r="S88" s="198"/>
      <c r="T88" s="198"/>
      <c r="U88" s="198"/>
    </row>
    <row r="89" spans="1:26" s="12" customFormat="1" x14ac:dyDescent="0.25">
      <c r="A89" s="201" t="s">
        <v>1959</v>
      </c>
      <c r="B89" s="60">
        <v>86.88</v>
      </c>
      <c r="C89" s="60">
        <v>159.53</v>
      </c>
      <c r="D89" s="60">
        <v>157.71</v>
      </c>
      <c r="E89" s="60">
        <v>14.92</v>
      </c>
      <c r="F89" s="60">
        <v>0.91</v>
      </c>
      <c r="G89" s="60">
        <v>151.62</v>
      </c>
      <c r="H89" s="60">
        <v>41.48</v>
      </c>
      <c r="I89" s="60">
        <v>0.78</v>
      </c>
      <c r="J89" s="60">
        <v>0.19</v>
      </c>
      <c r="K89" s="60">
        <v>228.21</v>
      </c>
      <c r="L89" s="60">
        <v>21.97</v>
      </c>
      <c r="M89" s="60">
        <v>57.51</v>
      </c>
      <c r="N89" s="60">
        <v>4.8</v>
      </c>
      <c r="O89" s="60">
        <v>0</v>
      </c>
      <c r="P89" s="60">
        <v>1.8</v>
      </c>
      <c r="Q89" s="60">
        <v>239.86</v>
      </c>
      <c r="R89" s="198"/>
      <c r="S89" s="198"/>
      <c r="T89" s="198"/>
      <c r="U89" s="198"/>
    </row>
    <row r="90" spans="1:26" s="12" customFormat="1" x14ac:dyDescent="0.25">
      <c r="A90" s="201" t="s">
        <v>1960</v>
      </c>
      <c r="B90" s="60">
        <v>91.6</v>
      </c>
      <c r="C90" s="60">
        <v>164.51</v>
      </c>
      <c r="D90" s="60">
        <v>164.24</v>
      </c>
      <c r="E90" s="60">
        <v>15</v>
      </c>
      <c r="F90" s="60">
        <v>0.77</v>
      </c>
      <c r="G90" s="60">
        <v>151.62</v>
      </c>
      <c r="H90" s="60">
        <v>41.48</v>
      </c>
      <c r="I90" s="60">
        <v>0.81</v>
      </c>
      <c r="J90" s="60">
        <v>0.1</v>
      </c>
      <c r="K90" s="60">
        <v>228.16</v>
      </c>
      <c r="L90" s="60">
        <v>21.44</v>
      </c>
      <c r="M90" s="60">
        <v>60.31</v>
      </c>
      <c r="N90" s="60">
        <v>5.2</v>
      </c>
      <c r="O90" s="60">
        <v>0</v>
      </c>
      <c r="P90" s="60">
        <v>1.85</v>
      </c>
      <c r="Q90" s="60">
        <v>244.53</v>
      </c>
      <c r="R90" s="198"/>
      <c r="S90" s="198"/>
      <c r="T90" s="198"/>
      <c r="U90" s="198"/>
    </row>
    <row r="91" spans="1:26" s="12" customFormat="1" x14ac:dyDescent="0.25">
      <c r="A91" s="201" t="s">
        <v>1961</v>
      </c>
      <c r="B91" s="60">
        <v>97.54</v>
      </c>
      <c r="C91" s="60">
        <v>166.86</v>
      </c>
      <c r="D91" s="60">
        <v>170.3</v>
      </c>
      <c r="E91" s="60">
        <v>14.49</v>
      </c>
      <c r="F91" s="60">
        <v>0.9</v>
      </c>
      <c r="G91" s="60">
        <v>151.62</v>
      </c>
      <c r="H91" s="60">
        <v>41.48</v>
      </c>
      <c r="I91" s="60">
        <v>0.86</v>
      </c>
      <c r="J91" s="60">
        <v>0.14000000000000001</v>
      </c>
      <c r="K91" s="60">
        <v>228.02</v>
      </c>
      <c r="L91" s="60">
        <v>21.21</v>
      </c>
      <c r="M91" s="60">
        <v>61.46</v>
      </c>
      <c r="N91" s="60">
        <v>4.7</v>
      </c>
      <c r="O91" s="60">
        <v>0</v>
      </c>
      <c r="P91" s="60">
        <v>1.93</v>
      </c>
      <c r="Q91" s="60">
        <v>248.32</v>
      </c>
      <c r="R91" s="198"/>
      <c r="S91" s="198"/>
      <c r="T91" s="198"/>
      <c r="U91" s="198"/>
    </row>
    <row r="92" spans="1:26" s="12" customFormat="1" x14ac:dyDescent="0.25">
      <c r="A92" s="201" t="s">
        <v>1962</v>
      </c>
      <c r="B92" s="60">
        <v>95.02</v>
      </c>
      <c r="C92" s="60">
        <v>168.15</v>
      </c>
      <c r="D92" s="60">
        <v>169</v>
      </c>
      <c r="E92" s="60">
        <v>14.14</v>
      </c>
      <c r="F92" s="60">
        <v>1</v>
      </c>
      <c r="G92" s="60">
        <v>153.06</v>
      </c>
      <c r="H92" s="60">
        <v>41.38</v>
      </c>
      <c r="I92" s="60">
        <v>0.9</v>
      </c>
      <c r="J92" s="60">
        <v>0.1</v>
      </c>
      <c r="K92" s="60">
        <v>228.01</v>
      </c>
      <c r="L92" s="60">
        <v>21.17</v>
      </c>
      <c r="M92" s="60">
        <v>60.95</v>
      </c>
      <c r="N92" s="60">
        <v>4.8</v>
      </c>
      <c r="O92" s="60">
        <v>0</v>
      </c>
      <c r="P92" s="60">
        <v>1.99</v>
      </c>
      <c r="Q92" s="60">
        <v>251.56</v>
      </c>
      <c r="R92" s="198"/>
      <c r="S92" s="198"/>
      <c r="T92" s="198"/>
      <c r="U92" s="198"/>
    </row>
    <row r="93" spans="1:26" s="12" customFormat="1" x14ac:dyDescent="0.25">
      <c r="A93" s="201" t="s">
        <v>1963</v>
      </c>
      <c r="B93" s="60">
        <v>97.73</v>
      </c>
      <c r="C93" s="60">
        <v>164.98</v>
      </c>
      <c r="D93" s="60">
        <v>169.42</v>
      </c>
      <c r="E93" s="60">
        <v>11.95</v>
      </c>
      <c r="F93" s="60">
        <v>0.84</v>
      </c>
      <c r="G93" s="60">
        <v>165.16</v>
      </c>
      <c r="H93" s="60">
        <v>40.4</v>
      </c>
      <c r="I93" s="60">
        <v>0.95</v>
      </c>
      <c r="J93" s="60">
        <v>0.19</v>
      </c>
      <c r="K93" s="60">
        <v>227.83</v>
      </c>
      <c r="L93" s="60">
        <v>20.95</v>
      </c>
      <c r="M93" s="60">
        <v>61.35</v>
      </c>
      <c r="N93" s="60">
        <v>4.5999999999999996</v>
      </c>
      <c r="O93" s="60">
        <v>0</v>
      </c>
      <c r="P93" s="60">
        <v>2.02</v>
      </c>
      <c r="Q93" s="60">
        <v>247.38</v>
      </c>
      <c r="R93" s="198"/>
      <c r="S93" s="198"/>
      <c r="T93" s="198"/>
      <c r="U93" s="198"/>
    </row>
    <row r="94" spans="1:26" s="12" customFormat="1" x14ac:dyDescent="0.25">
      <c r="A94" s="201" t="s">
        <v>1964</v>
      </c>
      <c r="B94" s="60">
        <v>99.51</v>
      </c>
      <c r="C94" s="60">
        <v>166.28</v>
      </c>
      <c r="D94" s="60">
        <v>171.57</v>
      </c>
      <c r="E94" s="60">
        <v>11.99</v>
      </c>
      <c r="F94" s="60">
        <v>0.88</v>
      </c>
      <c r="G94" s="60">
        <v>165.16</v>
      </c>
      <c r="H94" s="60">
        <v>40.4</v>
      </c>
      <c r="I94" s="60">
        <v>0.98</v>
      </c>
      <c r="J94" s="60">
        <v>0.21</v>
      </c>
      <c r="K94" s="60">
        <v>228.05</v>
      </c>
      <c r="L94" s="60">
        <v>21.04</v>
      </c>
      <c r="M94" s="60">
        <v>61.67</v>
      </c>
      <c r="N94" s="60">
        <v>4.5999999999999996</v>
      </c>
      <c r="O94" s="60">
        <v>0</v>
      </c>
      <c r="P94" s="60">
        <v>2.06</v>
      </c>
      <c r="Q94" s="60">
        <v>243.62</v>
      </c>
      <c r="R94" s="198"/>
      <c r="S94" s="198"/>
      <c r="T94" s="198"/>
      <c r="U94" s="198"/>
    </row>
    <row r="95" spans="1:26" s="12" customFormat="1" x14ac:dyDescent="0.25">
      <c r="A95" s="201" t="s">
        <v>1965</v>
      </c>
      <c r="B95" s="60">
        <v>103.38</v>
      </c>
      <c r="C95" s="60">
        <v>170.27</v>
      </c>
      <c r="D95" s="60">
        <v>176.87</v>
      </c>
      <c r="E95" s="60">
        <v>11.39</v>
      </c>
      <c r="F95" s="60">
        <v>0.91</v>
      </c>
      <c r="G95" s="60">
        <v>165.16</v>
      </c>
      <c r="H95" s="60">
        <v>40.4</v>
      </c>
      <c r="I95" s="60">
        <v>1.01</v>
      </c>
      <c r="J95" s="60">
        <v>0.15</v>
      </c>
      <c r="K95" s="60">
        <v>227.83</v>
      </c>
      <c r="L95" s="60">
        <v>20.57</v>
      </c>
      <c r="M95" s="60">
        <v>66.19</v>
      </c>
      <c r="N95" s="60">
        <v>5</v>
      </c>
      <c r="O95" s="60">
        <v>0</v>
      </c>
      <c r="P95" s="60">
        <v>2.15</v>
      </c>
      <c r="Q95" s="60">
        <v>245.42</v>
      </c>
      <c r="R95" s="198"/>
      <c r="S95" s="198"/>
      <c r="T95" s="198"/>
      <c r="U95" s="198"/>
    </row>
    <row r="96" spans="1:26" s="12" customFormat="1" x14ac:dyDescent="0.25">
      <c r="A96" s="201" t="s">
        <v>1966</v>
      </c>
      <c r="B96" s="60">
        <v>108.31</v>
      </c>
      <c r="C96" s="60">
        <v>175.79</v>
      </c>
      <c r="D96" s="60">
        <v>183.87</v>
      </c>
      <c r="E96" s="60">
        <v>11.48</v>
      </c>
      <c r="F96" s="60">
        <v>0.88</v>
      </c>
      <c r="G96" s="60">
        <v>170.32</v>
      </c>
      <c r="H96" s="60">
        <v>40.770000000000003</v>
      </c>
      <c r="I96" s="60">
        <v>1.02</v>
      </c>
      <c r="J96" s="60">
        <v>0.12</v>
      </c>
      <c r="K96" s="60">
        <v>227.68</v>
      </c>
      <c r="L96" s="60">
        <v>20.3</v>
      </c>
      <c r="M96" s="60">
        <v>65.34</v>
      </c>
      <c r="N96" s="60">
        <v>5</v>
      </c>
      <c r="O96" s="60">
        <v>0</v>
      </c>
      <c r="P96" s="60">
        <v>2.2400000000000002</v>
      </c>
      <c r="Q96" s="60">
        <v>248.08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1967</v>
      </c>
      <c r="B97" s="60">
        <v>111.28</v>
      </c>
      <c r="C97" s="60">
        <v>178.85</v>
      </c>
      <c r="D97" s="60">
        <v>187.94</v>
      </c>
      <c r="E97" s="60">
        <v>11.57</v>
      </c>
      <c r="F97" s="60">
        <v>0.83</v>
      </c>
      <c r="G97" s="60">
        <v>213.87</v>
      </c>
      <c r="H97" s="60">
        <v>44.58</v>
      </c>
      <c r="I97" s="60">
        <v>1.04</v>
      </c>
      <c r="J97" s="60">
        <v>0.12</v>
      </c>
      <c r="K97" s="60">
        <v>227.63</v>
      </c>
      <c r="L97" s="60">
        <v>20.14</v>
      </c>
      <c r="M97" s="60">
        <v>65.88</v>
      </c>
      <c r="N97" s="60">
        <v>4.8</v>
      </c>
      <c r="O97" s="60">
        <v>0</v>
      </c>
      <c r="P97" s="60">
        <v>2.2999999999999998</v>
      </c>
      <c r="Q97" s="60">
        <v>247.94</v>
      </c>
      <c r="R97" s="198"/>
      <c r="S97" s="198"/>
      <c r="T97" s="198"/>
      <c r="U97" s="198"/>
    </row>
    <row r="98" spans="1:33" s="12" customFormat="1" x14ac:dyDescent="0.25">
      <c r="A98" s="201" t="s">
        <v>1968</v>
      </c>
      <c r="B98" s="60">
        <v>112.88</v>
      </c>
      <c r="C98" s="60">
        <v>180.21</v>
      </c>
      <c r="D98" s="60">
        <v>189.98</v>
      </c>
      <c r="E98" s="60">
        <v>11.27</v>
      </c>
      <c r="F98" s="60">
        <v>0.84</v>
      </c>
      <c r="G98" s="60">
        <v>213.87</v>
      </c>
      <c r="H98" s="60">
        <v>44.58</v>
      </c>
      <c r="I98" s="60">
        <v>1.07</v>
      </c>
      <c r="J98" s="60">
        <v>0.12</v>
      </c>
      <c r="K98" s="60">
        <v>227.67</v>
      </c>
      <c r="L98" s="60">
        <v>19.809999999999999</v>
      </c>
      <c r="M98" s="60">
        <v>70.14</v>
      </c>
      <c r="N98" s="60">
        <v>4.9000000000000004</v>
      </c>
      <c r="O98" s="60">
        <v>0</v>
      </c>
      <c r="P98" s="60">
        <v>2.37</v>
      </c>
      <c r="Q98" s="60">
        <v>247.89</v>
      </c>
      <c r="R98" s="198"/>
      <c r="S98" s="198"/>
      <c r="T98" s="198"/>
      <c r="U98" s="198"/>
    </row>
    <row r="99" spans="1:33" s="12" customFormat="1" x14ac:dyDescent="0.25">
      <c r="A99" s="201" t="s">
        <v>1969</v>
      </c>
      <c r="B99" s="60">
        <v>115.28</v>
      </c>
      <c r="C99" s="60">
        <v>183.22</v>
      </c>
      <c r="D99" s="60">
        <v>193.56</v>
      </c>
      <c r="E99" s="60">
        <v>12.37</v>
      </c>
      <c r="F99" s="60">
        <v>0.87</v>
      </c>
      <c r="G99" s="60">
        <v>213.87</v>
      </c>
      <c r="H99" s="60">
        <v>44.58</v>
      </c>
      <c r="I99" s="60">
        <v>1.0900000000000001</v>
      </c>
      <c r="J99" s="60">
        <v>0.18</v>
      </c>
      <c r="K99" s="60">
        <v>227.66</v>
      </c>
      <c r="L99" s="60">
        <v>19.71</v>
      </c>
      <c r="M99" s="60">
        <v>70.37</v>
      </c>
      <c r="N99" s="60">
        <v>4.7</v>
      </c>
      <c r="O99" s="60">
        <v>0</v>
      </c>
      <c r="P99" s="60">
        <v>2.44</v>
      </c>
      <c r="Q99" s="60">
        <v>249.45</v>
      </c>
      <c r="R99" s="198"/>
      <c r="S99" s="198"/>
      <c r="T99" s="198"/>
      <c r="U99" s="198"/>
    </row>
    <row r="100" spans="1:33" s="12" customFormat="1" x14ac:dyDescent="0.25">
      <c r="A100" s="201" t="s">
        <v>1970</v>
      </c>
      <c r="B100" s="60">
        <v>117.94</v>
      </c>
      <c r="C100" s="60">
        <v>185.68</v>
      </c>
      <c r="D100" s="60">
        <v>197.05</v>
      </c>
      <c r="E100" s="60">
        <v>12.37</v>
      </c>
      <c r="F100" s="60">
        <v>0.82</v>
      </c>
      <c r="G100" s="60">
        <v>211.74</v>
      </c>
      <c r="H100" s="60">
        <v>44.5</v>
      </c>
      <c r="I100" s="60">
        <v>1.1399999999999999</v>
      </c>
      <c r="J100" s="60">
        <v>0.18</v>
      </c>
      <c r="K100" s="60">
        <v>227.45</v>
      </c>
      <c r="L100" s="60">
        <v>19.670000000000002</v>
      </c>
      <c r="M100" s="60">
        <v>71.13</v>
      </c>
      <c r="N100" s="60">
        <v>4.5</v>
      </c>
      <c r="O100" s="60">
        <v>0</v>
      </c>
      <c r="P100" s="60">
        <v>2.54</v>
      </c>
      <c r="Q100" s="60">
        <v>254.04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1971</v>
      </c>
      <c r="B101" s="60">
        <v>118.65</v>
      </c>
      <c r="C101" s="60">
        <v>185.8</v>
      </c>
      <c r="D101" s="60">
        <v>197.69</v>
      </c>
      <c r="E101" s="60">
        <v>12.99</v>
      </c>
      <c r="F101" s="60">
        <v>0.83</v>
      </c>
      <c r="G101" s="60">
        <v>193.87</v>
      </c>
      <c r="H101" s="60">
        <v>43.69</v>
      </c>
      <c r="I101" s="60">
        <v>1.2</v>
      </c>
      <c r="J101" s="60">
        <v>0.18</v>
      </c>
      <c r="K101" s="60">
        <v>227.57</v>
      </c>
      <c r="L101" s="60">
        <v>19.46</v>
      </c>
      <c r="M101" s="60">
        <v>72.209999999999994</v>
      </c>
      <c r="N101" s="60">
        <v>4.8</v>
      </c>
      <c r="O101" s="60">
        <v>0</v>
      </c>
      <c r="P101" s="60">
        <v>2.61</v>
      </c>
      <c r="Q101" s="60">
        <v>253.88</v>
      </c>
      <c r="R101" s="198"/>
      <c r="S101" s="198"/>
      <c r="T101" s="198"/>
      <c r="U101" s="198"/>
    </row>
    <row r="102" spans="1:33" s="12" customFormat="1" x14ac:dyDescent="0.25">
      <c r="A102" s="201" t="s">
        <v>1972</v>
      </c>
      <c r="B102" s="60">
        <v>119.9</v>
      </c>
      <c r="C102" s="60">
        <v>183.66</v>
      </c>
      <c r="D102" s="60">
        <v>197.51</v>
      </c>
      <c r="E102" s="60">
        <v>12.9</v>
      </c>
      <c r="F102" s="60">
        <v>0.61</v>
      </c>
      <c r="G102" s="60">
        <v>193.87</v>
      </c>
      <c r="H102" s="60">
        <v>43.69</v>
      </c>
      <c r="I102" s="60">
        <v>1.25</v>
      </c>
      <c r="J102" s="60">
        <v>0.14000000000000001</v>
      </c>
      <c r="K102" s="60">
        <v>227.47</v>
      </c>
      <c r="L102" s="60">
        <v>19.18</v>
      </c>
      <c r="M102" s="60">
        <v>72.61</v>
      </c>
      <c r="N102" s="60">
        <v>4.8</v>
      </c>
      <c r="O102" s="60">
        <v>0</v>
      </c>
      <c r="P102" s="60">
        <v>2.66</v>
      </c>
      <c r="Q102" s="60">
        <v>255.49</v>
      </c>
      <c r="R102" s="198"/>
      <c r="S102" s="198"/>
      <c r="T102" s="198"/>
      <c r="U102" s="198"/>
    </row>
    <row r="103" spans="1:33" s="12" customFormat="1" x14ac:dyDescent="0.25">
      <c r="A103" s="201" t="s">
        <v>1973</v>
      </c>
      <c r="B103" s="60">
        <v>121.16</v>
      </c>
      <c r="C103" s="60">
        <v>183.39</v>
      </c>
      <c r="D103" s="60">
        <v>198.37</v>
      </c>
      <c r="E103" s="60">
        <v>12.51</v>
      </c>
      <c r="F103" s="60">
        <v>0.89</v>
      </c>
      <c r="G103" s="60">
        <v>193.87</v>
      </c>
      <c r="H103" s="60">
        <v>43.69</v>
      </c>
      <c r="I103" s="60">
        <v>1.33</v>
      </c>
      <c r="J103" s="60">
        <v>0.74</v>
      </c>
      <c r="K103" s="60">
        <v>227.66</v>
      </c>
      <c r="L103" s="60">
        <v>19.260000000000002</v>
      </c>
      <c r="M103" s="60">
        <v>73.23</v>
      </c>
      <c r="N103" s="60">
        <v>3.4</v>
      </c>
      <c r="O103" s="60">
        <v>0</v>
      </c>
      <c r="P103" s="60">
        <v>2.71</v>
      </c>
      <c r="Q103" s="60">
        <v>254.79</v>
      </c>
      <c r="R103" s="198"/>
      <c r="S103" s="198"/>
      <c r="T103" s="198"/>
      <c r="U103" s="198"/>
    </row>
    <row r="104" spans="1:33" s="12" customFormat="1" x14ac:dyDescent="0.25">
      <c r="A104" s="201" t="s">
        <v>1974</v>
      </c>
      <c r="B104" s="60">
        <v>117.97</v>
      </c>
      <c r="C104" s="60">
        <v>179.38</v>
      </c>
      <c r="D104" s="60">
        <v>193.6</v>
      </c>
      <c r="E104" s="60">
        <v>8.5</v>
      </c>
      <c r="F104" s="60">
        <v>0.98</v>
      </c>
      <c r="G104" s="60">
        <v>193.42</v>
      </c>
      <c r="H104" s="60">
        <v>44.18</v>
      </c>
      <c r="I104" s="60">
        <v>1.38</v>
      </c>
      <c r="J104" s="60">
        <v>0.87</v>
      </c>
      <c r="K104" s="60">
        <v>227.99</v>
      </c>
      <c r="L104" s="60">
        <v>19.71</v>
      </c>
      <c r="M104" s="60">
        <v>66.02</v>
      </c>
      <c r="N104" s="60">
        <v>3.6</v>
      </c>
      <c r="O104" s="60">
        <v>0</v>
      </c>
      <c r="P104" s="60">
        <v>2.68</v>
      </c>
      <c r="Q104" s="60">
        <v>249.81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3.09</v>
      </c>
      <c r="C106" s="67">
        <f>MIN(C9:C104)</f>
        <v>30.12</v>
      </c>
      <c r="D106" s="67">
        <f t="shared" ref="D106:Q106" si="0">MIN(D9:D104)</f>
        <v>42.37</v>
      </c>
      <c r="E106" s="67">
        <f t="shared" si="0"/>
        <v>2.83</v>
      </c>
      <c r="F106" s="67">
        <f t="shared" si="0"/>
        <v>0.61</v>
      </c>
      <c r="G106" s="67">
        <f t="shared" si="0"/>
        <v>61.54</v>
      </c>
      <c r="H106" s="67">
        <f t="shared" si="0"/>
        <v>25.44</v>
      </c>
      <c r="I106" s="67">
        <f t="shared" si="0"/>
        <v>0.08</v>
      </c>
      <c r="J106" s="67">
        <f t="shared" si="0"/>
        <v>0.1</v>
      </c>
      <c r="K106" s="67">
        <f t="shared" si="0"/>
        <v>227.45</v>
      </c>
      <c r="L106" s="67">
        <f t="shared" si="0"/>
        <v>19.13</v>
      </c>
      <c r="M106" s="67">
        <f t="shared" si="0"/>
        <v>34.81</v>
      </c>
      <c r="N106" s="67">
        <f t="shared" si="0"/>
        <v>3.4</v>
      </c>
      <c r="O106" s="67">
        <f t="shared" si="0"/>
        <v>0</v>
      </c>
      <c r="P106" s="67">
        <f t="shared" si="0"/>
        <v>0.39</v>
      </c>
      <c r="Q106" s="67">
        <f t="shared" si="0"/>
        <v>107.11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121.16</v>
      </c>
      <c r="C107" s="66">
        <f t="shared" ref="C107:Q107" si="1">MAX(C9:C104)</f>
        <v>185.8</v>
      </c>
      <c r="D107" s="66">
        <f t="shared" si="1"/>
        <v>198.37</v>
      </c>
      <c r="E107" s="66">
        <f t="shared" si="1"/>
        <v>89.83</v>
      </c>
      <c r="F107" s="66">
        <f t="shared" si="1"/>
        <v>28.81</v>
      </c>
      <c r="G107" s="66">
        <f t="shared" si="1"/>
        <v>229.32</v>
      </c>
      <c r="H107" s="66">
        <f t="shared" si="1"/>
        <v>83.42</v>
      </c>
      <c r="I107" s="66">
        <f t="shared" si="1"/>
        <v>1.38</v>
      </c>
      <c r="J107" s="66">
        <f t="shared" si="1"/>
        <v>1.88</v>
      </c>
      <c r="K107" s="66">
        <f t="shared" si="1"/>
        <v>232.39</v>
      </c>
      <c r="L107" s="66">
        <f t="shared" si="1"/>
        <v>30.03</v>
      </c>
      <c r="M107" s="66">
        <f t="shared" si="1"/>
        <v>73.23</v>
      </c>
      <c r="N107" s="66">
        <f t="shared" si="1"/>
        <v>574.70000000000005</v>
      </c>
      <c r="O107" s="66">
        <f t="shared" si="1"/>
        <v>0</v>
      </c>
      <c r="P107" s="66">
        <f t="shared" si="1"/>
        <v>2.71</v>
      </c>
      <c r="Q107" s="66">
        <f t="shared" si="1"/>
        <v>292.38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38.462395833333346</v>
      </c>
      <c r="C108" s="67">
        <f t="shared" ref="C108:Q108" si="2">AVERAGE(C9:C104)</f>
        <v>123.92677083333332</v>
      </c>
      <c r="D108" s="67">
        <f t="shared" si="2"/>
        <v>99.235937499999991</v>
      </c>
      <c r="E108" s="67">
        <f t="shared" si="2"/>
        <v>17.413750000000004</v>
      </c>
      <c r="F108" s="67">
        <f t="shared" si="2"/>
        <v>3.3804166666666666</v>
      </c>
      <c r="G108" s="67">
        <f t="shared" si="2"/>
        <v>154.07489583333344</v>
      </c>
      <c r="H108" s="67">
        <f t="shared" si="2"/>
        <v>52.657916666666637</v>
      </c>
      <c r="I108" s="67">
        <f t="shared" si="2"/>
        <v>0.58156250000000009</v>
      </c>
      <c r="J108" s="67">
        <f t="shared" si="2"/>
        <v>0.86541666666666661</v>
      </c>
      <c r="K108" s="67">
        <f t="shared" si="2"/>
        <v>229.29031249999991</v>
      </c>
      <c r="L108" s="67">
        <f t="shared" si="2"/>
        <v>22.967708333333338</v>
      </c>
      <c r="M108" s="67">
        <f t="shared" si="2"/>
        <v>56.62572916666668</v>
      </c>
      <c r="N108" s="67">
        <f t="shared" si="2"/>
        <v>135.86354166666663</v>
      </c>
      <c r="O108" s="67">
        <f t="shared" si="2"/>
        <v>0</v>
      </c>
      <c r="P108" s="67">
        <f t="shared" si="2"/>
        <v>1.4203124999999999</v>
      </c>
      <c r="Q108" s="67">
        <f t="shared" si="2"/>
        <v>182.04175824175832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36.214440380796958</v>
      </c>
      <c r="C109" s="67">
        <f t="shared" ref="C109:Q109" si="3">STDEV(C9:C104)</f>
        <v>29.45795471139343</v>
      </c>
      <c r="D109" s="67">
        <f t="shared" si="3"/>
        <v>44.382714975376658</v>
      </c>
      <c r="E109" s="67">
        <f t="shared" si="3"/>
        <v>17.751360110973849</v>
      </c>
      <c r="F109" s="67">
        <f t="shared" si="3"/>
        <v>5.0110295016759441</v>
      </c>
      <c r="G109" s="67">
        <f t="shared" si="3"/>
        <v>56.705046187679763</v>
      </c>
      <c r="H109" s="67">
        <f t="shared" si="3"/>
        <v>19.407795173815472</v>
      </c>
      <c r="I109" s="67">
        <f t="shared" si="3"/>
        <v>0.32195236040200259</v>
      </c>
      <c r="J109" s="67">
        <f t="shared" si="3"/>
        <v>0.51897858523240026</v>
      </c>
      <c r="K109" s="67">
        <f t="shared" si="3"/>
        <v>1.6156429081263428</v>
      </c>
      <c r="L109" s="67">
        <f t="shared" si="3"/>
        <v>3.2996926425180075</v>
      </c>
      <c r="M109" s="67">
        <f t="shared" si="3"/>
        <v>12.77326407979538</v>
      </c>
      <c r="N109" s="67">
        <f t="shared" si="3"/>
        <v>193.99921818604898</v>
      </c>
      <c r="O109" s="67">
        <f t="shared" si="3"/>
        <v>0</v>
      </c>
      <c r="P109" s="67">
        <f t="shared" si="3"/>
        <v>0.6564088153694595</v>
      </c>
      <c r="Q109" s="67">
        <f t="shared" si="3"/>
        <v>54.599099088892061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91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1975</v>
      </c>
      <c r="B9" s="60">
        <v>110.51</v>
      </c>
      <c r="C9" s="60">
        <v>175.41</v>
      </c>
      <c r="D9" s="60">
        <v>185.42</v>
      </c>
      <c r="E9" s="60">
        <v>13.19</v>
      </c>
      <c r="F9" s="60">
        <v>0.88</v>
      </c>
      <c r="G9" s="60">
        <v>190.11</v>
      </c>
      <c r="H9" s="60">
        <v>49.24</v>
      </c>
      <c r="I9" s="60">
        <v>1.42</v>
      </c>
      <c r="J9" s="60">
        <v>1.29</v>
      </c>
      <c r="K9" s="60">
        <v>228.2</v>
      </c>
      <c r="L9" s="60">
        <v>20.2</v>
      </c>
      <c r="M9" s="60">
        <v>60.43</v>
      </c>
      <c r="N9" s="60">
        <v>4.2</v>
      </c>
      <c r="O9" s="60">
        <v>0</v>
      </c>
      <c r="P9" s="60">
        <v>2.57</v>
      </c>
      <c r="Q9" s="60">
        <v>238.77</v>
      </c>
      <c r="R9" s="198"/>
      <c r="S9" s="198"/>
      <c r="T9" s="198"/>
      <c r="U9" s="198"/>
    </row>
    <row r="10" spans="1:21" s="12" customFormat="1" x14ac:dyDescent="0.25">
      <c r="A10" s="201" t="s">
        <v>1976</v>
      </c>
      <c r="B10" s="60">
        <v>104.37</v>
      </c>
      <c r="C10" s="60">
        <v>170.79</v>
      </c>
      <c r="D10" s="60">
        <v>177.95</v>
      </c>
      <c r="E10" s="60">
        <v>14.23</v>
      </c>
      <c r="F10" s="60">
        <v>0.76</v>
      </c>
      <c r="G10" s="60">
        <v>190.11</v>
      </c>
      <c r="H10" s="60">
        <v>49.24</v>
      </c>
      <c r="I10" s="60">
        <v>1.39</v>
      </c>
      <c r="J10" s="60">
        <v>1.1299999999999999</v>
      </c>
      <c r="K10" s="60">
        <v>228.17</v>
      </c>
      <c r="L10" s="60">
        <v>20.02</v>
      </c>
      <c r="M10" s="60">
        <v>61.31</v>
      </c>
      <c r="N10" s="60">
        <v>4.8</v>
      </c>
      <c r="O10" s="60">
        <v>0</v>
      </c>
      <c r="P10" s="60">
        <v>2.4500000000000002</v>
      </c>
      <c r="Q10" s="60">
        <v>224.23</v>
      </c>
      <c r="R10" s="198"/>
      <c r="S10" s="198"/>
      <c r="T10" s="198"/>
      <c r="U10" s="198"/>
    </row>
    <row r="11" spans="1:21" s="12" customFormat="1" x14ac:dyDescent="0.25">
      <c r="A11" s="201" t="s">
        <v>1977</v>
      </c>
      <c r="B11" s="60">
        <v>96.21</v>
      </c>
      <c r="C11" s="60">
        <v>161.24</v>
      </c>
      <c r="D11" s="60">
        <v>166.14</v>
      </c>
      <c r="E11" s="60">
        <v>13.58</v>
      </c>
      <c r="F11" s="60">
        <v>0.93</v>
      </c>
      <c r="G11" s="60">
        <v>190.11</v>
      </c>
      <c r="H11" s="60">
        <v>49.24</v>
      </c>
      <c r="I11" s="60">
        <v>1.34</v>
      </c>
      <c r="J11" s="60">
        <v>0.92</v>
      </c>
      <c r="K11" s="60">
        <v>228.13</v>
      </c>
      <c r="L11" s="60">
        <v>19.989999999999998</v>
      </c>
      <c r="M11" s="60">
        <v>61.66</v>
      </c>
      <c r="N11" s="60">
        <v>4.8</v>
      </c>
      <c r="O11" s="60">
        <v>0</v>
      </c>
      <c r="P11" s="60">
        <v>2.34</v>
      </c>
      <c r="Q11" s="60">
        <v>203.91</v>
      </c>
      <c r="R11" s="198"/>
      <c r="S11" s="198"/>
      <c r="T11" s="198"/>
      <c r="U11" s="198"/>
    </row>
    <row r="12" spans="1:21" s="12" customFormat="1" x14ac:dyDescent="0.25">
      <c r="A12" s="201" t="s">
        <v>1978</v>
      </c>
      <c r="B12" s="60">
        <v>89.32</v>
      </c>
      <c r="C12" s="60">
        <v>154.97</v>
      </c>
      <c r="D12" s="60">
        <v>157.15</v>
      </c>
      <c r="E12" s="60">
        <v>12.08</v>
      </c>
      <c r="F12" s="60">
        <v>1.02</v>
      </c>
      <c r="G12" s="60">
        <v>185.06</v>
      </c>
      <c r="H12" s="60">
        <v>49.26</v>
      </c>
      <c r="I12" s="60">
        <v>1.27</v>
      </c>
      <c r="J12" s="60">
        <v>0.72</v>
      </c>
      <c r="K12" s="60">
        <v>227.93</v>
      </c>
      <c r="L12" s="60">
        <v>19.73</v>
      </c>
      <c r="M12" s="60">
        <v>61.26</v>
      </c>
      <c r="N12" s="60">
        <v>4.9000000000000004</v>
      </c>
      <c r="O12" s="60">
        <v>0</v>
      </c>
      <c r="P12" s="60">
        <v>2.25</v>
      </c>
      <c r="Q12" s="60">
        <v>185.11</v>
      </c>
      <c r="R12" s="198"/>
      <c r="S12" s="198"/>
      <c r="T12" s="198"/>
      <c r="U12" s="198"/>
    </row>
    <row r="13" spans="1:21" s="12" customFormat="1" x14ac:dyDescent="0.25">
      <c r="A13" s="201" t="s">
        <v>1979</v>
      </c>
      <c r="B13" s="60">
        <v>82.26</v>
      </c>
      <c r="C13" s="60">
        <v>151.36000000000001</v>
      </c>
      <c r="D13" s="60">
        <v>149.5</v>
      </c>
      <c r="E13" s="60">
        <v>11.54</v>
      </c>
      <c r="F13" s="60">
        <v>1.19</v>
      </c>
      <c r="G13" s="60">
        <v>137.46</v>
      </c>
      <c r="H13" s="60">
        <v>49.47</v>
      </c>
      <c r="I13" s="60">
        <v>1.18</v>
      </c>
      <c r="J13" s="60">
        <v>1.02</v>
      </c>
      <c r="K13" s="60">
        <v>227.85</v>
      </c>
      <c r="L13" s="60">
        <v>19.61</v>
      </c>
      <c r="M13" s="60">
        <v>59.33</v>
      </c>
      <c r="N13" s="60">
        <v>4.5999999999999996</v>
      </c>
      <c r="O13" s="60">
        <v>0</v>
      </c>
      <c r="P13" s="60">
        <v>1.96</v>
      </c>
      <c r="Q13" s="60">
        <v>171.17</v>
      </c>
      <c r="R13" s="198"/>
      <c r="S13" s="198"/>
      <c r="T13" s="198"/>
      <c r="U13" s="198"/>
    </row>
    <row r="14" spans="1:21" s="12" customFormat="1" x14ac:dyDescent="0.25">
      <c r="A14" s="201" t="s">
        <v>1980</v>
      </c>
      <c r="B14" s="60">
        <v>75.8</v>
      </c>
      <c r="C14" s="60">
        <v>141.97</v>
      </c>
      <c r="D14" s="60">
        <v>139.13</v>
      </c>
      <c r="E14" s="60">
        <v>10.82</v>
      </c>
      <c r="F14" s="60">
        <v>1.35</v>
      </c>
      <c r="G14" s="60">
        <v>137.46</v>
      </c>
      <c r="H14" s="60">
        <v>49.47</v>
      </c>
      <c r="I14" s="60">
        <v>1.1100000000000001</v>
      </c>
      <c r="J14" s="60">
        <v>1.04</v>
      </c>
      <c r="K14" s="60">
        <v>227.81</v>
      </c>
      <c r="L14" s="60">
        <v>19.48</v>
      </c>
      <c r="M14" s="60">
        <v>58.68</v>
      </c>
      <c r="N14" s="60">
        <v>4.5999999999999996</v>
      </c>
      <c r="O14" s="60">
        <v>0</v>
      </c>
      <c r="P14" s="60">
        <v>1.93</v>
      </c>
      <c r="Q14" s="60">
        <v>157.86000000000001</v>
      </c>
      <c r="R14" s="198"/>
      <c r="S14" s="198"/>
      <c r="T14" s="198"/>
      <c r="U14" s="198"/>
    </row>
    <row r="15" spans="1:21" s="12" customFormat="1" x14ac:dyDescent="0.25">
      <c r="A15" s="201" t="s">
        <v>1981</v>
      </c>
      <c r="B15" s="60">
        <v>68.709999999999994</v>
      </c>
      <c r="C15" s="60">
        <v>133.87</v>
      </c>
      <c r="D15" s="60">
        <v>128.97999999999999</v>
      </c>
      <c r="E15" s="60">
        <v>10.45</v>
      </c>
      <c r="F15" s="60">
        <v>1.46</v>
      </c>
      <c r="G15" s="60">
        <v>137.46</v>
      </c>
      <c r="H15" s="60">
        <v>49.47</v>
      </c>
      <c r="I15" s="60">
        <v>1.04</v>
      </c>
      <c r="J15" s="60">
        <v>0.94</v>
      </c>
      <c r="K15" s="60">
        <v>227.81</v>
      </c>
      <c r="L15" s="60">
        <v>19.309999999999999</v>
      </c>
      <c r="M15" s="60">
        <v>59.39</v>
      </c>
      <c r="N15" s="60">
        <v>4.9000000000000004</v>
      </c>
      <c r="O15" s="60">
        <v>0</v>
      </c>
      <c r="P15" s="60">
        <v>1.8</v>
      </c>
      <c r="Q15" s="60">
        <v>141.03</v>
      </c>
      <c r="R15" s="198"/>
      <c r="S15" s="198"/>
      <c r="T15" s="198"/>
      <c r="U15" s="198"/>
    </row>
    <row r="16" spans="1:21" s="12" customFormat="1" x14ac:dyDescent="0.25">
      <c r="A16" s="201" t="s">
        <v>1982</v>
      </c>
      <c r="B16" s="60">
        <v>65.67</v>
      </c>
      <c r="C16" s="60">
        <v>131.16999999999999</v>
      </c>
      <c r="D16" s="60">
        <v>125.05</v>
      </c>
      <c r="E16" s="60">
        <v>10.71</v>
      </c>
      <c r="F16" s="60">
        <v>1.05</v>
      </c>
      <c r="G16" s="60">
        <v>131.13999999999999</v>
      </c>
      <c r="H16" s="60">
        <v>48.32</v>
      </c>
      <c r="I16" s="60">
        <v>0.98</v>
      </c>
      <c r="J16" s="60">
        <v>0.65</v>
      </c>
      <c r="K16" s="60">
        <v>227.57</v>
      </c>
      <c r="L16" s="60">
        <v>18.97</v>
      </c>
      <c r="M16" s="60">
        <v>60.62</v>
      </c>
      <c r="N16" s="60">
        <v>4.8</v>
      </c>
      <c r="O16" s="60">
        <v>0</v>
      </c>
      <c r="P16" s="60">
        <v>1.7</v>
      </c>
      <c r="Q16" s="60">
        <v>127.27</v>
      </c>
      <c r="R16" s="198"/>
      <c r="S16" s="198"/>
      <c r="T16" s="198"/>
      <c r="U16" s="198"/>
    </row>
    <row r="17" spans="1:21" s="12" customFormat="1" x14ac:dyDescent="0.25">
      <c r="A17" s="201" t="s">
        <v>1983</v>
      </c>
      <c r="B17" s="60">
        <v>61.11</v>
      </c>
      <c r="C17" s="60">
        <v>122.69</v>
      </c>
      <c r="D17" s="60">
        <v>116.72</v>
      </c>
      <c r="E17" s="60">
        <v>11.14</v>
      </c>
      <c r="F17" s="60">
        <v>1.04</v>
      </c>
      <c r="G17" s="60">
        <v>77.81</v>
      </c>
      <c r="H17" s="60">
        <v>36.520000000000003</v>
      </c>
      <c r="I17" s="60">
        <v>0.89</v>
      </c>
      <c r="J17" s="60">
        <v>0.77</v>
      </c>
      <c r="K17" s="60">
        <v>227.54</v>
      </c>
      <c r="L17" s="60">
        <v>18.87</v>
      </c>
      <c r="M17" s="60">
        <v>60.14</v>
      </c>
      <c r="N17" s="60">
        <v>4.5</v>
      </c>
      <c r="O17" s="60">
        <v>0</v>
      </c>
      <c r="P17" s="60">
        <v>1.6</v>
      </c>
      <c r="Q17" s="60">
        <v>118.12</v>
      </c>
      <c r="R17" s="198"/>
      <c r="S17" s="198"/>
      <c r="T17" s="198"/>
      <c r="U17" s="198"/>
    </row>
    <row r="18" spans="1:21" s="12" customFormat="1" x14ac:dyDescent="0.25">
      <c r="A18" s="201" t="s">
        <v>1984</v>
      </c>
      <c r="B18" s="60">
        <v>55.31</v>
      </c>
      <c r="C18" s="60">
        <v>122.41</v>
      </c>
      <c r="D18" s="60">
        <v>111.91</v>
      </c>
      <c r="E18" s="60">
        <v>12.7</v>
      </c>
      <c r="F18" s="60">
        <v>1.23</v>
      </c>
      <c r="G18" s="60">
        <v>77.81</v>
      </c>
      <c r="H18" s="60">
        <v>36.520000000000003</v>
      </c>
      <c r="I18" s="60">
        <v>0.85</v>
      </c>
      <c r="J18" s="60">
        <v>0.63</v>
      </c>
      <c r="K18" s="60">
        <v>227.45</v>
      </c>
      <c r="L18" s="60">
        <v>18.84</v>
      </c>
      <c r="M18" s="60">
        <v>59.97</v>
      </c>
      <c r="N18" s="60">
        <v>4.5999999999999996</v>
      </c>
      <c r="O18" s="60">
        <v>0</v>
      </c>
      <c r="P18" s="60">
        <v>1.52</v>
      </c>
      <c r="Q18" s="60">
        <v>115.42</v>
      </c>
      <c r="R18" s="198"/>
      <c r="S18" s="198"/>
      <c r="T18" s="198"/>
      <c r="U18" s="198"/>
    </row>
    <row r="19" spans="1:21" s="12" customFormat="1" x14ac:dyDescent="0.25">
      <c r="A19" s="201" t="s">
        <v>1985</v>
      </c>
      <c r="B19" s="60">
        <v>52.8</v>
      </c>
      <c r="C19" s="60">
        <v>114.89</v>
      </c>
      <c r="D19" s="60">
        <v>105.75</v>
      </c>
      <c r="E19" s="60">
        <v>12.16</v>
      </c>
      <c r="F19" s="60">
        <v>1.17</v>
      </c>
      <c r="G19" s="60">
        <v>77.81</v>
      </c>
      <c r="H19" s="60">
        <v>36.520000000000003</v>
      </c>
      <c r="I19" s="60">
        <v>0.81</v>
      </c>
      <c r="J19" s="60">
        <v>0.75</v>
      </c>
      <c r="K19" s="60">
        <v>227.47</v>
      </c>
      <c r="L19" s="60">
        <v>18.78</v>
      </c>
      <c r="M19" s="60">
        <v>59.81</v>
      </c>
      <c r="N19" s="60">
        <v>4.5</v>
      </c>
      <c r="O19" s="60">
        <v>0</v>
      </c>
      <c r="P19" s="60">
        <v>1.42</v>
      </c>
      <c r="Q19" s="60">
        <v>111.06</v>
      </c>
      <c r="R19" s="198"/>
      <c r="S19" s="198"/>
      <c r="T19" s="198"/>
      <c r="U19" s="198"/>
    </row>
    <row r="20" spans="1:21" s="12" customFormat="1" x14ac:dyDescent="0.25">
      <c r="A20" s="201" t="s">
        <v>1986</v>
      </c>
      <c r="B20" s="60">
        <v>47.45</v>
      </c>
      <c r="C20" s="60">
        <v>113.58</v>
      </c>
      <c r="D20" s="60">
        <v>100.73</v>
      </c>
      <c r="E20" s="60">
        <v>11.47</v>
      </c>
      <c r="F20" s="60">
        <v>1.57</v>
      </c>
      <c r="G20" s="60">
        <v>69.56</v>
      </c>
      <c r="H20" s="60">
        <v>36.14</v>
      </c>
      <c r="I20" s="60">
        <v>0.78</v>
      </c>
      <c r="J20" s="60">
        <v>0.71</v>
      </c>
      <c r="K20" s="60">
        <v>227.48</v>
      </c>
      <c r="L20" s="60">
        <v>18.690000000000001</v>
      </c>
      <c r="M20" s="60">
        <v>60.11</v>
      </c>
      <c r="N20" s="60">
        <v>4.5999999999999996</v>
      </c>
      <c r="O20" s="60">
        <v>0</v>
      </c>
      <c r="P20" s="60">
        <v>1.33</v>
      </c>
      <c r="Q20" s="60">
        <v>103.39</v>
      </c>
      <c r="R20" s="198"/>
      <c r="S20" s="198"/>
      <c r="T20" s="198"/>
      <c r="U20" s="198"/>
    </row>
    <row r="21" spans="1:21" s="12" customFormat="1" x14ac:dyDescent="0.25">
      <c r="A21" s="201" t="s">
        <v>1987</v>
      </c>
      <c r="B21" s="60">
        <v>44.44</v>
      </c>
      <c r="C21" s="60">
        <v>106.5</v>
      </c>
      <c r="D21" s="60">
        <v>94.41</v>
      </c>
      <c r="E21" s="60">
        <v>11.33</v>
      </c>
      <c r="F21" s="60">
        <v>1.22</v>
      </c>
      <c r="G21" s="213" t="s">
        <v>35</v>
      </c>
      <c r="H21" s="60">
        <v>32.19</v>
      </c>
      <c r="I21" s="60">
        <v>0.75</v>
      </c>
      <c r="J21" s="60">
        <v>0.76</v>
      </c>
      <c r="K21" s="60">
        <v>227.41</v>
      </c>
      <c r="L21" s="60">
        <v>18.420000000000002</v>
      </c>
      <c r="M21" s="60">
        <v>61.03</v>
      </c>
      <c r="N21" s="60">
        <v>4.5999999999999996</v>
      </c>
      <c r="O21" s="60">
        <v>0</v>
      </c>
      <c r="P21" s="60">
        <v>1.26</v>
      </c>
      <c r="Q21" s="60">
        <v>92.33</v>
      </c>
      <c r="R21" s="198"/>
      <c r="S21" s="198"/>
      <c r="T21" s="198"/>
      <c r="U21" s="198"/>
    </row>
    <row r="22" spans="1:21" s="12" customFormat="1" x14ac:dyDescent="0.25">
      <c r="A22" s="201" t="s">
        <v>1988</v>
      </c>
      <c r="B22" s="60">
        <v>39.44</v>
      </c>
      <c r="C22" s="60">
        <v>103.91</v>
      </c>
      <c r="D22" s="60">
        <v>88.98</v>
      </c>
      <c r="E22" s="60">
        <v>11.01</v>
      </c>
      <c r="F22" s="60">
        <v>1.23</v>
      </c>
      <c r="G22" s="213" t="s">
        <v>35</v>
      </c>
      <c r="H22" s="60">
        <v>32.19</v>
      </c>
      <c r="I22" s="60">
        <v>0.71</v>
      </c>
      <c r="J22" s="60">
        <v>0.61</v>
      </c>
      <c r="K22" s="60">
        <v>227.39</v>
      </c>
      <c r="L22" s="60">
        <v>18.29</v>
      </c>
      <c r="M22" s="60">
        <v>61.85</v>
      </c>
      <c r="N22" s="60">
        <v>4.7</v>
      </c>
      <c r="O22" s="60">
        <v>0</v>
      </c>
      <c r="P22" s="60">
        <v>1.18</v>
      </c>
      <c r="Q22" s="60">
        <v>86.03</v>
      </c>
      <c r="R22" s="198"/>
      <c r="S22" s="198"/>
      <c r="T22" s="198"/>
      <c r="U22" s="198"/>
    </row>
    <row r="23" spans="1:21" s="12" customFormat="1" x14ac:dyDescent="0.25">
      <c r="A23" s="201" t="s">
        <v>1989</v>
      </c>
      <c r="B23" s="60">
        <v>37.369999999999997</v>
      </c>
      <c r="C23" s="60">
        <v>102.33</v>
      </c>
      <c r="D23" s="60">
        <v>86.44</v>
      </c>
      <c r="E23" s="60">
        <v>11.61</v>
      </c>
      <c r="F23" s="60">
        <v>0.99</v>
      </c>
      <c r="G23" s="213" t="s">
        <v>35</v>
      </c>
      <c r="H23" s="60">
        <v>32.19</v>
      </c>
      <c r="I23" s="60">
        <v>0.69</v>
      </c>
      <c r="J23" s="60">
        <v>0.55000000000000004</v>
      </c>
      <c r="K23" s="60">
        <v>227.25</v>
      </c>
      <c r="L23" s="60">
        <v>17.940000000000001</v>
      </c>
      <c r="M23" s="60">
        <v>63.99</v>
      </c>
      <c r="N23" s="60">
        <v>4.9000000000000004</v>
      </c>
      <c r="O23" s="60">
        <v>0</v>
      </c>
      <c r="P23" s="60">
        <v>1.1200000000000001</v>
      </c>
      <c r="Q23" s="60">
        <v>80.73</v>
      </c>
      <c r="R23" s="198"/>
      <c r="S23" s="198"/>
      <c r="T23" s="198"/>
      <c r="U23" s="198"/>
    </row>
    <row r="24" spans="1:21" s="12" customFormat="1" x14ac:dyDescent="0.25">
      <c r="A24" s="201" t="s">
        <v>1990</v>
      </c>
      <c r="B24" s="60">
        <v>34.840000000000003</v>
      </c>
      <c r="C24" s="60">
        <v>99.15</v>
      </c>
      <c r="D24" s="60">
        <v>82.65</v>
      </c>
      <c r="E24" s="60">
        <v>6.87</v>
      </c>
      <c r="F24" s="60">
        <v>1.02</v>
      </c>
      <c r="G24" s="60">
        <v>9.19</v>
      </c>
      <c r="H24" s="60">
        <v>31.41</v>
      </c>
      <c r="I24" s="60">
        <v>0.66</v>
      </c>
      <c r="J24" s="60">
        <v>0.64</v>
      </c>
      <c r="K24" s="60">
        <v>227.15</v>
      </c>
      <c r="L24" s="60">
        <v>17.84</v>
      </c>
      <c r="M24" s="60">
        <v>64.650000000000006</v>
      </c>
      <c r="N24" s="60">
        <v>4.5</v>
      </c>
      <c r="O24" s="60">
        <v>0</v>
      </c>
      <c r="P24" s="60">
        <v>1.06</v>
      </c>
      <c r="Q24" s="60">
        <v>76.260000000000005</v>
      </c>
      <c r="R24" s="198"/>
      <c r="S24" s="198"/>
      <c r="T24" s="198"/>
      <c r="U24" s="198"/>
    </row>
    <row r="25" spans="1:21" s="12" customFormat="1" x14ac:dyDescent="0.25">
      <c r="A25" s="201" t="s">
        <v>1991</v>
      </c>
      <c r="B25" s="60">
        <v>32.65</v>
      </c>
      <c r="C25" s="60">
        <v>97.08</v>
      </c>
      <c r="D25" s="60">
        <v>79.760000000000005</v>
      </c>
      <c r="E25" s="60">
        <v>9.93</v>
      </c>
      <c r="F25" s="60">
        <v>1</v>
      </c>
      <c r="G25" s="60">
        <v>86.6</v>
      </c>
      <c r="H25" s="60">
        <v>23.36</v>
      </c>
      <c r="I25" s="60">
        <v>0.64</v>
      </c>
      <c r="J25" s="60">
        <v>0.85</v>
      </c>
      <c r="K25" s="60">
        <v>227.17</v>
      </c>
      <c r="L25" s="60">
        <v>17.77</v>
      </c>
      <c r="M25" s="60">
        <v>64.92</v>
      </c>
      <c r="N25" s="60">
        <v>4.5</v>
      </c>
      <c r="O25" s="60">
        <v>0</v>
      </c>
      <c r="P25" s="60">
        <v>1.01</v>
      </c>
      <c r="Q25" s="60">
        <v>68.27</v>
      </c>
      <c r="R25" s="198"/>
      <c r="S25" s="198"/>
      <c r="T25" s="198"/>
      <c r="U25" s="198"/>
    </row>
    <row r="26" spans="1:21" s="12" customFormat="1" x14ac:dyDescent="0.25">
      <c r="A26" s="201" t="s">
        <v>1992</v>
      </c>
      <c r="B26" s="60">
        <v>30.84</v>
      </c>
      <c r="C26" s="60">
        <v>95.33</v>
      </c>
      <c r="D26" s="60">
        <v>77.34</v>
      </c>
      <c r="E26" s="60">
        <v>9.24</v>
      </c>
      <c r="F26" s="60">
        <v>0.92</v>
      </c>
      <c r="G26" s="60">
        <v>86.6</v>
      </c>
      <c r="H26" s="60">
        <v>23.36</v>
      </c>
      <c r="I26" s="60">
        <v>0.61</v>
      </c>
      <c r="J26" s="60">
        <v>0.8</v>
      </c>
      <c r="K26" s="60">
        <v>227.19</v>
      </c>
      <c r="L26" s="60">
        <v>17.72</v>
      </c>
      <c r="M26" s="60">
        <v>65.19</v>
      </c>
      <c r="N26" s="60">
        <v>4.5999999999999996</v>
      </c>
      <c r="O26" s="60">
        <v>0</v>
      </c>
      <c r="P26" s="60">
        <v>0.97</v>
      </c>
      <c r="Q26" s="60">
        <v>60.38</v>
      </c>
      <c r="R26" s="198"/>
      <c r="S26" s="198"/>
      <c r="T26" s="198"/>
      <c r="U26" s="198"/>
    </row>
    <row r="27" spans="1:21" s="12" customFormat="1" x14ac:dyDescent="0.25">
      <c r="A27" s="201" t="s">
        <v>1993</v>
      </c>
      <c r="B27" s="60">
        <v>29.71</v>
      </c>
      <c r="C27" s="60">
        <v>98.05</v>
      </c>
      <c r="D27" s="60">
        <v>77.94</v>
      </c>
      <c r="E27" s="60">
        <v>9.0500000000000007</v>
      </c>
      <c r="F27" s="60">
        <v>0.98</v>
      </c>
      <c r="G27" s="60">
        <v>86.6</v>
      </c>
      <c r="H27" s="60">
        <v>23.36</v>
      </c>
      <c r="I27" s="60">
        <v>0.59</v>
      </c>
      <c r="J27" s="60">
        <v>0.82</v>
      </c>
      <c r="K27" s="60">
        <v>227.17</v>
      </c>
      <c r="L27" s="60">
        <v>17.690000000000001</v>
      </c>
      <c r="M27" s="60">
        <v>65.02</v>
      </c>
      <c r="N27" s="60">
        <v>4.5</v>
      </c>
      <c r="O27" s="60">
        <v>0</v>
      </c>
      <c r="P27" s="60">
        <v>0.93</v>
      </c>
      <c r="Q27" s="60">
        <v>55.41</v>
      </c>
      <c r="R27" s="198"/>
      <c r="S27" s="198"/>
      <c r="T27" s="198"/>
      <c r="U27" s="198"/>
    </row>
    <row r="28" spans="1:21" s="12" customFormat="1" x14ac:dyDescent="0.25">
      <c r="A28" s="201" t="s">
        <v>1994</v>
      </c>
      <c r="B28" s="60">
        <v>28.68</v>
      </c>
      <c r="C28" s="60">
        <v>95.94</v>
      </c>
      <c r="D28" s="60">
        <v>75.95</v>
      </c>
      <c r="E28" s="60">
        <v>9.44</v>
      </c>
      <c r="F28" s="60">
        <v>1.01</v>
      </c>
      <c r="G28" s="60">
        <v>79.010000000000005</v>
      </c>
      <c r="H28" s="60">
        <v>23.25</v>
      </c>
      <c r="I28" s="60">
        <v>0.56000000000000005</v>
      </c>
      <c r="J28" s="60">
        <v>0.8</v>
      </c>
      <c r="K28" s="60">
        <v>227.1</v>
      </c>
      <c r="L28" s="60">
        <v>17.62</v>
      </c>
      <c r="M28" s="60">
        <v>65.099999999999994</v>
      </c>
      <c r="N28" s="60">
        <v>4.5</v>
      </c>
      <c r="O28" s="60">
        <v>0</v>
      </c>
      <c r="P28" s="60">
        <v>0.9</v>
      </c>
      <c r="Q28" s="60">
        <v>50.58</v>
      </c>
      <c r="R28" s="198"/>
      <c r="S28" s="198"/>
      <c r="T28" s="198"/>
      <c r="U28" s="198"/>
    </row>
    <row r="29" spans="1:21" s="12" customFormat="1" x14ac:dyDescent="0.25">
      <c r="A29" s="201" t="s">
        <v>1995</v>
      </c>
      <c r="B29" s="60">
        <v>27.89</v>
      </c>
      <c r="C29" s="60">
        <v>94.36</v>
      </c>
      <c r="D29" s="60">
        <v>74.44</v>
      </c>
      <c r="E29" s="60">
        <v>9.16</v>
      </c>
      <c r="F29" s="60">
        <v>0.97</v>
      </c>
      <c r="G29" s="60">
        <v>15.01</v>
      </c>
      <c r="H29" s="60">
        <v>22.08</v>
      </c>
      <c r="I29" s="60">
        <v>0.54</v>
      </c>
      <c r="J29" s="60">
        <v>0.73</v>
      </c>
      <c r="K29" s="60">
        <v>227.09</v>
      </c>
      <c r="L29" s="60">
        <v>17.53</v>
      </c>
      <c r="M29" s="60">
        <v>65.75</v>
      </c>
      <c r="N29" s="60">
        <v>4.5999999999999996</v>
      </c>
      <c r="O29" s="60">
        <v>0</v>
      </c>
      <c r="P29" s="60">
        <v>0.88</v>
      </c>
      <c r="Q29" s="60">
        <v>46.32</v>
      </c>
      <c r="R29" s="198"/>
      <c r="S29" s="198"/>
      <c r="T29" s="198"/>
      <c r="U29" s="198"/>
    </row>
    <row r="30" spans="1:21" s="12" customFormat="1" x14ac:dyDescent="0.25">
      <c r="A30" s="201" t="s">
        <v>1996</v>
      </c>
      <c r="B30" s="60">
        <v>26.94</v>
      </c>
      <c r="C30" s="60">
        <v>93.6</v>
      </c>
      <c r="D30" s="60">
        <v>73.27</v>
      </c>
      <c r="E30" s="60">
        <v>9.51</v>
      </c>
      <c r="F30" s="60">
        <v>0.95</v>
      </c>
      <c r="G30" s="60">
        <v>15.01</v>
      </c>
      <c r="H30" s="60">
        <v>22.08</v>
      </c>
      <c r="I30" s="60">
        <v>0.52</v>
      </c>
      <c r="J30" s="60">
        <v>0.92</v>
      </c>
      <c r="K30" s="60">
        <v>227.15</v>
      </c>
      <c r="L30" s="60">
        <v>17.52</v>
      </c>
      <c r="M30" s="60">
        <v>66.69</v>
      </c>
      <c r="N30" s="60">
        <v>4.4000000000000004</v>
      </c>
      <c r="O30" s="60">
        <v>0</v>
      </c>
      <c r="P30" s="60">
        <v>0.86</v>
      </c>
      <c r="Q30" s="60">
        <v>43.63</v>
      </c>
      <c r="R30" s="198"/>
      <c r="S30" s="198"/>
      <c r="T30" s="198"/>
      <c r="U30" s="198"/>
    </row>
    <row r="31" spans="1:21" s="12" customFormat="1" x14ac:dyDescent="0.25">
      <c r="A31" s="201" t="s">
        <v>1997</v>
      </c>
      <c r="B31" s="60">
        <v>26.69</v>
      </c>
      <c r="C31" s="60">
        <v>94.26</v>
      </c>
      <c r="D31" s="60">
        <v>73.430000000000007</v>
      </c>
      <c r="E31" s="60">
        <v>9.18</v>
      </c>
      <c r="F31" s="60">
        <v>0.83</v>
      </c>
      <c r="G31" s="60">
        <v>15.01</v>
      </c>
      <c r="H31" s="60">
        <v>22.08</v>
      </c>
      <c r="I31" s="60">
        <v>0.51</v>
      </c>
      <c r="J31" s="60">
        <v>0.31</v>
      </c>
      <c r="K31" s="60">
        <v>226.95</v>
      </c>
      <c r="L31" s="60">
        <v>17.14</v>
      </c>
      <c r="M31" s="60">
        <v>68.849999999999994</v>
      </c>
      <c r="N31" s="60">
        <v>4.9000000000000004</v>
      </c>
      <c r="O31" s="60">
        <v>0</v>
      </c>
      <c r="P31" s="60">
        <v>0.87</v>
      </c>
      <c r="Q31" s="60">
        <v>41.87</v>
      </c>
      <c r="R31" s="198"/>
      <c r="S31" s="198"/>
      <c r="T31" s="198"/>
      <c r="U31" s="198"/>
    </row>
    <row r="32" spans="1:21" s="12" customFormat="1" x14ac:dyDescent="0.25">
      <c r="A32" s="201" t="s">
        <v>1998</v>
      </c>
      <c r="B32" s="60">
        <v>27.99</v>
      </c>
      <c r="C32" s="60">
        <v>95.85</v>
      </c>
      <c r="D32" s="60">
        <v>75.34</v>
      </c>
      <c r="E32" s="60">
        <v>10.79</v>
      </c>
      <c r="F32" s="60">
        <v>0.74</v>
      </c>
      <c r="G32" s="60">
        <v>28.81</v>
      </c>
      <c r="H32" s="60">
        <v>22.54</v>
      </c>
      <c r="I32" s="60">
        <v>0.49</v>
      </c>
      <c r="J32" s="60">
        <v>0.38</v>
      </c>
      <c r="K32" s="60">
        <v>226.77</v>
      </c>
      <c r="L32" s="60">
        <v>16.91</v>
      </c>
      <c r="M32" s="60">
        <v>69.5</v>
      </c>
      <c r="N32" s="60">
        <v>4.8</v>
      </c>
      <c r="O32" s="60">
        <v>0</v>
      </c>
      <c r="P32" s="60">
        <v>0.91</v>
      </c>
      <c r="Q32" s="60">
        <v>46.94</v>
      </c>
      <c r="R32" s="198"/>
      <c r="S32" s="198"/>
      <c r="T32" s="198"/>
      <c r="U32" s="198"/>
    </row>
    <row r="33" spans="1:21" s="12" customFormat="1" x14ac:dyDescent="0.25">
      <c r="A33" s="201" t="s">
        <v>1999</v>
      </c>
      <c r="B33" s="60">
        <v>29.31</v>
      </c>
      <c r="C33" s="60">
        <v>97.23</v>
      </c>
      <c r="D33" s="60">
        <v>77.17</v>
      </c>
      <c r="E33" s="60">
        <v>11.02</v>
      </c>
      <c r="F33" s="60">
        <v>0.79</v>
      </c>
      <c r="G33" s="60">
        <v>145.09</v>
      </c>
      <c r="H33" s="60">
        <v>27.34</v>
      </c>
      <c r="I33" s="60">
        <v>0.49</v>
      </c>
      <c r="J33" s="60">
        <v>0.55000000000000004</v>
      </c>
      <c r="K33" s="60">
        <v>226.83</v>
      </c>
      <c r="L33" s="60">
        <v>16.899999999999999</v>
      </c>
      <c r="M33" s="60">
        <v>69.989999999999995</v>
      </c>
      <c r="N33" s="60">
        <v>5.9</v>
      </c>
      <c r="O33" s="60">
        <v>0</v>
      </c>
      <c r="P33" s="60">
        <v>0.97</v>
      </c>
      <c r="Q33" s="60">
        <v>50.03</v>
      </c>
      <c r="R33" s="198"/>
      <c r="S33" s="198"/>
      <c r="T33" s="198"/>
      <c r="U33" s="198"/>
    </row>
    <row r="34" spans="1:21" s="12" customFormat="1" x14ac:dyDescent="0.25">
      <c r="A34" s="201" t="s">
        <v>2000</v>
      </c>
      <c r="B34" s="60">
        <v>31.22</v>
      </c>
      <c r="C34" s="60">
        <v>99.71</v>
      </c>
      <c r="D34" s="60">
        <v>80.06</v>
      </c>
      <c r="E34" s="60">
        <v>11.22</v>
      </c>
      <c r="F34" s="60">
        <v>0.68</v>
      </c>
      <c r="G34" s="60">
        <v>145.09</v>
      </c>
      <c r="H34" s="60">
        <v>27.34</v>
      </c>
      <c r="I34" s="60">
        <v>0.49</v>
      </c>
      <c r="J34" s="60">
        <v>0.42</v>
      </c>
      <c r="K34" s="60">
        <v>226.84</v>
      </c>
      <c r="L34" s="60">
        <v>16.96</v>
      </c>
      <c r="M34" s="60">
        <v>70.010000000000005</v>
      </c>
      <c r="N34" s="60">
        <v>13.6</v>
      </c>
      <c r="O34" s="60">
        <v>0</v>
      </c>
      <c r="P34" s="60">
        <v>1.02</v>
      </c>
      <c r="Q34" s="60">
        <v>54.11</v>
      </c>
      <c r="R34" s="198"/>
      <c r="S34" s="198"/>
      <c r="T34" s="198"/>
      <c r="U34" s="198"/>
    </row>
    <row r="35" spans="1:21" s="12" customFormat="1" x14ac:dyDescent="0.25">
      <c r="A35" s="201" t="s">
        <v>2001</v>
      </c>
      <c r="B35" s="60">
        <v>34.4</v>
      </c>
      <c r="C35" s="60">
        <v>103.64</v>
      </c>
      <c r="D35" s="60">
        <v>84.78</v>
      </c>
      <c r="E35" s="60">
        <v>11.3</v>
      </c>
      <c r="F35" s="60">
        <v>0.74</v>
      </c>
      <c r="G35" s="60">
        <v>145.09</v>
      </c>
      <c r="H35" s="60">
        <v>27.34</v>
      </c>
      <c r="I35" s="60">
        <v>0.49</v>
      </c>
      <c r="J35" s="60">
        <v>0.62</v>
      </c>
      <c r="K35" s="60">
        <v>226.94</v>
      </c>
      <c r="L35" s="60">
        <v>17.04</v>
      </c>
      <c r="M35" s="60">
        <v>69.849999999999994</v>
      </c>
      <c r="N35" s="60">
        <v>26.5</v>
      </c>
      <c r="O35" s="60">
        <v>0</v>
      </c>
      <c r="P35" s="60">
        <v>1.08</v>
      </c>
      <c r="Q35" s="60">
        <v>56.87</v>
      </c>
      <c r="R35" s="198"/>
      <c r="S35" s="198"/>
      <c r="T35" s="198"/>
      <c r="U35" s="198"/>
    </row>
    <row r="36" spans="1:21" s="12" customFormat="1" x14ac:dyDescent="0.25">
      <c r="A36" s="201" t="s">
        <v>2002</v>
      </c>
      <c r="B36" s="60">
        <v>38.17</v>
      </c>
      <c r="C36" s="60">
        <v>108.19</v>
      </c>
      <c r="D36" s="60">
        <v>90.32</v>
      </c>
      <c r="E36" s="60">
        <v>11.75</v>
      </c>
      <c r="F36" s="60">
        <v>0.79</v>
      </c>
      <c r="G36" s="60">
        <v>147.61000000000001</v>
      </c>
      <c r="H36" s="60">
        <v>28</v>
      </c>
      <c r="I36" s="60">
        <v>0.48</v>
      </c>
      <c r="J36" s="60">
        <v>0.63</v>
      </c>
      <c r="K36" s="60">
        <v>227.03</v>
      </c>
      <c r="L36" s="60">
        <v>17.36</v>
      </c>
      <c r="M36" s="60">
        <v>68.400000000000006</v>
      </c>
      <c r="N36" s="60">
        <v>40.799999999999997</v>
      </c>
      <c r="O36" s="60">
        <v>0</v>
      </c>
      <c r="P36" s="60">
        <v>1.1499999999999999</v>
      </c>
      <c r="Q36" s="60">
        <v>60.16</v>
      </c>
      <c r="R36" s="198"/>
      <c r="S36" s="198"/>
      <c r="T36" s="198"/>
      <c r="U36" s="198"/>
    </row>
    <row r="37" spans="1:21" s="12" customFormat="1" x14ac:dyDescent="0.25">
      <c r="A37" s="201" t="s">
        <v>2003</v>
      </c>
      <c r="B37" s="60">
        <v>40.03</v>
      </c>
      <c r="C37" s="60">
        <v>110.51</v>
      </c>
      <c r="D37" s="60">
        <v>93.09</v>
      </c>
      <c r="E37" s="60">
        <v>11.68</v>
      </c>
      <c r="F37" s="60">
        <v>0.83</v>
      </c>
      <c r="G37" s="60">
        <v>168.9</v>
      </c>
      <c r="H37" s="60">
        <v>34.82</v>
      </c>
      <c r="I37" s="60">
        <v>0.49</v>
      </c>
      <c r="J37" s="60">
        <v>0.75</v>
      </c>
      <c r="K37" s="60">
        <v>227.29</v>
      </c>
      <c r="L37" s="60">
        <v>17.899999999999999</v>
      </c>
      <c r="M37" s="60">
        <v>66.13</v>
      </c>
      <c r="N37" s="60">
        <v>68.5</v>
      </c>
      <c r="O37" s="60">
        <v>0</v>
      </c>
      <c r="P37" s="60">
        <v>1.1599999999999999</v>
      </c>
      <c r="Q37" s="60">
        <v>59.27</v>
      </c>
      <c r="R37" s="198"/>
      <c r="S37" s="198"/>
      <c r="T37" s="198"/>
      <c r="U37" s="198"/>
    </row>
    <row r="38" spans="1:21" s="12" customFormat="1" x14ac:dyDescent="0.25">
      <c r="A38" s="201" t="s">
        <v>2004</v>
      </c>
      <c r="B38" s="60">
        <v>40.61</v>
      </c>
      <c r="C38" s="60">
        <v>111.27</v>
      </c>
      <c r="D38" s="60">
        <v>93.97</v>
      </c>
      <c r="E38" s="60">
        <v>12.24</v>
      </c>
      <c r="F38" s="60">
        <v>0.85</v>
      </c>
      <c r="G38" s="60">
        <v>168.9</v>
      </c>
      <c r="H38" s="60">
        <v>34.82</v>
      </c>
      <c r="I38" s="60">
        <v>0.49</v>
      </c>
      <c r="J38" s="60">
        <v>1.08</v>
      </c>
      <c r="K38" s="60">
        <v>227.78</v>
      </c>
      <c r="L38" s="60">
        <v>18.97</v>
      </c>
      <c r="M38" s="60">
        <v>62.15</v>
      </c>
      <c r="N38" s="60">
        <v>136.30000000000001</v>
      </c>
      <c r="O38" s="60">
        <v>0</v>
      </c>
      <c r="P38" s="60">
        <v>1.25</v>
      </c>
      <c r="Q38" s="60">
        <v>61.06</v>
      </c>
      <c r="R38" s="198"/>
      <c r="S38" s="198"/>
      <c r="T38" s="198"/>
      <c r="U38" s="198"/>
    </row>
    <row r="39" spans="1:21" s="12" customFormat="1" x14ac:dyDescent="0.25">
      <c r="A39" s="201" t="s">
        <v>2005</v>
      </c>
      <c r="B39" s="60">
        <v>39.82</v>
      </c>
      <c r="C39" s="60">
        <v>111.91</v>
      </c>
      <c r="D39" s="60">
        <v>93.69</v>
      </c>
      <c r="E39" s="60">
        <v>11.78</v>
      </c>
      <c r="F39" s="60">
        <v>0.96</v>
      </c>
      <c r="G39" s="60">
        <v>168.9</v>
      </c>
      <c r="H39" s="60">
        <v>34.82</v>
      </c>
      <c r="I39" s="60">
        <v>0.49</v>
      </c>
      <c r="J39" s="60">
        <v>1.07</v>
      </c>
      <c r="K39" s="60">
        <v>228.02</v>
      </c>
      <c r="L39" s="60">
        <v>19.62</v>
      </c>
      <c r="M39" s="60">
        <v>59.49</v>
      </c>
      <c r="N39" s="60">
        <v>124.7</v>
      </c>
      <c r="O39" s="60">
        <v>0</v>
      </c>
      <c r="P39" s="60">
        <v>1.27</v>
      </c>
      <c r="Q39" s="60">
        <v>59.14</v>
      </c>
      <c r="R39" s="198"/>
      <c r="S39" s="198"/>
      <c r="T39" s="198"/>
      <c r="U39" s="198"/>
    </row>
    <row r="40" spans="1:21" s="12" customFormat="1" x14ac:dyDescent="0.25">
      <c r="A40" s="201" t="s">
        <v>2006</v>
      </c>
      <c r="B40" s="60">
        <v>38.75</v>
      </c>
      <c r="C40" s="60">
        <v>112.17</v>
      </c>
      <c r="D40" s="60">
        <v>92.98</v>
      </c>
      <c r="E40" s="60">
        <v>5.31</v>
      </c>
      <c r="F40" s="60">
        <v>1.21</v>
      </c>
      <c r="G40" s="60">
        <v>163.56</v>
      </c>
      <c r="H40" s="60">
        <v>35.020000000000003</v>
      </c>
      <c r="I40" s="60">
        <v>0.49</v>
      </c>
      <c r="J40" s="60">
        <v>0.96</v>
      </c>
      <c r="K40" s="60">
        <v>228.35</v>
      </c>
      <c r="L40" s="60">
        <v>20.38</v>
      </c>
      <c r="M40" s="60">
        <v>57.54</v>
      </c>
      <c r="N40" s="60">
        <v>199.7</v>
      </c>
      <c r="O40" s="60">
        <v>0</v>
      </c>
      <c r="P40" s="60">
        <v>1.26</v>
      </c>
      <c r="Q40" s="60">
        <v>51.22</v>
      </c>
      <c r="R40" s="198"/>
      <c r="S40" s="198"/>
      <c r="T40" s="198"/>
      <c r="U40" s="198"/>
    </row>
    <row r="41" spans="1:21" s="12" customFormat="1" x14ac:dyDescent="0.25">
      <c r="A41" s="201" t="s">
        <v>2007</v>
      </c>
      <c r="B41" s="60">
        <v>38.83</v>
      </c>
      <c r="C41" s="60">
        <v>113.73</v>
      </c>
      <c r="D41" s="60">
        <v>93.9</v>
      </c>
      <c r="E41" s="60">
        <v>10.76</v>
      </c>
      <c r="F41" s="60">
        <v>1.1000000000000001</v>
      </c>
      <c r="G41" s="60">
        <v>118.57</v>
      </c>
      <c r="H41" s="60">
        <v>37.049999999999997</v>
      </c>
      <c r="I41" s="60">
        <v>0.48</v>
      </c>
      <c r="J41" s="60">
        <v>0.93</v>
      </c>
      <c r="K41" s="60">
        <v>228.98</v>
      </c>
      <c r="L41" s="60">
        <v>21.82</v>
      </c>
      <c r="M41" s="60">
        <v>53.04</v>
      </c>
      <c r="N41" s="60">
        <v>292</v>
      </c>
      <c r="O41" s="60">
        <v>0</v>
      </c>
      <c r="P41" s="60">
        <v>1.27</v>
      </c>
      <c r="Q41" s="60">
        <v>47.07</v>
      </c>
      <c r="R41" s="198"/>
      <c r="S41" s="198"/>
      <c r="T41" s="198"/>
      <c r="U41" s="198"/>
    </row>
    <row r="42" spans="1:21" s="12" customFormat="1" x14ac:dyDescent="0.25">
      <c r="A42" s="201" t="s">
        <v>2008</v>
      </c>
      <c r="B42" s="60">
        <v>39.36</v>
      </c>
      <c r="C42" s="60">
        <v>119.22</v>
      </c>
      <c r="D42" s="60">
        <v>97.36</v>
      </c>
      <c r="E42" s="60">
        <v>10.85</v>
      </c>
      <c r="F42" s="60">
        <v>1.18</v>
      </c>
      <c r="G42" s="60">
        <v>118.57</v>
      </c>
      <c r="H42" s="60">
        <v>37.049999999999997</v>
      </c>
      <c r="I42" s="60">
        <v>0.48</v>
      </c>
      <c r="J42" s="60">
        <v>1.03</v>
      </c>
      <c r="K42" s="60">
        <v>229.63</v>
      </c>
      <c r="L42" s="60">
        <v>23.06</v>
      </c>
      <c r="M42" s="60">
        <v>50.12</v>
      </c>
      <c r="N42" s="60">
        <v>330</v>
      </c>
      <c r="O42" s="60">
        <v>0</v>
      </c>
      <c r="P42" s="60">
        <v>1.26</v>
      </c>
      <c r="Q42" s="60">
        <v>44.84</v>
      </c>
      <c r="R42" s="198"/>
      <c r="S42" s="198"/>
      <c r="T42" s="198"/>
      <c r="U42" s="198"/>
    </row>
    <row r="43" spans="1:21" s="12" customFormat="1" x14ac:dyDescent="0.25">
      <c r="A43" s="201" t="s">
        <v>2009</v>
      </c>
      <c r="B43" s="60">
        <v>39.090000000000003</v>
      </c>
      <c r="C43" s="60">
        <v>118.24</v>
      </c>
      <c r="D43" s="60">
        <v>96.6</v>
      </c>
      <c r="E43" s="60">
        <v>10.55</v>
      </c>
      <c r="F43" s="60">
        <v>1.22</v>
      </c>
      <c r="G43" s="60">
        <v>118.57</v>
      </c>
      <c r="H43" s="60">
        <v>37.049999999999997</v>
      </c>
      <c r="I43" s="60">
        <v>0.46</v>
      </c>
      <c r="J43" s="60">
        <v>0.98</v>
      </c>
      <c r="K43" s="60">
        <v>229.91</v>
      </c>
      <c r="L43" s="60">
        <v>22.88</v>
      </c>
      <c r="M43" s="60">
        <v>50.88</v>
      </c>
      <c r="N43" s="60">
        <v>368.7</v>
      </c>
      <c r="O43" s="60">
        <v>0</v>
      </c>
      <c r="P43" s="60">
        <v>1.23</v>
      </c>
      <c r="Q43" s="60">
        <v>43.85</v>
      </c>
      <c r="R43" s="198"/>
      <c r="S43" s="198"/>
      <c r="T43" s="198"/>
      <c r="U43" s="198"/>
    </row>
    <row r="44" spans="1:21" s="12" customFormat="1" x14ac:dyDescent="0.25">
      <c r="A44" s="201" t="s">
        <v>2010</v>
      </c>
      <c r="B44" s="60">
        <v>37.83</v>
      </c>
      <c r="C44" s="60">
        <v>116.93</v>
      </c>
      <c r="D44" s="60">
        <v>94.87</v>
      </c>
      <c r="E44" s="60">
        <v>10.72</v>
      </c>
      <c r="F44" s="60">
        <v>1.08</v>
      </c>
      <c r="G44" s="60">
        <v>117.52</v>
      </c>
      <c r="H44" s="60">
        <v>37.29</v>
      </c>
      <c r="I44" s="60">
        <v>0.45</v>
      </c>
      <c r="J44" s="60">
        <v>1.1499999999999999</v>
      </c>
      <c r="K44" s="60">
        <v>230.25</v>
      </c>
      <c r="L44" s="60">
        <v>22.98</v>
      </c>
      <c r="M44" s="60">
        <v>51.01</v>
      </c>
      <c r="N44" s="60">
        <v>414.6</v>
      </c>
      <c r="O44" s="60">
        <v>0</v>
      </c>
      <c r="P44" s="60">
        <v>1.22</v>
      </c>
      <c r="Q44" s="60">
        <v>41.51</v>
      </c>
      <c r="R44" s="198"/>
      <c r="S44" s="198"/>
      <c r="T44" s="198"/>
      <c r="U44" s="198"/>
    </row>
    <row r="45" spans="1:21" s="12" customFormat="1" x14ac:dyDescent="0.25">
      <c r="A45" s="201" t="s">
        <v>2011</v>
      </c>
      <c r="B45" s="60">
        <v>36.369999999999997</v>
      </c>
      <c r="C45" s="60">
        <v>116.51</v>
      </c>
      <c r="D45" s="60">
        <v>93.47</v>
      </c>
      <c r="E45" s="60">
        <v>10.8</v>
      </c>
      <c r="F45" s="60">
        <v>1.85</v>
      </c>
      <c r="G45" s="60">
        <v>108.68</v>
      </c>
      <c r="H45" s="60">
        <v>39.72</v>
      </c>
      <c r="I45" s="60">
        <v>0.45</v>
      </c>
      <c r="J45" s="60">
        <v>1.21</v>
      </c>
      <c r="K45" s="60">
        <v>230.74</v>
      </c>
      <c r="L45" s="60">
        <v>24.4</v>
      </c>
      <c r="M45" s="60">
        <v>46.94</v>
      </c>
      <c r="N45" s="60">
        <v>418.8</v>
      </c>
      <c r="O45" s="60">
        <v>0</v>
      </c>
      <c r="P45" s="60">
        <v>1.19</v>
      </c>
      <c r="Q45" s="60">
        <v>38.979999999999997</v>
      </c>
      <c r="R45" s="198"/>
      <c r="S45" s="198"/>
      <c r="T45" s="198"/>
      <c r="U45" s="198"/>
    </row>
    <row r="46" spans="1:21" s="12" customFormat="1" x14ac:dyDescent="0.25">
      <c r="A46" s="201" t="s">
        <v>2012</v>
      </c>
      <c r="B46" s="60">
        <v>36.450000000000003</v>
      </c>
      <c r="C46" s="60">
        <v>118.95</v>
      </c>
      <c r="D46" s="60">
        <v>94.87</v>
      </c>
      <c r="E46" s="60">
        <v>12.34</v>
      </c>
      <c r="F46" s="60">
        <v>1.48</v>
      </c>
      <c r="G46" s="60">
        <v>108.68</v>
      </c>
      <c r="H46" s="60">
        <v>39.72</v>
      </c>
      <c r="I46" s="60">
        <v>0.45</v>
      </c>
      <c r="J46" s="60">
        <v>1.25</v>
      </c>
      <c r="K46" s="60">
        <v>230.84</v>
      </c>
      <c r="L46" s="60">
        <v>25.31</v>
      </c>
      <c r="M46" s="60">
        <v>44.7</v>
      </c>
      <c r="N46" s="60">
        <v>464.2</v>
      </c>
      <c r="O46" s="60">
        <v>0</v>
      </c>
      <c r="P46" s="60">
        <v>1.18</v>
      </c>
      <c r="Q46" s="60">
        <v>40.130000000000003</v>
      </c>
      <c r="R46" s="198"/>
      <c r="S46" s="198"/>
      <c r="T46" s="198"/>
      <c r="U46" s="198"/>
    </row>
    <row r="47" spans="1:21" s="12" customFormat="1" x14ac:dyDescent="0.25">
      <c r="A47" s="201" t="s">
        <v>2013</v>
      </c>
      <c r="B47" s="60">
        <v>35.49</v>
      </c>
      <c r="C47" s="60">
        <v>120.98</v>
      </c>
      <c r="D47" s="60">
        <v>95.23</v>
      </c>
      <c r="E47" s="60">
        <v>12.64</v>
      </c>
      <c r="F47" s="60">
        <v>1.76</v>
      </c>
      <c r="G47" s="60">
        <v>108.68</v>
      </c>
      <c r="H47" s="60">
        <v>39.72</v>
      </c>
      <c r="I47" s="60">
        <v>0.44</v>
      </c>
      <c r="J47" s="60">
        <v>1.43</v>
      </c>
      <c r="K47" s="60">
        <v>230.88</v>
      </c>
      <c r="L47" s="60">
        <v>25.48</v>
      </c>
      <c r="M47" s="60">
        <v>44.45</v>
      </c>
      <c r="N47" s="60">
        <v>448</v>
      </c>
      <c r="O47" s="60">
        <v>0</v>
      </c>
      <c r="P47" s="60">
        <v>1.1399999999999999</v>
      </c>
      <c r="Q47" s="60">
        <v>41.59</v>
      </c>
      <c r="R47" s="198"/>
      <c r="S47" s="198"/>
      <c r="T47" s="198"/>
      <c r="U47" s="198"/>
    </row>
    <row r="48" spans="1:21" s="12" customFormat="1" x14ac:dyDescent="0.25">
      <c r="A48" s="201" t="s">
        <v>2014</v>
      </c>
      <c r="B48" s="60">
        <v>33.42</v>
      </c>
      <c r="C48" s="60">
        <v>121.29</v>
      </c>
      <c r="D48" s="60">
        <v>93.74</v>
      </c>
      <c r="E48" s="60">
        <v>12.28</v>
      </c>
      <c r="F48" s="60">
        <v>1.55</v>
      </c>
      <c r="G48" s="60">
        <v>107.58</v>
      </c>
      <c r="H48" s="60">
        <v>39.380000000000003</v>
      </c>
      <c r="I48" s="60">
        <v>0.44</v>
      </c>
      <c r="J48" s="60">
        <v>1.51</v>
      </c>
      <c r="K48" s="60">
        <v>230.92</v>
      </c>
      <c r="L48" s="60">
        <v>26.38</v>
      </c>
      <c r="M48" s="60">
        <v>42.99</v>
      </c>
      <c r="N48" s="60">
        <v>486.9</v>
      </c>
      <c r="O48" s="60">
        <v>0</v>
      </c>
      <c r="P48" s="60">
        <v>1.1100000000000001</v>
      </c>
      <c r="Q48" s="60">
        <v>38.35</v>
      </c>
      <c r="R48" s="198"/>
      <c r="S48" s="198"/>
      <c r="T48" s="198"/>
      <c r="U48" s="198"/>
    </row>
    <row r="49" spans="1:21" s="12" customFormat="1" x14ac:dyDescent="0.25">
      <c r="A49" s="201" t="s">
        <v>2015</v>
      </c>
      <c r="B49" s="60">
        <v>31.41</v>
      </c>
      <c r="C49" s="60">
        <v>119.5</v>
      </c>
      <c r="D49" s="60">
        <v>91.14</v>
      </c>
      <c r="E49" s="60">
        <v>12.07</v>
      </c>
      <c r="F49" s="60">
        <v>1.4</v>
      </c>
      <c r="G49" s="60">
        <v>98.35</v>
      </c>
      <c r="H49" s="60">
        <v>35.869999999999997</v>
      </c>
      <c r="I49" s="60">
        <v>0.44</v>
      </c>
      <c r="J49" s="60">
        <v>1.1399999999999999</v>
      </c>
      <c r="K49" s="60">
        <v>230.91</v>
      </c>
      <c r="L49" s="60">
        <v>25.19</v>
      </c>
      <c r="M49" s="60">
        <v>47.15</v>
      </c>
      <c r="N49" s="60">
        <v>502.5</v>
      </c>
      <c r="O49" s="60">
        <v>0</v>
      </c>
      <c r="P49" s="60">
        <v>1.0900000000000001</v>
      </c>
      <c r="Q49" s="60">
        <v>33.86</v>
      </c>
      <c r="R49" s="198"/>
      <c r="S49" s="198"/>
      <c r="T49" s="198"/>
      <c r="U49" s="198"/>
    </row>
    <row r="50" spans="1:21" s="12" customFormat="1" x14ac:dyDescent="0.25">
      <c r="A50" s="201" t="s">
        <v>2016</v>
      </c>
      <c r="B50" s="60">
        <v>29.86</v>
      </c>
      <c r="C50" s="60">
        <v>119.39</v>
      </c>
      <c r="D50" s="60">
        <v>89.84</v>
      </c>
      <c r="E50" s="60">
        <v>11.62</v>
      </c>
      <c r="F50" s="60">
        <v>1.43</v>
      </c>
      <c r="G50" s="60">
        <v>98.35</v>
      </c>
      <c r="H50" s="60">
        <v>35.869999999999997</v>
      </c>
      <c r="I50" s="60">
        <v>0.43</v>
      </c>
      <c r="J50" s="60">
        <v>1.19</v>
      </c>
      <c r="K50" s="60">
        <v>231.53</v>
      </c>
      <c r="L50" s="60">
        <v>26.14</v>
      </c>
      <c r="M50" s="60">
        <v>45.31</v>
      </c>
      <c r="N50" s="60">
        <v>503.2</v>
      </c>
      <c r="O50" s="60">
        <v>0</v>
      </c>
      <c r="P50" s="60">
        <v>1.0900000000000001</v>
      </c>
      <c r="Q50" s="60">
        <v>35.130000000000003</v>
      </c>
      <c r="R50" s="198"/>
      <c r="S50" s="198"/>
      <c r="T50" s="198"/>
      <c r="U50" s="198"/>
    </row>
    <row r="51" spans="1:21" s="12" customFormat="1" x14ac:dyDescent="0.25">
      <c r="A51" s="201" t="s">
        <v>2017</v>
      </c>
      <c r="B51" s="60">
        <v>28.34</v>
      </c>
      <c r="C51" s="60">
        <v>114.05</v>
      </c>
      <c r="D51" s="60">
        <v>85.67</v>
      </c>
      <c r="E51" s="60">
        <v>12.19</v>
      </c>
      <c r="F51" s="60">
        <v>1.38</v>
      </c>
      <c r="G51" s="60">
        <v>98.35</v>
      </c>
      <c r="H51" s="60">
        <v>35.869999999999997</v>
      </c>
      <c r="I51" s="60">
        <v>0.43</v>
      </c>
      <c r="J51" s="60">
        <v>1.0900000000000001</v>
      </c>
      <c r="K51" s="60">
        <v>231.36</v>
      </c>
      <c r="L51" s="60">
        <v>25.83</v>
      </c>
      <c r="M51" s="60">
        <v>45.13</v>
      </c>
      <c r="N51" s="60">
        <v>443.3</v>
      </c>
      <c r="O51" s="60">
        <v>0</v>
      </c>
      <c r="P51" s="60">
        <v>1.07</v>
      </c>
      <c r="Q51" s="60">
        <v>35.6</v>
      </c>
      <c r="R51" s="198"/>
      <c r="S51" s="198"/>
      <c r="T51" s="198"/>
      <c r="U51" s="198"/>
    </row>
    <row r="52" spans="1:21" s="12" customFormat="1" x14ac:dyDescent="0.25">
      <c r="A52" s="201" t="s">
        <v>2018</v>
      </c>
      <c r="B52" s="60">
        <v>24.05</v>
      </c>
      <c r="C52" s="60">
        <v>112.87</v>
      </c>
      <c r="D52" s="60">
        <v>81.58</v>
      </c>
      <c r="E52" s="60">
        <v>13.92</v>
      </c>
      <c r="F52" s="60">
        <v>3.54</v>
      </c>
      <c r="G52" s="60">
        <v>95.07</v>
      </c>
      <c r="H52" s="60">
        <v>35.590000000000003</v>
      </c>
      <c r="I52" s="60">
        <v>0.44</v>
      </c>
      <c r="J52" s="60">
        <v>1.37</v>
      </c>
      <c r="K52" s="60">
        <v>231.37</v>
      </c>
      <c r="L52" s="60">
        <v>25.87</v>
      </c>
      <c r="M52" s="60">
        <v>43.36</v>
      </c>
      <c r="N52" s="60">
        <v>549.4</v>
      </c>
      <c r="O52" s="60">
        <v>0</v>
      </c>
      <c r="P52" s="60">
        <v>1.01</v>
      </c>
      <c r="Q52" s="60">
        <v>27.18</v>
      </c>
      <c r="R52" s="198"/>
      <c r="S52" s="198"/>
      <c r="T52" s="198"/>
      <c r="U52" s="198"/>
    </row>
    <row r="53" spans="1:21" s="12" customFormat="1" x14ac:dyDescent="0.25">
      <c r="A53" s="201" t="s">
        <v>2019</v>
      </c>
      <c r="B53" s="60">
        <v>14.67</v>
      </c>
      <c r="C53" s="60">
        <v>120.63</v>
      </c>
      <c r="D53" s="60">
        <v>78.33</v>
      </c>
      <c r="E53" s="60">
        <v>22.61</v>
      </c>
      <c r="F53" s="60">
        <v>8.5</v>
      </c>
      <c r="G53" s="60">
        <v>67.44</v>
      </c>
      <c r="H53" s="60">
        <v>32.72</v>
      </c>
      <c r="I53" s="60">
        <v>0.43</v>
      </c>
      <c r="J53" s="60">
        <v>0.98</v>
      </c>
      <c r="K53" s="60">
        <v>231.81</v>
      </c>
      <c r="L53" s="60">
        <v>27.82</v>
      </c>
      <c r="M53" s="60">
        <v>39.24</v>
      </c>
      <c r="N53" s="60">
        <v>550.79999999999995</v>
      </c>
      <c r="O53" s="60">
        <v>0</v>
      </c>
      <c r="P53" s="60">
        <v>0.92</v>
      </c>
      <c r="Q53" s="218" t="s">
        <v>42</v>
      </c>
      <c r="R53" s="198"/>
      <c r="S53" s="198"/>
      <c r="T53" s="198"/>
      <c r="U53" s="198"/>
    </row>
    <row r="54" spans="1:21" s="12" customFormat="1" x14ac:dyDescent="0.25">
      <c r="A54" s="201" t="s">
        <v>2020</v>
      </c>
      <c r="B54" s="60">
        <v>9.2899999999999991</v>
      </c>
      <c r="C54" s="60">
        <v>117.23</v>
      </c>
      <c r="D54" s="60">
        <v>72.14</v>
      </c>
      <c r="E54" s="60">
        <v>16.57</v>
      </c>
      <c r="F54" s="60">
        <v>6.13</v>
      </c>
      <c r="G54" s="60">
        <v>67.44</v>
      </c>
      <c r="H54" s="60">
        <v>32.72</v>
      </c>
      <c r="I54" s="60">
        <v>0.4</v>
      </c>
      <c r="J54" s="60">
        <v>1.1399999999999999</v>
      </c>
      <c r="K54" s="60">
        <v>232</v>
      </c>
      <c r="L54" s="60">
        <v>27.61</v>
      </c>
      <c r="M54" s="60">
        <v>38.81</v>
      </c>
      <c r="N54" s="60">
        <v>534.70000000000005</v>
      </c>
      <c r="O54" s="60">
        <v>0</v>
      </c>
      <c r="P54" s="60">
        <v>0.89</v>
      </c>
      <c r="Q54" s="218" t="s">
        <v>42</v>
      </c>
      <c r="R54" s="198"/>
      <c r="S54" s="198"/>
      <c r="T54" s="198"/>
      <c r="U54" s="198"/>
    </row>
    <row r="55" spans="1:21" s="12" customFormat="1" x14ac:dyDescent="0.25">
      <c r="A55" s="201" t="s">
        <v>2021</v>
      </c>
      <c r="B55" s="60">
        <v>7.79</v>
      </c>
      <c r="C55" s="60">
        <v>113.3</v>
      </c>
      <c r="D55" s="60">
        <v>68.78</v>
      </c>
      <c r="E55" s="60">
        <v>11.68</v>
      </c>
      <c r="F55" s="60">
        <v>4.88</v>
      </c>
      <c r="G55" s="60">
        <v>67.44</v>
      </c>
      <c r="H55" s="60">
        <v>32.72</v>
      </c>
      <c r="I55" s="60">
        <v>0.31</v>
      </c>
      <c r="J55" s="60">
        <v>1.28</v>
      </c>
      <c r="K55" s="60">
        <v>231.81</v>
      </c>
      <c r="L55" s="60">
        <v>26.57</v>
      </c>
      <c r="M55" s="60">
        <v>41.06</v>
      </c>
      <c r="N55" s="60">
        <v>529.70000000000005</v>
      </c>
      <c r="O55" s="60">
        <v>0</v>
      </c>
      <c r="P55" s="60">
        <v>0.88</v>
      </c>
      <c r="Q55" s="218" t="s">
        <v>42</v>
      </c>
      <c r="R55" s="198"/>
      <c r="S55" s="198"/>
      <c r="T55" s="198"/>
      <c r="U55" s="198"/>
    </row>
    <row r="56" spans="1:21" s="12" customFormat="1" x14ac:dyDescent="0.25">
      <c r="A56" s="201" t="s">
        <v>2022</v>
      </c>
      <c r="B56" s="60">
        <v>8.8000000000000007</v>
      </c>
      <c r="C56" s="60">
        <v>115.64</v>
      </c>
      <c r="D56" s="60">
        <v>70.88</v>
      </c>
      <c r="E56" s="60">
        <v>6.27</v>
      </c>
      <c r="F56" s="60">
        <v>6.36</v>
      </c>
      <c r="G56" s="60">
        <v>70.03</v>
      </c>
      <c r="H56" s="60">
        <v>32.79</v>
      </c>
      <c r="I56" s="60">
        <v>0.3</v>
      </c>
      <c r="J56" s="60">
        <v>1.01</v>
      </c>
      <c r="K56" s="60">
        <v>231.68</v>
      </c>
      <c r="L56" s="60">
        <v>26.96</v>
      </c>
      <c r="M56" s="60">
        <v>38.92</v>
      </c>
      <c r="N56" s="60">
        <v>547.29999999999995</v>
      </c>
      <c r="O56" s="60">
        <v>0</v>
      </c>
      <c r="P56" s="60">
        <v>0.83</v>
      </c>
      <c r="Q56" s="218" t="s">
        <v>42</v>
      </c>
      <c r="R56" s="198"/>
      <c r="S56" s="198"/>
      <c r="T56" s="198"/>
      <c r="U56" s="198"/>
    </row>
    <row r="57" spans="1:21" s="12" customFormat="1" x14ac:dyDescent="0.25">
      <c r="A57" s="201" t="s">
        <v>2023</v>
      </c>
      <c r="B57" s="60">
        <v>8.43</v>
      </c>
      <c r="C57" s="60">
        <v>111</v>
      </c>
      <c r="D57" s="60">
        <v>68.02</v>
      </c>
      <c r="E57" s="60">
        <v>12.23</v>
      </c>
      <c r="F57" s="60">
        <v>8.44</v>
      </c>
      <c r="G57" s="60">
        <v>91.87</v>
      </c>
      <c r="H57" s="60">
        <v>33.51</v>
      </c>
      <c r="I57" s="60">
        <v>0.3</v>
      </c>
      <c r="J57" s="60">
        <v>1.1499999999999999</v>
      </c>
      <c r="K57" s="60">
        <v>231.87</v>
      </c>
      <c r="L57" s="60">
        <v>27.66</v>
      </c>
      <c r="M57" s="60">
        <v>37.619999999999997</v>
      </c>
      <c r="N57" s="60">
        <v>465.4</v>
      </c>
      <c r="O57" s="60">
        <v>0</v>
      </c>
      <c r="P57" s="60">
        <v>0.79</v>
      </c>
      <c r="Q57" s="218" t="s">
        <v>42</v>
      </c>
      <c r="R57" s="198"/>
      <c r="S57" s="198"/>
      <c r="T57" s="198"/>
      <c r="U57" s="198"/>
    </row>
    <row r="58" spans="1:21" s="12" customFormat="1" x14ac:dyDescent="0.25">
      <c r="A58" s="201" t="s">
        <v>2024</v>
      </c>
      <c r="B58" s="60">
        <v>7.61</v>
      </c>
      <c r="C58" s="60">
        <v>110.14</v>
      </c>
      <c r="D58" s="60">
        <v>66.89</v>
      </c>
      <c r="E58" s="60">
        <v>12.33</v>
      </c>
      <c r="F58" s="60">
        <v>7.77</v>
      </c>
      <c r="G58" s="60">
        <v>91.87</v>
      </c>
      <c r="H58" s="60">
        <v>33.51</v>
      </c>
      <c r="I58" s="60">
        <v>0.27</v>
      </c>
      <c r="J58" s="60">
        <v>1.05</v>
      </c>
      <c r="K58" s="60">
        <v>231.61</v>
      </c>
      <c r="L58" s="60">
        <v>27.46</v>
      </c>
      <c r="M58" s="60">
        <v>36.799999999999997</v>
      </c>
      <c r="N58" s="60">
        <v>376.9</v>
      </c>
      <c r="O58" s="60">
        <v>0</v>
      </c>
      <c r="P58" s="60">
        <v>0.76</v>
      </c>
      <c r="Q58" s="218" t="s">
        <v>42</v>
      </c>
      <c r="R58" s="198"/>
      <c r="S58" s="198"/>
      <c r="T58" s="198"/>
      <c r="U58" s="198"/>
    </row>
    <row r="59" spans="1:21" s="12" customFormat="1" x14ac:dyDescent="0.25">
      <c r="A59" s="201" t="s">
        <v>2025</v>
      </c>
      <c r="B59" s="60">
        <v>7.97</v>
      </c>
      <c r="C59" s="60">
        <v>112.67</v>
      </c>
      <c r="D59" s="60">
        <v>68.569999999999993</v>
      </c>
      <c r="E59" s="60">
        <v>12.59</v>
      </c>
      <c r="F59" s="60">
        <v>7.43</v>
      </c>
      <c r="G59" s="60">
        <v>91.87</v>
      </c>
      <c r="H59" s="60">
        <v>33.51</v>
      </c>
      <c r="I59" s="60">
        <v>0.25</v>
      </c>
      <c r="J59" s="60">
        <v>1.05</v>
      </c>
      <c r="K59" s="60">
        <v>231.73</v>
      </c>
      <c r="L59" s="60">
        <v>29.01</v>
      </c>
      <c r="M59" s="60">
        <v>35.380000000000003</v>
      </c>
      <c r="N59" s="60">
        <v>455.4</v>
      </c>
      <c r="O59" s="60">
        <v>0</v>
      </c>
      <c r="P59" s="60">
        <v>0.77</v>
      </c>
      <c r="Q59" s="218" t="s">
        <v>42</v>
      </c>
      <c r="R59" s="198"/>
      <c r="S59" s="198"/>
      <c r="T59" s="198"/>
      <c r="U59" s="198"/>
    </row>
    <row r="60" spans="1:21" s="12" customFormat="1" x14ac:dyDescent="0.25">
      <c r="A60" s="201" t="s">
        <v>2026</v>
      </c>
      <c r="B60" s="60">
        <v>8.5</v>
      </c>
      <c r="C60" s="60">
        <v>114.48</v>
      </c>
      <c r="D60" s="60">
        <v>69.989999999999995</v>
      </c>
      <c r="E60" s="60">
        <v>17.940000000000001</v>
      </c>
      <c r="F60" s="60">
        <v>8.9499999999999993</v>
      </c>
      <c r="G60" s="60">
        <v>89.31</v>
      </c>
      <c r="H60" s="60">
        <v>33.24</v>
      </c>
      <c r="I60" s="60">
        <v>0.24</v>
      </c>
      <c r="J60" s="60">
        <v>1.1399999999999999</v>
      </c>
      <c r="K60" s="60">
        <v>232.09</v>
      </c>
      <c r="L60" s="60">
        <v>29.84</v>
      </c>
      <c r="M60" s="60">
        <v>34.28</v>
      </c>
      <c r="N60" s="60">
        <v>481.2</v>
      </c>
      <c r="O60" s="60">
        <v>0</v>
      </c>
      <c r="P60" s="60">
        <v>0.78</v>
      </c>
      <c r="Q60" s="218" t="s">
        <v>42</v>
      </c>
      <c r="R60" s="198"/>
      <c r="S60" s="198"/>
      <c r="T60" s="198"/>
      <c r="U60" s="198"/>
    </row>
    <row r="61" spans="1:21" s="12" customFormat="1" x14ac:dyDescent="0.25">
      <c r="A61" s="201" t="s">
        <v>2027</v>
      </c>
      <c r="B61" s="60">
        <v>7.51</v>
      </c>
      <c r="C61" s="60">
        <v>118.58</v>
      </c>
      <c r="D61" s="60">
        <v>71.459999999999994</v>
      </c>
      <c r="E61" s="60">
        <v>13.48</v>
      </c>
      <c r="F61" s="60">
        <v>3.93</v>
      </c>
      <c r="G61" s="60">
        <v>67.7</v>
      </c>
      <c r="H61" s="60">
        <v>30.48</v>
      </c>
      <c r="I61" s="60">
        <v>0.24</v>
      </c>
      <c r="J61" s="60">
        <v>1.18</v>
      </c>
      <c r="K61" s="60">
        <v>231.95</v>
      </c>
      <c r="L61" s="60">
        <v>28.6</v>
      </c>
      <c r="M61" s="60">
        <v>35.54</v>
      </c>
      <c r="N61" s="60">
        <v>443.6</v>
      </c>
      <c r="O61" s="60">
        <v>0</v>
      </c>
      <c r="P61" s="60">
        <v>0.76</v>
      </c>
      <c r="Q61" s="218" t="s">
        <v>42</v>
      </c>
      <c r="R61" s="198"/>
      <c r="S61" s="198"/>
      <c r="T61" s="198"/>
      <c r="U61" s="198"/>
    </row>
    <row r="62" spans="1:21" s="12" customFormat="1" x14ac:dyDescent="0.25">
      <c r="A62" s="201" t="s">
        <v>2028</v>
      </c>
      <c r="B62" s="60">
        <v>6.78</v>
      </c>
      <c r="C62" s="60">
        <v>115.74</v>
      </c>
      <c r="D62" s="60">
        <v>69.3</v>
      </c>
      <c r="E62" s="60">
        <v>11.66</v>
      </c>
      <c r="F62" s="60">
        <v>3.01</v>
      </c>
      <c r="G62" s="60">
        <v>67.7</v>
      </c>
      <c r="H62" s="60">
        <v>30.48</v>
      </c>
      <c r="I62" s="60">
        <v>0.24</v>
      </c>
      <c r="J62" s="60">
        <v>0.92</v>
      </c>
      <c r="K62" s="60">
        <v>231.95</v>
      </c>
      <c r="L62" s="60">
        <v>28.23</v>
      </c>
      <c r="M62" s="60">
        <v>36.67</v>
      </c>
      <c r="N62" s="60">
        <v>433.5</v>
      </c>
      <c r="O62" s="60">
        <v>0</v>
      </c>
      <c r="P62" s="60">
        <v>0.78</v>
      </c>
      <c r="Q62" s="218" t="s">
        <v>42</v>
      </c>
      <c r="R62" s="198"/>
      <c r="S62" s="198"/>
      <c r="T62" s="198"/>
      <c r="U62" s="198"/>
    </row>
    <row r="63" spans="1:21" s="12" customFormat="1" x14ac:dyDescent="0.25">
      <c r="A63" s="201" t="s">
        <v>2029</v>
      </c>
      <c r="B63" s="60">
        <v>7.94</v>
      </c>
      <c r="C63" s="60">
        <v>113.39</v>
      </c>
      <c r="D63" s="60">
        <v>68.95</v>
      </c>
      <c r="E63" s="60">
        <v>11.96</v>
      </c>
      <c r="F63" s="60">
        <v>2.19</v>
      </c>
      <c r="G63" s="60">
        <v>67.7</v>
      </c>
      <c r="H63" s="60">
        <v>30.48</v>
      </c>
      <c r="I63" s="60">
        <v>0.25</v>
      </c>
      <c r="J63" s="60">
        <v>1.21</v>
      </c>
      <c r="K63" s="60">
        <v>232.16</v>
      </c>
      <c r="L63" s="60">
        <v>29.53</v>
      </c>
      <c r="M63" s="60">
        <v>35.130000000000003</v>
      </c>
      <c r="N63" s="60">
        <v>396.1</v>
      </c>
      <c r="O63" s="60">
        <v>0</v>
      </c>
      <c r="P63" s="60">
        <v>0.79</v>
      </c>
      <c r="Q63" s="218" t="s">
        <v>42</v>
      </c>
      <c r="R63" s="198"/>
      <c r="S63" s="198"/>
      <c r="T63" s="198"/>
      <c r="U63" s="198"/>
    </row>
    <row r="64" spans="1:21" s="12" customFormat="1" x14ac:dyDescent="0.25">
      <c r="A64" s="201" t="s">
        <v>2030</v>
      </c>
      <c r="B64" s="60">
        <v>10.18</v>
      </c>
      <c r="C64" s="60">
        <v>120.69</v>
      </c>
      <c r="D64" s="60">
        <v>74.77</v>
      </c>
      <c r="E64" s="60">
        <v>18.399999999999999</v>
      </c>
      <c r="F64" s="60">
        <v>7.4</v>
      </c>
      <c r="G64" s="60">
        <v>66.930000000000007</v>
      </c>
      <c r="H64" s="60">
        <v>30.52</v>
      </c>
      <c r="I64" s="60">
        <v>0.27</v>
      </c>
      <c r="J64" s="60">
        <v>1.1200000000000001</v>
      </c>
      <c r="K64" s="60">
        <v>231.91</v>
      </c>
      <c r="L64" s="60">
        <v>29.36</v>
      </c>
      <c r="M64" s="60">
        <v>35.049999999999997</v>
      </c>
      <c r="N64" s="60">
        <v>401.4</v>
      </c>
      <c r="O64" s="60">
        <v>0</v>
      </c>
      <c r="P64" s="60">
        <v>0.79</v>
      </c>
      <c r="Q64" s="218" t="s">
        <v>42</v>
      </c>
      <c r="R64" s="198"/>
      <c r="S64" s="198"/>
      <c r="T64" s="198"/>
      <c r="U64" s="198"/>
    </row>
    <row r="65" spans="1:21" s="12" customFormat="1" x14ac:dyDescent="0.25">
      <c r="A65" s="201" t="s">
        <v>2031</v>
      </c>
      <c r="B65" s="60">
        <v>8.56</v>
      </c>
      <c r="C65" s="60">
        <v>125.64</v>
      </c>
      <c r="D65" s="60">
        <v>76.2</v>
      </c>
      <c r="E65" s="60">
        <v>14.5</v>
      </c>
      <c r="F65" s="60">
        <v>5.32</v>
      </c>
      <c r="G65" s="60">
        <v>60.44</v>
      </c>
      <c r="H65" s="60">
        <v>30.99</v>
      </c>
      <c r="I65" s="60">
        <v>0.27</v>
      </c>
      <c r="J65" s="60">
        <v>1.3</v>
      </c>
      <c r="K65" s="60">
        <v>231.61</v>
      </c>
      <c r="L65" s="60">
        <v>26.7</v>
      </c>
      <c r="M65" s="60">
        <v>38.42</v>
      </c>
      <c r="N65" s="60">
        <v>391.4</v>
      </c>
      <c r="O65" s="60">
        <v>0</v>
      </c>
      <c r="P65" s="60">
        <v>0.77</v>
      </c>
      <c r="Q65" s="218" t="s">
        <v>42</v>
      </c>
      <c r="R65" s="198"/>
      <c r="S65" s="198"/>
      <c r="T65" s="198"/>
      <c r="U65" s="198"/>
    </row>
    <row r="66" spans="1:21" s="12" customFormat="1" x14ac:dyDescent="0.25">
      <c r="A66" s="201" t="s">
        <v>2032</v>
      </c>
      <c r="B66" s="60">
        <v>7.88</v>
      </c>
      <c r="C66" s="60">
        <v>118.22</v>
      </c>
      <c r="D66" s="60">
        <v>71.56</v>
      </c>
      <c r="E66" s="60">
        <v>14.14</v>
      </c>
      <c r="F66" s="60">
        <v>5.63</v>
      </c>
      <c r="G66" s="60">
        <v>60.44</v>
      </c>
      <c r="H66" s="60">
        <v>30.99</v>
      </c>
      <c r="I66" s="60">
        <v>0.24</v>
      </c>
      <c r="J66" s="60">
        <v>1.07</v>
      </c>
      <c r="K66" s="60">
        <v>231.63</v>
      </c>
      <c r="L66" s="60">
        <v>27.59</v>
      </c>
      <c r="M66" s="60">
        <v>36.39</v>
      </c>
      <c r="N66" s="60">
        <v>306.5</v>
      </c>
      <c r="O66" s="60">
        <v>0</v>
      </c>
      <c r="P66" s="60">
        <v>0.76</v>
      </c>
      <c r="Q66" s="218" t="s">
        <v>42</v>
      </c>
      <c r="R66" s="198"/>
      <c r="S66" s="198"/>
      <c r="T66" s="198"/>
      <c r="U66" s="198"/>
    </row>
    <row r="67" spans="1:21" s="12" customFormat="1" x14ac:dyDescent="0.25">
      <c r="A67" s="201" t="s">
        <v>2033</v>
      </c>
      <c r="B67" s="60">
        <v>7.11</v>
      </c>
      <c r="C67" s="60">
        <v>112.85</v>
      </c>
      <c r="D67" s="60">
        <v>67.98</v>
      </c>
      <c r="E67" s="60">
        <v>11.33</v>
      </c>
      <c r="F67" s="60">
        <v>3.22</v>
      </c>
      <c r="G67" s="60">
        <v>60.44</v>
      </c>
      <c r="H67" s="60">
        <v>30.99</v>
      </c>
      <c r="I67" s="60">
        <v>0.25</v>
      </c>
      <c r="J67" s="60">
        <v>1.08</v>
      </c>
      <c r="K67" s="60">
        <v>231.41</v>
      </c>
      <c r="L67" s="60">
        <v>26.66</v>
      </c>
      <c r="M67" s="60">
        <v>37.76</v>
      </c>
      <c r="N67" s="60">
        <v>217</v>
      </c>
      <c r="O67" s="60">
        <v>0</v>
      </c>
      <c r="P67" s="60">
        <v>0.75</v>
      </c>
      <c r="Q67" s="218" t="s">
        <v>42</v>
      </c>
      <c r="R67" s="198"/>
      <c r="S67" s="198"/>
      <c r="T67" s="198"/>
      <c r="U67" s="198"/>
    </row>
    <row r="68" spans="1:21" s="12" customFormat="1" x14ac:dyDescent="0.25">
      <c r="A68" s="201" t="s">
        <v>2034</v>
      </c>
      <c r="B68" s="60">
        <v>8.07</v>
      </c>
      <c r="C68" s="60">
        <v>108.97</v>
      </c>
      <c r="D68" s="60">
        <v>66.61</v>
      </c>
      <c r="E68" s="60">
        <v>9.85</v>
      </c>
      <c r="F68" s="60">
        <v>3.77</v>
      </c>
      <c r="G68" s="60">
        <v>61.47</v>
      </c>
      <c r="H68" s="60">
        <v>30.65</v>
      </c>
      <c r="I68" s="60">
        <v>0.25</v>
      </c>
      <c r="J68" s="60">
        <v>0.9</v>
      </c>
      <c r="K68" s="60">
        <v>231.12</v>
      </c>
      <c r="L68" s="60">
        <v>26.78</v>
      </c>
      <c r="M68" s="60">
        <v>38.340000000000003</v>
      </c>
      <c r="N68" s="60">
        <v>135.6</v>
      </c>
      <c r="O68" s="60">
        <v>0</v>
      </c>
      <c r="P68" s="60">
        <v>0.75</v>
      </c>
      <c r="Q68" s="218" t="s">
        <v>42</v>
      </c>
      <c r="R68" s="198"/>
      <c r="S68" s="198"/>
      <c r="T68" s="198"/>
      <c r="U68" s="198"/>
    </row>
    <row r="69" spans="1:21" s="12" customFormat="1" x14ac:dyDescent="0.25">
      <c r="A69" s="201" t="s">
        <v>2035</v>
      </c>
      <c r="B69" s="60">
        <v>9.5399999999999991</v>
      </c>
      <c r="C69" s="60">
        <v>111.04</v>
      </c>
      <c r="D69" s="60">
        <v>68.930000000000007</v>
      </c>
      <c r="E69" s="60">
        <v>12.81</v>
      </c>
      <c r="F69" s="60">
        <v>6.28</v>
      </c>
      <c r="G69" s="60">
        <v>70.099999999999994</v>
      </c>
      <c r="H69" s="60">
        <v>27.15</v>
      </c>
      <c r="I69" s="60">
        <v>0.26</v>
      </c>
      <c r="J69" s="60">
        <v>0.99</v>
      </c>
      <c r="K69" s="60">
        <v>230.68</v>
      </c>
      <c r="L69" s="60">
        <v>26.98</v>
      </c>
      <c r="M69" s="60">
        <v>37.26</v>
      </c>
      <c r="N69" s="60">
        <v>122.4</v>
      </c>
      <c r="O69" s="60">
        <v>0</v>
      </c>
      <c r="P69" s="60">
        <v>0.77</v>
      </c>
      <c r="Q69" s="218" t="s">
        <v>42</v>
      </c>
      <c r="R69" s="198"/>
      <c r="S69" s="198"/>
      <c r="T69" s="198"/>
      <c r="U69" s="198"/>
    </row>
    <row r="70" spans="1:21" s="12" customFormat="1" x14ac:dyDescent="0.25">
      <c r="A70" s="201" t="s">
        <v>2036</v>
      </c>
      <c r="B70" s="60">
        <v>7.39</v>
      </c>
      <c r="C70" s="60">
        <v>109.81</v>
      </c>
      <c r="D70" s="60">
        <v>66.53</v>
      </c>
      <c r="E70" s="60">
        <v>8.74</v>
      </c>
      <c r="F70" s="60">
        <v>3.63</v>
      </c>
      <c r="G70" s="60">
        <v>70.099999999999994</v>
      </c>
      <c r="H70" s="60">
        <v>27.15</v>
      </c>
      <c r="I70" s="60">
        <v>0.26</v>
      </c>
      <c r="J70" s="60">
        <v>1.08</v>
      </c>
      <c r="K70" s="60">
        <v>230.38</v>
      </c>
      <c r="L70" s="60">
        <v>26</v>
      </c>
      <c r="M70" s="60">
        <v>38.979999999999997</v>
      </c>
      <c r="N70" s="60">
        <v>112.4</v>
      </c>
      <c r="O70" s="60">
        <v>0</v>
      </c>
      <c r="P70" s="60">
        <v>0.78</v>
      </c>
      <c r="Q70" s="218" t="s">
        <v>42</v>
      </c>
      <c r="R70" s="198"/>
      <c r="S70" s="198"/>
      <c r="T70" s="198"/>
      <c r="U70" s="198"/>
    </row>
    <row r="71" spans="1:21" s="12" customFormat="1" x14ac:dyDescent="0.25">
      <c r="A71" s="201" t="s">
        <v>2037</v>
      </c>
      <c r="B71" s="60">
        <v>7.24</v>
      </c>
      <c r="C71" s="60">
        <v>105.73</v>
      </c>
      <c r="D71" s="60">
        <v>64.150000000000006</v>
      </c>
      <c r="E71" s="60">
        <v>8.7799999999999994</v>
      </c>
      <c r="F71" s="60">
        <v>6.26</v>
      </c>
      <c r="G71" s="60">
        <v>70.099999999999994</v>
      </c>
      <c r="H71" s="60">
        <v>27.15</v>
      </c>
      <c r="I71" s="60">
        <v>0.25</v>
      </c>
      <c r="J71" s="60">
        <v>0.99</v>
      </c>
      <c r="K71" s="60">
        <v>230.11</v>
      </c>
      <c r="L71" s="60">
        <v>25.69</v>
      </c>
      <c r="M71" s="60">
        <v>39.29</v>
      </c>
      <c r="N71" s="60">
        <v>78.099999999999994</v>
      </c>
      <c r="O71" s="60">
        <v>0</v>
      </c>
      <c r="P71" s="60">
        <v>0.77</v>
      </c>
      <c r="Q71" s="218" t="s">
        <v>42</v>
      </c>
      <c r="R71" s="198"/>
      <c r="S71" s="198"/>
      <c r="T71" s="198"/>
      <c r="U71" s="198"/>
    </row>
    <row r="72" spans="1:21" s="12" customFormat="1" x14ac:dyDescent="0.25">
      <c r="A72" s="201" t="s">
        <v>2038</v>
      </c>
      <c r="B72" s="60">
        <v>6.51</v>
      </c>
      <c r="C72" s="60">
        <v>101.8</v>
      </c>
      <c r="D72" s="60">
        <v>61.4</v>
      </c>
      <c r="E72" s="60">
        <v>5.69</v>
      </c>
      <c r="F72" s="60">
        <v>7.78</v>
      </c>
      <c r="G72" s="60">
        <v>69.319999999999993</v>
      </c>
      <c r="H72" s="60">
        <v>26.66</v>
      </c>
      <c r="I72" s="60">
        <v>0.26</v>
      </c>
      <c r="J72" s="60">
        <v>1.1000000000000001</v>
      </c>
      <c r="K72" s="60">
        <v>229.87</v>
      </c>
      <c r="L72" s="60">
        <v>25.18</v>
      </c>
      <c r="M72" s="60">
        <v>40.15</v>
      </c>
      <c r="N72" s="60">
        <v>65.400000000000006</v>
      </c>
      <c r="O72" s="60">
        <v>0</v>
      </c>
      <c r="P72" s="60">
        <v>0.75</v>
      </c>
      <c r="Q72" s="218" t="s">
        <v>42</v>
      </c>
      <c r="R72" s="198"/>
      <c r="S72" s="198"/>
      <c r="T72" s="198"/>
      <c r="U72" s="198"/>
    </row>
    <row r="73" spans="1:21" s="12" customFormat="1" x14ac:dyDescent="0.25">
      <c r="A73" s="201" t="s">
        <v>2039</v>
      </c>
      <c r="B73" s="60">
        <v>5.87</v>
      </c>
      <c r="C73" s="60">
        <v>104.57</v>
      </c>
      <c r="D73" s="60">
        <v>62.42</v>
      </c>
      <c r="E73" s="60">
        <v>11.53</v>
      </c>
      <c r="F73" s="60">
        <v>9.1199999999999992</v>
      </c>
      <c r="G73" s="60">
        <v>62.75</v>
      </c>
      <c r="H73" s="60">
        <v>21.57</v>
      </c>
      <c r="I73" s="60">
        <v>0.25</v>
      </c>
      <c r="J73" s="60">
        <v>0.87</v>
      </c>
      <c r="K73" s="60">
        <v>230.02</v>
      </c>
      <c r="L73" s="60">
        <v>25.3</v>
      </c>
      <c r="M73" s="60">
        <v>40.6</v>
      </c>
      <c r="N73" s="60">
        <v>56.3</v>
      </c>
      <c r="O73" s="60">
        <v>0</v>
      </c>
      <c r="P73" s="60">
        <v>0.77</v>
      </c>
      <c r="Q73" s="60">
        <v>129.91</v>
      </c>
      <c r="R73" s="198"/>
      <c r="S73" s="198"/>
      <c r="T73" s="198"/>
      <c r="U73" s="198"/>
    </row>
    <row r="74" spans="1:21" s="12" customFormat="1" x14ac:dyDescent="0.25">
      <c r="A74" s="201" t="s">
        <v>2040</v>
      </c>
      <c r="B74" s="60">
        <v>4.58</v>
      </c>
      <c r="C74" s="60">
        <v>104.96</v>
      </c>
      <c r="D74" s="60">
        <v>61.6</v>
      </c>
      <c r="E74" s="60">
        <v>12.24</v>
      </c>
      <c r="F74" s="60">
        <v>8.41</v>
      </c>
      <c r="G74" s="60">
        <v>62.75</v>
      </c>
      <c r="H74" s="60">
        <v>21.57</v>
      </c>
      <c r="I74" s="60">
        <v>0.25</v>
      </c>
      <c r="J74" s="60">
        <v>0.57999999999999996</v>
      </c>
      <c r="K74" s="60">
        <v>229.77</v>
      </c>
      <c r="L74" s="60">
        <v>25.05</v>
      </c>
      <c r="M74" s="60">
        <v>40.15</v>
      </c>
      <c r="N74" s="60">
        <v>40.200000000000003</v>
      </c>
      <c r="O74" s="60">
        <v>0</v>
      </c>
      <c r="P74" s="60">
        <v>0.78</v>
      </c>
      <c r="Q74" s="60">
        <v>128.72</v>
      </c>
      <c r="R74" s="198"/>
      <c r="S74" s="198"/>
      <c r="T74" s="198"/>
      <c r="U74" s="198"/>
    </row>
    <row r="75" spans="1:21" s="12" customFormat="1" x14ac:dyDescent="0.25">
      <c r="A75" s="201" t="s">
        <v>2041</v>
      </c>
      <c r="B75" s="60">
        <v>6.8</v>
      </c>
      <c r="C75" s="60">
        <v>113.43</v>
      </c>
      <c r="D75" s="60">
        <v>68.05</v>
      </c>
      <c r="E75" s="60">
        <v>14.73</v>
      </c>
      <c r="F75" s="60">
        <v>10.59</v>
      </c>
      <c r="G75" s="60">
        <v>62.75</v>
      </c>
      <c r="H75" s="60">
        <v>21.57</v>
      </c>
      <c r="I75" s="60">
        <v>0.24</v>
      </c>
      <c r="J75" s="60">
        <v>0.74</v>
      </c>
      <c r="K75" s="60">
        <v>229.85</v>
      </c>
      <c r="L75" s="60">
        <v>24.74</v>
      </c>
      <c r="M75" s="60">
        <v>41.57</v>
      </c>
      <c r="N75" s="60">
        <v>28</v>
      </c>
      <c r="O75" s="60">
        <v>0</v>
      </c>
      <c r="P75" s="60">
        <v>0.85</v>
      </c>
      <c r="Q75" s="60">
        <v>127.35</v>
      </c>
      <c r="R75" s="198"/>
      <c r="S75" s="198"/>
      <c r="T75" s="198"/>
      <c r="U75" s="198"/>
    </row>
    <row r="76" spans="1:21" s="12" customFormat="1" x14ac:dyDescent="0.25">
      <c r="A76" s="201" t="s">
        <v>2042</v>
      </c>
      <c r="B76" s="60">
        <v>7.58</v>
      </c>
      <c r="C76" s="60">
        <v>122.03</v>
      </c>
      <c r="D76" s="60">
        <v>73.42</v>
      </c>
      <c r="E76" s="60">
        <v>10.7</v>
      </c>
      <c r="F76" s="60">
        <v>4.55</v>
      </c>
      <c r="G76" s="60">
        <v>65.17</v>
      </c>
      <c r="H76" s="60">
        <v>22.38</v>
      </c>
      <c r="I76" s="60">
        <v>0.24</v>
      </c>
      <c r="J76" s="60">
        <v>0.56999999999999995</v>
      </c>
      <c r="K76" s="60">
        <v>229.69</v>
      </c>
      <c r="L76" s="60">
        <v>24.28</v>
      </c>
      <c r="M76" s="60">
        <v>43.35</v>
      </c>
      <c r="N76" s="60">
        <v>19</v>
      </c>
      <c r="O76" s="60">
        <v>0</v>
      </c>
      <c r="P76" s="60">
        <v>0.9</v>
      </c>
      <c r="Q76" s="60">
        <v>127.75</v>
      </c>
      <c r="R76" s="198"/>
      <c r="S76" s="198"/>
      <c r="T76" s="198"/>
      <c r="U76" s="198"/>
    </row>
    <row r="77" spans="1:21" s="12" customFormat="1" x14ac:dyDescent="0.25">
      <c r="A77" s="201" t="s">
        <v>2043</v>
      </c>
      <c r="B77" s="60">
        <v>7.97</v>
      </c>
      <c r="C77" s="60">
        <v>118.68</v>
      </c>
      <c r="D77" s="60">
        <v>71.89</v>
      </c>
      <c r="E77" s="60">
        <v>9.4700000000000006</v>
      </c>
      <c r="F77" s="60">
        <v>3.4</v>
      </c>
      <c r="G77" s="60">
        <v>85.56</v>
      </c>
      <c r="H77" s="60">
        <v>30.69</v>
      </c>
      <c r="I77" s="60">
        <v>0.25</v>
      </c>
      <c r="J77" s="60">
        <v>0.44</v>
      </c>
      <c r="K77" s="60">
        <v>229.51</v>
      </c>
      <c r="L77" s="60">
        <v>23.75</v>
      </c>
      <c r="M77" s="60">
        <v>44.9</v>
      </c>
      <c r="N77" s="60">
        <v>11.6</v>
      </c>
      <c r="O77" s="60">
        <v>0</v>
      </c>
      <c r="P77" s="60">
        <v>0.95</v>
      </c>
      <c r="Q77" s="60">
        <v>135.37</v>
      </c>
      <c r="R77" s="198"/>
      <c r="S77" s="198"/>
      <c r="T77" s="198"/>
      <c r="U77" s="198"/>
    </row>
    <row r="78" spans="1:21" s="12" customFormat="1" x14ac:dyDescent="0.25">
      <c r="A78" s="201" t="s">
        <v>2044</v>
      </c>
      <c r="B78" s="60">
        <v>13.25</v>
      </c>
      <c r="C78" s="60">
        <v>126.64</v>
      </c>
      <c r="D78" s="60">
        <v>80.52</v>
      </c>
      <c r="E78" s="60">
        <v>8.8000000000000007</v>
      </c>
      <c r="F78" s="60">
        <v>1.93</v>
      </c>
      <c r="G78" s="60">
        <v>85.56</v>
      </c>
      <c r="H78" s="60">
        <v>30.69</v>
      </c>
      <c r="I78" s="60">
        <v>0.27</v>
      </c>
      <c r="J78" s="60">
        <v>0.34</v>
      </c>
      <c r="K78" s="60">
        <v>229.2</v>
      </c>
      <c r="L78" s="60">
        <v>23.25</v>
      </c>
      <c r="M78" s="60">
        <v>46.25</v>
      </c>
      <c r="N78" s="60">
        <v>6.9</v>
      </c>
      <c r="O78" s="60">
        <v>0</v>
      </c>
      <c r="P78" s="60">
        <v>1.03</v>
      </c>
      <c r="Q78" s="60">
        <v>148.33000000000001</v>
      </c>
      <c r="R78" s="198"/>
      <c r="S78" s="198"/>
      <c r="T78" s="198"/>
      <c r="U78" s="198"/>
    </row>
    <row r="79" spans="1:21" s="12" customFormat="1" x14ac:dyDescent="0.25">
      <c r="A79" s="201" t="s">
        <v>2045</v>
      </c>
      <c r="B79" s="60">
        <v>15.43</v>
      </c>
      <c r="C79" s="60">
        <v>129.19999999999999</v>
      </c>
      <c r="D79" s="60">
        <v>83.68</v>
      </c>
      <c r="E79" s="60">
        <v>8.19</v>
      </c>
      <c r="F79" s="60">
        <v>1.72</v>
      </c>
      <c r="G79" s="60">
        <v>85.56</v>
      </c>
      <c r="H79" s="60">
        <v>30.69</v>
      </c>
      <c r="I79" s="60">
        <v>0.3</v>
      </c>
      <c r="J79" s="60">
        <v>0.35</v>
      </c>
      <c r="K79" s="60">
        <v>229.02</v>
      </c>
      <c r="L79" s="60">
        <v>22.68</v>
      </c>
      <c r="M79" s="60">
        <v>47.95</v>
      </c>
      <c r="N79" s="60">
        <v>4.9000000000000004</v>
      </c>
      <c r="O79" s="60">
        <v>0</v>
      </c>
      <c r="P79" s="60">
        <v>1.1000000000000001</v>
      </c>
      <c r="Q79" s="60">
        <v>160.81</v>
      </c>
      <c r="R79" s="198"/>
      <c r="S79" s="198"/>
      <c r="T79" s="198"/>
      <c r="U79" s="198"/>
    </row>
    <row r="80" spans="1:21" s="12" customFormat="1" x14ac:dyDescent="0.25">
      <c r="A80" s="201" t="s">
        <v>2046</v>
      </c>
      <c r="B80" s="60">
        <v>16.87</v>
      </c>
      <c r="C80" s="60">
        <v>128.80000000000001</v>
      </c>
      <c r="D80" s="60">
        <v>84.61</v>
      </c>
      <c r="E80" s="60">
        <v>8.68</v>
      </c>
      <c r="F80" s="60">
        <v>2.0499999999999998</v>
      </c>
      <c r="G80" s="60">
        <v>91.38</v>
      </c>
      <c r="H80" s="60">
        <v>30.78</v>
      </c>
      <c r="I80" s="60">
        <v>0.33</v>
      </c>
      <c r="J80" s="60">
        <v>0.27</v>
      </c>
      <c r="K80" s="60">
        <v>228.83</v>
      </c>
      <c r="L80" s="60">
        <v>22.4</v>
      </c>
      <c r="M80" s="60">
        <v>47.8</v>
      </c>
      <c r="N80" s="60">
        <v>4.7</v>
      </c>
      <c r="O80" s="60">
        <v>0</v>
      </c>
      <c r="P80" s="60">
        <v>1.21</v>
      </c>
      <c r="Q80" s="60">
        <v>171</v>
      </c>
      <c r="R80" s="198"/>
      <c r="S80" s="198"/>
      <c r="T80" s="198"/>
      <c r="U80" s="198"/>
    </row>
    <row r="81" spans="1:26" s="12" customFormat="1" x14ac:dyDescent="0.25">
      <c r="A81" s="201" t="s">
        <v>2047</v>
      </c>
      <c r="B81" s="60">
        <v>20.62</v>
      </c>
      <c r="C81" s="60">
        <v>126.91</v>
      </c>
      <c r="D81" s="60">
        <v>86.58</v>
      </c>
      <c r="E81" s="60">
        <v>8.34</v>
      </c>
      <c r="F81" s="60">
        <v>1.31</v>
      </c>
      <c r="G81" s="60">
        <v>140.47999999999999</v>
      </c>
      <c r="H81" s="60">
        <v>31.75</v>
      </c>
      <c r="I81" s="60">
        <v>0.36</v>
      </c>
      <c r="J81" s="60">
        <v>0.24</v>
      </c>
      <c r="K81" s="60">
        <v>228.48</v>
      </c>
      <c r="L81" s="60">
        <v>22.29</v>
      </c>
      <c r="M81" s="60">
        <v>48.55</v>
      </c>
      <c r="N81" s="60">
        <v>4.5999999999999996</v>
      </c>
      <c r="O81" s="60">
        <v>0</v>
      </c>
      <c r="P81" s="60">
        <v>1.26</v>
      </c>
      <c r="Q81" s="60">
        <v>181.08</v>
      </c>
      <c r="R81" s="198"/>
      <c r="S81" s="198"/>
      <c r="T81" s="198"/>
      <c r="U81" s="198"/>
    </row>
    <row r="82" spans="1:26" s="12" customFormat="1" x14ac:dyDescent="0.25">
      <c r="A82" s="201" t="s">
        <v>2048</v>
      </c>
      <c r="B82" s="60">
        <v>24.81</v>
      </c>
      <c r="C82" s="60">
        <v>128.15</v>
      </c>
      <c r="D82" s="60">
        <v>90.62</v>
      </c>
      <c r="E82" s="60">
        <v>7.36</v>
      </c>
      <c r="F82" s="60">
        <v>0.96</v>
      </c>
      <c r="G82" s="60">
        <v>140.47999999999999</v>
      </c>
      <c r="H82" s="60">
        <v>31.75</v>
      </c>
      <c r="I82" s="60">
        <v>0.4</v>
      </c>
      <c r="J82" s="60">
        <v>0.2</v>
      </c>
      <c r="K82" s="60">
        <v>228.36</v>
      </c>
      <c r="L82" s="60">
        <v>21.8</v>
      </c>
      <c r="M82" s="60">
        <v>50.58</v>
      </c>
      <c r="N82" s="60">
        <v>4.7</v>
      </c>
      <c r="O82" s="60">
        <v>0</v>
      </c>
      <c r="P82" s="60">
        <v>1.35</v>
      </c>
      <c r="Q82" s="60">
        <v>197.55</v>
      </c>
      <c r="R82" s="198"/>
      <c r="S82" s="198"/>
      <c r="T82" s="198"/>
      <c r="U82" s="198"/>
    </row>
    <row r="83" spans="1:26" s="12" customFormat="1" x14ac:dyDescent="0.25">
      <c r="A83" s="201" t="s">
        <v>2049</v>
      </c>
      <c r="B83" s="60">
        <v>28.47</v>
      </c>
      <c r="C83" s="60">
        <v>130.27000000000001</v>
      </c>
      <c r="D83" s="60">
        <v>94.73</v>
      </c>
      <c r="E83" s="60">
        <v>6.78</v>
      </c>
      <c r="F83" s="60">
        <v>1.04</v>
      </c>
      <c r="G83" s="60">
        <v>140.47999999999999</v>
      </c>
      <c r="H83" s="60">
        <v>31.75</v>
      </c>
      <c r="I83" s="60">
        <v>0.44</v>
      </c>
      <c r="J83" s="60">
        <v>0.3</v>
      </c>
      <c r="K83" s="60">
        <v>228.07</v>
      </c>
      <c r="L83" s="60">
        <v>21.64</v>
      </c>
      <c r="M83" s="60">
        <v>50.61</v>
      </c>
      <c r="N83" s="60">
        <v>4.5</v>
      </c>
      <c r="O83" s="60">
        <v>0</v>
      </c>
      <c r="P83" s="60">
        <v>1.48</v>
      </c>
      <c r="Q83" s="60">
        <v>208.36</v>
      </c>
      <c r="R83" s="198"/>
      <c r="S83" s="198"/>
      <c r="T83" s="198"/>
      <c r="U83" s="198"/>
    </row>
    <row r="84" spans="1:26" s="12" customFormat="1" x14ac:dyDescent="0.25">
      <c r="A84" s="201" t="s">
        <v>2050</v>
      </c>
      <c r="B84" s="60">
        <v>30.77</v>
      </c>
      <c r="C84" s="60">
        <v>132.49</v>
      </c>
      <c r="D84" s="60">
        <v>97.79</v>
      </c>
      <c r="E84" s="60">
        <v>7.04</v>
      </c>
      <c r="F84" s="60">
        <v>0.81</v>
      </c>
      <c r="G84" s="60">
        <v>147.31</v>
      </c>
      <c r="H84" s="60">
        <v>32.450000000000003</v>
      </c>
      <c r="I84" s="60">
        <v>0.47</v>
      </c>
      <c r="J84" s="60">
        <v>0.37</v>
      </c>
      <c r="K84" s="60">
        <v>227.98</v>
      </c>
      <c r="L84" s="60">
        <v>21.68</v>
      </c>
      <c r="M84" s="60">
        <v>50.95</v>
      </c>
      <c r="N84" s="60">
        <v>4.2</v>
      </c>
      <c r="O84" s="60">
        <v>0</v>
      </c>
      <c r="P84" s="60">
        <v>1.58</v>
      </c>
      <c r="Q84" s="60">
        <v>214.01</v>
      </c>
      <c r="R84" s="198"/>
      <c r="S84" s="198"/>
      <c r="T84" s="198"/>
      <c r="U84" s="198"/>
    </row>
    <row r="85" spans="1:26" s="12" customFormat="1" x14ac:dyDescent="0.25">
      <c r="A85" s="201" t="s">
        <v>2051</v>
      </c>
      <c r="B85" s="60">
        <v>31.55</v>
      </c>
      <c r="C85" s="60">
        <v>132.16</v>
      </c>
      <c r="D85" s="60">
        <v>98.24</v>
      </c>
      <c r="E85" s="60">
        <v>6.93</v>
      </c>
      <c r="F85" s="60">
        <v>0.84</v>
      </c>
      <c r="G85" s="60">
        <v>204.84</v>
      </c>
      <c r="H85" s="60">
        <v>39.630000000000003</v>
      </c>
      <c r="I85" s="60">
        <v>0.51</v>
      </c>
      <c r="J85" s="60">
        <v>0.17</v>
      </c>
      <c r="K85" s="60">
        <v>228.03</v>
      </c>
      <c r="L85" s="60">
        <v>21.27</v>
      </c>
      <c r="M85" s="60">
        <v>52.97</v>
      </c>
      <c r="N85" s="60">
        <v>5.0999999999999996</v>
      </c>
      <c r="O85" s="60">
        <v>0</v>
      </c>
      <c r="P85" s="60">
        <v>1.59</v>
      </c>
      <c r="Q85" s="60">
        <v>216.61</v>
      </c>
      <c r="R85" s="198"/>
      <c r="S85" s="198"/>
      <c r="T85" s="198"/>
      <c r="U85" s="198"/>
    </row>
    <row r="86" spans="1:26" s="12" customFormat="1" x14ac:dyDescent="0.25">
      <c r="A86" s="201" t="s">
        <v>2052</v>
      </c>
      <c r="B86" s="60">
        <v>33.33</v>
      </c>
      <c r="C86" s="60">
        <v>133.35</v>
      </c>
      <c r="D86" s="60">
        <v>100.32</v>
      </c>
      <c r="E86" s="60">
        <v>6.84</v>
      </c>
      <c r="F86" s="60">
        <v>0.97</v>
      </c>
      <c r="G86" s="60">
        <v>204.84</v>
      </c>
      <c r="H86" s="60">
        <v>39.630000000000003</v>
      </c>
      <c r="I86" s="60">
        <v>0.55000000000000004</v>
      </c>
      <c r="J86" s="60">
        <v>0.18</v>
      </c>
      <c r="K86" s="60">
        <v>227.83</v>
      </c>
      <c r="L86" s="60">
        <v>20.38</v>
      </c>
      <c r="M86" s="60">
        <v>57.93</v>
      </c>
      <c r="N86" s="60">
        <v>5</v>
      </c>
      <c r="O86" s="60">
        <v>0</v>
      </c>
      <c r="P86" s="60">
        <v>1.74</v>
      </c>
      <c r="Q86" s="60">
        <v>223.11</v>
      </c>
      <c r="R86" s="198"/>
      <c r="S86" s="198"/>
      <c r="T86" s="198"/>
      <c r="U86" s="198"/>
    </row>
    <row r="87" spans="1:26" s="12" customFormat="1" x14ac:dyDescent="0.25">
      <c r="A87" s="201" t="s">
        <v>2053</v>
      </c>
      <c r="B87" s="60">
        <v>37.64</v>
      </c>
      <c r="C87" s="60">
        <v>137.19999999999999</v>
      </c>
      <c r="D87" s="60">
        <v>105.91</v>
      </c>
      <c r="E87" s="60">
        <v>6.14</v>
      </c>
      <c r="F87" s="60">
        <v>1</v>
      </c>
      <c r="G87" s="60">
        <v>204.84</v>
      </c>
      <c r="H87" s="60">
        <v>39.630000000000003</v>
      </c>
      <c r="I87" s="60">
        <v>0.57999999999999996</v>
      </c>
      <c r="J87" s="60">
        <v>0.18</v>
      </c>
      <c r="K87" s="60">
        <v>227.62</v>
      </c>
      <c r="L87" s="60">
        <v>19.89</v>
      </c>
      <c r="M87" s="60">
        <v>62.59</v>
      </c>
      <c r="N87" s="60">
        <v>4.8</v>
      </c>
      <c r="O87" s="60">
        <v>0</v>
      </c>
      <c r="P87" s="60">
        <v>1.9</v>
      </c>
      <c r="Q87" s="60">
        <v>231.41</v>
      </c>
      <c r="R87" s="198"/>
      <c r="S87" s="198"/>
      <c r="T87" s="198"/>
      <c r="U87" s="198"/>
    </row>
    <row r="88" spans="1:26" s="12" customFormat="1" x14ac:dyDescent="0.25">
      <c r="A88" s="201" t="s">
        <v>2054</v>
      </c>
      <c r="B88" s="60">
        <v>45.5</v>
      </c>
      <c r="C88" s="60">
        <v>144.15</v>
      </c>
      <c r="D88" s="60">
        <v>116.03</v>
      </c>
      <c r="E88" s="60">
        <v>3.7</v>
      </c>
      <c r="F88" s="60">
        <v>0.97</v>
      </c>
      <c r="G88" s="60">
        <v>209.5</v>
      </c>
      <c r="H88" s="60">
        <v>40.159999999999997</v>
      </c>
      <c r="I88" s="60">
        <v>0.64</v>
      </c>
      <c r="J88" s="60">
        <v>0.21</v>
      </c>
      <c r="K88" s="60">
        <v>227.69</v>
      </c>
      <c r="L88" s="60">
        <v>19.649999999999999</v>
      </c>
      <c r="M88" s="60">
        <v>67.55</v>
      </c>
      <c r="N88" s="60">
        <v>5</v>
      </c>
      <c r="O88" s="60">
        <v>0</v>
      </c>
      <c r="P88" s="60">
        <v>2.06</v>
      </c>
      <c r="Q88" s="60">
        <v>242.78</v>
      </c>
      <c r="R88" s="198"/>
      <c r="S88" s="198"/>
      <c r="T88" s="198"/>
      <c r="U88" s="198"/>
    </row>
    <row r="89" spans="1:26" s="12" customFormat="1" x14ac:dyDescent="0.25">
      <c r="A89" s="201" t="s">
        <v>2055</v>
      </c>
      <c r="B89" s="60">
        <v>57.15</v>
      </c>
      <c r="C89" s="60">
        <v>155.29</v>
      </c>
      <c r="D89" s="60">
        <v>131.54</v>
      </c>
      <c r="E89" s="60">
        <v>6.73</v>
      </c>
      <c r="F89" s="60">
        <v>0.79</v>
      </c>
      <c r="G89" s="60">
        <v>248.75</v>
      </c>
      <c r="H89" s="60">
        <v>45.58</v>
      </c>
      <c r="I89" s="60">
        <v>0.69</v>
      </c>
      <c r="J89" s="60">
        <v>0.17</v>
      </c>
      <c r="K89" s="60">
        <v>227.42</v>
      </c>
      <c r="L89" s="60">
        <v>19.21</v>
      </c>
      <c r="M89" s="60">
        <v>66.739999999999995</v>
      </c>
      <c r="N89" s="60">
        <v>4.7</v>
      </c>
      <c r="O89" s="60">
        <v>0</v>
      </c>
      <c r="P89" s="60">
        <v>2.23</v>
      </c>
      <c r="Q89" s="60">
        <v>253.05</v>
      </c>
      <c r="R89" s="198"/>
      <c r="S89" s="198"/>
      <c r="T89" s="198"/>
      <c r="U89" s="198"/>
    </row>
    <row r="90" spans="1:26" s="12" customFormat="1" x14ac:dyDescent="0.25">
      <c r="A90" s="201" t="s">
        <v>2056</v>
      </c>
      <c r="B90" s="60">
        <v>72</v>
      </c>
      <c r="C90" s="60">
        <v>169.46</v>
      </c>
      <c r="D90" s="60">
        <v>151.26</v>
      </c>
      <c r="E90" s="60">
        <v>6.88</v>
      </c>
      <c r="F90" s="60">
        <v>0.75</v>
      </c>
      <c r="G90" s="60">
        <v>248.75</v>
      </c>
      <c r="H90" s="60">
        <v>45.58</v>
      </c>
      <c r="I90" s="60">
        <v>0.76</v>
      </c>
      <c r="J90" s="60">
        <v>0.1</v>
      </c>
      <c r="K90" s="60">
        <v>227.32</v>
      </c>
      <c r="L90" s="60">
        <v>18.89</v>
      </c>
      <c r="M90" s="60">
        <v>70.5</v>
      </c>
      <c r="N90" s="60">
        <v>4.9000000000000004</v>
      </c>
      <c r="O90" s="60">
        <v>0</v>
      </c>
      <c r="P90" s="60">
        <v>2.42</v>
      </c>
      <c r="Q90" s="60">
        <v>269.92</v>
      </c>
      <c r="R90" s="198"/>
      <c r="S90" s="198"/>
      <c r="T90" s="198"/>
      <c r="U90" s="198"/>
    </row>
    <row r="91" spans="1:26" s="12" customFormat="1" x14ac:dyDescent="0.25">
      <c r="A91" s="201" t="s">
        <v>2057</v>
      </c>
      <c r="B91" s="60">
        <v>83.72</v>
      </c>
      <c r="C91" s="60">
        <v>182.17</v>
      </c>
      <c r="D91" s="60">
        <v>167.67</v>
      </c>
      <c r="E91" s="60">
        <v>7.11</v>
      </c>
      <c r="F91" s="60">
        <v>0.87</v>
      </c>
      <c r="G91" s="60">
        <v>248.75</v>
      </c>
      <c r="H91" s="60">
        <v>45.58</v>
      </c>
      <c r="I91" s="60">
        <v>0.83</v>
      </c>
      <c r="J91" s="60">
        <v>0.2</v>
      </c>
      <c r="K91" s="60">
        <v>227.27</v>
      </c>
      <c r="L91" s="60">
        <v>18.89</v>
      </c>
      <c r="M91" s="60">
        <v>70.16</v>
      </c>
      <c r="N91" s="60">
        <v>4.4000000000000004</v>
      </c>
      <c r="O91" s="60">
        <v>0</v>
      </c>
      <c r="P91" s="60">
        <v>2.62</v>
      </c>
      <c r="Q91" s="60">
        <v>288.7</v>
      </c>
      <c r="R91" s="198"/>
      <c r="S91" s="198"/>
      <c r="T91" s="198"/>
      <c r="U91" s="198"/>
    </row>
    <row r="92" spans="1:26" s="12" customFormat="1" x14ac:dyDescent="0.25">
      <c r="A92" s="201" t="s">
        <v>2058</v>
      </c>
      <c r="B92" s="60">
        <v>91.25</v>
      </c>
      <c r="C92" s="60">
        <v>187.26</v>
      </c>
      <c r="D92" s="60">
        <v>176.53</v>
      </c>
      <c r="E92" s="60">
        <v>7.11</v>
      </c>
      <c r="F92" s="60">
        <v>0.79</v>
      </c>
      <c r="G92" s="60">
        <v>252.13</v>
      </c>
      <c r="H92" s="60">
        <v>46.24</v>
      </c>
      <c r="I92" s="60">
        <v>0.93</v>
      </c>
      <c r="J92" s="60">
        <v>0.17</v>
      </c>
      <c r="K92" s="60">
        <v>227.33</v>
      </c>
      <c r="L92" s="60">
        <v>18.61</v>
      </c>
      <c r="M92" s="60">
        <v>75.06</v>
      </c>
      <c r="N92" s="60">
        <v>4.7</v>
      </c>
      <c r="O92" s="60">
        <v>0</v>
      </c>
      <c r="P92" s="60">
        <v>2.83</v>
      </c>
      <c r="Q92" s="60">
        <v>303.06</v>
      </c>
      <c r="R92" s="198"/>
      <c r="S92" s="198"/>
      <c r="T92" s="198"/>
      <c r="U92" s="198"/>
    </row>
    <row r="93" spans="1:26" s="12" customFormat="1" x14ac:dyDescent="0.25">
      <c r="A93" s="201" t="s">
        <v>2059</v>
      </c>
      <c r="B93" s="60">
        <v>103.21</v>
      </c>
      <c r="C93" s="60">
        <v>195.33</v>
      </c>
      <c r="D93" s="60">
        <v>190.57</v>
      </c>
      <c r="E93" s="60">
        <v>7.03</v>
      </c>
      <c r="F93" s="60">
        <v>0.67</v>
      </c>
      <c r="G93" s="60">
        <v>280.66000000000003</v>
      </c>
      <c r="H93" s="60">
        <v>52.98</v>
      </c>
      <c r="I93" s="60">
        <v>1.02</v>
      </c>
      <c r="J93" s="60">
        <v>0.15</v>
      </c>
      <c r="K93" s="60">
        <v>227.11</v>
      </c>
      <c r="L93" s="60">
        <v>18.149999999999999</v>
      </c>
      <c r="M93" s="60">
        <v>73.3</v>
      </c>
      <c r="N93" s="60">
        <v>4.7</v>
      </c>
      <c r="O93" s="60">
        <v>0</v>
      </c>
      <c r="P93" s="60">
        <v>3.05</v>
      </c>
      <c r="Q93" s="60">
        <v>317.55</v>
      </c>
      <c r="R93" s="198"/>
      <c r="S93" s="198"/>
      <c r="T93" s="198"/>
      <c r="U93" s="198"/>
    </row>
    <row r="94" spans="1:26" s="12" customFormat="1" x14ac:dyDescent="0.25">
      <c r="A94" s="201" t="s">
        <v>2060</v>
      </c>
      <c r="B94" s="60">
        <v>115.41</v>
      </c>
      <c r="C94" s="60">
        <v>205.6</v>
      </c>
      <c r="D94" s="60">
        <v>206.02</v>
      </c>
      <c r="E94" s="60">
        <v>7.35</v>
      </c>
      <c r="F94" s="60">
        <v>0.75</v>
      </c>
      <c r="G94" s="60">
        <v>280.66000000000003</v>
      </c>
      <c r="H94" s="60">
        <v>52.98</v>
      </c>
      <c r="I94" s="60">
        <v>1.08</v>
      </c>
      <c r="J94" s="60">
        <v>0.18</v>
      </c>
      <c r="K94" s="60">
        <v>226.99</v>
      </c>
      <c r="L94" s="60">
        <v>18.350000000000001</v>
      </c>
      <c r="M94" s="60">
        <v>71.08</v>
      </c>
      <c r="N94" s="60">
        <v>4.3</v>
      </c>
      <c r="O94" s="60">
        <v>0</v>
      </c>
      <c r="P94" s="60">
        <v>3.18</v>
      </c>
      <c r="Q94" s="60">
        <v>334.08</v>
      </c>
      <c r="R94" s="198"/>
      <c r="S94" s="198"/>
      <c r="T94" s="198"/>
      <c r="U94" s="198"/>
    </row>
    <row r="95" spans="1:26" s="12" customFormat="1" x14ac:dyDescent="0.25">
      <c r="A95" s="201" t="s">
        <v>2061</v>
      </c>
      <c r="B95" s="60">
        <v>128.97</v>
      </c>
      <c r="C95" s="60">
        <v>218.45</v>
      </c>
      <c r="D95" s="60">
        <v>223.98</v>
      </c>
      <c r="E95" s="60">
        <v>7.15</v>
      </c>
      <c r="F95" s="60">
        <v>0.86</v>
      </c>
      <c r="G95" s="60">
        <v>280.66000000000003</v>
      </c>
      <c r="H95" s="60">
        <v>52.98</v>
      </c>
      <c r="I95" s="60">
        <v>1.19</v>
      </c>
      <c r="J95" s="60">
        <v>0.19</v>
      </c>
      <c r="K95" s="60">
        <v>227.21</v>
      </c>
      <c r="L95" s="60">
        <v>18.350000000000001</v>
      </c>
      <c r="M95" s="60">
        <v>73.08</v>
      </c>
      <c r="N95" s="60">
        <v>4.5999999999999996</v>
      </c>
      <c r="O95" s="60">
        <v>0</v>
      </c>
      <c r="P95" s="60">
        <v>3.27</v>
      </c>
      <c r="Q95" s="60">
        <v>350.26</v>
      </c>
      <c r="R95" s="198"/>
      <c r="S95" s="198"/>
      <c r="T95" s="198"/>
      <c r="U95" s="198"/>
    </row>
    <row r="96" spans="1:26" s="12" customFormat="1" x14ac:dyDescent="0.25">
      <c r="A96" s="201" t="s">
        <v>2062</v>
      </c>
      <c r="B96" s="60">
        <v>140.25</v>
      </c>
      <c r="C96" s="60">
        <v>228</v>
      </c>
      <c r="D96" s="60">
        <v>238.3</v>
      </c>
      <c r="E96" s="60">
        <v>7.64</v>
      </c>
      <c r="F96" s="60">
        <v>0.55000000000000004</v>
      </c>
      <c r="G96" s="60">
        <v>279.63</v>
      </c>
      <c r="H96" s="60">
        <v>53.23</v>
      </c>
      <c r="I96" s="60">
        <v>1.25</v>
      </c>
      <c r="J96" s="60">
        <v>0.18</v>
      </c>
      <c r="K96" s="60">
        <v>227.05</v>
      </c>
      <c r="L96" s="60">
        <v>18.09</v>
      </c>
      <c r="M96" s="60">
        <v>71.430000000000007</v>
      </c>
      <c r="N96" s="60">
        <v>4.5</v>
      </c>
      <c r="O96" s="60">
        <v>0</v>
      </c>
      <c r="P96" s="60">
        <v>3.41</v>
      </c>
      <c r="Q96" s="60">
        <v>369.17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2063</v>
      </c>
      <c r="B97" s="60">
        <v>145.69999999999999</v>
      </c>
      <c r="C97" s="60">
        <v>231.43</v>
      </c>
      <c r="D97" s="60">
        <v>244.56</v>
      </c>
      <c r="E97" s="60">
        <v>6.72</v>
      </c>
      <c r="F97" s="60">
        <v>0.74</v>
      </c>
      <c r="G97" s="60">
        <v>270.98</v>
      </c>
      <c r="H97" s="60">
        <v>55.83</v>
      </c>
      <c r="I97" s="60">
        <v>1.3</v>
      </c>
      <c r="J97" s="60">
        <v>0.19</v>
      </c>
      <c r="K97" s="60">
        <v>227.1</v>
      </c>
      <c r="L97" s="60">
        <v>18.3</v>
      </c>
      <c r="M97" s="60">
        <v>69.5</v>
      </c>
      <c r="N97" s="60">
        <v>4.5</v>
      </c>
      <c r="O97" s="60">
        <v>0</v>
      </c>
      <c r="P97" s="60">
        <v>3.44</v>
      </c>
      <c r="Q97" s="60">
        <v>379.1</v>
      </c>
      <c r="R97" s="198"/>
      <c r="S97" s="198"/>
      <c r="T97" s="198"/>
      <c r="U97" s="198"/>
    </row>
    <row r="98" spans="1:33" s="12" customFormat="1" x14ac:dyDescent="0.25">
      <c r="A98" s="201" t="s">
        <v>2064</v>
      </c>
      <c r="B98" s="60">
        <v>150.44</v>
      </c>
      <c r="C98" s="60">
        <v>234.42</v>
      </c>
      <c r="D98" s="60">
        <v>250.02</v>
      </c>
      <c r="E98" s="60">
        <v>7.31</v>
      </c>
      <c r="F98" s="60">
        <v>0.68</v>
      </c>
      <c r="G98" s="60">
        <v>270.98</v>
      </c>
      <c r="H98" s="60">
        <v>55.83</v>
      </c>
      <c r="I98" s="60">
        <v>1.39</v>
      </c>
      <c r="J98" s="60">
        <v>0.15</v>
      </c>
      <c r="K98" s="60">
        <v>227.03</v>
      </c>
      <c r="L98" s="60">
        <v>17.77</v>
      </c>
      <c r="M98" s="60">
        <v>70.86</v>
      </c>
      <c r="N98" s="60">
        <v>4.7</v>
      </c>
      <c r="O98" s="60">
        <v>0</v>
      </c>
      <c r="P98" s="60">
        <v>3.5</v>
      </c>
      <c r="Q98" s="60">
        <v>383.84</v>
      </c>
      <c r="R98" s="198"/>
      <c r="S98" s="198"/>
      <c r="T98" s="198"/>
      <c r="U98" s="198"/>
    </row>
    <row r="99" spans="1:33" s="12" customFormat="1" x14ac:dyDescent="0.25">
      <c r="A99" s="201" t="s">
        <v>2065</v>
      </c>
      <c r="B99" s="60">
        <v>153.16999999999999</v>
      </c>
      <c r="C99" s="60">
        <v>236.32</v>
      </c>
      <c r="D99" s="60">
        <v>253.25</v>
      </c>
      <c r="E99" s="60">
        <v>6.97</v>
      </c>
      <c r="F99" s="60">
        <v>0.87</v>
      </c>
      <c r="G99" s="60">
        <v>270.98</v>
      </c>
      <c r="H99" s="60">
        <v>55.83</v>
      </c>
      <c r="I99" s="60">
        <v>1.5</v>
      </c>
      <c r="J99" s="60">
        <v>0.18</v>
      </c>
      <c r="K99" s="60">
        <v>226.98</v>
      </c>
      <c r="L99" s="60">
        <v>17.760000000000002</v>
      </c>
      <c r="M99" s="60">
        <v>70.87</v>
      </c>
      <c r="N99" s="60">
        <v>4.5</v>
      </c>
      <c r="O99" s="60">
        <v>0</v>
      </c>
      <c r="P99" s="60">
        <v>3.47</v>
      </c>
      <c r="Q99" s="60">
        <v>387.2</v>
      </c>
      <c r="R99" s="198"/>
      <c r="S99" s="198"/>
      <c r="T99" s="198"/>
      <c r="U99" s="198"/>
    </row>
    <row r="100" spans="1:33" s="12" customFormat="1" x14ac:dyDescent="0.25">
      <c r="A100" s="201" t="s">
        <v>2066</v>
      </c>
      <c r="B100" s="60">
        <v>155.38999999999999</v>
      </c>
      <c r="C100" s="60">
        <v>237.77</v>
      </c>
      <c r="D100" s="60">
        <v>255.83</v>
      </c>
      <c r="E100" s="60">
        <v>7.07</v>
      </c>
      <c r="F100" s="60">
        <v>1.01</v>
      </c>
      <c r="G100" s="60">
        <v>270.37</v>
      </c>
      <c r="H100" s="60">
        <v>55.72</v>
      </c>
      <c r="I100" s="60">
        <v>1.4</v>
      </c>
      <c r="J100" s="60">
        <v>0.55000000000000004</v>
      </c>
      <c r="K100" s="60">
        <v>226.99</v>
      </c>
      <c r="L100" s="60">
        <v>17.48</v>
      </c>
      <c r="M100" s="60">
        <v>76.56</v>
      </c>
      <c r="N100" s="60">
        <v>4.0999999999999996</v>
      </c>
      <c r="O100" s="60">
        <v>0</v>
      </c>
      <c r="P100" s="60">
        <v>3.5</v>
      </c>
      <c r="Q100" s="60">
        <v>388.73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2067</v>
      </c>
      <c r="B101" s="60">
        <v>152.38999999999999</v>
      </c>
      <c r="C101" s="60">
        <v>233.22</v>
      </c>
      <c r="D101" s="60">
        <v>250.91</v>
      </c>
      <c r="E101" s="60">
        <v>7.36</v>
      </c>
      <c r="F101" s="60">
        <v>0.96</v>
      </c>
      <c r="G101" s="60">
        <v>265.27</v>
      </c>
      <c r="H101" s="60">
        <v>54.57</v>
      </c>
      <c r="I101" s="60">
        <v>1.39</v>
      </c>
      <c r="J101" s="60">
        <v>0.68</v>
      </c>
      <c r="K101" s="60">
        <v>227.13</v>
      </c>
      <c r="L101" s="60">
        <v>18.079999999999998</v>
      </c>
      <c r="M101" s="60">
        <v>66.47</v>
      </c>
      <c r="N101" s="60">
        <v>3.1</v>
      </c>
      <c r="O101" s="60">
        <v>0</v>
      </c>
      <c r="P101" s="60">
        <v>3.45</v>
      </c>
      <c r="Q101" s="60">
        <v>383.77</v>
      </c>
      <c r="R101" s="198"/>
      <c r="S101" s="198"/>
      <c r="T101" s="198"/>
      <c r="U101" s="198"/>
    </row>
    <row r="102" spans="1:33" s="12" customFormat="1" x14ac:dyDescent="0.25">
      <c r="A102" s="201" t="s">
        <v>2068</v>
      </c>
      <c r="B102" s="60">
        <v>147.49</v>
      </c>
      <c r="C102" s="60">
        <v>228.03</v>
      </c>
      <c r="D102" s="60">
        <v>244.12</v>
      </c>
      <c r="E102" s="60">
        <v>7.32</v>
      </c>
      <c r="F102" s="60">
        <v>0.83</v>
      </c>
      <c r="G102" s="60">
        <v>265.27</v>
      </c>
      <c r="H102" s="60">
        <v>54.57</v>
      </c>
      <c r="I102" s="60">
        <v>1.39</v>
      </c>
      <c r="J102" s="60">
        <v>0.33</v>
      </c>
      <c r="K102" s="60">
        <v>227.27</v>
      </c>
      <c r="L102" s="60">
        <v>18.53</v>
      </c>
      <c r="M102" s="60">
        <v>62.66</v>
      </c>
      <c r="N102" s="60">
        <v>4.5</v>
      </c>
      <c r="O102" s="60">
        <v>0</v>
      </c>
      <c r="P102" s="60">
        <v>3.35</v>
      </c>
      <c r="Q102" s="60">
        <v>376.91</v>
      </c>
      <c r="R102" s="198"/>
      <c r="S102" s="198"/>
      <c r="T102" s="198"/>
      <c r="U102" s="198"/>
    </row>
    <row r="103" spans="1:33" s="12" customFormat="1" x14ac:dyDescent="0.25">
      <c r="A103" s="201" t="s">
        <v>2069</v>
      </c>
      <c r="B103" s="60">
        <v>140.65</v>
      </c>
      <c r="C103" s="60">
        <v>221.84</v>
      </c>
      <c r="D103" s="60">
        <v>235.22</v>
      </c>
      <c r="E103" s="60">
        <v>8.01</v>
      </c>
      <c r="F103" s="60">
        <v>0.86</v>
      </c>
      <c r="G103" s="60">
        <v>265.27</v>
      </c>
      <c r="H103" s="60">
        <v>54.57</v>
      </c>
      <c r="I103" s="60">
        <v>1.37</v>
      </c>
      <c r="J103" s="60">
        <v>0.24</v>
      </c>
      <c r="K103" s="60">
        <v>227.15</v>
      </c>
      <c r="L103" s="60">
        <v>18.510000000000002</v>
      </c>
      <c r="M103" s="60">
        <v>61.84</v>
      </c>
      <c r="N103" s="60">
        <v>4.7</v>
      </c>
      <c r="O103" s="60">
        <v>0</v>
      </c>
      <c r="P103" s="60">
        <v>3.25</v>
      </c>
      <c r="Q103" s="60">
        <v>367.34</v>
      </c>
      <c r="R103" s="198"/>
      <c r="S103" s="198"/>
      <c r="T103" s="198"/>
      <c r="U103" s="198"/>
    </row>
    <row r="104" spans="1:33" s="12" customFormat="1" x14ac:dyDescent="0.25">
      <c r="A104" s="201" t="s">
        <v>2070</v>
      </c>
      <c r="B104" s="60">
        <v>130.83000000000001</v>
      </c>
      <c r="C104" s="60">
        <v>212.76</v>
      </c>
      <c r="D104" s="60">
        <v>222.33</v>
      </c>
      <c r="E104" s="60">
        <v>4.24</v>
      </c>
      <c r="F104" s="60">
        <v>0.86</v>
      </c>
      <c r="G104" s="60">
        <v>256.08999999999997</v>
      </c>
      <c r="H104" s="60">
        <v>54.4</v>
      </c>
      <c r="I104" s="60">
        <v>1.32</v>
      </c>
      <c r="J104" s="60">
        <v>0.27</v>
      </c>
      <c r="K104" s="60">
        <v>226.92</v>
      </c>
      <c r="L104" s="60">
        <v>18.3</v>
      </c>
      <c r="M104" s="60">
        <v>60.99</v>
      </c>
      <c r="N104" s="60">
        <v>4.5</v>
      </c>
      <c r="O104" s="60">
        <v>0</v>
      </c>
      <c r="P104" s="60">
        <v>3.16</v>
      </c>
      <c r="Q104" s="60">
        <v>360.39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4.58</v>
      </c>
      <c r="C106" s="67">
        <f>MIN(C9:C104)</f>
        <v>93.6</v>
      </c>
      <c r="D106" s="67">
        <f t="shared" ref="D106:Q106" si="0">MIN(D9:D104)</f>
        <v>61.4</v>
      </c>
      <c r="E106" s="67">
        <f t="shared" si="0"/>
        <v>3.7</v>
      </c>
      <c r="F106" s="67">
        <f t="shared" si="0"/>
        <v>0.55000000000000004</v>
      </c>
      <c r="G106" s="67">
        <f t="shared" si="0"/>
        <v>9.19</v>
      </c>
      <c r="H106" s="67">
        <f t="shared" si="0"/>
        <v>21.57</v>
      </c>
      <c r="I106" s="67">
        <f t="shared" si="0"/>
        <v>0.24</v>
      </c>
      <c r="J106" s="67">
        <f t="shared" si="0"/>
        <v>0.1</v>
      </c>
      <c r="K106" s="67">
        <f t="shared" si="0"/>
        <v>226.77</v>
      </c>
      <c r="L106" s="67">
        <f t="shared" si="0"/>
        <v>16.899999999999999</v>
      </c>
      <c r="M106" s="67">
        <f t="shared" si="0"/>
        <v>34.28</v>
      </c>
      <c r="N106" s="67">
        <f t="shared" si="0"/>
        <v>3.1</v>
      </c>
      <c r="O106" s="67">
        <f t="shared" si="0"/>
        <v>0</v>
      </c>
      <c r="P106" s="67">
        <f t="shared" si="0"/>
        <v>0.75</v>
      </c>
      <c r="Q106" s="67">
        <f t="shared" si="0"/>
        <v>27.18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155.38999999999999</v>
      </c>
      <c r="C107" s="66">
        <f t="shared" ref="C107:Q107" si="1">MAX(C9:C104)</f>
        <v>237.77</v>
      </c>
      <c r="D107" s="66">
        <f t="shared" si="1"/>
        <v>255.83</v>
      </c>
      <c r="E107" s="66">
        <f t="shared" si="1"/>
        <v>22.61</v>
      </c>
      <c r="F107" s="66">
        <f t="shared" si="1"/>
        <v>10.59</v>
      </c>
      <c r="G107" s="66">
        <f t="shared" si="1"/>
        <v>280.66000000000003</v>
      </c>
      <c r="H107" s="66">
        <f t="shared" si="1"/>
        <v>55.83</v>
      </c>
      <c r="I107" s="66">
        <f t="shared" si="1"/>
        <v>1.5</v>
      </c>
      <c r="J107" s="66">
        <f t="shared" si="1"/>
        <v>1.51</v>
      </c>
      <c r="K107" s="66">
        <f t="shared" si="1"/>
        <v>232.16</v>
      </c>
      <c r="L107" s="66">
        <f t="shared" si="1"/>
        <v>29.84</v>
      </c>
      <c r="M107" s="66">
        <f t="shared" si="1"/>
        <v>76.56</v>
      </c>
      <c r="N107" s="66">
        <f t="shared" si="1"/>
        <v>550.79999999999995</v>
      </c>
      <c r="O107" s="66">
        <f t="shared" si="1"/>
        <v>0</v>
      </c>
      <c r="P107" s="66">
        <f t="shared" si="1"/>
        <v>3.5</v>
      </c>
      <c r="Q107" s="66">
        <f t="shared" si="1"/>
        <v>388.73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46.527499999999975</v>
      </c>
      <c r="C108" s="67">
        <f t="shared" ref="C108:Q108" si="2">AVERAGE(C9:C104)</f>
        <v>133.38427083333337</v>
      </c>
      <c r="D108" s="67">
        <f t="shared" si="2"/>
        <v>110.92364583333331</v>
      </c>
      <c r="E108" s="67">
        <f t="shared" si="2"/>
        <v>10.325625000000004</v>
      </c>
      <c r="F108" s="67">
        <f t="shared" si="2"/>
        <v>2.4033333333333342</v>
      </c>
      <c r="G108" s="67">
        <f t="shared" si="2"/>
        <v>131.75279569892473</v>
      </c>
      <c r="H108" s="67">
        <f t="shared" si="2"/>
        <v>36.466145833333343</v>
      </c>
      <c r="I108" s="67">
        <f t="shared" si="2"/>
        <v>0.62562499999999976</v>
      </c>
      <c r="J108" s="67">
        <f t="shared" si="2"/>
        <v>0.73729166666666679</v>
      </c>
      <c r="K108" s="67">
        <f t="shared" si="2"/>
        <v>228.84583333333339</v>
      </c>
      <c r="L108" s="67">
        <f t="shared" si="2"/>
        <v>21.759375000000006</v>
      </c>
      <c r="M108" s="67">
        <f t="shared" si="2"/>
        <v>54.691458333333351</v>
      </c>
      <c r="N108" s="67">
        <f t="shared" si="2"/>
        <v>138.27708333333337</v>
      </c>
      <c r="O108" s="67">
        <f t="shared" si="2"/>
        <v>0</v>
      </c>
      <c r="P108" s="67">
        <f t="shared" si="2"/>
        <v>1.5037499999999999</v>
      </c>
      <c r="Q108" s="67">
        <f t="shared" si="2"/>
        <v>156.88499999999999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42.557339672493647</v>
      </c>
      <c r="C109" s="67">
        <f t="shared" ref="C109:Q109" si="3">STDEV(C9:C104)</f>
        <v>39.396340111735675</v>
      </c>
      <c r="D109" s="67">
        <f t="shared" si="3"/>
        <v>54.751485173219251</v>
      </c>
      <c r="E109" s="67">
        <f t="shared" si="3"/>
        <v>3.0980064260406821</v>
      </c>
      <c r="F109" s="67">
        <f t="shared" si="3"/>
        <v>2.5216818392187421</v>
      </c>
      <c r="G109" s="67">
        <f t="shared" si="3"/>
        <v>75.831000090383924</v>
      </c>
      <c r="H109" s="67">
        <f t="shared" si="3"/>
        <v>9.9179245886893295</v>
      </c>
      <c r="I109" s="67">
        <f t="shared" si="3"/>
        <v>0.37455605300422723</v>
      </c>
      <c r="J109" s="67">
        <f t="shared" si="3"/>
        <v>0.38481568839522007</v>
      </c>
      <c r="K109" s="67">
        <f t="shared" si="3"/>
        <v>1.8255437065601594</v>
      </c>
      <c r="L109" s="67">
        <f t="shared" si="3"/>
        <v>3.9111502716423838</v>
      </c>
      <c r="M109" s="67">
        <f t="shared" si="3"/>
        <v>12.449678074820397</v>
      </c>
      <c r="N109" s="67">
        <f t="shared" si="3"/>
        <v>194.88007242197179</v>
      </c>
      <c r="O109" s="67">
        <f t="shared" si="3"/>
        <v>0</v>
      </c>
      <c r="P109" s="67">
        <f t="shared" si="3"/>
        <v>0.84682720539049416</v>
      </c>
      <c r="Q109" s="67">
        <f t="shared" si="3"/>
        <v>115.98684576565857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>COUNT(E9:E104)</f>
        <v>96</v>
      </c>
      <c r="F110" s="66">
        <f>COUNT(F9:F104)</f>
        <v>96</v>
      </c>
      <c r="G110" s="66">
        <f>COUNT(G9:G104)+3</f>
        <v>96</v>
      </c>
      <c r="H110" s="66">
        <v>96</v>
      </c>
      <c r="I110" s="66">
        <v>96</v>
      </c>
      <c r="J110" s="66">
        <v>96</v>
      </c>
      <c r="K110" s="66">
        <f t="shared" ref="K110:Q110" si="4">COUNT(K9:K104)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76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2071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2072</v>
      </c>
      <c r="B9" s="60">
        <v>124.17</v>
      </c>
      <c r="C9" s="60">
        <v>204.86</v>
      </c>
      <c r="D9" s="60">
        <v>212.63</v>
      </c>
      <c r="E9" s="60">
        <v>8.17</v>
      </c>
      <c r="F9" s="60">
        <v>0.74</v>
      </c>
      <c r="G9" s="60">
        <v>178.72</v>
      </c>
      <c r="H9" s="60">
        <v>52.63</v>
      </c>
      <c r="I9" s="60">
        <v>1.28</v>
      </c>
      <c r="J9" s="60">
        <v>0.28999999999999998</v>
      </c>
      <c r="K9" s="60">
        <v>227</v>
      </c>
      <c r="L9" s="60">
        <v>18.34</v>
      </c>
      <c r="M9" s="60">
        <v>61.38</v>
      </c>
      <c r="N9" s="60">
        <v>4.5</v>
      </c>
      <c r="O9" s="60">
        <v>0</v>
      </c>
      <c r="P9" s="60">
        <v>3.04</v>
      </c>
      <c r="Q9" s="60">
        <v>351.55</v>
      </c>
      <c r="R9" s="198"/>
      <c r="S9" s="198"/>
      <c r="T9" s="198"/>
      <c r="U9" s="198"/>
    </row>
    <row r="10" spans="1:21" s="12" customFormat="1" x14ac:dyDescent="0.25">
      <c r="A10" s="201" t="s">
        <v>2073</v>
      </c>
      <c r="B10" s="60">
        <v>117.48</v>
      </c>
      <c r="C10" s="60">
        <v>197.62</v>
      </c>
      <c r="D10" s="60">
        <v>203.27</v>
      </c>
      <c r="E10" s="60">
        <v>7.83</v>
      </c>
      <c r="F10" s="60">
        <v>0.94</v>
      </c>
      <c r="G10" s="60">
        <v>178.72</v>
      </c>
      <c r="H10" s="60">
        <v>52.63</v>
      </c>
      <c r="I10" s="60">
        <v>1.23</v>
      </c>
      <c r="J10" s="60">
        <v>0.16</v>
      </c>
      <c r="K10" s="60">
        <v>227.09</v>
      </c>
      <c r="L10" s="60">
        <v>17.87</v>
      </c>
      <c r="M10" s="60">
        <v>64.48</v>
      </c>
      <c r="N10" s="60">
        <v>5</v>
      </c>
      <c r="O10" s="60">
        <v>0</v>
      </c>
      <c r="P10" s="60">
        <v>2.9</v>
      </c>
      <c r="Q10" s="60">
        <v>341.5</v>
      </c>
      <c r="R10" s="198"/>
      <c r="S10" s="198"/>
      <c r="T10" s="198"/>
      <c r="U10" s="198"/>
    </row>
    <row r="11" spans="1:21" s="12" customFormat="1" x14ac:dyDescent="0.25">
      <c r="A11" s="201" t="s">
        <v>2074</v>
      </c>
      <c r="B11" s="60">
        <v>109.23</v>
      </c>
      <c r="C11" s="60">
        <v>188.34</v>
      </c>
      <c r="D11" s="60">
        <v>191.54</v>
      </c>
      <c r="E11" s="60">
        <v>8.0500000000000007</v>
      </c>
      <c r="F11" s="60">
        <v>0.78</v>
      </c>
      <c r="G11" s="60">
        <v>178.72</v>
      </c>
      <c r="H11" s="60">
        <v>52.63</v>
      </c>
      <c r="I11" s="60">
        <v>1.2</v>
      </c>
      <c r="J11" s="60">
        <v>0.21</v>
      </c>
      <c r="K11" s="60">
        <v>226.95</v>
      </c>
      <c r="L11" s="60">
        <v>17.28</v>
      </c>
      <c r="M11" s="60">
        <v>69.06</v>
      </c>
      <c r="N11" s="60">
        <v>5</v>
      </c>
      <c r="O11" s="60">
        <v>0</v>
      </c>
      <c r="P11" s="60">
        <v>2.78</v>
      </c>
      <c r="Q11" s="60">
        <v>330.48</v>
      </c>
      <c r="R11" s="198"/>
      <c r="S11" s="198"/>
      <c r="T11" s="198"/>
      <c r="U11" s="198"/>
    </row>
    <row r="12" spans="1:21" s="12" customFormat="1" x14ac:dyDescent="0.25">
      <c r="A12" s="201" t="s">
        <v>2075</v>
      </c>
      <c r="B12" s="60">
        <v>101.24</v>
      </c>
      <c r="C12" s="60">
        <v>178.87</v>
      </c>
      <c r="D12" s="60">
        <v>179.9</v>
      </c>
      <c r="E12" s="60">
        <v>7.62</v>
      </c>
      <c r="F12" s="60">
        <v>0.79</v>
      </c>
      <c r="G12" s="60">
        <v>170.83</v>
      </c>
      <c r="H12" s="60">
        <v>52.27</v>
      </c>
      <c r="I12" s="60">
        <v>1.1499999999999999</v>
      </c>
      <c r="J12" s="60">
        <v>0.16</v>
      </c>
      <c r="K12" s="60">
        <v>226.68</v>
      </c>
      <c r="L12" s="60">
        <v>16.64</v>
      </c>
      <c r="M12" s="60">
        <v>72.58</v>
      </c>
      <c r="N12" s="60">
        <v>5</v>
      </c>
      <c r="O12" s="60">
        <v>0</v>
      </c>
      <c r="P12" s="60">
        <v>2.67</v>
      </c>
      <c r="Q12" s="60">
        <v>318.99</v>
      </c>
      <c r="R12" s="198"/>
      <c r="S12" s="198"/>
      <c r="T12" s="198"/>
      <c r="U12" s="198"/>
    </row>
    <row r="13" spans="1:21" s="12" customFormat="1" x14ac:dyDescent="0.25">
      <c r="A13" s="201" t="s">
        <v>2076</v>
      </c>
      <c r="B13" s="60">
        <v>93.68</v>
      </c>
      <c r="C13" s="60">
        <v>170.33</v>
      </c>
      <c r="D13" s="60">
        <v>169.13</v>
      </c>
      <c r="E13" s="60">
        <v>7.84</v>
      </c>
      <c r="F13" s="60">
        <v>0.79</v>
      </c>
      <c r="G13" s="60">
        <v>104.35</v>
      </c>
      <c r="H13" s="60">
        <v>48.54</v>
      </c>
      <c r="I13" s="60">
        <v>1.1000000000000001</v>
      </c>
      <c r="J13" s="60">
        <v>0.19</v>
      </c>
      <c r="K13" s="60">
        <v>226.51</v>
      </c>
      <c r="L13" s="60">
        <v>16.670000000000002</v>
      </c>
      <c r="M13" s="60">
        <v>70.33</v>
      </c>
      <c r="N13" s="60">
        <v>4.5999999999999996</v>
      </c>
      <c r="O13" s="60">
        <v>0</v>
      </c>
      <c r="P13" s="60">
        <v>2.31</v>
      </c>
      <c r="Q13" s="60">
        <v>308.36</v>
      </c>
      <c r="R13" s="198"/>
      <c r="S13" s="198"/>
      <c r="T13" s="198"/>
      <c r="U13" s="198"/>
    </row>
    <row r="14" spans="1:21" s="12" customFormat="1" x14ac:dyDescent="0.25">
      <c r="A14" s="201" t="s">
        <v>2077</v>
      </c>
      <c r="B14" s="60">
        <v>87.2</v>
      </c>
      <c r="C14" s="60">
        <v>163.66</v>
      </c>
      <c r="D14" s="60">
        <v>160.25</v>
      </c>
      <c r="E14" s="60">
        <v>7.9</v>
      </c>
      <c r="F14" s="60">
        <v>0.64</v>
      </c>
      <c r="G14" s="60">
        <v>104.35</v>
      </c>
      <c r="H14" s="60">
        <v>48.54</v>
      </c>
      <c r="I14" s="60">
        <v>1.05</v>
      </c>
      <c r="J14" s="60">
        <v>0.16</v>
      </c>
      <c r="K14" s="60">
        <v>226.49</v>
      </c>
      <c r="L14" s="60">
        <v>16.190000000000001</v>
      </c>
      <c r="M14" s="60">
        <v>74.44</v>
      </c>
      <c r="N14" s="60">
        <v>4.9000000000000004</v>
      </c>
      <c r="O14" s="60">
        <v>0</v>
      </c>
      <c r="P14" s="60">
        <v>2.33</v>
      </c>
      <c r="Q14" s="60">
        <v>301.89999999999998</v>
      </c>
      <c r="R14" s="198"/>
      <c r="S14" s="198"/>
      <c r="T14" s="198"/>
      <c r="U14" s="198"/>
    </row>
    <row r="15" spans="1:21" s="12" customFormat="1" x14ac:dyDescent="0.25">
      <c r="A15" s="201" t="s">
        <v>2078</v>
      </c>
      <c r="B15" s="60">
        <v>81.33</v>
      </c>
      <c r="C15" s="60">
        <v>156.4</v>
      </c>
      <c r="D15" s="60">
        <v>151.53</v>
      </c>
      <c r="E15" s="60">
        <v>6.96</v>
      </c>
      <c r="F15" s="60">
        <v>0.81</v>
      </c>
      <c r="G15" s="60">
        <v>104.35</v>
      </c>
      <c r="H15" s="60">
        <v>48.54</v>
      </c>
      <c r="I15" s="60">
        <v>1.02</v>
      </c>
      <c r="J15" s="60">
        <v>0.19</v>
      </c>
      <c r="K15" s="60">
        <v>226.36</v>
      </c>
      <c r="L15" s="60">
        <v>16.059999999999999</v>
      </c>
      <c r="M15" s="60">
        <v>73.849999999999994</v>
      </c>
      <c r="N15" s="60">
        <v>4.5999999999999996</v>
      </c>
      <c r="O15" s="60">
        <v>0</v>
      </c>
      <c r="P15" s="60">
        <v>2.21</v>
      </c>
      <c r="Q15" s="60">
        <v>297.44</v>
      </c>
      <c r="R15" s="198"/>
      <c r="S15" s="198"/>
      <c r="T15" s="198"/>
      <c r="U15" s="198"/>
    </row>
    <row r="16" spans="1:21" s="12" customFormat="1" x14ac:dyDescent="0.25">
      <c r="A16" s="201" t="s">
        <v>2079</v>
      </c>
      <c r="B16" s="60">
        <v>77.11</v>
      </c>
      <c r="C16" s="60">
        <v>151.1</v>
      </c>
      <c r="D16" s="60">
        <v>145.22999999999999</v>
      </c>
      <c r="E16" s="60">
        <v>6.62</v>
      </c>
      <c r="F16" s="60">
        <v>0.71</v>
      </c>
      <c r="G16" s="60">
        <v>106.21</v>
      </c>
      <c r="H16" s="60">
        <v>48.18</v>
      </c>
      <c r="I16" s="60">
        <v>0.98</v>
      </c>
      <c r="J16" s="60">
        <v>0.27</v>
      </c>
      <c r="K16" s="60">
        <v>226.21</v>
      </c>
      <c r="L16" s="60">
        <v>15.95</v>
      </c>
      <c r="M16" s="60">
        <v>77.12</v>
      </c>
      <c r="N16" s="60">
        <v>4.4000000000000004</v>
      </c>
      <c r="O16" s="60">
        <v>0</v>
      </c>
      <c r="P16" s="60">
        <v>2.12</v>
      </c>
      <c r="Q16" s="60">
        <v>290.45999999999998</v>
      </c>
      <c r="R16" s="198"/>
      <c r="S16" s="198"/>
      <c r="T16" s="198"/>
      <c r="U16" s="198"/>
    </row>
    <row r="17" spans="1:21" s="12" customFormat="1" x14ac:dyDescent="0.25">
      <c r="A17" s="201" t="s">
        <v>2080</v>
      </c>
      <c r="B17" s="60">
        <v>73.06</v>
      </c>
      <c r="C17" s="60">
        <v>146.5</v>
      </c>
      <c r="D17" s="60">
        <v>139.44</v>
      </c>
      <c r="E17" s="60">
        <v>6.83</v>
      </c>
      <c r="F17" s="60">
        <v>0.73</v>
      </c>
      <c r="G17" s="60">
        <v>121.97</v>
      </c>
      <c r="H17" s="60">
        <v>44.42</v>
      </c>
      <c r="I17" s="60">
        <v>0.94</v>
      </c>
      <c r="J17" s="60">
        <v>0.98</v>
      </c>
      <c r="K17" s="60">
        <v>226.57</v>
      </c>
      <c r="L17" s="60">
        <v>16.559999999999999</v>
      </c>
      <c r="M17" s="60">
        <v>72.44</v>
      </c>
      <c r="N17" s="60">
        <v>2.8</v>
      </c>
      <c r="O17" s="60">
        <v>0</v>
      </c>
      <c r="P17" s="60">
        <v>2.0299999999999998</v>
      </c>
      <c r="Q17" s="60">
        <v>283.63</v>
      </c>
      <c r="R17" s="198"/>
      <c r="S17" s="198"/>
      <c r="T17" s="198"/>
      <c r="U17" s="198"/>
    </row>
    <row r="18" spans="1:21" s="12" customFormat="1" x14ac:dyDescent="0.25">
      <c r="A18" s="201" t="s">
        <v>2081</v>
      </c>
      <c r="B18" s="60">
        <v>68.599999999999994</v>
      </c>
      <c r="C18" s="60">
        <v>142.53</v>
      </c>
      <c r="D18" s="60">
        <v>133.66999999999999</v>
      </c>
      <c r="E18" s="60">
        <v>7.01</v>
      </c>
      <c r="F18" s="60">
        <v>0.87</v>
      </c>
      <c r="G18" s="60">
        <v>121.97</v>
      </c>
      <c r="H18" s="60">
        <v>44.42</v>
      </c>
      <c r="I18" s="60">
        <v>0.9</v>
      </c>
      <c r="J18" s="60">
        <v>0.57999999999999996</v>
      </c>
      <c r="K18" s="60">
        <v>226.89</v>
      </c>
      <c r="L18" s="60">
        <v>16.71</v>
      </c>
      <c r="M18" s="60">
        <v>72.180000000000007</v>
      </c>
      <c r="N18" s="60">
        <v>4.5</v>
      </c>
      <c r="O18" s="60">
        <v>0</v>
      </c>
      <c r="P18" s="60">
        <v>1.93</v>
      </c>
      <c r="Q18" s="60">
        <v>277.54000000000002</v>
      </c>
      <c r="R18" s="198"/>
      <c r="S18" s="198"/>
      <c r="T18" s="198"/>
      <c r="U18" s="198"/>
    </row>
    <row r="19" spans="1:21" s="12" customFormat="1" x14ac:dyDescent="0.25">
      <c r="A19" s="201" t="s">
        <v>2082</v>
      </c>
      <c r="B19" s="60">
        <v>64.58</v>
      </c>
      <c r="C19" s="60">
        <v>138.65</v>
      </c>
      <c r="D19" s="60">
        <v>128.30000000000001</v>
      </c>
      <c r="E19" s="60">
        <v>6.94</v>
      </c>
      <c r="F19" s="60">
        <v>0.85</v>
      </c>
      <c r="G19" s="60">
        <v>121.97</v>
      </c>
      <c r="H19" s="60">
        <v>44.42</v>
      </c>
      <c r="I19" s="60">
        <v>0.86</v>
      </c>
      <c r="J19" s="60">
        <v>0.38</v>
      </c>
      <c r="K19" s="60">
        <v>226.71</v>
      </c>
      <c r="L19" s="60">
        <v>16.510000000000002</v>
      </c>
      <c r="M19" s="60">
        <v>71.930000000000007</v>
      </c>
      <c r="N19" s="60">
        <v>4.5999999999999996</v>
      </c>
      <c r="O19" s="60">
        <v>0</v>
      </c>
      <c r="P19" s="60">
        <v>1.85</v>
      </c>
      <c r="Q19" s="60">
        <v>271.47000000000003</v>
      </c>
      <c r="R19" s="198"/>
      <c r="S19" s="198"/>
      <c r="T19" s="198"/>
      <c r="U19" s="198"/>
    </row>
    <row r="20" spans="1:21" s="12" customFormat="1" x14ac:dyDescent="0.25">
      <c r="A20" s="201" t="s">
        <v>2083</v>
      </c>
      <c r="B20" s="60">
        <v>60.9</v>
      </c>
      <c r="C20" s="60">
        <v>134.38999999999999</v>
      </c>
      <c r="D20" s="60">
        <v>123</v>
      </c>
      <c r="E20" s="60">
        <v>6.93</v>
      </c>
      <c r="F20" s="60">
        <v>0.75</v>
      </c>
      <c r="G20" s="60">
        <v>123.45</v>
      </c>
      <c r="H20" s="60">
        <v>44.5</v>
      </c>
      <c r="I20" s="60">
        <v>0.82</v>
      </c>
      <c r="J20" s="60">
        <v>0.28999999999999998</v>
      </c>
      <c r="K20" s="60">
        <v>226.34</v>
      </c>
      <c r="L20" s="60">
        <v>16.75</v>
      </c>
      <c r="M20" s="60">
        <v>70.680000000000007</v>
      </c>
      <c r="N20" s="60">
        <v>4.5</v>
      </c>
      <c r="O20" s="60">
        <v>0</v>
      </c>
      <c r="P20" s="60">
        <v>1.81</v>
      </c>
      <c r="Q20" s="60">
        <v>265.64999999999998</v>
      </c>
      <c r="R20" s="198"/>
      <c r="S20" s="198"/>
      <c r="T20" s="198"/>
      <c r="U20" s="198"/>
    </row>
    <row r="21" spans="1:21" s="12" customFormat="1" x14ac:dyDescent="0.25">
      <c r="A21" s="201" t="s">
        <v>2084</v>
      </c>
      <c r="B21" s="60">
        <v>57.95</v>
      </c>
      <c r="C21" s="60">
        <v>130.56</v>
      </c>
      <c r="D21" s="60">
        <v>118.52</v>
      </c>
      <c r="E21" s="60">
        <v>7.53</v>
      </c>
      <c r="F21" s="60">
        <v>0.81</v>
      </c>
      <c r="G21" s="60">
        <v>135.97999999999999</v>
      </c>
      <c r="H21" s="60">
        <v>45.33</v>
      </c>
      <c r="I21" s="60">
        <v>0.79</v>
      </c>
      <c r="J21" s="60">
        <v>0.33</v>
      </c>
      <c r="K21" s="60">
        <v>226.27</v>
      </c>
      <c r="L21" s="60">
        <v>16.72</v>
      </c>
      <c r="M21" s="60">
        <v>70.69</v>
      </c>
      <c r="N21" s="60">
        <v>4.5</v>
      </c>
      <c r="O21" s="60">
        <v>0</v>
      </c>
      <c r="P21" s="60">
        <v>1.77</v>
      </c>
      <c r="Q21" s="60">
        <v>257.66000000000003</v>
      </c>
      <c r="R21" s="198"/>
      <c r="S21" s="198"/>
      <c r="T21" s="198"/>
      <c r="U21" s="198"/>
    </row>
    <row r="22" spans="1:21" s="12" customFormat="1" x14ac:dyDescent="0.25">
      <c r="A22" s="201" t="s">
        <v>2085</v>
      </c>
      <c r="B22" s="60">
        <v>55.04</v>
      </c>
      <c r="C22" s="60">
        <v>127.98</v>
      </c>
      <c r="D22" s="60">
        <v>114.77</v>
      </c>
      <c r="E22" s="60">
        <v>8.1</v>
      </c>
      <c r="F22" s="60">
        <v>0.86</v>
      </c>
      <c r="G22" s="60">
        <v>135.97999999999999</v>
      </c>
      <c r="H22" s="60">
        <v>45.33</v>
      </c>
      <c r="I22" s="60">
        <v>0.76</v>
      </c>
      <c r="J22" s="60">
        <v>0.3</v>
      </c>
      <c r="K22" s="60">
        <v>226.22</v>
      </c>
      <c r="L22" s="60">
        <v>16.53</v>
      </c>
      <c r="M22" s="60">
        <v>71.489999999999995</v>
      </c>
      <c r="N22" s="60">
        <v>4.5</v>
      </c>
      <c r="O22" s="60">
        <v>0</v>
      </c>
      <c r="P22" s="60">
        <v>1.77</v>
      </c>
      <c r="Q22" s="60">
        <v>255.75</v>
      </c>
      <c r="R22" s="198"/>
      <c r="S22" s="198"/>
      <c r="T22" s="198"/>
      <c r="U22" s="198"/>
    </row>
    <row r="23" spans="1:21" s="12" customFormat="1" x14ac:dyDescent="0.25">
      <c r="A23" s="201" t="s">
        <v>2086</v>
      </c>
      <c r="B23" s="60">
        <v>52.23</v>
      </c>
      <c r="C23" s="60">
        <v>125.46</v>
      </c>
      <c r="D23" s="60">
        <v>111.13</v>
      </c>
      <c r="E23" s="60">
        <v>8.1300000000000008</v>
      </c>
      <c r="F23" s="60">
        <v>0.71</v>
      </c>
      <c r="G23" s="60">
        <v>135.97999999999999</v>
      </c>
      <c r="H23" s="60">
        <v>45.33</v>
      </c>
      <c r="I23" s="60">
        <v>0.74</v>
      </c>
      <c r="J23" s="60">
        <v>0.26</v>
      </c>
      <c r="K23" s="60">
        <v>226.29</v>
      </c>
      <c r="L23" s="60">
        <v>16.579999999999998</v>
      </c>
      <c r="M23" s="60">
        <v>70.739999999999995</v>
      </c>
      <c r="N23" s="60">
        <v>4.5999999999999996</v>
      </c>
      <c r="O23" s="60">
        <v>0</v>
      </c>
      <c r="P23" s="60">
        <v>1.77</v>
      </c>
      <c r="Q23" s="60">
        <v>253.39</v>
      </c>
      <c r="R23" s="198"/>
      <c r="S23" s="198"/>
      <c r="T23" s="198"/>
      <c r="U23" s="198"/>
    </row>
    <row r="24" spans="1:21" s="12" customFormat="1" x14ac:dyDescent="0.25">
      <c r="A24" s="201" t="s">
        <v>2087</v>
      </c>
      <c r="B24" s="60">
        <v>49.42</v>
      </c>
      <c r="C24" s="60">
        <v>123.12</v>
      </c>
      <c r="D24" s="60">
        <v>107.58</v>
      </c>
      <c r="E24" s="60">
        <v>5.14</v>
      </c>
      <c r="F24" s="60">
        <v>0.64</v>
      </c>
      <c r="G24" s="60">
        <v>141.63</v>
      </c>
      <c r="H24" s="60">
        <v>45.68</v>
      </c>
      <c r="I24" s="60">
        <v>0.73</v>
      </c>
      <c r="J24" s="60">
        <v>0.22</v>
      </c>
      <c r="K24" s="60">
        <v>226.26</v>
      </c>
      <c r="L24" s="60">
        <v>16.45</v>
      </c>
      <c r="M24" s="60">
        <v>70.78</v>
      </c>
      <c r="N24" s="60">
        <v>4.7</v>
      </c>
      <c r="O24" s="60">
        <v>0</v>
      </c>
      <c r="P24" s="60">
        <v>1.76</v>
      </c>
      <c r="Q24" s="60">
        <v>249.82</v>
      </c>
      <c r="R24" s="198"/>
      <c r="S24" s="198"/>
      <c r="T24" s="198"/>
      <c r="U24" s="198"/>
    </row>
    <row r="25" spans="1:21" s="12" customFormat="1" x14ac:dyDescent="0.25">
      <c r="A25" s="201" t="s">
        <v>2088</v>
      </c>
      <c r="B25" s="60">
        <v>47.04</v>
      </c>
      <c r="C25" s="60">
        <v>121.09</v>
      </c>
      <c r="D25" s="60">
        <v>104.55</v>
      </c>
      <c r="E25" s="60">
        <v>7.95</v>
      </c>
      <c r="F25" s="60">
        <v>0.67</v>
      </c>
      <c r="G25" s="60">
        <v>189.25</v>
      </c>
      <c r="H25" s="60">
        <v>49.34</v>
      </c>
      <c r="I25" s="60">
        <v>0.71</v>
      </c>
      <c r="J25" s="60">
        <v>0.19</v>
      </c>
      <c r="K25" s="60">
        <v>226.16</v>
      </c>
      <c r="L25" s="60">
        <v>16.23</v>
      </c>
      <c r="M25" s="60">
        <v>72.45</v>
      </c>
      <c r="N25" s="60">
        <v>4.8</v>
      </c>
      <c r="O25" s="60">
        <v>0</v>
      </c>
      <c r="P25" s="60">
        <v>1.75</v>
      </c>
      <c r="Q25" s="60">
        <v>245.61</v>
      </c>
      <c r="R25" s="198"/>
      <c r="S25" s="198"/>
      <c r="T25" s="198"/>
      <c r="U25" s="198"/>
    </row>
    <row r="26" spans="1:21" s="12" customFormat="1" x14ac:dyDescent="0.25">
      <c r="A26" s="201" t="s">
        <v>2089</v>
      </c>
      <c r="B26" s="60">
        <v>44.68</v>
      </c>
      <c r="C26" s="60">
        <v>119.07</v>
      </c>
      <c r="D26" s="60">
        <v>101.54</v>
      </c>
      <c r="E26" s="60">
        <v>7.43</v>
      </c>
      <c r="F26" s="60">
        <v>0.6</v>
      </c>
      <c r="G26" s="60">
        <v>189.25</v>
      </c>
      <c r="H26" s="60">
        <v>49.34</v>
      </c>
      <c r="I26" s="60">
        <v>0.68</v>
      </c>
      <c r="J26" s="60">
        <v>0.11</v>
      </c>
      <c r="K26" s="60">
        <v>226.16</v>
      </c>
      <c r="L26" s="60">
        <v>15.8</v>
      </c>
      <c r="M26" s="60">
        <v>74.42</v>
      </c>
      <c r="N26" s="60">
        <v>4.9000000000000004</v>
      </c>
      <c r="O26" s="60">
        <v>0</v>
      </c>
      <c r="P26" s="60">
        <v>1.76</v>
      </c>
      <c r="Q26" s="60">
        <v>242.52</v>
      </c>
      <c r="R26" s="198"/>
      <c r="S26" s="198"/>
      <c r="T26" s="198"/>
      <c r="U26" s="198"/>
    </row>
    <row r="27" spans="1:21" s="12" customFormat="1" x14ac:dyDescent="0.25">
      <c r="A27" s="201" t="s">
        <v>2090</v>
      </c>
      <c r="B27" s="60">
        <v>42.56</v>
      </c>
      <c r="C27" s="60">
        <v>116.82</v>
      </c>
      <c r="D27" s="60">
        <v>98.6</v>
      </c>
      <c r="E27" s="60">
        <v>7.47</v>
      </c>
      <c r="F27" s="60">
        <v>0.54</v>
      </c>
      <c r="G27" s="60">
        <v>189.25</v>
      </c>
      <c r="H27" s="60">
        <v>49.34</v>
      </c>
      <c r="I27" s="60">
        <v>0.68</v>
      </c>
      <c r="J27" s="60">
        <v>0.12</v>
      </c>
      <c r="K27" s="60">
        <v>226.12</v>
      </c>
      <c r="L27" s="60">
        <v>15.47</v>
      </c>
      <c r="M27" s="60">
        <v>76.08</v>
      </c>
      <c r="N27" s="60">
        <v>4.8</v>
      </c>
      <c r="O27" s="60">
        <v>0</v>
      </c>
      <c r="P27" s="60">
        <v>1.78</v>
      </c>
      <c r="Q27" s="60">
        <v>239.33</v>
      </c>
      <c r="R27" s="198"/>
      <c r="S27" s="198"/>
      <c r="T27" s="198"/>
      <c r="U27" s="198"/>
    </row>
    <row r="28" spans="1:21" s="12" customFormat="1" x14ac:dyDescent="0.25">
      <c r="A28" s="201" t="s">
        <v>2091</v>
      </c>
      <c r="B28" s="60">
        <v>40.270000000000003</v>
      </c>
      <c r="C28" s="60">
        <v>113.98</v>
      </c>
      <c r="D28" s="60">
        <v>95.2</v>
      </c>
      <c r="E28" s="60">
        <v>7.72</v>
      </c>
      <c r="F28" s="60">
        <v>0.66</v>
      </c>
      <c r="G28" s="60">
        <v>187.64</v>
      </c>
      <c r="H28" s="60">
        <v>49.32</v>
      </c>
      <c r="I28" s="60">
        <v>0.66</v>
      </c>
      <c r="J28" s="60">
        <v>0.3</v>
      </c>
      <c r="K28" s="60">
        <v>225.95</v>
      </c>
      <c r="L28" s="60">
        <v>15.78</v>
      </c>
      <c r="M28" s="60">
        <v>71.61</v>
      </c>
      <c r="N28" s="60">
        <v>4</v>
      </c>
      <c r="O28" s="60">
        <v>0</v>
      </c>
      <c r="P28" s="60">
        <v>1.79</v>
      </c>
      <c r="Q28" s="60">
        <v>235.05</v>
      </c>
      <c r="R28" s="198"/>
      <c r="S28" s="198"/>
      <c r="T28" s="198"/>
      <c r="U28" s="198"/>
    </row>
    <row r="29" spans="1:21" s="12" customFormat="1" x14ac:dyDescent="0.25">
      <c r="A29" s="201" t="s">
        <v>2092</v>
      </c>
      <c r="B29" s="60">
        <v>37.979999999999997</v>
      </c>
      <c r="C29" s="60">
        <v>111.37</v>
      </c>
      <c r="D29" s="60">
        <v>91.92</v>
      </c>
      <c r="E29" s="60">
        <v>7.1</v>
      </c>
      <c r="F29" s="60">
        <v>0.62</v>
      </c>
      <c r="G29" s="60">
        <v>174.07</v>
      </c>
      <c r="H29" s="60">
        <v>48.98</v>
      </c>
      <c r="I29" s="60">
        <v>0.66</v>
      </c>
      <c r="J29" s="60">
        <v>0.46</v>
      </c>
      <c r="K29" s="60">
        <v>226.28</v>
      </c>
      <c r="L29" s="60">
        <v>15.99</v>
      </c>
      <c r="M29" s="60">
        <v>69.349999999999994</v>
      </c>
      <c r="N29" s="60">
        <v>3.9</v>
      </c>
      <c r="O29" s="60">
        <v>0</v>
      </c>
      <c r="P29" s="60">
        <v>1.76</v>
      </c>
      <c r="Q29" s="60">
        <v>235.29</v>
      </c>
      <c r="R29" s="198"/>
      <c r="S29" s="198"/>
      <c r="T29" s="198"/>
      <c r="U29" s="198"/>
    </row>
    <row r="30" spans="1:21" s="12" customFormat="1" x14ac:dyDescent="0.25">
      <c r="A30" s="201" t="s">
        <v>2093</v>
      </c>
      <c r="B30" s="60">
        <v>35.630000000000003</v>
      </c>
      <c r="C30" s="60">
        <v>108.89</v>
      </c>
      <c r="D30" s="60">
        <v>88.67</v>
      </c>
      <c r="E30" s="60">
        <v>6.44</v>
      </c>
      <c r="F30" s="60">
        <v>0.92</v>
      </c>
      <c r="G30" s="60">
        <v>174.07</v>
      </c>
      <c r="H30" s="60">
        <v>48.98</v>
      </c>
      <c r="I30" s="60">
        <v>0.63</v>
      </c>
      <c r="J30" s="60">
        <v>0.85</v>
      </c>
      <c r="K30" s="60">
        <v>226.55</v>
      </c>
      <c r="L30" s="60">
        <v>16.29</v>
      </c>
      <c r="M30" s="60">
        <v>66.45</v>
      </c>
      <c r="N30" s="60">
        <v>3.8</v>
      </c>
      <c r="O30" s="60">
        <v>0</v>
      </c>
      <c r="P30" s="60">
        <v>1.68</v>
      </c>
      <c r="Q30" s="60">
        <v>231.95</v>
      </c>
      <c r="R30" s="198"/>
      <c r="S30" s="198"/>
      <c r="T30" s="198"/>
      <c r="U30" s="198"/>
    </row>
    <row r="31" spans="1:21" s="12" customFormat="1" x14ac:dyDescent="0.25">
      <c r="A31" s="201" t="s">
        <v>2094</v>
      </c>
      <c r="B31" s="60">
        <v>32.31</v>
      </c>
      <c r="C31" s="60">
        <v>106.35</v>
      </c>
      <c r="D31" s="60">
        <v>84.6</v>
      </c>
      <c r="E31" s="60">
        <v>6.11</v>
      </c>
      <c r="F31" s="60">
        <v>1.07</v>
      </c>
      <c r="G31" s="60">
        <v>174.07</v>
      </c>
      <c r="H31" s="60">
        <v>48.98</v>
      </c>
      <c r="I31" s="60">
        <v>0.62</v>
      </c>
      <c r="J31" s="60">
        <v>0.84</v>
      </c>
      <c r="K31" s="60">
        <v>226.68</v>
      </c>
      <c r="L31" s="60">
        <v>16.32</v>
      </c>
      <c r="M31" s="60">
        <v>66.819999999999993</v>
      </c>
      <c r="N31" s="60">
        <v>4.4000000000000004</v>
      </c>
      <c r="O31" s="60">
        <v>0</v>
      </c>
      <c r="P31" s="60">
        <v>1.6</v>
      </c>
      <c r="Q31" s="60">
        <v>224.86</v>
      </c>
      <c r="R31" s="198"/>
      <c r="S31" s="198"/>
      <c r="T31" s="198"/>
      <c r="U31" s="198"/>
    </row>
    <row r="32" spans="1:21" s="12" customFormat="1" x14ac:dyDescent="0.25">
      <c r="A32" s="201" t="s">
        <v>2095</v>
      </c>
      <c r="B32" s="60">
        <v>29.53</v>
      </c>
      <c r="C32" s="60">
        <v>104.9</v>
      </c>
      <c r="D32" s="60">
        <v>81.569999999999993</v>
      </c>
      <c r="E32" s="60">
        <v>6.07</v>
      </c>
      <c r="F32" s="60">
        <v>1</v>
      </c>
      <c r="G32" s="60">
        <v>165.17</v>
      </c>
      <c r="H32" s="60">
        <v>48.89</v>
      </c>
      <c r="I32" s="60">
        <v>0.6</v>
      </c>
      <c r="J32" s="60">
        <v>0.65</v>
      </c>
      <c r="K32" s="60">
        <v>226.65</v>
      </c>
      <c r="L32" s="60">
        <v>16.05</v>
      </c>
      <c r="M32" s="60">
        <v>68.94</v>
      </c>
      <c r="N32" s="60">
        <v>5.4</v>
      </c>
      <c r="O32" s="60">
        <v>0</v>
      </c>
      <c r="P32" s="60">
        <v>1.53</v>
      </c>
      <c r="Q32" s="60">
        <v>217.64</v>
      </c>
      <c r="R32" s="198"/>
      <c r="S32" s="198"/>
      <c r="T32" s="198"/>
      <c r="U32" s="198"/>
    </row>
    <row r="33" spans="1:21" s="12" customFormat="1" x14ac:dyDescent="0.25">
      <c r="A33" s="201" t="s">
        <v>2096</v>
      </c>
      <c r="B33" s="60">
        <v>28.08</v>
      </c>
      <c r="C33" s="60">
        <v>104.31</v>
      </c>
      <c r="D33" s="60">
        <v>80.09</v>
      </c>
      <c r="E33" s="60">
        <v>6.43</v>
      </c>
      <c r="F33" s="60">
        <v>0.72</v>
      </c>
      <c r="G33" s="60">
        <v>90.11</v>
      </c>
      <c r="H33" s="60">
        <v>47.9</v>
      </c>
      <c r="I33" s="60">
        <v>0.57999999999999996</v>
      </c>
      <c r="J33" s="60">
        <v>0.44</v>
      </c>
      <c r="K33" s="60">
        <v>226.55</v>
      </c>
      <c r="L33" s="60">
        <v>15.78</v>
      </c>
      <c r="M33" s="60">
        <v>71.86</v>
      </c>
      <c r="N33" s="60">
        <v>8.3000000000000007</v>
      </c>
      <c r="O33" s="60">
        <v>0</v>
      </c>
      <c r="P33" s="60">
        <v>1.49</v>
      </c>
      <c r="Q33" s="60">
        <v>213.49</v>
      </c>
      <c r="R33" s="198"/>
      <c r="S33" s="198"/>
      <c r="T33" s="198"/>
      <c r="U33" s="198"/>
    </row>
    <row r="34" spans="1:21" s="12" customFormat="1" x14ac:dyDescent="0.25">
      <c r="A34" s="201" t="s">
        <v>2097</v>
      </c>
      <c r="B34" s="60">
        <v>28.83</v>
      </c>
      <c r="C34" s="60">
        <v>105.87</v>
      </c>
      <c r="D34" s="60">
        <v>81.540000000000006</v>
      </c>
      <c r="E34" s="60">
        <v>6.66</v>
      </c>
      <c r="F34" s="60">
        <v>0.73</v>
      </c>
      <c r="G34" s="60">
        <v>90.11</v>
      </c>
      <c r="H34" s="60">
        <v>47.9</v>
      </c>
      <c r="I34" s="60">
        <v>0.55000000000000004</v>
      </c>
      <c r="J34" s="60">
        <v>0.81</v>
      </c>
      <c r="K34" s="60">
        <v>226.57</v>
      </c>
      <c r="L34" s="60">
        <v>15.63</v>
      </c>
      <c r="M34" s="60">
        <v>73.819999999999993</v>
      </c>
      <c r="N34" s="60">
        <v>19.100000000000001</v>
      </c>
      <c r="O34" s="60">
        <v>0</v>
      </c>
      <c r="P34" s="60">
        <v>1.5</v>
      </c>
      <c r="Q34" s="60">
        <v>214.41</v>
      </c>
      <c r="R34" s="198"/>
      <c r="S34" s="198"/>
      <c r="T34" s="198"/>
      <c r="U34" s="198"/>
    </row>
    <row r="35" spans="1:21" s="12" customFormat="1" x14ac:dyDescent="0.25">
      <c r="A35" s="201" t="s">
        <v>2098</v>
      </c>
      <c r="B35" s="60">
        <v>30.54</v>
      </c>
      <c r="C35" s="60">
        <v>108.27</v>
      </c>
      <c r="D35" s="60">
        <v>84.24</v>
      </c>
      <c r="E35" s="60">
        <v>7.02</v>
      </c>
      <c r="F35" s="60">
        <v>0.79</v>
      </c>
      <c r="G35" s="60">
        <v>90.11</v>
      </c>
      <c r="H35" s="60">
        <v>47.9</v>
      </c>
      <c r="I35" s="60">
        <v>0.54</v>
      </c>
      <c r="J35" s="60">
        <v>0.95</v>
      </c>
      <c r="K35" s="60">
        <v>226.66</v>
      </c>
      <c r="L35" s="60">
        <v>16.100000000000001</v>
      </c>
      <c r="M35" s="60">
        <v>73.319999999999993</v>
      </c>
      <c r="N35" s="60">
        <v>42.5</v>
      </c>
      <c r="O35" s="60">
        <v>0</v>
      </c>
      <c r="P35" s="60">
        <v>1.53</v>
      </c>
      <c r="Q35" s="60">
        <v>214.42</v>
      </c>
      <c r="R35" s="198"/>
      <c r="S35" s="198"/>
      <c r="T35" s="198"/>
      <c r="U35" s="198"/>
    </row>
    <row r="36" spans="1:21" s="12" customFormat="1" x14ac:dyDescent="0.25">
      <c r="A36" s="201" t="s">
        <v>2099</v>
      </c>
      <c r="B36" s="60">
        <v>31.47</v>
      </c>
      <c r="C36" s="60">
        <v>110.07</v>
      </c>
      <c r="D36" s="60">
        <v>85.98</v>
      </c>
      <c r="E36" s="60">
        <v>8.6199999999999992</v>
      </c>
      <c r="F36" s="60">
        <v>0.86</v>
      </c>
      <c r="G36" s="60">
        <v>99.14</v>
      </c>
      <c r="H36" s="60">
        <v>48.24</v>
      </c>
      <c r="I36" s="60">
        <v>0.52</v>
      </c>
      <c r="J36" s="60">
        <v>1.1200000000000001</v>
      </c>
      <c r="K36" s="60">
        <v>226.9</v>
      </c>
      <c r="L36" s="60">
        <v>16.55</v>
      </c>
      <c r="M36" s="60">
        <v>72.14</v>
      </c>
      <c r="N36" s="60">
        <v>60.7</v>
      </c>
      <c r="O36" s="60">
        <v>0</v>
      </c>
      <c r="P36" s="60">
        <v>1.53</v>
      </c>
      <c r="Q36" s="60">
        <v>212.15</v>
      </c>
      <c r="R36" s="198"/>
      <c r="S36" s="198"/>
      <c r="T36" s="198"/>
      <c r="U36" s="198"/>
    </row>
    <row r="37" spans="1:21" s="12" customFormat="1" x14ac:dyDescent="0.25">
      <c r="A37" s="201" t="s">
        <v>2100</v>
      </c>
      <c r="B37" s="60">
        <v>32.19</v>
      </c>
      <c r="C37" s="60">
        <v>111.58</v>
      </c>
      <c r="D37" s="60">
        <v>87.39</v>
      </c>
      <c r="E37" s="60">
        <v>9.07</v>
      </c>
      <c r="F37" s="60">
        <v>0.79</v>
      </c>
      <c r="G37" s="60">
        <v>175.25</v>
      </c>
      <c r="H37" s="60">
        <v>51.68</v>
      </c>
      <c r="I37" s="60">
        <v>0.52</v>
      </c>
      <c r="J37" s="60">
        <v>0.55000000000000004</v>
      </c>
      <c r="K37" s="60">
        <v>227.01</v>
      </c>
      <c r="L37" s="60">
        <v>17.11</v>
      </c>
      <c r="M37" s="60">
        <v>69.62</v>
      </c>
      <c r="N37" s="60">
        <v>78.400000000000006</v>
      </c>
      <c r="O37" s="60">
        <v>0</v>
      </c>
      <c r="P37" s="60">
        <v>1.48</v>
      </c>
      <c r="Q37" s="60">
        <v>211.02</v>
      </c>
      <c r="R37" s="198"/>
      <c r="S37" s="198"/>
      <c r="T37" s="198"/>
      <c r="U37" s="198"/>
    </row>
    <row r="38" spans="1:21" s="12" customFormat="1" x14ac:dyDescent="0.25">
      <c r="A38" s="201" t="s">
        <v>2101</v>
      </c>
      <c r="B38" s="60">
        <v>33.72</v>
      </c>
      <c r="C38" s="60">
        <v>114.53</v>
      </c>
      <c r="D38" s="60">
        <v>90.25</v>
      </c>
      <c r="E38" s="60">
        <v>9.9700000000000006</v>
      </c>
      <c r="F38" s="60">
        <v>0.76</v>
      </c>
      <c r="G38" s="60">
        <v>175.25</v>
      </c>
      <c r="H38" s="60">
        <v>51.68</v>
      </c>
      <c r="I38" s="60">
        <v>0.51</v>
      </c>
      <c r="J38" s="60">
        <v>0.85</v>
      </c>
      <c r="K38" s="60">
        <v>227.42</v>
      </c>
      <c r="L38" s="60">
        <v>18.02</v>
      </c>
      <c r="M38" s="60">
        <v>65.25</v>
      </c>
      <c r="N38" s="60">
        <v>155</v>
      </c>
      <c r="O38" s="60">
        <v>0</v>
      </c>
      <c r="P38" s="60">
        <v>1.55</v>
      </c>
      <c r="Q38" s="60">
        <v>213.09</v>
      </c>
      <c r="R38" s="198"/>
      <c r="S38" s="198"/>
      <c r="T38" s="198"/>
      <c r="U38" s="198"/>
    </row>
    <row r="39" spans="1:21" s="12" customFormat="1" x14ac:dyDescent="0.25">
      <c r="A39" s="201" t="s">
        <v>2102</v>
      </c>
      <c r="B39" s="60">
        <v>34.75</v>
      </c>
      <c r="C39" s="60">
        <v>117.31</v>
      </c>
      <c r="D39" s="60">
        <v>92.61</v>
      </c>
      <c r="E39" s="60">
        <v>10.47</v>
      </c>
      <c r="F39" s="60">
        <v>0.72</v>
      </c>
      <c r="G39" s="60">
        <v>175.25</v>
      </c>
      <c r="H39" s="60">
        <v>51.68</v>
      </c>
      <c r="I39" s="60">
        <v>0.51</v>
      </c>
      <c r="J39" s="60">
        <v>1.1599999999999999</v>
      </c>
      <c r="K39" s="60">
        <v>228.13</v>
      </c>
      <c r="L39" s="60">
        <v>20.010000000000002</v>
      </c>
      <c r="M39" s="60">
        <v>58.49</v>
      </c>
      <c r="N39" s="60">
        <v>220.8</v>
      </c>
      <c r="O39" s="60">
        <v>0</v>
      </c>
      <c r="P39" s="60">
        <v>1.56</v>
      </c>
      <c r="Q39" s="60">
        <v>214.25</v>
      </c>
      <c r="R39" s="198"/>
      <c r="S39" s="198"/>
      <c r="T39" s="198"/>
      <c r="U39" s="198"/>
    </row>
    <row r="40" spans="1:21" s="12" customFormat="1" x14ac:dyDescent="0.25">
      <c r="A40" s="201" t="s">
        <v>2103</v>
      </c>
      <c r="B40" s="60">
        <v>35.07</v>
      </c>
      <c r="C40" s="60">
        <v>119.19</v>
      </c>
      <c r="D40" s="60">
        <v>93.91</v>
      </c>
      <c r="E40" s="60">
        <v>5.73</v>
      </c>
      <c r="F40" s="60">
        <v>0.53</v>
      </c>
      <c r="G40" s="60">
        <v>172.98</v>
      </c>
      <c r="H40" s="60">
        <v>51.71</v>
      </c>
      <c r="I40" s="60">
        <v>0.51</v>
      </c>
      <c r="J40" s="60">
        <v>0.68</v>
      </c>
      <c r="K40" s="60">
        <v>228.64</v>
      </c>
      <c r="L40" s="60">
        <v>21.58</v>
      </c>
      <c r="M40" s="60">
        <v>53.77</v>
      </c>
      <c r="N40" s="60">
        <v>258.3</v>
      </c>
      <c r="O40" s="60">
        <v>0</v>
      </c>
      <c r="P40" s="60">
        <v>1.55</v>
      </c>
      <c r="Q40" s="60">
        <v>213.09</v>
      </c>
      <c r="R40" s="198"/>
      <c r="S40" s="198"/>
      <c r="T40" s="198"/>
      <c r="U40" s="198"/>
    </row>
    <row r="41" spans="1:21" s="12" customFormat="1" x14ac:dyDescent="0.25">
      <c r="A41" s="201" t="s">
        <v>2104</v>
      </c>
      <c r="B41" s="60">
        <v>34.840000000000003</v>
      </c>
      <c r="C41" s="60">
        <v>119.25</v>
      </c>
      <c r="D41" s="60">
        <v>93.74</v>
      </c>
      <c r="E41" s="60">
        <v>10.38</v>
      </c>
      <c r="F41" s="60">
        <v>0.81</v>
      </c>
      <c r="G41" s="60">
        <v>153.9</v>
      </c>
      <c r="H41" s="60">
        <v>52.11</v>
      </c>
      <c r="I41" s="60">
        <v>0.5</v>
      </c>
      <c r="J41" s="60">
        <v>0.65</v>
      </c>
      <c r="K41" s="60">
        <v>229.39</v>
      </c>
      <c r="L41" s="60">
        <v>21.7</v>
      </c>
      <c r="M41" s="60">
        <v>54.02</v>
      </c>
      <c r="N41" s="60">
        <v>299.10000000000002</v>
      </c>
      <c r="O41" s="60">
        <v>0</v>
      </c>
      <c r="P41" s="60">
        <v>1.55</v>
      </c>
      <c r="Q41" s="60">
        <v>213.25</v>
      </c>
      <c r="R41" s="198"/>
      <c r="S41" s="198"/>
      <c r="T41" s="198"/>
      <c r="U41" s="198"/>
    </row>
    <row r="42" spans="1:21" s="12" customFormat="1" x14ac:dyDescent="0.25">
      <c r="A42" s="201" t="s">
        <v>2105</v>
      </c>
      <c r="B42" s="60">
        <v>34.56</v>
      </c>
      <c r="C42" s="60">
        <v>119.51</v>
      </c>
      <c r="D42" s="60">
        <v>93.67</v>
      </c>
      <c r="E42" s="60">
        <v>10.220000000000001</v>
      </c>
      <c r="F42" s="60">
        <v>0.9</v>
      </c>
      <c r="G42" s="60">
        <v>153.9</v>
      </c>
      <c r="H42" s="60">
        <v>52.11</v>
      </c>
      <c r="I42" s="60">
        <v>0.49</v>
      </c>
      <c r="J42" s="60">
        <v>0.72</v>
      </c>
      <c r="K42" s="60">
        <v>230.08</v>
      </c>
      <c r="L42" s="60">
        <v>22.62</v>
      </c>
      <c r="M42" s="60">
        <v>51.66</v>
      </c>
      <c r="N42" s="60">
        <v>343.6</v>
      </c>
      <c r="O42" s="60">
        <v>0</v>
      </c>
      <c r="P42" s="60">
        <v>1.55</v>
      </c>
      <c r="Q42" s="60">
        <v>214.68</v>
      </c>
      <c r="R42" s="198"/>
      <c r="S42" s="198"/>
      <c r="T42" s="198"/>
      <c r="U42" s="198"/>
    </row>
    <row r="43" spans="1:21" s="12" customFormat="1" x14ac:dyDescent="0.25">
      <c r="A43" s="201" t="s">
        <v>2106</v>
      </c>
      <c r="B43" s="60">
        <v>34.18</v>
      </c>
      <c r="C43" s="60">
        <v>118.76</v>
      </c>
      <c r="D43" s="60">
        <v>92.95</v>
      </c>
      <c r="E43" s="60">
        <v>9.26</v>
      </c>
      <c r="F43" s="60">
        <v>0.67</v>
      </c>
      <c r="G43" s="60">
        <v>153.9</v>
      </c>
      <c r="H43" s="60">
        <v>52.11</v>
      </c>
      <c r="I43" s="60">
        <v>0.49</v>
      </c>
      <c r="J43" s="60">
        <v>1.49</v>
      </c>
      <c r="K43" s="60">
        <v>230.03</v>
      </c>
      <c r="L43" s="60">
        <v>20.81</v>
      </c>
      <c r="M43" s="60">
        <v>53.6</v>
      </c>
      <c r="N43" s="60">
        <v>393.7</v>
      </c>
      <c r="O43" s="60">
        <v>0</v>
      </c>
      <c r="P43" s="60">
        <v>1.52</v>
      </c>
      <c r="Q43" s="60">
        <v>219.45</v>
      </c>
      <c r="R43" s="198"/>
      <c r="S43" s="198"/>
      <c r="T43" s="198"/>
      <c r="U43" s="198"/>
    </row>
    <row r="44" spans="1:21" s="12" customFormat="1" x14ac:dyDescent="0.25">
      <c r="A44" s="201" t="s">
        <v>2107</v>
      </c>
      <c r="B44" s="60">
        <v>34.15</v>
      </c>
      <c r="C44" s="60">
        <v>117.6</v>
      </c>
      <c r="D44" s="60">
        <v>92.28</v>
      </c>
      <c r="E44" s="60">
        <v>7.82</v>
      </c>
      <c r="F44" s="60">
        <v>0.79</v>
      </c>
      <c r="G44" s="60">
        <v>151.04</v>
      </c>
      <c r="H44" s="60">
        <v>51.27</v>
      </c>
      <c r="I44" s="60">
        <v>0.5</v>
      </c>
      <c r="J44" s="60">
        <v>1.1299999999999999</v>
      </c>
      <c r="K44" s="60">
        <v>230.11</v>
      </c>
      <c r="L44" s="60">
        <v>21.57</v>
      </c>
      <c r="M44" s="60">
        <v>52.62</v>
      </c>
      <c r="N44" s="60">
        <v>424.6</v>
      </c>
      <c r="O44" s="60">
        <v>0</v>
      </c>
      <c r="P44" s="60">
        <v>1.47</v>
      </c>
      <c r="Q44" s="60">
        <v>220.47</v>
      </c>
      <c r="R44" s="198"/>
      <c r="S44" s="198"/>
      <c r="T44" s="198"/>
      <c r="U44" s="198"/>
    </row>
    <row r="45" spans="1:21" s="12" customFormat="1" x14ac:dyDescent="0.25">
      <c r="A45" s="201" t="s">
        <v>2108</v>
      </c>
      <c r="B45" s="60">
        <v>35.869999999999997</v>
      </c>
      <c r="C45" s="60">
        <v>121.23</v>
      </c>
      <c r="D45" s="60">
        <v>95.67</v>
      </c>
      <c r="E45" s="60">
        <v>7.94</v>
      </c>
      <c r="F45" s="60">
        <v>1.06</v>
      </c>
      <c r="G45" s="60">
        <v>126.88</v>
      </c>
      <c r="H45" s="60">
        <v>42.75</v>
      </c>
      <c r="I45" s="60">
        <v>0.5</v>
      </c>
      <c r="J45" s="60">
        <v>0.76</v>
      </c>
      <c r="K45" s="60">
        <v>230.87</v>
      </c>
      <c r="L45" s="60">
        <v>24.04</v>
      </c>
      <c r="M45" s="60">
        <v>47.24</v>
      </c>
      <c r="N45" s="60">
        <v>427.4</v>
      </c>
      <c r="O45" s="60">
        <v>0</v>
      </c>
      <c r="P45" s="60">
        <v>1.44</v>
      </c>
      <c r="Q45" s="60">
        <v>219.84</v>
      </c>
      <c r="R45" s="198"/>
      <c r="S45" s="198"/>
      <c r="T45" s="198"/>
      <c r="U45" s="198"/>
    </row>
    <row r="46" spans="1:21" s="12" customFormat="1" x14ac:dyDescent="0.25">
      <c r="A46" s="201" t="s">
        <v>2109</v>
      </c>
      <c r="B46" s="60">
        <v>37.200000000000003</v>
      </c>
      <c r="C46" s="60">
        <v>124.1</v>
      </c>
      <c r="D46" s="60">
        <v>98.32</v>
      </c>
      <c r="E46" s="60">
        <v>7.48</v>
      </c>
      <c r="F46" s="60">
        <v>0.99</v>
      </c>
      <c r="G46" s="60">
        <v>126.88</v>
      </c>
      <c r="H46" s="60">
        <v>42.75</v>
      </c>
      <c r="I46" s="60">
        <v>0.5</v>
      </c>
      <c r="J46" s="60">
        <v>0.78</v>
      </c>
      <c r="K46" s="60">
        <v>231.13</v>
      </c>
      <c r="L46" s="60">
        <v>23.81</v>
      </c>
      <c r="M46" s="60">
        <v>48.56</v>
      </c>
      <c r="N46" s="60">
        <v>406.5</v>
      </c>
      <c r="O46" s="60">
        <v>0</v>
      </c>
      <c r="P46" s="60">
        <v>1.41</v>
      </c>
      <c r="Q46" s="60">
        <v>221.76</v>
      </c>
      <c r="R46" s="198"/>
      <c r="S46" s="198"/>
      <c r="T46" s="198"/>
      <c r="U46" s="198"/>
    </row>
    <row r="47" spans="1:21" s="12" customFormat="1" x14ac:dyDescent="0.25">
      <c r="A47" s="201" t="s">
        <v>2110</v>
      </c>
      <c r="B47" s="60">
        <v>36.479999999999997</v>
      </c>
      <c r="C47" s="60">
        <v>122.64</v>
      </c>
      <c r="D47" s="60">
        <v>96.94</v>
      </c>
      <c r="E47" s="60">
        <v>7.14</v>
      </c>
      <c r="F47" s="60">
        <v>0.98</v>
      </c>
      <c r="G47" s="60">
        <v>126.88</v>
      </c>
      <c r="H47" s="60">
        <v>42.75</v>
      </c>
      <c r="I47" s="60">
        <v>0.49</v>
      </c>
      <c r="J47" s="60">
        <v>1.02</v>
      </c>
      <c r="K47" s="60">
        <v>230.6</v>
      </c>
      <c r="L47" s="60">
        <v>21.9</v>
      </c>
      <c r="M47" s="60">
        <v>52.2</v>
      </c>
      <c r="N47" s="60">
        <v>327.5</v>
      </c>
      <c r="O47" s="60">
        <v>0</v>
      </c>
      <c r="P47" s="60">
        <v>1.37</v>
      </c>
      <c r="Q47" s="60">
        <v>222.55</v>
      </c>
      <c r="R47" s="198"/>
      <c r="S47" s="198"/>
      <c r="T47" s="198"/>
      <c r="U47" s="198"/>
    </row>
    <row r="48" spans="1:21" s="12" customFormat="1" x14ac:dyDescent="0.25">
      <c r="A48" s="201" t="s">
        <v>2111</v>
      </c>
      <c r="B48" s="60">
        <v>34.58</v>
      </c>
      <c r="C48" s="60">
        <v>119.77</v>
      </c>
      <c r="D48" s="60">
        <v>93.83</v>
      </c>
      <c r="E48" s="60">
        <v>7.48</v>
      </c>
      <c r="F48" s="60">
        <v>1</v>
      </c>
      <c r="G48" s="60">
        <v>124.13</v>
      </c>
      <c r="H48" s="60">
        <v>42.49</v>
      </c>
      <c r="I48" s="60">
        <v>0.49</v>
      </c>
      <c r="J48" s="60">
        <v>1.1399999999999999</v>
      </c>
      <c r="K48" s="60">
        <v>230.53</v>
      </c>
      <c r="L48" s="60">
        <v>22.67</v>
      </c>
      <c r="M48" s="60">
        <v>51.37</v>
      </c>
      <c r="N48" s="60">
        <v>483.5</v>
      </c>
      <c r="O48" s="60">
        <v>0</v>
      </c>
      <c r="P48" s="60">
        <v>1.32</v>
      </c>
      <c r="Q48" s="60">
        <v>220.96</v>
      </c>
      <c r="R48" s="198"/>
      <c r="S48" s="198"/>
      <c r="T48" s="198"/>
      <c r="U48" s="198"/>
    </row>
    <row r="49" spans="1:21" s="12" customFormat="1" x14ac:dyDescent="0.25">
      <c r="A49" s="201" t="s">
        <v>2112</v>
      </c>
      <c r="B49" s="60">
        <v>32.270000000000003</v>
      </c>
      <c r="C49" s="60">
        <v>116.34</v>
      </c>
      <c r="D49" s="60">
        <v>90.08</v>
      </c>
      <c r="E49" s="60">
        <v>7.4</v>
      </c>
      <c r="F49" s="60">
        <v>1.07</v>
      </c>
      <c r="G49" s="60">
        <v>100.97</v>
      </c>
      <c r="H49" s="60">
        <v>39.880000000000003</v>
      </c>
      <c r="I49" s="60">
        <v>0.48</v>
      </c>
      <c r="J49" s="60">
        <v>1.1499999999999999</v>
      </c>
      <c r="K49" s="60">
        <v>230.99</v>
      </c>
      <c r="L49" s="60">
        <v>23.22</v>
      </c>
      <c r="M49" s="60">
        <v>50.18</v>
      </c>
      <c r="N49" s="60">
        <v>534.20000000000005</v>
      </c>
      <c r="O49" s="60">
        <v>0</v>
      </c>
      <c r="P49" s="60">
        <v>1.28</v>
      </c>
      <c r="Q49" s="60">
        <v>217.43</v>
      </c>
      <c r="R49" s="198"/>
      <c r="S49" s="198"/>
      <c r="T49" s="198"/>
      <c r="U49" s="198"/>
    </row>
    <row r="50" spans="1:21" s="12" customFormat="1" x14ac:dyDescent="0.25">
      <c r="A50" s="201" t="s">
        <v>2113</v>
      </c>
      <c r="B50" s="60">
        <v>29.6</v>
      </c>
      <c r="C50" s="60">
        <v>113.19</v>
      </c>
      <c r="D50" s="60">
        <v>86.21</v>
      </c>
      <c r="E50" s="60">
        <v>7.81</v>
      </c>
      <c r="F50" s="60">
        <v>1.24</v>
      </c>
      <c r="G50" s="60">
        <v>100.97</v>
      </c>
      <c r="H50" s="60">
        <v>39.880000000000003</v>
      </c>
      <c r="I50" s="60">
        <v>0.47</v>
      </c>
      <c r="J50" s="60">
        <v>1.03</v>
      </c>
      <c r="K50" s="60">
        <v>231.32</v>
      </c>
      <c r="L50" s="60">
        <v>23.76</v>
      </c>
      <c r="M50" s="60">
        <v>48.99</v>
      </c>
      <c r="N50" s="60">
        <v>526.70000000000005</v>
      </c>
      <c r="O50" s="60">
        <v>0</v>
      </c>
      <c r="P50" s="60">
        <v>1.23</v>
      </c>
      <c r="Q50" s="60">
        <v>213.8</v>
      </c>
      <c r="R50" s="198"/>
      <c r="S50" s="198"/>
      <c r="T50" s="198"/>
      <c r="U50" s="198"/>
    </row>
    <row r="51" spans="1:21" s="12" customFormat="1" x14ac:dyDescent="0.25">
      <c r="A51" s="201" t="s">
        <v>2114</v>
      </c>
      <c r="B51" s="60">
        <v>27.07</v>
      </c>
      <c r="C51" s="60">
        <v>110.53</v>
      </c>
      <c r="D51" s="60">
        <v>82.71</v>
      </c>
      <c r="E51" s="60">
        <v>8.1199999999999992</v>
      </c>
      <c r="F51" s="60">
        <v>1.08</v>
      </c>
      <c r="G51" s="60">
        <v>100.97</v>
      </c>
      <c r="H51" s="60">
        <v>39.880000000000003</v>
      </c>
      <c r="I51" s="60">
        <v>0.48</v>
      </c>
      <c r="J51" s="60">
        <v>0.89</v>
      </c>
      <c r="K51" s="60">
        <v>231.78</v>
      </c>
      <c r="L51" s="60">
        <v>24.67</v>
      </c>
      <c r="M51" s="60">
        <v>45.41</v>
      </c>
      <c r="N51" s="60">
        <v>536.5</v>
      </c>
      <c r="O51" s="60">
        <v>0</v>
      </c>
      <c r="P51" s="60">
        <v>1.2</v>
      </c>
      <c r="Q51" s="60">
        <v>214.44</v>
      </c>
      <c r="R51" s="198"/>
      <c r="S51" s="198"/>
      <c r="T51" s="198"/>
      <c r="U51" s="198"/>
    </row>
    <row r="52" spans="1:21" s="12" customFormat="1" x14ac:dyDescent="0.25">
      <c r="A52" s="201" t="s">
        <v>2115</v>
      </c>
      <c r="B52" s="60">
        <v>24.22</v>
      </c>
      <c r="C52" s="60">
        <v>108.28</v>
      </c>
      <c r="D52" s="60">
        <v>79.180000000000007</v>
      </c>
      <c r="E52" s="60">
        <v>8.09</v>
      </c>
      <c r="F52" s="60">
        <v>1.01</v>
      </c>
      <c r="G52" s="60">
        <v>99.47</v>
      </c>
      <c r="H52" s="60">
        <v>39.520000000000003</v>
      </c>
      <c r="I52" s="60">
        <v>0.47</v>
      </c>
      <c r="J52" s="60">
        <v>0.72</v>
      </c>
      <c r="K52" s="60">
        <v>232.05</v>
      </c>
      <c r="L52" s="60">
        <v>25.4</v>
      </c>
      <c r="M52" s="60">
        <v>43.77</v>
      </c>
      <c r="N52" s="60">
        <v>565.1</v>
      </c>
      <c r="O52" s="60">
        <v>0</v>
      </c>
      <c r="P52" s="60">
        <v>1.1499999999999999</v>
      </c>
      <c r="Q52" s="60">
        <v>215.75</v>
      </c>
      <c r="R52" s="198"/>
      <c r="S52" s="198"/>
      <c r="T52" s="198"/>
      <c r="U52" s="198"/>
    </row>
    <row r="53" spans="1:21" s="12" customFormat="1" x14ac:dyDescent="0.25">
      <c r="A53" s="201" t="s">
        <v>2116</v>
      </c>
      <c r="B53" s="60">
        <v>21.74</v>
      </c>
      <c r="C53" s="60">
        <v>105.36</v>
      </c>
      <c r="D53" s="60">
        <v>75.569999999999993</v>
      </c>
      <c r="E53" s="60">
        <v>7.99</v>
      </c>
      <c r="F53" s="60">
        <v>1</v>
      </c>
      <c r="G53" s="60">
        <v>83.18</v>
      </c>
      <c r="H53" s="60">
        <v>35.81</v>
      </c>
      <c r="I53" s="60">
        <v>0.46</v>
      </c>
      <c r="J53" s="60">
        <v>1.04</v>
      </c>
      <c r="K53" s="60">
        <v>232.05</v>
      </c>
      <c r="L53" s="60">
        <v>25.06</v>
      </c>
      <c r="M53" s="60">
        <v>42.14</v>
      </c>
      <c r="N53" s="60">
        <v>577.70000000000005</v>
      </c>
      <c r="O53" s="60">
        <v>0</v>
      </c>
      <c r="P53" s="60">
        <v>1.1100000000000001</v>
      </c>
      <c r="Q53" s="60">
        <v>215.92</v>
      </c>
      <c r="R53" s="198"/>
      <c r="S53" s="198"/>
      <c r="T53" s="198"/>
      <c r="U53" s="198"/>
    </row>
    <row r="54" spans="1:21" s="12" customFormat="1" x14ac:dyDescent="0.25">
      <c r="A54" s="201" t="s">
        <v>2117</v>
      </c>
      <c r="B54" s="60">
        <v>19.36</v>
      </c>
      <c r="C54" s="60">
        <v>101.7</v>
      </c>
      <c r="D54" s="60">
        <v>71.650000000000006</v>
      </c>
      <c r="E54" s="60">
        <v>7.51</v>
      </c>
      <c r="F54" s="60">
        <v>1.23</v>
      </c>
      <c r="G54" s="60">
        <v>83.18</v>
      </c>
      <c r="H54" s="60">
        <v>35.81</v>
      </c>
      <c r="I54" s="60">
        <v>0.46</v>
      </c>
      <c r="J54" s="60">
        <v>1.58</v>
      </c>
      <c r="K54" s="60">
        <v>231.87</v>
      </c>
      <c r="L54" s="60">
        <v>25.3</v>
      </c>
      <c r="M54" s="60">
        <v>40.79</v>
      </c>
      <c r="N54" s="60">
        <v>570.6</v>
      </c>
      <c r="O54" s="60">
        <v>0</v>
      </c>
      <c r="P54" s="60">
        <v>1.07</v>
      </c>
      <c r="Q54" s="60">
        <v>216.13</v>
      </c>
      <c r="R54" s="198"/>
      <c r="S54" s="198"/>
      <c r="T54" s="198"/>
      <c r="U54" s="198"/>
    </row>
    <row r="55" spans="1:21" s="12" customFormat="1" x14ac:dyDescent="0.25">
      <c r="A55" s="201" t="s">
        <v>2118</v>
      </c>
      <c r="B55" s="60">
        <v>16.75</v>
      </c>
      <c r="C55" s="60">
        <v>98.18</v>
      </c>
      <c r="D55" s="60">
        <v>67.62</v>
      </c>
      <c r="E55" s="60">
        <v>8.0500000000000007</v>
      </c>
      <c r="F55" s="60">
        <v>1.86</v>
      </c>
      <c r="G55" s="60">
        <v>83.18</v>
      </c>
      <c r="H55" s="60">
        <v>35.81</v>
      </c>
      <c r="I55" s="60">
        <v>0.46</v>
      </c>
      <c r="J55" s="60">
        <v>1.47</v>
      </c>
      <c r="K55" s="60">
        <v>231.55</v>
      </c>
      <c r="L55" s="60">
        <v>26.57</v>
      </c>
      <c r="M55" s="60">
        <v>38.340000000000003</v>
      </c>
      <c r="N55" s="60">
        <v>582.5</v>
      </c>
      <c r="O55" s="60">
        <v>0</v>
      </c>
      <c r="P55" s="60">
        <v>1.02</v>
      </c>
      <c r="Q55" s="60">
        <v>214.05</v>
      </c>
      <c r="R55" s="198"/>
      <c r="S55" s="198"/>
      <c r="T55" s="198"/>
      <c r="U55" s="198"/>
    </row>
    <row r="56" spans="1:21" s="12" customFormat="1" x14ac:dyDescent="0.25">
      <c r="A56" s="201" t="s">
        <v>2119</v>
      </c>
      <c r="B56" s="60">
        <v>14.17</v>
      </c>
      <c r="C56" s="60">
        <v>96.01</v>
      </c>
      <c r="D56" s="60">
        <v>64.349999999999994</v>
      </c>
      <c r="E56" s="60">
        <v>3.37</v>
      </c>
      <c r="F56" s="60">
        <v>2.04</v>
      </c>
      <c r="G56" s="60">
        <v>81.19</v>
      </c>
      <c r="H56" s="60">
        <v>35.57</v>
      </c>
      <c r="I56" s="60">
        <v>0.46</v>
      </c>
      <c r="J56" s="60">
        <v>0.87</v>
      </c>
      <c r="K56" s="60">
        <v>231.45</v>
      </c>
      <c r="L56" s="60">
        <v>25.32</v>
      </c>
      <c r="M56" s="60">
        <v>39.9</v>
      </c>
      <c r="N56" s="60">
        <v>577.5</v>
      </c>
      <c r="O56" s="60">
        <v>0</v>
      </c>
      <c r="P56" s="60">
        <v>0.99</v>
      </c>
      <c r="Q56" s="60">
        <v>210.37</v>
      </c>
      <c r="R56" s="198"/>
      <c r="S56" s="198"/>
      <c r="T56" s="198"/>
      <c r="U56" s="198"/>
    </row>
    <row r="57" spans="1:21" s="12" customFormat="1" x14ac:dyDescent="0.25">
      <c r="A57" s="201" t="s">
        <v>2120</v>
      </c>
      <c r="B57" s="60">
        <v>12.14</v>
      </c>
      <c r="C57" s="60">
        <v>94.39</v>
      </c>
      <c r="D57" s="60">
        <v>61.83</v>
      </c>
      <c r="E57" s="60">
        <v>7.35</v>
      </c>
      <c r="F57" s="60">
        <v>1.8</v>
      </c>
      <c r="G57" s="60">
        <v>64.430000000000007</v>
      </c>
      <c r="H57" s="60">
        <v>33.049999999999997</v>
      </c>
      <c r="I57" s="60">
        <v>0.45</v>
      </c>
      <c r="J57" s="60">
        <v>0.98</v>
      </c>
      <c r="K57" s="60">
        <v>231.83</v>
      </c>
      <c r="L57" s="60">
        <v>26.75</v>
      </c>
      <c r="M57" s="60">
        <v>38.53</v>
      </c>
      <c r="N57" s="60">
        <v>567.70000000000005</v>
      </c>
      <c r="O57" s="60">
        <v>0</v>
      </c>
      <c r="P57" s="60">
        <v>0.95</v>
      </c>
      <c r="Q57" s="60">
        <v>211</v>
      </c>
      <c r="R57" s="198"/>
      <c r="S57" s="198"/>
      <c r="T57" s="198"/>
      <c r="U57" s="198"/>
    </row>
    <row r="58" spans="1:21" s="12" customFormat="1" x14ac:dyDescent="0.25">
      <c r="A58" s="201" t="s">
        <v>2121</v>
      </c>
      <c r="B58" s="60">
        <v>10.38</v>
      </c>
      <c r="C58" s="60">
        <v>92.77</v>
      </c>
      <c r="D58" s="60">
        <v>59.52</v>
      </c>
      <c r="E58" s="60">
        <v>7.03</v>
      </c>
      <c r="F58" s="60">
        <v>1.88</v>
      </c>
      <c r="G58" s="60">
        <v>64.430000000000007</v>
      </c>
      <c r="H58" s="60">
        <v>33.049999999999997</v>
      </c>
      <c r="I58" s="60">
        <v>0.44</v>
      </c>
      <c r="J58" s="60">
        <v>0.6</v>
      </c>
      <c r="K58" s="60">
        <v>232.33</v>
      </c>
      <c r="L58" s="60">
        <v>27.93</v>
      </c>
      <c r="M58" s="60">
        <v>36.33</v>
      </c>
      <c r="N58" s="60">
        <v>570.4</v>
      </c>
      <c r="O58" s="60">
        <v>0</v>
      </c>
      <c r="P58" s="60">
        <v>0.93</v>
      </c>
      <c r="Q58" s="60">
        <v>213.17</v>
      </c>
      <c r="R58" s="198"/>
      <c r="S58" s="198"/>
      <c r="T58" s="198"/>
      <c r="U58" s="198"/>
    </row>
    <row r="59" spans="1:21" s="12" customFormat="1" x14ac:dyDescent="0.25">
      <c r="A59" s="201" t="s">
        <v>2122</v>
      </c>
      <c r="B59" s="60">
        <v>8.84</v>
      </c>
      <c r="C59" s="60">
        <v>91.99</v>
      </c>
      <c r="D59" s="60">
        <v>57.86</v>
      </c>
      <c r="E59" s="60">
        <v>6.65</v>
      </c>
      <c r="F59" s="60">
        <v>1.82</v>
      </c>
      <c r="G59" s="60">
        <v>64.430000000000007</v>
      </c>
      <c r="H59" s="60">
        <v>33.049999999999997</v>
      </c>
      <c r="I59" s="60">
        <v>0.44</v>
      </c>
      <c r="J59" s="60">
        <v>0.89</v>
      </c>
      <c r="K59" s="60">
        <v>232.45</v>
      </c>
      <c r="L59" s="60">
        <v>29.79</v>
      </c>
      <c r="M59" s="60">
        <v>33.51</v>
      </c>
      <c r="N59" s="60">
        <v>561</v>
      </c>
      <c r="O59" s="60">
        <v>0</v>
      </c>
      <c r="P59" s="60">
        <v>0.92</v>
      </c>
      <c r="Q59" s="60">
        <v>210.9</v>
      </c>
      <c r="R59" s="198"/>
      <c r="S59" s="198"/>
      <c r="T59" s="198"/>
      <c r="U59" s="198"/>
    </row>
    <row r="60" spans="1:21" s="12" customFormat="1" x14ac:dyDescent="0.25">
      <c r="A60" s="201" t="s">
        <v>2123</v>
      </c>
      <c r="B60" s="60">
        <v>7.22</v>
      </c>
      <c r="C60" s="60">
        <v>93.17</v>
      </c>
      <c r="D60" s="60">
        <v>57.21</v>
      </c>
      <c r="E60" s="60">
        <v>6.35</v>
      </c>
      <c r="F60" s="60">
        <v>1.89</v>
      </c>
      <c r="G60" s="60">
        <v>64</v>
      </c>
      <c r="H60" s="60">
        <v>33.049999999999997</v>
      </c>
      <c r="I60" s="60">
        <v>0.43</v>
      </c>
      <c r="J60" s="60">
        <v>0.77</v>
      </c>
      <c r="K60" s="60">
        <v>232.38</v>
      </c>
      <c r="L60" s="60">
        <v>29.55</v>
      </c>
      <c r="M60" s="60">
        <v>33.270000000000003</v>
      </c>
      <c r="N60" s="60">
        <v>555.29999999999995</v>
      </c>
      <c r="O60" s="60">
        <v>0</v>
      </c>
      <c r="P60" s="60">
        <v>0.91</v>
      </c>
      <c r="Q60" s="60">
        <v>208.74</v>
      </c>
      <c r="R60" s="198"/>
      <c r="S60" s="198"/>
      <c r="T60" s="198"/>
      <c r="U60" s="198"/>
    </row>
    <row r="61" spans="1:21" s="12" customFormat="1" x14ac:dyDescent="0.25">
      <c r="A61" s="201" t="s">
        <v>2124</v>
      </c>
      <c r="B61" s="60">
        <v>6.22</v>
      </c>
      <c r="C61" s="60">
        <v>92.04</v>
      </c>
      <c r="D61" s="60">
        <v>55.78</v>
      </c>
      <c r="E61" s="60">
        <v>5.91</v>
      </c>
      <c r="F61" s="60">
        <v>1.93</v>
      </c>
      <c r="G61" s="60">
        <v>60.4</v>
      </c>
      <c r="H61" s="60">
        <v>33</v>
      </c>
      <c r="I61" s="60">
        <v>0.42</v>
      </c>
      <c r="J61" s="60">
        <v>0.95</v>
      </c>
      <c r="K61" s="60">
        <v>232.75</v>
      </c>
      <c r="L61" s="60">
        <v>28.77</v>
      </c>
      <c r="M61" s="60">
        <v>36.090000000000003</v>
      </c>
      <c r="N61" s="60">
        <v>542.29999999999995</v>
      </c>
      <c r="O61" s="60">
        <v>0</v>
      </c>
      <c r="P61" s="60">
        <v>0.88</v>
      </c>
      <c r="Q61" s="60">
        <v>206.76</v>
      </c>
      <c r="R61" s="198"/>
      <c r="S61" s="198"/>
      <c r="T61" s="198"/>
      <c r="U61" s="198"/>
    </row>
    <row r="62" spans="1:21" s="12" customFormat="1" x14ac:dyDescent="0.25">
      <c r="A62" s="201" t="s">
        <v>2125</v>
      </c>
      <c r="B62" s="60">
        <v>5.56</v>
      </c>
      <c r="C62" s="60">
        <v>91.53</v>
      </c>
      <c r="D62" s="60">
        <v>54.97</v>
      </c>
      <c r="E62" s="60">
        <v>6.27</v>
      </c>
      <c r="F62" s="60">
        <v>2.48</v>
      </c>
      <c r="G62" s="60">
        <v>60.4</v>
      </c>
      <c r="H62" s="60">
        <v>33</v>
      </c>
      <c r="I62" s="60">
        <v>0.42</v>
      </c>
      <c r="J62" s="60">
        <v>0.78</v>
      </c>
      <c r="K62" s="60">
        <v>232.82</v>
      </c>
      <c r="L62" s="60">
        <v>30.23</v>
      </c>
      <c r="M62" s="60">
        <v>32.11</v>
      </c>
      <c r="N62" s="60">
        <v>520.5</v>
      </c>
      <c r="O62" s="60">
        <v>0</v>
      </c>
      <c r="P62" s="60">
        <v>0.94</v>
      </c>
      <c r="Q62" s="60">
        <v>205.99</v>
      </c>
      <c r="R62" s="198"/>
      <c r="S62" s="198"/>
      <c r="T62" s="198"/>
      <c r="U62" s="198"/>
    </row>
    <row r="63" spans="1:21" s="12" customFormat="1" x14ac:dyDescent="0.25">
      <c r="A63" s="201" t="s">
        <v>2126</v>
      </c>
      <c r="B63" s="60">
        <v>5.1100000000000003</v>
      </c>
      <c r="C63" s="60">
        <v>91.14</v>
      </c>
      <c r="D63" s="60">
        <v>54.4</v>
      </c>
      <c r="E63" s="60">
        <v>6.68</v>
      </c>
      <c r="F63" s="60">
        <v>2.75</v>
      </c>
      <c r="G63" s="60">
        <v>60.4</v>
      </c>
      <c r="H63" s="60">
        <v>33</v>
      </c>
      <c r="I63" s="60">
        <v>0.41</v>
      </c>
      <c r="J63" s="60">
        <v>0.59</v>
      </c>
      <c r="K63" s="60">
        <v>233.02</v>
      </c>
      <c r="L63" s="60">
        <v>29.47</v>
      </c>
      <c r="M63" s="60">
        <v>33.35</v>
      </c>
      <c r="N63" s="60">
        <v>506.8</v>
      </c>
      <c r="O63" s="60">
        <v>0</v>
      </c>
      <c r="P63" s="60">
        <v>0.92</v>
      </c>
      <c r="Q63" s="60">
        <v>205.83</v>
      </c>
      <c r="R63" s="198"/>
      <c r="S63" s="198"/>
      <c r="T63" s="198"/>
      <c r="U63" s="198"/>
    </row>
    <row r="64" spans="1:21" s="12" customFormat="1" x14ac:dyDescent="0.25">
      <c r="A64" s="201" t="s">
        <v>2127</v>
      </c>
      <c r="B64" s="60">
        <v>4.8</v>
      </c>
      <c r="C64" s="60">
        <v>90.64</v>
      </c>
      <c r="D64" s="60">
        <v>53.87</v>
      </c>
      <c r="E64" s="60">
        <v>6.88</v>
      </c>
      <c r="F64" s="60">
        <v>3.18</v>
      </c>
      <c r="G64" s="60">
        <v>62.69</v>
      </c>
      <c r="H64" s="60">
        <v>32.96</v>
      </c>
      <c r="I64" s="60">
        <v>0.41</v>
      </c>
      <c r="J64" s="60">
        <v>0.67</v>
      </c>
      <c r="K64" s="60">
        <v>233.31</v>
      </c>
      <c r="L64" s="60">
        <v>30.13</v>
      </c>
      <c r="M64" s="60">
        <v>32.99</v>
      </c>
      <c r="N64" s="60">
        <v>475.3</v>
      </c>
      <c r="O64" s="60">
        <v>0</v>
      </c>
      <c r="P64" s="60">
        <v>0.91</v>
      </c>
      <c r="Q64" s="60">
        <v>203.62</v>
      </c>
      <c r="R64" s="198"/>
      <c r="S64" s="198"/>
      <c r="T64" s="198"/>
      <c r="U64" s="198"/>
    </row>
    <row r="65" spans="1:21" s="12" customFormat="1" x14ac:dyDescent="0.25">
      <c r="A65" s="201" t="s">
        <v>2128</v>
      </c>
      <c r="B65" s="60">
        <v>4.54</v>
      </c>
      <c r="C65" s="60">
        <v>90.55</v>
      </c>
      <c r="D65" s="60">
        <v>53.61</v>
      </c>
      <c r="E65" s="60">
        <v>7.35</v>
      </c>
      <c r="F65" s="60">
        <v>3.69</v>
      </c>
      <c r="G65" s="60">
        <v>82.08</v>
      </c>
      <c r="H65" s="60">
        <v>32.549999999999997</v>
      </c>
      <c r="I65" s="60">
        <v>0.4</v>
      </c>
      <c r="J65" s="60">
        <v>0.8</v>
      </c>
      <c r="K65" s="60">
        <v>233.28</v>
      </c>
      <c r="L65" s="60">
        <v>30.28</v>
      </c>
      <c r="M65" s="60">
        <v>32.020000000000003</v>
      </c>
      <c r="N65" s="60">
        <v>445.8</v>
      </c>
      <c r="O65" s="60">
        <v>0</v>
      </c>
      <c r="P65" s="60">
        <v>0.91</v>
      </c>
      <c r="Q65" s="60">
        <v>202.61</v>
      </c>
      <c r="R65" s="198"/>
      <c r="S65" s="198"/>
      <c r="T65" s="198"/>
      <c r="U65" s="198"/>
    </row>
    <row r="66" spans="1:21" s="12" customFormat="1" x14ac:dyDescent="0.25">
      <c r="A66" s="201" t="s">
        <v>2129</v>
      </c>
      <c r="B66" s="60">
        <v>5.07</v>
      </c>
      <c r="C66" s="60">
        <v>88.55</v>
      </c>
      <c r="D66" s="60">
        <v>52.94</v>
      </c>
      <c r="E66" s="60">
        <v>8.4600000000000009</v>
      </c>
      <c r="F66" s="60">
        <v>5.0599999999999996</v>
      </c>
      <c r="G66" s="60">
        <v>82.08</v>
      </c>
      <c r="H66" s="60">
        <v>32.549999999999997</v>
      </c>
      <c r="I66" s="60">
        <v>0.39</v>
      </c>
      <c r="J66" s="60">
        <v>0.9</v>
      </c>
      <c r="K66" s="60">
        <v>232.43</v>
      </c>
      <c r="L66" s="60">
        <v>28.34</v>
      </c>
      <c r="M66" s="60">
        <v>30.69</v>
      </c>
      <c r="N66" s="60">
        <v>341.8</v>
      </c>
      <c r="O66" s="60">
        <v>0</v>
      </c>
      <c r="P66" s="60">
        <v>0.9</v>
      </c>
      <c r="Q66" s="60">
        <v>203.64</v>
      </c>
      <c r="R66" s="198"/>
      <c r="S66" s="198"/>
      <c r="T66" s="198"/>
      <c r="U66" s="198"/>
    </row>
    <row r="67" spans="1:21" s="12" customFormat="1" x14ac:dyDescent="0.25">
      <c r="A67" s="201" t="s">
        <v>2130</v>
      </c>
      <c r="B67" s="60">
        <v>4.3499999999999996</v>
      </c>
      <c r="C67" s="60">
        <v>84.34</v>
      </c>
      <c r="D67" s="60">
        <v>50.03</v>
      </c>
      <c r="E67" s="60">
        <v>7.48</v>
      </c>
      <c r="F67" s="60">
        <v>3.77</v>
      </c>
      <c r="G67" s="60">
        <v>82.08</v>
      </c>
      <c r="H67" s="60">
        <v>32.549999999999997</v>
      </c>
      <c r="I67" s="60">
        <v>0.4</v>
      </c>
      <c r="J67" s="60">
        <v>1.02</v>
      </c>
      <c r="K67" s="60">
        <v>231.78</v>
      </c>
      <c r="L67" s="60">
        <v>26.97</v>
      </c>
      <c r="M67" s="60">
        <v>33.25</v>
      </c>
      <c r="N67" s="60">
        <v>205.4</v>
      </c>
      <c r="O67" s="60">
        <v>0</v>
      </c>
      <c r="P67" s="60">
        <v>0.88</v>
      </c>
      <c r="Q67" s="60">
        <v>206.51</v>
      </c>
      <c r="R67" s="198"/>
      <c r="S67" s="198"/>
      <c r="T67" s="198"/>
      <c r="U67" s="198"/>
    </row>
    <row r="68" spans="1:21" s="12" customFormat="1" x14ac:dyDescent="0.25">
      <c r="A68" s="201" t="s">
        <v>2131</v>
      </c>
      <c r="B68" s="60">
        <v>4.3</v>
      </c>
      <c r="C68" s="60">
        <v>82.46</v>
      </c>
      <c r="D68" s="60">
        <v>48.96</v>
      </c>
      <c r="E68" s="60">
        <v>7.36</v>
      </c>
      <c r="F68" s="60">
        <v>3.26</v>
      </c>
      <c r="G68" s="60">
        <v>80.08</v>
      </c>
      <c r="H68" s="60">
        <v>32.18</v>
      </c>
      <c r="I68" s="60">
        <v>0.4</v>
      </c>
      <c r="J68" s="60">
        <v>1.1200000000000001</v>
      </c>
      <c r="K68" s="60">
        <v>231.15</v>
      </c>
      <c r="L68" s="60">
        <v>26.61</v>
      </c>
      <c r="M68" s="60">
        <v>33.520000000000003</v>
      </c>
      <c r="N68" s="60">
        <v>135.6</v>
      </c>
      <c r="O68" s="60">
        <v>0</v>
      </c>
      <c r="P68" s="60">
        <v>0.87</v>
      </c>
      <c r="Q68" s="60">
        <v>208.89</v>
      </c>
      <c r="R68" s="198"/>
      <c r="S68" s="198"/>
      <c r="T68" s="198"/>
      <c r="U68" s="198"/>
    </row>
    <row r="69" spans="1:21" s="12" customFormat="1" x14ac:dyDescent="0.25">
      <c r="A69" s="201" t="s">
        <v>2132</v>
      </c>
      <c r="B69" s="60">
        <v>4.43</v>
      </c>
      <c r="C69" s="60">
        <v>81.12</v>
      </c>
      <c r="D69" s="60">
        <v>48.32</v>
      </c>
      <c r="E69" s="60">
        <v>8.4</v>
      </c>
      <c r="F69" s="60">
        <v>4.87</v>
      </c>
      <c r="G69" s="60">
        <v>58.7</v>
      </c>
      <c r="H69" s="60">
        <v>28.35</v>
      </c>
      <c r="I69" s="60">
        <v>0.41</v>
      </c>
      <c r="J69" s="60">
        <v>0.7</v>
      </c>
      <c r="K69" s="60">
        <v>230.7</v>
      </c>
      <c r="L69" s="60">
        <v>26.82</v>
      </c>
      <c r="M69" s="60">
        <v>34.32</v>
      </c>
      <c r="N69" s="60">
        <v>118</v>
      </c>
      <c r="O69" s="60">
        <v>0</v>
      </c>
      <c r="P69" s="60">
        <v>0.85</v>
      </c>
      <c r="Q69" s="60">
        <v>209.78</v>
      </c>
      <c r="R69" s="198"/>
      <c r="S69" s="198"/>
      <c r="T69" s="198"/>
      <c r="U69" s="198"/>
    </row>
    <row r="70" spans="1:21" s="12" customFormat="1" x14ac:dyDescent="0.25">
      <c r="A70" s="201" t="s">
        <v>2133</v>
      </c>
      <c r="B70" s="60">
        <v>4.9000000000000004</v>
      </c>
      <c r="C70" s="60">
        <v>82.43</v>
      </c>
      <c r="D70" s="60">
        <v>49.43</v>
      </c>
      <c r="E70" s="60">
        <v>8.92</v>
      </c>
      <c r="F70" s="60">
        <v>3.64</v>
      </c>
      <c r="G70" s="60">
        <v>58.7</v>
      </c>
      <c r="H70" s="60">
        <v>28.35</v>
      </c>
      <c r="I70" s="60">
        <v>0.42</v>
      </c>
      <c r="J70" s="60">
        <v>0.81</v>
      </c>
      <c r="K70" s="60">
        <v>230.54</v>
      </c>
      <c r="L70" s="60">
        <v>26.56</v>
      </c>
      <c r="M70" s="60">
        <v>34.869999999999997</v>
      </c>
      <c r="N70" s="60">
        <v>106.1</v>
      </c>
      <c r="O70" s="60">
        <v>0</v>
      </c>
      <c r="P70" s="60">
        <v>0.84</v>
      </c>
      <c r="Q70" s="60">
        <v>213.91</v>
      </c>
      <c r="R70" s="198"/>
      <c r="S70" s="198"/>
      <c r="T70" s="198"/>
      <c r="U70" s="198"/>
    </row>
    <row r="71" spans="1:21" s="12" customFormat="1" x14ac:dyDescent="0.25">
      <c r="A71" s="201" t="s">
        <v>2134</v>
      </c>
      <c r="B71" s="60">
        <v>5.26</v>
      </c>
      <c r="C71" s="60">
        <v>80.77</v>
      </c>
      <c r="D71" s="60">
        <v>48.79</v>
      </c>
      <c r="E71" s="60">
        <v>14.97</v>
      </c>
      <c r="F71" s="60">
        <v>5.66</v>
      </c>
      <c r="G71" s="60">
        <v>58.7</v>
      </c>
      <c r="H71" s="60">
        <v>28.35</v>
      </c>
      <c r="I71" s="60">
        <v>0.41</v>
      </c>
      <c r="J71" s="60">
        <v>0.73</v>
      </c>
      <c r="K71" s="60">
        <v>230.43</v>
      </c>
      <c r="L71" s="60">
        <v>26.25</v>
      </c>
      <c r="M71" s="60">
        <v>36.630000000000003</v>
      </c>
      <c r="N71" s="60">
        <v>79.5</v>
      </c>
      <c r="O71" s="60">
        <v>0</v>
      </c>
      <c r="P71" s="60">
        <v>0.85</v>
      </c>
      <c r="Q71" s="60">
        <v>218.78</v>
      </c>
      <c r="R71" s="198"/>
      <c r="S71" s="198"/>
      <c r="T71" s="198"/>
      <c r="U71" s="198"/>
    </row>
    <row r="72" spans="1:21" s="12" customFormat="1" x14ac:dyDescent="0.25">
      <c r="A72" s="201" t="s">
        <v>2135</v>
      </c>
      <c r="B72" s="60">
        <v>6.38</v>
      </c>
      <c r="C72" s="60">
        <v>84.35</v>
      </c>
      <c r="D72" s="60">
        <v>51.66</v>
      </c>
      <c r="E72" s="60">
        <v>6.41</v>
      </c>
      <c r="F72" s="60">
        <v>3.75</v>
      </c>
      <c r="G72" s="60">
        <v>60.8</v>
      </c>
      <c r="H72" s="60">
        <v>28.39</v>
      </c>
      <c r="I72" s="60">
        <v>0.41</v>
      </c>
      <c r="J72" s="60">
        <v>0.73</v>
      </c>
      <c r="K72" s="60">
        <v>230.51</v>
      </c>
      <c r="L72" s="60">
        <v>26.5</v>
      </c>
      <c r="M72" s="60">
        <v>37.630000000000003</v>
      </c>
      <c r="N72" s="60">
        <v>62</v>
      </c>
      <c r="O72" s="60">
        <v>0</v>
      </c>
      <c r="P72" s="60">
        <v>0.88</v>
      </c>
      <c r="Q72" s="60">
        <v>225.81</v>
      </c>
      <c r="R72" s="198"/>
      <c r="S72" s="198"/>
      <c r="T72" s="198"/>
      <c r="U72" s="198"/>
    </row>
    <row r="73" spans="1:21" s="12" customFormat="1" x14ac:dyDescent="0.25">
      <c r="A73" s="201" t="s">
        <v>2136</v>
      </c>
      <c r="B73" s="60">
        <v>6.47</v>
      </c>
      <c r="C73" s="60">
        <v>86.62</v>
      </c>
      <c r="D73" s="60">
        <v>52.99</v>
      </c>
      <c r="E73" s="60">
        <v>9.65</v>
      </c>
      <c r="F73" s="60">
        <v>3.48</v>
      </c>
      <c r="G73" s="60">
        <v>78.45</v>
      </c>
      <c r="H73" s="60">
        <v>28.81</v>
      </c>
      <c r="I73" s="60">
        <v>0.41</v>
      </c>
      <c r="J73" s="60">
        <v>0.85</v>
      </c>
      <c r="K73" s="60">
        <v>230.36</v>
      </c>
      <c r="L73" s="60">
        <v>26.13</v>
      </c>
      <c r="M73" s="60">
        <v>39.33</v>
      </c>
      <c r="N73" s="60">
        <v>51.8</v>
      </c>
      <c r="O73" s="60">
        <v>0</v>
      </c>
      <c r="P73" s="60">
        <v>0.89</v>
      </c>
      <c r="Q73" s="60">
        <v>225.61</v>
      </c>
      <c r="R73" s="198"/>
      <c r="S73" s="198"/>
      <c r="T73" s="198"/>
      <c r="U73" s="198"/>
    </row>
    <row r="74" spans="1:21" s="12" customFormat="1" x14ac:dyDescent="0.25">
      <c r="A74" s="201" t="s">
        <v>2137</v>
      </c>
      <c r="B74" s="60">
        <v>6.77</v>
      </c>
      <c r="C74" s="60">
        <v>90.61</v>
      </c>
      <c r="D74" s="60">
        <v>55.44</v>
      </c>
      <c r="E74" s="60">
        <v>8.17</v>
      </c>
      <c r="F74" s="60">
        <v>3.32</v>
      </c>
      <c r="G74" s="60">
        <v>78.45</v>
      </c>
      <c r="H74" s="60">
        <v>28.81</v>
      </c>
      <c r="I74" s="60">
        <v>0.41</v>
      </c>
      <c r="J74" s="60">
        <v>1.17</v>
      </c>
      <c r="K74" s="60">
        <v>230.31</v>
      </c>
      <c r="L74" s="60">
        <v>25.83</v>
      </c>
      <c r="M74" s="60">
        <v>43.96</v>
      </c>
      <c r="N74" s="60">
        <v>43.1</v>
      </c>
      <c r="O74" s="60">
        <v>0</v>
      </c>
      <c r="P74" s="60">
        <v>0.91</v>
      </c>
      <c r="Q74" s="60">
        <v>225.89</v>
      </c>
      <c r="R74" s="198"/>
      <c r="S74" s="198"/>
      <c r="T74" s="198"/>
      <c r="U74" s="198"/>
    </row>
    <row r="75" spans="1:21" s="12" customFormat="1" x14ac:dyDescent="0.25">
      <c r="A75" s="201" t="s">
        <v>2138</v>
      </c>
      <c r="B75" s="60">
        <v>6.17</v>
      </c>
      <c r="C75" s="60">
        <v>90.5</v>
      </c>
      <c r="D75" s="60">
        <v>54.89</v>
      </c>
      <c r="E75" s="60">
        <v>7.2</v>
      </c>
      <c r="F75" s="60">
        <v>2.37</v>
      </c>
      <c r="G75" s="60">
        <v>78.45</v>
      </c>
      <c r="H75" s="60">
        <v>28.81</v>
      </c>
      <c r="I75" s="60">
        <v>0.41</v>
      </c>
      <c r="J75" s="60">
        <v>1.24</v>
      </c>
      <c r="K75" s="60">
        <v>230.13</v>
      </c>
      <c r="L75" s="60">
        <v>24.79</v>
      </c>
      <c r="M75" s="60">
        <v>54.08</v>
      </c>
      <c r="N75" s="60">
        <v>29.6</v>
      </c>
      <c r="O75" s="60">
        <v>0</v>
      </c>
      <c r="P75" s="60">
        <v>0.93</v>
      </c>
      <c r="Q75" s="60">
        <v>223.77</v>
      </c>
      <c r="R75" s="198"/>
      <c r="S75" s="198"/>
      <c r="T75" s="198"/>
      <c r="U75" s="198"/>
    </row>
    <row r="76" spans="1:21" s="12" customFormat="1" x14ac:dyDescent="0.25">
      <c r="A76" s="201" t="s">
        <v>2139</v>
      </c>
      <c r="B76" s="60">
        <v>5.54</v>
      </c>
      <c r="C76" s="60">
        <v>91.95</v>
      </c>
      <c r="D76" s="60">
        <v>55.19</v>
      </c>
      <c r="E76" s="60">
        <v>7.3</v>
      </c>
      <c r="F76" s="60">
        <v>2.21</v>
      </c>
      <c r="G76" s="60">
        <v>80.760000000000005</v>
      </c>
      <c r="H76" s="60">
        <v>29</v>
      </c>
      <c r="I76" s="60">
        <v>0.41</v>
      </c>
      <c r="J76" s="60">
        <v>1.05</v>
      </c>
      <c r="K76" s="60">
        <v>229.93</v>
      </c>
      <c r="L76" s="60">
        <v>24.29</v>
      </c>
      <c r="M76" s="60">
        <v>55.59</v>
      </c>
      <c r="N76" s="60">
        <v>17.7</v>
      </c>
      <c r="O76" s="60">
        <v>0</v>
      </c>
      <c r="P76" s="60">
        <v>0.95</v>
      </c>
      <c r="Q76" s="60">
        <v>219.68</v>
      </c>
      <c r="R76" s="198"/>
      <c r="S76" s="198"/>
      <c r="T76" s="198"/>
      <c r="U76" s="198"/>
    </row>
    <row r="77" spans="1:21" s="12" customFormat="1" x14ac:dyDescent="0.25">
      <c r="A77" s="201" t="s">
        <v>2140</v>
      </c>
      <c r="B77" s="60">
        <v>6.35</v>
      </c>
      <c r="C77" s="60">
        <v>96.31</v>
      </c>
      <c r="D77" s="60">
        <v>58.25</v>
      </c>
      <c r="E77" s="60">
        <v>6.52</v>
      </c>
      <c r="F77" s="60">
        <v>2.37</v>
      </c>
      <c r="G77" s="60">
        <v>100.25</v>
      </c>
      <c r="H77" s="60">
        <v>30.95</v>
      </c>
      <c r="I77" s="60">
        <v>0.41</v>
      </c>
      <c r="J77" s="60">
        <v>0.71</v>
      </c>
      <c r="K77" s="60">
        <v>229.7</v>
      </c>
      <c r="L77" s="60">
        <v>23.9</v>
      </c>
      <c r="M77" s="60">
        <v>56.3</v>
      </c>
      <c r="N77" s="60">
        <v>10.1</v>
      </c>
      <c r="O77" s="60">
        <v>0</v>
      </c>
      <c r="P77" s="60">
        <v>0.98</v>
      </c>
      <c r="Q77" s="60">
        <v>216.83</v>
      </c>
      <c r="R77" s="198"/>
      <c r="S77" s="198"/>
      <c r="T77" s="198"/>
      <c r="U77" s="198"/>
    </row>
    <row r="78" spans="1:21" s="12" customFormat="1" x14ac:dyDescent="0.25">
      <c r="A78" s="201" t="s">
        <v>2141</v>
      </c>
      <c r="B78" s="60">
        <v>8.5399999999999991</v>
      </c>
      <c r="C78" s="60">
        <v>98</v>
      </c>
      <c r="D78" s="60">
        <v>60.94</v>
      </c>
      <c r="E78" s="60">
        <v>6.56</v>
      </c>
      <c r="F78" s="60">
        <v>1.57</v>
      </c>
      <c r="G78" s="60">
        <v>100.25</v>
      </c>
      <c r="H78" s="60">
        <v>30.95</v>
      </c>
      <c r="I78" s="60">
        <v>0.41</v>
      </c>
      <c r="J78" s="60">
        <v>0.74</v>
      </c>
      <c r="K78" s="60">
        <v>229.49</v>
      </c>
      <c r="L78" s="60">
        <v>23.43</v>
      </c>
      <c r="M78" s="60">
        <v>54.07</v>
      </c>
      <c r="N78" s="60">
        <v>5.8</v>
      </c>
      <c r="O78" s="60">
        <v>0</v>
      </c>
      <c r="P78" s="60">
        <v>1.04</v>
      </c>
      <c r="Q78" s="60">
        <v>218.68</v>
      </c>
      <c r="R78" s="198"/>
      <c r="S78" s="198"/>
      <c r="T78" s="198"/>
      <c r="U78" s="198"/>
    </row>
    <row r="79" spans="1:21" s="12" customFormat="1" x14ac:dyDescent="0.25">
      <c r="A79" s="201" t="s">
        <v>2142</v>
      </c>
      <c r="B79" s="60">
        <v>9.77</v>
      </c>
      <c r="C79" s="60">
        <v>109.91</v>
      </c>
      <c r="D79" s="60">
        <v>68.489999999999995</v>
      </c>
      <c r="E79" s="60">
        <v>7.5</v>
      </c>
      <c r="F79" s="60">
        <v>3.35</v>
      </c>
      <c r="G79" s="60">
        <v>100.25</v>
      </c>
      <c r="H79" s="60">
        <v>30.95</v>
      </c>
      <c r="I79" s="60">
        <v>0.41</v>
      </c>
      <c r="J79" s="60">
        <v>1.1000000000000001</v>
      </c>
      <c r="K79" s="60">
        <v>229.34</v>
      </c>
      <c r="L79" s="60">
        <v>23.31</v>
      </c>
      <c r="M79" s="60">
        <v>47.5</v>
      </c>
      <c r="N79" s="60">
        <v>4.3</v>
      </c>
      <c r="O79" s="60">
        <v>0</v>
      </c>
      <c r="P79" s="60">
        <v>1.1599999999999999</v>
      </c>
      <c r="Q79" s="60">
        <v>220.9</v>
      </c>
      <c r="R79" s="198"/>
      <c r="S79" s="198"/>
      <c r="T79" s="198"/>
      <c r="U79" s="198"/>
    </row>
    <row r="80" spans="1:21" s="12" customFormat="1" x14ac:dyDescent="0.25">
      <c r="A80" s="201" t="s">
        <v>2143</v>
      </c>
      <c r="B80" s="60">
        <v>9.1300000000000008</v>
      </c>
      <c r="C80" s="60">
        <v>111.78</v>
      </c>
      <c r="D80" s="60">
        <v>69.010000000000005</v>
      </c>
      <c r="E80" s="60">
        <v>7.98</v>
      </c>
      <c r="F80" s="60">
        <v>4.62</v>
      </c>
      <c r="G80" s="60">
        <v>102.98</v>
      </c>
      <c r="H80" s="60">
        <v>31.1</v>
      </c>
      <c r="I80" s="60">
        <v>0.43</v>
      </c>
      <c r="J80" s="60">
        <v>1.1100000000000001</v>
      </c>
      <c r="K80" s="60">
        <v>229.29</v>
      </c>
      <c r="L80" s="60">
        <v>23.25</v>
      </c>
      <c r="M80" s="60">
        <v>47.56</v>
      </c>
      <c r="N80" s="60">
        <v>4.5</v>
      </c>
      <c r="O80" s="60">
        <v>0</v>
      </c>
      <c r="P80" s="60">
        <v>1.19</v>
      </c>
      <c r="Q80" s="60">
        <v>221.76</v>
      </c>
      <c r="R80" s="198"/>
      <c r="S80" s="198"/>
      <c r="T80" s="198"/>
      <c r="U80" s="198"/>
    </row>
    <row r="81" spans="1:26" s="12" customFormat="1" x14ac:dyDescent="0.25">
      <c r="A81" s="201" t="s">
        <v>2144</v>
      </c>
      <c r="B81" s="60">
        <v>8.3800000000000008</v>
      </c>
      <c r="C81" s="60">
        <v>112.94</v>
      </c>
      <c r="D81" s="60">
        <v>69.05</v>
      </c>
      <c r="E81" s="60">
        <v>8.07</v>
      </c>
      <c r="F81" s="60">
        <v>4.0199999999999996</v>
      </c>
      <c r="G81" s="60">
        <v>125.95</v>
      </c>
      <c r="H81" s="60">
        <v>32.71</v>
      </c>
      <c r="I81" s="60">
        <v>0.44</v>
      </c>
      <c r="J81" s="60">
        <v>0.88</v>
      </c>
      <c r="K81" s="60">
        <v>229.27</v>
      </c>
      <c r="L81" s="60">
        <v>23.03</v>
      </c>
      <c r="M81" s="60">
        <v>48.36</v>
      </c>
      <c r="N81" s="60">
        <v>4.7</v>
      </c>
      <c r="O81" s="60">
        <v>0</v>
      </c>
      <c r="P81" s="60">
        <v>1.24</v>
      </c>
      <c r="Q81" s="60">
        <v>221.79</v>
      </c>
      <c r="R81" s="198"/>
      <c r="S81" s="198"/>
      <c r="T81" s="198"/>
      <c r="U81" s="198"/>
    </row>
    <row r="82" spans="1:26" s="12" customFormat="1" x14ac:dyDescent="0.25">
      <c r="A82" s="201" t="s">
        <v>2145</v>
      </c>
      <c r="B82" s="60">
        <v>8.82</v>
      </c>
      <c r="C82" s="60">
        <v>118.19</v>
      </c>
      <c r="D82" s="60">
        <v>72.3</v>
      </c>
      <c r="E82" s="60">
        <v>8.2100000000000009</v>
      </c>
      <c r="F82" s="60">
        <v>2.95</v>
      </c>
      <c r="G82" s="60">
        <v>125.95</v>
      </c>
      <c r="H82" s="60">
        <v>32.71</v>
      </c>
      <c r="I82" s="60">
        <v>0.45</v>
      </c>
      <c r="J82" s="60">
        <v>0.55000000000000004</v>
      </c>
      <c r="K82" s="60">
        <v>229.02</v>
      </c>
      <c r="L82" s="60">
        <v>22.49</v>
      </c>
      <c r="M82" s="60">
        <v>50.44</v>
      </c>
      <c r="N82" s="60">
        <v>4.9000000000000004</v>
      </c>
      <c r="O82" s="60">
        <v>0</v>
      </c>
      <c r="P82" s="60">
        <v>1.3</v>
      </c>
      <c r="Q82" s="60">
        <v>223.41</v>
      </c>
      <c r="R82" s="198"/>
      <c r="S82" s="198"/>
      <c r="T82" s="198"/>
      <c r="U82" s="198"/>
    </row>
    <row r="83" spans="1:26" s="12" customFormat="1" x14ac:dyDescent="0.25">
      <c r="A83" s="201" t="s">
        <v>2146</v>
      </c>
      <c r="B83" s="60">
        <v>10.130000000000001</v>
      </c>
      <c r="C83" s="60">
        <v>117.12</v>
      </c>
      <c r="D83" s="60">
        <v>72.760000000000005</v>
      </c>
      <c r="E83" s="60">
        <v>7.59</v>
      </c>
      <c r="F83" s="60">
        <v>3.35</v>
      </c>
      <c r="G83" s="60">
        <v>125.95</v>
      </c>
      <c r="H83" s="60">
        <v>32.71</v>
      </c>
      <c r="I83" s="60">
        <v>0.47</v>
      </c>
      <c r="J83" s="60">
        <v>0.57999999999999996</v>
      </c>
      <c r="K83" s="60">
        <v>228.91</v>
      </c>
      <c r="L83" s="60">
        <v>22.14</v>
      </c>
      <c r="M83" s="60">
        <v>51.37</v>
      </c>
      <c r="N83" s="60">
        <v>4.7</v>
      </c>
      <c r="O83" s="60">
        <v>0</v>
      </c>
      <c r="P83" s="60">
        <v>1.38</v>
      </c>
      <c r="Q83" s="60">
        <v>226.66</v>
      </c>
      <c r="R83" s="198"/>
      <c r="S83" s="198"/>
      <c r="T83" s="198"/>
      <c r="U83" s="198"/>
    </row>
    <row r="84" spans="1:26" s="12" customFormat="1" x14ac:dyDescent="0.25">
      <c r="A84" s="201" t="s">
        <v>2147</v>
      </c>
      <c r="B84" s="60">
        <v>9.6999999999999993</v>
      </c>
      <c r="C84" s="60">
        <v>118.52</v>
      </c>
      <c r="D84" s="60">
        <v>73.19</v>
      </c>
      <c r="E84" s="60">
        <v>7.81</v>
      </c>
      <c r="F84" s="60">
        <v>3.21</v>
      </c>
      <c r="G84" s="60">
        <v>128.16999999999999</v>
      </c>
      <c r="H84" s="60">
        <v>33.630000000000003</v>
      </c>
      <c r="I84" s="60">
        <v>0.49</v>
      </c>
      <c r="J84" s="60">
        <v>0.59</v>
      </c>
      <c r="K84" s="60">
        <v>228.8</v>
      </c>
      <c r="L84" s="60">
        <v>21.9</v>
      </c>
      <c r="M84" s="60">
        <v>52.38</v>
      </c>
      <c r="N84" s="60">
        <v>4.5999999999999996</v>
      </c>
      <c r="O84" s="60">
        <v>0</v>
      </c>
      <c r="P84" s="60">
        <v>1.42</v>
      </c>
      <c r="Q84" s="60">
        <v>229.47</v>
      </c>
      <c r="R84" s="198"/>
      <c r="S84" s="198"/>
      <c r="T84" s="198"/>
      <c r="U84" s="198"/>
    </row>
    <row r="85" spans="1:26" s="12" customFormat="1" x14ac:dyDescent="0.25">
      <c r="A85" s="201" t="s">
        <v>2148</v>
      </c>
      <c r="B85" s="60">
        <v>10.18</v>
      </c>
      <c r="C85" s="60">
        <v>121.97</v>
      </c>
      <c r="D85" s="60">
        <v>75.47</v>
      </c>
      <c r="E85" s="60">
        <v>7.92</v>
      </c>
      <c r="F85" s="60">
        <v>2.46</v>
      </c>
      <c r="G85" s="60">
        <v>146.9</v>
      </c>
      <c r="H85" s="60">
        <v>43.11</v>
      </c>
      <c r="I85" s="60">
        <v>0.52</v>
      </c>
      <c r="J85" s="60">
        <v>0.89</v>
      </c>
      <c r="K85" s="60">
        <v>228.7</v>
      </c>
      <c r="L85" s="60">
        <v>21.76</v>
      </c>
      <c r="M85" s="60">
        <v>52.57</v>
      </c>
      <c r="N85" s="60">
        <v>4.2</v>
      </c>
      <c r="O85" s="60">
        <v>0</v>
      </c>
      <c r="P85" s="60">
        <v>1.45</v>
      </c>
      <c r="Q85" s="60">
        <v>232.02</v>
      </c>
      <c r="R85" s="198"/>
      <c r="S85" s="198"/>
      <c r="T85" s="198"/>
      <c r="U85" s="198"/>
    </row>
    <row r="86" spans="1:26" s="12" customFormat="1" x14ac:dyDescent="0.25">
      <c r="A86" s="201" t="s">
        <v>2149</v>
      </c>
      <c r="B86" s="60">
        <v>10.28</v>
      </c>
      <c r="C86" s="60">
        <v>119.98</v>
      </c>
      <c r="D86" s="60">
        <v>74.459999999999994</v>
      </c>
      <c r="E86" s="60">
        <v>8.31</v>
      </c>
      <c r="F86" s="60">
        <v>1.64</v>
      </c>
      <c r="G86" s="60">
        <v>146.9</v>
      </c>
      <c r="H86" s="60">
        <v>43.11</v>
      </c>
      <c r="I86" s="60">
        <v>0.53</v>
      </c>
      <c r="J86" s="60">
        <v>1.46</v>
      </c>
      <c r="K86" s="60">
        <v>228.83</v>
      </c>
      <c r="L86" s="60">
        <v>21.99</v>
      </c>
      <c r="M86" s="60">
        <v>51.1</v>
      </c>
      <c r="N86" s="60">
        <v>4.0999999999999996</v>
      </c>
      <c r="O86" s="60">
        <v>0</v>
      </c>
      <c r="P86" s="60">
        <v>1.54</v>
      </c>
      <c r="Q86" s="60">
        <v>237.45</v>
      </c>
      <c r="R86" s="198"/>
      <c r="S86" s="198"/>
      <c r="T86" s="198"/>
      <c r="U86" s="198"/>
    </row>
    <row r="87" spans="1:26" s="12" customFormat="1" x14ac:dyDescent="0.25">
      <c r="A87" s="201" t="s">
        <v>2150</v>
      </c>
      <c r="B87" s="60">
        <v>9.49</v>
      </c>
      <c r="C87" s="60">
        <v>118.57</v>
      </c>
      <c r="D87" s="60">
        <v>73.05</v>
      </c>
      <c r="E87" s="60">
        <v>7.66</v>
      </c>
      <c r="F87" s="60">
        <v>1.8</v>
      </c>
      <c r="G87" s="60">
        <v>146.9</v>
      </c>
      <c r="H87" s="60">
        <v>43.11</v>
      </c>
      <c r="I87" s="60">
        <v>0.55000000000000004</v>
      </c>
      <c r="J87" s="60">
        <v>1.1499999999999999</v>
      </c>
      <c r="K87" s="60">
        <v>228.85</v>
      </c>
      <c r="L87" s="60">
        <v>21.86</v>
      </c>
      <c r="M87" s="60">
        <v>50.65</v>
      </c>
      <c r="N87" s="60">
        <v>4.7</v>
      </c>
      <c r="O87" s="60">
        <v>0</v>
      </c>
      <c r="P87" s="60">
        <v>1.56</v>
      </c>
      <c r="Q87" s="60">
        <v>232.76</v>
      </c>
      <c r="R87" s="198"/>
      <c r="S87" s="198"/>
      <c r="T87" s="198"/>
      <c r="U87" s="198"/>
    </row>
    <row r="88" spans="1:26" s="12" customFormat="1" x14ac:dyDescent="0.25">
      <c r="A88" s="201" t="s">
        <v>2151</v>
      </c>
      <c r="B88" s="60">
        <v>8.5500000000000007</v>
      </c>
      <c r="C88" s="60">
        <v>116.71</v>
      </c>
      <c r="D88" s="60">
        <v>71.27</v>
      </c>
      <c r="E88" s="60">
        <v>7.26</v>
      </c>
      <c r="F88" s="60">
        <v>2.2599999999999998</v>
      </c>
      <c r="G88" s="60">
        <v>146.72999999999999</v>
      </c>
      <c r="H88" s="60">
        <v>43.26</v>
      </c>
      <c r="I88" s="60">
        <v>0.56000000000000005</v>
      </c>
      <c r="J88" s="60">
        <v>0.92</v>
      </c>
      <c r="K88" s="60">
        <v>228.7</v>
      </c>
      <c r="L88" s="60">
        <v>21.57</v>
      </c>
      <c r="M88" s="60">
        <v>51.49</v>
      </c>
      <c r="N88" s="60">
        <v>4.7</v>
      </c>
      <c r="O88" s="60">
        <v>0</v>
      </c>
      <c r="P88" s="60">
        <v>1.56</v>
      </c>
      <c r="Q88" s="60">
        <v>225.31</v>
      </c>
      <c r="R88" s="198"/>
      <c r="S88" s="198"/>
      <c r="T88" s="198"/>
      <c r="U88" s="198"/>
    </row>
    <row r="89" spans="1:26" s="12" customFormat="1" x14ac:dyDescent="0.25">
      <c r="A89" s="201" t="s">
        <v>2152</v>
      </c>
      <c r="B89" s="60">
        <v>8.57</v>
      </c>
      <c r="C89" s="60">
        <v>116.45</v>
      </c>
      <c r="D89" s="60">
        <v>71.14</v>
      </c>
      <c r="E89" s="60">
        <v>7.87</v>
      </c>
      <c r="F89" s="60">
        <v>1.73</v>
      </c>
      <c r="G89" s="60">
        <v>145.33000000000001</v>
      </c>
      <c r="H89" s="60">
        <v>44.83</v>
      </c>
      <c r="I89" s="60">
        <v>0.55000000000000004</v>
      </c>
      <c r="J89" s="60">
        <v>0.79</v>
      </c>
      <c r="K89" s="60">
        <v>228.6</v>
      </c>
      <c r="L89" s="60">
        <v>21.32</v>
      </c>
      <c r="M89" s="60">
        <v>52.64</v>
      </c>
      <c r="N89" s="60">
        <v>4.5999999999999996</v>
      </c>
      <c r="O89" s="60">
        <v>0</v>
      </c>
      <c r="P89" s="60">
        <v>1.61</v>
      </c>
      <c r="Q89" s="60">
        <v>220.98</v>
      </c>
      <c r="R89" s="198"/>
      <c r="S89" s="198"/>
      <c r="T89" s="198"/>
      <c r="U89" s="198"/>
    </row>
    <row r="90" spans="1:26" s="12" customFormat="1" x14ac:dyDescent="0.25">
      <c r="A90" s="201" t="s">
        <v>2153</v>
      </c>
      <c r="B90" s="60">
        <v>9.89</v>
      </c>
      <c r="C90" s="60">
        <v>119.66</v>
      </c>
      <c r="D90" s="60">
        <v>73.97</v>
      </c>
      <c r="E90" s="60">
        <v>8.1300000000000008</v>
      </c>
      <c r="F90" s="60">
        <v>1.19</v>
      </c>
      <c r="G90" s="60">
        <v>145.33000000000001</v>
      </c>
      <c r="H90" s="60">
        <v>44.83</v>
      </c>
      <c r="I90" s="60">
        <v>0.54</v>
      </c>
      <c r="J90" s="60">
        <v>0.33</v>
      </c>
      <c r="K90" s="60">
        <v>228.32</v>
      </c>
      <c r="L90" s="60">
        <v>21</v>
      </c>
      <c r="M90" s="60">
        <v>53.4</v>
      </c>
      <c r="N90" s="60">
        <v>5.0999999999999996</v>
      </c>
      <c r="O90" s="60">
        <v>0</v>
      </c>
      <c r="P90" s="60">
        <v>1.65</v>
      </c>
      <c r="Q90" s="60">
        <v>220.76</v>
      </c>
      <c r="R90" s="198"/>
      <c r="S90" s="198"/>
      <c r="T90" s="198"/>
      <c r="U90" s="198"/>
    </row>
    <row r="91" spans="1:26" s="12" customFormat="1" x14ac:dyDescent="0.25">
      <c r="A91" s="201" t="s">
        <v>2154</v>
      </c>
      <c r="B91" s="60">
        <v>11.65</v>
      </c>
      <c r="C91" s="60">
        <v>121.19</v>
      </c>
      <c r="D91" s="60">
        <v>76.23</v>
      </c>
      <c r="E91" s="60">
        <v>7.69</v>
      </c>
      <c r="F91" s="60">
        <v>1.1200000000000001</v>
      </c>
      <c r="G91" s="60">
        <v>145.33000000000001</v>
      </c>
      <c r="H91" s="60">
        <v>44.83</v>
      </c>
      <c r="I91" s="60">
        <v>0.55000000000000004</v>
      </c>
      <c r="J91" s="60">
        <v>0.48</v>
      </c>
      <c r="K91" s="60">
        <v>228.24</v>
      </c>
      <c r="L91" s="60">
        <v>20.66</v>
      </c>
      <c r="M91" s="60">
        <v>54.28</v>
      </c>
      <c r="N91" s="60">
        <v>4.5</v>
      </c>
      <c r="O91" s="60">
        <v>0</v>
      </c>
      <c r="P91" s="60">
        <v>1.72</v>
      </c>
      <c r="Q91" s="60">
        <v>223.02</v>
      </c>
      <c r="R91" s="198"/>
      <c r="S91" s="198"/>
      <c r="T91" s="198"/>
      <c r="U91" s="198"/>
    </row>
    <row r="92" spans="1:26" s="12" customFormat="1" x14ac:dyDescent="0.25">
      <c r="A92" s="201" t="s">
        <v>2155</v>
      </c>
      <c r="B92" s="60">
        <v>13.48</v>
      </c>
      <c r="C92" s="60">
        <v>121.89</v>
      </c>
      <c r="D92" s="60">
        <v>78.08</v>
      </c>
      <c r="E92" s="60">
        <v>8.1999999999999993</v>
      </c>
      <c r="F92" s="60">
        <v>1.03</v>
      </c>
      <c r="G92" s="60">
        <v>150.76</v>
      </c>
      <c r="H92" s="60">
        <v>45.62</v>
      </c>
      <c r="I92" s="60">
        <v>0.56999999999999995</v>
      </c>
      <c r="J92" s="60">
        <v>0.31</v>
      </c>
      <c r="K92" s="60">
        <v>227.91</v>
      </c>
      <c r="L92" s="60">
        <v>20.51</v>
      </c>
      <c r="M92" s="60">
        <v>53.91</v>
      </c>
      <c r="N92" s="60">
        <v>4.7</v>
      </c>
      <c r="O92" s="60">
        <v>0</v>
      </c>
      <c r="P92" s="60">
        <v>1.79</v>
      </c>
      <c r="Q92" s="60">
        <v>224.83</v>
      </c>
      <c r="R92" s="198"/>
      <c r="S92" s="198"/>
      <c r="T92" s="198"/>
      <c r="U92" s="198"/>
    </row>
    <row r="93" spans="1:26" s="12" customFormat="1" x14ac:dyDescent="0.25">
      <c r="A93" s="201" t="s">
        <v>2156</v>
      </c>
      <c r="B93" s="60">
        <v>14.24</v>
      </c>
      <c r="C93" s="60">
        <v>120.53</v>
      </c>
      <c r="D93" s="60">
        <v>77.94</v>
      </c>
      <c r="E93" s="60">
        <v>8.16</v>
      </c>
      <c r="F93" s="60">
        <v>1.2</v>
      </c>
      <c r="G93" s="60">
        <v>196.58</v>
      </c>
      <c r="H93" s="60">
        <v>53.73</v>
      </c>
      <c r="I93" s="60">
        <v>0.56999999999999995</v>
      </c>
      <c r="J93" s="60">
        <v>0.35</v>
      </c>
      <c r="K93" s="60">
        <v>227.66</v>
      </c>
      <c r="L93" s="60">
        <v>20.39</v>
      </c>
      <c r="M93" s="60">
        <v>53.96</v>
      </c>
      <c r="N93" s="60">
        <v>4.5999999999999996</v>
      </c>
      <c r="O93" s="60">
        <v>0</v>
      </c>
      <c r="P93" s="60">
        <v>1.84</v>
      </c>
      <c r="Q93" s="60">
        <v>224.98</v>
      </c>
      <c r="R93" s="198"/>
      <c r="S93" s="198"/>
      <c r="T93" s="198"/>
      <c r="U93" s="198"/>
    </row>
    <row r="94" spans="1:26" s="12" customFormat="1" x14ac:dyDescent="0.25">
      <c r="A94" s="201" t="s">
        <v>2157</v>
      </c>
      <c r="B94" s="60">
        <v>14.6</v>
      </c>
      <c r="C94" s="60">
        <v>120.21</v>
      </c>
      <c r="D94" s="60">
        <v>78.040000000000006</v>
      </c>
      <c r="E94" s="60">
        <v>8.2200000000000006</v>
      </c>
      <c r="F94" s="60">
        <v>0.91</v>
      </c>
      <c r="G94" s="60">
        <v>196.58</v>
      </c>
      <c r="H94" s="60">
        <v>53.73</v>
      </c>
      <c r="I94" s="60">
        <v>0.57999999999999996</v>
      </c>
      <c r="J94" s="60">
        <v>0.28999999999999998</v>
      </c>
      <c r="K94" s="60">
        <v>227.61</v>
      </c>
      <c r="L94" s="60">
        <v>20.18</v>
      </c>
      <c r="M94" s="60">
        <v>55.39</v>
      </c>
      <c r="N94" s="60">
        <v>4.8</v>
      </c>
      <c r="O94" s="60">
        <v>0</v>
      </c>
      <c r="P94" s="60">
        <v>1.88</v>
      </c>
      <c r="Q94" s="60">
        <v>228.97</v>
      </c>
      <c r="R94" s="198"/>
      <c r="S94" s="198"/>
      <c r="T94" s="198"/>
      <c r="U94" s="198"/>
    </row>
    <row r="95" spans="1:26" s="12" customFormat="1" x14ac:dyDescent="0.25">
      <c r="A95" s="201" t="s">
        <v>2158</v>
      </c>
      <c r="B95" s="60">
        <v>15.28</v>
      </c>
      <c r="C95" s="60">
        <v>121.64</v>
      </c>
      <c r="D95" s="60">
        <v>79.39</v>
      </c>
      <c r="E95" s="60">
        <v>8.52</v>
      </c>
      <c r="F95" s="60">
        <v>0.88</v>
      </c>
      <c r="G95" s="60">
        <v>196.58</v>
      </c>
      <c r="H95" s="60">
        <v>53.73</v>
      </c>
      <c r="I95" s="60">
        <v>0.6</v>
      </c>
      <c r="J95" s="60">
        <v>0.27</v>
      </c>
      <c r="K95" s="60">
        <v>227.47</v>
      </c>
      <c r="L95" s="60">
        <v>19.89</v>
      </c>
      <c r="M95" s="60">
        <v>57.34</v>
      </c>
      <c r="N95" s="60">
        <v>4.9000000000000004</v>
      </c>
      <c r="O95" s="60">
        <v>0</v>
      </c>
      <c r="P95" s="60">
        <v>1.92</v>
      </c>
      <c r="Q95" s="60">
        <v>232.71</v>
      </c>
      <c r="R95" s="198"/>
      <c r="S95" s="198"/>
      <c r="T95" s="198"/>
      <c r="U95" s="198"/>
    </row>
    <row r="96" spans="1:26" s="12" customFormat="1" x14ac:dyDescent="0.25">
      <c r="A96" s="201" t="s">
        <v>2159</v>
      </c>
      <c r="B96" s="60">
        <v>16.309999999999999</v>
      </c>
      <c r="C96" s="60">
        <v>121.49</v>
      </c>
      <c r="D96" s="60">
        <v>80.13</v>
      </c>
      <c r="E96" s="60">
        <v>8.5</v>
      </c>
      <c r="F96" s="60">
        <v>1.01</v>
      </c>
      <c r="G96" s="60">
        <v>196.3</v>
      </c>
      <c r="H96" s="60">
        <v>53.89</v>
      </c>
      <c r="I96" s="60">
        <v>0.61</v>
      </c>
      <c r="J96" s="60">
        <v>0.4</v>
      </c>
      <c r="K96" s="60">
        <v>227.42</v>
      </c>
      <c r="L96" s="60">
        <v>19.89</v>
      </c>
      <c r="M96" s="60">
        <v>57.86</v>
      </c>
      <c r="N96" s="60">
        <v>4.5999999999999996</v>
      </c>
      <c r="O96" s="60">
        <v>0</v>
      </c>
      <c r="P96" s="60">
        <v>1.98</v>
      </c>
      <c r="Q96" s="60">
        <v>236.01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2160</v>
      </c>
      <c r="B97" s="60">
        <v>17.510000000000002</v>
      </c>
      <c r="C97" s="60">
        <v>120.92</v>
      </c>
      <c r="D97" s="60">
        <v>80.77</v>
      </c>
      <c r="E97" s="60">
        <v>7.9</v>
      </c>
      <c r="F97" s="60">
        <v>1.1499999999999999</v>
      </c>
      <c r="G97" s="60">
        <v>194</v>
      </c>
      <c r="H97" s="60">
        <v>55.53</v>
      </c>
      <c r="I97" s="60">
        <v>0.63</v>
      </c>
      <c r="J97" s="60">
        <v>0.5</v>
      </c>
      <c r="K97" s="60">
        <v>227.45</v>
      </c>
      <c r="L97" s="60">
        <v>19.829999999999998</v>
      </c>
      <c r="M97" s="60">
        <v>56.9</v>
      </c>
      <c r="N97" s="60">
        <v>4.0999999999999996</v>
      </c>
      <c r="O97" s="60">
        <v>0</v>
      </c>
      <c r="P97" s="60">
        <v>2.02</v>
      </c>
      <c r="Q97" s="60">
        <v>238.59</v>
      </c>
      <c r="R97" s="198"/>
      <c r="S97" s="198"/>
      <c r="T97" s="198"/>
      <c r="U97" s="198"/>
    </row>
    <row r="98" spans="1:33" s="12" customFormat="1" x14ac:dyDescent="0.25">
      <c r="A98" s="201" t="s">
        <v>2161</v>
      </c>
      <c r="B98" s="60">
        <v>17.64</v>
      </c>
      <c r="C98" s="60">
        <v>120.04</v>
      </c>
      <c r="D98" s="60">
        <v>80.400000000000006</v>
      </c>
      <c r="E98" s="60">
        <v>7.83</v>
      </c>
      <c r="F98" s="60">
        <v>1.1000000000000001</v>
      </c>
      <c r="G98" s="60">
        <v>194</v>
      </c>
      <c r="H98" s="60">
        <v>55.53</v>
      </c>
      <c r="I98" s="60">
        <v>0.65</v>
      </c>
      <c r="J98" s="60">
        <v>0.38</v>
      </c>
      <c r="K98" s="60">
        <v>227.67</v>
      </c>
      <c r="L98" s="60">
        <v>19.77</v>
      </c>
      <c r="M98" s="60">
        <v>57.41</v>
      </c>
      <c r="N98" s="60">
        <v>4.5</v>
      </c>
      <c r="O98" s="60">
        <v>0</v>
      </c>
      <c r="P98" s="60">
        <v>2.02</v>
      </c>
      <c r="Q98" s="60">
        <v>239.96</v>
      </c>
      <c r="R98" s="198"/>
      <c r="S98" s="198"/>
      <c r="T98" s="198"/>
      <c r="U98" s="198"/>
    </row>
    <row r="99" spans="1:33" s="12" customFormat="1" x14ac:dyDescent="0.25">
      <c r="A99" s="201" t="s">
        <v>2162</v>
      </c>
      <c r="B99" s="60">
        <v>17.95</v>
      </c>
      <c r="C99" s="60">
        <v>119.41</v>
      </c>
      <c r="D99" s="60">
        <v>80.3</v>
      </c>
      <c r="E99" s="60">
        <v>7.48</v>
      </c>
      <c r="F99" s="60">
        <v>1.1000000000000001</v>
      </c>
      <c r="G99" s="60">
        <v>194</v>
      </c>
      <c r="H99" s="60">
        <v>55.53</v>
      </c>
      <c r="I99" s="60">
        <v>0.67</v>
      </c>
      <c r="J99" s="60">
        <v>0.22</v>
      </c>
      <c r="K99" s="60">
        <v>227.47</v>
      </c>
      <c r="L99" s="60">
        <v>19.46</v>
      </c>
      <c r="M99" s="60">
        <v>58.26</v>
      </c>
      <c r="N99" s="60">
        <v>4.8</v>
      </c>
      <c r="O99" s="60">
        <v>0</v>
      </c>
      <c r="P99" s="60">
        <v>2.0099999999999998</v>
      </c>
      <c r="Q99" s="60">
        <v>241.32</v>
      </c>
      <c r="R99" s="198"/>
      <c r="S99" s="198"/>
      <c r="T99" s="198"/>
      <c r="U99" s="198"/>
    </row>
    <row r="100" spans="1:33" s="12" customFormat="1" x14ac:dyDescent="0.25">
      <c r="A100" s="201" t="s">
        <v>2163</v>
      </c>
      <c r="B100" s="60">
        <v>18.45</v>
      </c>
      <c r="C100" s="60">
        <v>119.06</v>
      </c>
      <c r="D100" s="60">
        <v>80.5</v>
      </c>
      <c r="E100" s="60">
        <v>7.24</v>
      </c>
      <c r="F100" s="60">
        <v>0.87</v>
      </c>
      <c r="G100" s="60">
        <v>191.32</v>
      </c>
      <c r="H100" s="60">
        <v>55.39</v>
      </c>
      <c r="I100" s="60">
        <v>0.68</v>
      </c>
      <c r="J100" s="60">
        <v>0.33</v>
      </c>
      <c r="K100" s="60">
        <v>227.43</v>
      </c>
      <c r="L100" s="60">
        <v>19.21</v>
      </c>
      <c r="M100" s="60">
        <v>59.43</v>
      </c>
      <c r="N100" s="60">
        <v>4.5</v>
      </c>
      <c r="O100" s="60">
        <v>0</v>
      </c>
      <c r="P100" s="60">
        <v>2.0099999999999998</v>
      </c>
      <c r="Q100" s="60">
        <v>245.32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2164</v>
      </c>
      <c r="B101" s="60">
        <v>19.41</v>
      </c>
      <c r="C101" s="60">
        <v>118.58</v>
      </c>
      <c r="D101" s="60">
        <v>81.010000000000005</v>
      </c>
      <c r="E101" s="60">
        <v>6.25</v>
      </c>
      <c r="F101" s="60">
        <v>0.99</v>
      </c>
      <c r="G101" s="60">
        <v>168.68</v>
      </c>
      <c r="H101" s="60">
        <v>53.88</v>
      </c>
      <c r="I101" s="60">
        <v>0.7</v>
      </c>
      <c r="J101" s="60">
        <v>0.35</v>
      </c>
      <c r="K101" s="60">
        <v>227.28</v>
      </c>
      <c r="L101" s="60">
        <v>19.2</v>
      </c>
      <c r="M101" s="60">
        <v>57.82</v>
      </c>
      <c r="N101" s="60">
        <v>4.3</v>
      </c>
      <c r="O101" s="60">
        <v>0</v>
      </c>
      <c r="P101" s="60">
        <v>1.99</v>
      </c>
      <c r="Q101" s="60">
        <v>245.72</v>
      </c>
      <c r="R101" s="198"/>
      <c r="S101" s="198"/>
      <c r="T101" s="198"/>
      <c r="U101" s="198"/>
    </row>
    <row r="102" spans="1:33" s="12" customFormat="1" x14ac:dyDescent="0.25">
      <c r="A102" s="201" t="s">
        <v>2165</v>
      </c>
      <c r="B102" s="60">
        <v>19.79</v>
      </c>
      <c r="C102" s="60">
        <v>118.18</v>
      </c>
      <c r="D102" s="60">
        <v>81.09</v>
      </c>
      <c r="E102" s="60">
        <v>6.37</v>
      </c>
      <c r="F102" s="60">
        <v>0.79</v>
      </c>
      <c r="G102" s="60">
        <v>168.68</v>
      </c>
      <c r="H102" s="60">
        <v>53.88</v>
      </c>
      <c r="I102" s="60">
        <v>0.7</v>
      </c>
      <c r="J102" s="60">
        <v>0.56000000000000005</v>
      </c>
      <c r="K102" s="60">
        <v>227.52</v>
      </c>
      <c r="L102" s="60">
        <v>19.100000000000001</v>
      </c>
      <c r="M102" s="60">
        <v>58.54</v>
      </c>
      <c r="N102" s="60">
        <v>4.0999999999999996</v>
      </c>
      <c r="O102" s="60">
        <v>0</v>
      </c>
      <c r="P102" s="60">
        <v>1.95</v>
      </c>
      <c r="Q102" s="60">
        <v>245.57</v>
      </c>
      <c r="R102" s="198"/>
      <c r="S102" s="198"/>
      <c r="T102" s="198"/>
      <c r="U102" s="198"/>
    </row>
    <row r="103" spans="1:33" s="12" customFormat="1" x14ac:dyDescent="0.25">
      <c r="A103" s="201" t="s">
        <v>2166</v>
      </c>
      <c r="B103" s="60">
        <v>19.02</v>
      </c>
      <c r="C103" s="60">
        <v>116.67</v>
      </c>
      <c r="D103" s="60">
        <v>79.64</v>
      </c>
      <c r="E103" s="60">
        <v>7.13</v>
      </c>
      <c r="F103" s="60">
        <v>1.24</v>
      </c>
      <c r="G103" s="60">
        <v>168.68</v>
      </c>
      <c r="H103" s="60">
        <v>53.88</v>
      </c>
      <c r="I103" s="60">
        <v>0.69</v>
      </c>
      <c r="J103" s="60">
        <v>0.61</v>
      </c>
      <c r="K103" s="60">
        <v>227.62</v>
      </c>
      <c r="L103" s="60">
        <v>19.11</v>
      </c>
      <c r="M103" s="60">
        <v>58.33</v>
      </c>
      <c r="N103" s="60">
        <v>4.2</v>
      </c>
      <c r="O103" s="60">
        <v>0</v>
      </c>
      <c r="P103" s="60">
        <v>1.89</v>
      </c>
      <c r="Q103" s="60">
        <v>242.68</v>
      </c>
      <c r="R103" s="198"/>
      <c r="S103" s="198"/>
      <c r="T103" s="198"/>
      <c r="U103" s="198"/>
    </row>
    <row r="104" spans="1:33" s="12" customFormat="1" x14ac:dyDescent="0.25">
      <c r="A104" s="201" t="s">
        <v>2167</v>
      </c>
      <c r="B104" s="60">
        <v>17.73</v>
      </c>
      <c r="C104" s="60">
        <v>115.01</v>
      </c>
      <c r="D104" s="60">
        <v>77.69</v>
      </c>
      <c r="E104" s="60">
        <v>3.93</v>
      </c>
      <c r="F104" s="60">
        <v>1.32</v>
      </c>
      <c r="G104" s="60">
        <v>164.28</v>
      </c>
      <c r="H104" s="60">
        <v>53.5</v>
      </c>
      <c r="I104" s="60">
        <v>0.69</v>
      </c>
      <c r="J104" s="60">
        <v>0.8</v>
      </c>
      <c r="K104" s="60">
        <v>227.61</v>
      </c>
      <c r="L104" s="60">
        <v>19.03</v>
      </c>
      <c r="M104" s="60">
        <v>58.69</v>
      </c>
      <c r="N104" s="60">
        <v>4.3</v>
      </c>
      <c r="O104" s="60">
        <v>0</v>
      </c>
      <c r="P104" s="60">
        <v>1.82</v>
      </c>
      <c r="Q104" s="60">
        <v>237.82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4.3</v>
      </c>
      <c r="C106" s="67">
        <f>MIN(C9:C104)</f>
        <v>80.77</v>
      </c>
      <c r="D106" s="67">
        <f t="shared" ref="D106:Q106" si="0">MIN(D9:D104)</f>
        <v>48.32</v>
      </c>
      <c r="E106" s="67">
        <f t="shared" si="0"/>
        <v>3.37</v>
      </c>
      <c r="F106" s="67">
        <f t="shared" si="0"/>
        <v>0.53</v>
      </c>
      <c r="G106" s="67">
        <f t="shared" si="0"/>
        <v>58.7</v>
      </c>
      <c r="H106" s="67">
        <f t="shared" si="0"/>
        <v>28.35</v>
      </c>
      <c r="I106" s="67">
        <f t="shared" si="0"/>
        <v>0.39</v>
      </c>
      <c r="J106" s="67">
        <f t="shared" si="0"/>
        <v>0.11</v>
      </c>
      <c r="K106" s="67">
        <f t="shared" si="0"/>
        <v>225.95</v>
      </c>
      <c r="L106" s="67">
        <f t="shared" si="0"/>
        <v>15.47</v>
      </c>
      <c r="M106" s="67">
        <f t="shared" si="0"/>
        <v>30.69</v>
      </c>
      <c r="N106" s="67">
        <f t="shared" si="0"/>
        <v>2.8</v>
      </c>
      <c r="O106" s="67">
        <f t="shared" si="0"/>
        <v>0</v>
      </c>
      <c r="P106" s="67">
        <f t="shared" si="0"/>
        <v>0.84</v>
      </c>
      <c r="Q106" s="67">
        <f t="shared" si="0"/>
        <v>202.61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124.17</v>
      </c>
      <c r="C107" s="66">
        <f t="shared" ref="C107:Q107" si="1">MAX(C9:C104)</f>
        <v>204.86</v>
      </c>
      <c r="D107" s="66">
        <f t="shared" si="1"/>
        <v>212.63</v>
      </c>
      <c r="E107" s="66">
        <f t="shared" si="1"/>
        <v>14.97</v>
      </c>
      <c r="F107" s="66">
        <f t="shared" si="1"/>
        <v>5.66</v>
      </c>
      <c r="G107" s="66">
        <f t="shared" si="1"/>
        <v>196.58</v>
      </c>
      <c r="H107" s="66">
        <f t="shared" si="1"/>
        <v>55.53</v>
      </c>
      <c r="I107" s="66">
        <f t="shared" si="1"/>
        <v>1.28</v>
      </c>
      <c r="J107" s="66">
        <f t="shared" si="1"/>
        <v>1.58</v>
      </c>
      <c r="K107" s="66">
        <f t="shared" si="1"/>
        <v>233.31</v>
      </c>
      <c r="L107" s="66">
        <f t="shared" si="1"/>
        <v>30.28</v>
      </c>
      <c r="M107" s="66">
        <f t="shared" si="1"/>
        <v>77.12</v>
      </c>
      <c r="N107" s="66">
        <f t="shared" si="1"/>
        <v>582.5</v>
      </c>
      <c r="O107" s="66">
        <f t="shared" si="1"/>
        <v>0</v>
      </c>
      <c r="P107" s="66">
        <f t="shared" si="1"/>
        <v>3.04</v>
      </c>
      <c r="Q107" s="66">
        <f t="shared" si="1"/>
        <v>351.55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29.064583333333331</v>
      </c>
      <c r="C108" s="67">
        <f t="shared" ref="C108:Q108" si="2">AVERAGE(C9:C104)</f>
        <v>115.92989583333338</v>
      </c>
      <c r="D108" s="67">
        <f t="shared" si="2"/>
        <v>87.287187499999973</v>
      </c>
      <c r="E108" s="67">
        <f t="shared" si="2"/>
        <v>7.5991666666666662</v>
      </c>
      <c r="F108" s="67">
        <f t="shared" si="2"/>
        <v>1.6267708333333326</v>
      </c>
      <c r="G108" s="67">
        <f t="shared" si="2"/>
        <v>127.30093749999999</v>
      </c>
      <c r="H108" s="67">
        <f t="shared" si="2"/>
        <v>42.908541666666686</v>
      </c>
      <c r="I108" s="67">
        <f t="shared" si="2"/>
        <v>0.59041666666666626</v>
      </c>
      <c r="J108" s="67">
        <f t="shared" si="2"/>
        <v>0.6926041666666668</v>
      </c>
      <c r="K108" s="67">
        <f t="shared" si="2"/>
        <v>228.8926041666667</v>
      </c>
      <c r="L108" s="67">
        <f t="shared" si="2"/>
        <v>21.4178125</v>
      </c>
      <c r="M108" s="67">
        <f t="shared" si="2"/>
        <v>54.785104166666649</v>
      </c>
      <c r="N108" s="67">
        <f t="shared" si="2"/>
        <v>152.06354166666668</v>
      </c>
      <c r="O108" s="67">
        <f t="shared" si="2"/>
        <v>0</v>
      </c>
      <c r="P108" s="67">
        <f t="shared" si="2"/>
        <v>1.5157291666666663</v>
      </c>
      <c r="Q108" s="67">
        <f t="shared" si="2"/>
        <v>233.45604166666666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27.076754214121216</v>
      </c>
      <c r="C109" s="67">
        <f t="shared" ref="C109:Q109" si="3">STDEV(C9:C104)</f>
        <v>23.6889777831394</v>
      </c>
      <c r="D109" s="67">
        <f t="shared" si="3"/>
        <v>33.921504239955482</v>
      </c>
      <c r="E109" s="67">
        <f t="shared" si="3"/>
        <v>1.3508559989223818</v>
      </c>
      <c r="F109" s="67">
        <f t="shared" si="3"/>
        <v>1.1827189858801646</v>
      </c>
      <c r="G109" s="67">
        <f t="shared" si="3"/>
        <v>43.725363976773572</v>
      </c>
      <c r="H109" s="67">
        <f t="shared" si="3"/>
        <v>8.7297199544117028</v>
      </c>
      <c r="I109" s="67">
        <f t="shared" si="3"/>
        <v>0.20501048325784343</v>
      </c>
      <c r="J109" s="67">
        <f t="shared" si="3"/>
        <v>0.35385469748164206</v>
      </c>
      <c r="K109" s="67">
        <f t="shared" si="3"/>
        <v>2.1763461628642711</v>
      </c>
      <c r="L109" s="67">
        <f t="shared" si="3"/>
        <v>4.3037171701057568</v>
      </c>
      <c r="M109" s="67">
        <f t="shared" si="3"/>
        <v>13.316743793142367</v>
      </c>
      <c r="N109" s="67">
        <f t="shared" si="3"/>
        <v>215.27062190832783</v>
      </c>
      <c r="O109" s="67">
        <f t="shared" si="3"/>
        <v>0</v>
      </c>
      <c r="P109" s="67">
        <f t="shared" si="3"/>
        <v>0.48972762524675523</v>
      </c>
      <c r="Q109" s="67">
        <f t="shared" si="3"/>
        <v>30.694178000299154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>COUNT(E9:E104)</f>
        <v>96</v>
      </c>
      <c r="F110" s="66">
        <f t="shared" ref="F110:Q110" si="4">COUNT(F9:F104)</f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2071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2168</v>
      </c>
      <c r="B9" s="60">
        <v>16.329999999999998</v>
      </c>
      <c r="C9" s="60">
        <v>113.64</v>
      </c>
      <c r="D9" s="60">
        <v>75.81</v>
      </c>
      <c r="E9" s="60">
        <v>6.72</v>
      </c>
      <c r="F9" s="60">
        <v>1.32</v>
      </c>
      <c r="G9" s="60">
        <v>120.87</v>
      </c>
      <c r="H9" s="60">
        <v>49.53</v>
      </c>
      <c r="I9" s="60">
        <v>0.66</v>
      </c>
      <c r="J9" s="60">
        <v>0.63</v>
      </c>
      <c r="K9" s="60">
        <v>227.59</v>
      </c>
      <c r="L9" s="60">
        <v>18.850000000000001</v>
      </c>
      <c r="M9" s="60">
        <v>60.23</v>
      </c>
      <c r="N9" s="60">
        <v>4.5</v>
      </c>
      <c r="O9" s="60">
        <v>0</v>
      </c>
      <c r="P9" s="60">
        <v>1.76</v>
      </c>
      <c r="Q9" s="60">
        <v>232.29</v>
      </c>
      <c r="R9" s="198"/>
      <c r="S9" s="198"/>
      <c r="T9" s="198"/>
      <c r="U9" s="198"/>
    </row>
    <row r="10" spans="1:21" s="12" customFormat="1" x14ac:dyDescent="0.25">
      <c r="A10" s="201" t="s">
        <v>2169</v>
      </c>
      <c r="B10" s="60">
        <v>14.92</v>
      </c>
      <c r="C10" s="60">
        <v>110.67</v>
      </c>
      <c r="D10" s="60">
        <v>73.040000000000006</v>
      </c>
      <c r="E10" s="60">
        <v>6.86</v>
      </c>
      <c r="F10" s="60">
        <v>1.1200000000000001</v>
      </c>
      <c r="G10" s="60">
        <v>120.87</v>
      </c>
      <c r="H10" s="60">
        <v>49.53</v>
      </c>
      <c r="I10" s="60">
        <v>0.63</v>
      </c>
      <c r="J10" s="60">
        <v>0.59</v>
      </c>
      <c r="K10" s="60">
        <v>227.5</v>
      </c>
      <c r="L10" s="60">
        <v>18.739999999999998</v>
      </c>
      <c r="M10" s="60">
        <v>61.3</v>
      </c>
      <c r="N10" s="60">
        <v>4.5</v>
      </c>
      <c r="O10" s="60">
        <v>0</v>
      </c>
      <c r="P10" s="60">
        <v>1.7</v>
      </c>
      <c r="Q10" s="60">
        <v>229.33</v>
      </c>
      <c r="R10" s="198"/>
      <c r="S10" s="198"/>
      <c r="T10" s="198"/>
      <c r="U10" s="198"/>
    </row>
    <row r="11" spans="1:21" s="12" customFormat="1" x14ac:dyDescent="0.25">
      <c r="A11" s="201" t="s">
        <v>2170</v>
      </c>
      <c r="B11" s="60">
        <v>13.47</v>
      </c>
      <c r="C11" s="60">
        <v>108.54</v>
      </c>
      <c r="D11" s="60">
        <v>70.7</v>
      </c>
      <c r="E11" s="60">
        <v>7.16</v>
      </c>
      <c r="F11" s="60">
        <v>1.21</v>
      </c>
      <c r="G11" s="60">
        <v>120.87</v>
      </c>
      <c r="H11" s="60">
        <v>49.53</v>
      </c>
      <c r="I11" s="60">
        <v>0.62</v>
      </c>
      <c r="J11" s="60">
        <v>0.74</v>
      </c>
      <c r="K11" s="60">
        <v>227.56</v>
      </c>
      <c r="L11" s="60">
        <v>18.670000000000002</v>
      </c>
      <c r="M11" s="60">
        <v>62.28</v>
      </c>
      <c r="N11" s="60">
        <v>4.5</v>
      </c>
      <c r="O11" s="60">
        <v>0</v>
      </c>
      <c r="P11" s="60">
        <v>1.64</v>
      </c>
      <c r="Q11" s="60">
        <v>222.83</v>
      </c>
      <c r="R11" s="198"/>
      <c r="S11" s="198"/>
      <c r="T11" s="198"/>
      <c r="U11" s="198"/>
    </row>
    <row r="12" spans="1:21" s="12" customFormat="1" x14ac:dyDescent="0.25">
      <c r="A12" s="201" t="s">
        <v>2171</v>
      </c>
      <c r="B12" s="60">
        <v>12</v>
      </c>
      <c r="C12" s="60">
        <v>107.07</v>
      </c>
      <c r="D12" s="60">
        <v>68.709999999999994</v>
      </c>
      <c r="E12" s="60">
        <v>7.41</v>
      </c>
      <c r="F12" s="60">
        <v>1.1000000000000001</v>
      </c>
      <c r="G12" s="60">
        <v>121.2</v>
      </c>
      <c r="H12" s="60">
        <v>49.26</v>
      </c>
      <c r="I12" s="60">
        <v>0.61</v>
      </c>
      <c r="J12" s="60">
        <v>0.46</v>
      </c>
      <c r="K12" s="60">
        <v>227.51</v>
      </c>
      <c r="L12" s="60">
        <v>18.170000000000002</v>
      </c>
      <c r="M12" s="60">
        <v>65.790000000000006</v>
      </c>
      <c r="N12" s="60">
        <v>4.8</v>
      </c>
      <c r="O12" s="60">
        <v>0</v>
      </c>
      <c r="P12" s="60">
        <v>1.6</v>
      </c>
      <c r="Q12" s="60">
        <v>220.18</v>
      </c>
      <c r="R12" s="198"/>
      <c r="S12" s="198"/>
      <c r="T12" s="198"/>
      <c r="U12" s="198"/>
    </row>
    <row r="13" spans="1:21" s="12" customFormat="1" x14ac:dyDescent="0.25">
      <c r="A13" s="201" t="s">
        <v>2172</v>
      </c>
      <c r="B13" s="60">
        <v>11.48</v>
      </c>
      <c r="C13" s="60">
        <v>105.69</v>
      </c>
      <c r="D13" s="60">
        <v>67.53</v>
      </c>
      <c r="E13" s="60">
        <v>7.67</v>
      </c>
      <c r="F13" s="60">
        <v>0.96</v>
      </c>
      <c r="G13" s="60">
        <v>124</v>
      </c>
      <c r="H13" s="60">
        <v>46.49</v>
      </c>
      <c r="I13" s="60">
        <v>0.6</v>
      </c>
      <c r="J13" s="60">
        <v>0.62</v>
      </c>
      <c r="K13" s="60">
        <v>227.35</v>
      </c>
      <c r="L13" s="60">
        <v>17.52</v>
      </c>
      <c r="M13" s="60">
        <v>70.33</v>
      </c>
      <c r="N13" s="60">
        <v>4.8</v>
      </c>
      <c r="O13" s="60">
        <v>0</v>
      </c>
      <c r="P13" s="60">
        <v>1.46</v>
      </c>
      <c r="Q13" s="60">
        <v>219.31</v>
      </c>
      <c r="R13" s="198"/>
      <c r="S13" s="198"/>
      <c r="T13" s="198"/>
      <c r="U13" s="198"/>
    </row>
    <row r="14" spans="1:21" s="12" customFormat="1" x14ac:dyDescent="0.25">
      <c r="A14" s="201" t="s">
        <v>2173</v>
      </c>
      <c r="B14" s="60">
        <v>11.28</v>
      </c>
      <c r="C14" s="60">
        <v>103.75</v>
      </c>
      <c r="D14" s="60">
        <v>66.3</v>
      </c>
      <c r="E14" s="60">
        <v>7.95</v>
      </c>
      <c r="F14" s="60">
        <v>0.92</v>
      </c>
      <c r="G14" s="60">
        <v>124</v>
      </c>
      <c r="H14" s="60">
        <v>46.49</v>
      </c>
      <c r="I14" s="60">
        <v>0.57999999999999996</v>
      </c>
      <c r="J14" s="60">
        <v>0.37</v>
      </c>
      <c r="K14" s="60">
        <v>227.22</v>
      </c>
      <c r="L14" s="60">
        <v>17.27</v>
      </c>
      <c r="M14" s="60">
        <v>70.73</v>
      </c>
      <c r="N14" s="60">
        <v>4.9000000000000004</v>
      </c>
      <c r="O14" s="60">
        <v>0</v>
      </c>
      <c r="P14" s="60">
        <v>1.55</v>
      </c>
      <c r="Q14" s="60">
        <v>218.7</v>
      </c>
      <c r="R14" s="198"/>
      <c r="S14" s="198"/>
      <c r="T14" s="198"/>
      <c r="U14" s="198"/>
    </row>
    <row r="15" spans="1:21" s="12" customFormat="1" x14ac:dyDescent="0.25">
      <c r="A15" s="201" t="s">
        <v>2174</v>
      </c>
      <c r="B15" s="60">
        <v>11.2</v>
      </c>
      <c r="C15" s="60">
        <v>101.43</v>
      </c>
      <c r="D15" s="60">
        <v>64.959999999999994</v>
      </c>
      <c r="E15" s="60">
        <v>7.83</v>
      </c>
      <c r="F15" s="60">
        <v>0.77</v>
      </c>
      <c r="G15" s="60">
        <v>124</v>
      </c>
      <c r="H15" s="60">
        <v>46.49</v>
      </c>
      <c r="I15" s="60">
        <v>0.59</v>
      </c>
      <c r="J15" s="60">
        <v>0.17</v>
      </c>
      <c r="K15" s="60">
        <v>226.86</v>
      </c>
      <c r="L15" s="60">
        <v>16.899999999999999</v>
      </c>
      <c r="M15" s="60">
        <v>72.27</v>
      </c>
      <c r="N15" s="60">
        <v>5</v>
      </c>
      <c r="O15" s="60">
        <v>0</v>
      </c>
      <c r="P15" s="60">
        <v>1.54</v>
      </c>
      <c r="Q15" s="60">
        <v>216.79</v>
      </c>
      <c r="R15" s="198"/>
      <c r="S15" s="198"/>
      <c r="T15" s="198"/>
      <c r="U15" s="198"/>
    </row>
    <row r="16" spans="1:21" s="12" customFormat="1" x14ac:dyDescent="0.25">
      <c r="A16" s="201" t="s">
        <v>2175</v>
      </c>
      <c r="B16" s="60">
        <v>11.1</v>
      </c>
      <c r="C16" s="60">
        <v>99.04</v>
      </c>
      <c r="D16" s="60">
        <v>63.56</v>
      </c>
      <c r="E16" s="60">
        <v>7.99</v>
      </c>
      <c r="F16" s="60">
        <v>0.8</v>
      </c>
      <c r="G16" s="60">
        <v>126.54</v>
      </c>
      <c r="H16" s="60">
        <v>46.83</v>
      </c>
      <c r="I16" s="60">
        <v>0.57999999999999996</v>
      </c>
      <c r="J16" s="60">
        <v>0.22</v>
      </c>
      <c r="K16" s="60">
        <v>226.58</v>
      </c>
      <c r="L16" s="60">
        <v>16.43</v>
      </c>
      <c r="M16" s="60">
        <v>75.17</v>
      </c>
      <c r="N16" s="60">
        <v>4.8</v>
      </c>
      <c r="O16" s="60">
        <v>0</v>
      </c>
      <c r="P16" s="60">
        <v>1.53</v>
      </c>
      <c r="Q16" s="60">
        <v>215.34</v>
      </c>
      <c r="R16" s="198"/>
      <c r="S16" s="198"/>
      <c r="T16" s="198"/>
      <c r="U16" s="198"/>
    </row>
    <row r="17" spans="1:21" s="12" customFormat="1" x14ac:dyDescent="0.25">
      <c r="A17" s="201" t="s">
        <v>2176</v>
      </c>
      <c r="B17" s="60">
        <v>11.02</v>
      </c>
      <c r="C17" s="60">
        <v>97.15</v>
      </c>
      <c r="D17" s="60">
        <v>62.45</v>
      </c>
      <c r="E17" s="60">
        <v>7.9</v>
      </c>
      <c r="F17" s="60">
        <v>0.77</v>
      </c>
      <c r="G17" s="60">
        <v>147.97999999999999</v>
      </c>
      <c r="H17" s="60">
        <v>50.37</v>
      </c>
      <c r="I17" s="60">
        <v>0.57999999999999996</v>
      </c>
      <c r="J17" s="60">
        <v>0.35</v>
      </c>
      <c r="K17" s="60">
        <v>226.49</v>
      </c>
      <c r="L17" s="60">
        <v>16.71</v>
      </c>
      <c r="M17" s="60">
        <v>73.569999999999993</v>
      </c>
      <c r="N17" s="60">
        <v>4.2</v>
      </c>
      <c r="O17" s="60">
        <v>0</v>
      </c>
      <c r="P17" s="60">
        <v>1.53</v>
      </c>
      <c r="Q17" s="60">
        <v>213.41</v>
      </c>
      <c r="R17" s="198"/>
      <c r="S17" s="198"/>
      <c r="T17" s="198"/>
      <c r="U17" s="198"/>
    </row>
    <row r="18" spans="1:21" s="12" customFormat="1" x14ac:dyDescent="0.25">
      <c r="A18" s="201" t="s">
        <v>2177</v>
      </c>
      <c r="B18" s="60">
        <v>11.02</v>
      </c>
      <c r="C18" s="60">
        <v>95.42</v>
      </c>
      <c r="D18" s="60">
        <v>61.49</v>
      </c>
      <c r="E18" s="60">
        <v>7.78</v>
      </c>
      <c r="F18" s="60">
        <v>0.71</v>
      </c>
      <c r="G18" s="60">
        <v>147.97999999999999</v>
      </c>
      <c r="H18" s="60">
        <v>50.37</v>
      </c>
      <c r="I18" s="60">
        <v>0.56000000000000005</v>
      </c>
      <c r="J18" s="60">
        <v>0.45</v>
      </c>
      <c r="K18" s="60">
        <v>226.43</v>
      </c>
      <c r="L18" s="60">
        <v>16.34</v>
      </c>
      <c r="M18" s="60">
        <v>77.05</v>
      </c>
      <c r="N18" s="60">
        <v>4.5</v>
      </c>
      <c r="O18" s="60">
        <v>0</v>
      </c>
      <c r="P18" s="60">
        <v>1.53</v>
      </c>
      <c r="Q18" s="60">
        <v>214.5</v>
      </c>
      <c r="R18" s="198"/>
      <c r="S18" s="198"/>
      <c r="T18" s="198"/>
      <c r="U18" s="198"/>
    </row>
    <row r="19" spans="1:21" s="12" customFormat="1" x14ac:dyDescent="0.25">
      <c r="A19" s="201" t="s">
        <v>2178</v>
      </c>
      <c r="B19" s="60">
        <v>11.29</v>
      </c>
      <c r="C19" s="60">
        <v>93.48</v>
      </c>
      <c r="D19" s="60">
        <v>60.64</v>
      </c>
      <c r="E19" s="60">
        <v>6.45</v>
      </c>
      <c r="F19" s="60">
        <v>0.66</v>
      </c>
      <c r="G19" s="60">
        <v>147.97999999999999</v>
      </c>
      <c r="H19" s="60">
        <v>50.37</v>
      </c>
      <c r="I19" s="60">
        <v>0.56000000000000005</v>
      </c>
      <c r="J19" s="60">
        <v>0.21</v>
      </c>
      <c r="K19" s="60">
        <v>226.36</v>
      </c>
      <c r="L19" s="60">
        <v>15.71</v>
      </c>
      <c r="M19" s="60">
        <v>80.14</v>
      </c>
      <c r="N19" s="60">
        <v>5.0999999999999996</v>
      </c>
      <c r="O19" s="60">
        <v>0</v>
      </c>
      <c r="P19" s="60">
        <v>1.51</v>
      </c>
      <c r="Q19" s="60">
        <v>217.64</v>
      </c>
      <c r="R19" s="198"/>
      <c r="S19" s="198"/>
      <c r="T19" s="198"/>
      <c r="U19" s="198"/>
    </row>
    <row r="20" spans="1:21" s="12" customFormat="1" x14ac:dyDescent="0.25">
      <c r="A20" s="201" t="s">
        <v>2179</v>
      </c>
      <c r="B20" s="60">
        <v>11.85</v>
      </c>
      <c r="C20" s="60">
        <v>91.26</v>
      </c>
      <c r="D20" s="60">
        <v>59.86</v>
      </c>
      <c r="E20" s="60">
        <v>5.98</v>
      </c>
      <c r="F20" s="60">
        <v>0.65</v>
      </c>
      <c r="G20" s="60">
        <v>148.63999999999999</v>
      </c>
      <c r="H20" s="60">
        <v>50.55</v>
      </c>
      <c r="I20" s="60">
        <v>0.55000000000000004</v>
      </c>
      <c r="J20" s="60">
        <v>0.2</v>
      </c>
      <c r="K20" s="60">
        <v>226.15</v>
      </c>
      <c r="L20" s="60">
        <v>15.5</v>
      </c>
      <c r="M20" s="60">
        <v>80.52</v>
      </c>
      <c r="N20" s="60">
        <v>4.8</v>
      </c>
      <c r="O20" s="60">
        <v>0</v>
      </c>
      <c r="P20" s="60">
        <v>1.51</v>
      </c>
      <c r="Q20" s="60">
        <v>216.01</v>
      </c>
      <c r="R20" s="198"/>
      <c r="S20" s="198"/>
      <c r="T20" s="198"/>
      <c r="U20" s="198"/>
    </row>
    <row r="21" spans="1:21" s="12" customFormat="1" x14ac:dyDescent="0.25">
      <c r="A21" s="201" t="s">
        <v>2180</v>
      </c>
      <c r="B21" s="60">
        <v>12.27</v>
      </c>
      <c r="C21" s="60">
        <v>89.16</v>
      </c>
      <c r="D21" s="60">
        <v>59.04</v>
      </c>
      <c r="E21" s="60">
        <v>6.05</v>
      </c>
      <c r="F21" s="60">
        <v>0.65</v>
      </c>
      <c r="G21" s="60">
        <v>154.18</v>
      </c>
      <c r="H21" s="60">
        <v>52.39</v>
      </c>
      <c r="I21" s="60">
        <v>0.54</v>
      </c>
      <c r="J21" s="60">
        <v>0.16</v>
      </c>
      <c r="K21" s="60">
        <v>226.03</v>
      </c>
      <c r="L21" s="60">
        <v>15.12</v>
      </c>
      <c r="M21" s="60">
        <v>82.23</v>
      </c>
      <c r="N21" s="60">
        <v>4.7</v>
      </c>
      <c r="O21" s="60">
        <v>0</v>
      </c>
      <c r="P21" s="60">
        <v>1.48</v>
      </c>
      <c r="Q21" s="60">
        <v>213.08</v>
      </c>
      <c r="R21" s="198"/>
      <c r="S21" s="198"/>
      <c r="T21" s="198"/>
      <c r="U21" s="198"/>
    </row>
    <row r="22" spans="1:21" s="12" customFormat="1" x14ac:dyDescent="0.25">
      <c r="A22" s="201" t="s">
        <v>2181</v>
      </c>
      <c r="B22" s="60">
        <v>12.51</v>
      </c>
      <c r="C22" s="60">
        <v>87.14</v>
      </c>
      <c r="D22" s="60">
        <v>58.12</v>
      </c>
      <c r="E22" s="60">
        <v>5.95</v>
      </c>
      <c r="F22" s="60">
        <v>0.74</v>
      </c>
      <c r="G22" s="60">
        <v>154.18</v>
      </c>
      <c r="H22" s="60">
        <v>52.39</v>
      </c>
      <c r="I22" s="60">
        <v>0.54</v>
      </c>
      <c r="J22" s="60">
        <v>0.22</v>
      </c>
      <c r="K22" s="60">
        <v>226.06</v>
      </c>
      <c r="L22" s="60">
        <v>14.89</v>
      </c>
      <c r="M22" s="60">
        <v>84.61</v>
      </c>
      <c r="N22" s="60">
        <v>4.5999999999999996</v>
      </c>
      <c r="O22" s="60">
        <v>0</v>
      </c>
      <c r="P22" s="60">
        <v>1.46</v>
      </c>
      <c r="Q22" s="60">
        <v>212.09</v>
      </c>
      <c r="R22" s="198"/>
      <c r="S22" s="198"/>
      <c r="T22" s="198"/>
      <c r="U22" s="198"/>
    </row>
    <row r="23" spans="1:21" s="12" customFormat="1" x14ac:dyDescent="0.25">
      <c r="A23" s="201" t="s">
        <v>2182</v>
      </c>
      <c r="B23" s="60">
        <v>12.76</v>
      </c>
      <c r="C23" s="60">
        <v>85.87</v>
      </c>
      <c r="D23" s="60">
        <v>57.63</v>
      </c>
      <c r="E23" s="60">
        <v>5.98</v>
      </c>
      <c r="F23" s="60">
        <v>0.8</v>
      </c>
      <c r="G23" s="60">
        <v>154.18</v>
      </c>
      <c r="H23" s="60">
        <v>52.39</v>
      </c>
      <c r="I23" s="60">
        <v>0.53</v>
      </c>
      <c r="J23" s="60">
        <v>0.31</v>
      </c>
      <c r="K23" s="60">
        <v>225.87</v>
      </c>
      <c r="L23" s="60">
        <v>14.83</v>
      </c>
      <c r="M23" s="60">
        <v>84.02</v>
      </c>
      <c r="N23" s="60">
        <v>4.2</v>
      </c>
      <c r="O23" s="60">
        <v>0</v>
      </c>
      <c r="P23" s="60">
        <v>1.43</v>
      </c>
      <c r="Q23" s="60">
        <v>210.89</v>
      </c>
      <c r="R23" s="198"/>
      <c r="S23" s="198"/>
      <c r="T23" s="198"/>
      <c r="U23" s="198"/>
    </row>
    <row r="24" spans="1:21" s="12" customFormat="1" x14ac:dyDescent="0.25">
      <c r="A24" s="201" t="s">
        <v>2183</v>
      </c>
      <c r="B24" s="60">
        <v>13.51</v>
      </c>
      <c r="C24" s="60">
        <v>85.93</v>
      </c>
      <c r="D24" s="60">
        <v>58.26</v>
      </c>
      <c r="E24" s="60">
        <v>3.49</v>
      </c>
      <c r="F24" s="60">
        <v>0.75</v>
      </c>
      <c r="G24" s="60">
        <v>153.07</v>
      </c>
      <c r="H24" s="60">
        <v>52.5</v>
      </c>
      <c r="I24" s="60">
        <v>0.52</v>
      </c>
      <c r="J24" s="60">
        <v>0.15</v>
      </c>
      <c r="K24" s="60">
        <v>225.98</v>
      </c>
      <c r="L24" s="60">
        <v>14.79</v>
      </c>
      <c r="M24" s="60">
        <v>82.84</v>
      </c>
      <c r="N24" s="60">
        <v>4.7</v>
      </c>
      <c r="O24" s="60">
        <v>0</v>
      </c>
      <c r="P24" s="60">
        <v>1.41</v>
      </c>
      <c r="Q24" s="60">
        <v>211.2</v>
      </c>
      <c r="R24" s="198"/>
      <c r="S24" s="198"/>
      <c r="T24" s="198"/>
      <c r="U24" s="198"/>
    </row>
    <row r="25" spans="1:21" s="12" customFormat="1" x14ac:dyDescent="0.25">
      <c r="A25" s="201" t="s">
        <v>2184</v>
      </c>
      <c r="B25" s="60">
        <v>14.01</v>
      </c>
      <c r="C25" s="60">
        <v>86.16</v>
      </c>
      <c r="D25" s="60">
        <v>58.78</v>
      </c>
      <c r="E25" s="60">
        <v>6.32</v>
      </c>
      <c r="F25" s="60">
        <v>0.79</v>
      </c>
      <c r="G25" s="60">
        <v>143.72</v>
      </c>
      <c r="H25" s="60">
        <v>53.6</v>
      </c>
      <c r="I25" s="60">
        <v>0.51</v>
      </c>
      <c r="J25" s="60">
        <v>0.13</v>
      </c>
      <c r="K25" s="60">
        <v>225.93</v>
      </c>
      <c r="L25" s="60">
        <v>14.4</v>
      </c>
      <c r="M25" s="60">
        <v>85.08</v>
      </c>
      <c r="N25" s="60">
        <v>4.9000000000000004</v>
      </c>
      <c r="O25" s="60">
        <v>0</v>
      </c>
      <c r="P25" s="60">
        <v>1.4</v>
      </c>
      <c r="Q25" s="60">
        <v>208.3</v>
      </c>
      <c r="R25" s="198"/>
      <c r="S25" s="198"/>
      <c r="T25" s="198"/>
      <c r="U25" s="198"/>
    </row>
    <row r="26" spans="1:21" s="12" customFormat="1" x14ac:dyDescent="0.25">
      <c r="A26" s="201" t="s">
        <v>2185</v>
      </c>
      <c r="B26" s="60">
        <v>14.12</v>
      </c>
      <c r="C26" s="60">
        <v>86.52</v>
      </c>
      <c r="D26" s="60">
        <v>59.07</v>
      </c>
      <c r="E26" s="60">
        <v>6.6</v>
      </c>
      <c r="F26" s="60">
        <v>0.83</v>
      </c>
      <c r="G26" s="60">
        <v>143.72</v>
      </c>
      <c r="H26" s="60">
        <v>53.6</v>
      </c>
      <c r="I26" s="60">
        <v>0.51</v>
      </c>
      <c r="J26" s="60">
        <v>0.16</v>
      </c>
      <c r="K26" s="60">
        <v>225.85</v>
      </c>
      <c r="L26" s="60">
        <v>14.29</v>
      </c>
      <c r="M26" s="60">
        <v>85.78</v>
      </c>
      <c r="N26" s="60">
        <v>4.7</v>
      </c>
      <c r="O26" s="60">
        <v>0</v>
      </c>
      <c r="P26" s="60">
        <v>1.37</v>
      </c>
      <c r="Q26" s="60">
        <v>206.9</v>
      </c>
      <c r="R26" s="198"/>
      <c r="S26" s="198"/>
      <c r="T26" s="198"/>
      <c r="U26" s="198"/>
    </row>
    <row r="27" spans="1:21" s="12" customFormat="1" x14ac:dyDescent="0.25">
      <c r="A27" s="201" t="s">
        <v>2186</v>
      </c>
      <c r="B27" s="60">
        <v>14.61</v>
      </c>
      <c r="C27" s="60">
        <v>86.94</v>
      </c>
      <c r="D27" s="60">
        <v>59.7</v>
      </c>
      <c r="E27" s="60">
        <v>6.24</v>
      </c>
      <c r="F27" s="60">
        <v>0.62</v>
      </c>
      <c r="G27" s="60">
        <v>143.72</v>
      </c>
      <c r="H27" s="60">
        <v>53.6</v>
      </c>
      <c r="I27" s="60">
        <v>0.5</v>
      </c>
      <c r="J27" s="60">
        <v>0.14000000000000001</v>
      </c>
      <c r="K27" s="60">
        <v>225.8</v>
      </c>
      <c r="L27" s="60">
        <v>14.16</v>
      </c>
      <c r="M27" s="60">
        <v>86.08</v>
      </c>
      <c r="N27" s="60">
        <v>4.7</v>
      </c>
      <c r="O27" s="60">
        <v>0</v>
      </c>
      <c r="P27" s="60">
        <v>1.35</v>
      </c>
      <c r="Q27" s="60">
        <v>205.17</v>
      </c>
      <c r="R27" s="198"/>
      <c r="S27" s="198"/>
      <c r="T27" s="198"/>
      <c r="U27" s="198"/>
    </row>
    <row r="28" spans="1:21" s="12" customFormat="1" x14ac:dyDescent="0.25">
      <c r="A28" s="201" t="s">
        <v>2187</v>
      </c>
      <c r="B28" s="60">
        <v>14.92</v>
      </c>
      <c r="C28" s="60">
        <v>87.05</v>
      </c>
      <c r="D28" s="60">
        <v>60.01</v>
      </c>
      <c r="E28" s="60">
        <v>6.16</v>
      </c>
      <c r="F28" s="60">
        <v>0.63</v>
      </c>
      <c r="G28" s="60">
        <v>144.29</v>
      </c>
      <c r="H28" s="60">
        <v>53.56</v>
      </c>
      <c r="I28" s="60">
        <v>0.51</v>
      </c>
      <c r="J28" s="60">
        <v>0.17</v>
      </c>
      <c r="K28" s="60">
        <v>225.75</v>
      </c>
      <c r="L28" s="60">
        <v>14.18</v>
      </c>
      <c r="M28" s="60">
        <v>85.49</v>
      </c>
      <c r="N28" s="60">
        <v>4.5999999999999996</v>
      </c>
      <c r="O28" s="60">
        <v>0</v>
      </c>
      <c r="P28" s="60">
        <v>1.32</v>
      </c>
      <c r="Q28" s="60">
        <v>203.68</v>
      </c>
      <c r="R28" s="198"/>
      <c r="S28" s="198"/>
      <c r="T28" s="198"/>
      <c r="U28" s="198"/>
    </row>
    <row r="29" spans="1:21" s="12" customFormat="1" x14ac:dyDescent="0.25">
      <c r="A29" s="201" t="s">
        <v>2188</v>
      </c>
      <c r="B29" s="60">
        <v>15.01</v>
      </c>
      <c r="C29" s="60">
        <v>87.35</v>
      </c>
      <c r="D29" s="60">
        <v>60.24</v>
      </c>
      <c r="E29" s="60">
        <v>6.66</v>
      </c>
      <c r="F29" s="60">
        <v>0.61</v>
      </c>
      <c r="G29" s="60">
        <v>148.96</v>
      </c>
      <c r="H29" s="60">
        <v>53.16</v>
      </c>
      <c r="I29" s="60">
        <v>0.5</v>
      </c>
      <c r="J29" s="60">
        <v>0.13</v>
      </c>
      <c r="K29" s="60">
        <v>225.77</v>
      </c>
      <c r="L29" s="60">
        <v>14.11</v>
      </c>
      <c r="M29" s="60">
        <v>86.04</v>
      </c>
      <c r="N29" s="60">
        <v>4.7</v>
      </c>
      <c r="O29" s="60">
        <v>0</v>
      </c>
      <c r="P29" s="60">
        <v>1.31</v>
      </c>
      <c r="Q29" s="60">
        <v>201.91</v>
      </c>
      <c r="R29" s="198"/>
      <c r="S29" s="198"/>
      <c r="T29" s="198"/>
      <c r="U29" s="198"/>
    </row>
    <row r="30" spans="1:21" s="12" customFormat="1" x14ac:dyDescent="0.25">
      <c r="A30" s="201" t="s">
        <v>2189</v>
      </c>
      <c r="B30" s="60">
        <v>17.04</v>
      </c>
      <c r="C30" s="60">
        <v>89.34</v>
      </c>
      <c r="D30" s="60">
        <v>62.97</v>
      </c>
      <c r="E30" s="60">
        <v>6.6</v>
      </c>
      <c r="F30" s="60">
        <v>0.49</v>
      </c>
      <c r="G30" s="60">
        <v>148.96</v>
      </c>
      <c r="H30" s="60">
        <v>53.16</v>
      </c>
      <c r="I30" s="60">
        <v>0.5</v>
      </c>
      <c r="J30" s="60">
        <v>0.14000000000000001</v>
      </c>
      <c r="K30" s="60">
        <v>225.71</v>
      </c>
      <c r="L30" s="60">
        <v>13.9</v>
      </c>
      <c r="M30" s="60">
        <v>89.3</v>
      </c>
      <c r="N30" s="60">
        <v>4.7</v>
      </c>
      <c r="O30" s="60">
        <v>0</v>
      </c>
      <c r="P30" s="60">
        <v>1.31</v>
      </c>
      <c r="Q30" s="60">
        <v>202.26</v>
      </c>
      <c r="R30" s="198"/>
      <c r="S30" s="198"/>
      <c r="T30" s="198"/>
      <c r="U30" s="198"/>
    </row>
    <row r="31" spans="1:21" s="12" customFormat="1" x14ac:dyDescent="0.25">
      <c r="A31" s="201" t="s">
        <v>2190</v>
      </c>
      <c r="B31" s="60">
        <v>22.63</v>
      </c>
      <c r="C31" s="60">
        <v>94.87</v>
      </c>
      <c r="D31" s="60">
        <v>70.5</v>
      </c>
      <c r="E31" s="60">
        <v>6.73</v>
      </c>
      <c r="F31" s="60">
        <v>0.21</v>
      </c>
      <c r="G31" s="60">
        <v>148.96</v>
      </c>
      <c r="H31" s="60">
        <v>53.16</v>
      </c>
      <c r="I31" s="60">
        <v>0.5</v>
      </c>
      <c r="J31" s="60">
        <v>0.14000000000000001</v>
      </c>
      <c r="K31" s="60">
        <v>225.71</v>
      </c>
      <c r="L31" s="60">
        <v>13.87</v>
      </c>
      <c r="M31" s="60">
        <v>89.27</v>
      </c>
      <c r="N31" s="60">
        <v>4.7</v>
      </c>
      <c r="O31" s="60">
        <v>0</v>
      </c>
      <c r="P31" s="60">
        <v>1.32</v>
      </c>
      <c r="Q31" s="60">
        <v>207.67</v>
      </c>
      <c r="R31" s="198"/>
      <c r="S31" s="198"/>
      <c r="T31" s="198"/>
      <c r="U31" s="198"/>
    </row>
    <row r="32" spans="1:21" s="12" customFormat="1" x14ac:dyDescent="0.25">
      <c r="A32" s="201" t="s">
        <v>2191</v>
      </c>
      <c r="B32" s="60">
        <v>26.84</v>
      </c>
      <c r="C32" s="60">
        <v>99.01</v>
      </c>
      <c r="D32" s="60">
        <v>76.17</v>
      </c>
      <c r="E32" s="60">
        <v>6.48</v>
      </c>
      <c r="F32" s="60">
        <v>0.64</v>
      </c>
      <c r="G32" s="60">
        <v>153.58000000000001</v>
      </c>
      <c r="H32" s="60">
        <v>53.7</v>
      </c>
      <c r="I32" s="60">
        <v>0.49</v>
      </c>
      <c r="J32" s="60">
        <v>0.33</v>
      </c>
      <c r="K32" s="60">
        <v>225.57</v>
      </c>
      <c r="L32" s="60">
        <v>14.13</v>
      </c>
      <c r="M32" s="60">
        <v>88.19</v>
      </c>
      <c r="N32" s="60">
        <v>4.0999999999999996</v>
      </c>
      <c r="O32" s="60">
        <v>0</v>
      </c>
      <c r="P32" s="60">
        <v>1.33</v>
      </c>
      <c r="Q32" s="60">
        <v>211.24</v>
      </c>
      <c r="R32" s="198"/>
      <c r="S32" s="198"/>
      <c r="T32" s="198"/>
      <c r="U32" s="198"/>
    </row>
    <row r="33" spans="1:21" s="12" customFormat="1" x14ac:dyDescent="0.25">
      <c r="A33" s="201" t="s">
        <v>2192</v>
      </c>
      <c r="B33" s="60">
        <v>28.72</v>
      </c>
      <c r="C33" s="60">
        <v>100.1</v>
      </c>
      <c r="D33" s="60">
        <v>78.27</v>
      </c>
      <c r="E33" s="60">
        <v>6.25</v>
      </c>
      <c r="F33" s="60">
        <v>0.56000000000000005</v>
      </c>
      <c r="G33" s="60">
        <v>193.87</v>
      </c>
      <c r="H33" s="60">
        <v>59.23</v>
      </c>
      <c r="I33" s="60">
        <v>0.5</v>
      </c>
      <c r="J33" s="60">
        <v>0.24</v>
      </c>
      <c r="K33" s="60">
        <v>225.76</v>
      </c>
      <c r="L33" s="60">
        <v>14.55</v>
      </c>
      <c r="M33" s="60">
        <v>85.96</v>
      </c>
      <c r="N33" s="60">
        <v>5.9</v>
      </c>
      <c r="O33" s="60">
        <v>0</v>
      </c>
      <c r="P33" s="60">
        <v>1.32</v>
      </c>
      <c r="Q33" s="60">
        <v>215.21</v>
      </c>
      <c r="R33" s="198"/>
      <c r="S33" s="198"/>
      <c r="T33" s="198"/>
      <c r="U33" s="198"/>
    </row>
    <row r="34" spans="1:21" s="12" customFormat="1" x14ac:dyDescent="0.25">
      <c r="A34" s="201" t="s">
        <v>2193</v>
      </c>
      <c r="B34" s="60">
        <v>33.340000000000003</v>
      </c>
      <c r="C34" s="60">
        <v>103.42</v>
      </c>
      <c r="D34" s="60">
        <v>83.81</v>
      </c>
      <c r="E34" s="60">
        <v>5.74</v>
      </c>
      <c r="F34" s="60">
        <v>0.54</v>
      </c>
      <c r="G34" s="60">
        <v>193.87</v>
      </c>
      <c r="H34" s="60">
        <v>59.23</v>
      </c>
      <c r="I34" s="60">
        <v>0.5</v>
      </c>
      <c r="J34" s="60">
        <v>0.16</v>
      </c>
      <c r="K34" s="60">
        <v>225.85</v>
      </c>
      <c r="L34" s="60">
        <v>13.98</v>
      </c>
      <c r="M34" s="60">
        <v>90.74</v>
      </c>
      <c r="N34" s="60">
        <v>13.1</v>
      </c>
      <c r="O34" s="60">
        <v>0</v>
      </c>
      <c r="P34" s="60">
        <v>1.37</v>
      </c>
      <c r="Q34" s="60">
        <v>219.69</v>
      </c>
      <c r="R34" s="198"/>
      <c r="S34" s="198"/>
      <c r="T34" s="198"/>
      <c r="U34" s="198"/>
    </row>
    <row r="35" spans="1:21" s="12" customFormat="1" x14ac:dyDescent="0.25">
      <c r="A35" s="201" t="s">
        <v>2194</v>
      </c>
      <c r="B35" s="60">
        <v>39.549999999999997</v>
      </c>
      <c r="C35" s="60">
        <v>108.19</v>
      </c>
      <c r="D35" s="60">
        <v>91.42</v>
      </c>
      <c r="E35" s="60">
        <v>6.04</v>
      </c>
      <c r="F35" s="60">
        <v>0.6</v>
      </c>
      <c r="G35" s="60">
        <v>193.87</v>
      </c>
      <c r="H35" s="60">
        <v>59.23</v>
      </c>
      <c r="I35" s="60">
        <v>0.5</v>
      </c>
      <c r="J35" s="60">
        <v>0.23</v>
      </c>
      <c r="K35" s="60">
        <v>225.82</v>
      </c>
      <c r="L35" s="60">
        <v>14.4</v>
      </c>
      <c r="M35" s="60">
        <v>87.61</v>
      </c>
      <c r="N35" s="60">
        <v>27.6</v>
      </c>
      <c r="O35" s="60">
        <v>0</v>
      </c>
      <c r="P35" s="60">
        <v>1.41</v>
      </c>
      <c r="Q35" s="60">
        <v>226.19</v>
      </c>
      <c r="R35" s="198"/>
      <c r="S35" s="198"/>
      <c r="T35" s="198"/>
      <c r="U35" s="198"/>
    </row>
    <row r="36" spans="1:21" s="12" customFormat="1" x14ac:dyDescent="0.25">
      <c r="A36" s="201" t="s">
        <v>2195</v>
      </c>
      <c r="B36" s="60">
        <v>48.83</v>
      </c>
      <c r="C36" s="60">
        <v>116.58</v>
      </c>
      <c r="D36" s="60">
        <v>103.49</v>
      </c>
      <c r="E36" s="60">
        <v>6.49</v>
      </c>
      <c r="F36" s="60">
        <v>0.72</v>
      </c>
      <c r="G36" s="60">
        <v>198.62</v>
      </c>
      <c r="H36" s="60">
        <v>59.95</v>
      </c>
      <c r="I36" s="60">
        <v>0.51</v>
      </c>
      <c r="J36" s="60">
        <v>0.17</v>
      </c>
      <c r="K36" s="60">
        <v>226.06</v>
      </c>
      <c r="L36" s="60">
        <v>15</v>
      </c>
      <c r="M36" s="60">
        <v>86.95</v>
      </c>
      <c r="N36" s="60">
        <v>46.8</v>
      </c>
      <c r="O36" s="60">
        <v>0</v>
      </c>
      <c r="P36" s="60">
        <v>1.47</v>
      </c>
      <c r="Q36" s="60">
        <v>235.81</v>
      </c>
      <c r="R36" s="198"/>
      <c r="S36" s="198"/>
      <c r="T36" s="198"/>
      <c r="U36" s="198"/>
    </row>
    <row r="37" spans="1:21" s="12" customFormat="1" x14ac:dyDescent="0.25">
      <c r="A37" s="201" t="s">
        <v>2196</v>
      </c>
      <c r="B37" s="60">
        <v>60.15</v>
      </c>
      <c r="C37" s="60">
        <v>127.3</v>
      </c>
      <c r="D37" s="60">
        <v>118.49</v>
      </c>
      <c r="E37" s="60">
        <v>6.39</v>
      </c>
      <c r="F37" s="60">
        <v>0.8</v>
      </c>
      <c r="G37" s="60">
        <v>238.61</v>
      </c>
      <c r="H37" s="60">
        <v>67.34</v>
      </c>
      <c r="I37" s="60">
        <v>0.52</v>
      </c>
      <c r="J37" s="60">
        <v>0.16</v>
      </c>
      <c r="K37" s="60">
        <v>226.53</v>
      </c>
      <c r="L37" s="60">
        <v>15.9</v>
      </c>
      <c r="M37" s="60">
        <v>82.83</v>
      </c>
      <c r="N37" s="60">
        <v>58</v>
      </c>
      <c r="O37" s="60">
        <v>0</v>
      </c>
      <c r="P37" s="60">
        <v>1.49</v>
      </c>
      <c r="Q37" s="60">
        <v>246.91</v>
      </c>
      <c r="R37" s="198"/>
      <c r="S37" s="198"/>
      <c r="T37" s="198"/>
      <c r="U37" s="198"/>
    </row>
    <row r="38" spans="1:21" s="12" customFormat="1" x14ac:dyDescent="0.25">
      <c r="A38" s="201" t="s">
        <v>2197</v>
      </c>
      <c r="B38" s="60">
        <v>65.5</v>
      </c>
      <c r="C38" s="60">
        <v>132.69999999999999</v>
      </c>
      <c r="D38" s="60">
        <v>125.76</v>
      </c>
      <c r="E38" s="60">
        <v>6.14</v>
      </c>
      <c r="F38" s="60">
        <v>0.76</v>
      </c>
      <c r="G38" s="60">
        <v>238.61</v>
      </c>
      <c r="H38" s="60">
        <v>67.34</v>
      </c>
      <c r="I38" s="60">
        <v>0.54</v>
      </c>
      <c r="J38" s="60">
        <v>0.48</v>
      </c>
      <c r="K38" s="60">
        <v>227.19</v>
      </c>
      <c r="L38" s="60">
        <v>17.329999999999998</v>
      </c>
      <c r="M38" s="60">
        <v>78.73</v>
      </c>
      <c r="N38" s="60">
        <v>118.5</v>
      </c>
      <c r="O38" s="60">
        <v>0</v>
      </c>
      <c r="P38" s="60">
        <v>1.57</v>
      </c>
      <c r="Q38" s="60">
        <v>254.45</v>
      </c>
      <c r="R38" s="198"/>
      <c r="S38" s="198"/>
      <c r="T38" s="198"/>
      <c r="U38" s="198"/>
    </row>
    <row r="39" spans="1:21" s="12" customFormat="1" x14ac:dyDescent="0.25">
      <c r="A39" s="201" t="s">
        <v>2198</v>
      </c>
      <c r="B39" s="60">
        <v>67.83</v>
      </c>
      <c r="C39" s="60">
        <v>136.54</v>
      </c>
      <c r="D39" s="60">
        <v>129.75</v>
      </c>
      <c r="E39" s="60">
        <v>6.42</v>
      </c>
      <c r="F39" s="60">
        <v>0.9</v>
      </c>
      <c r="G39" s="60">
        <v>238.61</v>
      </c>
      <c r="H39" s="60">
        <v>67.34</v>
      </c>
      <c r="I39" s="60">
        <v>0.55000000000000004</v>
      </c>
      <c r="J39" s="60">
        <v>0.93</v>
      </c>
      <c r="K39" s="60">
        <v>227.86</v>
      </c>
      <c r="L39" s="60">
        <v>19.670000000000002</v>
      </c>
      <c r="M39" s="60">
        <v>69.709999999999994</v>
      </c>
      <c r="N39" s="60">
        <v>170.2</v>
      </c>
      <c r="O39" s="60">
        <v>0</v>
      </c>
      <c r="P39" s="60">
        <v>1.63</v>
      </c>
      <c r="Q39" s="60">
        <v>257.7</v>
      </c>
      <c r="R39" s="198"/>
      <c r="S39" s="198"/>
      <c r="T39" s="198"/>
      <c r="U39" s="198"/>
    </row>
    <row r="40" spans="1:21" s="12" customFormat="1" x14ac:dyDescent="0.25">
      <c r="A40" s="201" t="s">
        <v>2199</v>
      </c>
      <c r="B40" s="60">
        <v>68.63</v>
      </c>
      <c r="C40" s="60">
        <v>141.97999999999999</v>
      </c>
      <c r="D40" s="60">
        <v>133.38999999999999</v>
      </c>
      <c r="E40" s="60">
        <v>3.93</v>
      </c>
      <c r="F40" s="60">
        <v>0.93</v>
      </c>
      <c r="G40" s="60">
        <v>239.84</v>
      </c>
      <c r="H40" s="60">
        <v>68.72</v>
      </c>
      <c r="I40" s="60">
        <v>0.55000000000000004</v>
      </c>
      <c r="J40" s="60">
        <v>1.18</v>
      </c>
      <c r="K40" s="60">
        <v>228.41</v>
      </c>
      <c r="L40" s="60">
        <v>21.61</v>
      </c>
      <c r="M40" s="60">
        <v>61.88</v>
      </c>
      <c r="N40" s="60">
        <v>221.6</v>
      </c>
      <c r="O40" s="60">
        <v>0</v>
      </c>
      <c r="P40" s="60">
        <v>1.69</v>
      </c>
      <c r="Q40" s="60">
        <v>258.48</v>
      </c>
      <c r="R40" s="198"/>
      <c r="S40" s="198"/>
      <c r="T40" s="198"/>
      <c r="U40" s="198"/>
    </row>
    <row r="41" spans="1:21" s="12" customFormat="1" x14ac:dyDescent="0.25">
      <c r="A41" s="201" t="s">
        <v>2200</v>
      </c>
      <c r="B41" s="60">
        <v>68.89</v>
      </c>
      <c r="C41" s="60">
        <v>148.82</v>
      </c>
      <c r="D41" s="60">
        <v>137.37</v>
      </c>
      <c r="E41" s="60">
        <v>8.7100000000000009</v>
      </c>
      <c r="F41" s="60">
        <v>0.7</v>
      </c>
      <c r="G41" s="60">
        <v>250.46</v>
      </c>
      <c r="H41" s="60">
        <v>82.8</v>
      </c>
      <c r="I41" s="60">
        <v>0.56000000000000005</v>
      </c>
      <c r="J41" s="60">
        <v>1.03</v>
      </c>
      <c r="K41" s="60">
        <v>228.96</v>
      </c>
      <c r="L41" s="60">
        <v>23.31</v>
      </c>
      <c r="M41" s="60">
        <v>55.44</v>
      </c>
      <c r="N41" s="60">
        <v>260.3</v>
      </c>
      <c r="O41" s="60">
        <v>0</v>
      </c>
      <c r="P41" s="60">
        <v>1.72</v>
      </c>
      <c r="Q41" s="60">
        <v>260.79000000000002</v>
      </c>
      <c r="R41" s="198"/>
      <c r="S41" s="198"/>
      <c r="T41" s="198"/>
      <c r="U41" s="198"/>
    </row>
    <row r="42" spans="1:21" s="12" customFormat="1" x14ac:dyDescent="0.25">
      <c r="A42" s="201" t="s">
        <v>2201</v>
      </c>
      <c r="B42" s="60">
        <v>69.459999999999994</v>
      </c>
      <c r="C42" s="60">
        <v>155.18</v>
      </c>
      <c r="D42" s="60">
        <v>141.34</v>
      </c>
      <c r="E42" s="60">
        <v>10.49</v>
      </c>
      <c r="F42" s="60">
        <v>0.74</v>
      </c>
      <c r="G42" s="60">
        <v>250.46</v>
      </c>
      <c r="H42" s="60">
        <v>82.8</v>
      </c>
      <c r="I42" s="60">
        <v>0.56999999999999995</v>
      </c>
      <c r="J42" s="60">
        <v>1</v>
      </c>
      <c r="K42" s="60">
        <v>229.53</v>
      </c>
      <c r="L42" s="60">
        <v>24.46</v>
      </c>
      <c r="M42" s="60">
        <v>52.07</v>
      </c>
      <c r="N42" s="60">
        <v>295.10000000000002</v>
      </c>
      <c r="O42" s="60">
        <v>0</v>
      </c>
      <c r="P42" s="60">
        <v>1.78</v>
      </c>
      <c r="Q42" s="60">
        <v>263.24</v>
      </c>
      <c r="R42" s="198"/>
      <c r="S42" s="198"/>
      <c r="T42" s="198"/>
      <c r="U42" s="198"/>
    </row>
    <row r="43" spans="1:21" s="12" customFormat="1" x14ac:dyDescent="0.25">
      <c r="A43" s="201" t="s">
        <v>2202</v>
      </c>
      <c r="B43" s="60">
        <v>69.27</v>
      </c>
      <c r="C43" s="60">
        <v>160.34</v>
      </c>
      <c r="D43" s="60">
        <v>144.03</v>
      </c>
      <c r="E43" s="60">
        <v>11.22</v>
      </c>
      <c r="F43" s="60">
        <v>0.9</v>
      </c>
      <c r="G43" s="60">
        <v>250.46</v>
      </c>
      <c r="H43" s="60">
        <v>82.8</v>
      </c>
      <c r="I43" s="60">
        <v>0.56999999999999995</v>
      </c>
      <c r="J43" s="60">
        <v>1.32</v>
      </c>
      <c r="K43" s="60">
        <v>230</v>
      </c>
      <c r="L43" s="60">
        <v>25.46</v>
      </c>
      <c r="M43" s="60">
        <v>50.01</v>
      </c>
      <c r="N43" s="60">
        <v>341.8</v>
      </c>
      <c r="O43" s="60">
        <v>0</v>
      </c>
      <c r="P43" s="60">
        <v>1.86</v>
      </c>
      <c r="Q43" s="60">
        <v>264.99</v>
      </c>
      <c r="R43" s="198"/>
      <c r="S43" s="198"/>
      <c r="T43" s="198"/>
      <c r="U43" s="198"/>
    </row>
    <row r="44" spans="1:21" s="12" customFormat="1" x14ac:dyDescent="0.25">
      <c r="A44" s="201" t="s">
        <v>2203</v>
      </c>
      <c r="B44" s="60">
        <v>67.89</v>
      </c>
      <c r="C44" s="60">
        <v>165.56</v>
      </c>
      <c r="D44" s="60">
        <v>145.82</v>
      </c>
      <c r="E44" s="60">
        <v>14.08</v>
      </c>
      <c r="F44" s="60">
        <v>1.31</v>
      </c>
      <c r="G44" s="218" t="s">
        <v>42</v>
      </c>
      <c r="H44" s="60">
        <v>83.65</v>
      </c>
      <c r="I44" s="60">
        <v>0.56999999999999995</v>
      </c>
      <c r="J44" s="60">
        <v>1.33</v>
      </c>
      <c r="K44" s="60">
        <v>230.22</v>
      </c>
      <c r="L44" s="60">
        <v>25.72</v>
      </c>
      <c r="M44" s="60">
        <v>48.32</v>
      </c>
      <c r="N44" s="60">
        <v>366.6</v>
      </c>
      <c r="O44" s="60">
        <v>0</v>
      </c>
      <c r="P44" s="60">
        <v>1.95</v>
      </c>
      <c r="Q44" s="60">
        <v>265.12</v>
      </c>
      <c r="R44" s="198"/>
      <c r="S44" s="198"/>
      <c r="T44" s="198"/>
      <c r="U44" s="198"/>
    </row>
    <row r="45" spans="1:21" s="12" customFormat="1" x14ac:dyDescent="0.25">
      <c r="A45" s="201" t="s">
        <v>2204</v>
      </c>
      <c r="B45" s="60">
        <v>65.510000000000005</v>
      </c>
      <c r="C45" s="60">
        <v>169.24</v>
      </c>
      <c r="D45" s="60">
        <v>145.93</v>
      </c>
      <c r="E45" s="60">
        <v>16.309999999999999</v>
      </c>
      <c r="F45" s="60">
        <v>1.1399999999999999</v>
      </c>
      <c r="G45" s="218" t="s">
        <v>42</v>
      </c>
      <c r="H45" s="60">
        <v>92.35</v>
      </c>
      <c r="I45" s="60">
        <v>0.56999999999999995</v>
      </c>
      <c r="J45" s="60">
        <v>1.42</v>
      </c>
      <c r="K45" s="60">
        <v>230.48</v>
      </c>
      <c r="L45" s="60">
        <v>26.03</v>
      </c>
      <c r="M45" s="60">
        <v>47.06</v>
      </c>
      <c r="N45" s="60">
        <v>380.3</v>
      </c>
      <c r="O45" s="60">
        <v>0</v>
      </c>
      <c r="P45" s="60">
        <v>2</v>
      </c>
      <c r="Q45" s="60">
        <v>262.67</v>
      </c>
      <c r="R45" s="198"/>
      <c r="S45" s="198"/>
      <c r="T45" s="198"/>
      <c r="U45" s="198"/>
    </row>
    <row r="46" spans="1:21" s="12" customFormat="1" x14ac:dyDescent="0.25">
      <c r="A46" s="201" t="s">
        <v>2205</v>
      </c>
      <c r="B46" s="60">
        <v>60.59</v>
      </c>
      <c r="C46" s="60">
        <v>168.89</v>
      </c>
      <c r="D46" s="60">
        <v>141.79</v>
      </c>
      <c r="E46" s="60">
        <v>16.18</v>
      </c>
      <c r="F46" s="60">
        <v>1.61</v>
      </c>
      <c r="G46" s="218" t="s">
        <v>42</v>
      </c>
      <c r="H46" s="60">
        <v>92.35</v>
      </c>
      <c r="I46" s="60">
        <v>0.56000000000000005</v>
      </c>
      <c r="J46" s="60">
        <v>1.05</v>
      </c>
      <c r="K46" s="60">
        <v>230.82</v>
      </c>
      <c r="L46" s="60">
        <v>26.73</v>
      </c>
      <c r="M46" s="60">
        <v>45.43</v>
      </c>
      <c r="N46" s="60">
        <v>418.3</v>
      </c>
      <c r="O46" s="60">
        <v>0</v>
      </c>
      <c r="P46" s="60">
        <v>2.0299999999999998</v>
      </c>
      <c r="Q46" s="60">
        <v>258.33</v>
      </c>
      <c r="R46" s="198"/>
      <c r="S46" s="198"/>
      <c r="T46" s="198"/>
      <c r="U46" s="198"/>
    </row>
    <row r="47" spans="1:21" s="12" customFormat="1" x14ac:dyDescent="0.25">
      <c r="A47" s="201" t="s">
        <v>2206</v>
      </c>
      <c r="B47" s="60">
        <v>57.96</v>
      </c>
      <c r="C47" s="60">
        <v>166.23</v>
      </c>
      <c r="D47" s="60">
        <v>138.21</v>
      </c>
      <c r="E47" s="60">
        <v>11.45</v>
      </c>
      <c r="F47" s="60">
        <v>1.08</v>
      </c>
      <c r="G47" s="218" t="s">
        <v>42</v>
      </c>
      <c r="H47" s="60">
        <v>92.35</v>
      </c>
      <c r="I47" s="60">
        <v>0.55000000000000004</v>
      </c>
      <c r="J47" s="60">
        <v>0.75</v>
      </c>
      <c r="K47" s="60">
        <v>231.47</v>
      </c>
      <c r="L47" s="60">
        <v>25.95</v>
      </c>
      <c r="M47" s="60">
        <v>48.08</v>
      </c>
      <c r="N47" s="60">
        <v>471.9</v>
      </c>
      <c r="O47" s="60">
        <v>0</v>
      </c>
      <c r="P47" s="60">
        <v>2.0499999999999998</v>
      </c>
      <c r="Q47" s="60">
        <v>258.79000000000002</v>
      </c>
      <c r="R47" s="198"/>
      <c r="S47" s="198"/>
      <c r="T47" s="198"/>
      <c r="U47" s="198"/>
    </row>
    <row r="48" spans="1:21" s="12" customFormat="1" x14ac:dyDescent="0.25">
      <c r="A48" s="201" t="s">
        <v>2207</v>
      </c>
      <c r="B48" s="60">
        <v>54.55</v>
      </c>
      <c r="C48" s="60">
        <v>162.05000000000001</v>
      </c>
      <c r="D48" s="60">
        <v>133.18</v>
      </c>
      <c r="E48" s="60">
        <v>9.24</v>
      </c>
      <c r="F48" s="60">
        <v>1.0900000000000001</v>
      </c>
      <c r="G48" s="218" t="s">
        <v>42</v>
      </c>
      <c r="H48" s="60">
        <v>90.97</v>
      </c>
      <c r="I48" s="60">
        <v>0.54</v>
      </c>
      <c r="J48" s="60">
        <v>0.9</v>
      </c>
      <c r="K48" s="60">
        <v>231.82</v>
      </c>
      <c r="L48" s="60">
        <v>26.86</v>
      </c>
      <c r="M48" s="60">
        <v>45.23</v>
      </c>
      <c r="N48" s="60">
        <v>411.4</v>
      </c>
      <c r="O48" s="60">
        <v>0</v>
      </c>
      <c r="P48" s="60">
        <v>2.0499999999999998</v>
      </c>
      <c r="Q48" s="60">
        <v>255.13</v>
      </c>
      <c r="R48" s="198"/>
      <c r="S48" s="198"/>
      <c r="T48" s="198"/>
      <c r="U48" s="198"/>
    </row>
    <row r="49" spans="1:21" s="12" customFormat="1" x14ac:dyDescent="0.25">
      <c r="A49" s="201" t="s">
        <v>2208</v>
      </c>
      <c r="B49" s="60">
        <v>50.23</v>
      </c>
      <c r="C49" s="60">
        <v>157.58000000000001</v>
      </c>
      <c r="D49" s="60">
        <v>127.24</v>
      </c>
      <c r="E49" s="60">
        <v>8.39</v>
      </c>
      <c r="F49" s="60">
        <v>1.18</v>
      </c>
      <c r="G49" s="60">
        <v>182.15</v>
      </c>
      <c r="H49" s="60">
        <v>76.83</v>
      </c>
      <c r="I49" s="60">
        <v>0.54</v>
      </c>
      <c r="J49" s="60">
        <v>1</v>
      </c>
      <c r="K49" s="60">
        <v>231.61</v>
      </c>
      <c r="L49" s="60">
        <v>26.52</v>
      </c>
      <c r="M49" s="60">
        <v>45.29</v>
      </c>
      <c r="N49" s="60">
        <v>441.2</v>
      </c>
      <c r="O49" s="60">
        <v>0</v>
      </c>
      <c r="P49" s="60">
        <v>2.04</v>
      </c>
      <c r="Q49" s="60">
        <v>248.86</v>
      </c>
      <c r="R49" s="198"/>
      <c r="S49" s="198"/>
      <c r="T49" s="198"/>
      <c r="U49" s="198"/>
    </row>
    <row r="50" spans="1:21" s="12" customFormat="1" x14ac:dyDescent="0.25">
      <c r="A50" s="201" t="s">
        <v>2209</v>
      </c>
      <c r="B50" s="60">
        <v>45.11</v>
      </c>
      <c r="C50" s="60">
        <v>153.31</v>
      </c>
      <c r="D50" s="60">
        <v>120.78</v>
      </c>
      <c r="E50" s="60">
        <v>8.48</v>
      </c>
      <c r="F50" s="60">
        <v>1.47</v>
      </c>
      <c r="G50" s="60">
        <v>182.15</v>
      </c>
      <c r="H50" s="60">
        <v>76.83</v>
      </c>
      <c r="I50" s="60">
        <v>0.53</v>
      </c>
      <c r="J50" s="60">
        <v>0.91</v>
      </c>
      <c r="K50" s="60">
        <v>231.96</v>
      </c>
      <c r="L50" s="60">
        <v>27.34</v>
      </c>
      <c r="M50" s="60">
        <v>41.46</v>
      </c>
      <c r="N50" s="60">
        <v>517.20000000000005</v>
      </c>
      <c r="O50" s="60">
        <v>0</v>
      </c>
      <c r="P50" s="60">
        <v>1.98</v>
      </c>
      <c r="Q50" s="60">
        <v>244.15</v>
      </c>
      <c r="R50" s="198"/>
      <c r="S50" s="198"/>
      <c r="T50" s="198"/>
      <c r="U50" s="198"/>
    </row>
    <row r="51" spans="1:21" s="12" customFormat="1" x14ac:dyDescent="0.25">
      <c r="A51" s="201" t="s">
        <v>2210</v>
      </c>
      <c r="B51" s="60">
        <v>40.619999999999997</v>
      </c>
      <c r="C51" s="60">
        <v>150.24</v>
      </c>
      <c r="D51" s="60">
        <v>115.49</v>
      </c>
      <c r="E51" s="60">
        <v>9.0399999999999991</v>
      </c>
      <c r="F51" s="60">
        <v>1.49</v>
      </c>
      <c r="G51" s="60">
        <v>182.15</v>
      </c>
      <c r="H51" s="60">
        <v>76.83</v>
      </c>
      <c r="I51" s="60">
        <v>0.52</v>
      </c>
      <c r="J51" s="60">
        <v>0.97</v>
      </c>
      <c r="K51" s="60">
        <v>232.22</v>
      </c>
      <c r="L51" s="60">
        <v>28.89</v>
      </c>
      <c r="M51" s="60">
        <v>38.17</v>
      </c>
      <c r="N51" s="60">
        <v>532.29999999999995</v>
      </c>
      <c r="O51" s="60">
        <v>0</v>
      </c>
      <c r="P51" s="60">
        <v>1.93</v>
      </c>
      <c r="Q51" s="60">
        <v>239.09</v>
      </c>
      <c r="R51" s="198"/>
      <c r="S51" s="198"/>
      <c r="T51" s="198"/>
      <c r="U51" s="198"/>
    </row>
    <row r="52" spans="1:21" s="12" customFormat="1" x14ac:dyDescent="0.25">
      <c r="A52" s="201" t="s">
        <v>2211</v>
      </c>
      <c r="B52" s="60">
        <v>36.56</v>
      </c>
      <c r="C52" s="60">
        <v>146.57</v>
      </c>
      <c r="D52" s="60">
        <v>110.21</v>
      </c>
      <c r="E52" s="60">
        <v>8.44</v>
      </c>
      <c r="F52" s="60">
        <v>1.29</v>
      </c>
      <c r="G52" s="60">
        <v>172.74</v>
      </c>
      <c r="H52" s="60">
        <v>74.790000000000006</v>
      </c>
      <c r="I52" s="60">
        <v>0.51</v>
      </c>
      <c r="J52" s="60">
        <v>1.01</v>
      </c>
      <c r="K52" s="60">
        <v>232.11</v>
      </c>
      <c r="L52" s="60">
        <v>27.16</v>
      </c>
      <c r="M52" s="60">
        <v>41.44</v>
      </c>
      <c r="N52" s="60">
        <v>505.1</v>
      </c>
      <c r="O52" s="60">
        <v>0</v>
      </c>
      <c r="P52" s="60">
        <v>1.87</v>
      </c>
      <c r="Q52" s="60">
        <v>233.53</v>
      </c>
      <c r="R52" s="198"/>
      <c r="S52" s="198"/>
      <c r="T52" s="198"/>
      <c r="U52" s="198"/>
    </row>
    <row r="53" spans="1:21" s="12" customFormat="1" x14ac:dyDescent="0.25">
      <c r="A53" s="201" t="s">
        <v>2212</v>
      </c>
      <c r="B53" s="60">
        <v>33.700000000000003</v>
      </c>
      <c r="C53" s="60">
        <v>142.05000000000001</v>
      </c>
      <c r="D53" s="60">
        <v>105.41</v>
      </c>
      <c r="E53" s="60">
        <v>8.07</v>
      </c>
      <c r="F53" s="60">
        <v>1.1000000000000001</v>
      </c>
      <c r="G53" s="60">
        <v>93.42</v>
      </c>
      <c r="H53" s="60">
        <v>53.85</v>
      </c>
      <c r="I53" s="60">
        <v>0.5</v>
      </c>
      <c r="J53" s="60">
        <v>1.06</v>
      </c>
      <c r="K53" s="60">
        <v>232.09</v>
      </c>
      <c r="L53" s="60">
        <v>26.7</v>
      </c>
      <c r="M53" s="60">
        <v>42.54</v>
      </c>
      <c r="N53" s="60">
        <v>416.8</v>
      </c>
      <c r="O53" s="60">
        <v>0</v>
      </c>
      <c r="P53" s="60">
        <v>1.81</v>
      </c>
      <c r="Q53" s="60">
        <v>228.46</v>
      </c>
      <c r="R53" s="198"/>
      <c r="S53" s="198"/>
      <c r="T53" s="198"/>
      <c r="U53" s="198"/>
    </row>
    <row r="54" spans="1:21" s="12" customFormat="1" x14ac:dyDescent="0.25">
      <c r="A54" s="201" t="s">
        <v>2213</v>
      </c>
      <c r="B54" s="60">
        <v>31.13</v>
      </c>
      <c r="C54" s="60">
        <v>139.35</v>
      </c>
      <c r="D54" s="60">
        <v>101.86</v>
      </c>
      <c r="E54" s="60">
        <v>9.2799999999999994</v>
      </c>
      <c r="F54" s="60">
        <v>1.1299999999999999</v>
      </c>
      <c r="G54" s="60">
        <v>93.42</v>
      </c>
      <c r="H54" s="60">
        <v>53.85</v>
      </c>
      <c r="I54" s="60">
        <v>0.49</v>
      </c>
      <c r="J54" s="60">
        <v>1.1499999999999999</v>
      </c>
      <c r="K54" s="60">
        <v>231.62</v>
      </c>
      <c r="L54" s="60">
        <v>26.37</v>
      </c>
      <c r="M54" s="60">
        <v>42.1</v>
      </c>
      <c r="N54" s="60">
        <v>498.6</v>
      </c>
      <c r="O54" s="60">
        <v>0</v>
      </c>
      <c r="P54" s="60">
        <v>1.76</v>
      </c>
      <c r="Q54" s="60">
        <v>226.27</v>
      </c>
      <c r="R54" s="198"/>
      <c r="S54" s="198"/>
      <c r="T54" s="198"/>
      <c r="U54" s="198"/>
    </row>
    <row r="55" spans="1:21" s="12" customFormat="1" x14ac:dyDescent="0.25">
      <c r="A55" s="201" t="s">
        <v>2214</v>
      </c>
      <c r="B55" s="60">
        <v>28.55</v>
      </c>
      <c r="C55" s="60">
        <v>134.65</v>
      </c>
      <c r="D55" s="60">
        <v>97.21</v>
      </c>
      <c r="E55" s="60">
        <v>9.76</v>
      </c>
      <c r="F55" s="60">
        <v>1.84</v>
      </c>
      <c r="G55" s="60">
        <v>93.42</v>
      </c>
      <c r="H55" s="60">
        <v>53.85</v>
      </c>
      <c r="I55" s="60">
        <v>0.5</v>
      </c>
      <c r="J55" s="60">
        <v>1.04</v>
      </c>
      <c r="K55" s="60">
        <v>232.03</v>
      </c>
      <c r="L55" s="60">
        <v>27.45</v>
      </c>
      <c r="M55" s="60">
        <v>41.46</v>
      </c>
      <c r="N55" s="60">
        <v>438.4</v>
      </c>
      <c r="O55" s="60">
        <v>0</v>
      </c>
      <c r="P55" s="60">
        <v>1.7</v>
      </c>
      <c r="Q55" s="60">
        <v>227.37</v>
      </c>
      <c r="R55" s="198"/>
      <c r="S55" s="198"/>
      <c r="T55" s="198"/>
      <c r="U55" s="198"/>
    </row>
    <row r="56" spans="1:21" s="12" customFormat="1" x14ac:dyDescent="0.25">
      <c r="A56" s="201" t="s">
        <v>2215</v>
      </c>
      <c r="B56" s="60">
        <v>25.19</v>
      </c>
      <c r="C56" s="60">
        <v>131.55000000000001</v>
      </c>
      <c r="D56" s="60">
        <v>92.8</v>
      </c>
      <c r="E56" s="60">
        <v>6.98</v>
      </c>
      <c r="F56" s="60">
        <v>2.8</v>
      </c>
      <c r="G56" s="60">
        <v>90.52</v>
      </c>
      <c r="H56" s="60">
        <v>53.17</v>
      </c>
      <c r="I56" s="60">
        <v>0.49</v>
      </c>
      <c r="J56" s="60">
        <v>0.63</v>
      </c>
      <c r="K56" s="60">
        <v>232.23</v>
      </c>
      <c r="L56" s="60">
        <v>28.99</v>
      </c>
      <c r="M56" s="60">
        <v>37.68</v>
      </c>
      <c r="N56" s="60">
        <v>572.29999999999995</v>
      </c>
      <c r="O56" s="60">
        <v>0</v>
      </c>
      <c r="P56" s="60">
        <v>1.65</v>
      </c>
      <c r="Q56" s="60">
        <v>227.42</v>
      </c>
      <c r="R56" s="198"/>
      <c r="S56" s="198"/>
      <c r="T56" s="198"/>
      <c r="U56" s="198"/>
    </row>
    <row r="57" spans="1:21" s="12" customFormat="1" x14ac:dyDescent="0.25">
      <c r="A57" s="201" t="s">
        <v>2216</v>
      </c>
      <c r="B57" s="60">
        <v>22.46</v>
      </c>
      <c r="C57" s="60">
        <v>128.66999999999999</v>
      </c>
      <c r="D57" s="60">
        <v>89.02</v>
      </c>
      <c r="E57" s="60">
        <v>9.8800000000000008</v>
      </c>
      <c r="F57" s="60">
        <v>2.34</v>
      </c>
      <c r="G57" s="60">
        <v>66.13</v>
      </c>
      <c r="H57" s="60">
        <v>46.2</v>
      </c>
      <c r="I57" s="60">
        <v>0.5</v>
      </c>
      <c r="J57" s="60">
        <v>0.94</v>
      </c>
      <c r="K57" s="60">
        <v>232.61</v>
      </c>
      <c r="L57" s="60">
        <v>30.19</v>
      </c>
      <c r="M57" s="60">
        <v>37.11</v>
      </c>
      <c r="N57" s="60">
        <v>402.5</v>
      </c>
      <c r="O57" s="60">
        <v>0</v>
      </c>
      <c r="P57" s="60">
        <v>1.63</v>
      </c>
      <c r="Q57" s="60">
        <v>228.25</v>
      </c>
      <c r="R57" s="198"/>
      <c r="S57" s="198"/>
      <c r="T57" s="198"/>
      <c r="U57" s="198"/>
    </row>
    <row r="58" spans="1:21" s="12" customFormat="1" x14ac:dyDescent="0.25">
      <c r="A58" s="201" t="s">
        <v>2217</v>
      </c>
      <c r="B58" s="60">
        <v>20.079999999999998</v>
      </c>
      <c r="C58" s="60">
        <v>127.97</v>
      </c>
      <c r="D58" s="60">
        <v>86.73</v>
      </c>
      <c r="E58" s="60">
        <v>9.89</v>
      </c>
      <c r="F58" s="60">
        <v>1.99</v>
      </c>
      <c r="G58" s="60">
        <v>66.13</v>
      </c>
      <c r="H58" s="60">
        <v>46.2</v>
      </c>
      <c r="I58" s="60">
        <v>0.49</v>
      </c>
      <c r="J58" s="60">
        <v>0.48</v>
      </c>
      <c r="K58" s="60">
        <v>232.5</v>
      </c>
      <c r="L58" s="60">
        <v>30.36</v>
      </c>
      <c r="M58" s="60">
        <v>37.14</v>
      </c>
      <c r="N58" s="60">
        <v>453.4</v>
      </c>
      <c r="O58" s="60">
        <v>0</v>
      </c>
      <c r="P58" s="60">
        <v>1.6</v>
      </c>
      <c r="Q58" s="60">
        <v>230.6</v>
      </c>
      <c r="R58" s="198"/>
      <c r="S58" s="198"/>
      <c r="T58" s="198"/>
      <c r="U58" s="198"/>
    </row>
    <row r="59" spans="1:21" s="12" customFormat="1" x14ac:dyDescent="0.25">
      <c r="A59" s="201" t="s">
        <v>2218</v>
      </c>
      <c r="B59" s="60">
        <v>17.18</v>
      </c>
      <c r="C59" s="60">
        <v>122.23</v>
      </c>
      <c r="D59" s="60">
        <v>81.239999999999995</v>
      </c>
      <c r="E59" s="60">
        <v>10.16</v>
      </c>
      <c r="F59" s="60">
        <v>3.55</v>
      </c>
      <c r="G59" s="60">
        <v>66.13</v>
      </c>
      <c r="H59" s="60">
        <v>46.2</v>
      </c>
      <c r="I59" s="60">
        <v>0.5</v>
      </c>
      <c r="J59" s="60">
        <v>0.88</v>
      </c>
      <c r="K59" s="60">
        <v>232.69</v>
      </c>
      <c r="L59" s="60">
        <v>29.57</v>
      </c>
      <c r="M59" s="60">
        <v>38.549999999999997</v>
      </c>
      <c r="N59" s="60">
        <v>464.1</v>
      </c>
      <c r="O59" s="60">
        <v>0</v>
      </c>
      <c r="P59" s="60">
        <v>1.56</v>
      </c>
      <c r="Q59" s="60">
        <v>232.96</v>
      </c>
      <c r="R59" s="198"/>
      <c r="S59" s="198"/>
      <c r="T59" s="198"/>
      <c r="U59" s="198"/>
    </row>
    <row r="60" spans="1:21" s="12" customFormat="1" x14ac:dyDescent="0.25">
      <c r="A60" s="201" t="s">
        <v>2219</v>
      </c>
      <c r="B60" s="60">
        <v>15.5</v>
      </c>
      <c r="C60" s="60">
        <v>124.83</v>
      </c>
      <c r="D60" s="60">
        <v>81.319999999999993</v>
      </c>
      <c r="E60" s="60">
        <v>10.77</v>
      </c>
      <c r="F60" s="60">
        <v>3.22</v>
      </c>
      <c r="G60" s="60">
        <v>69.599999999999994</v>
      </c>
      <c r="H60" s="60">
        <v>45.48</v>
      </c>
      <c r="I60" s="60">
        <v>0.49</v>
      </c>
      <c r="J60" s="60">
        <v>0.66</v>
      </c>
      <c r="K60" s="60">
        <v>232.69</v>
      </c>
      <c r="L60" s="60">
        <v>30.66</v>
      </c>
      <c r="M60" s="60">
        <v>36.18</v>
      </c>
      <c r="N60" s="60">
        <v>394.9</v>
      </c>
      <c r="O60" s="60">
        <v>0</v>
      </c>
      <c r="P60" s="60">
        <v>1.53</v>
      </c>
      <c r="Q60" s="60">
        <v>233.32</v>
      </c>
      <c r="R60" s="198"/>
      <c r="S60" s="198"/>
      <c r="T60" s="198"/>
      <c r="U60" s="198"/>
    </row>
    <row r="61" spans="1:21" s="12" customFormat="1" x14ac:dyDescent="0.25">
      <c r="A61" s="201" t="s">
        <v>2220</v>
      </c>
      <c r="B61" s="60">
        <v>14.01</v>
      </c>
      <c r="C61" s="60">
        <v>127.27</v>
      </c>
      <c r="D61" s="60">
        <v>81.47</v>
      </c>
      <c r="E61" s="60">
        <v>11.1</v>
      </c>
      <c r="F61" s="60">
        <v>3.71</v>
      </c>
      <c r="G61" s="60">
        <v>98.87</v>
      </c>
      <c r="H61" s="60">
        <v>38.04</v>
      </c>
      <c r="I61" s="60">
        <v>0.5</v>
      </c>
      <c r="J61" s="60">
        <v>0.62</v>
      </c>
      <c r="K61" s="60">
        <v>232.82</v>
      </c>
      <c r="L61" s="60">
        <v>30.23</v>
      </c>
      <c r="M61" s="60">
        <v>37.39</v>
      </c>
      <c r="N61" s="60">
        <v>404.2</v>
      </c>
      <c r="O61" s="60">
        <v>0</v>
      </c>
      <c r="P61" s="60">
        <v>1.35</v>
      </c>
      <c r="Q61" s="60">
        <v>236.75</v>
      </c>
      <c r="R61" s="198"/>
      <c r="S61" s="198"/>
      <c r="T61" s="198"/>
      <c r="U61" s="198"/>
    </row>
    <row r="62" spans="1:21" s="12" customFormat="1" x14ac:dyDescent="0.25">
      <c r="A62" s="201" t="s">
        <v>2221</v>
      </c>
      <c r="B62" s="60">
        <v>12.3</v>
      </c>
      <c r="C62" s="60">
        <v>122.41</v>
      </c>
      <c r="D62" s="60">
        <v>77.42</v>
      </c>
      <c r="E62" s="60">
        <v>8.2799999999999994</v>
      </c>
      <c r="F62" s="60">
        <v>2.65</v>
      </c>
      <c r="G62" s="60">
        <v>98.87</v>
      </c>
      <c r="H62" s="60">
        <v>38.04</v>
      </c>
      <c r="I62" s="60">
        <v>0.5</v>
      </c>
      <c r="J62" s="60">
        <v>0.68</v>
      </c>
      <c r="K62" s="60">
        <v>232.81</v>
      </c>
      <c r="L62" s="60">
        <v>29.01</v>
      </c>
      <c r="M62" s="60">
        <v>39.32</v>
      </c>
      <c r="N62" s="60">
        <v>413.3</v>
      </c>
      <c r="O62" s="60">
        <v>0</v>
      </c>
      <c r="P62" s="60">
        <v>1.39</v>
      </c>
      <c r="Q62" s="60">
        <v>241.21</v>
      </c>
      <c r="R62" s="198"/>
      <c r="S62" s="198"/>
      <c r="T62" s="198"/>
      <c r="U62" s="198"/>
    </row>
    <row r="63" spans="1:21" s="12" customFormat="1" x14ac:dyDescent="0.25">
      <c r="A63" s="201" t="s">
        <v>2222</v>
      </c>
      <c r="B63" s="60">
        <v>11.46</v>
      </c>
      <c r="C63" s="60">
        <v>121.44</v>
      </c>
      <c r="D63" s="60">
        <v>76.209999999999994</v>
      </c>
      <c r="E63" s="60">
        <v>9.16</v>
      </c>
      <c r="F63" s="60">
        <v>2.77</v>
      </c>
      <c r="G63" s="60">
        <v>98.87</v>
      </c>
      <c r="H63" s="60">
        <v>38.04</v>
      </c>
      <c r="I63" s="60">
        <v>0.5</v>
      </c>
      <c r="J63" s="60">
        <v>0.82</v>
      </c>
      <c r="K63" s="60">
        <v>232.82</v>
      </c>
      <c r="L63" s="60">
        <v>29.59</v>
      </c>
      <c r="M63" s="60">
        <v>38.82</v>
      </c>
      <c r="N63" s="60">
        <v>332.6</v>
      </c>
      <c r="O63" s="60">
        <v>0</v>
      </c>
      <c r="P63" s="60">
        <v>1.36</v>
      </c>
      <c r="Q63" s="60">
        <v>239.34</v>
      </c>
      <c r="R63" s="198"/>
      <c r="S63" s="198"/>
      <c r="T63" s="198"/>
      <c r="U63" s="198"/>
    </row>
    <row r="64" spans="1:21" s="12" customFormat="1" x14ac:dyDescent="0.25">
      <c r="A64" s="201" t="s">
        <v>2223</v>
      </c>
      <c r="B64" s="60">
        <v>11.31</v>
      </c>
      <c r="C64" s="60">
        <v>122.97</v>
      </c>
      <c r="D64" s="60">
        <v>76.94</v>
      </c>
      <c r="E64" s="60">
        <v>10.16</v>
      </c>
      <c r="F64" s="60">
        <v>3.57</v>
      </c>
      <c r="G64" s="60">
        <v>99.9</v>
      </c>
      <c r="H64" s="60">
        <v>37.76</v>
      </c>
      <c r="I64" s="60">
        <v>0.5</v>
      </c>
      <c r="J64" s="60">
        <v>0.87</v>
      </c>
      <c r="K64" s="60">
        <v>232.78</v>
      </c>
      <c r="L64" s="60">
        <v>29.85</v>
      </c>
      <c r="M64" s="60">
        <v>40.590000000000003</v>
      </c>
      <c r="N64" s="60">
        <v>367.6</v>
      </c>
      <c r="O64" s="60">
        <v>0</v>
      </c>
      <c r="P64" s="60">
        <v>1.36</v>
      </c>
      <c r="Q64" s="60">
        <v>237.44</v>
      </c>
      <c r="R64" s="198"/>
      <c r="S64" s="198"/>
      <c r="T64" s="198"/>
      <c r="U64" s="198"/>
    </row>
    <row r="65" spans="1:21" s="12" customFormat="1" x14ac:dyDescent="0.25">
      <c r="A65" s="201" t="s">
        <v>2224</v>
      </c>
      <c r="B65" s="60">
        <v>11.66</v>
      </c>
      <c r="C65" s="60">
        <v>127.39</v>
      </c>
      <c r="D65" s="60">
        <v>79.650000000000006</v>
      </c>
      <c r="E65" s="60">
        <v>11.88</v>
      </c>
      <c r="F65" s="60">
        <v>3.32</v>
      </c>
      <c r="G65" s="60">
        <v>108.61</v>
      </c>
      <c r="H65" s="60">
        <v>34.89</v>
      </c>
      <c r="I65" s="60">
        <v>0.5</v>
      </c>
      <c r="J65" s="60">
        <v>0.69</v>
      </c>
      <c r="K65" s="60">
        <v>232.61</v>
      </c>
      <c r="L65" s="60">
        <v>29.43</v>
      </c>
      <c r="M65" s="60">
        <v>41.67</v>
      </c>
      <c r="N65" s="60">
        <v>227.4</v>
      </c>
      <c r="O65" s="60">
        <v>0</v>
      </c>
      <c r="P65" s="60">
        <v>1.36</v>
      </c>
      <c r="Q65" s="60">
        <v>235.82</v>
      </c>
      <c r="R65" s="198"/>
      <c r="S65" s="198"/>
      <c r="T65" s="198"/>
      <c r="U65" s="198"/>
    </row>
    <row r="66" spans="1:21" s="12" customFormat="1" x14ac:dyDescent="0.25">
      <c r="A66" s="201" t="s">
        <v>2225</v>
      </c>
      <c r="B66" s="60">
        <v>10.73</v>
      </c>
      <c r="C66" s="60">
        <v>124.17</v>
      </c>
      <c r="D66" s="60">
        <v>77.13</v>
      </c>
      <c r="E66" s="60">
        <v>12.45</v>
      </c>
      <c r="F66" s="60">
        <v>4.32</v>
      </c>
      <c r="G66" s="60">
        <v>108.61</v>
      </c>
      <c r="H66" s="60">
        <v>34.89</v>
      </c>
      <c r="I66" s="60">
        <v>0.48</v>
      </c>
      <c r="J66" s="60">
        <v>0.44</v>
      </c>
      <c r="K66" s="60">
        <v>232.24</v>
      </c>
      <c r="L66" s="60">
        <v>28.61</v>
      </c>
      <c r="M66" s="60">
        <v>43.43</v>
      </c>
      <c r="N66" s="60">
        <v>180.6</v>
      </c>
      <c r="O66" s="60">
        <v>0</v>
      </c>
      <c r="P66" s="60">
        <v>1.37</v>
      </c>
      <c r="Q66" s="60">
        <v>237.81</v>
      </c>
      <c r="R66" s="198"/>
      <c r="S66" s="198"/>
      <c r="T66" s="198"/>
      <c r="U66" s="198"/>
    </row>
    <row r="67" spans="1:21" s="12" customFormat="1" x14ac:dyDescent="0.25">
      <c r="A67" s="201" t="s">
        <v>2226</v>
      </c>
      <c r="B67" s="60">
        <v>11.22</v>
      </c>
      <c r="C67" s="60">
        <v>125.73</v>
      </c>
      <c r="D67" s="60">
        <v>78.38</v>
      </c>
      <c r="E67" s="60">
        <v>14.43</v>
      </c>
      <c r="F67" s="60">
        <v>5.23</v>
      </c>
      <c r="G67" s="60">
        <v>108.61</v>
      </c>
      <c r="H67" s="60">
        <v>34.89</v>
      </c>
      <c r="I67" s="60">
        <v>0.48</v>
      </c>
      <c r="J67" s="60">
        <v>0.64</v>
      </c>
      <c r="K67" s="60">
        <v>204.57</v>
      </c>
      <c r="L67" s="60">
        <v>28.75</v>
      </c>
      <c r="M67" s="60">
        <v>43.93</v>
      </c>
      <c r="N67" s="60">
        <v>150.6</v>
      </c>
      <c r="O67" s="60">
        <v>0</v>
      </c>
      <c r="P67" s="60">
        <v>1.38</v>
      </c>
      <c r="Q67" s="60">
        <v>238.52</v>
      </c>
      <c r="R67" s="198"/>
      <c r="S67" s="198"/>
      <c r="T67" s="198"/>
      <c r="U67" s="198"/>
    </row>
    <row r="68" spans="1:21" s="12" customFormat="1" x14ac:dyDescent="0.25">
      <c r="A68" s="201" t="s">
        <v>2227</v>
      </c>
      <c r="B68" s="60">
        <v>12.24</v>
      </c>
      <c r="C68" s="60">
        <v>131.29</v>
      </c>
      <c r="D68" s="60">
        <v>82.27</v>
      </c>
      <c r="E68" s="60">
        <v>14.17</v>
      </c>
      <c r="F68" s="60">
        <v>3.33</v>
      </c>
      <c r="G68" s="60">
        <v>112.56</v>
      </c>
      <c r="H68" s="60">
        <v>35.92</v>
      </c>
      <c r="I68" s="60">
        <v>0.48</v>
      </c>
      <c r="J68" s="60">
        <v>0.7</v>
      </c>
      <c r="K68" s="60">
        <v>150.04</v>
      </c>
      <c r="L68" s="60">
        <v>28.31</v>
      </c>
      <c r="M68" s="60">
        <v>45.41</v>
      </c>
      <c r="N68" s="60">
        <v>131</v>
      </c>
      <c r="O68" s="60">
        <v>0</v>
      </c>
      <c r="P68" s="60">
        <v>1.39</v>
      </c>
      <c r="Q68" s="60">
        <v>238.41</v>
      </c>
      <c r="R68" s="198"/>
      <c r="S68" s="198"/>
      <c r="T68" s="198"/>
      <c r="U68" s="198"/>
    </row>
    <row r="69" spans="1:21" s="12" customFormat="1" x14ac:dyDescent="0.25">
      <c r="A69" s="201" t="s">
        <v>2228</v>
      </c>
      <c r="B69" s="60">
        <v>14.36</v>
      </c>
      <c r="C69" s="60">
        <v>132.71</v>
      </c>
      <c r="D69" s="60">
        <v>84.76</v>
      </c>
      <c r="E69" s="60">
        <v>18.989999999999998</v>
      </c>
      <c r="F69" s="60">
        <v>5.96</v>
      </c>
      <c r="G69" s="60">
        <v>145.83000000000001</v>
      </c>
      <c r="H69" s="60">
        <v>46.52</v>
      </c>
      <c r="I69" s="60">
        <v>0.47</v>
      </c>
      <c r="J69" s="60">
        <v>0.94</v>
      </c>
      <c r="K69" s="60">
        <v>149.84</v>
      </c>
      <c r="L69" s="60">
        <v>28.5</v>
      </c>
      <c r="M69" s="60">
        <v>44.04</v>
      </c>
      <c r="N69" s="60">
        <v>141.5</v>
      </c>
      <c r="O69" s="60">
        <v>0</v>
      </c>
      <c r="P69" s="60">
        <v>1.43</v>
      </c>
      <c r="Q69" s="60">
        <v>240.58</v>
      </c>
      <c r="R69" s="198"/>
      <c r="S69" s="198"/>
      <c r="T69" s="198"/>
      <c r="U69" s="198"/>
    </row>
    <row r="70" spans="1:21" s="12" customFormat="1" x14ac:dyDescent="0.25">
      <c r="A70" s="201" t="s">
        <v>2229</v>
      </c>
      <c r="B70" s="60">
        <v>12.29</v>
      </c>
      <c r="C70" s="60">
        <v>126.03</v>
      </c>
      <c r="D70" s="60">
        <v>79.41</v>
      </c>
      <c r="E70" s="60">
        <v>10.52</v>
      </c>
      <c r="F70" s="60">
        <v>1.93</v>
      </c>
      <c r="G70" s="60">
        <v>145.83000000000001</v>
      </c>
      <c r="H70" s="60">
        <v>46.52</v>
      </c>
      <c r="I70" s="60">
        <v>0.47</v>
      </c>
      <c r="J70" s="60">
        <v>1.1399999999999999</v>
      </c>
      <c r="K70" s="60">
        <v>149.79</v>
      </c>
      <c r="L70" s="60">
        <v>26.79</v>
      </c>
      <c r="M70" s="60">
        <v>55.34</v>
      </c>
      <c r="N70" s="60">
        <v>118.9</v>
      </c>
      <c r="O70" s="60">
        <v>0</v>
      </c>
      <c r="P70" s="60">
        <v>1.41</v>
      </c>
      <c r="Q70" s="60">
        <v>244.05</v>
      </c>
      <c r="R70" s="198"/>
      <c r="S70" s="198"/>
      <c r="T70" s="198"/>
      <c r="U70" s="198"/>
    </row>
    <row r="71" spans="1:21" s="12" customFormat="1" x14ac:dyDescent="0.25">
      <c r="A71" s="201" t="s">
        <v>2230</v>
      </c>
      <c r="B71" s="60">
        <v>12.29</v>
      </c>
      <c r="C71" s="60">
        <v>125.35</v>
      </c>
      <c r="D71" s="60">
        <v>79.040000000000006</v>
      </c>
      <c r="E71" s="60">
        <v>9.81</v>
      </c>
      <c r="F71" s="60">
        <v>1.96</v>
      </c>
      <c r="G71" s="60">
        <v>145.83000000000001</v>
      </c>
      <c r="H71" s="60">
        <v>46.52</v>
      </c>
      <c r="I71" s="60">
        <v>0.48</v>
      </c>
      <c r="J71" s="60">
        <v>3.42</v>
      </c>
      <c r="K71" s="60">
        <v>201.5</v>
      </c>
      <c r="L71" s="60">
        <v>30.96</v>
      </c>
      <c r="M71" s="60">
        <v>56.47</v>
      </c>
      <c r="N71" s="60">
        <v>95.4</v>
      </c>
      <c r="O71" s="60">
        <v>0</v>
      </c>
      <c r="P71" s="60">
        <v>1.43</v>
      </c>
      <c r="Q71" s="60">
        <v>245.92</v>
      </c>
      <c r="R71" s="198"/>
      <c r="S71" s="198"/>
      <c r="T71" s="198"/>
      <c r="U71" s="198"/>
    </row>
    <row r="72" spans="1:21" s="12" customFormat="1" x14ac:dyDescent="0.25">
      <c r="A72" s="201" t="s">
        <v>2231</v>
      </c>
      <c r="B72" s="60">
        <v>15.23</v>
      </c>
      <c r="C72" s="60">
        <v>135.77000000000001</v>
      </c>
      <c r="D72" s="60">
        <v>87.14</v>
      </c>
      <c r="E72" s="60">
        <v>12.56</v>
      </c>
      <c r="F72" s="60">
        <v>3.83</v>
      </c>
      <c r="G72" s="60">
        <v>144.63</v>
      </c>
      <c r="H72" s="60">
        <v>45.92</v>
      </c>
      <c r="I72" s="60">
        <v>0.51</v>
      </c>
      <c r="J72" s="60">
        <v>32.409999999999997</v>
      </c>
      <c r="K72" s="60">
        <v>201.27</v>
      </c>
      <c r="L72" s="218" t="s">
        <v>42</v>
      </c>
      <c r="M72" s="60">
        <v>1.76</v>
      </c>
      <c r="N72" s="60">
        <v>103.2</v>
      </c>
      <c r="O72" s="60">
        <v>0</v>
      </c>
      <c r="P72" s="60">
        <v>1.42</v>
      </c>
      <c r="Q72" s="60">
        <v>247.99</v>
      </c>
      <c r="R72" s="198"/>
      <c r="S72" s="198"/>
      <c r="T72" s="198"/>
      <c r="U72" s="198"/>
    </row>
    <row r="73" spans="1:21" s="12" customFormat="1" x14ac:dyDescent="0.25">
      <c r="A73" s="201" t="s">
        <v>2232</v>
      </c>
      <c r="B73" s="60">
        <v>14.29</v>
      </c>
      <c r="C73" s="60">
        <v>130.36000000000001</v>
      </c>
      <c r="D73" s="60">
        <v>83.4</v>
      </c>
      <c r="E73" s="60">
        <v>11.95</v>
      </c>
      <c r="F73" s="60">
        <v>5.18</v>
      </c>
      <c r="G73" s="60">
        <v>135.05000000000001</v>
      </c>
      <c r="H73" s="60">
        <v>40.06</v>
      </c>
      <c r="I73" s="60">
        <v>0.51</v>
      </c>
      <c r="J73" s="60">
        <v>0.57999999999999996</v>
      </c>
      <c r="K73" s="60">
        <v>153.79</v>
      </c>
      <c r="L73" s="60">
        <v>26.73</v>
      </c>
      <c r="M73" s="218" t="s">
        <v>42</v>
      </c>
      <c r="N73" s="60">
        <v>61</v>
      </c>
      <c r="O73" s="60">
        <v>0</v>
      </c>
      <c r="P73" s="60">
        <v>1.42</v>
      </c>
      <c r="Q73" s="60">
        <v>251.01</v>
      </c>
      <c r="R73" s="198"/>
      <c r="S73" s="198"/>
      <c r="T73" s="198"/>
      <c r="U73" s="198"/>
    </row>
    <row r="74" spans="1:21" s="12" customFormat="1" x14ac:dyDescent="0.25">
      <c r="A74" s="201" t="s">
        <v>2233</v>
      </c>
      <c r="B74" s="60">
        <v>15.61</v>
      </c>
      <c r="C74" s="60">
        <v>124.35</v>
      </c>
      <c r="D74" s="60">
        <v>81.14</v>
      </c>
      <c r="E74" s="60">
        <v>10.86</v>
      </c>
      <c r="F74" s="60">
        <v>5.31</v>
      </c>
      <c r="G74" s="60">
        <v>135.05000000000001</v>
      </c>
      <c r="H74" s="60">
        <v>40.06</v>
      </c>
      <c r="I74" s="60">
        <v>0.5</v>
      </c>
      <c r="J74" s="60">
        <v>0.84</v>
      </c>
      <c r="K74" s="60">
        <v>154.43</v>
      </c>
      <c r="L74" s="60">
        <v>26.58</v>
      </c>
      <c r="M74" s="218" t="s">
        <v>42</v>
      </c>
      <c r="N74" s="60">
        <v>53.1</v>
      </c>
      <c r="O74" s="60">
        <v>0</v>
      </c>
      <c r="P74" s="60">
        <v>1.41</v>
      </c>
      <c r="Q74" s="60">
        <v>255.82</v>
      </c>
      <c r="R74" s="198"/>
      <c r="S74" s="198"/>
      <c r="T74" s="198"/>
      <c r="U74" s="198"/>
    </row>
    <row r="75" spans="1:21" s="12" customFormat="1" x14ac:dyDescent="0.25">
      <c r="A75" s="201" t="s">
        <v>2234</v>
      </c>
      <c r="B75" s="60">
        <v>14.11</v>
      </c>
      <c r="C75" s="60">
        <v>124.31</v>
      </c>
      <c r="D75" s="60">
        <v>79.92</v>
      </c>
      <c r="E75" s="60">
        <v>9.5500000000000007</v>
      </c>
      <c r="F75" s="60">
        <v>2.98</v>
      </c>
      <c r="G75" s="60">
        <v>135.05000000000001</v>
      </c>
      <c r="H75" s="60">
        <v>40.06</v>
      </c>
      <c r="I75" s="60">
        <v>0.51</v>
      </c>
      <c r="J75" s="60">
        <v>0.73</v>
      </c>
      <c r="K75" s="60">
        <v>172.29</v>
      </c>
      <c r="L75" s="60">
        <v>26.08</v>
      </c>
      <c r="M75" s="218" t="s">
        <v>42</v>
      </c>
      <c r="N75" s="60">
        <v>53.5</v>
      </c>
      <c r="O75" s="60">
        <v>0</v>
      </c>
      <c r="P75" s="60">
        <v>1.42</v>
      </c>
      <c r="Q75" s="60">
        <v>260.17</v>
      </c>
      <c r="R75" s="198"/>
      <c r="S75" s="198"/>
      <c r="T75" s="198"/>
      <c r="U75" s="198"/>
    </row>
    <row r="76" spans="1:21" s="12" customFormat="1" x14ac:dyDescent="0.25">
      <c r="A76" s="201" t="s">
        <v>2235</v>
      </c>
      <c r="B76" s="60">
        <v>14.8</v>
      </c>
      <c r="C76" s="60">
        <v>130.08000000000001</v>
      </c>
      <c r="D76" s="60">
        <v>83.66</v>
      </c>
      <c r="E76" s="60">
        <v>9.16</v>
      </c>
      <c r="F76" s="60">
        <v>3.92</v>
      </c>
      <c r="G76" s="60">
        <v>132.44999999999999</v>
      </c>
      <c r="H76" s="60">
        <v>40.4</v>
      </c>
      <c r="I76" s="60">
        <v>0.52</v>
      </c>
      <c r="J76" s="60">
        <v>0.23</v>
      </c>
      <c r="K76" s="60">
        <v>192.67</v>
      </c>
      <c r="L76" s="60">
        <v>25.62</v>
      </c>
      <c r="M76" s="218" t="s">
        <v>42</v>
      </c>
      <c r="N76" s="60">
        <v>38.200000000000003</v>
      </c>
      <c r="O76" s="60">
        <v>0</v>
      </c>
      <c r="P76" s="60">
        <v>1.48</v>
      </c>
      <c r="Q76" s="60">
        <v>266.19</v>
      </c>
      <c r="R76" s="198"/>
      <c r="S76" s="198"/>
      <c r="T76" s="198"/>
      <c r="U76" s="198"/>
    </row>
    <row r="77" spans="1:21" s="12" customFormat="1" x14ac:dyDescent="0.25">
      <c r="A77" s="201" t="s">
        <v>2236</v>
      </c>
      <c r="B77" s="60">
        <v>18.670000000000002</v>
      </c>
      <c r="C77" s="60">
        <v>138.41999999999999</v>
      </c>
      <c r="D77" s="60">
        <v>91.36</v>
      </c>
      <c r="E77" s="60">
        <v>8.98</v>
      </c>
      <c r="F77" s="60">
        <v>2.95</v>
      </c>
      <c r="G77" s="60">
        <v>110.53</v>
      </c>
      <c r="H77" s="60">
        <v>43.8</v>
      </c>
      <c r="I77" s="60">
        <v>0.54</v>
      </c>
      <c r="J77" s="60">
        <v>0.13</v>
      </c>
      <c r="K77" s="60">
        <v>193.95</v>
      </c>
      <c r="L77" s="60">
        <v>25.11</v>
      </c>
      <c r="M77" s="218" t="s">
        <v>42</v>
      </c>
      <c r="N77" s="60">
        <v>21.3</v>
      </c>
      <c r="O77" s="60">
        <v>0</v>
      </c>
      <c r="P77" s="60">
        <v>1.58</v>
      </c>
      <c r="Q77" s="60">
        <v>266.14</v>
      </c>
      <c r="R77" s="198"/>
      <c r="S77" s="198"/>
      <c r="T77" s="198"/>
      <c r="U77" s="198"/>
    </row>
    <row r="78" spans="1:21" s="12" customFormat="1" x14ac:dyDescent="0.25">
      <c r="A78" s="201" t="s">
        <v>2237</v>
      </c>
      <c r="B78" s="60">
        <v>23.15</v>
      </c>
      <c r="C78" s="60">
        <v>145.09</v>
      </c>
      <c r="D78" s="60">
        <v>98.64</v>
      </c>
      <c r="E78" s="60">
        <v>8.25</v>
      </c>
      <c r="F78" s="60">
        <v>1.69</v>
      </c>
      <c r="G78" s="60">
        <v>110.53</v>
      </c>
      <c r="H78" s="60">
        <v>43.8</v>
      </c>
      <c r="I78" s="60">
        <v>0.54</v>
      </c>
      <c r="J78" s="60">
        <v>0.08</v>
      </c>
      <c r="K78" s="60">
        <v>174.97</v>
      </c>
      <c r="L78" s="60">
        <v>24.61</v>
      </c>
      <c r="M78" s="218" t="s">
        <v>42</v>
      </c>
      <c r="N78" s="60">
        <v>11.7</v>
      </c>
      <c r="O78" s="60">
        <v>0</v>
      </c>
      <c r="P78" s="60">
        <v>1.66</v>
      </c>
      <c r="Q78" s="60">
        <v>268.83</v>
      </c>
      <c r="R78" s="198"/>
      <c r="S78" s="198"/>
      <c r="T78" s="198"/>
      <c r="U78" s="198"/>
    </row>
    <row r="79" spans="1:21" s="12" customFormat="1" x14ac:dyDescent="0.25">
      <c r="A79" s="201" t="s">
        <v>2238</v>
      </c>
      <c r="B79" s="60">
        <v>23.47</v>
      </c>
      <c r="C79" s="60">
        <v>140.85</v>
      </c>
      <c r="D79" s="60">
        <v>96.55</v>
      </c>
      <c r="E79" s="60">
        <v>7.5</v>
      </c>
      <c r="F79" s="60">
        <v>1.08</v>
      </c>
      <c r="G79" s="60">
        <v>110.53</v>
      </c>
      <c r="H79" s="60">
        <v>43.8</v>
      </c>
      <c r="I79" s="60">
        <v>0.56000000000000005</v>
      </c>
      <c r="J79" s="60">
        <v>0.18</v>
      </c>
      <c r="K79" s="60">
        <v>186.27</v>
      </c>
      <c r="L79" s="60">
        <v>24</v>
      </c>
      <c r="M79" s="218" t="s">
        <v>42</v>
      </c>
      <c r="N79" s="60">
        <v>10.4</v>
      </c>
      <c r="O79" s="60">
        <v>0</v>
      </c>
      <c r="P79" s="60">
        <v>1.66</v>
      </c>
      <c r="Q79" s="60">
        <v>272.70999999999998</v>
      </c>
      <c r="R79" s="198"/>
      <c r="S79" s="198"/>
      <c r="T79" s="198"/>
      <c r="U79" s="198"/>
    </row>
    <row r="80" spans="1:21" s="12" customFormat="1" x14ac:dyDescent="0.25">
      <c r="A80" s="201" t="s">
        <v>2239</v>
      </c>
      <c r="B80" s="60">
        <v>25.57</v>
      </c>
      <c r="C80" s="60">
        <v>141.76</v>
      </c>
      <c r="D80" s="60">
        <v>98.74</v>
      </c>
      <c r="E80" s="60">
        <v>7.3</v>
      </c>
      <c r="F80" s="60">
        <v>0.67</v>
      </c>
      <c r="G80" s="60">
        <v>114.18</v>
      </c>
      <c r="H80" s="60">
        <v>44.31</v>
      </c>
      <c r="I80" s="60">
        <v>0.59</v>
      </c>
      <c r="J80" s="60">
        <v>0.16</v>
      </c>
      <c r="K80" s="60">
        <v>192.79</v>
      </c>
      <c r="L80" s="60">
        <v>23.46</v>
      </c>
      <c r="M80" s="218" t="s">
        <v>42</v>
      </c>
      <c r="N80" s="60">
        <v>10.3</v>
      </c>
      <c r="O80" s="60">
        <v>0</v>
      </c>
      <c r="P80" s="60">
        <v>1.67</v>
      </c>
      <c r="Q80" s="60">
        <v>276.61</v>
      </c>
      <c r="R80" s="198"/>
      <c r="S80" s="198"/>
      <c r="T80" s="198"/>
      <c r="U80" s="198"/>
    </row>
    <row r="81" spans="1:26" s="12" customFormat="1" x14ac:dyDescent="0.25">
      <c r="A81" s="201" t="s">
        <v>2240</v>
      </c>
      <c r="B81" s="60">
        <v>28</v>
      </c>
      <c r="C81" s="60">
        <v>144.21</v>
      </c>
      <c r="D81" s="60">
        <v>102.04</v>
      </c>
      <c r="E81" s="60">
        <v>7.24</v>
      </c>
      <c r="F81" s="60">
        <v>0.71</v>
      </c>
      <c r="G81" s="60">
        <v>144.97</v>
      </c>
      <c r="H81" s="60">
        <v>49.58</v>
      </c>
      <c r="I81" s="60">
        <v>0.6</v>
      </c>
      <c r="J81" s="60">
        <v>0.11</v>
      </c>
      <c r="K81" s="60">
        <v>210.25</v>
      </c>
      <c r="L81" s="60">
        <v>22.71</v>
      </c>
      <c r="M81" s="218" t="s">
        <v>42</v>
      </c>
      <c r="N81" s="60">
        <v>10.3</v>
      </c>
      <c r="O81" s="60">
        <v>0</v>
      </c>
      <c r="P81" s="60">
        <v>1.69</v>
      </c>
      <c r="Q81" s="60">
        <v>278.95</v>
      </c>
      <c r="R81" s="198"/>
      <c r="S81" s="198"/>
      <c r="T81" s="198"/>
      <c r="U81" s="198"/>
    </row>
    <row r="82" spans="1:26" s="12" customFormat="1" x14ac:dyDescent="0.25">
      <c r="A82" s="201" t="s">
        <v>2241</v>
      </c>
      <c r="B82" s="60">
        <v>41.29</v>
      </c>
      <c r="C82" s="60">
        <v>151.55000000000001</v>
      </c>
      <c r="D82" s="60">
        <v>116.75</v>
      </c>
      <c r="E82" s="60">
        <v>7.25</v>
      </c>
      <c r="F82" s="60">
        <v>0.66</v>
      </c>
      <c r="G82" s="60">
        <v>144.97</v>
      </c>
      <c r="H82" s="60">
        <v>49.58</v>
      </c>
      <c r="I82" s="60">
        <v>0.63</v>
      </c>
      <c r="J82" s="60">
        <v>0.18</v>
      </c>
      <c r="K82" s="60">
        <v>230.57</v>
      </c>
      <c r="L82" s="60">
        <v>22.02</v>
      </c>
      <c r="M82" s="218" t="s">
        <v>42</v>
      </c>
      <c r="N82" s="60">
        <v>10</v>
      </c>
      <c r="O82" s="60">
        <v>0</v>
      </c>
      <c r="P82" s="60">
        <v>1.84</v>
      </c>
      <c r="Q82" s="60">
        <v>286.01</v>
      </c>
      <c r="R82" s="198"/>
      <c r="S82" s="198"/>
      <c r="T82" s="198"/>
      <c r="U82" s="198"/>
    </row>
    <row r="83" spans="1:26" s="12" customFormat="1" x14ac:dyDescent="0.25">
      <c r="A83" s="201" t="s">
        <v>2242</v>
      </c>
      <c r="B83" s="60">
        <v>54.55</v>
      </c>
      <c r="C83" s="60">
        <v>168.52</v>
      </c>
      <c r="D83" s="60">
        <v>136.74</v>
      </c>
      <c r="E83" s="60">
        <v>7.61</v>
      </c>
      <c r="F83" s="60">
        <v>0.52</v>
      </c>
      <c r="G83" s="60">
        <v>144.97</v>
      </c>
      <c r="H83" s="60">
        <v>49.58</v>
      </c>
      <c r="I83" s="60">
        <v>0.66</v>
      </c>
      <c r="J83" s="60">
        <v>0.17</v>
      </c>
      <c r="K83" s="60">
        <v>247.84</v>
      </c>
      <c r="L83" s="60">
        <v>21.57</v>
      </c>
      <c r="M83" s="218" t="s">
        <v>42</v>
      </c>
      <c r="N83" s="60">
        <v>10</v>
      </c>
      <c r="O83" s="60">
        <v>0</v>
      </c>
      <c r="P83" s="60">
        <v>2.0699999999999998</v>
      </c>
      <c r="Q83" s="60">
        <v>301.18</v>
      </c>
      <c r="R83" s="198"/>
      <c r="S83" s="198"/>
      <c r="T83" s="198"/>
      <c r="U83" s="198"/>
    </row>
    <row r="84" spans="1:26" s="12" customFormat="1" x14ac:dyDescent="0.25">
      <c r="A84" s="201" t="s">
        <v>2243</v>
      </c>
      <c r="B84" s="60">
        <v>63.14</v>
      </c>
      <c r="C84" s="60">
        <v>175.33</v>
      </c>
      <c r="D84" s="60">
        <v>147.38999999999999</v>
      </c>
      <c r="E84" s="60">
        <v>7.76</v>
      </c>
      <c r="F84" s="60">
        <v>0.79</v>
      </c>
      <c r="G84" s="60">
        <v>157.54</v>
      </c>
      <c r="H84" s="60">
        <v>49.62</v>
      </c>
      <c r="I84" s="60">
        <v>0.72</v>
      </c>
      <c r="J84" s="60">
        <v>0.06</v>
      </c>
      <c r="K84" s="60">
        <v>234.76</v>
      </c>
      <c r="L84" s="60">
        <v>21.3</v>
      </c>
      <c r="M84" s="218" t="s">
        <v>42</v>
      </c>
      <c r="N84" s="60">
        <v>10</v>
      </c>
      <c r="O84" s="60">
        <v>0</v>
      </c>
      <c r="P84" s="60">
        <v>2.2400000000000002</v>
      </c>
      <c r="Q84" s="60">
        <v>315.74</v>
      </c>
      <c r="R84" s="198"/>
      <c r="S84" s="198"/>
      <c r="T84" s="198"/>
      <c r="U84" s="198"/>
    </row>
    <row r="85" spans="1:26" s="12" customFormat="1" x14ac:dyDescent="0.25">
      <c r="A85" s="201" t="s">
        <v>2244</v>
      </c>
      <c r="B85" s="60">
        <v>70.77</v>
      </c>
      <c r="C85" s="60">
        <v>181.01</v>
      </c>
      <c r="D85" s="60">
        <v>156.65</v>
      </c>
      <c r="E85" s="60">
        <v>7.47</v>
      </c>
      <c r="F85" s="60">
        <v>0.91</v>
      </c>
      <c r="G85" s="60">
        <v>263.51</v>
      </c>
      <c r="H85" s="60">
        <v>50.03</v>
      </c>
      <c r="I85" s="60">
        <v>0.82</v>
      </c>
      <c r="J85" s="60">
        <v>7.0000000000000007E-2</v>
      </c>
      <c r="K85" s="60">
        <v>248.84</v>
      </c>
      <c r="L85" s="60">
        <v>20.89</v>
      </c>
      <c r="M85" s="218" t="s">
        <v>42</v>
      </c>
      <c r="N85" s="60">
        <v>10</v>
      </c>
      <c r="O85" s="60">
        <v>0</v>
      </c>
      <c r="P85" s="60">
        <v>2.36</v>
      </c>
      <c r="Q85" s="60">
        <v>326.62</v>
      </c>
      <c r="R85" s="198"/>
      <c r="S85" s="198"/>
      <c r="T85" s="198"/>
      <c r="U85" s="198"/>
    </row>
    <row r="86" spans="1:26" s="12" customFormat="1" x14ac:dyDescent="0.25">
      <c r="A86" s="201" t="s">
        <v>2245</v>
      </c>
      <c r="B86" s="60">
        <v>82.91</v>
      </c>
      <c r="C86" s="60">
        <v>189.26</v>
      </c>
      <c r="D86" s="60">
        <v>170.94</v>
      </c>
      <c r="E86" s="60">
        <v>7.79</v>
      </c>
      <c r="F86" s="60">
        <v>0.74</v>
      </c>
      <c r="G86" s="60">
        <v>263.51</v>
      </c>
      <c r="H86" s="60">
        <v>50.03</v>
      </c>
      <c r="I86" s="60">
        <v>0.9</v>
      </c>
      <c r="J86" s="60">
        <v>0.11</v>
      </c>
      <c r="K86" s="60">
        <v>254.32</v>
      </c>
      <c r="L86" s="60">
        <v>20.66</v>
      </c>
      <c r="M86" s="218" t="s">
        <v>42</v>
      </c>
      <c r="N86" s="60">
        <v>9.8000000000000007</v>
      </c>
      <c r="O86" s="60">
        <v>0</v>
      </c>
      <c r="P86" s="60">
        <v>2.6</v>
      </c>
      <c r="Q86" s="60">
        <v>342.29</v>
      </c>
      <c r="R86" s="198"/>
      <c r="S86" s="198"/>
      <c r="T86" s="198"/>
      <c r="U86" s="198"/>
    </row>
    <row r="87" spans="1:26" s="12" customFormat="1" x14ac:dyDescent="0.25">
      <c r="A87" s="201" t="s">
        <v>2246</v>
      </c>
      <c r="B87" s="60">
        <v>96.97</v>
      </c>
      <c r="C87" s="60">
        <v>200.72</v>
      </c>
      <c r="D87" s="60">
        <v>188.54</v>
      </c>
      <c r="E87" s="60">
        <v>8.0299999999999994</v>
      </c>
      <c r="F87" s="60">
        <v>0.87</v>
      </c>
      <c r="G87" s="60">
        <v>263.51</v>
      </c>
      <c r="H87" s="60">
        <v>50.03</v>
      </c>
      <c r="I87" s="60">
        <v>1</v>
      </c>
      <c r="J87" s="60">
        <v>0.08</v>
      </c>
      <c r="K87" s="60">
        <v>265.20999999999998</v>
      </c>
      <c r="L87" s="60">
        <v>20.309999999999999</v>
      </c>
      <c r="M87" s="218" t="s">
        <v>42</v>
      </c>
      <c r="N87" s="60">
        <v>9.9</v>
      </c>
      <c r="O87" s="60">
        <v>0</v>
      </c>
      <c r="P87" s="60">
        <v>2.8</v>
      </c>
      <c r="Q87" s="60">
        <v>358.08</v>
      </c>
      <c r="R87" s="198"/>
      <c r="S87" s="198"/>
      <c r="T87" s="198"/>
      <c r="U87" s="198"/>
    </row>
    <row r="88" spans="1:26" s="12" customFormat="1" x14ac:dyDescent="0.25">
      <c r="A88" s="201" t="s">
        <v>2247</v>
      </c>
      <c r="B88" s="60">
        <v>109.06</v>
      </c>
      <c r="C88" s="60">
        <v>209.3</v>
      </c>
      <c r="D88" s="60">
        <v>202.96</v>
      </c>
      <c r="E88" s="60">
        <v>2.85</v>
      </c>
      <c r="F88" s="60">
        <v>0.65</v>
      </c>
      <c r="G88" s="60">
        <v>271.08</v>
      </c>
      <c r="H88" s="60">
        <v>50.34</v>
      </c>
      <c r="I88" s="60">
        <v>1.1100000000000001</v>
      </c>
      <c r="J88" s="60">
        <v>0.12</v>
      </c>
      <c r="K88" s="60">
        <v>271.81</v>
      </c>
      <c r="L88" s="60">
        <v>20.05</v>
      </c>
      <c r="M88" s="218" t="s">
        <v>42</v>
      </c>
      <c r="N88" s="60">
        <v>9.6</v>
      </c>
      <c r="O88" s="60">
        <v>0</v>
      </c>
      <c r="P88" s="60">
        <v>3</v>
      </c>
      <c r="Q88" s="60">
        <v>376.16</v>
      </c>
      <c r="R88" s="198"/>
      <c r="S88" s="198"/>
      <c r="T88" s="198"/>
      <c r="U88" s="198"/>
    </row>
    <row r="89" spans="1:26" s="12" customFormat="1" x14ac:dyDescent="0.25">
      <c r="A89" s="201" t="s">
        <v>2248</v>
      </c>
      <c r="B89" s="60">
        <v>129.18</v>
      </c>
      <c r="C89" s="60">
        <v>226.64</v>
      </c>
      <c r="D89" s="60">
        <v>228.67</v>
      </c>
      <c r="E89" s="60">
        <v>6.94</v>
      </c>
      <c r="F89" s="60">
        <v>1.26</v>
      </c>
      <c r="G89" s="60">
        <v>334.86</v>
      </c>
      <c r="H89" s="60">
        <v>53.44</v>
      </c>
      <c r="I89" s="60">
        <v>1.23</v>
      </c>
      <c r="J89" s="60">
        <v>0.21</v>
      </c>
      <c r="K89" s="60">
        <v>274.68</v>
      </c>
      <c r="L89" s="60">
        <v>20.03</v>
      </c>
      <c r="M89" s="218" t="s">
        <v>42</v>
      </c>
      <c r="N89" s="60">
        <v>9.4</v>
      </c>
      <c r="O89" s="60">
        <v>0</v>
      </c>
      <c r="P89" s="60">
        <v>3.31</v>
      </c>
      <c r="Q89" s="60">
        <v>395.61</v>
      </c>
      <c r="R89" s="198"/>
      <c r="S89" s="198"/>
      <c r="T89" s="198"/>
      <c r="U89" s="198"/>
    </row>
    <row r="90" spans="1:26" s="12" customFormat="1" x14ac:dyDescent="0.25">
      <c r="A90" s="201" t="s">
        <v>2249</v>
      </c>
      <c r="B90" s="60">
        <v>143.02000000000001</v>
      </c>
      <c r="C90" s="60">
        <v>235.34</v>
      </c>
      <c r="D90" s="60">
        <v>244.57</v>
      </c>
      <c r="E90" s="60">
        <v>7.03</v>
      </c>
      <c r="F90" s="60">
        <v>1.1599999999999999</v>
      </c>
      <c r="G90" s="60">
        <v>334.86</v>
      </c>
      <c r="H90" s="60">
        <v>53.44</v>
      </c>
      <c r="I90" s="60">
        <v>1.37</v>
      </c>
      <c r="J90" s="60">
        <v>0.18</v>
      </c>
      <c r="K90" s="60">
        <v>277.74</v>
      </c>
      <c r="L90" s="60">
        <v>19.8</v>
      </c>
      <c r="M90" s="218" t="s">
        <v>42</v>
      </c>
      <c r="N90" s="60">
        <v>9.6999999999999993</v>
      </c>
      <c r="O90" s="60">
        <v>0</v>
      </c>
      <c r="P90" s="60">
        <v>3.57</v>
      </c>
      <c r="Q90" s="218" t="s">
        <v>42</v>
      </c>
      <c r="R90" s="198"/>
      <c r="S90" s="198"/>
      <c r="T90" s="198"/>
      <c r="U90" s="198"/>
    </row>
    <row r="91" spans="1:26" s="12" customFormat="1" x14ac:dyDescent="0.25">
      <c r="A91" s="201" t="s">
        <v>2250</v>
      </c>
      <c r="B91" s="60">
        <v>156.06</v>
      </c>
      <c r="C91" s="60">
        <v>247.06</v>
      </c>
      <c r="D91" s="60">
        <v>261.49</v>
      </c>
      <c r="E91" s="60">
        <v>6.83</v>
      </c>
      <c r="F91" s="60">
        <v>0.67</v>
      </c>
      <c r="G91" s="60">
        <v>334.86</v>
      </c>
      <c r="H91" s="60">
        <v>53.44</v>
      </c>
      <c r="I91" s="60">
        <v>1.51</v>
      </c>
      <c r="J91" s="60">
        <v>0.2</v>
      </c>
      <c r="K91" s="60">
        <v>269.54000000000002</v>
      </c>
      <c r="L91" s="60">
        <v>19.73</v>
      </c>
      <c r="M91" s="218" t="s">
        <v>42</v>
      </c>
      <c r="N91" s="60">
        <v>9.5</v>
      </c>
      <c r="O91" s="60">
        <v>0</v>
      </c>
      <c r="P91" s="60">
        <v>3.82</v>
      </c>
      <c r="Q91" s="218" t="s">
        <v>42</v>
      </c>
      <c r="R91" s="198"/>
      <c r="S91" s="198"/>
      <c r="T91" s="198"/>
      <c r="U91" s="198"/>
    </row>
    <row r="92" spans="1:26" s="12" customFormat="1" x14ac:dyDescent="0.25">
      <c r="A92" s="201" t="s">
        <v>2251</v>
      </c>
      <c r="B92" s="60">
        <v>168.21</v>
      </c>
      <c r="C92" s="60">
        <v>257.83999999999997</v>
      </c>
      <c r="D92" s="60">
        <v>277.19</v>
      </c>
      <c r="E92" s="60">
        <v>7.05</v>
      </c>
      <c r="F92" s="60">
        <v>0.67</v>
      </c>
      <c r="G92" s="60">
        <v>334.41</v>
      </c>
      <c r="H92" s="60">
        <v>54.67</v>
      </c>
      <c r="I92" s="60">
        <v>1.64</v>
      </c>
      <c r="J92" s="60">
        <v>0.11</v>
      </c>
      <c r="K92" s="60">
        <v>272.56</v>
      </c>
      <c r="L92" s="60">
        <v>19.54</v>
      </c>
      <c r="M92" s="218" t="s">
        <v>42</v>
      </c>
      <c r="N92" s="60">
        <v>9.6999999999999993</v>
      </c>
      <c r="O92" s="60">
        <v>0</v>
      </c>
      <c r="P92" s="60">
        <v>4.05</v>
      </c>
      <c r="Q92" s="218" t="s">
        <v>42</v>
      </c>
      <c r="R92" s="198"/>
      <c r="S92" s="198"/>
      <c r="T92" s="198"/>
      <c r="U92" s="198"/>
    </row>
    <row r="93" spans="1:26" s="12" customFormat="1" x14ac:dyDescent="0.25">
      <c r="A93" s="201" t="s">
        <v>2252</v>
      </c>
      <c r="B93" s="60">
        <v>174.22</v>
      </c>
      <c r="C93" s="60">
        <v>261.93</v>
      </c>
      <c r="D93" s="60">
        <v>284.26</v>
      </c>
      <c r="E93" s="60">
        <v>7.03</v>
      </c>
      <c r="F93" s="60">
        <v>0.72</v>
      </c>
      <c r="G93" s="60">
        <v>330.62</v>
      </c>
      <c r="H93" s="60">
        <v>67.22</v>
      </c>
      <c r="I93" s="60">
        <v>1.75</v>
      </c>
      <c r="J93" s="60">
        <v>0.11</v>
      </c>
      <c r="K93" s="60">
        <v>285.06</v>
      </c>
      <c r="L93" s="60">
        <v>19.23</v>
      </c>
      <c r="M93" s="218" t="s">
        <v>42</v>
      </c>
      <c r="N93" s="60">
        <v>9.6999999999999993</v>
      </c>
      <c r="O93" s="60">
        <v>0</v>
      </c>
      <c r="P93" s="60">
        <v>4.24</v>
      </c>
      <c r="Q93" s="218" t="s">
        <v>42</v>
      </c>
      <c r="R93" s="198"/>
      <c r="S93" s="198"/>
      <c r="T93" s="198"/>
      <c r="U93" s="198"/>
    </row>
    <row r="94" spans="1:26" s="12" customFormat="1" x14ac:dyDescent="0.25">
      <c r="A94" s="201" t="s">
        <v>2253</v>
      </c>
      <c r="B94" s="60">
        <v>183.94</v>
      </c>
      <c r="C94" s="60">
        <v>268.62</v>
      </c>
      <c r="D94" s="60">
        <v>295.75</v>
      </c>
      <c r="E94" s="60">
        <v>7.29</v>
      </c>
      <c r="F94" s="60">
        <v>0.77</v>
      </c>
      <c r="G94" s="60">
        <v>330.62</v>
      </c>
      <c r="H94" s="60">
        <v>67.22</v>
      </c>
      <c r="I94" s="60">
        <v>1.89</v>
      </c>
      <c r="J94" s="60">
        <v>0.15</v>
      </c>
      <c r="K94" s="60">
        <v>299.70999999999998</v>
      </c>
      <c r="L94" s="60">
        <v>19.13</v>
      </c>
      <c r="M94" s="218" t="s">
        <v>42</v>
      </c>
      <c r="N94" s="60">
        <v>9.6</v>
      </c>
      <c r="O94" s="60">
        <v>0</v>
      </c>
      <c r="P94" s="60">
        <v>4.5599999999999996</v>
      </c>
      <c r="Q94" s="218" t="s">
        <v>42</v>
      </c>
      <c r="R94" s="198"/>
      <c r="S94" s="198"/>
      <c r="T94" s="198"/>
      <c r="U94" s="198"/>
    </row>
    <row r="95" spans="1:26" s="12" customFormat="1" x14ac:dyDescent="0.25">
      <c r="A95" s="201" t="s">
        <v>2254</v>
      </c>
      <c r="B95" s="60">
        <v>200.7</v>
      </c>
      <c r="C95" s="60">
        <v>279.99</v>
      </c>
      <c r="D95" s="60">
        <v>315.45999999999998</v>
      </c>
      <c r="E95" s="60">
        <v>7.48</v>
      </c>
      <c r="F95" s="60">
        <v>0.93</v>
      </c>
      <c r="G95" s="60">
        <v>330.62</v>
      </c>
      <c r="H95" s="60">
        <v>67.22</v>
      </c>
      <c r="I95" s="60">
        <v>2.1800000000000002</v>
      </c>
      <c r="J95" s="60">
        <v>0.17</v>
      </c>
      <c r="K95" s="60">
        <v>305.66000000000003</v>
      </c>
      <c r="L95" s="60">
        <v>19.059999999999999</v>
      </c>
      <c r="M95" s="218" t="s">
        <v>42</v>
      </c>
      <c r="N95" s="60">
        <v>9.4</v>
      </c>
      <c r="O95" s="60">
        <v>0</v>
      </c>
      <c r="P95" s="60">
        <v>4.87</v>
      </c>
      <c r="Q95" s="218" t="s">
        <v>42</v>
      </c>
      <c r="R95" s="198"/>
      <c r="S95" s="198"/>
      <c r="T95" s="198"/>
      <c r="U95" s="198"/>
    </row>
    <row r="96" spans="1:26" s="12" customFormat="1" x14ac:dyDescent="0.25">
      <c r="A96" s="201" t="s">
        <v>2255</v>
      </c>
      <c r="B96" s="60">
        <v>215.1</v>
      </c>
      <c r="C96" s="60">
        <v>292.35000000000002</v>
      </c>
      <c r="D96" s="60">
        <v>333.83</v>
      </c>
      <c r="E96" s="60">
        <v>7.97</v>
      </c>
      <c r="F96" s="60">
        <v>0.91</v>
      </c>
      <c r="G96" s="60">
        <v>330.45</v>
      </c>
      <c r="H96" s="60">
        <v>68.290000000000006</v>
      </c>
      <c r="I96" s="60">
        <v>2.33</v>
      </c>
      <c r="J96" s="60">
        <v>0.24</v>
      </c>
      <c r="K96" s="60">
        <v>311.38</v>
      </c>
      <c r="L96" s="60">
        <v>18.8</v>
      </c>
      <c r="M96" s="218" t="s">
        <v>42</v>
      </c>
      <c r="N96" s="60">
        <v>9.6999999999999993</v>
      </c>
      <c r="O96" s="60">
        <v>0</v>
      </c>
      <c r="P96" s="60">
        <v>5.14</v>
      </c>
      <c r="Q96" s="218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2256</v>
      </c>
      <c r="B97" s="218" t="s">
        <v>42</v>
      </c>
      <c r="C97" s="218" t="s">
        <v>42</v>
      </c>
      <c r="D97" s="218" t="s">
        <v>42</v>
      </c>
      <c r="E97" s="60">
        <v>7.92</v>
      </c>
      <c r="F97" s="60">
        <v>0.6</v>
      </c>
      <c r="G97" s="60">
        <v>329.06</v>
      </c>
      <c r="H97" s="60">
        <v>79.23</v>
      </c>
      <c r="I97" s="60">
        <v>2.44</v>
      </c>
      <c r="J97" s="60">
        <v>0.16</v>
      </c>
      <c r="K97" s="60">
        <v>295.5</v>
      </c>
      <c r="L97" s="60">
        <v>18.690000000000001</v>
      </c>
      <c r="M97" s="218" t="s">
        <v>42</v>
      </c>
      <c r="N97" s="60">
        <v>9.4</v>
      </c>
      <c r="O97" s="60">
        <v>0</v>
      </c>
      <c r="P97" s="60">
        <v>5.37</v>
      </c>
      <c r="Q97" s="218" t="s">
        <v>42</v>
      </c>
      <c r="R97" s="198"/>
      <c r="S97" s="198"/>
      <c r="T97" s="198"/>
      <c r="U97" s="198"/>
    </row>
    <row r="98" spans="1:33" s="12" customFormat="1" x14ac:dyDescent="0.25">
      <c r="A98" s="201" t="s">
        <v>2257</v>
      </c>
      <c r="B98" s="218" t="s">
        <v>42</v>
      </c>
      <c r="C98" s="218" t="s">
        <v>42</v>
      </c>
      <c r="D98" s="218" t="s">
        <v>42</v>
      </c>
      <c r="E98" s="60">
        <v>8.24</v>
      </c>
      <c r="F98" s="60">
        <v>0.49</v>
      </c>
      <c r="G98" s="60">
        <v>329.06</v>
      </c>
      <c r="H98" s="60">
        <v>79.23</v>
      </c>
      <c r="I98" s="60">
        <v>2.58</v>
      </c>
      <c r="J98" s="60">
        <v>0.1</v>
      </c>
      <c r="K98" s="60">
        <v>296.87</v>
      </c>
      <c r="L98" s="60">
        <v>18.54</v>
      </c>
      <c r="M98" s="218" t="s">
        <v>42</v>
      </c>
      <c r="N98" s="60">
        <v>9.6999999999999993</v>
      </c>
      <c r="O98" s="60">
        <v>0</v>
      </c>
      <c r="P98" s="60">
        <v>5.6</v>
      </c>
      <c r="Q98" s="218" t="s">
        <v>42</v>
      </c>
      <c r="R98" s="198"/>
      <c r="S98" s="198"/>
      <c r="T98" s="198"/>
      <c r="U98" s="198"/>
    </row>
    <row r="99" spans="1:33" s="12" customFormat="1" x14ac:dyDescent="0.25">
      <c r="A99" s="201" t="s">
        <v>2258</v>
      </c>
      <c r="B99" s="218" t="s">
        <v>42</v>
      </c>
      <c r="C99" s="218" t="s">
        <v>42</v>
      </c>
      <c r="D99" s="218" t="s">
        <v>42</v>
      </c>
      <c r="E99" s="60">
        <v>7.88</v>
      </c>
      <c r="F99" s="60">
        <v>0.61</v>
      </c>
      <c r="G99" s="60">
        <v>329.06</v>
      </c>
      <c r="H99" s="60">
        <v>79.23</v>
      </c>
      <c r="I99" s="60">
        <v>2.68</v>
      </c>
      <c r="J99" s="60">
        <v>0.19</v>
      </c>
      <c r="K99" s="60">
        <v>295.20999999999998</v>
      </c>
      <c r="L99" s="60">
        <v>18.440000000000001</v>
      </c>
      <c r="M99" s="218" t="s">
        <v>42</v>
      </c>
      <c r="N99" s="60">
        <v>9.6</v>
      </c>
      <c r="O99" s="60">
        <v>0</v>
      </c>
      <c r="P99" s="60">
        <v>5.78</v>
      </c>
      <c r="Q99" s="218" t="s">
        <v>42</v>
      </c>
      <c r="R99" s="198"/>
      <c r="S99" s="198"/>
      <c r="T99" s="198"/>
      <c r="U99" s="198"/>
    </row>
    <row r="100" spans="1:33" s="12" customFormat="1" x14ac:dyDescent="0.25">
      <c r="A100" s="201" t="s">
        <v>2259</v>
      </c>
      <c r="B100" s="218" t="s">
        <v>42</v>
      </c>
      <c r="C100" s="218" t="s">
        <v>42</v>
      </c>
      <c r="D100" s="218" t="s">
        <v>42</v>
      </c>
      <c r="E100" s="60">
        <v>8.2200000000000006</v>
      </c>
      <c r="F100" s="60">
        <v>0.6</v>
      </c>
      <c r="G100" s="60">
        <v>322.57</v>
      </c>
      <c r="H100" s="60">
        <v>79.12</v>
      </c>
      <c r="I100" s="60">
        <v>2.77</v>
      </c>
      <c r="J100" s="60">
        <v>0.27</v>
      </c>
      <c r="K100" s="60">
        <v>287.47000000000003</v>
      </c>
      <c r="L100" s="60">
        <v>18.71</v>
      </c>
      <c r="M100" s="218" t="s">
        <v>42</v>
      </c>
      <c r="N100" s="60">
        <v>9</v>
      </c>
      <c r="O100" s="60">
        <v>0</v>
      </c>
      <c r="P100" s="60">
        <v>5.94</v>
      </c>
      <c r="Q100" s="218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2260</v>
      </c>
      <c r="B101" s="218" t="s">
        <v>42</v>
      </c>
      <c r="C101" s="218" t="s">
        <v>42</v>
      </c>
      <c r="D101" s="218" t="s">
        <v>42</v>
      </c>
      <c r="E101" s="60">
        <v>8.19</v>
      </c>
      <c r="F101" s="60">
        <v>0.7</v>
      </c>
      <c r="G101" s="60">
        <v>267.83999999999997</v>
      </c>
      <c r="H101" s="60">
        <v>78.09</v>
      </c>
      <c r="I101" s="60">
        <v>2.87</v>
      </c>
      <c r="J101" s="60">
        <v>0.23</v>
      </c>
      <c r="K101" s="60">
        <v>289.18</v>
      </c>
      <c r="L101" s="60">
        <v>18.489999999999998</v>
      </c>
      <c r="M101" s="218" t="s">
        <v>42</v>
      </c>
      <c r="N101" s="60">
        <v>9.6999999999999993</v>
      </c>
      <c r="O101" s="60">
        <v>0</v>
      </c>
      <c r="P101" s="60">
        <v>6</v>
      </c>
      <c r="Q101" s="218" t="s">
        <v>42</v>
      </c>
      <c r="R101" s="198"/>
      <c r="S101" s="198"/>
      <c r="T101" s="198"/>
      <c r="U101" s="198"/>
    </row>
    <row r="102" spans="1:33" s="12" customFormat="1" x14ac:dyDescent="0.25">
      <c r="A102" s="201" t="s">
        <v>2261</v>
      </c>
      <c r="B102" s="218" t="s">
        <v>42</v>
      </c>
      <c r="C102" s="218" t="s">
        <v>42</v>
      </c>
      <c r="D102" s="218" t="s">
        <v>42</v>
      </c>
      <c r="E102" s="60">
        <v>8.4</v>
      </c>
      <c r="F102" s="60">
        <v>0.56000000000000005</v>
      </c>
      <c r="G102" s="60">
        <v>267.83999999999997</v>
      </c>
      <c r="H102" s="60">
        <v>78.09</v>
      </c>
      <c r="I102" s="60">
        <v>2.94</v>
      </c>
      <c r="J102" s="60">
        <v>0.33</v>
      </c>
      <c r="K102" s="60">
        <v>298.07</v>
      </c>
      <c r="L102" s="60">
        <v>18.100000000000001</v>
      </c>
      <c r="M102" s="218" t="s">
        <v>42</v>
      </c>
      <c r="N102" s="60">
        <v>9.5</v>
      </c>
      <c r="O102" s="60">
        <v>0</v>
      </c>
      <c r="P102" s="60">
        <v>6.05</v>
      </c>
      <c r="Q102" s="218" t="s">
        <v>42</v>
      </c>
      <c r="R102" s="198"/>
      <c r="S102" s="198"/>
      <c r="T102" s="198"/>
      <c r="U102" s="198"/>
    </row>
    <row r="103" spans="1:33" s="12" customFormat="1" x14ac:dyDescent="0.25">
      <c r="A103" s="201" t="s">
        <v>2262</v>
      </c>
      <c r="B103" s="218" t="s">
        <v>42</v>
      </c>
      <c r="C103" s="218" t="s">
        <v>42</v>
      </c>
      <c r="D103" s="218" t="s">
        <v>42</v>
      </c>
      <c r="E103" s="60">
        <v>8.35</v>
      </c>
      <c r="F103" s="60">
        <v>0.63</v>
      </c>
      <c r="G103" s="60">
        <v>267.83999999999997</v>
      </c>
      <c r="H103" s="60">
        <v>78.09</v>
      </c>
      <c r="I103" s="60">
        <v>2.98</v>
      </c>
      <c r="J103" s="60">
        <v>0.38</v>
      </c>
      <c r="K103" s="60">
        <v>300.89</v>
      </c>
      <c r="L103" s="60">
        <v>17.8</v>
      </c>
      <c r="M103" s="218" t="s">
        <v>42</v>
      </c>
      <c r="N103" s="60">
        <v>9.1</v>
      </c>
      <c r="O103" s="60">
        <v>0</v>
      </c>
      <c r="P103" s="60">
        <v>6.11</v>
      </c>
      <c r="Q103" s="218" t="s">
        <v>42</v>
      </c>
      <c r="R103" s="198"/>
      <c r="S103" s="198"/>
      <c r="T103" s="198"/>
      <c r="U103" s="198"/>
    </row>
    <row r="104" spans="1:33" s="12" customFormat="1" x14ac:dyDescent="0.25">
      <c r="A104" s="201" t="s">
        <v>2263</v>
      </c>
      <c r="B104" s="218" t="s">
        <v>42</v>
      </c>
      <c r="C104" s="218" t="s">
        <v>42</v>
      </c>
      <c r="D104" s="218" t="s">
        <v>42</v>
      </c>
      <c r="E104" s="60">
        <v>3.85</v>
      </c>
      <c r="F104" s="60">
        <v>0.6</v>
      </c>
      <c r="G104" s="60">
        <v>265.31</v>
      </c>
      <c r="H104" s="60">
        <v>78.290000000000006</v>
      </c>
      <c r="I104" s="60">
        <v>3.02</v>
      </c>
      <c r="J104" s="60">
        <v>0.84</v>
      </c>
      <c r="K104" s="60">
        <v>270.07</v>
      </c>
      <c r="L104" s="60">
        <v>18.600000000000001</v>
      </c>
      <c r="M104" s="218" t="s">
        <v>42</v>
      </c>
      <c r="N104" s="60">
        <v>8.1</v>
      </c>
      <c r="O104" s="60">
        <v>0</v>
      </c>
      <c r="P104" s="60">
        <v>6.04</v>
      </c>
      <c r="Q104" s="218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10.73</v>
      </c>
      <c r="C106" s="67">
        <f>MIN(C9:C104)</f>
        <v>85.87</v>
      </c>
      <c r="D106" s="67">
        <f t="shared" ref="D106:Q106" si="0">MIN(D9:D104)</f>
        <v>57.63</v>
      </c>
      <c r="E106" s="67">
        <f t="shared" si="0"/>
        <v>2.85</v>
      </c>
      <c r="F106" s="67">
        <f t="shared" si="0"/>
        <v>0.21</v>
      </c>
      <c r="G106" s="67">
        <f t="shared" si="0"/>
        <v>66.13</v>
      </c>
      <c r="H106" s="67">
        <f t="shared" si="0"/>
        <v>34.89</v>
      </c>
      <c r="I106" s="67">
        <f t="shared" si="0"/>
        <v>0.47</v>
      </c>
      <c r="J106" s="67">
        <f t="shared" si="0"/>
        <v>0.06</v>
      </c>
      <c r="K106" s="67">
        <f t="shared" si="0"/>
        <v>149.79</v>
      </c>
      <c r="L106" s="67">
        <f t="shared" si="0"/>
        <v>13.87</v>
      </c>
      <c r="M106" s="67">
        <f t="shared" si="0"/>
        <v>1.76</v>
      </c>
      <c r="N106" s="67">
        <f t="shared" si="0"/>
        <v>4.0999999999999996</v>
      </c>
      <c r="O106" s="67">
        <f t="shared" si="0"/>
        <v>0</v>
      </c>
      <c r="P106" s="67">
        <f t="shared" si="0"/>
        <v>1.31</v>
      </c>
      <c r="Q106" s="67">
        <f t="shared" si="0"/>
        <v>201.91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215.1</v>
      </c>
      <c r="C107" s="66">
        <f t="shared" ref="C107:Q107" si="1">MAX(C9:C104)</f>
        <v>292.35000000000002</v>
      </c>
      <c r="D107" s="66">
        <f t="shared" si="1"/>
        <v>333.83</v>
      </c>
      <c r="E107" s="66">
        <f t="shared" si="1"/>
        <v>18.989999999999998</v>
      </c>
      <c r="F107" s="66">
        <f t="shared" si="1"/>
        <v>5.96</v>
      </c>
      <c r="G107" s="66">
        <f t="shared" si="1"/>
        <v>334.86</v>
      </c>
      <c r="H107" s="66">
        <f t="shared" si="1"/>
        <v>92.35</v>
      </c>
      <c r="I107" s="66">
        <f t="shared" si="1"/>
        <v>3.02</v>
      </c>
      <c r="J107" s="66">
        <f t="shared" si="1"/>
        <v>32.409999999999997</v>
      </c>
      <c r="K107" s="66">
        <f t="shared" si="1"/>
        <v>311.38</v>
      </c>
      <c r="L107" s="66">
        <f t="shared" si="1"/>
        <v>30.96</v>
      </c>
      <c r="M107" s="66">
        <f t="shared" si="1"/>
        <v>90.74</v>
      </c>
      <c r="N107" s="66">
        <f t="shared" si="1"/>
        <v>572.29999999999995</v>
      </c>
      <c r="O107" s="66">
        <f t="shared" si="1"/>
        <v>0</v>
      </c>
      <c r="P107" s="66">
        <f t="shared" si="1"/>
        <v>6.11</v>
      </c>
      <c r="Q107" s="66">
        <f t="shared" si="1"/>
        <v>395.61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43.705227272727257</v>
      </c>
      <c r="C108" s="67">
        <f t="shared" ref="C108:Q108" si="2">AVERAGE(C9:C104)</f>
        <v>139.79568181818183</v>
      </c>
      <c r="D108" s="67">
        <f t="shared" si="2"/>
        <v>112.19727272727272</v>
      </c>
      <c r="E108" s="67">
        <f t="shared" si="2"/>
        <v>8.4053124999999991</v>
      </c>
      <c r="F108" s="67">
        <f t="shared" si="2"/>
        <v>1.4647916666666658</v>
      </c>
      <c r="G108" s="67">
        <f t="shared" si="2"/>
        <v>179.18703296703296</v>
      </c>
      <c r="H108" s="67">
        <f t="shared" si="2"/>
        <v>56.905104166666632</v>
      </c>
      <c r="I108" s="67">
        <f t="shared" si="2"/>
        <v>0.84114583333333304</v>
      </c>
      <c r="J108" s="67">
        <f t="shared" si="2"/>
        <v>0.84729166666666655</v>
      </c>
      <c r="K108" s="67">
        <f t="shared" si="2"/>
        <v>232.75218750000008</v>
      </c>
      <c r="L108" s="67">
        <f t="shared" si="2"/>
        <v>21.590105263157888</v>
      </c>
      <c r="M108" s="67">
        <f t="shared" si="2"/>
        <v>60.650781250000001</v>
      </c>
      <c r="N108" s="67">
        <f t="shared" si="2"/>
        <v>130.33437500000005</v>
      </c>
      <c r="O108" s="67">
        <f t="shared" si="2"/>
        <v>0</v>
      </c>
      <c r="P108" s="67">
        <f t="shared" si="2"/>
        <v>2.2062500000000003</v>
      </c>
      <c r="Q108" s="67">
        <f t="shared" si="2"/>
        <v>245.88222222222225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47.207172428386208</v>
      </c>
      <c r="C109" s="67">
        <f t="shared" ref="C109:Q109" si="3">STDEV(C9:C104)</f>
        <v>47.196353789504052</v>
      </c>
      <c r="D109" s="67">
        <f t="shared" si="3"/>
        <v>62.880376664647827</v>
      </c>
      <c r="E109" s="67">
        <f t="shared" si="3"/>
        <v>2.6722570602493825</v>
      </c>
      <c r="F109" s="67">
        <f t="shared" si="3"/>
        <v>1.2614853226646148</v>
      </c>
      <c r="G109" s="67">
        <f t="shared" si="3"/>
        <v>79.462204929198947</v>
      </c>
      <c r="H109" s="67">
        <f t="shared" si="3"/>
        <v>15.016044681732209</v>
      </c>
      <c r="I109" s="67">
        <f t="shared" si="3"/>
        <v>0.69081320468845298</v>
      </c>
      <c r="J109" s="67">
        <f t="shared" si="3"/>
        <v>3.2898320159215495</v>
      </c>
      <c r="K109" s="67">
        <f t="shared" si="3"/>
        <v>33.848437582012131</v>
      </c>
      <c r="L109" s="67">
        <f t="shared" si="3"/>
        <v>5.3729253283985718</v>
      </c>
      <c r="M109" s="67">
        <f t="shared" si="3"/>
        <v>20.51464249073862</v>
      </c>
      <c r="N109" s="67">
        <f t="shared" si="3"/>
        <v>178.87072534338427</v>
      </c>
      <c r="O109" s="67">
        <f t="shared" si="3"/>
        <v>0</v>
      </c>
      <c r="P109" s="67">
        <f t="shared" si="3"/>
        <v>1.3612929225749424</v>
      </c>
      <c r="Q109" s="67">
        <f t="shared" si="3"/>
        <v>37.965873458936422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88</v>
      </c>
      <c r="C110" s="66">
        <f t="shared" ref="C110:Q110" si="4">COUNT(C9:C104)</f>
        <v>88</v>
      </c>
      <c r="D110" s="66">
        <f t="shared" si="4"/>
        <v>88</v>
      </c>
      <c r="E110" s="66">
        <f t="shared" si="4"/>
        <v>96</v>
      </c>
      <c r="F110" s="66">
        <f t="shared" si="4"/>
        <v>96</v>
      </c>
      <c r="G110" s="66">
        <f t="shared" si="4"/>
        <v>91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95</v>
      </c>
      <c r="M110" s="66">
        <f t="shared" si="4"/>
        <v>64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81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&lt;90%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LESS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2071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M111" sqref="M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2264</v>
      </c>
      <c r="B9" s="60">
        <v>220.15</v>
      </c>
      <c r="C9" s="60">
        <v>289.70999999999998</v>
      </c>
      <c r="D9" s="60">
        <v>336.42</v>
      </c>
      <c r="E9" s="60">
        <v>6.85</v>
      </c>
      <c r="F9" s="60">
        <v>0.64</v>
      </c>
      <c r="G9" s="60">
        <v>244.05</v>
      </c>
      <c r="H9" s="60">
        <v>80.38</v>
      </c>
      <c r="I9" s="60">
        <v>3.04</v>
      </c>
      <c r="J9" s="60">
        <v>0.54</v>
      </c>
      <c r="K9" s="60">
        <v>250.12</v>
      </c>
      <c r="L9" s="60">
        <v>19.13</v>
      </c>
      <c r="M9" s="9" t="s">
        <v>35</v>
      </c>
      <c r="N9" s="60">
        <v>9.1999999999999993</v>
      </c>
      <c r="O9" s="60">
        <v>0</v>
      </c>
      <c r="P9" s="60">
        <v>5.8</v>
      </c>
      <c r="Q9" s="218" t="s">
        <v>42</v>
      </c>
      <c r="R9" s="198"/>
      <c r="S9" s="198"/>
      <c r="T9" s="198"/>
      <c r="U9" s="198"/>
    </row>
    <row r="10" spans="1:21" s="12" customFormat="1" x14ac:dyDescent="0.25">
      <c r="A10" s="201" t="s">
        <v>2265</v>
      </c>
      <c r="B10" s="60">
        <v>207.73</v>
      </c>
      <c r="C10" s="60">
        <v>278.70999999999998</v>
      </c>
      <c r="D10" s="60">
        <v>320.39</v>
      </c>
      <c r="E10" s="60">
        <v>7.37</v>
      </c>
      <c r="F10" s="60">
        <v>0.7</v>
      </c>
      <c r="G10" s="60">
        <v>244.05</v>
      </c>
      <c r="H10" s="60">
        <v>80.38</v>
      </c>
      <c r="I10" s="60">
        <v>2.99</v>
      </c>
      <c r="J10" s="60">
        <v>0.39</v>
      </c>
      <c r="K10" s="60">
        <v>245.48</v>
      </c>
      <c r="L10" s="60">
        <v>19.149999999999999</v>
      </c>
      <c r="M10" s="9" t="s">
        <v>35</v>
      </c>
      <c r="N10" s="60">
        <v>9.6</v>
      </c>
      <c r="O10" s="60">
        <v>0</v>
      </c>
      <c r="P10" s="60">
        <v>5.57</v>
      </c>
      <c r="Q10" s="218" t="s">
        <v>42</v>
      </c>
      <c r="R10" s="198"/>
      <c r="S10" s="198"/>
      <c r="T10" s="198"/>
      <c r="U10" s="198"/>
    </row>
    <row r="11" spans="1:21" s="12" customFormat="1" x14ac:dyDescent="0.25">
      <c r="A11" s="201" t="s">
        <v>2266</v>
      </c>
      <c r="B11" s="60">
        <v>195.95</v>
      </c>
      <c r="C11" s="60">
        <v>268.08999999999997</v>
      </c>
      <c r="D11" s="60">
        <v>305.08999999999997</v>
      </c>
      <c r="E11" s="60">
        <v>7.54</v>
      </c>
      <c r="F11" s="60">
        <v>0.77</v>
      </c>
      <c r="G11" s="60">
        <v>244.05</v>
      </c>
      <c r="H11" s="60">
        <v>80.38</v>
      </c>
      <c r="I11" s="60">
        <v>2.88</v>
      </c>
      <c r="J11" s="60">
        <v>0.41</v>
      </c>
      <c r="K11" s="60">
        <v>246.22</v>
      </c>
      <c r="L11" s="60">
        <v>19</v>
      </c>
      <c r="M11" s="9" t="s">
        <v>35</v>
      </c>
      <c r="N11" s="60">
        <v>9.5</v>
      </c>
      <c r="O11" s="60">
        <v>0</v>
      </c>
      <c r="P11" s="60">
        <v>5.35</v>
      </c>
      <c r="Q11" s="218" t="s">
        <v>42</v>
      </c>
      <c r="R11" s="198"/>
      <c r="S11" s="198"/>
      <c r="T11" s="198"/>
      <c r="U11" s="198"/>
    </row>
    <row r="12" spans="1:21" s="12" customFormat="1" x14ac:dyDescent="0.25">
      <c r="A12" s="201" t="s">
        <v>2267</v>
      </c>
      <c r="B12" s="60">
        <v>184.7</v>
      </c>
      <c r="C12" s="60">
        <v>257.58999999999997</v>
      </c>
      <c r="D12" s="60">
        <v>290.27</v>
      </c>
      <c r="E12" s="60">
        <v>7.02</v>
      </c>
      <c r="F12" s="60">
        <v>0.69</v>
      </c>
      <c r="G12" s="60">
        <v>239.74</v>
      </c>
      <c r="H12" s="60">
        <v>79.8</v>
      </c>
      <c r="I12" s="60">
        <v>2.76</v>
      </c>
      <c r="J12" s="60">
        <v>0.27</v>
      </c>
      <c r="K12" s="60">
        <v>244.17</v>
      </c>
      <c r="L12" s="60">
        <v>18.84</v>
      </c>
      <c r="M12" s="9" t="s">
        <v>35</v>
      </c>
      <c r="N12" s="60">
        <v>9.6999999999999993</v>
      </c>
      <c r="O12" s="60">
        <v>0</v>
      </c>
      <c r="P12" s="60">
        <v>5.16</v>
      </c>
      <c r="Q12" s="218" t="s">
        <v>42</v>
      </c>
      <c r="R12" s="198"/>
      <c r="S12" s="198"/>
      <c r="T12" s="198"/>
      <c r="U12" s="198"/>
    </row>
    <row r="13" spans="1:21" s="12" customFormat="1" x14ac:dyDescent="0.25">
      <c r="A13" s="201" t="s">
        <v>2268</v>
      </c>
      <c r="B13" s="60">
        <v>174.13</v>
      </c>
      <c r="C13" s="60">
        <v>247.43</v>
      </c>
      <c r="D13" s="60">
        <v>276.18</v>
      </c>
      <c r="E13" s="60">
        <v>6.89</v>
      </c>
      <c r="F13" s="60">
        <v>0.59</v>
      </c>
      <c r="G13" s="60">
        <v>203.45</v>
      </c>
      <c r="H13" s="60">
        <v>73.86</v>
      </c>
      <c r="I13" s="60">
        <v>2.62</v>
      </c>
      <c r="J13" s="60">
        <v>0.51</v>
      </c>
      <c r="K13" s="60">
        <v>241.97</v>
      </c>
      <c r="L13" s="60">
        <v>18.82</v>
      </c>
      <c r="M13" s="9" t="s">
        <v>35</v>
      </c>
      <c r="N13" s="60">
        <v>9.1</v>
      </c>
      <c r="O13" s="60">
        <v>0</v>
      </c>
      <c r="P13" s="60">
        <v>4.63</v>
      </c>
      <c r="Q13" s="218" t="s">
        <v>42</v>
      </c>
      <c r="R13" s="198"/>
      <c r="S13" s="198"/>
      <c r="T13" s="198"/>
      <c r="U13" s="198"/>
    </row>
    <row r="14" spans="1:21" s="12" customFormat="1" x14ac:dyDescent="0.25">
      <c r="A14" s="201" t="s">
        <v>2269</v>
      </c>
      <c r="B14" s="60">
        <v>163.44999999999999</v>
      </c>
      <c r="C14" s="60">
        <v>236.88</v>
      </c>
      <c r="D14" s="60">
        <v>261.81</v>
      </c>
      <c r="E14" s="60">
        <v>6.54</v>
      </c>
      <c r="F14" s="60">
        <v>0.81</v>
      </c>
      <c r="G14" s="60">
        <v>203.45</v>
      </c>
      <c r="H14" s="60">
        <v>73.86</v>
      </c>
      <c r="I14" s="60">
        <v>2.5</v>
      </c>
      <c r="J14" s="60">
        <v>0.13</v>
      </c>
      <c r="K14" s="60">
        <v>243.71</v>
      </c>
      <c r="L14" s="60">
        <v>18.559999999999999</v>
      </c>
      <c r="M14" s="9" t="s">
        <v>35</v>
      </c>
      <c r="N14" s="60">
        <v>10.1</v>
      </c>
      <c r="O14" s="60">
        <v>0</v>
      </c>
      <c r="P14" s="60">
        <v>4.66</v>
      </c>
      <c r="Q14" s="218" t="s">
        <v>42</v>
      </c>
      <c r="R14" s="198"/>
      <c r="S14" s="198"/>
      <c r="T14" s="198"/>
      <c r="U14" s="198"/>
    </row>
    <row r="15" spans="1:21" s="12" customFormat="1" x14ac:dyDescent="0.25">
      <c r="A15" s="201" t="s">
        <v>2270</v>
      </c>
      <c r="B15" s="60">
        <v>152.61000000000001</v>
      </c>
      <c r="C15" s="60">
        <v>227.4</v>
      </c>
      <c r="D15" s="60">
        <v>247.88</v>
      </c>
      <c r="E15" s="60">
        <v>6.89</v>
      </c>
      <c r="F15" s="60">
        <v>0.87</v>
      </c>
      <c r="G15" s="60">
        <v>203.45</v>
      </c>
      <c r="H15" s="60">
        <v>73.86</v>
      </c>
      <c r="I15" s="60">
        <v>2.39</v>
      </c>
      <c r="J15" s="60">
        <v>0.16</v>
      </c>
      <c r="K15" s="60">
        <v>255.22</v>
      </c>
      <c r="L15" s="60">
        <v>18.03</v>
      </c>
      <c r="M15" s="9" t="s">
        <v>35</v>
      </c>
      <c r="N15" s="60">
        <v>9.8000000000000007</v>
      </c>
      <c r="O15" s="60">
        <v>0</v>
      </c>
      <c r="P15" s="60">
        <v>4.46</v>
      </c>
      <c r="Q15" s="218" t="s">
        <v>42</v>
      </c>
      <c r="R15" s="198"/>
      <c r="S15" s="198"/>
      <c r="T15" s="198"/>
      <c r="U15" s="198"/>
    </row>
    <row r="16" spans="1:21" s="12" customFormat="1" x14ac:dyDescent="0.25">
      <c r="A16" s="201" t="s">
        <v>2271</v>
      </c>
      <c r="B16" s="60">
        <v>141.19999999999999</v>
      </c>
      <c r="C16" s="60">
        <v>216.61</v>
      </c>
      <c r="D16" s="60">
        <v>232.77</v>
      </c>
      <c r="E16" s="60">
        <v>6.77</v>
      </c>
      <c r="F16" s="60">
        <v>0.64</v>
      </c>
      <c r="G16" s="60">
        <v>197.25</v>
      </c>
      <c r="H16" s="60">
        <v>72.98</v>
      </c>
      <c r="I16" s="60">
        <v>2.27</v>
      </c>
      <c r="J16" s="60">
        <v>0.38</v>
      </c>
      <c r="K16" s="60">
        <v>246.49</v>
      </c>
      <c r="L16" s="60">
        <v>18.21</v>
      </c>
      <c r="M16" s="9" t="s">
        <v>35</v>
      </c>
      <c r="N16" s="60">
        <v>9.1999999999999993</v>
      </c>
      <c r="O16" s="60">
        <v>0</v>
      </c>
      <c r="P16" s="60">
        <v>4.24</v>
      </c>
      <c r="Q16" s="60">
        <v>395.9</v>
      </c>
      <c r="R16" s="198"/>
      <c r="S16" s="198"/>
      <c r="T16" s="198"/>
      <c r="U16" s="198"/>
    </row>
    <row r="17" spans="1:21" s="12" customFormat="1" x14ac:dyDescent="0.25">
      <c r="A17" s="201" t="s">
        <v>2272</v>
      </c>
      <c r="B17" s="60">
        <v>131.68</v>
      </c>
      <c r="C17" s="60">
        <v>207.12</v>
      </c>
      <c r="D17" s="60">
        <v>219.9</v>
      </c>
      <c r="E17" s="60">
        <v>6.88</v>
      </c>
      <c r="F17" s="60">
        <v>0.67</v>
      </c>
      <c r="G17" s="60">
        <v>145.05000000000001</v>
      </c>
      <c r="H17" s="60">
        <v>63.9</v>
      </c>
      <c r="I17" s="60">
        <v>2.16</v>
      </c>
      <c r="J17" s="60">
        <v>0.81</v>
      </c>
      <c r="K17" s="60">
        <v>240.23</v>
      </c>
      <c r="L17" s="60">
        <v>18.39</v>
      </c>
      <c r="M17" s="9" t="s">
        <v>35</v>
      </c>
      <c r="N17" s="60">
        <v>8.5</v>
      </c>
      <c r="O17" s="60">
        <v>0</v>
      </c>
      <c r="P17" s="60">
        <v>4.03</v>
      </c>
      <c r="Q17" s="60">
        <v>383.23</v>
      </c>
      <c r="R17" s="198"/>
      <c r="S17" s="198"/>
      <c r="T17" s="198"/>
      <c r="U17" s="198"/>
    </row>
    <row r="18" spans="1:21" s="12" customFormat="1" x14ac:dyDescent="0.25">
      <c r="A18" s="201" t="s">
        <v>2273</v>
      </c>
      <c r="B18" s="60">
        <v>118.18</v>
      </c>
      <c r="C18" s="60">
        <v>198.22</v>
      </c>
      <c r="D18" s="60">
        <v>204.17</v>
      </c>
      <c r="E18" s="60">
        <v>6.69</v>
      </c>
      <c r="F18" s="60">
        <v>0.72</v>
      </c>
      <c r="G18" s="60">
        <v>145.05000000000001</v>
      </c>
      <c r="H18" s="60">
        <v>63.9</v>
      </c>
      <c r="I18" s="60">
        <v>2.04</v>
      </c>
      <c r="J18" s="60">
        <v>0.87</v>
      </c>
      <c r="K18" s="60">
        <v>233.49</v>
      </c>
      <c r="L18" s="60">
        <v>18.57</v>
      </c>
      <c r="M18" s="9" t="s">
        <v>35</v>
      </c>
      <c r="N18" s="60">
        <v>9.1999999999999993</v>
      </c>
      <c r="O18" s="60">
        <v>0</v>
      </c>
      <c r="P18" s="60">
        <v>3.76</v>
      </c>
      <c r="Q18" s="60">
        <v>368.02</v>
      </c>
      <c r="R18" s="198"/>
      <c r="S18" s="198"/>
      <c r="T18" s="198"/>
      <c r="U18" s="198"/>
    </row>
    <row r="19" spans="1:21" s="12" customFormat="1" x14ac:dyDescent="0.25">
      <c r="A19" s="201" t="s">
        <v>2274</v>
      </c>
      <c r="B19" s="60">
        <v>105.43</v>
      </c>
      <c r="C19" s="60">
        <v>188.99</v>
      </c>
      <c r="D19" s="60">
        <v>188.84</v>
      </c>
      <c r="E19" s="60">
        <v>6.74</v>
      </c>
      <c r="F19" s="60">
        <v>0.88</v>
      </c>
      <c r="G19" s="60">
        <v>145.05000000000001</v>
      </c>
      <c r="H19" s="60">
        <v>63.9</v>
      </c>
      <c r="I19" s="60">
        <v>1.78</v>
      </c>
      <c r="J19" s="60">
        <v>0.72</v>
      </c>
      <c r="K19" s="60">
        <v>230.04</v>
      </c>
      <c r="L19" s="60">
        <v>18.489999999999998</v>
      </c>
      <c r="M19" s="9" t="s">
        <v>35</v>
      </c>
      <c r="N19" s="60">
        <v>9.5</v>
      </c>
      <c r="O19" s="60">
        <v>0</v>
      </c>
      <c r="P19" s="60">
        <v>3.52</v>
      </c>
      <c r="Q19" s="60">
        <v>353.03</v>
      </c>
      <c r="R19" s="198"/>
      <c r="S19" s="198"/>
      <c r="T19" s="198"/>
      <c r="U19" s="198"/>
    </row>
    <row r="20" spans="1:21" s="12" customFormat="1" x14ac:dyDescent="0.25">
      <c r="A20" s="201" t="s">
        <v>2275</v>
      </c>
      <c r="B20" s="60">
        <v>98.44</v>
      </c>
      <c r="C20" s="60">
        <v>180.42</v>
      </c>
      <c r="D20" s="60">
        <v>178.52</v>
      </c>
      <c r="E20" s="60">
        <v>6.42</v>
      </c>
      <c r="F20" s="60">
        <v>0.98</v>
      </c>
      <c r="G20" s="60">
        <v>141.52000000000001</v>
      </c>
      <c r="H20" s="60">
        <v>63.38</v>
      </c>
      <c r="I20" s="60">
        <v>1.66</v>
      </c>
      <c r="J20" s="60">
        <v>0.83</v>
      </c>
      <c r="K20" s="60">
        <v>233.19</v>
      </c>
      <c r="L20" s="60">
        <v>18.28</v>
      </c>
      <c r="M20" s="9" t="s">
        <v>35</v>
      </c>
      <c r="N20" s="60">
        <v>9.6999999999999993</v>
      </c>
      <c r="O20" s="60">
        <v>0</v>
      </c>
      <c r="P20" s="60">
        <v>3.29</v>
      </c>
      <c r="Q20" s="60">
        <v>336.6</v>
      </c>
      <c r="R20" s="198"/>
      <c r="S20" s="198"/>
      <c r="T20" s="198"/>
      <c r="U20" s="198"/>
    </row>
    <row r="21" spans="1:21" s="12" customFormat="1" x14ac:dyDescent="0.25">
      <c r="A21" s="201" t="s">
        <v>2276</v>
      </c>
      <c r="B21" s="60">
        <v>90.69</v>
      </c>
      <c r="C21" s="60">
        <v>175.38</v>
      </c>
      <c r="D21" s="60">
        <v>169.52</v>
      </c>
      <c r="E21" s="60">
        <v>6.47</v>
      </c>
      <c r="F21" s="60">
        <v>0.79</v>
      </c>
      <c r="G21" s="60">
        <v>111.78</v>
      </c>
      <c r="H21" s="60">
        <v>58.1</v>
      </c>
      <c r="I21" s="60">
        <v>1.56</v>
      </c>
      <c r="J21" s="60">
        <v>0.51</v>
      </c>
      <c r="K21" s="60">
        <v>240.68</v>
      </c>
      <c r="L21" s="60">
        <v>17.87</v>
      </c>
      <c r="M21" s="9" t="s">
        <v>35</v>
      </c>
      <c r="N21" s="60">
        <v>9.8000000000000007</v>
      </c>
      <c r="O21" s="60">
        <v>0</v>
      </c>
      <c r="P21" s="60">
        <v>3.09</v>
      </c>
      <c r="Q21" s="60">
        <v>321.77999999999997</v>
      </c>
      <c r="R21" s="198"/>
      <c r="S21" s="198"/>
      <c r="T21" s="198"/>
      <c r="U21" s="198"/>
    </row>
    <row r="22" spans="1:21" s="12" customFormat="1" x14ac:dyDescent="0.25">
      <c r="A22" s="201" t="s">
        <v>2277</v>
      </c>
      <c r="B22" s="60">
        <v>83.26</v>
      </c>
      <c r="C22" s="60">
        <v>169.55</v>
      </c>
      <c r="D22" s="60">
        <v>160.34</v>
      </c>
      <c r="E22" s="60">
        <v>7.14</v>
      </c>
      <c r="F22" s="60">
        <v>0.72</v>
      </c>
      <c r="G22" s="60">
        <v>111.78</v>
      </c>
      <c r="H22" s="60">
        <v>58.1</v>
      </c>
      <c r="I22" s="60">
        <v>1.48</v>
      </c>
      <c r="J22" s="60">
        <v>0.71</v>
      </c>
      <c r="K22" s="60">
        <v>247.66</v>
      </c>
      <c r="L22" s="60">
        <v>17.649999999999999</v>
      </c>
      <c r="M22" s="9" t="s">
        <v>35</v>
      </c>
      <c r="N22" s="60">
        <v>9.3000000000000007</v>
      </c>
      <c r="O22" s="60">
        <v>0</v>
      </c>
      <c r="P22" s="60">
        <v>2.93</v>
      </c>
      <c r="Q22" s="60">
        <v>313.81</v>
      </c>
      <c r="R22" s="198"/>
      <c r="S22" s="198"/>
      <c r="T22" s="198"/>
      <c r="U22" s="198"/>
    </row>
    <row r="23" spans="1:21" s="12" customFormat="1" x14ac:dyDescent="0.25">
      <c r="A23" s="201" t="s">
        <v>2278</v>
      </c>
      <c r="B23" s="60">
        <v>76.790000000000006</v>
      </c>
      <c r="C23" s="60">
        <v>163.37</v>
      </c>
      <c r="D23" s="60">
        <v>151.74</v>
      </c>
      <c r="E23" s="60">
        <v>6.3</v>
      </c>
      <c r="F23" s="60">
        <v>0.56000000000000005</v>
      </c>
      <c r="G23" s="60">
        <v>111.78</v>
      </c>
      <c r="H23" s="60">
        <v>58.1</v>
      </c>
      <c r="I23" s="60">
        <v>1.4</v>
      </c>
      <c r="J23" s="60">
        <v>0.61</v>
      </c>
      <c r="K23" s="60">
        <v>245.16</v>
      </c>
      <c r="L23" s="60">
        <v>17.75</v>
      </c>
      <c r="M23" s="9" t="s">
        <v>35</v>
      </c>
      <c r="N23" s="60">
        <v>9.4</v>
      </c>
      <c r="O23" s="60">
        <v>0</v>
      </c>
      <c r="P23" s="60">
        <v>2.81</v>
      </c>
      <c r="Q23" s="60">
        <v>307.87</v>
      </c>
      <c r="R23" s="198"/>
      <c r="S23" s="198"/>
      <c r="T23" s="198"/>
      <c r="U23" s="198"/>
    </row>
    <row r="24" spans="1:21" s="12" customFormat="1" x14ac:dyDescent="0.25">
      <c r="A24" s="201" t="s">
        <v>2279</v>
      </c>
      <c r="B24" s="60">
        <v>71.39</v>
      </c>
      <c r="C24" s="60">
        <v>158.46</v>
      </c>
      <c r="D24" s="60">
        <v>144.69999999999999</v>
      </c>
      <c r="E24" s="60">
        <v>2.91</v>
      </c>
      <c r="F24" s="60">
        <v>0.68</v>
      </c>
      <c r="G24" s="60">
        <v>114.71</v>
      </c>
      <c r="H24" s="60">
        <v>58.09</v>
      </c>
      <c r="I24" s="60">
        <v>1.32</v>
      </c>
      <c r="J24" s="60">
        <v>0.73</v>
      </c>
      <c r="K24" s="60">
        <v>246.47</v>
      </c>
      <c r="L24" s="60">
        <v>17.690000000000001</v>
      </c>
      <c r="M24" s="9" t="s">
        <v>35</v>
      </c>
      <c r="N24" s="60">
        <v>9.4</v>
      </c>
      <c r="O24" s="60">
        <v>0</v>
      </c>
      <c r="P24" s="60">
        <v>2.71</v>
      </c>
      <c r="Q24" s="60">
        <v>297.56</v>
      </c>
      <c r="R24" s="198"/>
      <c r="S24" s="198"/>
      <c r="T24" s="198"/>
      <c r="U24" s="198"/>
    </row>
    <row r="25" spans="1:21" s="12" customFormat="1" x14ac:dyDescent="0.25">
      <c r="A25" s="201" t="s">
        <v>2280</v>
      </c>
      <c r="B25" s="60">
        <v>67.03</v>
      </c>
      <c r="C25" s="60">
        <v>154.66999999999999</v>
      </c>
      <c r="D25" s="60">
        <v>139.11000000000001</v>
      </c>
      <c r="E25" s="60">
        <v>5.35</v>
      </c>
      <c r="F25" s="60">
        <v>0.76</v>
      </c>
      <c r="G25" s="60">
        <v>139.41</v>
      </c>
      <c r="H25" s="60">
        <v>58.02</v>
      </c>
      <c r="I25" s="60">
        <v>1.23</v>
      </c>
      <c r="J25" s="60">
        <v>0.33</v>
      </c>
      <c r="K25" s="60">
        <v>250.16</v>
      </c>
      <c r="L25" s="60">
        <v>17.39</v>
      </c>
      <c r="M25" s="9" t="s">
        <v>35</v>
      </c>
      <c r="N25" s="60">
        <v>9.9</v>
      </c>
      <c r="O25" s="60">
        <v>0</v>
      </c>
      <c r="P25" s="60">
        <v>2.66</v>
      </c>
      <c r="Q25" s="60">
        <v>288.69</v>
      </c>
      <c r="R25" s="198"/>
      <c r="S25" s="198"/>
      <c r="T25" s="198"/>
      <c r="U25" s="198"/>
    </row>
    <row r="26" spans="1:21" s="12" customFormat="1" x14ac:dyDescent="0.25">
      <c r="A26" s="201" t="s">
        <v>2281</v>
      </c>
      <c r="B26" s="60">
        <v>63.48</v>
      </c>
      <c r="C26" s="60">
        <v>150.74</v>
      </c>
      <c r="D26" s="60">
        <v>134.1</v>
      </c>
      <c r="E26" s="60">
        <v>5.92</v>
      </c>
      <c r="F26" s="60">
        <v>0.71</v>
      </c>
      <c r="G26" s="60">
        <v>139.41</v>
      </c>
      <c r="H26" s="60">
        <v>58.02</v>
      </c>
      <c r="I26" s="60">
        <v>1.1599999999999999</v>
      </c>
      <c r="J26" s="60">
        <v>0.35</v>
      </c>
      <c r="K26" s="60">
        <v>254.55</v>
      </c>
      <c r="L26" s="60">
        <v>16.93</v>
      </c>
      <c r="M26" s="9" t="s">
        <v>35</v>
      </c>
      <c r="N26" s="60">
        <v>9.6999999999999993</v>
      </c>
      <c r="O26" s="60">
        <v>0</v>
      </c>
      <c r="P26" s="60">
        <v>2.61</v>
      </c>
      <c r="Q26" s="60">
        <v>284.20999999999998</v>
      </c>
      <c r="R26" s="198"/>
      <c r="S26" s="198"/>
      <c r="T26" s="198"/>
      <c r="U26" s="198"/>
    </row>
    <row r="27" spans="1:21" s="12" customFormat="1" x14ac:dyDescent="0.25">
      <c r="A27" s="201" t="s">
        <v>2282</v>
      </c>
      <c r="B27" s="60">
        <v>60.06</v>
      </c>
      <c r="C27" s="60">
        <v>146.47</v>
      </c>
      <c r="D27" s="60">
        <v>129</v>
      </c>
      <c r="E27" s="60">
        <v>5.66</v>
      </c>
      <c r="F27" s="60">
        <v>0.74</v>
      </c>
      <c r="G27" s="60">
        <v>139.41</v>
      </c>
      <c r="H27" s="60">
        <v>58.02</v>
      </c>
      <c r="I27" s="60">
        <v>1.1100000000000001</v>
      </c>
      <c r="J27" s="60">
        <v>0.33</v>
      </c>
      <c r="K27" s="60">
        <v>255.4</v>
      </c>
      <c r="L27" s="60">
        <v>16.809999999999999</v>
      </c>
      <c r="M27" s="9" t="s">
        <v>35</v>
      </c>
      <c r="N27" s="60">
        <v>9.5</v>
      </c>
      <c r="O27" s="60">
        <v>0</v>
      </c>
      <c r="P27" s="60">
        <v>2.56</v>
      </c>
      <c r="Q27" s="60">
        <v>279.95999999999998</v>
      </c>
      <c r="R27" s="198"/>
      <c r="S27" s="198"/>
      <c r="T27" s="198"/>
      <c r="U27" s="198"/>
    </row>
    <row r="28" spans="1:21" s="12" customFormat="1" x14ac:dyDescent="0.25">
      <c r="A28" s="201" t="s">
        <v>2283</v>
      </c>
      <c r="B28" s="60">
        <v>57.12</v>
      </c>
      <c r="C28" s="60">
        <v>142.47999999999999</v>
      </c>
      <c r="D28" s="60">
        <v>124.44</v>
      </c>
      <c r="E28" s="60">
        <v>5.69</v>
      </c>
      <c r="F28" s="60">
        <v>0.78</v>
      </c>
      <c r="G28" s="60">
        <v>140.94</v>
      </c>
      <c r="H28" s="60">
        <v>58.16</v>
      </c>
      <c r="I28" s="60">
        <v>1.07</v>
      </c>
      <c r="J28" s="60">
        <v>0.63</v>
      </c>
      <c r="K28" s="60">
        <v>258.18</v>
      </c>
      <c r="L28" s="60">
        <v>16.75</v>
      </c>
      <c r="M28" s="9" t="s">
        <v>35</v>
      </c>
      <c r="N28" s="60">
        <v>9.1</v>
      </c>
      <c r="O28" s="60">
        <v>0</v>
      </c>
      <c r="P28" s="60">
        <v>2.4900000000000002</v>
      </c>
      <c r="Q28" s="60">
        <v>275.97000000000003</v>
      </c>
      <c r="R28" s="198"/>
      <c r="S28" s="198"/>
      <c r="T28" s="198"/>
      <c r="U28" s="198"/>
    </row>
    <row r="29" spans="1:21" s="12" customFormat="1" x14ac:dyDescent="0.25">
      <c r="A29" s="201" t="s">
        <v>2284</v>
      </c>
      <c r="B29" s="60">
        <v>54.01</v>
      </c>
      <c r="C29" s="60">
        <v>140.02000000000001</v>
      </c>
      <c r="D29" s="60">
        <v>120.59</v>
      </c>
      <c r="E29" s="60">
        <v>6.1</v>
      </c>
      <c r="F29" s="60">
        <v>0.86</v>
      </c>
      <c r="G29" s="60">
        <v>153.81</v>
      </c>
      <c r="H29" s="60">
        <v>59.56</v>
      </c>
      <c r="I29" s="60">
        <v>1.02</v>
      </c>
      <c r="J29" s="60">
        <v>0.72</v>
      </c>
      <c r="K29" s="60">
        <v>254.26</v>
      </c>
      <c r="L29" s="60">
        <v>16.88</v>
      </c>
      <c r="M29" s="9" t="s">
        <v>35</v>
      </c>
      <c r="N29" s="60">
        <v>9.1999999999999993</v>
      </c>
      <c r="O29" s="60">
        <v>0</v>
      </c>
      <c r="P29" s="60">
        <v>2.42</v>
      </c>
      <c r="Q29" s="60">
        <v>268.42</v>
      </c>
      <c r="R29" s="198"/>
      <c r="S29" s="198"/>
      <c r="T29" s="198"/>
      <c r="U29" s="198"/>
    </row>
    <row r="30" spans="1:21" s="12" customFormat="1" x14ac:dyDescent="0.25">
      <c r="A30" s="201" t="s">
        <v>2285</v>
      </c>
      <c r="B30" s="60">
        <v>49.53</v>
      </c>
      <c r="C30" s="60">
        <v>138.13999999999999</v>
      </c>
      <c r="D30" s="60">
        <v>115.96</v>
      </c>
      <c r="E30" s="60">
        <v>6.02</v>
      </c>
      <c r="F30" s="60">
        <v>0.76</v>
      </c>
      <c r="G30" s="60">
        <v>153.81</v>
      </c>
      <c r="H30" s="60">
        <v>59.56</v>
      </c>
      <c r="I30" s="60">
        <v>0.97</v>
      </c>
      <c r="J30" s="60">
        <v>0.55000000000000004</v>
      </c>
      <c r="K30" s="60">
        <v>258.27</v>
      </c>
      <c r="L30" s="60">
        <v>16.690000000000001</v>
      </c>
      <c r="M30" s="9" t="s">
        <v>35</v>
      </c>
      <c r="N30" s="60">
        <v>9.6</v>
      </c>
      <c r="O30" s="60">
        <v>0</v>
      </c>
      <c r="P30" s="60">
        <v>2.36</v>
      </c>
      <c r="Q30" s="60">
        <v>263.08999999999997</v>
      </c>
      <c r="R30" s="198"/>
      <c r="S30" s="198"/>
      <c r="T30" s="198"/>
      <c r="U30" s="198"/>
    </row>
    <row r="31" spans="1:21" s="12" customFormat="1" x14ac:dyDescent="0.25">
      <c r="A31" s="201" t="s">
        <v>2286</v>
      </c>
      <c r="B31" s="60">
        <v>46.51</v>
      </c>
      <c r="C31" s="60">
        <v>136.33000000000001</v>
      </c>
      <c r="D31" s="60">
        <v>112.53</v>
      </c>
      <c r="E31" s="60">
        <v>6.47</v>
      </c>
      <c r="F31" s="60">
        <v>0.6</v>
      </c>
      <c r="G31" s="60">
        <v>153.81</v>
      </c>
      <c r="H31" s="60">
        <v>59.56</v>
      </c>
      <c r="I31" s="60">
        <v>0.93</v>
      </c>
      <c r="J31" s="60">
        <v>0.56999999999999995</v>
      </c>
      <c r="K31" s="60">
        <v>260.82</v>
      </c>
      <c r="L31" s="60">
        <v>16.5</v>
      </c>
      <c r="M31" s="9" t="s">
        <v>35</v>
      </c>
      <c r="N31" s="60">
        <v>9.6</v>
      </c>
      <c r="O31" s="60">
        <v>0</v>
      </c>
      <c r="P31" s="60">
        <v>2.3199999999999998</v>
      </c>
      <c r="Q31" s="60">
        <v>257.83</v>
      </c>
      <c r="R31" s="198"/>
      <c r="S31" s="198"/>
      <c r="T31" s="198"/>
      <c r="U31" s="198"/>
    </row>
    <row r="32" spans="1:21" s="12" customFormat="1" x14ac:dyDescent="0.25">
      <c r="A32" s="201" t="s">
        <v>2287</v>
      </c>
      <c r="B32" s="60">
        <v>44.22</v>
      </c>
      <c r="C32" s="60">
        <v>135.13999999999999</v>
      </c>
      <c r="D32" s="60">
        <v>110.04</v>
      </c>
      <c r="E32" s="60">
        <v>6.31</v>
      </c>
      <c r="F32" s="60">
        <v>0.62</v>
      </c>
      <c r="G32" s="60">
        <v>153.66</v>
      </c>
      <c r="H32" s="60">
        <v>59.24</v>
      </c>
      <c r="I32" s="60">
        <v>0.88</v>
      </c>
      <c r="J32" s="60">
        <v>0.55000000000000004</v>
      </c>
      <c r="K32" s="60">
        <v>261.25</v>
      </c>
      <c r="L32" s="60">
        <v>16.41</v>
      </c>
      <c r="M32" s="9" t="s">
        <v>35</v>
      </c>
      <c r="N32" s="60">
        <v>9.6999999999999993</v>
      </c>
      <c r="O32" s="60">
        <v>0</v>
      </c>
      <c r="P32" s="60">
        <v>2.2799999999999998</v>
      </c>
      <c r="Q32" s="60">
        <v>252.85</v>
      </c>
      <c r="R32" s="198"/>
      <c r="S32" s="198"/>
      <c r="T32" s="198"/>
      <c r="U32" s="198"/>
    </row>
    <row r="33" spans="1:21" s="12" customFormat="1" x14ac:dyDescent="0.25">
      <c r="A33" s="201" t="s">
        <v>2288</v>
      </c>
      <c r="B33" s="60">
        <v>42.22</v>
      </c>
      <c r="C33" s="60">
        <v>134.01</v>
      </c>
      <c r="D33" s="60">
        <v>107.82</v>
      </c>
      <c r="E33" s="60">
        <v>6.64</v>
      </c>
      <c r="F33" s="60">
        <v>0.56999999999999995</v>
      </c>
      <c r="G33" s="60">
        <v>152.33000000000001</v>
      </c>
      <c r="H33" s="60">
        <v>55.96</v>
      </c>
      <c r="I33" s="60">
        <v>0.86</v>
      </c>
      <c r="J33" s="60">
        <v>0.64</v>
      </c>
      <c r="K33" s="60">
        <v>262.83</v>
      </c>
      <c r="L33" s="60">
        <v>16.37</v>
      </c>
      <c r="M33" s="9" t="s">
        <v>35</v>
      </c>
      <c r="N33" s="60">
        <v>12</v>
      </c>
      <c r="O33" s="60">
        <v>0</v>
      </c>
      <c r="P33" s="60">
        <v>2.2400000000000002</v>
      </c>
      <c r="Q33" s="60">
        <v>248.1</v>
      </c>
      <c r="R33" s="198"/>
      <c r="S33" s="198"/>
      <c r="T33" s="198"/>
      <c r="U33" s="198"/>
    </row>
    <row r="34" spans="1:21" s="12" customFormat="1" x14ac:dyDescent="0.25">
      <c r="A34" s="201" t="s">
        <v>2289</v>
      </c>
      <c r="B34" s="60">
        <v>40.19</v>
      </c>
      <c r="C34" s="60">
        <v>132.72</v>
      </c>
      <c r="D34" s="60">
        <v>105.47</v>
      </c>
      <c r="E34" s="60">
        <v>6.52</v>
      </c>
      <c r="F34" s="60">
        <v>0.82</v>
      </c>
      <c r="G34" s="60">
        <v>152.33000000000001</v>
      </c>
      <c r="H34" s="60">
        <v>55.96</v>
      </c>
      <c r="I34" s="60">
        <v>0.82</v>
      </c>
      <c r="J34" s="60">
        <v>0.61</v>
      </c>
      <c r="K34" s="60">
        <v>262.73</v>
      </c>
      <c r="L34" s="60">
        <v>16.329999999999998</v>
      </c>
      <c r="M34" s="9" t="s">
        <v>35</v>
      </c>
      <c r="N34" s="60">
        <v>19.7</v>
      </c>
      <c r="O34" s="60">
        <v>0</v>
      </c>
      <c r="P34" s="60">
        <v>2.19</v>
      </c>
      <c r="Q34" s="60">
        <v>243.95</v>
      </c>
      <c r="R34" s="198"/>
      <c r="S34" s="198"/>
      <c r="T34" s="198"/>
      <c r="U34" s="198"/>
    </row>
    <row r="35" spans="1:21" s="12" customFormat="1" x14ac:dyDescent="0.25">
      <c r="A35" s="201" t="s">
        <v>2290</v>
      </c>
      <c r="B35" s="60">
        <v>38.83</v>
      </c>
      <c r="C35" s="60">
        <v>131.66999999999999</v>
      </c>
      <c r="D35" s="60">
        <v>103.8</v>
      </c>
      <c r="E35" s="60">
        <v>5.99</v>
      </c>
      <c r="F35" s="60">
        <v>0.76</v>
      </c>
      <c r="G35" s="60">
        <v>152.33000000000001</v>
      </c>
      <c r="H35" s="60">
        <v>55.96</v>
      </c>
      <c r="I35" s="60">
        <v>0.79</v>
      </c>
      <c r="J35" s="60">
        <v>0.5</v>
      </c>
      <c r="K35" s="60">
        <v>263.72000000000003</v>
      </c>
      <c r="L35" s="60">
        <v>16.34</v>
      </c>
      <c r="M35" s="9" t="s">
        <v>35</v>
      </c>
      <c r="N35" s="60">
        <v>29.3</v>
      </c>
      <c r="O35" s="60">
        <v>0</v>
      </c>
      <c r="P35" s="60">
        <v>2.13</v>
      </c>
      <c r="Q35" s="60">
        <v>240.7</v>
      </c>
      <c r="R35" s="198"/>
      <c r="S35" s="198"/>
      <c r="T35" s="198"/>
      <c r="U35" s="198"/>
    </row>
    <row r="36" spans="1:21" s="12" customFormat="1" x14ac:dyDescent="0.25">
      <c r="A36" s="201" t="s">
        <v>2291</v>
      </c>
      <c r="B36" s="60">
        <v>37.299999999999997</v>
      </c>
      <c r="C36" s="60">
        <v>130.24</v>
      </c>
      <c r="D36" s="60">
        <v>101.79</v>
      </c>
      <c r="E36" s="60">
        <v>6.18</v>
      </c>
      <c r="F36" s="60">
        <v>0.73</v>
      </c>
      <c r="G36" s="60">
        <v>151.63999999999999</v>
      </c>
      <c r="H36" s="60">
        <v>56.06</v>
      </c>
      <c r="I36" s="60">
        <v>0.76</v>
      </c>
      <c r="J36" s="60">
        <v>0.64</v>
      </c>
      <c r="K36" s="60">
        <v>258.19</v>
      </c>
      <c r="L36" s="60">
        <v>16.670000000000002</v>
      </c>
      <c r="M36" s="9" t="s">
        <v>35</v>
      </c>
      <c r="N36" s="60">
        <v>41.5</v>
      </c>
      <c r="O36" s="60">
        <v>0</v>
      </c>
      <c r="P36" s="60">
        <v>2.0699999999999998</v>
      </c>
      <c r="Q36" s="60">
        <v>238.19</v>
      </c>
      <c r="R36" s="198"/>
      <c r="S36" s="198"/>
      <c r="T36" s="198"/>
      <c r="U36" s="198"/>
    </row>
    <row r="37" spans="1:21" s="12" customFormat="1" x14ac:dyDescent="0.25">
      <c r="A37" s="201" t="s">
        <v>2292</v>
      </c>
      <c r="B37" s="60">
        <v>36.17</v>
      </c>
      <c r="C37" s="60">
        <v>128.97999999999999</v>
      </c>
      <c r="D37" s="60">
        <v>100.19</v>
      </c>
      <c r="E37" s="60">
        <v>5.13</v>
      </c>
      <c r="F37" s="60">
        <v>0.79</v>
      </c>
      <c r="G37" s="60">
        <v>145.84</v>
      </c>
      <c r="H37" s="60">
        <v>57.12</v>
      </c>
      <c r="I37" s="60">
        <v>0.73</v>
      </c>
      <c r="J37" s="60">
        <v>0.52</v>
      </c>
      <c r="K37" s="60">
        <v>253</v>
      </c>
      <c r="L37" s="60">
        <v>17.13</v>
      </c>
      <c r="M37" s="9" t="s">
        <v>35</v>
      </c>
      <c r="N37" s="60">
        <v>55.7</v>
      </c>
      <c r="O37" s="60">
        <v>0</v>
      </c>
      <c r="P37" s="60">
        <v>2</v>
      </c>
      <c r="Q37" s="60">
        <v>237.14</v>
      </c>
      <c r="R37" s="198"/>
      <c r="S37" s="198"/>
      <c r="T37" s="198"/>
      <c r="U37" s="198"/>
    </row>
    <row r="38" spans="1:21" s="12" customFormat="1" x14ac:dyDescent="0.25">
      <c r="A38" s="201" t="s">
        <v>2293</v>
      </c>
      <c r="B38" s="60">
        <v>36.130000000000003</v>
      </c>
      <c r="C38" s="60">
        <v>128.51</v>
      </c>
      <c r="D38" s="60">
        <v>99.89</v>
      </c>
      <c r="E38" s="60">
        <v>5.7</v>
      </c>
      <c r="F38" s="60">
        <v>0.74</v>
      </c>
      <c r="G38" s="60">
        <v>145.84</v>
      </c>
      <c r="H38" s="60">
        <v>57.12</v>
      </c>
      <c r="I38" s="60">
        <v>0.71</v>
      </c>
      <c r="J38" s="60">
        <v>0.67</v>
      </c>
      <c r="K38" s="60">
        <v>241.83</v>
      </c>
      <c r="L38" s="60">
        <v>18.010000000000002</v>
      </c>
      <c r="M38" s="9" t="s">
        <v>35</v>
      </c>
      <c r="N38" s="60">
        <v>140.80000000000001</v>
      </c>
      <c r="O38" s="60">
        <v>0</v>
      </c>
      <c r="P38" s="60">
        <v>2.09</v>
      </c>
      <c r="Q38" s="60">
        <v>235.77</v>
      </c>
      <c r="R38" s="198"/>
      <c r="S38" s="198"/>
      <c r="T38" s="198"/>
      <c r="U38" s="198"/>
    </row>
    <row r="39" spans="1:21" s="12" customFormat="1" x14ac:dyDescent="0.25">
      <c r="A39" s="201" t="s">
        <v>2294</v>
      </c>
      <c r="B39" s="60">
        <v>35.799999999999997</v>
      </c>
      <c r="C39" s="60">
        <v>128.32</v>
      </c>
      <c r="D39" s="60">
        <v>99.53</v>
      </c>
      <c r="E39" s="60">
        <v>5.93</v>
      </c>
      <c r="F39" s="60">
        <v>0.81</v>
      </c>
      <c r="G39" s="60">
        <v>145.84</v>
      </c>
      <c r="H39" s="60">
        <v>57.12</v>
      </c>
      <c r="I39" s="60">
        <v>0.68</v>
      </c>
      <c r="J39" s="60">
        <v>0.6</v>
      </c>
      <c r="K39" s="60">
        <v>215.29</v>
      </c>
      <c r="L39" s="60">
        <v>20.059999999999999</v>
      </c>
      <c r="M39" s="9" t="s">
        <v>35</v>
      </c>
      <c r="N39" s="60">
        <v>210.5</v>
      </c>
      <c r="O39" s="60">
        <v>0</v>
      </c>
      <c r="P39" s="60">
        <v>2.06</v>
      </c>
      <c r="Q39" s="60">
        <v>234.59</v>
      </c>
      <c r="R39" s="198"/>
      <c r="S39" s="198"/>
      <c r="T39" s="198"/>
      <c r="U39" s="198"/>
    </row>
    <row r="40" spans="1:21" s="12" customFormat="1" x14ac:dyDescent="0.25">
      <c r="A40" s="201" t="s">
        <v>2295</v>
      </c>
      <c r="B40" s="60">
        <v>35.28</v>
      </c>
      <c r="C40" s="60">
        <v>127.97</v>
      </c>
      <c r="D40" s="60">
        <v>98.91</v>
      </c>
      <c r="E40" s="60">
        <v>4.6100000000000003</v>
      </c>
      <c r="F40" s="60">
        <v>0.84</v>
      </c>
      <c r="G40" s="60">
        <v>144.29</v>
      </c>
      <c r="H40" s="60">
        <v>57.12</v>
      </c>
      <c r="I40" s="60">
        <v>0.67</v>
      </c>
      <c r="J40" s="60">
        <v>0.81</v>
      </c>
      <c r="K40" s="60">
        <v>206.94</v>
      </c>
      <c r="L40" s="60">
        <v>20.75</v>
      </c>
      <c r="M40" s="9" t="s">
        <v>35</v>
      </c>
      <c r="N40" s="60">
        <v>256.8</v>
      </c>
      <c r="O40" s="60">
        <v>0</v>
      </c>
      <c r="P40" s="60">
        <v>2.0099999999999998</v>
      </c>
      <c r="Q40" s="60">
        <v>233.24</v>
      </c>
      <c r="R40" s="198"/>
      <c r="S40" s="198"/>
      <c r="T40" s="198"/>
      <c r="U40" s="198"/>
    </row>
    <row r="41" spans="1:21" s="12" customFormat="1" x14ac:dyDescent="0.25">
      <c r="A41" s="201" t="s">
        <v>2296</v>
      </c>
      <c r="B41" s="60">
        <v>34.21</v>
      </c>
      <c r="C41" s="60">
        <v>127.09</v>
      </c>
      <c r="D41" s="60">
        <v>97.57</v>
      </c>
      <c r="E41" s="60">
        <v>7.1</v>
      </c>
      <c r="F41" s="60">
        <v>0.72</v>
      </c>
      <c r="G41" s="60">
        <v>131.21</v>
      </c>
      <c r="H41" s="60">
        <v>57.19</v>
      </c>
      <c r="I41" s="60">
        <v>0.65</v>
      </c>
      <c r="J41" s="60">
        <v>0.8</v>
      </c>
      <c r="K41" s="60">
        <v>191.81</v>
      </c>
      <c r="L41" s="60">
        <v>22.19</v>
      </c>
      <c r="M41" s="9" t="s">
        <v>35</v>
      </c>
      <c r="N41" s="60">
        <v>300.7</v>
      </c>
      <c r="O41" s="60">
        <v>0</v>
      </c>
      <c r="P41" s="60">
        <v>1.97</v>
      </c>
      <c r="Q41" s="60">
        <v>231.47</v>
      </c>
      <c r="R41" s="198"/>
      <c r="S41" s="198"/>
      <c r="T41" s="198"/>
      <c r="U41" s="198"/>
    </row>
    <row r="42" spans="1:21" s="12" customFormat="1" x14ac:dyDescent="0.25">
      <c r="A42" s="201" t="s">
        <v>2297</v>
      </c>
      <c r="B42" s="60">
        <v>33.229999999999997</v>
      </c>
      <c r="C42" s="60">
        <v>127.48</v>
      </c>
      <c r="D42" s="60">
        <v>97</v>
      </c>
      <c r="E42" s="60">
        <v>7.79</v>
      </c>
      <c r="F42" s="60">
        <v>1.01</v>
      </c>
      <c r="G42" s="60">
        <v>131.21</v>
      </c>
      <c r="H42" s="60">
        <v>57.19</v>
      </c>
      <c r="I42" s="60">
        <v>0.63</v>
      </c>
      <c r="J42" s="60">
        <v>1.03</v>
      </c>
      <c r="K42" s="60">
        <v>177.06</v>
      </c>
      <c r="L42" s="60">
        <v>23.34</v>
      </c>
      <c r="M42" s="9" t="s">
        <v>35</v>
      </c>
      <c r="N42" s="60">
        <v>342</v>
      </c>
      <c r="O42" s="60">
        <v>0</v>
      </c>
      <c r="P42" s="60">
        <v>1.9</v>
      </c>
      <c r="Q42" s="60">
        <v>231.29</v>
      </c>
      <c r="R42" s="198"/>
      <c r="S42" s="198"/>
      <c r="T42" s="198"/>
      <c r="U42" s="198"/>
    </row>
    <row r="43" spans="1:21" s="12" customFormat="1" x14ac:dyDescent="0.25">
      <c r="A43" s="201" t="s">
        <v>2298</v>
      </c>
      <c r="B43" s="60">
        <v>30.81</v>
      </c>
      <c r="C43" s="60">
        <v>128.08000000000001</v>
      </c>
      <c r="D43" s="60">
        <v>95.39</v>
      </c>
      <c r="E43" s="60">
        <v>7.56</v>
      </c>
      <c r="F43" s="60">
        <v>1.21</v>
      </c>
      <c r="G43" s="60">
        <v>131.21</v>
      </c>
      <c r="H43" s="60">
        <v>57.19</v>
      </c>
      <c r="I43" s="60">
        <v>0.63</v>
      </c>
      <c r="J43" s="60">
        <v>1.24</v>
      </c>
      <c r="K43" s="60">
        <v>167.55</v>
      </c>
      <c r="L43" s="60">
        <v>24.41</v>
      </c>
      <c r="M43" s="9" t="s">
        <v>35</v>
      </c>
      <c r="N43" s="60">
        <v>377.1</v>
      </c>
      <c r="O43" s="60">
        <v>0</v>
      </c>
      <c r="P43" s="60">
        <v>1.83</v>
      </c>
      <c r="Q43" s="60">
        <v>226.03</v>
      </c>
      <c r="R43" s="198"/>
      <c r="S43" s="198"/>
      <c r="T43" s="198"/>
      <c r="U43" s="198"/>
    </row>
    <row r="44" spans="1:21" s="12" customFormat="1" x14ac:dyDescent="0.25">
      <c r="A44" s="201" t="s">
        <v>2299</v>
      </c>
      <c r="B44" s="60">
        <v>26.98</v>
      </c>
      <c r="C44" s="60">
        <v>128.85</v>
      </c>
      <c r="D44" s="60">
        <v>92.74</v>
      </c>
      <c r="E44" s="60">
        <v>8.26</v>
      </c>
      <c r="F44" s="60">
        <v>1.46</v>
      </c>
      <c r="G44" s="60">
        <v>130</v>
      </c>
      <c r="H44" s="60">
        <v>56.82</v>
      </c>
      <c r="I44" s="60">
        <v>0.61</v>
      </c>
      <c r="J44" s="60">
        <v>1.1100000000000001</v>
      </c>
      <c r="K44" s="60">
        <v>171.44</v>
      </c>
      <c r="L44" s="60">
        <v>24.36</v>
      </c>
      <c r="M44" s="9" t="s">
        <v>35</v>
      </c>
      <c r="N44" s="60">
        <v>408.5</v>
      </c>
      <c r="O44" s="60">
        <v>0</v>
      </c>
      <c r="P44" s="60">
        <v>1.76</v>
      </c>
      <c r="Q44" s="60">
        <v>218.88</v>
      </c>
      <c r="R44" s="198"/>
      <c r="S44" s="198"/>
      <c r="T44" s="198"/>
      <c r="U44" s="198"/>
    </row>
    <row r="45" spans="1:21" s="12" customFormat="1" x14ac:dyDescent="0.25">
      <c r="A45" s="201" t="s">
        <v>2300</v>
      </c>
      <c r="B45" s="60">
        <v>23.88</v>
      </c>
      <c r="C45" s="60">
        <v>129.29</v>
      </c>
      <c r="D45" s="60">
        <v>90.51</v>
      </c>
      <c r="E45" s="60">
        <v>8.59</v>
      </c>
      <c r="F45" s="60">
        <v>1.2</v>
      </c>
      <c r="G45" s="60">
        <v>119.77</v>
      </c>
      <c r="H45" s="60">
        <v>52.95</v>
      </c>
      <c r="I45" s="60">
        <v>0.57999999999999996</v>
      </c>
      <c r="J45" s="60">
        <v>1</v>
      </c>
      <c r="K45" s="60">
        <v>168.93</v>
      </c>
      <c r="L45" s="60">
        <v>24.71</v>
      </c>
      <c r="M45" s="9" t="s">
        <v>35</v>
      </c>
      <c r="N45" s="60">
        <v>435.3</v>
      </c>
      <c r="O45" s="60">
        <v>0</v>
      </c>
      <c r="P45" s="60">
        <v>1.71</v>
      </c>
      <c r="Q45" s="60">
        <v>215.92</v>
      </c>
      <c r="R45" s="198"/>
      <c r="S45" s="198"/>
      <c r="T45" s="198"/>
      <c r="U45" s="198"/>
    </row>
    <row r="46" spans="1:21" s="12" customFormat="1" x14ac:dyDescent="0.25">
      <c r="A46" s="201" t="s">
        <v>2301</v>
      </c>
      <c r="B46" s="60">
        <v>22.37</v>
      </c>
      <c r="C46" s="60">
        <v>130.28</v>
      </c>
      <c r="D46" s="60">
        <v>89.84</v>
      </c>
      <c r="E46" s="60">
        <v>8.43</v>
      </c>
      <c r="F46" s="60">
        <v>1.6</v>
      </c>
      <c r="G46" s="60">
        <v>119.77</v>
      </c>
      <c r="H46" s="60">
        <v>52.95</v>
      </c>
      <c r="I46" s="60">
        <v>0.56999999999999995</v>
      </c>
      <c r="J46" s="60">
        <v>1.0900000000000001</v>
      </c>
      <c r="K46" s="60">
        <v>153.69</v>
      </c>
      <c r="L46" s="60">
        <v>26.81</v>
      </c>
      <c r="M46" s="9" t="s">
        <v>35</v>
      </c>
      <c r="N46" s="60">
        <v>457.7</v>
      </c>
      <c r="O46" s="60">
        <v>0</v>
      </c>
      <c r="P46" s="60">
        <v>1.66</v>
      </c>
      <c r="Q46" s="60">
        <v>215.11</v>
      </c>
      <c r="R46" s="198"/>
      <c r="S46" s="198"/>
      <c r="T46" s="198"/>
      <c r="U46" s="198"/>
    </row>
    <row r="47" spans="1:21" s="12" customFormat="1" x14ac:dyDescent="0.25">
      <c r="A47" s="201" t="s">
        <v>2302</v>
      </c>
      <c r="B47" s="60">
        <v>21.33</v>
      </c>
      <c r="C47" s="60">
        <v>132.55000000000001</v>
      </c>
      <c r="D47" s="60">
        <v>90.26</v>
      </c>
      <c r="E47" s="60">
        <v>9.4</v>
      </c>
      <c r="F47" s="60">
        <v>1.86</v>
      </c>
      <c r="G47" s="60">
        <v>119.77</v>
      </c>
      <c r="H47" s="60">
        <v>52.95</v>
      </c>
      <c r="I47" s="60">
        <v>0.56999999999999995</v>
      </c>
      <c r="J47" s="60">
        <v>1.19</v>
      </c>
      <c r="K47" s="60">
        <v>149.22</v>
      </c>
      <c r="L47" s="60">
        <v>27.08</v>
      </c>
      <c r="M47" s="9" t="s">
        <v>35</v>
      </c>
      <c r="N47" s="60">
        <v>482.6</v>
      </c>
      <c r="O47" s="60">
        <v>0</v>
      </c>
      <c r="P47" s="60">
        <v>1.59</v>
      </c>
      <c r="Q47" s="60">
        <v>214.09</v>
      </c>
      <c r="R47" s="198"/>
      <c r="S47" s="198"/>
      <c r="T47" s="198"/>
      <c r="U47" s="198"/>
    </row>
    <row r="48" spans="1:21" s="12" customFormat="1" x14ac:dyDescent="0.25">
      <c r="A48" s="201" t="s">
        <v>2303</v>
      </c>
      <c r="B48" s="60">
        <v>19.55</v>
      </c>
      <c r="C48" s="60">
        <v>133.19999999999999</v>
      </c>
      <c r="D48" s="60">
        <v>89.19</v>
      </c>
      <c r="E48" s="60">
        <v>8.61</v>
      </c>
      <c r="F48" s="60">
        <v>2.2400000000000002</v>
      </c>
      <c r="G48" s="60">
        <v>119.77</v>
      </c>
      <c r="H48" s="60">
        <v>52.91</v>
      </c>
      <c r="I48" s="60">
        <v>0.56000000000000005</v>
      </c>
      <c r="J48" s="60">
        <v>0.91</v>
      </c>
      <c r="K48" s="60">
        <v>146.54</v>
      </c>
      <c r="L48" s="60">
        <v>27.75</v>
      </c>
      <c r="M48" s="9" t="s">
        <v>35</v>
      </c>
      <c r="N48" s="60">
        <v>504.7</v>
      </c>
      <c r="O48" s="60">
        <v>0</v>
      </c>
      <c r="P48" s="60">
        <v>1.55</v>
      </c>
      <c r="Q48" s="60">
        <v>211.73</v>
      </c>
      <c r="R48" s="198"/>
      <c r="S48" s="198"/>
      <c r="T48" s="198"/>
      <c r="U48" s="198"/>
    </row>
    <row r="49" spans="1:21" s="12" customFormat="1" x14ac:dyDescent="0.25">
      <c r="A49" s="201" t="s">
        <v>2304</v>
      </c>
      <c r="B49" s="60">
        <v>18.23</v>
      </c>
      <c r="C49" s="60">
        <v>135.85</v>
      </c>
      <c r="D49" s="60">
        <v>89.59</v>
      </c>
      <c r="E49" s="60">
        <v>9.43</v>
      </c>
      <c r="F49" s="60">
        <v>270.47000000000003</v>
      </c>
      <c r="G49" s="60">
        <v>119.77</v>
      </c>
      <c r="H49" s="60">
        <v>49.22</v>
      </c>
      <c r="I49" s="60">
        <v>0.54</v>
      </c>
      <c r="J49" s="60">
        <v>0.9</v>
      </c>
      <c r="K49" s="60">
        <v>146.22999999999999</v>
      </c>
      <c r="L49" s="60">
        <v>28.37</v>
      </c>
      <c r="M49" s="9" t="s">
        <v>35</v>
      </c>
      <c r="N49" s="60">
        <v>522.4</v>
      </c>
      <c r="O49" s="60">
        <v>0</v>
      </c>
      <c r="P49" s="60">
        <v>1.5</v>
      </c>
      <c r="Q49" s="60">
        <v>202.46</v>
      </c>
      <c r="R49" s="198"/>
      <c r="S49" s="198"/>
      <c r="T49" s="198"/>
      <c r="U49" s="198"/>
    </row>
    <row r="50" spans="1:21" s="12" customFormat="1" x14ac:dyDescent="0.25">
      <c r="A50" s="201" t="s">
        <v>2305</v>
      </c>
      <c r="B50" s="60">
        <v>12.31</v>
      </c>
      <c r="C50" s="60">
        <v>133.62</v>
      </c>
      <c r="D50" s="60">
        <v>83.61</v>
      </c>
      <c r="E50" s="60">
        <v>2.5499999999999998</v>
      </c>
      <c r="F50" s="60">
        <v>337.01</v>
      </c>
      <c r="G50" s="60">
        <v>119.77</v>
      </c>
      <c r="H50" s="60">
        <v>49.22</v>
      </c>
      <c r="I50" s="60">
        <v>0.53</v>
      </c>
      <c r="J50" s="60">
        <v>1.01</v>
      </c>
      <c r="K50" s="60">
        <v>149.65</v>
      </c>
      <c r="L50" s="60">
        <v>28</v>
      </c>
      <c r="M50" s="9" t="s">
        <v>35</v>
      </c>
      <c r="N50" s="60">
        <v>543.9</v>
      </c>
      <c r="O50" s="60">
        <v>0</v>
      </c>
      <c r="P50" s="60">
        <v>2</v>
      </c>
      <c r="Q50" s="60">
        <v>174.01</v>
      </c>
      <c r="R50" s="198"/>
      <c r="S50" s="198"/>
      <c r="T50" s="198"/>
      <c r="U50" s="198"/>
    </row>
    <row r="51" spans="1:21" s="12" customFormat="1" x14ac:dyDescent="0.25">
      <c r="A51" s="201" t="s">
        <v>2306</v>
      </c>
      <c r="B51" s="60">
        <v>6.35</v>
      </c>
      <c r="C51" s="60">
        <v>127.25</v>
      </c>
      <c r="D51" s="60">
        <v>75.319999999999993</v>
      </c>
      <c r="E51" s="60">
        <v>38.49</v>
      </c>
      <c r="F51" s="60">
        <v>336.66</v>
      </c>
      <c r="G51" s="60">
        <v>119.77</v>
      </c>
      <c r="H51" s="60">
        <v>49.22</v>
      </c>
      <c r="I51" s="60">
        <v>0.48</v>
      </c>
      <c r="J51" s="60">
        <v>0.87</v>
      </c>
      <c r="K51" s="60">
        <v>158.35</v>
      </c>
      <c r="L51" s="60">
        <v>27.74</v>
      </c>
      <c r="M51" s="9" t="s">
        <v>35</v>
      </c>
      <c r="N51" s="60">
        <v>545.5</v>
      </c>
      <c r="O51" s="60">
        <v>0</v>
      </c>
      <c r="P51" s="60">
        <v>1.28</v>
      </c>
      <c r="Q51" s="60">
        <v>139.87</v>
      </c>
      <c r="R51" s="198"/>
      <c r="S51" s="198"/>
      <c r="T51" s="198"/>
      <c r="U51" s="198"/>
    </row>
    <row r="52" spans="1:21" s="12" customFormat="1" x14ac:dyDescent="0.25">
      <c r="A52" s="201" t="s">
        <v>2307</v>
      </c>
      <c r="B52" s="60">
        <v>1.21</v>
      </c>
      <c r="C52" s="60">
        <v>7.95</v>
      </c>
      <c r="D52" s="60">
        <v>5.36</v>
      </c>
      <c r="E52" s="60">
        <v>135.77000000000001</v>
      </c>
      <c r="F52" s="60">
        <v>5.81</v>
      </c>
      <c r="G52" s="60">
        <v>119.77</v>
      </c>
      <c r="H52" s="60">
        <v>49.22</v>
      </c>
      <c r="I52" s="60">
        <v>0.42</v>
      </c>
      <c r="J52" s="60">
        <v>1.26</v>
      </c>
      <c r="K52" s="60">
        <v>164.75</v>
      </c>
      <c r="L52" s="60">
        <v>28.15</v>
      </c>
      <c r="M52" s="9" t="s">
        <v>35</v>
      </c>
      <c r="N52" s="60">
        <v>558.79999999999995</v>
      </c>
      <c r="O52" s="60">
        <v>0</v>
      </c>
      <c r="P52" s="60">
        <v>1.28</v>
      </c>
      <c r="Q52" s="60">
        <v>133.52000000000001</v>
      </c>
      <c r="R52" s="198"/>
      <c r="S52" s="198"/>
      <c r="T52" s="198"/>
      <c r="U52" s="198"/>
    </row>
    <row r="53" spans="1:21" s="12" customFormat="1" x14ac:dyDescent="0.25">
      <c r="A53" s="201" t="s">
        <v>2308</v>
      </c>
      <c r="B53" s="60">
        <v>6.41</v>
      </c>
      <c r="C53" s="60">
        <v>14.73</v>
      </c>
      <c r="D53" s="60">
        <v>13.27</v>
      </c>
      <c r="E53" s="60">
        <v>10.09</v>
      </c>
      <c r="F53" s="60">
        <v>4.5</v>
      </c>
      <c r="G53" s="217" t="s">
        <v>39</v>
      </c>
      <c r="H53" s="217" t="s">
        <v>39</v>
      </c>
      <c r="I53" s="60">
        <v>0.37</v>
      </c>
      <c r="J53" s="60">
        <v>1.18</v>
      </c>
      <c r="K53" s="60">
        <v>147.72</v>
      </c>
      <c r="L53" s="60">
        <v>28.47</v>
      </c>
      <c r="M53" s="9" t="s">
        <v>35</v>
      </c>
      <c r="N53" s="60">
        <v>569.4</v>
      </c>
      <c r="O53" s="60">
        <v>0</v>
      </c>
      <c r="P53" s="60">
        <v>1.25</v>
      </c>
      <c r="Q53" s="60">
        <v>132.63</v>
      </c>
      <c r="R53" s="198"/>
      <c r="S53" s="198"/>
      <c r="T53" s="198"/>
      <c r="U53" s="198"/>
    </row>
    <row r="54" spans="1:21" s="12" customFormat="1" x14ac:dyDescent="0.25">
      <c r="A54" s="201" t="s">
        <v>2309</v>
      </c>
      <c r="B54" s="60">
        <v>111.27</v>
      </c>
      <c r="C54" s="60">
        <v>97.96</v>
      </c>
      <c r="D54" s="60">
        <v>143.30000000000001</v>
      </c>
      <c r="E54" s="60">
        <v>7.75</v>
      </c>
      <c r="F54" s="60">
        <v>5.09</v>
      </c>
      <c r="G54" s="217" t="s">
        <v>39</v>
      </c>
      <c r="H54" s="217" t="s">
        <v>39</v>
      </c>
      <c r="I54" s="60">
        <v>0.37</v>
      </c>
      <c r="J54" s="60">
        <v>1.2</v>
      </c>
      <c r="K54" s="60">
        <v>120.15</v>
      </c>
      <c r="L54" s="60">
        <v>30.99</v>
      </c>
      <c r="M54" s="9" t="s">
        <v>35</v>
      </c>
      <c r="N54" s="60">
        <v>560.6</v>
      </c>
      <c r="O54" s="60">
        <v>0</v>
      </c>
      <c r="P54" s="60">
        <v>1.22</v>
      </c>
      <c r="Q54" s="60">
        <v>134.43</v>
      </c>
      <c r="R54" s="198"/>
      <c r="S54" s="198"/>
      <c r="T54" s="198"/>
      <c r="U54" s="198"/>
    </row>
    <row r="55" spans="1:21" s="12" customFormat="1" x14ac:dyDescent="0.25">
      <c r="A55" s="201" t="s">
        <v>2310</v>
      </c>
      <c r="B55" s="60">
        <v>111.84</v>
      </c>
      <c r="C55" s="60">
        <v>100.49</v>
      </c>
      <c r="D55" s="60">
        <v>145.13999999999999</v>
      </c>
      <c r="E55" s="60">
        <v>8.0299999999999994</v>
      </c>
      <c r="F55" s="60">
        <v>5.57</v>
      </c>
      <c r="G55" s="217" t="s">
        <v>39</v>
      </c>
      <c r="H55" s="217" t="s">
        <v>39</v>
      </c>
      <c r="I55" s="60">
        <v>0.36</v>
      </c>
      <c r="J55" s="60">
        <v>1.01</v>
      </c>
      <c r="K55" s="60">
        <v>112.08</v>
      </c>
      <c r="L55" s="60">
        <v>31.42</v>
      </c>
      <c r="M55" s="9" t="s">
        <v>35</v>
      </c>
      <c r="N55" s="60">
        <v>570.79999999999995</v>
      </c>
      <c r="O55" s="60">
        <v>0</v>
      </c>
      <c r="P55" s="60">
        <v>1.18</v>
      </c>
      <c r="Q55" s="60">
        <v>135.09</v>
      </c>
      <c r="R55" s="198"/>
      <c r="S55" s="198"/>
      <c r="T55" s="198"/>
      <c r="U55" s="198"/>
    </row>
    <row r="56" spans="1:21" s="12" customFormat="1" x14ac:dyDescent="0.25">
      <c r="A56" s="201" t="s">
        <v>2311</v>
      </c>
      <c r="B56" s="60">
        <v>4.75</v>
      </c>
      <c r="C56" s="60">
        <v>114.92</v>
      </c>
      <c r="D56" s="60">
        <v>67.23</v>
      </c>
      <c r="E56" s="60">
        <v>6.84</v>
      </c>
      <c r="F56" s="60">
        <v>9.76</v>
      </c>
      <c r="G56" s="217" t="s">
        <v>39</v>
      </c>
      <c r="H56" s="217" t="s">
        <v>39</v>
      </c>
      <c r="I56" s="60">
        <v>0.35</v>
      </c>
      <c r="J56" s="60">
        <v>1.08</v>
      </c>
      <c r="K56" s="60">
        <v>127.26</v>
      </c>
      <c r="L56" s="60">
        <v>28.89</v>
      </c>
      <c r="M56" s="9" t="s">
        <v>35</v>
      </c>
      <c r="N56" s="60">
        <v>571.1</v>
      </c>
      <c r="O56" s="60">
        <v>0</v>
      </c>
      <c r="P56" s="60">
        <v>1.0900000000000001</v>
      </c>
      <c r="Q56" s="60">
        <v>126.9</v>
      </c>
      <c r="R56" s="198"/>
      <c r="S56" s="198"/>
      <c r="T56" s="198"/>
      <c r="U56" s="198"/>
    </row>
    <row r="57" spans="1:21" s="12" customFormat="1" x14ac:dyDescent="0.25">
      <c r="A57" s="201" t="s">
        <v>2312</v>
      </c>
      <c r="B57" s="60">
        <v>5.56</v>
      </c>
      <c r="C57" s="60">
        <v>112.09</v>
      </c>
      <c r="D57" s="60">
        <v>66.319999999999993</v>
      </c>
      <c r="E57" s="60">
        <v>10.050000000000001</v>
      </c>
      <c r="F57" s="60">
        <v>9.82</v>
      </c>
      <c r="G57" s="60">
        <v>68.89</v>
      </c>
      <c r="H57" s="60">
        <v>34.11</v>
      </c>
      <c r="I57" s="60">
        <v>0.33</v>
      </c>
      <c r="J57" s="60">
        <v>1.1499999999999999</v>
      </c>
      <c r="K57" s="60">
        <v>121.39</v>
      </c>
      <c r="L57" s="60">
        <v>30.32</v>
      </c>
      <c r="M57" s="9" t="s">
        <v>35</v>
      </c>
      <c r="N57" s="60">
        <v>557.1</v>
      </c>
      <c r="O57" s="60">
        <v>0</v>
      </c>
      <c r="P57" s="60">
        <v>1.06</v>
      </c>
      <c r="Q57" s="60">
        <v>118.31</v>
      </c>
      <c r="R57" s="198"/>
      <c r="S57" s="198"/>
      <c r="T57" s="198"/>
      <c r="U57" s="198"/>
    </row>
    <row r="58" spans="1:21" s="12" customFormat="1" x14ac:dyDescent="0.25">
      <c r="A58" s="201" t="s">
        <v>2313</v>
      </c>
      <c r="B58" s="60">
        <v>5.21</v>
      </c>
      <c r="C58" s="60">
        <v>111.76</v>
      </c>
      <c r="D58" s="60">
        <v>65.849999999999994</v>
      </c>
      <c r="E58" s="60">
        <v>12.33</v>
      </c>
      <c r="F58" s="60">
        <v>10.7</v>
      </c>
      <c r="G58" s="60">
        <v>68.89</v>
      </c>
      <c r="H58" s="60">
        <v>39.869999999999997</v>
      </c>
      <c r="I58" s="60">
        <v>0.33</v>
      </c>
      <c r="J58" s="60">
        <v>1.1000000000000001</v>
      </c>
      <c r="K58" s="60">
        <v>123.97</v>
      </c>
      <c r="L58" s="60">
        <v>29.94</v>
      </c>
      <c r="M58" s="9" t="s">
        <v>35</v>
      </c>
      <c r="N58" s="60">
        <v>552.1</v>
      </c>
      <c r="O58" s="60">
        <v>0</v>
      </c>
      <c r="P58" s="60">
        <v>1.03</v>
      </c>
      <c r="Q58" s="60">
        <v>119.14</v>
      </c>
      <c r="R58" s="198"/>
      <c r="S58" s="198"/>
      <c r="T58" s="198"/>
      <c r="U58" s="198"/>
    </row>
    <row r="59" spans="1:21" s="12" customFormat="1" x14ac:dyDescent="0.25">
      <c r="A59" s="201" t="s">
        <v>2314</v>
      </c>
      <c r="B59" s="60">
        <v>4.71</v>
      </c>
      <c r="C59" s="60">
        <v>105.61</v>
      </c>
      <c r="D59" s="60">
        <v>62.06</v>
      </c>
      <c r="E59" s="60">
        <v>11.56</v>
      </c>
      <c r="F59" s="60">
        <v>9.7799999999999994</v>
      </c>
      <c r="G59" s="60">
        <v>68.89</v>
      </c>
      <c r="H59" s="60">
        <v>39.869999999999997</v>
      </c>
      <c r="I59" s="60">
        <v>0.3</v>
      </c>
      <c r="J59" s="60">
        <v>0.84</v>
      </c>
      <c r="K59" s="60">
        <v>128.29</v>
      </c>
      <c r="L59" s="60">
        <v>29.73</v>
      </c>
      <c r="M59" s="9" t="s">
        <v>35</v>
      </c>
      <c r="N59" s="60">
        <v>545</v>
      </c>
      <c r="O59" s="60">
        <v>0</v>
      </c>
      <c r="P59" s="60">
        <v>1</v>
      </c>
      <c r="Q59" s="60">
        <v>123.73</v>
      </c>
      <c r="R59" s="198"/>
      <c r="S59" s="198"/>
      <c r="T59" s="198"/>
      <c r="U59" s="198"/>
    </row>
    <row r="60" spans="1:21" s="12" customFormat="1" x14ac:dyDescent="0.25">
      <c r="A60" s="201" t="s">
        <v>2315</v>
      </c>
      <c r="B60" s="60">
        <v>3.31</v>
      </c>
      <c r="C60" s="60">
        <v>99.97</v>
      </c>
      <c r="D60" s="60">
        <v>57.83</v>
      </c>
      <c r="E60" s="60">
        <v>9.51</v>
      </c>
      <c r="F60" s="60">
        <v>7.61</v>
      </c>
      <c r="G60" s="60">
        <v>68.89</v>
      </c>
      <c r="H60" s="60">
        <v>39.869999999999997</v>
      </c>
      <c r="I60" s="60">
        <v>0.3</v>
      </c>
      <c r="J60" s="60">
        <v>1.0900000000000001</v>
      </c>
      <c r="K60" s="60">
        <v>134.30000000000001</v>
      </c>
      <c r="L60" s="60">
        <v>28.99</v>
      </c>
      <c r="M60" s="9" t="s">
        <v>35</v>
      </c>
      <c r="N60" s="60">
        <v>534.5</v>
      </c>
      <c r="O60" s="60">
        <v>0</v>
      </c>
      <c r="P60" s="60">
        <v>0.96</v>
      </c>
      <c r="Q60" s="60">
        <v>126.8</v>
      </c>
      <c r="R60" s="198"/>
      <c r="S60" s="198"/>
      <c r="T60" s="198"/>
      <c r="U60" s="198"/>
    </row>
    <row r="61" spans="1:21" s="12" customFormat="1" x14ac:dyDescent="0.25">
      <c r="A61" s="201" t="s">
        <v>2316</v>
      </c>
      <c r="B61" s="60">
        <v>3.09</v>
      </c>
      <c r="C61" s="60">
        <v>98.55</v>
      </c>
      <c r="D61" s="60">
        <v>56.86</v>
      </c>
      <c r="E61" s="60">
        <v>6.94</v>
      </c>
      <c r="F61" s="60">
        <v>2.66</v>
      </c>
      <c r="G61" s="60">
        <v>71.709999999999994</v>
      </c>
      <c r="H61" s="60">
        <v>36.57</v>
      </c>
      <c r="I61" s="60">
        <v>0.3</v>
      </c>
      <c r="J61" s="60">
        <v>0.69</v>
      </c>
      <c r="K61" s="60">
        <v>132.93</v>
      </c>
      <c r="L61" s="60">
        <v>28.84</v>
      </c>
      <c r="M61" s="9" t="s">
        <v>35</v>
      </c>
      <c r="N61" s="60">
        <v>523.9</v>
      </c>
      <c r="O61" s="60">
        <v>0</v>
      </c>
      <c r="P61" s="60">
        <v>0.91</v>
      </c>
      <c r="Q61" s="60">
        <v>132.07</v>
      </c>
      <c r="R61" s="198"/>
      <c r="S61" s="198"/>
      <c r="T61" s="198"/>
      <c r="U61" s="198"/>
    </row>
    <row r="62" spans="1:21" s="12" customFormat="1" x14ac:dyDescent="0.25">
      <c r="A62" s="201" t="s">
        <v>2317</v>
      </c>
      <c r="B62" s="60">
        <v>3.6</v>
      </c>
      <c r="C62" s="60">
        <v>95.83</v>
      </c>
      <c r="D62" s="60">
        <v>55.78</v>
      </c>
      <c r="E62" s="60">
        <v>6.33</v>
      </c>
      <c r="F62" s="60">
        <v>2.98</v>
      </c>
      <c r="G62" s="60">
        <v>71.709999999999994</v>
      </c>
      <c r="H62" s="60">
        <v>36.01</v>
      </c>
      <c r="I62" s="60">
        <v>0.31</v>
      </c>
      <c r="J62" s="60">
        <v>0.79</v>
      </c>
      <c r="K62" s="60">
        <v>128.53</v>
      </c>
      <c r="L62" s="60">
        <v>30.26</v>
      </c>
      <c r="M62" s="9" t="s">
        <v>35</v>
      </c>
      <c r="N62" s="60">
        <v>494.5</v>
      </c>
      <c r="O62" s="60">
        <v>0</v>
      </c>
      <c r="P62" s="60">
        <v>0.94</v>
      </c>
      <c r="Q62" s="60">
        <v>143.69999999999999</v>
      </c>
      <c r="R62" s="198"/>
      <c r="S62" s="198"/>
      <c r="T62" s="198"/>
      <c r="U62" s="198"/>
    </row>
    <row r="63" spans="1:21" s="12" customFormat="1" x14ac:dyDescent="0.25">
      <c r="A63" s="201" t="s">
        <v>2318</v>
      </c>
      <c r="B63" s="60">
        <v>4.63</v>
      </c>
      <c r="C63" s="60">
        <v>94.21</v>
      </c>
      <c r="D63" s="60">
        <v>55.7</v>
      </c>
      <c r="E63" s="60">
        <v>7.69</v>
      </c>
      <c r="F63" s="60">
        <v>5.42</v>
      </c>
      <c r="G63" s="60">
        <v>71.709999999999994</v>
      </c>
      <c r="H63" s="60">
        <v>36.01</v>
      </c>
      <c r="I63" s="60">
        <v>0.33</v>
      </c>
      <c r="J63" s="60">
        <v>0.68</v>
      </c>
      <c r="K63" s="60">
        <v>125.76</v>
      </c>
      <c r="L63" s="60">
        <v>30.3</v>
      </c>
      <c r="M63" s="9" t="s">
        <v>35</v>
      </c>
      <c r="N63" s="60">
        <v>463.6</v>
      </c>
      <c r="O63" s="60">
        <v>0</v>
      </c>
      <c r="P63" s="60">
        <v>0.92</v>
      </c>
      <c r="Q63" s="60">
        <v>155.43</v>
      </c>
      <c r="R63" s="198"/>
      <c r="S63" s="198"/>
      <c r="T63" s="198"/>
      <c r="U63" s="198"/>
    </row>
    <row r="64" spans="1:21" s="12" customFormat="1" x14ac:dyDescent="0.25">
      <c r="A64" s="201" t="s">
        <v>2319</v>
      </c>
      <c r="B64" s="60">
        <v>5.0599999999999996</v>
      </c>
      <c r="C64" s="60">
        <v>89.03</v>
      </c>
      <c r="D64" s="60">
        <v>53.19</v>
      </c>
      <c r="E64" s="60">
        <v>8.07</v>
      </c>
      <c r="F64" s="60">
        <v>6.22</v>
      </c>
      <c r="G64" s="60">
        <v>71.709999999999994</v>
      </c>
      <c r="H64" s="60">
        <v>36.01</v>
      </c>
      <c r="I64" s="60">
        <v>0.35</v>
      </c>
      <c r="J64" s="60">
        <v>0.82</v>
      </c>
      <c r="K64" s="60">
        <v>128.04</v>
      </c>
      <c r="L64" s="60">
        <v>29.81</v>
      </c>
      <c r="M64" s="9" t="s">
        <v>35</v>
      </c>
      <c r="N64" s="60">
        <v>448.8</v>
      </c>
      <c r="O64" s="60">
        <v>0</v>
      </c>
      <c r="P64" s="60">
        <v>0.9</v>
      </c>
      <c r="Q64" s="60">
        <v>164.67</v>
      </c>
      <c r="R64" s="198"/>
      <c r="S64" s="198"/>
      <c r="T64" s="198"/>
      <c r="U64" s="198"/>
    </row>
    <row r="65" spans="1:21" s="12" customFormat="1" x14ac:dyDescent="0.25">
      <c r="A65" s="201" t="s">
        <v>2320</v>
      </c>
      <c r="B65" s="60">
        <v>5.76</v>
      </c>
      <c r="C65" s="60">
        <v>94.12</v>
      </c>
      <c r="D65" s="60">
        <v>56.56</v>
      </c>
      <c r="E65" s="60">
        <v>8.9</v>
      </c>
      <c r="F65" s="60">
        <v>3.5</v>
      </c>
      <c r="G65" s="60">
        <v>74.290000000000006</v>
      </c>
      <c r="H65" s="60">
        <v>37.409999999999997</v>
      </c>
      <c r="I65" s="60">
        <v>0.35</v>
      </c>
      <c r="J65" s="60">
        <v>0.66</v>
      </c>
      <c r="K65" s="60">
        <v>125</v>
      </c>
      <c r="L65" s="60">
        <v>30.71</v>
      </c>
      <c r="M65" s="9" t="s">
        <v>35</v>
      </c>
      <c r="N65" s="60">
        <v>402</v>
      </c>
      <c r="O65" s="60">
        <v>0</v>
      </c>
      <c r="P65" s="60">
        <v>0.9</v>
      </c>
      <c r="Q65" s="60">
        <v>172.45</v>
      </c>
      <c r="R65" s="198"/>
      <c r="S65" s="198"/>
      <c r="T65" s="198"/>
      <c r="U65" s="198"/>
    </row>
    <row r="66" spans="1:21" s="12" customFormat="1" x14ac:dyDescent="0.25">
      <c r="A66" s="201" t="s">
        <v>2321</v>
      </c>
      <c r="B66" s="60">
        <v>5.57</v>
      </c>
      <c r="C66" s="60">
        <v>91.45</v>
      </c>
      <c r="D66" s="60">
        <v>54.93</v>
      </c>
      <c r="E66" s="60">
        <v>6.85</v>
      </c>
      <c r="F66" s="60">
        <v>3.74</v>
      </c>
      <c r="G66" s="60">
        <v>74.290000000000006</v>
      </c>
      <c r="H66" s="60">
        <v>37.65</v>
      </c>
      <c r="I66" s="60">
        <v>0.35</v>
      </c>
      <c r="J66" s="60">
        <v>1.1000000000000001</v>
      </c>
      <c r="K66" s="60">
        <v>120.83</v>
      </c>
      <c r="L66" s="60">
        <v>31.43</v>
      </c>
      <c r="M66" s="9" t="s">
        <v>35</v>
      </c>
      <c r="N66" s="60">
        <v>328.5</v>
      </c>
      <c r="O66" s="60">
        <v>0</v>
      </c>
      <c r="P66" s="60">
        <v>0.91</v>
      </c>
      <c r="Q66" s="60">
        <v>179.99</v>
      </c>
      <c r="R66" s="198"/>
      <c r="S66" s="198"/>
      <c r="T66" s="198"/>
      <c r="U66" s="198"/>
    </row>
    <row r="67" spans="1:21" s="12" customFormat="1" x14ac:dyDescent="0.25">
      <c r="A67" s="201" t="s">
        <v>2322</v>
      </c>
      <c r="B67" s="60">
        <v>6.76</v>
      </c>
      <c r="C67" s="60">
        <v>91.96</v>
      </c>
      <c r="D67" s="60">
        <v>56.17</v>
      </c>
      <c r="E67" s="60">
        <v>10.07</v>
      </c>
      <c r="F67" s="60">
        <v>6.17</v>
      </c>
      <c r="G67" s="60">
        <v>74.290000000000006</v>
      </c>
      <c r="H67" s="60">
        <v>37.65</v>
      </c>
      <c r="I67" s="60">
        <v>0.36</v>
      </c>
      <c r="J67" s="60">
        <v>0.81</v>
      </c>
      <c r="K67" s="60">
        <v>124.79</v>
      </c>
      <c r="L67" s="60">
        <v>30.56</v>
      </c>
      <c r="M67" s="9" t="s">
        <v>35</v>
      </c>
      <c r="N67" s="60">
        <v>184.2</v>
      </c>
      <c r="O67" s="60">
        <v>0</v>
      </c>
      <c r="P67" s="60">
        <v>0.94</v>
      </c>
      <c r="Q67" s="60">
        <v>177.01</v>
      </c>
      <c r="R67" s="198"/>
      <c r="S67" s="198"/>
      <c r="T67" s="198"/>
      <c r="U67" s="198"/>
    </row>
    <row r="68" spans="1:21" s="12" customFormat="1" x14ac:dyDescent="0.25">
      <c r="A68" s="201" t="s">
        <v>2323</v>
      </c>
      <c r="B68" s="60">
        <v>8.5399999999999991</v>
      </c>
      <c r="C68" s="60">
        <v>106.89</v>
      </c>
      <c r="D68" s="60">
        <v>65.84</v>
      </c>
      <c r="E68" s="60">
        <v>28.57</v>
      </c>
      <c r="F68" s="60">
        <v>17.64</v>
      </c>
      <c r="G68" s="60">
        <v>74.290000000000006</v>
      </c>
      <c r="H68" s="60">
        <v>37.65</v>
      </c>
      <c r="I68" s="60">
        <v>0.36</v>
      </c>
      <c r="J68" s="60">
        <v>0.74</v>
      </c>
      <c r="K68" s="60">
        <v>129.81</v>
      </c>
      <c r="L68" s="60">
        <v>29.59</v>
      </c>
      <c r="M68" s="9" t="s">
        <v>35</v>
      </c>
      <c r="N68" s="60">
        <v>123.8</v>
      </c>
      <c r="O68" s="60">
        <v>0</v>
      </c>
      <c r="P68" s="60">
        <v>0.99</v>
      </c>
      <c r="Q68" s="60">
        <v>171.85</v>
      </c>
      <c r="R68" s="198"/>
      <c r="S68" s="198"/>
      <c r="T68" s="198"/>
      <c r="U68" s="198"/>
    </row>
    <row r="69" spans="1:21" s="12" customFormat="1" x14ac:dyDescent="0.25">
      <c r="A69" s="201" t="s">
        <v>2324</v>
      </c>
      <c r="B69" s="60">
        <v>7.83</v>
      </c>
      <c r="C69" s="60">
        <v>112.7</v>
      </c>
      <c r="D69" s="60">
        <v>68.48</v>
      </c>
      <c r="E69" s="60">
        <v>25.21</v>
      </c>
      <c r="F69" s="60">
        <v>16.05</v>
      </c>
      <c r="G69" s="60">
        <v>79.2</v>
      </c>
      <c r="H69" s="60">
        <v>36.11</v>
      </c>
      <c r="I69" s="60">
        <v>0.34</v>
      </c>
      <c r="J69" s="60">
        <v>1.45</v>
      </c>
      <c r="K69" s="60">
        <v>124.5</v>
      </c>
      <c r="L69" s="60">
        <v>30.07</v>
      </c>
      <c r="M69" s="9" t="s">
        <v>35</v>
      </c>
      <c r="N69" s="60">
        <v>121.6</v>
      </c>
      <c r="O69" s="60">
        <v>0</v>
      </c>
      <c r="P69" s="60">
        <v>0.99</v>
      </c>
      <c r="Q69" s="60">
        <v>158.69</v>
      </c>
      <c r="R69" s="198"/>
      <c r="S69" s="198"/>
      <c r="T69" s="198"/>
      <c r="U69" s="198"/>
    </row>
    <row r="70" spans="1:21" s="12" customFormat="1" x14ac:dyDescent="0.25">
      <c r="A70" s="201" t="s">
        <v>2325</v>
      </c>
      <c r="B70" s="60">
        <v>7.34</v>
      </c>
      <c r="C70" s="60">
        <v>120.48</v>
      </c>
      <c r="D70" s="60">
        <v>72.38</v>
      </c>
      <c r="E70" s="60">
        <v>14.11</v>
      </c>
      <c r="F70" s="60">
        <v>13.67</v>
      </c>
      <c r="G70" s="60">
        <v>79.2</v>
      </c>
      <c r="H70" s="60">
        <v>35.83</v>
      </c>
      <c r="I70" s="60">
        <v>0.3</v>
      </c>
      <c r="J70" s="60">
        <v>1.35</v>
      </c>
      <c r="K70" s="60">
        <v>125.85</v>
      </c>
      <c r="L70" s="60">
        <v>29.78</v>
      </c>
      <c r="M70" s="9" t="s">
        <v>35</v>
      </c>
      <c r="N70" s="60">
        <v>107</v>
      </c>
      <c r="O70" s="60">
        <v>0</v>
      </c>
      <c r="P70" s="60">
        <v>1</v>
      </c>
      <c r="Q70" s="60">
        <v>148.47</v>
      </c>
      <c r="R70" s="198"/>
      <c r="S70" s="198"/>
      <c r="T70" s="198"/>
      <c r="U70" s="198"/>
    </row>
    <row r="71" spans="1:21" s="12" customFormat="1" x14ac:dyDescent="0.25">
      <c r="A71" s="201" t="s">
        <v>2326</v>
      </c>
      <c r="B71" s="60">
        <v>5.46</v>
      </c>
      <c r="C71" s="60">
        <v>121.66</v>
      </c>
      <c r="D71" s="60">
        <v>71.52</v>
      </c>
      <c r="E71" s="60">
        <v>11.26</v>
      </c>
      <c r="F71" s="60">
        <v>6.59</v>
      </c>
      <c r="G71" s="60">
        <v>79.2</v>
      </c>
      <c r="H71" s="60">
        <v>35.83</v>
      </c>
      <c r="I71" s="60">
        <v>0.28000000000000003</v>
      </c>
      <c r="J71" s="60">
        <v>1.1200000000000001</v>
      </c>
      <c r="K71" s="60">
        <v>131.43</v>
      </c>
      <c r="L71" s="60">
        <v>29.09</v>
      </c>
      <c r="M71" s="9" t="s">
        <v>35</v>
      </c>
      <c r="N71" s="60">
        <v>95.4</v>
      </c>
      <c r="O71" s="60">
        <v>0</v>
      </c>
      <c r="P71" s="60">
        <v>1.03</v>
      </c>
      <c r="Q71" s="60">
        <v>140.91999999999999</v>
      </c>
      <c r="R71" s="198"/>
      <c r="S71" s="198"/>
      <c r="T71" s="198"/>
      <c r="U71" s="198"/>
    </row>
    <row r="72" spans="1:21" s="12" customFormat="1" x14ac:dyDescent="0.25">
      <c r="A72" s="201" t="s">
        <v>2327</v>
      </c>
      <c r="B72" s="60">
        <v>5.05</v>
      </c>
      <c r="C72" s="60">
        <v>117.64</v>
      </c>
      <c r="D72" s="60">
        <v>68.98</v>
      </c>
      <c r="E72" s="60">
        <v>9.52</v>
      </c>
      <c r="F72" s="60">
        <v>11.93</v>
      </c>
      <c r="G72" s="60">
        <v>79.2</v>
      </c>
      <c r="H72" s="60">
        <v>35.83</v>
      </c>
      <c r="I72" s="60">
        <v>0.28000000000000003</v>
      </c>
      <c r="J72" s="60">
        <v>0.86</v>
      </c>
      <c r="K72" s="60">
        <v>132.77000000000001</v>
      </c>
      <c r="L72" s="60">
        <v>28.43</v>
      </c>
      <c r="M72" s="9" t="s">
        <v>35</v>
      </c>
      <c r="N72" s="60">
        <v>71.2</v>
      </c>
      <c r="O72" s="60">
        <v>0</v>
      </c>
      <c r="P72" s="60">
        <v>1.03</v>
      </c>
      <c r="Q72" s="60">
        <v>129.86000000000001</v>
      </c>
      <c r="R72" s="198"/>
      <c r="S72" s="198"/>
      <c r="T72" s="198"/>
      <c r="U72" s="198"/>
    </row>
    <row r="73" spans="1:21" s="12" customFormat="1" x14ac:dyDescent="0.25">
      <c r="A73" s="201" t="s">
        <v>2328</v>
      </c>
      <c r="B73" s="60">
        <v>5.68</v>
      </c>
      <c r="C73" s="60">
        <v>119.93</v>
      </c>
      <c r="D73" s="60">
        <v>70.739999999999995</v>
      </c>
      <c r="E73" s="60">
        <v>9.0500000000000007</v>
      </c>
      <c r="F73" s="60">
        <v>6.7</v>
      </c>
      <c r="G73" s="60">
        <v>85.74</v>
      </c>
      <c r="H73" s="60">
        <v>33.299999999999997</v>
      </c>
      <c r="I73" s="60">
        <v>0.27</v>
      </c>
      <c r="J73" s="60">
        <v>0.99</v>
      </c>
      <c r="K73" s="60">
        <v>131.41</v>
      </c>
      <c r="L73" s="60">
        <v>28.03</v>
      </c>
      <c r="M73" s="9" t="s">
        <v>35</v>
      </c>
      <c r="N73" s="60">
        <v>56.4</v>
      </c>
      <c r="O73" s="60">
        <v>0</v>
      </c>
      <c r="P73" s="60">
        <v>1.05</v>
      </c>
      <c r="Q73" s="60">
        <v>122.76</v>
      </c>
      <c r="R73" s="198"/>
      <c r="S73" s="198"/>
      <c r="T73" s="198"/>
      <c r="U73" s="198"/>
    </row>
    <row r="74" spans="1:21" s="12" customFormat="1" x14ac:dyDescent="0.25">
      <c r="A74" s="201" t="s">
        <v>2329</v>
      </c>
      <c r="B74" s="60">
        <v>5.67</v>
      </c>
      <c r="C74" s="60">
        <v>119.47</v>
      </c>
      <c r="D74" s="60">
        <v>70.48</v>
      </c>
      <c r="E74" s="60">
        <v>7.63</v>
      </c>
      <c r="F74" s="60">
        <v>6.42</v>
      </c>
      <c r="G74" s="60">
        <v>85.74</v>
      </c>
      <c r="H74" s="60">
        <v>32.880000000000003</v>
      </c>
      <c r="I74" s="60">
        <v>0.25</v>
      </c>
      <c r="J74" s="60">
        <v>0.93</v>
      </c>
      <c r="K74" s="60">
        <v>132.27000000000001</v>
      </c>
      <c r="L74" s="60">
        <v>27.6</v>
      </c>
      <c r="M74" s="9" t="s">
        <v>35</v>
      </c>
      <c r="N74" s="60">
        <v>49.5</v>
      </c>
      <c r="O74" s="60">
        <v>0</v>
      </c>
      <c r="P74" s="60">
        <v>1.05</v>
      </c>
      <c r="Q74" s="60">
        <v>125.4</v>
      </c>
      <c r="R74" s="198"/>
      <c r="S74" s="198"/>
      <c r="T74" s="198"/>
      <c r="U74" s="198"/>
    </row>
    <row r="75" spans="1:21" s="12" customFormat="1" x14ac:dyDescent="0.25">
      <c r="A75" s="201" t="s">
        <v>2330</v>
      </c>
      <c r="B75" s="60">
        <v>3.85</v>
      </c>
      <c r="C75" s="60">
        <v>117.67</v>
      </c>
      <c r="D75" s="60">
        <v>68.03</v>
      </c>
      <c r="E75" s="60">
        <v>7.79</v>
      </c>
      <c r="F75" s="60">
        <v>6.03</v>
      </c>
      <c r="G75" s="60">
        <v>85.74</v>
      </c>
      <c r="H75" s="60">
        <v>32.880000000000003</v>
      </c>
      <c r="I75" s="60">
        <v>0.26</v>
      </c>
      <c r="J75" s="60">
        <v>0.91</v>
      </c>
      <c r="K75" s="60">
        <v>139.09</v>
      </c>
      <c r="L75" s="60">
        <v>27.2</v>
      </c>
      <c r="M75" s="9" t="s">
        <v>35</v>
      </c>
      <c r="N75" s="60">
        <v>39.6</v>
      </c>
      <c r="O75" s="60">
        <v>0</v>
      </c>
      <c r="P75" s="60">
        <v>1.06</v>
      </c>
      <c r="Q75" s="60">
        <v>125.86</v>
      </c>
      <c r="R75" s="198"/>
      <c r="S75" s="198"/>
      <c r="T75" s="198"/>
      <c r="U75" s="198"/>
    </row>
    <row r="76" spans="1:21" s="12" customFormat="1" x14ac:dyDescent="0.25">
      <c r="A76" s="201" t="s">
        <v>2331</v>
      </c>
      <c r="B76" s="60">
        <v>7.53</v>
      </c>
      <c r="C76" s="60">
        <v>112.12</v>
      </c>
      <c r="D76" s="60">
        <v>67.92</v>
      </c>
      <c r="E76" s="60">
        <v>8.58</v>
      </c>
      <c r="F76" s="60">
        <v>9.31</v>
      </c>
      <c r="G76" s="60">
        <v>85.74</v>
      </c>
      <c r="H76" s="60">
        <v>32.880000000000003</v>
      </c>
      <c r="I76" s="60">
        <v>0.26</v>
      </c>
      <c r="J76" s="60">
        <v>0.98</v>
      </c>
      <c r="K76" s="60">
        <v>140.16999999999999</v>
      </c>
      <c r="L76" s="60">
        <v>26.79</v>
      </c>
      <c r="M76" s="60">
        <v>59.53</v>
      </c>
      <c r="N76" s="60">
        <v>30</v>
      </c>
      <c r="O76" s="60">
        <v>0</v>
      </c>
      <c r="P76" s="60">
        <v>1.1399999999999999</v>
      </c>
      <c r="Q76" s="60">
        <v>133.26</v>
      </c>
      <c r="R76" s="198"/>
      <c r="S76" s="198"/>
      <c r="T76" s="198"/>
      <c r="U76" s="198"/>
    </row>
    <row r="77" spans="1:21" s="12" customFormat="1" x14ac:dyDescent="0.25">
      <c r="A77" s="201" t="s">
        <v>2332</v>
      </c>
      <c r="B77" s="60">
        <v>8.7100000000000009</v>
      </c>
      <c r="C77" s="60">
        <v>122.58</v>
      </c>
      <c r="D77" s="60">
        <v>74.63</v>
      </c>
      <c r="E77" s="60">
        <v>9.3699999999999992</v>
      </c>
      <c r="F77" s="60">
        <v>4.4400000000000004</v>
      </c>
      <c r="G77" s="60">
        <v>87.61</v>
      </c>
      <c r="H77" s="60">
        <v>33.72</v>
      </c>
      <c r="I77" s="60">
        <v>0.27</v>
      </c>
      <c r="J77" s="60">
        <v>11.15</v>
      </c>
      <c r="K77" s="60">
        <v>143.38999999999999</v>
      </c>
      <c r="L77" s="60">
        <v>26.19</v>
      </c>
      <c r="M77" s="60">
        <v>57.93</v>
      </c>
      <c r="N77" s="60">
        <v>80.3</v>
      </c>
      <c r="O77" s="60">
        <v>0</v>
      </c>
      <c r="P77" s="60">
        <v>1.23</v>
      </c>
      <c r="Q77" s="60">
        <v>138.63</v>
      </c>
      <c r="R77" s="198"/>
      <c r="S77" s="198"/>
      <c r="T77" s="198"/>
      <c r="U77" s="198"/>
    </row>
    <row r="78" spans="1:21" s="12" customFormat="1" x14ac:dyDescent="0.25">
      <c r="A78" s="201" t="s">
        <v>2333</v>
      </c>
      <c r="B78" s="60">
        <v>13.19</v>
      </c>
      <c r="C78" s="60">
        <v>133.4</v>
      </c>
      <c r="D78" s="60">
        <v>84.2</v>
      </c>
      <c r="E78" s="60">
        <v>9.8000000000000007</v>
      </c>
      <c r="F78" s="60">
        <v>3.75</v>
      </c>
      <c r="G78" s="60">
        <v>87.61</v>
      </c>
      <c r="H78" s="60">
        <v>33.86</v>
      </c>
      <c r="I78" s="60">
        <v>0.28999999999999998</v>
      </c>
      <c r="J78" s="60">
        <v>5.81</v>
      </c>
      <c r="K78" s="60">
        <v>160.81</v>
      </c>
      <c r="L78" s="60">
        <v>25.25</v>
      </c>
      <c r="M78" s="60">
        <v>74.03</v>
      </c>
      <c r="N78" s="60">
        <v>99.8</v>
      </c>
      <c r="O78" s="60">
        <v>0</v>
      </c>
      <c r="P78" s="60">
        <v>1.34</v>
      </c>
      <c r="Q78" s="60">
        <v>150.33000000000001</v>
      </c>
      <c r="R78" s="198"/>
      <c r="S78" s="198"/>
      <c r="T78" s="198"/>
      <c r="U78" s="198"/>
    </row>
    <row r="79" spans="1:21" s="12" customFormat="1" x14ac:dyDescent="0.25">
      <c r="A79" s="201" t="s">
        <v>2334</v>
      </c>
      <c r="B79" s="60">
        <v>13.22</v>
      </c>
      <c r="C79" s="60">
        <v>125.27</v>
      </c>
      <c r="D79" s="60">
        <v>79.73</v>
      </c>
      <c r="E79" s="60">
        <v>8.81</v>
      </c>
      <c r="F79" s="60">
        <v>3.05</v>
      </c>
      <c r="G79" s="60">
        <v>87.61</v>
      </c>
      <c r="H79" s="60">
        <v>33.86</v>
      </c>
      <c r="I79" s="60">
        <v>0.34</v>
      </c>
      <c r="J79" s="60">
        <v>0.52</v>
      </c>
      <c r="K79" s="60">
        <v>169.7</v>
      </c>
      <c r="L79" s="60">
        <v>24.44</v>
      </c>
      <c r="M79" s="60">
        <v>74.53</v>
      </c>
      <c r="N79" s="60">
        <v>10.5</v>
      </c>
      <c r="O79" s="60">
        <v>0</v>
      </c>
      <c r="P79" s="60">
        <v>1.4</v>
      </c>
      <c r="Q79" s="60">
        <v>168.48</v>
      </c>
      <c r="R79" s="198"/>
      <c r="S79" s="198"/>
      <c r="T79" s="198"/>
      <c r="U79" s="198"/>
    </row>
    <row r="80" spans="1:21" s="12" customFormat="1" x14ac:dyDescent="0.25">
      <c r="A80" s="201" t="s">
        <v>2335</v>
      </c>
      <c r="B80" s="60">
        <v>14.32</v>
      </c>
      <c r="C80" s="60">
        <v>121.36</v>
      </c>
      <c r="D80" s="60">
        <v>78.459999999999994</v>
      </c>
      <c r="E80" s="60">
        <v>5.5</v>
      </c>
      <c r="F80" s="60">
        <v>1.47</v>
      </c>
      <c r="G80" s="60">
        <v>87.61</v>
      </c>
      <c r="H80" s="60">
        <v>33.86</v>
      </c>
      <c r="I80" s="60">
        <v>0.4</v>
      </c>
      <c r="J80" s="60">
        <v>0.21</v>
      </c>
      <c r="K80" s="60">
        <v>174.79</v>
      </c>
      <c r="L80" s="60">
        <v>24.05</v>
      </c>
      <c r="M80" s="60">
        <v>74.319999999999993</v>
      </c>
      <c r="N80" s="60">
        <v>10.5</v>
      </c>
      <c r="O80" s="60">
        <v>0</v>
      </c>
      <c r="P80" s="60">
        <v>1.47</v>
      </c>
      <c r="Q80" s="60">
        <v>182.08</v>
      </c>
      <c r="R80" s="198"/>
      <c r="S80" s="198"/>
      <c r="T80" s="198"/>
      <c r="U80" s="198"/>
    </row>
    <row r="81" spans="1:26" s="12" customFormat="1" x14ac:dyDescent="0.25">
      <c r="A81" s="201" t="s">
        <v>2336</v>
      </c>
      <c r="B81" s="60">
        <v>21.24</v>
      </c>
      <c r="C81" s="60">
        <v>132</v>
      </c>
      <c r="D81" s="60">
        <v>89.88</v>
      </c>
      <c r="E81" s="60">
        <v>4.79</v>
      </c>
      <c r="F81" s="60">
        <v>1.05</v>
      </c>
      <c r="G81" s="60">
        <v>111.03</v>
      </c>
      <c r="H81" s="60">
        <v>41.19</v>
      </c>
      <c r="I81" s="60">
        <v>0.4</v>
      </c>
      <c r="J81" s="60">
        <v>0.18</v>
      </c>
      <c r="K81" s="60">
        <v>188.55</v>
      </c>
      <c r="L81" s="60">
        <v>23.34</v>
      </c>
      <c r="M81" s="60">
        <v>47.51</v>
      </c>
      <c r="N81" s="60">
        <v>10.4</v>
      </c>
      <c r="O81" s="60">
        <v>0</v>
      </c>
      <c r="P81" s="60">
        <v>1.59</v>
      </c>
      <c r="Q81" s="60">
        <v>188.01</v>
      </c>
      <c r="R81" s="198"/>
      <c r="S81" s="198"/>
      <c r="T81" s="198"/>
      <c r="U81" s="198"/>
    </row>
    <row r="82" spans="1:26" s="12" customFormat="1" x14ac:dyDescent="0.25">
      <c r="A82" s="201" t="s">
        <v>2337</v>
      </c>
      <c r="B82" s="60">
        <v>22.18</v>
      </c>
      <c r="C82" s="60">
        <v>132.12</v>
      </c>
      <c r="D82" s="60">
        <v>90.7</v>
      </c>
      <c r="E82" s="60">
        <v>4.8499999999999996</v>
      </c>
      <c r="F82" s="60">
        <v>0.81</v>
      </c>
      <c r="G82" s="60">
        <v>111.03</v>
      </c>
      <c r="H82" s="60">
        <v>42.42</v>
      </c>
      <c r="I82" s="60">
        <v>0.43</v>
      </c>
      <c r="J82" s="60">
        <v>0.13</v>
      </c>
      <c r="K82" s="60">
        <v>199.39</v>
      </c>
      <c r="L82" s="60">
        <v>22.82</v>
      </c>
      <c r="M82" s="60">
        <v>72.44</v>
      </c>
      <c r="N82" s="60">
        <v>10.4</v>
      </c>
      <c r="O82" s="60">
        <v>0</v>
      </c>
      <c r="P82" s="60">
        <v>1.66</v>
      </c>
      <c r="Q82" s="60">
        <v>199.47</v>
      </c>
      <c r="R82" s="198"/>
      <c r="S82" s="198"/>
      <c r="T82" s="198"/>
      <c r="U82" s="198"/>
    </row>
    <row r="83" spans="1:26" s="12" customFormat="1" x14ac:dyDescent="0.25">
      <c r="A83" s="201" t="s">
        <v>2338</v>
      </c>
      <c r="B83" s="60">
        <v>23.97</v>
      </c>
      <c r="C83" s="60">
        <v>132.47</v>
      </c>
      <c r="D83" s="60">
        <v>92.33</v>
      </c>
      <c r="E83" s="60">
        <v>4.74</v>
      </c>
      <c r="F83" s="60">
        <v>0.8</v>
      </c>
      <c r="G83" s="60">
        <v>111.03</v>
      </c>
      <c r="H83" s="60">
        <v>42.42</v>
      </c>
      <c r="I83" s="60">
        <v>0.47</v>
      </c>
      <c r="J83" s="60">
        <v>0.08</v>
      </c>
      <c r="K83" s="60">
        <v>197.77</v>
      </c>
      <c r="L83" s="60">
        <v>22.24</v>
      </c>
      <c r="M83" s="60">
        <v>40.9</v>
      </c>
      <c r="N83" s="60">
        <v>10.5</v>
      </c>
      <c r="O83" s="60">
        <v>0</v>
      </c>
      <c r="P83" s="60">
        <v>1.76</v>
      </c>
      <c r="Q83" s="60">
        <v>209.3</v>
      </c>
      <c r="R83" s="198"/>
      <c r="S83" s="198"/>
      <c r="T83" s="198"/>
      <c r="U83" s="198"/>
    </row>
    <row r="84" spans="1:26" s="12" customFormat="1" x14ac:dyDescent="0.25">
      <c r="A84" s="201" t="s">
        <v>2339</v>
      </c>
      <c r="B84" s="60">
        <v>28.79</v>
      </c>
      <c r="C84" s="60">
        <v>137.56</v>
      </c>
      <c r="D84" s="60">
        <v>99.01</v>
      </c>
      <c r="E84" s="60">
        <v>5.24</v>
      </c>
      <c r="F84" s="60">
        <v>0.83</v>
      </c>
      <c r="G84" s="60">
        <v>111.03</v>
      </c>
      <c r="H84" s="60">
        <v>42.42</v>
      </c>
      <c r="I84" s="60">
        <v>0.5</v>
      </c>
      <c r="J84" s="60">
        <v>0.18</v>
      </c>
      <c r="K84" s="60">
        <v>227.92</v>
      </c>
      <c r="L84" s="60">
        <v>21.61</v>
      </c>
      <c r="M84" s="60">
        <v>54.58</v>
      </c>
      <c r="N84" s="60">
        <v>10.3</v>
      </c>
      <c r="O84" s="60">
        <v>0</v>
      </c>
      <c r="P84" s="60">
        <v>1.89</v>
      </c>
      <c r="Q84" s="60">
        <v>218.65</v>
      </c>
      <c r="R84" s="198"/>
      <c r="S84" s="198"/>
      <c r="T84" s="198"/>
      <c r="U84" s="198"/>
    </row>
    <row r="85" spans="1:26" s="12" customFormat="1" x14ac:dyDescent="0.25">
      <c r="A85" s="201" t="s">
        <v>2340</v>
      </c>
      <c r="B85" s="60">
        <v>38.25</v>
      </c>
      <c r="C85" s="60">
        <v>145.51</v>
      </c>
      <c r="D85" s="60">
        <v>110.97</v>
      </c>
      <c r="E85" s="60">
        <v>5.16</v>
      </c>
      <c r="F85" s="60">
        <v>0.7</v>
      </c>
      <c r="G85" s="60">
        <v>257.47000000000003</v>
      </c>
      <c r="H85" s="60">
        <v>52.33</v>
      </c>
      <c r="I85" s="60">
        <v>0.54</v>
      </c>
      <c r="J85" s="60">
        <v>0.11</v>
      </c>
      <c r="K85" s="60">
        <v>227.07</v>
      </c>
      <c r="L85" s="60">
        <v>21.26</v>
      </c>
      <c r="M85" s="60">
        <v>75.39</v>
      </c>
      <c r="N85" s="60">
        <v>10.199999999999999</v>
      </c>
      <c r="O85" s="60">
        <v>0</v>
      </c>
      <c r="P85" s="60">
        <v>1.92</v>
      </c>
      <c r="Q85" s="60">
        <v>230.53</v>
      </c>
      <c r="R85" s="198"/>
      <c r="S85" s="198"/>
      <c r="T85" s="198"/>
      <c r="U85" s="198"/>
    </row>
    <row r="86" spans="1:26" s="12" customFormat="1" x14ac:dyDescent="0.25">
      <c r="A86" s="201" t="s">
        <v>2341</v>
      </c>
      <c r="B86" s="60">
        <v>53.09</v>
      </c>
      <c r="C86" s="60">
        <v>161.97</v>
      </c>
      <c r="D86" s="60">
        <v>131.96</v>
      </c>
      <c r="E86" s="60">
        <v>5.0599999999999996</v>
      </c>
      <c r="F86" s="60">
        <v>0.85</v>
      </c>
      <c r="G86" s="60">
        <v>257.47000000000003</v>
      </c>
      <c r="H86" s="60">
        <v>54</v>
      </c>
      <c r="I86" s="60">
        <v>0.6</v>
      </c>
      <c r="J86" s="60">
        <v>0.11</v>
      </c>
      <c r="K86" s="60">
        <v>227.71</v>
      </c>
      <c r="L86" s="60">
        <v>20.93</v>
      </c>
      <c r="M86" s="60">
        <v>25.23</v>
      </c>
      <c r="N86" s="60">
        <v>10.3</v>
      </c>
      <c r="O86" s="60">
        <v>0</v>
      </c>
      <c r="P86" s="60">
        <v>2.2599999999999998</v>
      </c>
      <c r="Q86" s="60">
        <v>248.66</v>
      </c>
      <c r="R86" s="198"/>
      <c r="S86" s="198"/>
      <c r="T86" s="198"/>
      <c r="U86" s="198"/>
    </row>
    <row r="87" spans="1:26" s="12" customFormat="1" x14ac:dyDescent="0.25">
      <c r="A87" s="201" t="s">
        <v>2342</v>
      </c>
      <c r="B87" s="60">
        <v>70.290000000000006</v>
      </c>
      <c r="C87" s="60">
        <v>177.79</v>
      </c>
      <c r="D87" s="60">
        <v>154.47999999999999</v>
      </c>
      <c r="E87" s="60">
        <v>5.52</v>
      </c>
      <c r="F87" s="60">
        <v>0.82</v>
      </c>
      <c r="G87" s="60">
        <v>257.47000000000003</v>
      </c>
      <c r="H87" s="60">
        <v>54</v>
      </c>
      <c r="I87" s="60">
        <v>0.66</v>
      </c>
      <c r="J87" s="60">
        <v>0.14000000000000001</v>
      </c>
      <c r="K87" s="60">
        <v>231.6</v>
      </c>
      <c r="L87" s="60">
        <v>20.56</v>
      </c>
      <c r="M87" s="60">
        <v>26.1</v>
      </c>
      <c r="N87" s="60">
        <v>10.3</v>
      </c>
      <c r="O87" s="60">
        <v>0</v>
      </c>
      <c r="P87" s="60">
        <v>2.4700000000000002</v>
      </c>
      <c r="Q87" s="60">
        <v>270.13</v>
      </c>
      <c r="R87" s="198"/>
      <c r="S87" s="198"/>
      <c r="T87" s="198"/>
      <c r="U87" s="198"/>
    </row>
    <row r="88" spans="1:26" s="12" customFormat="1" x14ac:dyDescent="0.25">
      <c r="A88" s="201" t="s">
        <v>2343</v>
      </c>
      <c r="B88" s="60">
        <v>81.91</v>
      </c>
      <c r="C88" s="60">
        <v>189.07</v>
      </c>
      <c r="D88" s="60">
        <v>170.03</v>
      </c>
      <c r="E88" s="60">
        <v>2.44</v>
      </c>
      <c r="F88" s="60">
        <v>0.91</v>
      </c>
      <c r="G88" s="60">
        <v>257.47000000000003</v>
      </c>
      <c r="H88" s="60">
        <v>54</v>
      </c>
      <c r="I88" s="60">
        <v>0.76</v>
      </c>
      <c r="J88" s="60">
        <v>0.25</v>
      </c>
      <c r="K88" s="60">
        <v>224.57</v>
      </c>
      <c r="L88" s="60">
        <v>20.92</v>
      </c>
      <c r="M88" s="60">
        <v>50.75</v>
      </c>
      <c r="N88" s="60">
        <v>9.8000000000000007</v>
      </c>
      <c r="O88" s="60">
        <v>0</v>
      </c>
      <c r="P88" s="60">
        <v>2.67</v>
      </c>
      <c r="Q88" s="60">
        <v>290.89999999999998</v>
      </c>
      <c r="R88" s="198"/>
      <c r="S88" s="198"/>
      <c r="T88" s="198"/>
      <c r="U88" s="198"/>
    </row>
    <row r="89" spans="1:26" s="12" customFormat="1" x14ac:dyDescent="0.25">
      <c r="A89" s="201" t="s">
        <v>2344</v>
      </c>
      <c r="B89" s="60">
        <v>97.22</v>
      </c>
      <c r="C89" s="60">
        <v>207.37</v>
      </c>
      <c r="D89" s="60">
        <v>192.4</v>
      </c>
      <c r="E89" s="60">
        <v>4.6399999999999997</v>
      </c>
      <c r="F89" s="60">
        <v>1.03</v>
      </c>
      <c r="G89" s="60">
        <v>391.7</v>
      </c>
      <c r="H89" s="60">
        <v>68.650000000000006</v>
      </c>
      <c r="I89" s="60">
        <v>0.91</v>
      </c>
      <c r="J89" s="60">
        <v>0.2</v>
      </c>
      <c r="K89" s="60">
        <v>207.99</v>
      </c>
      <c r="L89" s="60">
        <v>20.86</v>
      </c>
      <c r="M89" s="60">
        <v>46.57</v>
      </c>
      <c r="N89" s="60">
        <v>9.9</v>
      </c>
      <c r="O89" s="60">
        <v>0</v>
      </c>
      <c r="P89" s="60">
        <v>3.06</v>
      </c>
      <c r="Q89" s="60">
        <v>308.57</v>
      </c>
      <c r="R89" s="198"/>
      <c r="S89" s="198"/>
      <c r="T89" s="198"/>
      <c r="U89" s="198"/>
    </row>
    <row r="90" spans="1:26" s="12" customFormat="1" x14ac:dyDescent="0.25">
      <c r="A90" s="201" t="s">
        <v>2345</v>
      </c>
      <c r="B90" s="60">
        <v>98.8</v>
      </c>
      <c r="C90" s="60">
        <v>204.67</v>
      </c>
      <c r="D90" s="60">
        <v>192.18</v>
      </c>
      <c r="E90" s="60">
        <v>5.14</v>
      </c>
      <c r="F90" s="60">
        <v>0.88</v>
      </c>
      <c r="G90" s="60">
        <v>391.7</v>
      </c>
      <c r="H90" s="60">
        <v>71.12</v>
      </c>
      <c r="I90" s="60">
        <v>1.02</v>
      </c>
      <c r="J90" s="60">
        <v>0.18</v>
      </c>
      <c r="K90" s="60">
        <v>199.13</v>
      </c>
      <c r="L90" s="60">
        <v>21.15</v>
      </c>
      <c r="M90" s="60">
        <v>72.12</v>
      </c>
      <c r="N90" s="60">
        <v>10.199999999999999</v>
      </c>
      <c r="O90" s="60">
        <v>0</v>
      </c>
      <c r="P90" s="60">
        <v>3.13</v>
      </c>
      <c r="Q90" s="60">
        <v>323.95999999999998</v>
      </c>
      <c r="R90" s="198"/>
      <c r="S90" s="198"/>
      <c r="T90" s="198"/>
      <c r="U90" s="198"/>
    </row>
    <row r="91" spans="1:26" s="12" customFormat="1" x14ac:dyDescent="0.25">
      <c r="A91" s="201" t="s">
        <v>2346</v>
      </c>
      <c r="B91" s="60">
        <v>106.1</v>
      </c>
      <c r="C91" s="60">
        <v>208.38</v>
      </c>
      <c r="D91" s="60">
        <v>200.08</v>
      </c>
      <c r="E91" s="60">
        <v>5.18</v>
      </c>
      <c r="F91" s="60">
        <v>1.04</v>
      </c>
      <c r="G91" s="60">
        <v>391.7</v>
      </c>
      <c r="H91" s="60">
        <v>71.12</v>
      </c>
      <c r="I91" s="60">
        <v>1.1599999999999999</v>
      </c>
      <c r="J91" s="60">
        <v>0.16</v>
      </c>
      <c r="K91" s="60">
        <v>217.73</v>
      </c>
      <c r="L91" s="60">
        <v>20.64</v>
      </c>
      <c r="M91" s="60">
        <v>76.900000000000006</v>
      </c>
      <c r="N91" s="60">
        <v>10.8</v>
      </c>
      <c r="O91" s="60">
        <v>0</v>
      </c>
      <c r="P91" s="60">
        <v>3.29</v>
      </c>
      <c r="Q91" s="60">
        <v>336.3</v>
      </c>
      <c r="R91" s="198"/>
      <c r="S91" s="198"/>
      <c r="T91" s="198"/>
      <c r="U91" s="198"/>
    </row>
    <row r="92" spans="1:26" s="12" customFormat="1" x14ac:dyDescent="0.25">
      <c r="A92" s="201" t="s">
        <v>2347</v>
      </c>
      <c r="B92" s="60">
        <v>117.74</v>
      </c>
      <c r="C92" s="60">
        <v>218.96</v>
      </c>
      <c r="D92" s="60">
        <v>215.25</v>
      </c>
      <c r="E92" s="60">
        <v>5.19</v>
      </c>
      <c r="F92" s="60">
        <v>0.81</v>
      </c>
      <c r="G92" s="60">
        <v>391.7</v>
      </c>
      <c r="H92" s="60">
        <v>71.12</v>
      </c>
      <c r="I92" s="60">
        <v>1.23</v>
      </c>
      <c r="J92" s="60">
        <v>0.21</v>
      </c>
      <c r="K92" s="60">
        <v>230.76</v>
      </c>
      <c r="L92" s="60">
        <v>19.93</v>
      </c>
      <c r="M92" s="60">
        <v>51.02</v>
      </c>
      <c r="N92" s="60">
        <v>10.5</v>
      </c>
      <c r="O92" s="60">
        <v>0</v>
      </c>
      <c r="P92" s="60">
        <v>3.49</v>
      </c>
      <c r="Q92" s="60">
        <v>352.57</v>
      </c>
      <c r="R92" s="198"/>
      <c r="S92" s="198"/>
      <c r="T92" s="198"/>
      <c r="U92" s="198"/>
    </row>
    <row r="93" spans="1:26" s="12" customFormat="1" x14ac:dyDescent="0.25">
      <c r="A93" s="201" t="s">
        <v>2348</v>
      </c>
      <c r="B93" s="60">
        <v>127.48</v>
      </c>
      <c r="C93" s="60">
        <v>228.03</v>
      </c>
      <c r="D93" s="60">
        <v>228.07</v>
      </c>
      <c r="E93" s="60">
        <v>5.58</v>
      </c>
      <c r="F93" s="60">
        <v>0.86</v>
      </c>
      <c r="G93" s="60">
        <v>342.97</v>
      </c>
      <c r="H93" s="60">
        <v>81.37</v>
      </c>
      <c r="I93" s="60">
        <v>1.31</v>
      </c>
      <c r="J93" s="60">
        <v>0.11</v>
      </c>
      <c r="K93" s="60">
        <v>224.07</v>
      </c>
      <c r="L93" s="60">
        <v>19.829999999999998</v>
      </c>
      <c r="M93" s="60">
        <v>63.07</v>
      </c>
      <c r="N93" s="60">
        <v>10.7</v>
      </c>
      <c r="O93" s="60">
        <v>0</v>
      </c>
      <c r="P93" s="60">
        <v>3.66</v>
      </c>
      <c r="Q93" s="60">
        <v>366.88</v>
      </c>
      <c r="R93" s="198"/>
      <c r="S93" s="198"/>
      <c r="T93" s="198"/>
      <c r="U93" s="198"/>
    </row>
    <row r="94" spans="1:26" s="12" customFormat="1" x14ac:dyDescent="0.25">
      <c r="A94" s="201" t="s">
        <v>2349</v>
      </c>
      <c r="B94" s="60">
        <v>130.6</v>
      </c>
      <c r="C94" s="60">
        <v>228.01</v>
      </c>
      <c r="D94" s="60">
        <v>230.57</v>
      </c>
      <c r="E94" s="60">
        <v>5.15</v>
      </c>
      <c r="F94" s="60">
        <v>0.75</v>
      </c>
      <c r="G94" s="60">
        <v>342.97</v>
      </c>
      <c r="H94" s="60">
        <v>83.1</v>
      </c>
      <c r="I94" s="60">
        <v>1.41</v>
      </c>
      <c r="J94" s="60">
        <v>0.09</v>
      </c>
      <c r="K94" s="60">
        <v>217.61</v>
      </c>
      <c r="L94" s="60">
        <v>19.63</v>
      </c>
      <c r="M94" s="60">
        <v>57.78</v>
      </c>
      <c r="N94" s="60">
        <v>10.6</v>
      </c>
      <c r="O94" s="60">
        <v>0</v>
      </c>
      <c r="P94" s="60">
        <v>3.79</v>
      </c>
      <c r="Q94" s="60">
        <v>378.72</v>
      </c>
      <c r="R94" s="198"/>
      <c r="S94" s="198"/>
      <c r="T94" s="198"/>
      <c r="U94" s="198"/>
    </row>
    <row r="95" spans="1:26" s="12" customFormat="1" x14ac:dyDescent="0.25">
      <c r="A95" s="201" t="s">
        <v>2350</v>
      </c>
      <c r="B95" s="60">
        <v>132.47</v>
      </c>
      <c r="C95" s="60">
        <v>226.25</v>
      </c>
      <c r="D95" s="60">
        <v>231.09</v>
      </c>
      <c r="E95" s="60">
        <v>5.45</v>
      </c>
      <c r="F95" s="60">
        <v>0.86</v>
      </c>
      <c r="G95" s="60">
        <v>342.97</v>
      </c>
      <c r="H95" s="60">
        <v>83.1</v>
      </c>
      <c r="I95" s="60">
        <v>1.52</v>
      </c>
      <c r="J95" s="60">
        <v>0.2</v>
      </c>
      <c r="K95" s="60">
        <v>192.37</v>
      </c>
      <c r="L95" s="60">
        <v>20.11</v>
      </c>
      <c r="M95" s="60">
        <v>20.11</v>
      </c>
      <c r="N95" s="60">
        <v>10</v>
      </c>
      <c r="O95" s="60">
        <v>0</v>
      </c>
      <c r="P95" s="60">
        <v>3.83</v>
      </c>
      <c r="Q95" s="60">
        <v>380.48</v>
      </c>
      <c r="R95" s="198"/>
      <c r="S95" s="198"/>
      <c r="T95" s="198"/>
      <c r="U95" s="198"/>
    </row>
    <row r="96" spans="1:26" s="12" customFormat="1" x14ac:dyDescent="0.25">
      <c r="A96" s="201" t="s">
        <v>2351</v>
      </c>
      <c r="B96" s="60">
        <v>133.69999999999999</v>
      </c>
      <c r="C96" s="60">
        <v>226.73</v>
      </c>
      <c r="D96" s="60">
        <v>232.35</v>
      </c>
      <c r="E96" s="60">
        <v>5.28</v>
      </c>
      <c r="F96" s="60">
        <v>0.93</v>
      </c>
      <c r="G96" s="60">
        <v>342.97</v>
      </c>
      <c r="H96" s="60">
        <v>83.1</v>
      </c>
      <c r="I96" s="60">
        <v>1.69</v>
      </c>
      <c r="J96" s="60">
        <v>0.19</v>
      </c>
      <c r="K96" s="60">
        <v>185.2</v>
      </c>
      <c r="L96" s="60">
        <v>20.51</v>
      </c>
      <c r="M96" s="60">
        <v>19.309999999999999</v>
      </c>
      <c r="N96" s="60">
        <v>9.9</v>
      </c>
      <c r="O96" s="60">
        <v>0</v>
      </c>
      <c r="P96" s="60">
        <v>3.86</v>
      </c>
      <c r="Q96" s="60">
        <v>382.58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2352</v>
      </c>
      <c r="B97" s="60">
        <v>132.26</v>
      </c>
      <c r="C97" s="60">
        <v>225.07</v>
      </c>
      <c r="D97" s="60">
        <v>230.27</v>
      </c>
      <c r="E97" s="60">
        <v>5</v>
      </c>
      <c r="F97" s="60">
        <v>0.73</v>
      </c>
      <c r="G97" s="60">
        <v>249.59</v>
      </c>
      <c r="H97" s="60">
        <v>80.59</v>
      </c>
      <c r="I97" s="60">
        <v>1.58</v>
      </c>
      <c r="J97" s="60">
        <v>0.18</v>
      </c>
      <c r="K97" s="60">
        <v>182.15</v>
      </c>
      <c r="L97" s="60">
        <v>20.51</v>
      </c>
      <c r="M97" s="60">
        <v>26.3</v>
      </c>
      <c r="N97" s="60">
        <v>10.3</v>
      </c>
      <c r="O97" s="60">
        <v>0</v>
      </c>
      <c r="P97" s="60">
        <v>3.85</v>
      </c>
      <c r="Q97" s="60">
        <v>380.84</v>
      </c>
      <c r="R97" s="198"/>
      <c r="S97" s="198"/>
      <c r="T97" s="198"/>
      <c r="U97" s="198"/>
    </row>
    <row r="98" spans="1:33" s="12" customFormat="1" x14ac:dyDescent="0.25">
      <c r="A98" s="201" t="s">
        <v>2353</v>
      </c>
      <c r="B98" s="60">
        <v>128.02000000000001</v>
      </c>
      <c r="C98" s="60">
        <v>220.7</v>
      </c>
      <c r="D98" s="60">
        <v>224.46</v>
      </c>
      <c r="E98" s="60">
        <v>5.27</v>
      </c>
      <c r="F98" s="60">
        <v>0.79</v>
      </c>
      <c r="G98" s="60">
        <v>249.59</v>
      </c>
      <c r="H98" s="60">
        <v>80.17</v>
      </c>
      <c r="I98" s="60">
        <v>1.58</v>
      </c>
      <c r="J98" s="60">
        <v>0.32</v>
      </c>
      <c r="K98" s="60">
        <v>181.61</v>
      </c>
      <c r="L98" s="60">
        <v>20.61</v>
      </c>
      <c r="M98" s="60">
        <v>16.690000000000001</v>
      </c>
      <c r="N98" s="60">
        <v>9.9</v>
      </c>
      <c r="O98" s="60">
        <v>0</v>
      </c>
      <c r="P98" s="60">
        <v>3.8</v>
      </c>
      <c r="Q98" s="60">
        <v>377.25</v>
      </c>
      <c r="R98" s="198"/>
      <c r="S98" s="198"/>
      <c r="T98" s="198"/>
      <c r="U98" s="198"/>
    </row>
    <row r="99" spans="1:33" s="12" customFormat="1" x14ac:dyDescent="0.25">
      <c r="A99" s="201" t="s">
        <v>2354</v>
      </c>
      <c r="B99" s="60">
        <v>123.5</v>
      </c>
      <c r="C99" s="60">
        <v>217.34</v>
      </c>
      <c r="D99" s="60">
        <v>218.98</v>
      </c>
      <c r="E99" s="60">
        <v>5.43</v>
      </c>
      <c r="F99" s="60">
        <v>0.75</v>
      </c>
      <c r="G99" s="60">
        <v>249.59</v>
      </c>
      <c r="H99" s="60">
        <v>80.17</v>
      </c>
      <c r="I99" s="60">
        <v>1.58</v>
      </c>
      <c r="J99" s="60">
        <v>0.24</v>
      </c>
      <c r="K99" s="60">
        <v>185.22</v>
      </c>
      <c r="L99" s="60">
        <v>20.56</v>
      </c>
      <c r="M99" s="60">
        <v>29.15</v>
      </c>
      <c r="N99" s="60">
        <v>10.3</v>
      </c>
      <c r="O99" s="60">
        <v>0</v>
      </c>
      <c r="P99" s="60">
        <v>3.76</v>
      </c>
      <c r="Q99" s="60">
        <v>372.55</v>
      </c>
      <c r="R99" s="198"/>
      <c r="S99" s="198"/>
      <c r="T99" s="198"/>
      <c r="U99" s="198"/>
    </row>
    <row r="100" spans="1:33" s="12" customFormat="1" x14ac:dyDescent="0.25">
      <c r="A100" s="201" t="s">
        <v>2355</v>
      </c>
      <c r="B100" s="60">
        <v>119.34</v>
      </c>
      <c r="C100" s="60">
        <v>214.12</v>
      </c>
      <c r="D100" s="60">
        <v>213.87</v>
      </c>
      <c r="E100" s="60">
        <v>5.53</v>
      </c>
      <c r="F100" s="60">
        <v>0.82</v>
      </c>
      <c r="G100" s="60">
        <v>249.59</v>
      </c>
      <c r="H100" s="60">
        <v>80.17</v>
      </c>
      <c r="I100" s="60">
        <v>1.56</v>
      </c>
      <c r="J100" s="60">
        <v>0.37</v>
      </c>
      <c r="K100" s="60">
        <v>178.29</v>
      </c>
      <c r="L100" s="60">
        <v>20.45</v>
      </c>
      <c r="M100" s="60">
        <v>53.76</v>
      </c>
      <c r="N100" s="60">
        <v>9.9</v>
      </c>
      <c r="O100" s="60">
        <v>0</v>
      </c>
      <c r="P100" s="60">
        <v>3.72</v>
      </c>
      <c r="Q100" s="60">
        <v>368.74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2356</v>
      </c>
      <c r="B101" s="60">
        <v>109.66</v>
      </c>
      <c r="C101" s="60">
        <v>204.94</v>
      </c>
      <c r="D101" s="60">
        <v>201.04</v>
      </c>
      <c r="E101" s="60">
        <v>5.16</v>
      </c>
      <c r="F101" s="60">
        <v>1.83</v>
      </c>
      <c r="G101" s="60">
        <v>202.82</v>
      </c>
      <c r="H101" s="60">
        <v>70.92</v>
      </c>
      <c r="I101" s="60">
        <v>1.54</v>
      </c>
      <c r="J101" s="60">
        <v>0.39</v>
      </c>
      <c r="K101" s="60">
        <v>176.51</v>
      </c>
      <c r="L101" s="60">
        <v>20.440000000000001</v>
      </c>
      <c r="M101" s="60">
        <v>65.44</v>
      </c>
      <c r="N101" s="60">
        <v>10</v>
      </c>
      <c r="O101" s="60">
        <v>0</v>
      </c>
      <c r="P101" s="60">
        <v>3.58</v>
      </c>
      <c r="Q101" s="60">
        <v>363.1</v>
      </c>
      <c r="R101" s="198"/>
      <c r="S101" s="198"/>
      <c r="T101" s="198"/>
      <c r="U101" s="198"/>
    </row>
    <row r="102" spans="1:33" s="12" customFormat="1" x14ac:dyDescent="0.25">
      <c r="A102" s="201" t="s">
        <v>2357</v>
      </c>
      <c r="B102" s="60">
        <v>104.52</v>
      </c>
      <c r="C102" s="60">
        <v>199.22</v>
      </c>
      <c r="D102" s="60">
        <v>193.76</v>
      </c>
      <c r="E102" s="60">
        <v>5.4</v>
      </c>
      <c r="F102" s="60">
        <v>1.51</v>
      </c>
      <c r="G102" s="60">
        <v>202.82</v>
      </c>
      <c r="H102" s="60">
        <v>69.36</v>
      </c>
      <c r="I102" s="60">
        <v>1.52</v>
      </c>
      <c r="J102" s="60">
        <v>0.45</v>
      </c>
      <c r="K102" s="60">
        <v>177.63</v>
      </c>
      <c r="L102" s="60">
        <v>20.36</v>
      </c>
      <c r="M102" s="60">
        <v>63.01</v>
      </c>
      <c r="N102" s="60">
        <v>10.199999999999999</v>
      </c>
      <c r="O102" s="60">
        <v>0</v>
      </c>
      <c r="P102" s="60">
        <v>3.48</v>
      </c>
      <c r="Q102" s="60">
        <v>356.81</v>
      </c>
      <c r="R102" s="198"/>
      <c r="S102" s="198"/>
      <c r="T102" s="198"/>
      <c r="U102" s="198"/>
    </row>
    <row r="103" spans="1:33" s="12" customFormat="1" x14ac:dyDescent="0.25">
      <c r="A103" s="201" t="s">
        <v>2358</v>
      </c>
      <c r="B103" s="60">
        <v>99.59</v>
      </c>
      <c r="C103" s="60">
        <v>194.81</v>
      </c>
      <c r="D103" s="60">
        <v>187.37</v>
      </c>
      <c r="E103" s="60">
        <v>5.58</v>
      </c>
      <c r="F103" s="60">
        <v>1.1499999999999999</v>
      </c>
      <c r="G103" s="60">
        <v>202.82</v>
      </c>
      <c r="H103" s="60">
        <v>69.36</v>
      </c>
      <c r="I103" s="60">
        <v>1.46</v>
      </c>
      <c r="J103" s="60">
        <v>0.52</v>
      </c>
      <c r="K103" s="60">
        <v>181.18</v>
      </c>
      <c r="L103" s="60">
        <v>20.260000000000002</v>
      </c>
      <c r="M103" s="60">
        <v>67.819999999999993</v>
      </c>
      <c r="N103" s="60">
        <v>10.199999999999999</v>
      </c>
      <c r="O103" s="60">
        <v>0</v>
      </c>
      <c r="P103" s="60">
        <v>3.36</v>
      </c>
      <c r="Q103" s="60">
        <v>350.21</v>
      </c>
      <c r="R103" s="198"/>
      <c r="S103" s="198"/>
      <c r="T103" s="198"/>
      <c r="U103" s="198"/>
    </row>
    <row r="104" spans="1:33" s="12" customFormat="1" x14ac:dyDescent="0.25">
      <c r="A104" s="201" t="s">
        <v>2359</v>
      </c>
      <c r="B104" s="60">
        <v>88.83</v>
      </c>
      <c r="C104" s="60">
        <v>182.8</v>
      </c>
      <c r="D104" s="60">
        <v>172.11</v>
      </c>
      <c r="E104" s="60">
        <v>3.88</v>
      </c>
      <c r="F104" s="60">
        <v>1.36</v>
      </c>
      <c r="G104" s="60">
        <v>202.82</v>
      </c>
      <c r="H104" s="60">
        <v>69.36</v>
      </c>
      <c r="I104" s="60">
        <v>1.43</v>
      </c>
      <c r="J104" s="60">
        <v>0.46</v>
      </c>
      <c r="K104" s="60">
        <v>185.18</v>
      </c>
      <c r="L104" s="60">
        <v>20.079999999999998</v>
      </c>
      <c r="M104" s="60">
        <v>71.48</v>
      </c>
      <c r="N104" s="60">
        <v>10.5</v>
      </c>
      <c r="O104" s="60">
        <v>0</v>
      </c>
      <c r="P104" s="60">
        <v>3.2</v>
      </c>
      <c r="Q104" s="60">
        <v>342.29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1.21</v>
      </c>
      <c r="C106" s="67">
        <f>MIN(C9:C104)</f>
        <v>7.95</v>
      </c>
      <c r="D106" s="67">
        <f t="shared" ref="D106:Q106" si="0">MIN(D9:D104)</f>
        <v>5.36</v>
      </c>
      <c r="E106" s="67">
        <f t="shared" si="0"/>
        <v>2.44</v>
      </c>
      <c r="F106" s="67">
        <f t="shared" si="0"/>
        <v>0.56000000000000005</v>
      </c>
      <c r="G106" s="67">
        <f t="shared" si="0"/>
        <v>68.89</v>
      </c>
      <c r="H106" s="67">
        <f t="shared" si="0"/>
        <v>32.880000000000003</v>
      </c>
      <c r="I106" s="67">
        <f t="shared" si="0"/>
        <v>0.25</v>
      </c>
      <c r="J106" s="67">
        <f t="shared" si="0"/>
        <v>0.08</v>
      </c>
      <c r="K106" s="67">
        <f t="shared" si="0"/>
        <v>112.08</v>
      </c>
      <c r="L106" s="67">
        <f t="shared" si="0"/>
        <v>16.329999999999998</v>
      </c>
      <c r="M106" s="67">
        <f t="shared" si="0"/>
        <v>16.690000000000001</v>
      </c>
      <c r="N106" s="67">
        <f t="shared" si="0"/>
        <v>8.5</v>
      </c>
      <c r="O106" s="67">
        <f t="shared" si="0"/>
        <v>0</v>
      </c>
      <c r="P106" s="67">
        <f t="shared" si="0"/>
        <v>0.9</v>
      </c>
      <c r="Q106" s="67">
        <f t="shared" si="0"/>
        <v>118.31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220.15</v>
      </c>
      <c r="C107" s="66">
        <f t="shared" ref="C107:Q107" si="1">MAX(C9:C104)</f>
        <v>289.70999999999998</v>
      </c>
      <c r="D107" s="66">
        <f t="shared" si="1"/>
        <v>336.42</v>
      </c>
      <c r="E107" s="66">
        <f t="shared" si="1"/>
        <v>135.77000000000001</v>
      </c>
      <c r="F107" s="66">
        <f t="shared" si="1"/>
        <v>337.01</v>
      </c>
      <c r="G107" s="66">
        <f t="shared" si="1"/>
        <v>391.7</v>
      </c>
      <c r="H107" s="66">
        <f t="shared" si="1"/>
        <v>83.1</v>
      </c>
      <c r="I107" s="66">
        <f t="shared" si="1"/>
        <v>3.04</v>
      </c>
      <c r="J107" s="66">
        <f t="shared" si="1"/>
        <v>11.15</v>
      </c>
      <c r="K107" s="66">
        <f t="shared" si="1"/>
        <v>263.72000000000003</v>
      </c>
      <c r="L107" s="66">
        <f t="shared" si="1"/>
        <v>31.43</v>
      </c>
      <c r="M107" s="66">
        <f t="shared" si="1"/>
        <v>76.900000000000006</v>
      </c>
      <c r="N107" s="66">
        <f t="shared" si="1"/>
        <v>571.1</v>
      </c>
      <c r="O107" s="66">
        <f t="shared" si="1"/>
        <v>0</v>
      </c>
      <c r="P107" s="66">
        <f t="shared" si="1"/>
        <v>5.8</v>
      </c>
      <c r="Q107" s="66">
        <f t="shared" si="1"/>
        <v>395.9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60.349895833333363</v>
      </c>
      <c r="C108" s="67">
        <f t="shared" ref="C108:Q108" si="2">AVERAGE(C9:C104)</f>
        <v>152.82885416666667</v>
      </c>
      <c r="D108" s="67">
        <f t="shared" si="2"/>
        <v>132.73833333333332</v>
      </c>
      <c r="E108" s="67">
        <f t="shared" si="2"/>
        <v>8.9426041666666656</v>
      </c>
      <c r="F108" s="67">
        <f t="shared" si="2"/>
        <v>12.586354166666665</v>
      </c>
      <c r="G108" s="67">
        <f t="shared" si="2"/>
        <v>160.26934782608703</v>
      </c>
      <c r="H108" s="67">
        <f t="shared" si="2"/>
        <v>55.626521739130439</v>
      </c>
      <c r="I108" s="67">
        <f t="shared" si="2"/>
        <v>0.95656249999999998</v>
      </c>
      <c r="J108" s="67">
        <f t="shared" si="2"/>
        <v>0.79875000000000007</v>
      </c>
      <c r="K108" s="67">
        <f t="shared" si="2"/>
        <v>192.05395833333338</v>
      </c>
      <c r="L108" s="67">
        <f t="shared" si="2"/>
        <v>22.813958333333332</v>
      </c>
      <c r="M108" s="67">
        <f t="shared" si="2"/>
        <v>52.88862068965517</v>
      </c>
      <c r="N108" s="67">
        <f t="shared" si="2"/>
        <v>155.42291666666662</v>
      </c>
      <c r="O108" s="67">
        <f t="shared" si="2"/>
        <v>0</v>
      </c>
      <c r="P108" s="67">
        <f t="shared" si="2"/>
        <v>2.3499999999999996</v>
      </c>
      <c r="Q108" s="67">
        <f t="shared" si="2"/>
        <v>238.32943820224719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55.953536278722311</v>
      </c>
      <c r="C109" s="67">
        <f t="shared" ref="C109:Q109" si="3">STDEV(C9:C104)</f>
        <v>52.601295598808491</v>
      </c>
      <c r="D109" s="67">
        <f t="shared" si="3"/>
        <v>72.245855866094985</v>
      </c>
      <c r="E109" s="67">
        <f t="shared" si="3"/>
        <v>13.912642811092184</v>
      </c>
      <c r="F109" s="67">
        <f t="shared" si="3"/>
        <v>54.948331656485621</v>
      </c>
      <c r="G109" s="67">
        <f t="shared" si="3"/>
        <v>85.320518844142555</v>
      </c>
      <c r="H109" s="67">
        <f t="shared" si="3"/>
        <v>15.420060748357573</v>
      </c>
      <c r="I109" s="67">
        <f t="shared" si="3"/>
        <v>0.71352177427771712</v>
      </c>
      <c r="J109" s="67">
        <f t="shared" si="3"/>
        <v>1.2426052851717804</v>
      </c>
      <c r="K109" s="67">
        <f t="shared" si="3"/>
        <v>49.073163648601607</v>
      </c>
      <c r="L109" s="67">
        <f t="shared" si="3"/>
        <v>4.8664746732736779</v>
      </c>
      <c r="M109" s="67">
        <f t="shared" si="3"/>
        <v>19.571226825575568</v>
      </c>
      <c r="N109" s="67">
        <f t="shared" si="3"/>
        <v>210.54297947483397</v>
      </c>
      <c r="O109" s="67">
        <f t="shared" si="3"/>
        <v>0</v>
      </c>
      <c r="P109" s="67">
        <f t="shared" si="3"/>
        <v>1.2383469456879772</v>
      </c>
      <c r="Q109" s="67">
        <f t="shared" si="3"/>
        <v>86.171000544893673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>COUNT(M9:M104)+67</f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COUNT(Q9:Q104)+7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2071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2360</v>
      </c>
      <c r="B9" s="60">
        <v>83.17</v>
      </c>
      <c r="C9" s="60">
        <v>177.98</v>
      </c>
      <c r="D9" s="60">
        <v>164.92</v>
      </c>
      <c r="E9" s="60">
        <v>6.13</v>
      </c>
      <c r="F9" s="60">
        <v>1.42</v>
      </c>
      <c r="G9" s="60">
        <v>206.48</v>
      </c>
      <c r="H9" s="60">
        <v>61.74</v>
      </c>
      <c r="I9" s="60">
        <v>1.4</v>
      </c>
      <c r="J9" s="60">
        <v>0.36</v>
      </c>
      <c r="K9" s="60">
        <v>186.33</v>
      </c>
      <c r="L9" s="60">
        <v>19.86</v>
      </c>
      <c r="M9" s="60">
        <v>57.73</v>
      </c>
      <c r="N9" s="60">
        <v>10.6</v>
      </c>
      <c r="O9" s="60">
        <v>0</v>
      </c>
      <c r="P9" s="60">
        <v>3.08</v>
      </c>
      <c r="Q9" s="60">
        <v>333.46</v>
      </c>
      <c r="R9" s="198"/>
      <c r="S9" s="198"/>
      <c r="T9" s="198"/>
      <c r="U9" s="198"/>
    </row>
    <row r="10" spans="1:21" s="12" customFormat="1" x14ac:dyDescent="0.25">
      <c r="A10" s="201" t="s">
        <v>2361</v>
      </c>
      <c r="B10" s="60">
        <v>79.3</v>
      </c>
      <c r="C10" s="60">
        <v>173.05</v>
      </c>
      <c r="D10" s="60">
        <v>159.09</v>
      </c>
      <c r="E10" s="60">
        <v>5.79</v>
      </c>
      <c r="F10" s="60">
        <v>1.05</v>
      </c>
      <c r="G10" s="60">
        <v>206.48</v>
      </c>
      <c r="H10" s="60">
        <v>60.45</v>
      </c>
      <c r="I10" s="60">
        <v>1.34</v>
      </c>
      <c r="J10" s="60">
        <v>0.37</v>
      </c>
      <c r="K10" s="60">
        <v>187.57</v>
      </c>
      <c r="L10" s="60">
        <v>19.739999999999998</v>
      </c>
      <c r="M10" s="60">
        <v>53.86</v>
      </c>
      <c r="N10" s="60">
        <v>10.5</v>
      </c>
      <c r="O10" s="60">
        <v>0</v>
      </c>
      <c r="P10" s="60">
        <v>2.95</v>
      </c>
      <c r="Q10" s="60">
        <v>326.2</v>
      </c>
      <c r="R10" s="198"/>
      <c r="S10" s="198"/>
      <c r="T10" s="198"/>
      <c r="U10" s="198"/>
    </row>
    <row r="11" spans="1:21" s="12" customFormat="1" x14ac:dyDescent="0.25">
      <c r="A11" s="201" t="s">
        <v>2362</v>
      </c>
      <c r="B11" s="60">
        <v>70.64</v>
      </c>
      <c r="C11" s="60">
        <v>168.82</v>
      </c>
      <c r="D11" s="60">
        <v>149.82</v>
      </c>
      <c r="E11" s="60">
        <v>5.98</v>
      </c>
      <c r="F11" s="60">
        <v>1.1100000000000001</v>
      </c>
      <c r="G11" s="60">
        <v>206.48</v>
      </c>
      <c r="H11" s="60">
        <v>60.45</v>
      </c>
      <c r="I11" s="60">
        <v>1.3</v>
      </c>
      <c r="J11" s="60">
        <v>0.55000000000000004</v>
      </c>
      <c r="K11" s="60">
        <v>192.34</v>
      </c>
      <c r="L11" s="60">
        <v>19.62</v>
      </c>
      <c r="M11" s="60">
        <v>65.48</v>
      </c>
      <c r="N11" s="60">
        <v>10.3</v>
      </c>
      <c r="O11" s="60">
        <v>0</v>
      </c>
      <c r="P11" s="60">
        <v>2.81</v>
      </c>
      <c r="Q11" s="60">
        <v>319.51</v>
      </c>
      <c r="R11" s="198"/>
      <c r="S11" s="198"/>
      <c r="T11" s="198"/>
      <c r="U11" s="198"/>
    </row>
    <row r="12" spans="1:21" s="12" customFormat="1" x14ac:dyDescent="0.25">
      <c r="A12" s="201" t="s">
        <v>2363</v>
      </c>
      <c r="B12" s="60">
        <v>66.44</v>
      </c>
      <c r="C12" s="60">
        <v>163.06</v>
      </c>
      <c r="D12" s="60">
        <v>143.27000000000001</v>
      </c>
      <c r="E12" s="60">
        <v>6.29</v>
      </c>
      <c r="F12" s="60">
        <v>0.52</v>
      </c>
      <c r="G12" s="60">
        <v>206.48</v>
      </c>
      <c r="H12" s="60">
        <v>60.45</v>
      </c>
      <c r="I12" s="60">
        <v>1.26</v>
      </c>
      <c r="J12" s="60">
        <v>0.3</v>
      </c>
      <c r="K12" s="60">
        <v>197</v>
      </c>
      <c r="L12" s="60">
        <v>19.329999999999998</v>
      </c>
      <c r="M12" s="60">
        <v>53.92</v>
      </c>
      <c r="N12" s="60">
        <v>10.8</v>
      </c>
      <c r="O12" s="60">
        <v>0</v>
      </c>
      <c r="P12" s="60">
        <v>2.68</v>
      </c>
      <c r="Q12" s="60">
        <v>314.11</v>
      </c>
      <c r="R12" s="198"/>
      <c r="S12" s="198"/>
      <c r="T12" s="198"/>
      <c r="U12" s="198"/>
    </row>
    <row r="13" spans="1:21" s="12" customFormat="1" x14ac:dyDescent="0.25">
      <c r="A13" s="201" t="s">
        <v>2364</v>
      </c>
      <c r="B13" s="60">
        <v>63.21</v>
      </c>
      <c r="C13" s="60">
        <v>155.72</v>
      </c>
      <c r="D13" s="60">
        <v>136.63</v>
      </c>
      <c r="E13" s="60">
        <v>5.41</v>
      </c>
      <c r="F13" s="60">
        <v>0.54</v>
      </c>
      <c r="G13" s="60">
        <v>118.51</v>
      </c>
      <c r="H13" s="60">
        <v>50.46</v>
      </c>
      <c r="I13" s="60">
        <v>1.2</v>
      </c>
      <c r="J13" s="60">
        <v>0.41</v>
      </c>
      <c r="K13" s="60">
        <v>202.15</v>
      </c>
      <c r="L13" s="60">
        <v>19.14</v>
      </c>
      <c r="M13" s="60">
        <v>62.53</v>
      </c>
      <c r="N13" s="60">
        <v>10.5</v>
      </c>
      <c r="O13" s="60">
        <v>0</v>
      </c>
      <c r="P13" s="60">
        <v>2.5099999999999998</v>
      </c>
      <c r="Q13" s="60">
        <v>304.36</v>
      </c>
      <c r="R13" s="198"/>
      <c r="S13" s="198"/>
      <c r="T13" s="198"/>
      <c r="U13" s="198"/>
    </row>
    <row r="14" spans="1:21" s="12" customFormat="1" x14ac:dyDescent="0.25">
      <c r="A14" s="201" t="s">
        <v>2365</v>
      </c>
      <c r="B14" s="60">
        <v>58.69</v>
      </c>
      <c r="C14" s="60">
        <v>149.30000000000001</v>
      </c>
      <c r="D14" s="60">
        <v>129.46</v>
      </c>
      <c r="E14" s="60">
        <v>5.86</v>
      </c>
      <c r="F14" s="60">
        <v>0.84</v>
      </c>
      <c r="G14" s="60">
        <v>118.51</v>
      </c>
      <c r="H14" s="60">
        <v>48.77</v>
      </c>
      <c r="I14" s="60">
        <v>1.1599999999999999</v>
      </c>
      <c r="J14" s="60">
        <v>0.38</v>
      </c>
      <c r="K14" s="60">
        <v>206.79</v>
      </c>
      <c r="L14" s="60">
        <v>19.03</v>
      </c>
      <c r="M14" s="60">
        <v>51.77</v>
      </c>
      <c r="N14" s="60">
        <v>10.4</v>
      </c>
      <c r="O14" s="60">
        <v>0</v>
      </c>
      <c r="P14" s="60">
        <v>2.48</v>
      </c>
      <c r="Q14" s="60">
        <v>297.08</v>
      </c>
      <c r="R14" s="198"/>
      <c r="S14" s="198"/>
      <c r="T14" s="198"/>
      <c r="U14" s="198"/>
    </row>
    <row r="15" spans="1:21" s="12" customFormat="1" x14ac:dyDescent="0.25">
      <c r="A15" s="201" t="s">
        <v>2366</v>
      </c>
      <c r="B15" s="60">
        <v>53.94</v>
      </c>
      <c r="C15" s="60">
        <v>143.91999999999999</v>
      </c>
      <c r="D15" s="60">
        <v>122.69</v>
      </c>
      <c r="E15" s="60">
        <v>5.63</v>
      </c>
      <c r="F15" s="60">
        <v>0.89</v>
      </c>
      <c r="G15" s="60">
        <v>118.51</v>
      </c>
      <c r="H15" s="60">
        <v>48.77</v>
      </c>
      <c r="I15" s="60">
        <v>1.1100000000000001</v>
      </c>
      <c r="J15" s="60">
        <v>0.54</v>
      </c>
      <c r="K15" s="60">
        <v>209.74</v>
      </c>
      <c r="L15" s="60">
        <v>19.03</v>
      </c>
      <c r="M15" s="60">
        <v>66.47</v>
      </c>
      <c r="N15" s="60">
        <v>10.199999999999999</v>
      </c>
      <c r="O15" s="60">
        <v>0</v>
      </c>
      <c r="P15" s="60">
        <v>2.38</v>
      </c>
      <c r="Q15" s="60">
        <v>291.19</v>
      </c>
      <c r="R15" s="198"/>
      <c r="S15" s="198"/>
      <c r="T15" s="198"/>
      <c r="U15" s="198"/>
    </row>
    <row r="16" spans="1:21" s="12" customFormat="1" x14ac:dyDescent="0.25">
      <c r="A16" s="201" t="s">
        <v>2367</v>
      </c>
      <c r="B16" s="60">
        <v>49.63</v>
      </c>
      <c r="C16" s="60">
        <v>139.15</v>
      </c>
      <c r="D16" s="60">
        <v>116.6</v>
      </c>
      <c r="E16" s="60">
        <v>5.67</v>
      </c>
      <c r="F16" s="60">
        <v>0.9</v>
      </c>
      <c r="G16" s="60">
        <v>118.51</v>
      </c>
      <c r="H16" s="60">
        <v>48.77</v>
      </c>
      <c r="I16" s="60">
        <v>1.06</v>
      </c>
      <c r="J16" s="60">
        <v>0.28999999999999998</v>
      </c>
      <c r="K16" s="60">
        <v>211.41</v>
      </c>
      <c r="L16" s="60">
        <v>18.850000000000001</v>
      </c>
      <c r="M16" s="60">
        <v>29.74</v>
      </c>
      <c r="N16" s="60">
        <v>10.8</v>
      </c>
      <c r="O16" s="60">
        <v>0</v>
      </c>
      <c r="P16" s="60">
        <v>2.2999999999999998</v>
      </c>
      <c r="Q16" s="60">
        <v>285.26</v>
      </c>
      <c r="R16" s="198"/>
      <c r="S16" s="198"/>
      <c r="T16" s="198"/>
      <c r="U16" s="198"/>
    </row>
    <row r="17" spans="1:21" s="12" customFormat="1" x14ac:dyDescent="0.25">
      <c r="A17" s="201" t="s">
        <v>2368</v>
      </c>
      <c r="B17" s="60">
        <v>46.39</v>
      </c>
      <c r="C17" s="60">
        <v>134.75</v>
      </c>
      <c r="D17" s="60">
        <v>111.56</v>
      </c>
      <c r="E17" s="60">
        <v>5.59</v>
      </c>
      <c r="F17" s="60">
        <v>0.88</v>
      </c>
      <c r="G17" s="60">
        <v>139.5</v>
      </c>
      <c r="H17" s="60">
        <v>50.78</v>
      </c>
      <c r="I17" s="60">
        <v>1</v>
      </c>
      <c r="J17" s="60">
        <v>0.44</v>
      </c>
      <c r="K17" s="60">
        <v>223.23</v>
      </c>
      <c r="L17" s="60">
        <v>18.53</v>
      </c>
      <c r="M17" s="60">
        <v>68.12</v>
      </c>
      <c r="N17" s="60">
        <v>10.6</v>
      </c>
      <c r="O17" s="60">
        <v>0</v>
      </c>
      <c r="P17" s="60">
        <v>2.2400000000000002</v>
      </c>
      <c r="Q17" s="60">
        <v>279.45</v>
      </c>
      <c r="R17" s="198"/>
      <c r="S17" s="198"/>
      <c r="T17" s="198"/>
      <c r="U17" s="198"/>
    </row>
    <row r="18" spans="1:21" s="12" customFormat="1" x14ac:dyDescent="0.25">
      <c r="A18" s="201" t="s">
        <v>2369</v>
      </c>
      <c r="B18" s="60">
        <v>43.66</v>
      </c>
      <c r="C18" s="60">
        <v>131.22999999999999</v>
      </c>
      <c r="D18" s="60">
        <v>107.44</v>
      </c>
      <c r="E18" s="60">
        <v>5.74</v>
      </c>
      <c r="F18" s="60">
        <v>0.9</v>
      </c>
      <c r="G18" s="60">
        <v>139.5</v>
      </c>
      <c r="H18" s="60">
        <v>51.11</v>
      </c>
      <c r="I18" s="60">
        <v>0.95</v>
      </c>
      <c r="J18" s="60">
        <v>0.3</v>
      </c>
      <c r="K18" s="60">
        <v>224.25</v>
      </c>
      <c r="L18" s="60">
        <v>18.34</v>
      </c>
      <c r="M18" s="60">
        <v>27.67</v>
      </c>
      <c r="N18" s="60">
        <v>10.6</v>
      </c>
      <c r="O18" s="60">
        <v>0</v>
      </c>
      <c r="P18" s="60">
        <v>2.19</v>
      </c>
      <c r="Q18" s="60">
        <v>275.77999999999997</v>
      </c>
      <c r="R18" s="198"/>
      <c r="S18" s="198"/>
      <c r="T18" s="198"/>
      <c r="U18" s="198"/>
    </row>
    <row r="19" spans="1:21" s="12" customFormat="1" x14ac:dyDescent="0.25">
      <c r="A19" s="201" t="s">
        <v>2370</v>
      </c>
      <c r="B19" s="60">
        <v>41.22</v>
      </c>
      <c r="C19" s="60">
        <v>128.19999999999999</v>
      </c>
      <c r="D19" s="60">
        <v>103.8</v>
      </c>
      <c r="E19" s="60">
        <v>5.25</v>
      </c>
      <c r="F19" s="60">
        <v>1</v>
      </c>
      <c r="G19" s="60">
        <v>139.5</v>
      </c>
      <c r="H19" s="60">
        <v>51.11</v>
      </c>
      <c r="I19" s="60">
        <v>0.92</v>
      </c>
      <c r="J19" s="60">
        <v>0.31</v>
      </c>
      <c r="K19" s="60">
        <v>228.12</v>
      </c>
      <c r="L19" s="60">
        <v>18.21</v>
      </c>
      <c r="M19" s="60">
        <v>37.119999999999997</v>
      </c>
      <c r="N19" s="60">
        <v>10.6</v>
      </c>
      <c r="O19" s="60">
        <v>0</v>
      </c>
      <c r="P19" s="60">
        <v>2.16</v>
      </c>
      <c r="Q19" s="60">
        <v>271.77999999999997</v>
      </c>
      <c r="R19" s="198"/>
      <c r="S19" s="198"/>
      <c r="T19" s="198"/>
      <c r="U19" s="198"/>
    </row>
    <row r="20" spans="1:21" s="12" customFormat="1" x14ac:dyDescent="0.25">
      <c r="A20" s="201" t="s">
        <v>2371</v>
      </c>
      <c r="B20" s="60">
        <v>38.869999999999997</v>
      </c>
      <c r="C20" s="60">
        <v>125.07</v>
      </c>
      <c r="D20" s="60">
        <v>100.19</v>
      </c>
      <c r="E20" s="60">
        <v>5.8</v>
      </c>
      <c r="F20" s="60">
        <v>0.85</v>
      </c>
      <c r="G20" s="60">
        <v>139.5</v>
      </c>
      <c r="H20" s="60">
        <v>51.11</v>
      </c>
      <c r="I20" s="60">
        <v>0.89</v>
      </c>
      <c r="J20" s="60">
        <v>0.23</v>
      </c>
      <c r="K20" s="60">
        <v>240.12</v>
      </c>
      <c r="L20" s="60">
        <v>17.75</v>
      </c>
      <c r="M20" s="60">
        <v>70.819999999999993</v>
      </c>
      <c r="N20" s="60">
        <v>10.9</v>
      </c>
      <c r="O20" s="60">
        <v>0</v>
      </c>
      <c r="P20" s="60">
        <v>2.13</v>
      </c>
      <c r="Q20" s="60">
        <v>268.45</v>
      </c>
      <c r="R20" s="198"/>
      <c r="S20" s="198"/>
      <c r="T20" s="198"/>
      <c r="U20" s="198"/>
    </row>
    <row r="21" spans="1:21" s="12" customFormat="1" x14ac:dyDescent="0.25">
      <c r="A21" s="201" t="s">
        <v>2372</v>
      </c>
      <c r="B21" s="60">
        <v>36.96</v>
      </c>
      <c r="C21" s="60">
        <v>122.32</v>
      </c>
      <c r="D21" s="60">
        <v>97.14</v>
      </c>
      <c r="E21" s="60">
        <v>5.47</v>
      </c>
      <c r="F21" s="60">
        <v>0.79</v>
      </c>
      <c r="G21" s="60">
        <v>186.45</v>
      </c>
      <c r="H21" s="60">
        <v>56.87</v>
      </c>
      <c r="I21" s="60">
        <v>0.86</v>
      </c>
      <c r="J21" s="60">
        <v>0.28000000000000003</v>
      </c>
      <c r="K21" s="60">
        <v>252.63</v>
      </c>
      <c r="L21" s="60">
        <v>17.28</v>
      </c>
      <c r="M21" s="60">
        <v>68.349999999999994</v>
      </c>
      <c r="N21" s="60">
        <v>10.8</v>
      </c>
      <c r="O21" s="60">
        <v>0</v>
      </c>
      <c r="P21" s="60">
        <v>2.1</v>
      </c>
      <c r="Q21" s="60">
        <v>263.58999999999997</v>
      </c>
      <c r="R21" s="198"/>
      <c r="S21" s="198"/>
      <c r="T21" s="198"/>
      <c r="U21" s="198"/>
    </row>
    <row r="22" spans="1:21" s="12" customFormat="1" x14ac:dyDescent="0.25">
      <c r="A22" s="201" t="s">
        <v>2373</v>
      </c>
      <c r="B22" s="60">
        <v>35.32</v>
      </c>
      <c r="C22" s="60">
        <v>119.73</v>
      </c>
      <c r="D22" s="60">
        <v>94.4</v>
      </c>
      <c r="E22" s="60">
        <v>5.48</v>
      </c>
      <c r="F22" s="60">
        <v>0.5</v>
      </c>
      <c r="G22" s="60">
        <v>186.45</v>
      </c>
      <c r="H22" s="60">
        <v>57.92</v>
      </c>
      <c r="I22" s="60">
        <v>0.84</v>
      </c>
      <c r="J22" s="60">
        <v>0.28000000000000003</v>
      </c>
      <c r="K22" s="60">
        <v>246.31</v>
      </c>
      <c r="L22" s="60">
        <v>17.399999999999999</v>
      </c>
      <c r="M22" s="60">
        <v>51</v>
      </c>
      <c r="N22" s="60">
        <v>10.4</v>
      </c>
      <c r="O22" s="60">
        <v>0</v>
      </c>
      <c r="P22" s="60">
        <v>2.09</v>
      </c>
      <c r="Q22" s="60">
        <v>261.36</v>
      </c>
      <c r="R22" s="198"/>
      <c r="S22" s="198"/>
      <c r="T22" s="198"/>
      <c r="U22" s="198"/>
    </row>
    <row r="23" spans="1:21" s="12" customFormat="1" x14ac:dyDescent="0.25">
      <c r="A23" s="201" t="s">
        <v>2374</v>
      </c>
      <c r="B23" s="60">
        <v>33.619999999999997</v>
      </c>
      <c r="C23" s="60">
        <v>117.03</v>
      </c>
      <c r="D23" s="60">
        <v>91.55</v>
      </c>
      <c r="E23" s="60">
        <v>5.8</v>
      </c>
      <c r="F23" s="60">
        <v>1.69</v>
      </c>
      <c r="G23" s="60">
        <v>186.45</v>
      </c>
      <c r="H23" s="60">
        <v>57.92</v>
      </c>
      <c r="I23" s="60">
        <v>0.82</v>
      </c>
      <c r="J23" s="60">
        <v>0.25</v>
      </c>
      <c r="K23" s="60">
        <v>249.85</v>
      </c>
      <c r="L23" s="60">
        <v>17.3</v>
      </c>
      <c r="M23" s="60">
        <v>55.93</v>
      </c>
      <c r="N23" s="60">
        <v>10.6</v>
      </c>
      <c r="O23" s="60">
        <v>0</v>
      </c>
      <c r="P23" s="60">
        <v>2.11</v>
      </c>
      <c r="Q23" s="60">
        <v>259.05</v>
      </c>
      <c r="R23" s="198"/>
      <c r="S23" s="198"/>
      <c r="T23" s="198"/>
      <c r="U23" s="198"/>
    </row>
    <row r="24" spans="1:21" s="12" customFormat="1" x14ac:dyDescent="0.25">
      <c r="A24" s="201" t="s">
        <v>2375</v>
      </c>
      <c r="B24" s="60">
        <v>32.01</v>
      </c>
      <c r="C24" s="60">
        <v>114.62</v>
      </c>
      <c r="D24" s="60">
        <v>88.93</v>
      </c>
      <c r="E24" s="60">
        <v>3.21</v>
      </c>
      <c r="F24" s="60">
        <v>1.1100000000000001</v>
      </c>
      <c r="G24" s="60">
        <v>186.45</v>
      </c>
      <c r="H24" s="60">
        <v>57.92</v>
      </c>
      <c r="I24" s="60">
        <v>0.8</v>
      </c>
      <c r="J24" s="60">
        <v>0.25</v>
      </c>
      <c r="K24" s="60">
        <v>252.19</v>
      </c>
      <c r="L24" s="60">
        <v>17.02</v>
      </c>
      <c r="M24" s="60">
        <v>33.979999999999997</v>
      </c>
      <c r="N24" s="60">
        <v>10.6</v>
      </c>
      <c r="O24" s="60">
        <v>0</v>
      </c>
      <c r="P24" s="60">
        <v>2.12</v>
      </c>
      <c r="Q24" s="60">
        <v>257.37</v>
      </c>
      <c r="R24" s="198"/>
      <c r="S24" s="198"/>
      <c r="T24" s="198"/>
      <c r="U24" s="198"/>
    </row>
    <row r="25" spans="1:21" s="12" customFormat="1" x14ac:dyDescent="0.25">
      <c r="A25" s="201" t="s">
        <v>2376</v>
      </c>
      <c r="B25" s="60">
        <v>30.8</v>
      </c>
      <c r="C25" s="60">
        <v>112.64</v>
      </c>
      <c r="D25" s="60">
        <v>86.87</v>
      </c>
      <c r="E25" s="60">
        <v>6.57</v>
      </c>
      <c r="F25" s="60">
        <v>1.1399999999999999</v>
      </c>
      <c r="G25" s="60">
        <v>155.80000000000001</v>
      </c>
      <c r="H25" s="60">
        <v>60.92</v>
      </c>
      <c r="I25" s="60">
        <v>0.78</v>
      </c>
      <c r="J25" s="60">
        <v>0.17</v>
      </c>
      <c r="K25" s="60">
        <v>248.62</v>
      </c>
      <c r="L25" s="60">
        <v>17.13</v>
      </c>
      <c r="M25" s="60">
        <v>60.46</v>
      </c>
      <c r="N25" s="60">
        <v>10.7</v>
      </c>
      <c r="O25" s="60">
        <v>0</v>
      </c>
      <c r="P25" s="60">
        <v>2.12</v>
      </c>
      <c r="Q25" s="60">
        <v>254.03</v>
      </c>
      <c r="R25" s="198"/>
      <c r="S25" s="198"/>
      <c r="T25" s="198"/>
      <c r="U25" s="198"/>
    </row>
    <row r="26" spans="1:21" s="12" customFormat="1" x14ac:dyDescent="0.25">
      <c r="A26" s="201" t="s">
        <v>2377</v>
      </c>
      <c r="B26" s="60">
        <v>29.76</v>
      </c>
      <c r="C26" s="60">
        <v>110.77</v>
      </c>
      <c r="D26" s="60">
        <v>85</v>
      </c>
      <c r="E26" s="60">
        <v>6.43</v>
      </c>
      <c r="F26" s="60">
        <v>1.75</v>
      </c>
      <c r="G26" s="60">
        <v>155.80000000000001</v>
      </c>
      <c r="H26" s="60">
        <v>61.42</v>
      </c>
      <c r="I26" s="60">
        <v>0.76</v>
      </c>
      <c r="J26" s="60">
        <v>0.4</v>
      </c>
      <c r="K26" s="60">
        <v>267.39999999999998</v>
      </c>
      <c r="L26" s="60">
        <v>16.649999999999999</v>
      </c>
      <c r="M26" s="60">
        <v>60.12</v>
      </c>
      <c r="N26" s="60">
        <v>10.5</v>
      </c>
      <c r="O26" s="60">
        <v>0</v>
      </c>
      <c r="P26" s="60">
        <v>2.14</v>
      </c>
      <c r="Q26" s="60">
        <v>253.31</v>
      </c>
      <c r="R26" s="198"/>
      <c r="S26" s="198"/>
      <c r="T26" s="198"/>
      <c r="U26" s="198"/>
    </row>
    <row r="27" spans="1:21" s="12" customFormat="1" x14ac:dyDescent="0.25">
      <c r="A27" s="201" t="s">
        <v>2378</v>
      </c>
      <c r="B27" s="60">
        <v>30.89</v>
      </c>
      <c r="C27" s="60">
        <v>109.65</v>
      </c>
      <c r="D27" s="60">
        <v>85.28</v>
      </c>
      <c r="E27" s="60">
        <v>6.11</v>
      </c>
      <c r="F27" s="60">
        <v>0.74</v>
      </c>
      <c r="G27" s="60">
        <v>155.80000000000001</v>
      </c>
      <c r="H27" s="60">
        <v>61.42</v>
      </c>
      <c r="I27" s="60">
        <v>0.74</v>
      </c>
      <c r="J27" s="60">
        <v>0.13</v>
      </c>
      <c r="K27" s="60">
        <v>279.82</v>
      </c>
      <c r="L27" s="60">
        <v>16.09</v>
      </c>
      <c r="M27" s="60">
        <v>67.19</v>
      </c>
      <c r="N27" s="60">
        <v>11.1</v>
      </c>
      <c r="O27" s="60">
        <v>0</v>
      </c>
      <c r="P27" s="60">
        <v>2.0699999999999998</v>
      </c>
      <c r="Q27" s="60">
        <v>254.68</v>
      </c>
      <c r="R27" s="198"/>
      <c r="S27" s="198"/>
      <c r="T27" s="198"/>
      <c r="U27" s="198"/>
    </row>
    <row r="28" spans="1:21" s="12" customFormat="1" x14ac:dyDescent="0.25">
      <c r="A28" s="201" t="s">
        <v>2379</v>
      </c>
      <c r="B28" s="60">
        <v>33.159999999999997</v>
      </c>
      <c r="C28" s="60">
        <v>109.21</v>
      </c>
      <c r="D28" s="60">
        <v>86.87</v>
      </c>
      <c r="E28" s="60">
        <v>5.79</v>
      </c>
      <c r="F28" s="60">
        <v>0.78</v>
      </c>
      <c r="G28" s="60">
        <v>155.80000000000001</v>
      </c>
      <c r="H28" s="60">
        <v>61.42</v>
      </c>
      <c r="I28" s="60">
        <v>0.72</v>
      </c>
      <c r="J28" s="60">
        <v>0.18</v>
      </c>
      <c r="K28" s="60">
        <v>284.36</v>
      </c>
      <c r="L28" s="60">
        <v>15.55</v>
      </c>
      <c r="M28" s="60">
        <v>45.01</v>
      </c>
      <c r="N28" s="60">
        <v>10.7</v>
      </c>
      <c r="O28" s="60">
        <v>0</v>
      </c>
      <c r="P28" s="60">
        <v>2.0299999999999998</v>
      </c>
      <c r="Q28" s="60">
        <v>254.8</v>
      </c>
      <c r="R28" s="198"/>
      <c r="S28" s="198"/>
      <c r="T28" s="198"/>
      <c r="U28" s="198"/>
    </row>
    <row r="29" spans="1:21" s="12" customFormat="1" x14ac:dyDescent="0.25">
      <c r="A29" s="201" t="s">
        <v>2380</v>
      </c>
      <c r="B29" s="60">
        <v>34.51</v>
      </c>
      <c r="C29" s="60">
        <v>108.93</v>
      </c>
      <c r="D29" s="60">
        <v>87.79</v>
      </c>
      <c r="E29" s="60">
        <v>5.93</v>
      </c>
      <c r="F29" s="60">
        <v>0.68</v>
      </c>
      <c r="G29" s="60">
        <v>195.26</v>
      </c>
      <c r="H29" s="60">
        <v>58.27</v>
      </c>
      <c r="I29" s="60">
        <v>0.7</v>
      </c>
      <c r="J29" s="60">
        <v>0.25</v>
      </c>
      <c r="K29" s="60">
        <v>256.95</v>
      </c>
      <c r="L29" s="60">
        <v>16.46</v>
      </c>
      <c r="M29" s="60">
        <v>17.690000000000001</v>
      </c>
      <c r="N29" s="60">
        <v>10</v>
      </c>
      <c r="O29" s="60">
        <v>0</v>
      </c>
      <c r="P29" s="60">
        <v>2.0099999999999998</v>
      </c>
      <c r="Q29" s="60">
        <v>254.1</v>
      </c>
      <c r="R29" s="198"/>
      <c r="S29" s="198"/>
      <c r="T29" s="198"/>
      <c r="U29" s="198"/>
    </row>
    <row r="30" spans="1:21" s="12" customFormat="1" x14ac:dyDescent="0.25">
      <c r="A30" s="201" t="s">
        <v>2381</v>
      </c>
      <c r="B30" s="60">
        <v>34.409999999999997</v>
      </c>
      <c r="C30" s="60">
        <v>108.39</v>
      </c>
      <c r="D30" s="60">
        <v>87.41</v>
      </c>
      <c r="E30" s="60">
        <v>6.16</v>
      </c>
      <c r="F30" s="60">
        <v>0.68</v>
      </c>
      <c r="G30" s="60">
        <v>195.26</v>
      </c>
      <c r="H30" s="60">
        <v>57.74</v>
      </c>
      <c r="I30" s="60">
        <v>0.68</v>
      </c>
      <c r="J30" s="60">
        <v>0.17</v>
      </c>
      <c r="K30" s="60">
        <v>264.77999999999997</v>
      </c>
      <c r="L30" s="60">
        <v>16.43</v>
      </c>
      <c r="M30" s="60">
        <v>59.72</v>
      </c>
      <c r="N30" s="60">
        <v>10.5</v>
      </c>
      <c r="O30" s="60">
        <v>0</v>
      </c>
      <c r="P30" s="60">
        <v>2</v>
      </c>
      <c r="Q30" s="60">
        <v>253.92</v>
      </c>
      <c r="R30" s="198"/>
      <c r="S30" s="198"/>
      <c r="T30" s="198"/>
      <c r="U30" s="198"/>
    </row>
    <row r="31" spans="1:21" s="12" customFormat="1" x14ac:dyDescent="0.25">
      <c r="A31" s="201" t="s">
        <v>2382</v>
      </c>
      <c r="B31" s="60">
        <v>34.97</v>
      </c>
      <c r="C31" s="60">
        <v>109.07</v>
      </c>
      <c r="D31" s="60">
        <v>88.24</v>
      </c>
      <c r="E31" s="60">
        <v>5.67</v>
      </c>
      <c r="F31" s="60">
        <v>0.81</v>
      </c>
      <c r="G31" s="60">
        <v>195.26</v>
      </c>
      <c r="H31" s="60">
        <v>57.74</v>
      </c>
      <c r="I31" s="60">
        <v>0.67</v>
      </c>
      <c r="J31" s="60">
        <v>0.18</v>
      </c>
      <c r="K31" s="60">
        <v>264.64999999999998</v>
      </c>
      <c r="L31" s="60">
        <v>16.23</v>
      </c>
      <c r="M31" s="60">
        <v>43.12</v>
      </c>
      <c r="N31" s="60">
        <v>10.7</v>
      </c>
      <c r="O31" s="60">
        <v>0</v>
      </c>
      <c r="P31" s="60">
        <v>1.98</v>
      </c>
      <c r="Q31" s="60">
        <v>254.72</v>
      </c>
      <c r="R31" s="198"/>
      <c r="S31" s="198"/>
      <c r="T31" s="198"/>
      <c r="U31" s="198"/>
    </row>
    <row r="32" spans="1:21" s="12" customFormat="1" x14ac:dyDescent="0.25">
      <c r="A32" s="201" t="s">
        <v>2383</v>
      </c>
      <c r="B32" s="60">
        <v>36.31</v>
      </c>
      <c r="C32" s="60">
        <v>109.93</v>
      </c>
      <c r="D32" s="60">
        <v>89.79</v>
      </c>
      <c r="E32" s="60">
        <v>5.87</v>
      </c>
      <c r="F32" s="60">
        <v>0.61</v>
      </c>
      <c r="G32" s="60">
        <v>195.26</v>
      </c>
      <c r="H32" s="60">
        <v>57.74</v>
      </c>
      <c r="I32" s="60">
        <v>0.65</v>
      </c>
      <c r="J32" s="60">
        <v>0.23</v>
      </c>
      <c r="K32" s="60">
        <v>270.63</v>
      </c>
      <c r="L32" s="60">
        <v>16</v>
      </c>
      <c r="M32" s="60">
        <v>31.46</v>
      </c>
      <c r="N32" s="60">
        <v>10.9</v>
      </c>
      <c r="O32" s="60">
        <v>0</v>
      </c>
      <c r="P32" s="60">
        <v>1.95</v>
      </c>
      <c r="Q32" s="60">
        <v>254.87</v>
      </c>
      <c r="R32" s="198"/>
      <c r="S32" s="198"/>
      <c r="T32" s="198"/>
      <c r="U32" s="198"/>
    </row>
    <row r="33" spans="1:21" s="12" customFormat="1" x14ac:dyDescent="0.25">
      <c r="A33" s="201" t="s">
        <v>2384</v>
      </c>
      <c r="B33" s="60">
        <v>38.08</v>
      </c>
      <c r="C33" s="60">
        <v>111.54</v>
      </c>
      <c r="D33" s="60">
        <v>92.1</v>
      </c>
      <c r="E33" s="60">
        <v>5.63</v>
      </c>
      <c r="F33" s="60">
        <v>0.66</v>
      </c>
      <c r="G33" s="60">
        <v>181.16</v>
      </c>
      <c r="H33" s="60">
        <v>59.75</v>
      </c>
      <c r="I33" s="60">
        <v>0.64</v>
      </c>
      <c r="J33" s="60">
        <v>0.33</v>
      </c>
      <c r="K33" s="60">
        <v>265.93</v>
      </c>
      <c r="L33" s="60">
        <v>16.149999999999999</v>
      </c>
      <c r="M33" s="60">
        <v>44.61</v>
      </c>
      <c r="N33" s="60">
        <v>12.6</v>
      </c>
      <c r="O33" s="60">
        <v>0</v>
      </c>
      <c r="P33" s="60">
        <v>1.93</v>
      </c>
      <c r="Q33" s="60">
        <v>253.19</v>
      </c>
      <c r="R33" s="198"/>
      <c r="S33" s="198"/>
      <c r="T33" s="198"/>
      <c r="U33" s="198"/>
    </row>
    <row r="34" spans="1:21" s="12" customFormat="1" x14ac:dyDescent="0.25">
      <c r="A34" s="201" t="s">
        <v>2385</v>
      </c>
      <c r="B34" s="60">
        <v>40.42</v>
      </c>
      <c r="C34" s="60">
        <v>114.92</v>
      </c>
      <c r="D34" s="60">
        <v>95.83</v>
      </c>
      <c r="E34" s="60">
        <v>5.93</v>
      </c>
      <c r="F34" s="60">
        <v>1.06</v>
      </c>
      <c r="G34" s="60">
        <v>178.75</v>
      </c>
      <c r="H34" s="60">
        <v>60.12</v>
      </c>
      <c r="I34" s="60">
        <v>0.64</v>
      </c>
      <c r="J34" s="60">
        <v>0.28999999999999998</v>
      </c>
      <c r="K34" s="60">
        <v>253.52</v>
      </c>
      <c r="L34" s="60">
        <v>16.53</v>
      </c>
      <c r="M34" s="60">
        <v>29.92</v>
      </c>
      <c r="N34" s="60">
        <v>18.3</v>
      </c>
      <c r="O34" s="60">
        <v>0</v>
      </c>
      <c r="P34" s="60">
        <v>1.9</v>
      </c>
      <c r="Q34" s="60">
        <v>254.76</v>
      </c>
      <c r="R34" s="198"/>
      <c r="S34" s="198"/>
      <c r="T34" s="198"/>
      <c r="U34" s="198"/>
    </row>
    <row r="35" spans="1:21" s="12" customFormat="1" x14ac:dyDescent="0.25">
      <c r="A35" s="201" t="s">
        <v>2386</v>
      </c>
      <c r="B35" s="60">
        <v>41.07</v>
      </c>
      <c r="C35" s="60">
        <v>116.93</v>
      </c>
      <c r="D35" s="60">
        <v>97.46</v>
      </c>
      <c r="E35" s="60">
        <v>6.05</v>
      </c>
      <c r="F35" s="60">
        <v>0.78</v>
      </c>
      <c r="G35" s="60">
        <v>178.75</v>
      </c>
      <c r="H35" s="60">
        <v>60.12</v>
      </c>
      <c r="I35" s="60">
        <v>0.62</v>
      </c>
      <c r="J35" s="60">
        <v>0.31</v>
      </c>
      <c r="K35" s="60">
        <v>250.07</v>
      </c>
      <c r="L35" s="60">
        <v>16.87</v>
      </c>
      <c r="M35" s="60">
        <v>52.98</v>
      </c>
      <c r="N35" s="60">
        <v>28.7</v>
      </c>
      <c r="O35" s="60">
        <v>0</v>
      </c>
      <c r="P35" s="60">
        <v>1.84</v>
      </c>
      <c r="Q35" s="60">
        <v>254.63</v>
      </c>
      <c r="R35" s="198"/>
      <c r="S35" s="198"/>
      <c r="T35" s="198"/>
      <c r="U35" s="198"/>
    </row>
    <row r="36" spans="1:21" s="12" customFormat="1" x14ac:dyDescent="0.25">
      <c r="A36" s="201" t="s">
        <v>2387</v>
      </c>
      <c r="B36" s="60">
        <v>41.12</v>
      </c>
      <c r="C36" s="60">
        <v>118.22</v>
      </c>
      <c r="D36" s="60">
        <v>98.22</v>
      </c>
      <c r="E36" s="60">
        <v>6.04</v>
      </c>
      <c r="F36" s="60">
        <v>0.91</v>
      </c>
      <c r="G36" s="60">
        <v>178.75</v>
      </c>
      <c r="H36" s="60">
        <v>60.12</v>
      </c>
      <c r="I36" s="60">
        <v>0.61</v>
      </c>
      <c r="J36" s="60">
        <v>0.47</v>
      </c>
      <c r="K36" s="60">
        <v>246.14</v>
      </c>
      <c r="L36" s="60">
        <v>17.12</v>
      </c>
      <c r="M36" s="60">
        <v>58.57</v>
      </c>
      <c r="N36" s="60">
        <v>36.4</v>
      </c>
      <c r="O36" s="60">
        <v>0</v>
      </c>
      <c r="P36" s="60">
        <v>1.79</v>
      </c>
      <c r="Q36" s="60">
        <v>254.2</v>
      </c>
      <c r="R36" s="198"/>
      <c r="S36" s="198"/>
      <c r="T36" s="198"/>
      <c r="U36" s="198"/>
    </row>
    <row r="37" spans="1:21" s="12" customFormat="1" x14ac:dyDescent="0.25">
      <c r="A37" s="201" t="s">
        <v>2388</v>
      </c>
      <c r="B37" s="60">
        <v>40.03</v>
      </c>
      <c r="C37" s="60">
        <v>118.4</v>
      </c>
      <c r="D37" s="60">
        <v>97.44</v>
      </c>
      <c r="E37" s="60">
        <v>6.25</v>
      </c>
      <c r="F37" s="60">
        <v>1.1000000000000001</v>
      </c>
      <c r="G37" s="60">
        <v>139.72</v>
      </c>
      <c r="H37" s="60">
        <v>50.27</v>
      </c>
      <c r="I37" s="60">
        <v>0.61</v>
      </c>
      <c r="J37" s="60">
        <v>0.63</v>
      </c>
      <c r="K37" s="60">
        <v>241.79</v>
      </c>
      <c r="L37" s="60">
        <v>17.48</v>
      </c>
      <c r="M37" s="60">
        <v>76.03</v>
      </c>
      <c r="N37" s="60">
        <v>55.3</v>
      </c>
      <c r="O37" s="60">
        <v>0</v>
      </c>
      <c r="P37" s="60">
        <v>1.61</v>
      </c>
      <c r="Q37" s="60">
        <v>250.84</v>
      </c>
      <c r="R37" s="198"/>
      <c r="S37" s="198"/>
      <c r="T37" s="198"/>
      <c r="U37" s="198"/>
    </row>
    <row r="38" spans="1:21" s="12" customFormat="1" x14ac:dyDescent="0.25">
      <c r="A38" s="201" t="s">
        <v>2389</v>
      </c>
      <c r="B38" s="60">
        <v>38.619999999999997</v>
      </c>
      <c r="C38" s="60">
        <v>117.83</v>
      </c>
      <c r="D38" s="60">
        <v>96</v>
      </c>
      <c r="E38" s="60">
        <v>6.72</v>
      </c>
      <c r="F38" s="60">
        <v>0.91</v>
      </c>
      <c r="G38" s="60">
        <v>139.72</v>
      </c>
      <c r="H38" s="60">
        <v>48.46</v>
      </c>
      <c r="I38" s="60">
        <v>0.6</v>
      </c>
      <c r="J38" s="60">
        <v>0.69</v>
      </c>
      <c r="K38" s="60">
        <v>230.36</v>
      </c>
      <c r="L38" s="60">
        <v>18.48</v>
      </c>
      <c r="M38" s="60">
        <v>83.89</v>
      </c>
      <c r="N38" s="60">
        <v>128.5</v>
      </c>
      <c r="O38" s="60">
        <v>0</v>
      </c>
      <c r="P38" s="60">
        <v>1.67</v>
      </c>
      <c r="Q38" s="60">
        <v>247.98</v>
      </c>
      <c r="R38" s="198"/>
      <c r="S38" s="198"/>
      <c r="T38" s="198"/>
      <c r="U38" s="198"/>
    </row>
    <row r="39" spans="1:21" s="12" customFormat="1" x14ac:dyDescent="0.25">
      <c r="A39" s="201" t="s">
        <v>2390</v>
      </c>
      <c r="B39" s="60">
        <v>37.630000000000003</v>
      </c>
      <c r="C39" s="60">
        <v>118.32</v>
      </c>
      <c r="D39" s="60">
        <v>95.47</v>
      </c>
      <c r="E39" s="60">
        <v>6.68</v>
      </c>
      <c r="F39" s="60">
        <v>1</v>
      </c>
      <c r="G39" s="60">
        <v>139.72</v>
      </c>
      <c r="H39" s="60">
        <v>48.46</v>
      </c>
      <c r="I39" s="60">
        <v>0.6</v>
      </c>
      <c r="J39" s="60">
        <v>0.65</v>
      </c>
      <c r="K39" s="60">
        <v>205.24</v>
      </c>
      <c r="L39" s="60">
        <v>20.53</v>
      </c>
      <c r="M39" s="60">
        <v>68.84</v>
      </c>
      <c r="N39" s="60">
        <v>190.5</v>
      </c>
      <c r="O39" s="60">
        <v>0</v>
      </c>
      <c r="P39" s="60">
        <v>1.64</v>
      </c>
      <c r="Q39" s="60">
        <v>246.46</v>
      </c>
      <c r="R39" s="198"/>
      <c r="S39" s="198"/>
      <c r="T39" s="198"/>
      <c r="U39" s="198"/>
    </row>
    <row r="40" spans="1:21" s="12" customFormat="1" x14ac:dyDescent="0.25">
      <c r="A40" s="201" t="s">
        <v>2391</v>
      </c>
      <c r="B40" s="60">
        <v>37.43</v>
      </c>
      <c r="C40" s="60">
        <v>120.01</v>
      </c>
      <c r="D40" s="60">
        <v>96.25</v>
      </c>
      <c r="E40" s="60">
        <v>2.58</v>
      </c>
      <c r="F40" s="60">
        <v>0.9</v>
      </c>
      <c r="G40" s="60">
        <v>139.72</v>
      </c>
      <c r="H40" s="60">
        <v>48.46</v>
      </c>
      <c r="I40" s="60">
        <v>0.59</v>
      </c>
      <c r="J40" s="60">
        <v>0.99</v>
      </c>
      <c r="K40" s="60">
        <v>180.7</v>
      </c>
      <c r="L40" s="60">
        <v>22.57</v>
      </c>
      <c r="M40" s="60">
        <v>83.02</v>
      </c>
      <c r="N40" s="60">
        <v>232.8</v>
      </c>
      <c r="O40" s="60">
        <v>0</v>
      </c>
      <c r="P40" s="60">
        <v>1.62</v>
      </c>
      <c r="Q40" s="60">
        <v>245.83</v>
      </c>
      <c r="R40" s="198"/>
      <c r="S40" s="198"/>
      <c r="T40" s="198"/>
      <c r="U40" s="198"/>
    </row>
    <row r="41" spans="1:21" s="12" customFormat="1" x14ac:dyDescent="0.25">
      <c r="A41" s="201" t="s">
        <v>2392</v>
      </c>
      <c r="B41" s="60">
        <v>36.74</v>
      </c>
      <c r="C41" s="60">
        <v>121.03</v>
      </c>
      <c r="D41" s="60">
        <v>96.26</v>
      </c>
      <c r="E41" s="60">
        <v>4.45</v>
      </c>
      <c r="F41" s="60">
        <v>0.8</v>
      </c>
      <c r="G41" s="60">
        <v>132.16</v>
      </c>
      <c r="H41" s="60">
        <v>50.29</v>
      </c>
      <c r="I41" s="60">
        <v>0.57999999999999996</v>
      </c>
      <c r="J41" s="60">
        <v>0.92</v>
      </c>
      <c r="K41" s="60">
        <v>170.32</v>
      </c>
      <c r="L41" s="60">
        <v>23.07</v>
      </c>
      <c r="M41" s="60">
        <v>64.430000000000007</v>
      </c>
      <c r="N41" s="60">
        <v>280.60000000000002</v>
      </c>
      <c r="O41" s="60">
        <v>0</v>
      </c>
      <c r="P41" s="60">
        <v>1.59</v>
      </c>
      <c r="Q41" s="60">
        <v>243.39</v>
      </c>
      <c r="R41" s="198"/>
      <c r="S41" s="198"/>
      <c r="T41" s="198"/>
      <c r="U41" s="198"/>
    </row>
    <row r="42" spans="1:21" s="12" customFormat="1" x14ac:dyDescent="0.25">
      <c r="A42" s="201" t="s">
        <v>2393</v>
      </c>
      <c r="B42" s="60">
        <v>34.68</v>
      </c>
      <c r="C42" s="60">
        <v>120.33</v>
      </c>
      <c r="D42" s="60">
        <v>94.22</v>
      </c>
      <c r="E42" s="60">
        <v>4.75</v>
      </c>
      <c r="F42" s="60">
        <v>1.19</v>
      </c>
      <c r="G42" s="60">
        <v>132.16</v>
      </c>
      <c r="H42" s="60">
        <v>50.6</v>
      </c>
      <c r="I42" s="60">
        <v>0.56999999999999995</v>
      </c>
      <c r="J42" s="60">
        <v>1.34</v>
      </c>
      <c r="K42" s="60">
        <v>163.33000000000001</v>
      </c>
      <c r="L42" s="60">
        <v>23.9</v>
      </c>
      <c r="M42" s="60">
        <v>83.72</v>
      </c>
      <c r="N42" s="60">
        <v>323.3</v>
      </c>
      <c r="O42" s="60">
        <v>0</v>
      </c>
      <c r="P42" s="60">
        <v>1.56</v>
      </c>
      <c r="Q42" s="60">
        <v>239.88</v>
      </c>
      <c r="R42" s="198"/>
      <c r="S42" s="198"/>
      <c r="T42" s="198"/>
      <c r="U42" s="198"/>
    </row>
    <row r="43" spans="1:21" s="12" customFormat="1" x14ac:dyDescent="0.25">
      <c r="A43" s="201" t="s">
        <v>2394</v>
      </c>
      <c r="B43" s="60">
        <v>32.24</v>
      </c>
      <c r="C43" s="60">
        <v>120.41</v>
      </c>
      <c r="D43" s="60">
        <v>92.31</v>
      </c>
      <c r="E43" s="60">
        <v>4.9800000000000004</v>
      </c>
      <c r="F43" s="60">
        <v>1.1399999999999999</v>
      </c>
      <c r="G43" s="60">
        <v>132.16</v>
      </c>
      <c r="H43" s="60">
        <v>50.6</v>
      </c>
      <c r="I43" s="60">
        <v>0.56000000000000005</v>
      </c>
      <c r="J43" s="60">
        <v>0.88</v>
      </c>
      <c r="K43" s="60">
        <v>160.81</v>
      </c>
      <c r="L43" s="60">
        <v>24.56</v>
      </c>
      <c r="M43" s="60">
        <v>68.86</v>
      </c>
      <c r="N43" s="60">
        <v>360.4</v>
      </c>
      <c r="O43" s="60">
        <v>0</v>
      </c>
      <c r="P43" s="60">
        <v>1.53</v>
      </c>
      <c r="Q43" s="60">
        <v>235.64</v>
      </c>
      <c r="R43" s="198"/>
      <c r="S43" s="198"/>
      <c r="T43" s="198"/>
      <c r="U43" s="198"/>
    </row>
    <row r="44" spans="1:21" s="12" customFormat="1" x14ac:dyDescent="0.25">
      <c r="A44" s="201" t="s">
        <v>2395</v>
      </c>
      <c r="B44" s="60">
        <v>29.76</v>
      </c>
      <c r="C44" s="60">
        <v>119.94</v>
      </c>
      <c r="D44" s="60">
        <v>90.06</v>
      </c>
      <c r="E44" s="60">
        <v>4.68</v>
      </c>
      <c r="F44" s="60">
        <v>1.1299999999999999</v>
      </c>
      <c r="G44" s="60">
        <v>132.16</v>
      </c>
      <c r="H44" s="60">
        <v>50.6</v>
      </c>
      <c r="I44" s="60">
        <v>0.54</v>
      </c>
      <c r="J44" s="60">
        <v>1.1100000000000001</v>
      </c>
      <c r="K44" s="60">
        <v>157.29</v>
      </c>
      <c r="L44" s="60">
        <v>25.04</v>
      </c>
      <c r="M44" s="60">
        <v>76.02</v>
      </c>
      <c r="N44" s="60">
        <v>391.2</v>
      </c>
      <c r="O44" s="60">
        <v>0</v>
      </c>
      <c r="P44" s="60">
        <v>1.5</v>
      </c>
      <c r="Q44" s="60">
        <v>231.35</v>
      </c>
      <c r="R44" s="198"/>
      <c r="S44" s="198"/>
      <c r="T44" s="198"/>
      <c r="U44" s="198"/>
    </row>
    <row r="45" spans="1:21" s="12" customFormat="1" x14ac:dyDescent="0.25">
      <c r="A45" s="201" t="s">
        <v>2396</v>
      </c>
      <c r="B45" s="60">
        <v>26.81</v>
      </c>
      <c r="C45" s="60">
        <v>119.1</v>
      </c>
      <c r="D45" s="60">
        <v>87.22</v>
      </c>
      <c r="E45" s="60">
        <v>4.8600000000000003</v>
      </c>
      <c r="F45" s="60">
        <v>1.9</v>
      </c>
      <c r="G45" s="60">
        <v>108.33</v>
      </c>
      <c r="H45" s="60">
        <v>44.67</v>
      </c>
      <c r="I45" s="60">
        <v>0.53</v>
      </c>
      <c r="J45" s="60">
        <v>1.41</v>
      </c>
      <c r="K45" s="60">
        <v>149.46</v>
      </c>
      <c r="L45" s="60">
        <v>25.73</v>
      </c>
      <c r="M45" s="60">
        <v>78.16</v>
      </c>
      <c r="N45" s="60">
        <v>421.1</v>
      </c>
      <c r="O45" s="60">
        <v>0</v>
      </c>
      <c r="P45" s="60">
        <v>1.46</v>
      </c>
      <c r="Q45" s="60">
        <v>225.11</v>
      </c>
      <c r="R45" s="198"/>
      <c r="S45" s="198"/>
      <c r="T45" s="198"/>
      <c r="U45" s="198"/>
    </row>
    <row r="46" spans="1:21" s="12" customFormat="1" x14ac:dyDescent="0.25">
      <c r="A46" s="201" t="s">
        <v>2397</v>
      </c>
      <c r="B46" s="60">
        <v>23.73</v>
      </c>
      <c r="C46" s="60">
        <v>118.5</v>
      </c>
      <c r="D46" s="60">
        <v>84.43</v>
      </c>
      <c r="E46" s="60">
        <v>4.91</v>
      </c>
      <c r="F46" s="60">
        <v>1.58</v>
      </c>
      <c r="G46" s="60">
        <v>108.33</v>
      </c>
      <c r="H46" s="60">
        <v>43.67</v>
      </c>
      <c r="I46" s="60">
        <v>0.52</v>
      </c>
      <c r="J46" s="60">
        <v>0.96</v>
      </c>
      <c r="K46" s="60">
        <v>148.71</v>
      </c>
      <c r="L46" s="60">
        <v>26.2</v>
      </c>
      <c r="M46" s="60">
        <v>60.58</v>
      </c>
      <c r="N46" s="60">
        <v>440.4</v>
      </c>
      <c r="O46" s="60">
        <v>0</v>
      </c>
      <c r="P46" s="60">
        <v>1.42</v>
      </c>
      <c r="Q46" s="60">
        <v>218.61</v>
      </c>
      <c r="R46" s="198"/>
      <c r="S46" s="198"/>
      <c r="T46" s="198"/>
      <c r="U46" s="198"/>
    </row>
    <row r="47" spans="1:21" s="12" customFormat="1" x14ac:dyDescent="0.25">
      <c r="A47" s="201" t="s">
        <v>2398</v>
      </c>
      <c r="B47" s="60">
        <v>21.52</v>
      </c>
      <c r="C47" s="60">
        <v>116.56</v>
      </c>
      <c r="D47" s="60">
        <v>81.58</v>
      </c>
      <c r="E47" s="60">
        <v>4.9000000000000004</v>
      </c>
      <c r="F47" s="60">
        <v>1.24</v>
      </c>
      <c r="G47" s="60">
        <v>108.33</v>
      </c>
      <c r="H47" s="60">
        <v>43.67</v>
      </c>
      <c r="I47" s="60">
        <v>0.5</v>
      </c>
      <c r="J47" s="60">
        <v>1.1299999999999999</v>
      </c>
      <c r="K47" s="60">
        <v>153.41999999999999</v>
      </c>
      <c r="L47" s="60">
        <v>25.88</v>
      </c>
      <c r="M47" s="60">
        <v>67.58</v>
      </c>
      <c r="N47" s="60">
        <v>466.8</v>
      </c>
      <c r="O47" s="60">
        <v>0</v>
      </c>
      <c r="P47" s="60">
        <v>1.4</v>
      </c>
      <c r="Q47" s="60">
        <v>214.81</v>
      </c>
      <c r="R47" s="198"/>
      <c r="S47" s="198"/>
      <c r="T47" s="198"/>
      <c r="U47" s="198"/>
    </row>
    <row r="48" spans="1:21" s="12" customFormat="1" x14ac:dyDescent="0.25">
      <c r="A48" s="201" t="s">
        <v>2399</v>
      </c>
      <c r="B48" s="60">
        <v>19.48</v>
      </c>
      <c r="C48" s="60">
        <v>115.59</v>
      </c>
      <c r="D48" s="60">
        <v>79.41</v>
      </c>
      <c r="E48" s="60">
        <v>5.38</v>
      </c>
      <c r="F48" s="60">
        <v>1.65</v>
      </c>
      <c r="G48" s="60">
        <v>108.33</v>
      </c>
      <c r="H48" s="60">
        <v>43.67</v>
      </c>
      <c r="I48" s="60">
        <v>0.48</v>
      </c>
      <c r="J48" s="60">
        <v>1.49</v>
      </c>
      <c r="K48" s="60">
        <v>133.79</v>
      </c>
      <c r="L48" s="60">
        <v>28.64</v>
      </c>
      <c r="M48" s="60">
        <v>86.65</v>
      </c>
      <c r="N48" s="60">
        <v>487.5</v>
      </c>
      <c r="O48" s="60">
        <v>0</v>
      </c>
      <c r="P48" s="60">
        <v>1.37</v>
      </c>
      <c r="Q48" s="60">
        <v>212.09</v>
      </c>
      <c r="R48" s="198"/>
      <c r="S48" s="198"/>
      <c r="T48" s="198"/>
      <c r="U48" s="198"/>
    </row>
    <row r="49" spans="1:21" s="12" customFormat="1" x14ac:dyDescent="0.25">
      <c r="A49" s="201" t="s">
        <v>2400</v>
      </c>
      <c r="B49" s="60">
        <v>17.579999999999998</v>
      </c>
      <c r="C49" s="60">
        <v>115.88</v>
      </c>
      <c r="D49" s="60">
        <v>78.05</v>
      </c>
      <c r="E49" s="60">
        <v>5.24</v>
      </c>
      <c r="F49" s="60">
        <v>2.17</v>
      </c>
      <c r="G49" s="60">
        <v>86.65</v>
      </c>
      <c r="H49" s="60">
        <v>44.27</v>
      </c>
      <c r="I49" s="60">
        <v>0.48</v>
      </c>
      <c r="J49" s="60">
        <v>1.22</v>
      </c>
      <c r="K49" s="60">
        <v>129.80000000000001</v>
      </c>
      <c r="L49" s="60">
        <v>29.57</v>
      </c>
      <c r="M49" s="60">
        <v>77.459999999999994</v>
      </c>
      <c r="N49" s="60">
        <v>504.6</v>
      </c>
      <c r="O49" s="60">
        <v>0</v>
      </c>
      <c r="P49" s="60">
        <v>1.35</v>
      </c>
      <c r="Q49" s="60">
        <v>207.95</v>
      </c>
      <c r="R49" s="198"/>
      <c r="S49" s="198"/>
      <c r="T49" s="198"/>
      <c r="U49" s="198"/>
    </row>
    <row r="50" spans="1:21" s="12" customFormat="1" x14ac:dyDescent="0.25">
      <c r="A50" s="201" t="s">
        <v>2401</v>
      </c>
      <c r="B50" s="60">
        <v>14.75</v>
      </c>
      <c r="C50" s="60">
        <v>116.8</v>
      </c>
      <c r="D50" s="60">
        <v>76.290000000000006</v>
      </c>
      <c r="E50" s="60">
        <v>4.96</v>
      </c>
      <c r="F50" s="60">
        <v>2.4</v>
      </c>
      <c r="G50" s="60">
        <v>86.65</v>
      </c>
      <c r="H50" s="60">
        <v>44.38</v>
      </c>
      <c r="I50" s="60">
        <v>0.48</v>
      </c>
      <c r="J50" s="60">
        <v>0.89</v>
      </c>
      <c r="K50" s="60">
        <v>138.08000000000001</v>
      </c>
      <c r="L50" s="60">
        <v>29.07</v>
      </c>
      <c r="M50" s="60">
        <v>58.62</v>
      </c>
      <c r="N50" s="60">
        <v>511.9</v>
      </c>
      <c r="O50" s="60">
        <v>0</v>
      </c>
      <c r="P50" s="60">
        <v>1.36</v>
      </c>
      <c r="Q50" s="60">
        <v>208.71</v>
      </c>
      <c r="R50" s="198"/>
      <c r="S50" s="198"/>
      <c r="T50" s="198"/>
      <c r="U50" s="198"/>
    </row>
    <row r="51" spans="1:21" s="12" customFormat="1" x14ac:dyDescent="0.25">
      <c r="A51" s="201" t="s">
        <v>2402</v>
      </c>
      <c r="B51" s="60">
        <v>14.12</v>
      </c>
      <c r="C51" s="60">
        <v>114.9</v>
      </c>
      <c r="D51" s="60">
        <v>74.73</v>
      </c>
      <c r="E51" s="60">
        <v>5.28</v>
      </c>
      <c r="F51" s="60">
        <v>2.75</v>
      </c>
      <c r="G51" s="60">
        <v>86.65</v>
      </c>
      <c r="H51" s="60">
        <v>44.38</v>
      </c>
      <c r="I51" s="60">
        <v>0.48</v>
      </c>
      <c r="J51" s="60">
        <v>1.06</v>
      </c>
      <c r="K51" s="60">
        <v>138.63999999999999</v>
      </c>
      <c r="L51" s="60">
        <v>28.11</v>
      </c>
      <c r="M51" s="60">
        <v>68.22</v>
      </c>
      <c r="N51" s="60">
        <v>526.6</v>
      </c>
      <c r="O51" s="60">
        <v>0</v>
      </c>
      <c r="P51" s="60">
        <v>1.32</v>
      </c>
      <c r="Q51" s="60">
        <v>210.01</v>
      </c>
      <c r="R51" s="198"/>
      <c r="S51" s="198"/>
      <c r="T51" s="198"/>
      <c r="U51" s="198"/>
    </row>
    <row r="52" spans="1:21" s="12" customFormat="1" x14ac:dyDescent="0.25">
      <c r="A52" s="201" t="s">
        <v>2403</v>
      </c>
      <c r="B52" s="60">
        <v>12.71</v>
      </c>
      <c r="C52" s="60">
        <v>112.59</v>
      </c>
      <c r="D52" s="60">
        <v>72.33</v>
      </c>
      <c r="E52" s="60">
        <v>5.12</v>
      </c>
      <c r="F52" s="60">
        <v>2.63</v>
      </c>
      <c r="G52" s="60">
        <v>86.65</v>
      </c>
      <c r="H52" s="60">
        <v>44.38</v>
      </c>
      <c r="I52" s="60">
        <v>0.48</v>
      </c>
      <c r="J52" s="60">
        <v>0.86</v>
      </c>
      <c r="K52" s="60">
        <v>122.85</v>
      </c>
      <c r="L52" s="60">
        <v>30.21</v>
      </c>
      <c r="M52" s="60">
        <v>73.8</v>
      </c>
      <c r="N52" s="60">
        <v>528.29999999999995</v>
      </c>
      <c r="O52" s="60">
        <v>0</v>
      </c>
      <c r="P52" s="60">
        <v>1.3</v>
      </c>
      <c r="Q52" s="60">
        <v>211.03</v>
      </c>
      <c r="R52" s="198"/>
      <c r="S52" s="198"/>
      <c r="T52" s="198"/>
      <c r="U52" s="198"/>
    </row>
    <row r="53" spans="1:21" s="12" customFormat="1" x14ac:dyDescent="0.25">
      <c r="A53" s="201" t="s">
        <v>2404</v>
      </c>
      <c r="B53" s="60">
        <v>10.95</v>
      </c>
      <c r="C53" s="60">
        <v>111.5</v>
      </c>
      <c r="D53" s="60">
        <v>70.31</v>
      </c>
      <c r="E53" s="60">
        <v>5.23</v>
      </c>
      <c r="F53" s="60">
        <v>2.66</v>
      </c>
      <c r="G53" s="60">
        <v>73.38</v>
      </c>
      <c r="H53" s="60">
        <v>43.26</v>
      </c>
      <c r="I53" s="60">
        <v>0.48</v>
      </c>
      <c r="J53" s="60">
        <v>0.87</v>
      </c>
      <c r="K53" s="60">
        <v>125.35</v>
      </c>
      <c r="L53" s="60">
        <v>29.48</v>
      </c>
      <c r="M53" s="60">
        <v>63.81</v>
      </c>
      <c r="N53" s="60">
        <v>523.29999999999995</v>
      </c>
      <c r="O53" s="60">
        <v>0</v>
      </c>
      <c r="P53" s="60">
        <v>1.28</v>
      </c>
      <c r="Q53" s="60">
        <v>211.44</v>
      </c>
      <c r="R53" s="198"/>
      <c r="S53" s="198"/>
      <c r="T53" s="198"/>
      <c r="U53" s="198"/>
    </row>
    <row r="54" spans="1:21" s="12" customFormat="1" x14ac:dyDescent="0.25">
      <c r="A54" s="201" t="s">
        <v>2405</v>
      </c>
      <c r="B54" s="60">
        <v>10.029999999999999</v>
      </c>
      <c r="C54" s="60">
        <v>108.5</v>
      </c>
      <c r="D54" s="60">
        <v>67.92</v>
      </c>
      <c r="E54" s="60">
        <v>5.66</v>
      </c>
      <c r="F54" s="60">
        <v>2.99</v>
      </c>
      <c r="G54" s="60">
        <v>73.38</v>
      </c>
      <c r="H54" s="60">
        <v>43.07</v>
      </c>
      <c r="I54" s="60">
        <v>0.48</v>
      </c>
      <c r="J54" s="60">
        <v>1</v>
      </c>
      <c r="K54" s="60">
        <v>118.37</v>
      </c>
      <c r="L54" s="60">
        <v>30.23</v>
      </c>
      <c r="M54" s="60">
        <v>73.56</v>
      </c>
      <c r="N54" s="60">
        <v>518.20000000000005</v>
      </c>
      <c r="O54" s="60">
        <v>0</v>
      </c>
      <c r="P54" s="60">
        <v>1.27</v>
      </c>
      <c r="Q54" s="60">
        <v>214.1</v>
      </c>
      <c r="R54" s="198"/>
      <c r="S54" s="198"/>
      <c r="T54" s="198"/>
      <c r="U54" s="198"/>
    </row>
    <row r="55" spans="1:21" s="12" customFormat="1" x14ac:dyDescent="0.25">
      <c r="A55" s="201" t="s">
        <v>2406</v>
      </c>
      <c r="B55" s="60">
        <v>9.5</v>
      </c>
      <c r="C55" s="60">
        <v>108.33</v>
      </c>
      <c r="D55" s="60">
        <v>67.400000000000006</v>
      </c>
      <c r="E55" s="60">
        <v>5.44</v>
      </c>
      <c r="F55" s="60">
        <v>2.95</v>
      </c>
      <c r="G55" s="60">
        <v>73.38</v>
      </c>
      <c r="H55" s="60">
        <v>43.07</v>
      </c>
      <c r="I55" s="60">
        <v>0.49</v>
      </c>
      <c r="J55" s="60">
        <v>0.92</v>
      </c>
      <c r="K55" s="60">
        <v>117.55</v>
      </c>
      <c r="L55" s="60">
        <v>29.88</v>
      </c>
      <c r="M55" s="60">
        <v>58.64</v>
      </c>
      <c r="N55" s="60">
        <v>511.5</v>
      </c>
      <c r="O55" s="60">
        <v>0</v>
      </c>
      <c r="P55" s="60">
        <v>1.24</v>
      </c>
      <c r="Q55" s="60">
        <v>218.18</v>
      </c>
      <c r="R55" s="198"/>
      <c r="S55" s="198"/>
      <c r="T55" s="198"/>
      <c r="U55" s="198"/>
    </row>
    <row r="56" spans="1:21" s="12" customFormat="1" x14ac:dyDescent="0.25">
      <c r="A56" s="201" t="s">
        <v>2407</v>
      </c>
      <c r="B56" s="60">
        <v>9.5399999999999991</v>
      </c>
      <c r="C56" s="60">
        <v>110.92</v>
      </c>
      <c r="D56" s="60">
        <v>68.87</v>
      </c>
      <c r="E56" s="60">
        <v>1.92</v>
      </c>
      <c r="F56" s="60">
        <v>2.48</v>
      </c>
      <c r="G56" s="60">
        <v>73.38</v>
      </c>
      <c r="H56" s="60">
        <v>43.07</v>
      </c>
      <c r="I56" s="60">
        <v>0.49</v>
      </c>
      <c r="J56" s="60">
        <v>0.83</v>
      </c>
      <c r="K56" s="60">
        <v>113.59</v>
      </c>
      <c r="L56" s="60">
        <v>30.6</v>
      </c>
      <c r="M56" s="60">
        <v>79.39</v>
      </c>
      <c r="N56" s="60">
        <v>484.2</v>
      </c>
      <c r="O56" s="60">
        <v>0</v>
      </c>
      <c r="P56" s="60">
        <v>1.22</v>
      </c>
      <c r="Q56" s="60">
        <v>217.91</v>
      </c>
      <c r="R56" s="198"/>
      <c r="S56" s="198"/>
      <c r="T56" s="198"/>
      <c r="U56" s="198"/>
    </row>
    <row r="57" spans="1:21" s="12" customFormat="1" x14ac:dyDescent="0.25">
      <c r="A57" s="201" t="s">
        <v>2408</v>
      </c>
      <c r="B57" s="60">
        <v>8.3000000000000007</v>
      </c>
      <c r="C57" s="60">
        <v>107.59</v>
      </c>
      <c r="D57" s="60">
        <v>66.03</v>
      </c>
      <c r="E57" s="60">
        <v>4.5199999999999996</v>
      </c>
      <c r="F57" s="60">
        <v>2.67</v>
      </c>
      <c r="G57" s="60">
        <v>61.72</v>
      </c>
      <c r="H57" s="60">
        <v>41.22</v>
      </c>
      <c r="I57" s="60">
        <v>0.49</v>
      </c>
      <c r="J57" s="60">
        <v>1.24</v>
      </c>
      <c r="K57" s="60">
        <v>107.46</v>
      </c>
      <c r="L57" s="60">
        <v>31.19</v>
      </c>
      <c r="M57" s="60">
        <v>73.39</v>
      </c>
      <c r="N57" s="60">
        <v>516.9</v>
      </c>
      <c r="O57" s="60">
        <v>0</v>
      </c>
      <c r="P57" s="60">
        <v>1.21</v>
      </c>
      <c r="Q57" s="60">
        <v>216.77</v>
      </c>
      <c r="R57" s="198"/>
      <c r="S57" s="198"/>
      <c r="T57" s="198"/>
      <c r="U57" s="198"/>
    </row>
    <row r="58" spans="1:21" s="12" customFormat="1" x14ac:dyDescent="0.25">
      <c r="A58" s="201" t="s">
        <v>2409</v>
      </c>
      <c r="B58" s="60">
        <v>6.82</v>
      </c>
      <c r="C58" s="60">
        <v>103.05</v>
      </c>
      <c r="D58" s="60">
        <v>62.35</v>
      </c>
      <c r="E58" s="60">
        <v>4.95</v>
      </c>
      <c r="F58" s="60">
        <v>3.2</v>
      </c>
      <c r="G58" s="60">
        <v>61.72</v>
      </c>
      <c r="H58" s="60">
        <v>40.9</v>
      </c>
      <c r="I58" s="60">
        <v>0.48</v>
      </c>
      <c r="J58" s="60">
        <v>0.66</v>
      </c>
      <c r="K58" s="60">
        <v>115.6</v>
      </c>
      <c r="L58" s="60">
        <v>29.74</v>
      </c>
      <c r="M58" s="60">
        <v>43.36</v>
      </c>
      <c r="N58" s="60">
        <v>517.9</v>
      </c>
      <c r="O58" s="60">
        <v>0</v>
      </c>
      <c r="P58" s="60">
        <v>1.18</v>
      </c>
      <c r="Q58" s="60">
        <v>216.1</v>
      </c>
      <c r="R58" s="198"/>
      <c r="S58" s="198"/>
      <c r="T58" s="198"/>
      <c r="U58" s="198"/>
    </row>
    <row r="59" spans="1:21" s="12" customFormat="1" x14ac:dyDescent="0.25">
      <c r="A59" s="201" t="s">
        <v>2410</v>
      </c>
      <c r="B59" s="60">
        <v>5.89</v>
      </c>
      <c r="C59" s="60">
        <v>100.12</v>
      </c>
      <c r="D59" s="60">
        <v>59.98</v>
      </c>
      <c r="E59" s="60">
        <v>4.9800000000000004</v>
      </c>
      <c r="F59" s="60">
        <v>3.63</v>
      </c>
      <c r="G59" s="60">
        <v>61.72</v>
      </c>
      <c r="H59" s="60">
        <v>40.9</v>
      </c>
      <c r="I59" s="60">
        <v>0.47</v>
      </c>
      <c r="J59" s="60">
        <v>1.0900000000000001</v>
      </c>
      <c r="K59" s="60">
        <v>110.43</v>
      </c>
      <c r="L59" s="60">
        <v>29.88</v>
      </c>
      <c r="M59" s="60">
        <v>55.53</v>
      </c>
      <c r="N59" s="60">
        <v>506.6</v>
      </c>
      <c r="O59" s="60">
        <v>0</v>
      </c>
      <c r="P59" s="60">
        <v>1.1499999999999999</v>
      </c>
      <c r="Q59" s="60">
        <v>215.58</v>
      </c>
      <c r="R59" s="198"/>
      <c r="S59" s="198"/>
      <c r="T59" s="198"/>
      <c r="U59" s="198"/>
    </row>
    <row r="60" spans="1:21" s="12" customFormat="1" x14ac:dyDescent="0.25">
      <c r="A60" s="201" t="s">
        <v>2411</v>
      </c>
      <c r="B60" s="60">
        <v>5.03</v>
      </c>
      <c r="C60" s="60">
        <v>97.42</v>
      </c>
      <c r="D60" s="60">
        <v>57.8</v>
      </c>
      <c r="E60" s="60">
        <v>4.5</v>
      </c>
      <c r="F60" s="60">
        <v>3.01</v>
      </c>
      <c r="G60" s="60">
        <v>61.72</v>
      </c>
      <c r="H60" s="60">
        <v>40.9</v>
      </c>
      <c r="I60" s="60">
        <v>0.46</v>
      </c>
      <c r="J60" s="60">
        <v>0.75</v>
      </c>
      <c r="K60" s="60">
        <v>114.21</v>
      </c>
      <c r="L60" s="60">
        <v>28.93</v>
      </c>
      <c r="M60" s="60">
        <v>38.69</v>
      </c>
      <c r="N60" s="60">
        <v>486.9</v>
      </c>
      <c r="O60" s="60">
        <v>0</v>
      </c>
      <c r="P60" s="60">
        <v>1.1200000000000001</v>
      </c>
      <c r="Q60" s="60">
        <v>213.99</v>
      </c>
      <c r="R60" s="198"/>
      <c r="S60" s="198"/>
      <c r="T60" s="198"/>
      <c r="U60" s="198"/>
    </row>
    <row r="61" spans="1:21" s="12" customFormat="1" x14ac:dyDescent="0.25">
      <c r="A61" s="201" t="s">
        <v>2412</v>
      </c>
      <c r="B61" s="60">
        <v>4.28</v>
      </c>
      <c r="C61" s="60">
        <v>93.24</v>
      </c>
      <c r="D61" s="60">
        <v>54.89</v>
      </c>
      <c r="E61" s="60">
        <v>5.26</v>
      </c>
      <c r="F61" s="60">
        <v>3.46</v>
      </c>
      <c r="G61" s="60">
        <v>66.22</v>
      </c>
      <c r="H61" s="60">
        <v>37.79</v>
      </c>
      <c r="I61" s="60">
        <v>0.46</v>
      </c>
      <c r="J61" s="60">
        <v>0.78</v>
      </c>
      <c r="K61" s="60">
        <v>114.65</v>
      </c>
      <c r="L61" s="60">
        <v>29.1</v>
      </c>
      <c r="M61" s="60">
        <v>42.82</v>
      </c>
      <c r="N61" s="60">
        <v>473</v>
      </c>
      <c r="O61" s="60">
        <v>0</v>
      </c>
      <c r="P61" s="60">
        <v>1.07</v>
      </c>
      <c r="Q61" s="60">
        <v>212.1</v>
      </c>
      <c r="R61" s="198"/>
      <c r="S61" s="198"/>
      <c r="T61" s="198"/>
      <c r="U61" s="198"/>
    </row>
    <row r="62" spans="1:21" s="12" customFormat="1" x14ac:dyDescent="0.25">
      <c r="A62" s="201" t="s">
        <v>2413</v>
      </c>
      <c r="B62" s="60">
        <v>3.97</v>
      </c>
      <c r="C62" s="60">
        <v>91.26</v>
      </c>
      <c r="D62" s="60">
        <v>53.55</v>
      </c>
      <c r="E62" s="60">
        <v>5.76</v>
      </c>
      <c r="F62" s="60">
        <v>3.65</v>
      </c>
      <c r="G62" s="60">
        <v>66.22</v>
      </c>
      <c r="H62" s="60">
        <v>37.26</v>
      </c>
      <c r="I62" s="60">
        <v>0.45</v>
      </c>
      <c r="J62" s="60">
        <v>0.64</v>
      </c>
      <c r="K62" s="60">
        <v>111.4</v>
      </c>
      <c r="L62" s="60">
        <v>31.12</v>
      </c>
      <c r="M62" s="60">
        <v>82.15</v>
      </c>
      <c r="N62" s="60">
        <v>436.1</v>
      </c>
      <c r="O62" s="60">
        <v>0</v>
      </c>
      <c r="P62" s="60">
        <v>1.0900000000000001</v>
      </c>
      <c r="Q62" s="60">
        <v>212.39</v>
      </c>
      <c r="R62" s="198"/>
      <c r="S62" s="198"/>
      <c r="T62" s="198"/>
      <c r="U62" s="198"/>
    </row>
    <row r="63" spans="1:21" s="12" customFormat="1" x14ac:dyDescent="0.25">
      <c r="A63" s="201" t="s">
        <v>2414</v>
      </c>
      <c r="B63" s="60">
        <v>4.37</v>
      </c>
      <c r="C63" s="60">
        <v>93.17</v>
      </c>
      <c r="D63" s="60">
        <v>54.92</v>
      </c>
      <c r="E63" s="60">
        <v>10.96</v>
      </c>
      <c r="F63" s="60">
        <v>7.27</v>
      </c>
      <c r="G63" s="60">
        <v>66.22</v>
      </c>
      <c r="H63" s="60">
        <v>37.26</v>
      </c>
      <c r="I63" s="60">
        <v>0.45</v>
      </c>
      <c r="J63" s="60">
        <v>0.92</v>
      </c>
      <c r="K63" s="60">
        <v>112.47</v>
      </c>
      <c r="L63" s="60">
        <v>30.07</v>
      </c>
      <c r="M63" s="60">
        <v>43.92</v>
      </c>
      <c r="N63" s="60">
        <v>408.2</v>
      </c>
      <c r="O63" s="60">
        <v>0</v>
      </c>
      <c r="P63" s="60">
        <v>1.0900000000000001</v>
      </c>
      <c r="Q63" s="60">
        <v>216.42</v>
      </c>
      <c r="R63" s="198"/>
      <c r="S63" s="198"/>
      <c r="T63" s="198"/>
      <c r="U63" s="198"/>
    </row>
    <row r="64" spans="1:21" s="12" customFormat="1" x14ac:dyDescent="0.25">
      <c r="A64" s="201" t="s">
        <v>2415</v>
      </c>
      <c r="B64" s="60">
        <v>5.95</v>
      </c>
      <c r="C64" s="60">
        <v>97.92</v>
      </c>
      <c r="D64" s="60">
        <v>58.81</v>
      </c>
      <c r="E64" s="60">
        <v>16.96</v>
      </c>
      <c r="F64" s="60">
        <v>10.56</v>
      </c>
      <c r="G64" s="60">
        <v>66.22</v>
      </c>
      <c r="H64" s="60">
        <v>37.26</v>
      </c>
      <c r="I64" s="60">
        <v>0.45</v>
      </c>
      <c r="J64" s="60">
        <v>0.67</v>
      </c>
      <c r="K64" s="60">
        <v>115.74</v>
      </c>
      <c r="L64" s="60">
        <v>30.22</v>
      </c>
      <c r="M64" s="60">
        <v>60.81</v>
      </c>
      <c r="N64" s="60">
        <v>365.3</v>
      </c>
      <c r="O64" s="60">
        <v>0</v>
      </c>
      <c r="P64" s="60">
        <v>1.08</v>
      </c>
      <c r="Q64" s="60">
        <v>220.1</v>
      </c>
      <c r="R64" s="198"/>
      <c r="S64" s="198"/>
      <c r="T64" s="198"/>
      <c r="U64" s="198"/>
    </row>
    <row r="65" spans="1:21" s="12" customFormat="1" x14ac:dyDescent="0.25">
      <c r="A65" s="201" t="s">
        <v>2416</v>
      </c>
      <c r="B65" s="60">
        <v>5.23</v>
      </c>
      <c r="C65" s="60">
        <v>99.01</v>
      </c>
      <c r="D65" s="60">
        <v>58.84</v>
      </c>
      <c r="E65" s="60">
        <v>10.67</v>
      </c>
      <c r="F65" s="60">
        <v>7.63</v>
      </c>
      <c r="G65" s="60">
        <v>84.48</v>
      </c>
      <c r="H65" s="60">
        <v>38.270000000000003</v>
      </c>
      <c r="I65" s="60">
        <v>0.43</v>
      </c>
      <c r="J65" s="60">
        <v>1.31</v>
      </c>
      <c r="K65" s="60">
        <v>112.46</v>
      </c>
      <c r="L65" s="60">
        <v>31.23</v>
      </c>
      <c r="M65" s="60">
        <v>87.46</v>
      </c>
      <c r="N65" s="60">
        <v>330.7</v>
      </c>
      <c r="O65" s="60">
        <v>0</v>
      </c>
      <c r="P65" s="60">
        <v>1.08</v>
      </c>
      <c r="Q65" s="60">
        <v>223.62</v>
      </c>
      <c r="R65" s="198"/>
      <c r="S65" s="198"/>
      <c r="T65" s="198"/>
      <c r="U65" s="198"/>
    </row>
    <row r="66" spans="1:21" s="12" customFormat="1" x14ac:dyDescent="0.25">
      <c r="A66" s="201" t="s">
        <v>2417</v>
      </c>
      <c r="B66" s="60">
        <v>5.93</v>
      </c>
      <c r="C66" s="60">
        <v>100.17</v>
      </c>
      <c r="D66" s="60">
        <v>60.04</v>
      </c>
      <c r="E66" s="60">
        <v>10.46</v>
      </c>
      <c r="F66" s="60">
        <v>5.82</v>
      </c>
      <c r="G66" s="60">
        <v>84.48</v>
      </c>
      <c r="H66" s="60">
        <v>38.44</v>
      </c>
      <c r="I66" s="60">
        <v>0.42</v>
      </c>
      <c r="J66" s="60">
        <v>1.05</v>
      </c>
      <c r="K66" s="60">
        <v>110.14</v>
      </c>
      <c r="L66" s="60">
        <v>31.68</v>
      </c>
      <c r="M66" s="60">
        <v>86.53</v>
      </c>
      <c r="N66" s="60">
        <v>273.10000000000002</v>
      </c>
      <c r="O66" s="60">
        <v>0</v>
      </c>
      <c r="P66" s="60">
        <v>1.0900000000000001</v>
      </c>
      <c r="Q66" s="60">
        <v>225.42</v>
      </c>
      <c r="R66" s="198"/>
      <c r="S66" s="198"/>
      <c r="T66" s="198"/>
      <c r="U66" s="198"/>
    </row>
    <row r="67" spans="1:21" s="12" customFormat="1" x14ac:dyDescent="0.25">
      <c r="A67" s="201" t="s">
        <v>2418</v>
      </c>
      <c r="B67" s="60">
        <v>5.0599999999999996</v>
      </c>
      <c r="C67" s="60">
        <v>102.58</v>
      </c>
      <c r="D67" s="60">
        <v>60.67</v>
      </c>
      <c r="E67" s="60">
        <v>7.58</v>
      </c>
      <c r="F67" s="60">
        <v>3.38</v>
      </c>
      <c r="G67" s="60">
        <v>84.48</v>
      </c>
      <c r="H67" s="60">
        <v>38.44</v>
      </c>
      <c r="I67" s="60">
        <v>0.45</v>
      </c>
      <c r="J67" s="60">
        <v>1.02</v>
      </c>
      <c r="K67" s="60">
        <v>110.13</v>
      </c>
      <c r="L67" s="60">
        <v>31.67</v>
      </c>
      <c r="M67" s="60">
        <v>84.24</v>
      </c>
      <c r="N67" s="60">
        <v>179.4</v>
      </c>
      <c r="O67" s="60">
        <v>0</v>
      </c>
      <c r="P67" s="60">
        <v>1.08</v>
      </c>
      <c r="Q67" s="60">
        <v>226.97</v>
      </c>
      <c r="R67" s="198"/>
      <c r="S67" s="198"/>
      <c r="T67" s="198"/>
      <c r="U67" s="198"/>
    </row>
    <row r="68" spans="1:21" s="12" customFormat="1" x14ac:dyDescent="0.25">
      <c r="A68" s="201" t="s">
        <v>2419</v>
      </c>
      <c r="B68" s="60">
        <v>4.83</v>
      </c>
      <c r="C68" s="60">
        <v>101.02</v>
      </c>
      <c r="D68" s="60">
        <v>59.63</v>
      </c>
      <c r="E68" s="60">
        <v>6.82</v>
      </c>
      <c r="F68" s="60">
        <v>4.24</v>
      </c>
      <c r="G68" s="60">
        <v>84.48</v>
      </c>
      <c r="H68" s="60">
        <v>38.44</v>
      </c>
      <c r="I68" s="60">
        <v>0.46</v>
      </c>
      <c r="J68" s="60">
        <v>1.2</v>
      </c>
      <c r="K68" s="60">
        <v>112.49</v>
      </c>
      <c r="L68" s="60">
        <v>31.16</v>
      </c>
      <c r="M68" s="60">
        <v>86.79</v>
      </c>
      <c r="N68" s="60">
        <v>141.9</v>
      </c>
      <c r="O68" s="60">
        <v>0</v>
      </c>
      <c r="P68" s="60">
        <v>1.08</v>
      </c>
      <c r="Q68" s="60">
        <v>228.51</v>
      </c>
      <c r="R68" s="198"/>
      <c r="S68" s="198"/>
      <c r="T68" s="198"/>
      <c r="U68" s="198"/>
    </row>
    <row r="69" spans="1:21" s="12" customFormat="1" x14ac:dyDescent="0.25">
      <c r="A69" s="201" t="s">
        <v>2420</v>
      </c>
      <c r="B69" s="60">
        <v>4.4800000000000004</v>
      </c>
      <c r="C69" s="60">
        <v>104.08</v>
      </c>
      <c r="D69" s="60">
        <v>61.04</v>
      </c>
      <c r="E69" s="60">
        <v>6.01</v>
      </c>
      <c r="F69" s="60">
        <v>3.3</v>
      </c>
      <c r="G69" s="60">
        <v>103.9</v>
      </c>
      <c r="H69" s="60">
        <v>36.9</v>
      </c>
      <c r="I69" s="60">
        <v>0.46</v>
      </c>
      <c r="J69" s="60">
        <v>0.89</v>
      </c>
      <c r="K69" s="60">
        <v>115.02</v>
      </c>
      <c r="L69" s="60">
        <v>30.64</v>
      </c>
      <c r="M69" s="60">
        <v>85.35</v>
      </c>
      <c r="N69" s="60">
        <v>119.7</v>
      </c>
      <c r="O69" s="60">
        <v>0</v>
      </c>
      <c r="P69" s="60">
        <v>1.08</v>
      </c>
      <c r="Q69" s="60">
        <v>230.23</v>
      </c>
      <c r="R69" s="198"/>
      <c r="S69" s="198"/>
      <c r="T69" s="198"/>
      <c r="U69" s="198"/>
    </row>
    <row r="70" spans="1:21" s="12" customFormat="1" x14ac:dyDescent="0.25">
      <c r="A70" s="201" t="s">
        <v>2421</v>
      </c>
      <c r="B70" s="60">
        <v>4.32</v>
      </c>
      <c r="C70" s="60">
        <v>101.67</v>
      </c>
      <c r="D70" s="60">
        <v>59.57</v>
      </c>
      <c r="E70" s="60">
        <v>5.22</v>
      </c>
      <c r="F70" s="60">
        <v>3.02</v>
      </c>
      <c r="G70" s="60">
        <v>103.9</v>
      </c>
      <c r="H70" s="60">
        <v>36.619999999999997</v>
      </c>
      <c r="I70" s="60">
        <v>0.45</v>
      </c>
      <c r="J70" s="60">
        <v>1.05</v>
      </c>
      <c r="K70" s="60">
        <v>117.23</v>
      </c>
      <c r="L70" s="60">
        <v>29.77</v>
      </c>
      <c r="M70" s="60">
        <v>86.7</v>
      </c>
      <c r="N70" s="60">
        <v>106.7</v>
      </c>
      <c r="O70" s="60">
        <v>0</v>
      </c>
      <c r="P70" s="60">
        <v>1.08</v>
      </c>
      <c r="Q70" s="60">
        <v>233.24</v>
      </c>
      <c r="R70" s="198"/>
      <c r="S70" s="198"/>
      <c r="T70" s="198"/>
      <c r="U70" s="198"/>
    </row>
    <row r="71" spans="1:21" s="12" customFormat="1" x14ac:dyDescent="0.25">
      <c r="A71" s="201" t="s">
        <v>2422</v>
      </c>
      <c r="B71" s="60">
        <v>4.6500000000000004</v>
      </c>
      <c r="C71" s="60">
        <v>100.76</v>
      </c>
      <c r="D71" s="60">
        <v>59.34</v>
      </c>
      <c r="E71" s="60">
        <v>5.39</v>
      </c>
      <c r="F71" s="60">
        <v>3.06</v>
      </c>
      <c r="G71" s="60">
        <v>103.9</v>
      </c>
      <c r="H71" s="60">
        <v>36.619999999999997</v>
      </c>
      <c r="I71" s="60">
        <v>0.46</v>
      </c>
      <c r="J71" s="60">
        <v>1.08</v>
      </c>
      <c r="K71" s="60">
        <v>122.15</v>
      </c>
      <c r="L71" s="60">
        <v>28.96</v>
      </c>
      <c r="M71" s="60">
        <v>84.07</v>
      </c>
      <c r="N71" s="60">
        <v>89.3</v>
      </c>
      <c r="O71" s="60">
        <v>0</v>
      </c>
      <c r="P71" s="60">
        <v>1.1000000000000001</v>
      </c>
      <c r="Q71" s="60">
        <v>233.68</v>
      </c>
      <c r="R71" s="198"/>
      <c r="S71" s="198"/>
      <c r="T71" s="198"/>
      <c r="U71" s="198"/>
    </row>
    <row r="72" spans="1:21" s="12" customFormat="1" x14ac:dyDescent="0.25">
      <c r="A72" s="201" t="s">
        <v>2423</v>
      </c>
      <c r="B72" s="60">
        <v>4.32</v>
      </c>
      <c r="C72" s="60">
        <v>102.52</v>
      </c>
      <c r="D72" s="60">
        <v>60.04</v>
      </c>
      <c r="E72" s="60">
        <v>3.27</v>
      </c>
      <c r="F72" s="60">
        <v>3.61</v>
      </c>
      <c r="G72" s="60">
        <v>103.9</v>
      </c>
      <c r="H72" s="60">
        <v>36.619999999999997</v>
      </c>
      <c r="I72" s="60">
        <v>0.45</v>
      </c>
      <c r="J72" s="60">
        <v>0.52</v>
      </c>
      <c r="K72" s="60">
        <v>125.46</v>
      </c>
      <c r="L72" s="60">
        <v>28.48</v>
      </c>
      <c r="M72" s="60">
        <v>82.7</v>
      </c>
      <c r="N72" s="60">
        <v>69.400000000000006</v>
      </c>
      <c r="O72" s="60">
        <v>0</v>
      </c>
      <c r="P72" s="60">
        <v>1.1000000000000001</v>
      </c>
      <c r="Q72" s="60">
        <v>232.88</v>
      </c>
      <c r="R72" s="198"/>
      <c r="S72" s="198"/>
      <c r="T72" s="198"/>
      <c r="U72" s="198"/>
    </row>
    <row r="73" spans="1:21" s="12" customFormat="1" x14ac:dyDescent="0.25">
      <c r="A73" s="201" t="s">
        <v>2424</v>
      </c>
      <c r="B73" s="60">
        <v>4.08</v>
      </c>
      <c r="C73" s="60">
        <v>100.92</v>
      </c>
      <c r="D73" s="60">
        <v>58.97</v>
      </c>
      <c r="E73" s="60">
        <v>5.22</v>
      </c>
      <c r="F73" s="60">
        <v>3.18</v>
      </c>
      <c r="G73" s="60">
        <v>95.12</v>
      </c>
      <c r="H73" s="60">
        <v>36.090000000000003</v>
      </c>
      <c r="I73" s="60">
        <v>0.43</v>
      </c>
      <c r="J73" s="60">
        <v>0.65</v>
      </c>
      <c r="K73" s="60">
        <v>125.95</v>
      </c>
      <c r="L73" s="60">
        <v>27.94</v>
      </c>
      <c r="M73" s="60">
        <v>83.65</v>
      </c>
      <c r="N73" s="60">
        <v>51.6</v>
      </c>
      <c r="O73" s="60">
        <v>0</v>
      </c>
      <c r="P73" s="60">
        <v>1.0900000000000001</v>
      </c>
      <c r="Q73" s="60">
        <v>229.94</v>
      </c>
      <c r="R73" s="198"/>
      <c r="S73" s="198"/>
      <c r="T73" s="198"/>
      <c r="U73" s="198"/>
    </row>
    <row r="74" spans="1:21" s="12" customFormat="1" x14ac:dyDescent="0.25">
      <c r="A74" s="201" t="s">
        <v>2425</v>
      </c>
      <c r="B74" s="60">
        <v>4.66</v>
      </c>
      <c r="C74" s="60">
        <v>103.88</v>
      </c>
      <c r="D74" s="60">
        <v>61.06</v>
      </c>
      <c r="E74" s="60">
        <v>5.78</v>
      </c>
      <c r="F74" s="60">
        <v>3.6</v>
      </c>
      <c r="G74" s="60">
        <v>95.12</v>
      </c>
      <c r="H74" s="60">
        <v>36</v>
      </c>
      <c r="I74" s="60">
        <v>0.42</v>
      </c>
      <c r="J74" s="60">
        <v>0.7</v>
      </c>
      <c r="K74" s="60">
        <v>129.43</v>
      </c>
      <c r="L74" s="60">
        <v>27.56</v>
      </c>
      <c r="M74" s="60">
        <v>87.11</v>
      </c>
      <c r="N74" s="60">
        <v>42</v>
      </c>
      <c r="O74" s="60">
        <v>0</v>
      </c>
      <c r="P74" s="60">
        <v>1.1100000000000001</v>
      </c>
      <c r="Q74" s="60">
        <v>228.25</v>
      </c>
      <c r="R74" s="198"/>
      <c r="S74" s="198"/>
      <c r="T74" s="198"/>
      <c r="U74" s="198"/>
    </row>
    <row r="75" spans="1:21" s="12" customFormat="1" x14ac:dyDescent="0.25">
      <c r="A75" s="201" t="s">
        <v>2426</v>
      </c>
      <c r="B75" s="60">
        <v>7.83</v>
      </c>
      <c r="C75" s="60">
        <v>106.96</v>
      </c>
      <c r="D75" s="60">
        <v>65.31</v>
      </c>
      <c r="E75" s="60">
        <v>5.75</v>
      </c>
      <c r="F75" s="60">
        <v>5.19</v>
      </c>
      <c r="G75" s="60">
        <v>95.12</v>
      </c>
      <c r="H75" s="60">
        <v>36</v>
      </c>
      <c r="I75" s="60">
        <v>0.42</v>
      </c>
      <c r="J75" s="60">
        <v>0.67</v>
      </c>
      <c r="K75" s="60">
        <v>133.6</v>
      </c>
      <c r="L75" s="60">
        <v>27.08</v>
      </c>
      <c r="M75" s="60">
        <v>79.959999999999994</v>
      </c>
      <c r="N75" s="60">
        <v>31.3</v>
      </c>
      <c r="O75" s="60">
        <v>0</v>
      </c>
      <c r="P75" s="60">
        <v>1.1499999999999999</v>
      </c>
      <c r="Q75" s="60">
        <v>228.53</v>
      </c>
      <c r="R75" s="198"/>
      <c r="S75" s="198"/>
      <c r="T75" s="198"/>
      <c r="U75" s="198"/>
    </row>
    <row r="76" spans="1:21" s="12" customFormat="1" x14ac:dyDescent="0.25">
      <c r="A76" s="201" t="s">
        <v>2427</v>
      </c>
      <c r="B76" s="60">
        <v>7.75</v>
      </c>
      <c r="C76" s="60">
        <v>113.59</v>
      </c>
      <c r="D76" s="60">
        <v>68.900000000000006</v>
      </c>
      <c r="E76" s="60">
        <v>6.1</v>
      </c>
      <c r="F76" s="60">
        <v>5.94</v>
      </c>
      <c r="G76" s="60">
        <v>95.12</v>
      </c>
      <c r="H76" s="60">
        <v>36</v>
      </c>
      <c r="I76" s="60">
        <v>0.42</v>
      </c>
      <c r="J76" s="60">
        <v>0.71</v>
      </c>
      <c r="K76" s="60">
        <v>135.84</v>
      </c>
      <c r="L76" s="60">
        <v>26.44</v>
      </c>
      <c r="M76" s="60">
        <v>84.34</v>
      </c>
      <c r="N76" s="60">
        <v>20.6</v>
      </c>
      <c r="O76" s="60">
        <v>0</v>
      </c>
      <c r="P76" s="60">
        <v>1.21</v>
      </c>
      <c r="Q76" s="60">
        <v>229.48</v>
      </c>
      <c r="R76" s="198"/>
      <c r="S76" s="198"/>
      <c r="T76" s="198"/>
      <c r="U76" s="198"/>
    </row>
    <row r="77" spans="1:21" s="12" customFormat="1" x14ac:dyDescent="0.25">
      <c r="A77" s="201" t="s">
        <v>2428</v>
      </c>
      <c r="B77" s="60">
        <v>15.4</v>
      </c>
      <c r="C77" s="60">
        <v>121.2</v>
      </c>
      <c r="D77" s="60">
        <v>79.239999999999995</v>
      </c>
      <c r="E77" s="60">
        <v>6.93</v>
      </c>
      <c r="F77" s="60">
        <v>4.6900000000000004</v>
      </c>
      <c r="G77" s="60">
        <v>101.2</v>
      </c>
      <c r="H77" s="60">
        <v>34.97</v>
      </c>
      <c r="I77" s="60">
        <v>0.41</v>
      </c>
      <c r="J77" s="60">
        <v>0.67</v>
      </c>
      <c r="K77" s="60">
        <v>143.47</v>
      </c>
      <c r="L77" s="60">
        <v>25.71</v>
      </c>
      <c r="M77" s="60">
        <v>83.75</v>
      </c>
      <c r="N77" s="60">
        <v>11.3</v>
      </c>
      <c r="O77" s="60">
        <v>0</v>
      </c>
      <c r="P77" s="60">
        <v>1.3</v>
      </c>
      <c r="Q77" s="60">
        <v>230.98</v>
      </c>
      <c r="R77" s="198"/>
      <c r="S77" s="198"/>
      <c r="T77" s="198"/>
      <c r="U77" s="198"/>
    </row>
    <row r="78" spans="1:21" s="12" customFormat="1" x14ac:dyDescent="0.25">
      <c r="A78" s="201" t="s">
        <v>2429</v>
      </c>
      <c r="B78" s="60">
        <v>16.04</v>
      </c>
      <c r="C78" s="60">
        <v>135.13</v>
      </c>
      <c r="D78" s="60">
        <v>87.44</v>
      </c>
      <c r="E78" s="60">
        <v>6.64</v>
      </c>
      <c r="F78" s="60">
        <v>3.27</v>
      </c>
      <c r="G78" s="60">
        <v>101.2</v>
      </c>
      <c r="H78" s="60">
        <v>34.79</v>
      </c>
      <c r="I78" s="60">
        <v>0.43</v>
      </c>
      <c r="J78" s="60">
        <v>0.44</v>
      </c>
      <c r="K78" s="60">
        <v>148.83000000000001</v>
      </c>
      <c r="L78" s="60">
        <v>24.99</v>
      </c>
      <c r="M78" s="60">
        <v>74.11</v>
      </c>
      <c r="N78" s="60">
        <v>7.3</v>
      </c>
      <c r="O78" s="60">
        <v>0</v>
      </c>
      <c r="P78" s="60">
        <v>1.42</v>
      </c>
      <c r="Q78" s="60">
        <v>238.26</v>
      </c>
      <c r="R78" s="198"/>
      <c r="S78" s="198"/>
      <c r="T78" s="198"/>
      <c r="U78" s="198"/>
    </row>
    <row r="79" spans="1:21" s="12" customFormat="1" x14ac:dyDescent="0.25">
      <c r="A79" s="201" t="s">
        <v>2430</v>
      </c>
      <c r="B79" s="60">
        <v>18</v>
      </c>
      <c r="C79" s="60">
        <v>140.34</v>
      </c>
      <c r="D79" s="60">
        <v>91.89</v>
      </c>
      <c r="E79" s="60">
        <v>7.25</v>
      </c>
      <c r="F79" s="60">
        <v>2.15</v>
      </c>
      <c r="G79" s="60">
        <v>101.2</v>
      </c>
      <c r="H79" s="60">
        <v>34.79</v>
      </c>
      <c r="I79" s="60">
        <v>0.45</v>
      </c>
      <c r="J79" s="60">
        <v>0.17</v>
      </c>
      <c r="K79" s="60">
        <v>154.58000000000001</v>
      </c>
      <c r="L79" s="60">
        <v>24.54</v>
      </c>
      <c r="M79" s="60">
        <v>42.06</v>
      </c>
      <c r="N79" s="60">
        <v>6.3</v>
      </c>
      <c r="O79" s="60">
        <v>0</v>
      </c>
      <c r="P79" s="60">
        <v>1.54</v>
      </c>
      <c r="Q79" s="60">
        <v>246.8</v>
      </c>
      <c r="R79" s="198"/>
      <c r="S79" s="198"/>
      <c r="T79" s="198"/>
      <c r="U79" s="198"/>
    </row>
    <row r="80" spans="1:21" s="12" customFormat="1" x14ac:dyDescent="0.25">
      <c r="A80" s="201" t="s">
        <v>2431</v>
      </c>
      <c r="B80" s="60">
        <v>18.37</v>
      </c>
      <c r="C80" s="60">
        <v>138.07</v>
      </c>
      <c r="D80" s="60">
        <v>90.92</v>
      </c>
      <c r="E80" s="60">
        <v>6.65</v>
      </c>
      <c r="F80" s="60">
        <v>1.69</v>
      </c>
      <c r="G80" s="60">
        <v>101.2</v>
      </c>
      <c r="H80" s="60">
        <v>34.79</v>
      </c>
      <c r="I80" s="60">
        <v>0.49</v>
      </c>
      <c r="J80" s="60">
        <v>0.25</v>
      </c>
      <c r="K80" s="60">
        <v>148.62</v>
      </c>
      <c r="L80" s="60">
        <v>24.49</v>
      </c>
      <c r="M80" s="60">
        <v>24.98</v>
      </c>
      <c r="N80" s="60">
        <v>5.9</v>
      </c>
      <c r="O80" s="60">
        <v>0</v>
      </c>
      <c r="P80" s="60">
        <v>1.56</v>
      </c>
      <c r="Q80" s="60">
        <v>255.94</v>
      </c>
      <c r="R80" s="198"/>
      <c r="S80" s="198"/>
      <c r="T80" s="198"/>
      <c r="U80" s="198"/>
    </row>
    <row r="81" spans="1:26" s="12" customFormat="1" x14ac:dyDescent="0.25">
      <c r="A81" s="201" t="s">
        <v>2432</v>
      </c>
      <c r="B81" s="60">
        <v>30.42</v>
      </c>
      <c r="C81" s="60">
        <v>151.91</v>
      </c>
      <c r="D81" s="60">
        <v>108.23</v>
      </c>
      <c r="E81" s="60">
        <v>6.15</v>
      </c>
      <c r="F81" s="60">
        <v>1.07</v>
      </c>
      <c r="G81" s="60">
        <v>121.71</v>
      </c>
      <c r="H81" s="60">
        <v>40.96</v>
      </c>
      <c r="I81" s="60">
        <v>0.52</v>
      </c>
      <c r="J81" s="60">
        <v>0.27</v>
      </c>
      <c r="K81" s="60">
        <v>167.35</v>
      </c>
      <c r="L81" s="60">
        <v>23.76</v>
      </c>
      <c r="M81" s="60">
        <v>15.09</v>
      </c>
      <c r="N81" s="60">
        <v>5.9</v>
      </c>
      <c r="O81" s="60">
        <v>0</v>
      </c>
      <c r="P81" s="60">
        <v>1.76</v>
      </c>
      <c r="Q81" s="60">
        <v>265.10000000000002</v>
      </c>
      <c r="R81" s="198"/>
      <c r="S81" s="198"/>
      <c r="T81" s="198"/>
      <c r="U81" s="198"/>
    </row>
    <row r="82" spans="1:26" s="12" customFormat="1" x14ac:dyDescent="0.25">
      <c r="A82" s="201" t="s">
        <v>2433</v>
      </c>
      <c r="B82" s="60">
        <v>28.34</v>
      </c>
      <c r="C82" s="60">
        <v>153.91999999999999</v>
      </c>
      <c r="D82" s="60">
        <v>107.67</v>
      </c>
      <c r="E82" s="60">
        <v>6.5</v>
      </c>
      <c r="F82" s="60">
        <v>0.94</v>
      </c>
      <c r="G82" s="60">
        <v>121.71</v>
      </c>
      <c r="H82" s="60">
        <v>42</v>
      </c>
      <c r="I82" s="60">
        <v>0.56999999999999995</v>
      </c>
      <c r="J82" s="60">
        <v>0.27</v>
      </c>
      <c r="K82" s="60">
        <v>166.18</v>
      </c>
      <c r="L82" s="60">
        <v>23.59</v>
      </c>
      <c r="M82" s="60">
        <v>18.170000000000002</v>
      </c>
      <c r="N82" s="60">
        <v>5.8</v>
      </c>
      <c r="O82" s="60">
        <v>0</v>
      </c>
      <c r="P82" s="60">
        <v>1.79</v>
      </c>
      <c r="Q82" s="60">
        <v>276.08999999999997</v>
      </c>
      <c r="R82" s="198"/>
      <c r="S82" s="198"/>
      <c r="T82" s="198"/>
      <c r="U82" s="198"/>
    </row>
    <row r="83" spans="1:26" s="12" customFormat="1" x14ac:dyDescent="0.25">
      <c r="A83" s="201" t="s">
        <v>2434</v>
      </c>
      <c r="B83" s="60">
        <v>32.07</v>
      </c>
      <c r="C83" s="60">
        <v>146.18</v>
      </c>
      <c r="D83" s="60">
        <v>106.39</v>
      </c>
      <c r="E83" s="60">
        <v>6.37</v>
      </c>
      <c r="F83" s="60">
        <v>0.99</v>
      </c>
      <c r="G83" s="60">
        <v>121.71</v>
      </c>
      <c r="H83" s="60">
        <v>42</v>
      </c>
      <c r="I83" s="60">
        <v>0.66</v>
      </c>
      <c r="J83" s="60">
        <v>0.21</v>
      </c>
      <c r="K83" s="60">
        <v>167.67</v>
      </c>
      <c r="L83" s="60">
        <v>23.32</v>
      </c>
      <c r="M83" s="60">
        <v>22.79</v>
      </c>
      <c r="N83" s="60">
        <v>5.9</v>
      </c>
      <c r="O83" s="60">
        <v>0</v>
      </c>
      <c r="P83" s="60">
        <v>1.87</v>
      </c>
      <c r="Q83" s="60">
        <v>285.79000000000002</v>
      </c>
      <c r="R83" s="198"/>
      <c r="S83" s="198"/>
      <c r="T83" s="198"/>
      <c r="U83" s="198"/>
    </row>
    <row r="84" spans="1:26" s="12" customFormat="1" x14ac:dyDescent="0.25">
      <c r="A84" s="201" t="s">
        <v>2435</v>
      </c>
      <c r="B84" s="60">
        <v>33.86</v>
      </c>
      <c r="C84" s="60">
        <v>143.65</v>
      </c>
      <c r="D84" s="60">
        <v>106.43</v>
      </c>
      <c r="E84" s="60">
        <v>5.44</v>
      </c>
      <c r="F84" s="60">
        <v>0.9</v>
      </c>
      <c r="G84" s="60">
        <v>121.71</v>
      </c>
      <c r="H84" s="60">
        <v>42</v>
      </c>
      <c r="I84" s="60">
        <v>0.71</v>
      </c>
      <c r="J84" s="60">
        <v>0.23</v>
      </c>
      <c r="K84" s="60">
        <v>192.13</v>
      </c>
      <c r="L84" s="60">
        <v>22.68</v>
      </c>
      <c r="M84" s="60">
        <v>27.38</v>
      </c>
      <c r="N84" s="60">
        <v>6.1</v>
      </c>
      <c r="O84" s="60">
        <v>0</v>
      </c>
      <c r="P84" s="60">
        <v>1.95</v>
      </c>
      <c r="Q84" s="60">
        <v>296.87</v>
      </c>
      <c r="R84" s="198"/>
      <c r="S84" s="198"/>
      <c r="T84" s="198"/>
      <c r="U84" s="198"/>
    </row>
    <row r="85" spans="1:26" s="12" customFormat="1" x14ac:dyDescent="0.25">
      <c r="A85" s="201" t="s">
        <v>2436</v>
      </c>
      <c r="B85" s="60">
        <v>42.02</v>
      </c>
      <c r="C85" s="60">
        <v>150.4</v>
      </c>
      <c r="D85" s="60">
        <v>116.7</v>
      </c>
      <c r="E85" s="60">
        <v>5.47</v>
      </c>
      <c r="F85" s="60">
        <v>0.68</v>
      </c>
      <c r="G85" s="60">
        <v>221.72</v>
      </c>
      <c r="H85" s="60">
        <v>44.94</v>
      </c>
      <c r="I85" s="60">
        <v>0.75</v>
      </c>
      <c r="J85" s="60">
        <v>0.12</v>
      </c>
      <c r="K85" s="60">
        <v>188.31</v>
      </c>
      <c r="L85" s="60">
        <v>22.03</v>
      </c>
      <c r="M85" s="60">
        <v>60.67</v>
      </c>
      <c r="N85" s="60">
        <v>6.2</v>
      </c>
      <c r="O85" s="60">
        <v>0</v>
      </c>
      <c r="P85" s="60">
        <v>1.98</v>
      </c>
      <c r="Q85" s="60">
        <v>302.72000000000003</v>
      </c>
      <c r="R85" s="198"/>
      <c r="S85" s="198"/>
      <c r="T85" s="198"/>
      <c r="U85" s="198"/>
    </row>
    <row r="86" spans="1:26" s="12" customFormat="1" x14ac:dyDescent="0.25">
      <c r="A86" s="201" t="s">
        <v>2437</v>
      </c>
      <c r="B86" s="60">
        <v>46.6</v>
      </c>
      <c r="C86" s="60">
        <v>156.97999999999999</v>
      </c>
      <c r="D86" s="60">
        <v>124</v>
      </c>
      <c r="E86" s="60">
        <v>5.7</v>
      </c>
      <c r="F86" s="60">
        <v>0.77</v>
      </c>
      <c r="G86" s="60">
        <v>221.72</v>
      </c>
      <c r="H86" s="60">
        <v>45.43</v>
      </c>
      <c r="I86" s="60">
        <v>0.78</v>
      </c>
      <c r="J86" s="60">
        <v>0.21</v>
      </c>
      <c r="K86" s="60">
        <v>184.19</v>
      </c>
      <c r="L86" s="60">
        <v>21.75</v>
      </c>
      <c r="M86" s="60">
        <v>29.56</v>
      </c>
      <c r="N86" s="60">
        <v>5.7</v>
      </c>
      <c r="O86" s="60">
        <v>0</v>
      </c>
      <c r="P86" s="60">
        <v>2.25</v>
      </c>
      <c r="Q86" s="60">
        <v>311.67</v>
      </c>
      <c r="R86" s="198"/>
      <c r="S86" s="198"/>
      <c r="T86" s="198"/>
      <c r="U86" s="198"/>
    </row>
    <row r="87" spans="1:26" s="12" customFormat="1" x14ac:dyDescent="0.25">
      <c r="A87" s="201" t="s">
        <v>2438</v>
      </c>
      <c r="B87" s="60">
        <v>48.55</v>
      </c>
      <c r="C87" s="60">
        <v>161.01</v>
      </c>
      <c r="D87" s="60">
        <v>127.79</v>
      </c>
      <c r="E87" s="60">
        <v>5.71</v>
      </c>
      <c r="F87" s="60">
        <v>0.77</v>
      </c>
      <c r="G87" s="60">
        <v>221.72</v>
      </c>
      <c r="H87" s="60">
        <v>45.43</v>
      </c>
      <c r="I87" s="60">
        <v>0.85</v>
      </c>
      <c r="J87" s="60">
        <v>0.28000000000000003</v>
      </c>
      <c r="K87" s="60">
        <v>173.13</v>
      </c>
      <c r="L87" s="60">
        <v>22.36</v>
      </c>
      <c r="M87" s="60">
        <v>18.86</v>
      </c>
      <c r="N87" s="60">
        <v>5.5</v>
      </c>
      <c r="O87" s="60">
        <v>0</v>
      </c>
      <c r="P87" s="60">
        <v>2.33</v>
      </c>
      <c r="Q87" s="60">
        <v>317.35000000000002</v>
      </c>
      <c r="R87" s="198"/>
      <c r="S87" s="198"/>
      <c r="T87" s="198"/>
      <c r="U87" s="198"/>
    </row>
    <row r="88" spans="1:26" s="12" customFormat="1" x14ac:dyDescent="0.25">
      <c r="A88" s="201" t="s">
        <v>2439</v>
      </c>
      <c r="B88" s="60">
        <v>47.74</v>
      </c>
      <c r="C88" s="60">
        <v>157.68</v>
      </c>
      <c r="D88" s="60">
        <v>125.3</v>
      </c>
      <c r="E88" s="60">
        <v>3.35</v>
      </c>
      <c r="F88" s="60">
        <v>0.82</v>
      </c>
      <c r="G88" s="60">
        <v>221.72</v>
      </c>
      <c r="H88" s="60">
        <v>45.43</v>
      </c>
      <c r="I88" s="60">
        <v>0.91</v>
      </c>
      <c r="J88" s="60">
        <v>0.19</v>
      </c>
      <c r="K88" s="60">
        <v>174.87</v>
      </c>
      <c r="L88" s="60">
        <v>22.19</v>
      </c>
      <c r="M88" s="60">
        <v>19.07</v>
      </c>
      <c r="N88" s="60">
        <v>6</v>
      </c>
      <c r="O88" s="60">
        <v>0</v>
      </c>
      <c r="P88" s="60">
        <v>2.4</v>
      </c>
      <c r="Q88" s="60">
        <v>317.57</v>
      </c>
      <c r="R88" s="198"/>
      <c r="S88" s="198"/>
      <c r="T88" s="198"/>
      <c r="U88" s="198"/>
    </row>
    <row r="89" spans="1:26" s="12" customFormat="1" x14ac:dyDescent="0.25">
      <c r="A89" s="201" t="s">
        <v>2440</v>
      </c>
      <c r="B89" s="60">
        <v>47.03</v>
      </c>
      <c r="C89" s="60">
        <v>155.51</v>
      </c>
      <c r="D89" s="60">
        <v>123.53</v>
      </c>
      <c r="E89" s="60">
        <v>5.96</v>
      </c>
      <c r="F89" s="60">
        <v>0.99</v>
      </c>
      <c r="G89" s="60">
        <v>216.55</v>
      </c>
      <c r="H89" s="60">
        <v>48.38</v>
      </c>
      <c r="I89" s="60">
        <v>0.95</v>
      </c>
      <c r="J89" s="60">
        <v>0.2</v>
      </c>
      <c r="K89" s="60">
        <v>181.62</v>
      </c>
      <c r="L89" s="60">
        <v>21.7</v>
      </c>
      <c r="M89" s="60">
        <v>29.52</v>
      </c>
      <c r="N89" s="60">
        <v>6</v>
      </c>
      <c r="O89" s="60">
        <v>0</v>
      </c>
      <c r="P89" s="60">
        <v>2.4300000000000002</v>
      </c>
      <c r="Q89" s="60">
        <v>314.86</v>
      </c>
      <c r="R89" s="198"/>
      <c r="S89" s="198"/>
      <c r="T89" s="198"/>
      <c r="U89" s="198"/>
    </row>
    <row r="90" spans="1:26" s="12" customFormat="1" x14ac:dyDescent="0.25">
      <c r="A90" s="201" t="s">
        <v>2441</v>
      </c>
      <c r="B90" s="60">
        <v>45.95</v>
      </c>
      <c r="C90" s="60">
        <v>156.47999999999999</v>
      </c>
      <c r="D90" s="60">
        <v>123.21</v>
      </c>
      <c r="E90" s="60">
        <v>6.74</v>
      </c>
      <c r="F90" s="60">
        <v>1.1000000000000001</v>
      </c>
      <c r="G90" s="60">
        <v>216.55</v>
      </c>
      <c r="H90" s="60">
        <v>48.88</v>
      </c>
      <c r="I90" s="60">
        <v>0.97</v>
      </c>
      <c r="J90" s="60">
        <v>0.22</v>
      </c>
      <c r="K90" s="60">
        <v>186.7</v>
      </c>
      <c r="L90" s="60">
        <v>21.35</v>
      </c>
      <c r="M90" s="60">
        <v>24.38</v>
      </c>
      <c r="N90" s="60">
        <v>5.8</v>
      </c>
      <c r="O90" s="60">
        <v>0</v>
      </c>
      <c r="P90" s="60">
        <v>2.5</v>
      </c>
      <c r="Q90" s="60">
        <v>313.87</v>
      </c>
      <c r="R90" s="198"/>
      <c r="S90" s="198"/>
      <c r="T90" s="198"/>
      <c r="U90" s="198"/>
    </row>
    <row r="91" spans="1:26" s="12" customFormat="1" x14ac:dyDescent="0.25">
      <c r="A91" s="201" t="s">
        <v>2442</v>
      </c>
      <c r="B91" s="60">
        <v>44.48</v>
      </c>
      <c r="C91" s="60">
        <v>160.49</v>
      </c>
      <c r="D91" s="60">
        <v>124.24</v>
      </c>
      <c r="E91" s="60">
        <v>6.65</v>
      </c>
      <c r="F91" s="60">
        <v>1.1200000000000001</v>
      </c>
      <c r="G91" s="60">
        <v>216.55</v>
      </c>
      <c r="H91" s="60">
        <v>48.88</v>
      </c>
      <c r="I91" s="60">
        <v>0.99</v>
      </c>
      <c r="J91" s="60">
        <v>0.22</v>
      </c>
      <c r="K91" s="60">
        <v>180.76</v>
      </c>
      <c r="L91" s="60">
        <v>21.46</v>
      </c>
      <c r="M91" s="60">
        <v>17.329999999999998</v>
      </c>
      <c r="N91" s="60">
        <v>5.8</v>
      </c>
      <c r="O91" s="60">
        <v>0</v>
      </c>
      <c r="P91" s="60">
        <v>2.56</v>
      </c>
      <c r="Q91" s="60">
        <v>314.52999999999997</v>
      </c>
      <c r="R91" s="198"/>
      <c r="S91" s="198"/>
      <c r="T91" s="198"/>
      <c r="U91" s="198"/>
    </row>
    <row r="92" spans="1:26" s="12" customFormat="1" x14ac:dyDescent="0.25">
      <c r="A92" s="201" t="s">
        <v>2443</v>
      </c>
      <c r="B92" s="60">
        <v>44.38</v>
      </c>
      <c r="C92" s="60">
        <v>155.47</v>
      </c>
      <c r="D92" s="60">
        <v>121.39</v>
      </c>
      <c r="E92" s="60">
        <v>6.26</v>
      </c>
      <c r="F92" s="60">
        <v>0.94</v>
      </c>
      <c r="G92" s="60">
        <v>216.55</v>
      </c>
      <c r="H92" s="60">
        <v>48.88</v>
      </c>
      <c r="I92" s="60">
        <v>1.02</v>
      </c>
      <c r="J92" s="60">
        <v>0.14000000000000001</v>
      </c>
      <c r="K92" s="60">
        <v>184.96</v>
      </c>
      <c r="L92" s="60">
        <v>21.17</v>
      </c>
      <c r="M92" s="60">
        <v>45.27</v>
      </c>
      <c r="N92" s="60">
        <v>6.1</v>
      </c>
      <c r="O92" s="60">
        <v>0</v>
      </c>
      <c r="P92" s="60">
        <v>2.56</v>
      </c>
      <c r="Q92" s="60">
        <v>315.60000000000002</v>
      </c>
      <c r="R92" s="198"/>
      <c r="S92" s="198"/>
      <c r="T92" s="198"/>
      <c r="U92" s="198"/>
    </row>
    <row r="93" spans="1:26" s="12" customFormat="1" x14ac:dyDescent="0.25">
      <c r="A93" s="201" t="s">
        <v>2444</v>
      </c>
      <c r="B93" s="60">
        <v>43.64</v>
      </c>
      <c r="C93" s="60">
        <v>152.1</v>
      </c>
      <c r="D93" s="60">
        <v>118.93</v>
      </c>
      <c r="E93" s="60">
        <v>6.22</v>
      </c>
      <c r="F93" s="60">
        <v>0.9</v>
      </c>
      <c r="G93" s="60">
        <v>159.58000000000001</v>
      </c>
      <c r="H93" s="60">
        <v>47.04</v>
      </c>
      <c r="I93" s="60">
        <v>1.03</v>
      </c>
      <c r="J93" s="60">
        <v>0.18</v>
      </c>
      <c r="K93" s="60">
        <v>185.95</v>
      </c>
      <c r="L93" s="60">
        <v>20.84</v>
      </c>
      <c r="M93" s="60">
        <v>27.56</v>
      </c>
      <c r="N93" s="60">
        <v>5.9</v>
      </c>
      <c r="O93" s="60">
        <v>0</v>
      </c>
      <c r="P93" s="60">
        <v>2.56</v>
      </c>
      <c r="Q93" s="60">
        <v>315.27</v>
      </c>
      <c r="R93" s="198"/>
      <c r="S93" s="198"/>
      <c r="T93" s="198"/>
      <c r="U93" s="198"/>
    </row>
    <row r="94" spans="1:26" s="12" customFormat="1" x14ac:dyDescent="0.25">
      <c r="A94" s="201" t="s">
        <v>2445</v>
      </c>
      <c r="B94" s="60">
        <v>43.87</v>
      </c>
      <c r="C94" s="60">
        <v>150.33000000000001</v>
      </c>
      <c r="D94" s="60">
        <v>118.14</v>
      </c>
      <c r="E94" s="60">
        <v>6.4</v>
      </c>
      <c r="F94" s="60">
        <v>0.94</v>
      </c>
      <c r="G94" s="60">
        <v>159.58000000000001</v>
      </c>
      <c r="H94" s="60">
        <v>46.73</v>
      </c>
      <c r="I94" s="60">
        <v>1.05</v>
      </c>
      <c r="J94" s="60">
        <v>0.14000000000000001</v>
      </c>
      <c r="K94" s="60">
        <v>189.07</v>
      </c>
      <c r="L94" s="60">
        <v>20.66</v>
      </c>
      <c r="M94" s="60">
        <v>32.26</v>
      </c>
      <c r="N94" s="60">
        <v>6</v>
      </c>
      <c r="O94" s="60">
        <v>0</v>
      </c>
      <c r="P94" s="60">
        <v>2.57</v>
      </c>
      <c r="Q94" s="60">
        <v>315.10000000000002</v>
      </c>
      <c r="R94" s="198"/>
      <c r="S94" s="198"/>
      <c r="T94" s="198"/>
      <c r="U94" s="198"/>
    </row>
    <row r="95" spans="1:26" s="12" customFormat="1" x14ac:dyDescent="0.25">
      <c r="A95" s="201" t="s">
        <v>2446</v>
      </c>
      <c r="B95" s="60">
        <v>46</v>
      </c>
      <c r="C95" s="60">
        <v>149.52000000000001</v>
      </c>
      <c r="D95" s="60">
        <v>119.41</v>
      </c>
      <c r="E95" s="60">
        <v>6.33</v>
      </c>
      <c r="F95" s="60">
        <v>0.82</v>
      </c>
      <c r="G95" s="60">
        <v>159.58000000000001</v>
      </c>
      <c r="H95" s="60">
        <v>46.73</v>
      </c>
      <c r="I95" s="60">
        <v>1.08</v>
      </c>
      <c r="J95" s="60">
        <v>0.18</v>
      </c>
      <c r="K95" s="60">
        <v>201.42</v>
      </c>
      <c r="L95" s="60">
        <v>20.11</v>
      </c>
      <c r="M95" s="60">
        <v>70.28</v>
      </c>
      <c r="N95" s="60">
        <v>5.9</v>
      </c>
      <c r="O95" s="60">
        <v>0</v>
      </c>
      <c r="P95" s="60">
        <v>2.57</v>
      </c>
      <c r="Q95" s="60">
        <v>316.13</v>
      </c>
      <c r="R95" s="198"/>
      <c r="S95" s="198"/>
      <c r="T95" s="198"/>
      <c r="U95" s="198"/>
    </row>
    <row r="96" spans="1:26" s="12" customFormat="1" x14ac:dyDescent="0.25">
      <c r="A96" s="201" t="s">
        <v>2447</v>
      </c>
      <c r="B96" s="60">
        <v>51.78</v>
      </c>
      <c r="C96" s="60">
        <v>156.07</v>
      </c>
      <c r="D96" s="60">
        <v>127.65</v>
      </c>
      <c r="E96" s="60">
        <v>6.53</v>
      </c>
      <c r="F96" s="60">
        <v>0.79</v>
      </c>
      <c r="G96" s="60">
        <v>159.58000000000001</v>
      </c>
      <c r="H96" s="60">
        <v>46.73</v>
      </c>
      <c r="I96" s="60">
        <v>1.08</v>
      </c>
      <c r="J96" s="60">
        <v>0.21</v>
      </c>
      <c r="K96" s="60">
        <v>212.77</v>
      </c>
      <c r="L96" s="60">
        <v>19.899999999999999</v>
      </c>
      <c r="M96" s="60">
        <v>67.59</v>
      </c>
      <c r="N96" s="60">
        <v>5.8</v>
      </c>
      <c r="O96" s="60">
        <v>0</v>
      </c>
      <c r="P96" s="60">
        <v>2.61</v>
      </c>
      <c r="Q96" s="60">
        <v>319.7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2448</v>
      </c>
      <c r="B97" s="60">
        <v>57.02</v>
      </c>
      <c r="C97" s="60">
        <v>158.72999999999999</v>
      </c>
      <c r="D97" s="60">
        <v>133.32</v>
      </c>
      <c r="E97" s="60">
        <v>6.81</v>
      </c>
      <c r="F97" s="60">
        <v>0.97</v>
      </c>
      <c r="G97" s="60">
        <v>174.16</v>
      </c>
      <c r="H97" s="60">
        <v>46.27</v>
      </c>
      <c r="I97" s="60">
        <v>1.1000000000000001</v>
      </c>
      <c r="J97" s="60">
        <v>0.19</v>
      </c>
      <c r="K97" s="60">
        <v>218.07</v>
      </c>
      <c r="L97" s="60">
        <v>19.5</v>
      </c>
      <c r="M97" s="60">
        <v>72.680000000000007</v>
      </c>
      <c r="N97" s="60">
        <v>5.9</v>
      </c>
      <c r="O97" s="60">
        <v>0</v>
      </c>
      <c r="P97" s="60">
        <v>2.7</v>
      </c>
      <c r="Q97" s="60">
        <v>325.2</v>
      </c>
      <c r="R97" s="198"/>
      <c r="S97" s="198"/>
      <c r="T97" s="198"/>
      <c r="U97" s="198"/>
    </row>
    <row r="98" spans="1:33" s="12" customFormat="1" x14ac:dyDescent="0.25">
      <c r="A98" s="201" t="s">
        <v>2449</v>
      </c>
      <c r="B98" s="60">
        <v>61.4</v>
      </c>
      <c r="C98" s="60">
        <v>161.74</v>
      </c>
      <c r="D98" s="60">
        <v>138.5</v>
      </c>
      <c r="E98" s="60">
        <v>6.39</v>
      </c>
      <c r="F98" s="60">
        <v>0.87</v>
      </c>
      <c r="G98" s="60">
        <v>174.16</v>
      </c>
      <c r="H98" s="60">
        <v>46.19</v>
      </c>
      <c r="I98" s="60">
        <v>1.1200000000000001</v>
      </c>
      <c r="J98" s="60">
        <v>0.32</v>
      </c>
      <c r="K98" s="60">
        <v>229.04</v>
      </c>
      <c r="L98" s="60">
        <v>19.190000000000001</v>
      </c>
      <c r="M98" s="60">
        <v>76.75</v>
      </c>
      <c r="N98" s="60">
        <v>6</v>
      </c>
      <c r="O98" s="60">
        <v>0</v>
      </c>
      <c r="P98" s="60">
        <v>2.75</v>
      </c>
      <c r="Q98" s="60">
        <v>334.9</v>
      </c>
      <c r="R98" s="198"/>
      <c r="S98" s="198"/>
      <c r="T98" s="198"/>
      <c r="U98" s="198"/>
    </row>
    <row r="99" spans="1:33" s="12" customFormat="1" x14ac:dyDescent="0.25">
      <c r="A99" s="201" t="s">
        <v>2450</v>
      </c>
      <c r="B99" s="60">
        <v>66.28</v>
      </c>
      <c r="C99" s="60">
        <v>165.04</v>
      </c>
      <c r="D99" s="60">
        <v>144.22999999999999</v>
      </c>
      <c r="E99" s="60">
        <v>6.22</v>
      </c>
      <c r="F99" s="60">
        <v>0.83</v>
      </c>
      <c r="G99" s="60">
        <v>174.16</v>
      </c>
      <c r="H99" s="60">
        <v>46.19</v>
      </c>
      <c r="I99" s="60">
        <v>1.17</v>
      </c>
      <c r="J99" s="60">
        <v>0.66</v>
      </c>
      <c r="K99" s="60">
        <v>219.13</v>
      </c>
      <c r="L99" s="60">
        <v>19.350000000000001</v>
      </c>
      <c r="M99" s="60">
        <v>75.55</v>
      </c>
      <c r="N99" s="60">
        <v>4.3</v>
      </c>
      <c r="O99" s="60">
        <v>0</v>
      </c>
      <c r="P99" s="60">
        <v>2.79</v>
      </c>
      <c r="Q99" s="60">
        <v>339.15</v>
      </c>
      <c r="R99" s="198"/>
      <c r="S99" s="198"/>
      <c r="T99" s="198"/>
      <c r="U99" s="198"/>
    </row>
    <row r="100" spans="1:33" s="12" customFormat="1" x14ac:dyDescent="0.25">
      <c r="A100" s="201" t="s">
        <v>2451</v>
      </c>
      <c r="B100" s="60">
        <v>65.790000000000006</v>
      </c>
      <c r="C100" s="60">
        <v>164.19</v>
      </c>
      <c r="D100" s="60">
        <v>143.37</v>
      </c>
      <c r="E100" s="60">
        <v>6.34</v>
      </c>
      <c r="F100" s="60">
        <v>0.28999999999999998</v>
      </c>
      <c r="G100" s="60">
        <v>174.16</v>
      </c>
      <c r="H100" s="60">
        <v>46.19</v>
      </c>
      <c r="I100" s="60">
        <v>1.19</v>
      </c>
      <c r="J100" s="60">
        <v>0.49</v>
      </c>
      <c r="K100" s="60">
        <v>195.79</v>
      </c>
      <c r="L100" s="60">
        <v>20.07</v>
      </c>
      <c r="M100" s="60">
        <v>70.290000000000006</v>
      </c>
      <c r="N100" s="60">
        <v>5.2</v>
      </c>
      <c r="O100" s="60">
        <v>0</v>
      </c>
      <c r="P100" s="60">
        <v>2.75</v>
      </c>
      <c r="Q100" s="60">
        <v>335.72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2452</v>
      </c>
      <c r="B101" s="60">
        <v>63.97</v>
      </c>
      <c r="C101" s="60">
        <v>161.69</v>
      </c>
      <c r="D101" s="60">
        <v>140.53</v>
      </c>
      <c r="E101" s="60">
        <v>6.34</v>
      </c>
      <c r="F101" s="60">
        <v>0.91</v>
      </c>
      <c r="G101" s="60">
        <v>163.19</v>
      </c>
      <c r="H101" s="60">
        <v>47.71</v>
      </c>
      <c r="I101" s="60">
        <v>1.18</v>
      </c>
      <c r="J101" s="60">
        <v>0.25</v>
      </c>
      <c r="K101" s="60">
        <v>199.39</v>
      </c>
      <c r="L101" s="60">
        <v>19.829999999999998</v>
      </c>
      <c r="M101" s="60">
        <v>18.34</v>
      </c>
      <c r="N101" s="60">
        <v>5.8</v>
      </c>
      <c r="O101" s="60">
        <v>0</v>
      </c>
      <c r="P101" s="60">
        <v>2.7</v>
      </c>
      <c r="Q101" s="60">
        <v>328.68</v>
      </c>
      <c r="R101" s="198"/>
      <c r="S101" s="198"/>
      <c r="T101" s="198"/>
      <c r="U101" s="198"/>
    </row>
    <row r="102" spans="1:33" s="12" customFormat="1" x14ac:dyDescent="0.25">
      <c r="A102" s="201" t="s">
        <v>2453</v>
      </c>
      <c r="B102" s="60">
        <v>62.32</v>
      </c>
      <c r="C102" s="60">
        <v>159.15</v>
      </c>
      <c r="D102" s="60">
        <v>137.81</v>
      </c>
      <c r="E102" s="60">
        <v>6.38</v>
      </c>
      <c r="F102" s="60">
        <v>1.04</v>
      </c>
      <c r="G102" s="60">
        <v>163.19</v>
      </c>
      <c r="H102" s="60">
        <v>47.99</v>
      </c>
      <c r="I102" s="60">
        <v>1.1599999999999999</v>
      </c>
      <c r="J102" s="60">
        <v>0.28999999999999998</v>
      </c>
      <c r="K102" s="60">
        <v>204.48</v>
      </c>
      <c r="L102" s="60">
        <v>19.78</v>
      </c>
      <c r="M102" s="60">
        <v>53.86</v>
      </c>
      <c r="N102" s="60">
        <v>5.9</v>
      </c>
      <c r="O102" s="60">
        <v>0</v>
      </c>
      <c r="P102" s="60">
        <v>2.66</v>
      </c>
      <c r="Q102" s="60">
        <v>325.87</v>
      </c>
      <c r="R102" s="198"/>
      <c r="S102" s="198"/>
      <c r="T102" s="198"/>
      <c r="U102" s="198"/>
    </row>
    <row r="103" spans="1:33" s="12" customFormat="1" x14ac:dyDescent="0.25">
      <c r="A103" s="201" t="s">
        <v>2454</v>
      </c>
      <c r="B103" s="60">
        <v>61.19</v>
      </c>
      <c r="C103" s="60">
        <v>157.33000000000001</v>
      </c>
      <c r="D103" s="60">
        <v>135.88999999999999</v>
      </c>
      <c r="E103" s="60">
        <v>6</v>
      </c>
      <c r="F103" s="60">
        <v>0.79</v>
      </c>
      <c r="G103" s="60">
        <v>163.19</v>
      </c>
      <c r="H103" s="60">
        <v>47.99</v>
      </c>
      <c r="I103" s="60">
        <v>1.1299999999999999</v>
      </c>
      <c r="J103" s="60">
        <v>0.21</v>
      </c>
      <c r="K103" s="60">
        <v>207.35</v>
      </c>
      <c r="L103" s="60">
        <v>19.559999999999999</v>
      </c>
      <c r="M103" s="60">
        <v>47.79</v>
      </c>
      <c r="N103" s="60">
        <v>6</v>
      </c>
      <c r="O103" s="60">
        <v>0</v>
      </c>
      <c r="P103" s="60">
        <v>2.63</v>
      </c>
      <c r="Q103" s="60">
        <v>325.17</v>
      </c>
      <c r="R103" s="198"/>
      <c r="S103" s="198"/>
      <c r="T103" s="198"/>
      <c r="U103" s="198"/>
    </row>
    <row r="104" spans="1:33" s="12" customFormat="1" x14ac:dyDescent="0.25">
      <c r="A104" s="201" t="s">
        <v>2455</v>
      </c>
      <c r="B104" s="60">
        <v>59.39</v>
      </c>
      <c r="C104" s="60">
        <v>154.15</v>
      </c>
      <c r="D104" s="60">
        <v>132.69999999999999</v>
      </c>
      <c r="E104" s="60">
        <v>3.12</v>
      </c>
      <c r="F104" s="60">
        <v>0.66</v>
      </c>
      <c r="G104" s="60">
        <v>163.19</v>
      </c>
      <c r="H104" s="60">
        <v>47.99</v>
      </c>
      <c r="I104" s="60">
        <v>1.1100000000000001</v>
      </c>
      <c r="J104" s="60">
        <v>0.15</v>
      </c>
      <c r="K104" s="60">
        <v>211.9</v>
      </c>
      <c r="L104" s="60">
        <v>19.04</v>
      </c>
      <c r="M104" s="60">
        <v>20.74</v>
      </c>
      <c r="N104" s="60">
        <v>6.1</v>
      </c>
      <c r="O104" s="60">
        <v>0</v>
      </c>
      <c r="P104" s="60">
        <v>2.6</v>
      </c>
      <c r="Q104" s="60">
        <v>320.99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3.97</v>
      </c>
      <c r="C106" s="67">
        <f>MIN(C9:C104)</f>
        <v>91.26</v>
      </c>
      <c r="D106" s="67">
        <f t="shared" ref="D106:Q106" si="0">MIN(D9:D104)</f>
        <v>53.55</v>
      </c>
      <c r="E106" s="67">
        <f t="shared" si="0"/>
        <v>1.92</v>
      </c>
      <c r="F106" s="67">
        <f t="shared" si="0"/>
        <v>0.28999999999999998</v>
      </c>
      <c r="G106" s="67">
        <f t="shared" si="0"/>
        <v>61.72</v>
      </c>
      <c r="H106" s="67">
        <f t="shared" si="0"/>
        <v>34.79</v>
      </c>
      <c r="I106" s="67">
        <f t="shared" si="0"/>
        <v>0.41</v>
      </c>
      <c r="J106" s="67">
        <f t="shared" si="0"/>
        <v>0.12</v>
      </c>
      <c r="K106" s="67">
        <f t="shared" si="0"/>
        <v>107.46</v>
      </c>
      <c r="L106" s="67">
        <f t="shared" si="0"/>
        <v>15.55</v>
      </c>
      <c r="M106" s="67">
        <f t="shared" si="0"/>
        <v>15.09</v>
      </c>
      <c r="N106" s="67">
        <f t="shared" si="0"/>
        <v>4.3</v>
      </c>
      <c r="O106" s="67">
        <f t="shared" si="0"/>
        <v>0</v>
      </c>
      <c r="P106" s="67">
        <f t="shared" si="0"/>
        <v>1.07</v>
      </c>
      <c r="Q106" s="67">
        <f t="shared" si="0"/>
        <v>207.95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83.17</v>
      </c>
      <c r="C107" s="66">
        <f t="shared" ref="C107:Q107" si="1">MAX(C9:C104)</f>
        <v>177.98</v>
      </c>
      <c r="D107" s="66">
        <f t="shared" si="1"/>
        <v>164.92</v>
      </c>
      <c r="E107" s="66">
        <f t="shared" si="1"/>
        <v>16.96</v>
      </c>
      <c r="F107" s="66">
        <f t="shared" si="1"/>
        <v>10.56</v>
      </c>
      <c r="G107" s="66">
        <f t="shared" si="1"/>
        <v>221.72</v>
      </c>
      <c r="H107" s="66">
        <f t="shared" si="1"/>
        <v>61.74</v>
      </c>
      <c r="I107" s="66">
        <f t="shared" si="1"/>
        <v>1.4</v>
      </c>
      <c r="J107" s="66">
        <f t="shared" si="1"/>
        <v>1.49</v>
      </c>
      <c r="K107" s="66">
        <f t="shared" si="1"/>
        <v>284.36</v>
      </c>
      <c r="L107" s="66">
        <f t="shared" si="1"/>
        <v>31.68</v>
      </c>
      <c r="M107" s="66">
        <f t="shared" si="1"/>
        <v>87.46</v>
      </c>
      <c r="N107" s="66">
        <f t="shared" si="1"/>
        <v>528.29999999999995</v>
      </c>
      <c r="O107" s="66">
        <f t="shared" si="1"/>
        <v>0</v>
      </c>
      <c r="P107" s="66">
        <f t="shared" si="1"/>
        <v>3.08</v>
      </c>
      <c r="Q107" s="66">
        <f t="shared" si="1"/>
        <v>339.15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32.146562499999995</v>
      </c>
      <c r="C108" s="67">
        <f t="shared" ref="C108:Q108" si="2">AVERAGE(C9:C104)</f>
        <v>127.34354166666668</v>
      </c>
      <c r="D108" s="67">
        <f t="shared" si="2"/>
        <v>96.057187499999998</v>
      </c>
      <c r="E108" s="67">
        <f t="shared" si="2"/>
        <v>5.9195833333333328</v>
      </c>
      <c r="F108" s="67">
        <f t="shared" si="2"/>
        <v>1.9091666666666667</v>
      </c>
      <c r="G108" s="67">
        <f t="shared" si="2"/>
        <v>137.13093749999996</v>
      </c>
      <c r="H108" s="67">
        <f t="shared" si="2"/>
        <v>47.071979166666658</v>
      </c>
      <c r="I108" s="67">
        <f t="shared" si="2"/>
        <v>0.72395833333333348</v>
      </c>
      <c r="J108" s="67">
        <f t="shared" si="2"/>
        <v>0.55687500000000012</v>
      </c>
      <c r="K108" s="67">
        <f t="shared" si="2"/>
        <v>180.54104166666662</v>
      </c>
      <c r="L108" s="67">
        <f t="shared" si="2"/>
        <v>23.027604166666674</v>
      </c>
      <c r="M108" s="67">
        <f t="shared" si="2"/>
        <v>57.529895833333342</v>
      </c>
      <c r="N108" s="67">
        <f t="shared" si="2"/>
        <v>141.3989583333333</v>
      </c>
      <c r="O108" s="67">
        <f t="shared" si="2"/>
        <v>0</v>
      </c>
      <c r="P108" s="67">
        <f t="shared" si="2"/>
        <v>1.8451041666666665</v>
      </c>
      <c r="Q108" s="67">
        <f t="shared" si="2"/>
        <v>261.98552083333328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20.379411118403183</v>
      </c>
      <c r="C109" s="67">
        <f t="shared" ref="C109:Q109" si="3">STDEV(C9:C104)</f>
        <v>23.045707853794589</v>
      </c>
      <c r="D109" s="67">
        <f t="shared" si="3"/>
        <v>27.986360576580271</v>
      </c>
      <c r="E109" s="67">
        <f t="shared" si="3"/>
        <v>1.7258955976637438</v>
      </c>
      <c r="F109" s="67">
        <f t="shared" si="3"/>
        <v>1.7418379081434683</v>
      </c>
      <c r="G109" s="67">
        <f t="shared" si="3"/>
        <v>47.895028597705426</v>
      </c>
      <c r="H109" s="67">
        <f t="shared" si="3"/>
        <v>7.8913400396013431</v>
      </c>
      <c r="I109" s="67">
        <f t="shared" si="3"/>
        <v>0.27832007006953047</v>
      </c>
      <c r="J109" s="67">
        <f t="shared" si="3"/>
        <v>0.36960380637137719</v>
      </c>
      <c r="K109" s="67">
        <f t="shared" si="3"/>
        <v>51.120148473533817</v>
      </c>
      <c r="L109" s="67">
        <f t="shared" si="3"/>
        <v>5.0440528284707096</v>
      </c>
      <c r="M109" s="67">
        <f t="shared" si="3"/>
        <v>21.733234917725301</v>
      </c>
      <c r="N109" s="67">
        <f t="shared" si="3"/>
        <v>195.34926211642016</v>
      </c>
      <c r="O109" s="67">
        <f t="shared" si="3"/>
        <v>0</v>
      </c>
      <c r="P109" s="67">
        <f t="shared" si="3"/>
        <v>0.58492463714597764</v>
      </c>
      <c r="Q109" s="67">
        <f t="shared" si="3"/>
        <v>40.556709533035189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2071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2456</v>
      </c>
      <c r="B9" s="60">
        <v>56.76</v>
      </c>
      <c r="C9" s="60">
        <v>151.54</v>
      </c>
      <c r="D9" s="60">
        <v>129.15</v>
      </c>
      <c r="E9" s="60">
        <v>5.63</v>
      </c>
      <c r="F9" s="60">
        <v>0.71</v>
      </c>
      <c r="G9" s="60">
        <v>153.55000000000001</v>
      </c>
      <c r="H9" s="60">
        <v>47.9</v>
      </c>
      <c r="I9" s="60">
        <v>1.08</v>
      </c>
      <c r="J9" s="60">
        <v>0.14000000000000001</v>
      </c>
      <c r="K9" s="60">
        <v>220.57</v>
      </c>
      <c r="L9" s="60">
        <v>18.600000000000001</v>
      </c>
      <c r="M9" s="60">
        <v>74.61</v>
      </c>
      <c r="N9" s="60">
        <v>6.1</v>
      </c>
      <c r="O9" s="60">
        <v>0</v>
      </c>
      <c r="P9" s="60">
        <v>2.56</v>
      </c>
      <c r="Q9" s="60">
        <v>316.56</v>
      </c>
      <c r="R9" s="198"/>
      <c r="S9" s="198"/>
      <c r="T9" s="198"/>
      <c r="U9" s="198"/>
    </row>
    <row r="10" spans="1:21" s="12" customFormat="1" x14ac:dyDescent="0.25">
      <c r="A10" s="201" t="s">
        <v>2457</v>
      </c>
      <c r="B10" s="60">
        <v>55.09</v>
      </c>
      <c r="C10" s="60">
        <v>149.88999999999999</v>
      </c>
      <c r="D10" s="60">
        <v>126.9</v>
      </c>
      <c r="E10" s="60">
        <v>5.81</v>
      </c>
      <c r="F10" s="60">
        <v>0.71</v>
      </c>
      <c r="G10" s="60">
        <v>153.55000000000001</v>
      </c>
      <c r="H10" s="60">
        <v>47.88</v>
      </c>
      <c r="I10" s="60">
        <v>1.06</v>
      </c>
      <c r="J10" s="60">
        <v>0.12</v>
      </c>
      <c r="K10" s="60">
        <v>225.27</v>
      </c>
      <c r="L10" s="60">
        <v>18.23</v>
      </c>
      <c r="M10" s="60">
        <v>78.040000000000006</v>
      </c>
      <c r="N10" s="60">
        <v>6.1</v>
      </c>
      <c r="O10" s="60">
        <v>0</v>
      </c>
      <c r="P10" s="60">
        <v>2.5099999999999998</v>
      </c>
      <c r="Q10" s="60">
        <v>314.07</v>
      </c>
      <c r="R10" s="198"/>
      <c r="S10" s="198"/>
      <c r="T10" s="198"/>
      <c r="U10" s="198"/>
    </row>
    <row r="11" spans="1:21" s="12" customFormat="1" x14ac:dyDescent="0.25">
      <c r="A11" s="201" t="s">
        <v>2458</v>
      </c>
      <c r="B11" s="60">
        <v>53.69</v>
      </c>
      <c r="C11" s="60">
        <v>148.16999999999999</v>
      </c>
      <c r="D11" s="60">
        <v>124.83</v>
      </c>
      <c r="E11" s="60">
        <v>5.51</v>
      </c>
      <c r="F11" s="60">
        <v>0.72</v>
      </c>
      <c r="G11" s="60">
        <v>153.55000000000001</v>
      </c>
      <c r="H11" s="60">
        <v>47.88</v>
      </c>
      <c r="I11" s="60">
        <v>1.03</v>
      </c>
      <c r="J11" s="60">
        <v>0.1</v>
      </c>
      <c r="K11" s="60">
        <v>227.5</v>
      </c>
      <c r="L11" s="60">
        <v>18.010000000000002</v>
      </c>
      <c r="M11" s="60">
        <v>61.19</v>
      </c>
      <c r="N11" s="60">
        <v>6.1</v>
      </c>
      <c r="O11" s="60">
        <v>0</v>
      </c>
      <c r="P11" s="60">
        <v>2.46</v>
      </c>
      <c r="Q11" s="60">
        <v>310.72000000000003</v>
      </c>
      <c r="R11" s="198"/>
      <c r="S11" s="198"/>
      <c r="T11" s="198"/>
      <c r="U11" s="198"/>
    </row>
    <row r="12" spans="1:21" s="12" customFormat="1" x14ac:dyDescent="0.25">
      <c r="A12" s="201" t="s">
        <v>2459</v>
      </c>
      <c r="B12" s="60">
        <v>51.29</v>
      </c>
      <c r="C12" s="60">
        <v>145.19</v>
      </c>
      <c r="D12" s="60">
        <v>121.25</v>
      </c>
      <c r="E12" s="60">
        <v>5.42</v>
      </c>
      <c r="F12" s="60">
        <v>0.78</v>
      </c>
      <c r="G12" s="60">
        <v>153.55000000000001</v>
      </c>
      <c r="H12" s="60">
        <v>47.88</v>
      </c>
      <c r="I12" s="60">
        <v>1.02</v>
      </c>
      <c r="J12" s="60">
        <v>0.28000000000000003</v>
      </c>
      <c r="K12" s="60">
        <v>228.51</v>
      </c>
      <c r="L12" s="60">
        <v>17.95</v>
      </c>
      <c r="M12" s="60">
        <v>56.86</v>
      </c>
      <c r="N12" s="60">
        <v>5.0999999999999996</v>
      </c>
      <c r="O12" s="60">
        <v>0</v>
      </c>
      <c r="P12" s="60">
        <v>2.41</v>
      </c>
      <c r="Q12" s="60">
        <v>306.55</v>
      </c>
      <c r="R12" s="198"/>
      <c r="S12" s="198"/>
      <c r="T12" s="198"/>
      <c r="U12" s="198"/>
    </row>
    <row r="13" spans="1:21" s="12" customFormat="1" x14ac:dyDescent="0.25">
      <c r="A13" s="201" t="s">
        <v>2460</v>
      </c>
      <c r="B13" s="60">
        <v>48.69</v>
      </c>
      <c r="C13" s="60">
        <v>141.97</v>
      </c>
      <c r="D13" s="60">
        <v>117.4</v>
      </c>
      <c r="E13" s="60">
        <v>5.74</v>
      </c>
      <c r="F13" s="60">
        <v>0.87</v>
      </c>
      <c r="G13" s="60">
        <v>155.99</v>
      </c>
      <c r="H13" s="60">
        <v>48.54</v>
      </c>
      <c r="I13" s="60">
        <v>0.99</v>
      </c>
      <c r="J13" s="60">
        <v>0.19</v>
      </c>
      <c r="K13" s="60">
        <v>221.66</v>
      </c>
      <c r="L13" s="60">
        <v>18.239999999999998</v>
      </c>
      <c r="M13" s="60">
        <v>29.4</v>
      </c>
      <c r="N13" s="60">
        <v>5.5</v>
      </c>
      <c r="O13" s="60">
        <v>0</v>
      </c>
      <c r="P13" s="60">
        <v>2.27</v>
      </c>
      <c r="Q13" s="60">
        <v>302.64</v>
      </c>
      <c r="R13" s="198"/>
      <c r="S13" s="198"/>
      <c r="T13" s="198"/>
      <c r="U13" s="198"/>
    </row>
    <row r="14" spans="1:21" s="12" customFormat="1" x14ac:dyDescent="0.25">
      <c r="A14" s="201" t="s">
        <v>2461</v>
      </c>
      <c r="B14" s="60">
        <v>45.81</v>
      </c>
      <c r="C14" s="60">
        <v>137.83000000000001</v>
      </c>
      <c r="D14" s="60">
        <v>112.8</v>
      </c>
      <c r="E14" s="60">
        <v>5.67</v>
      </c>
      <c r="F14" s="60">
        <v>0.89</v>
      </c>
      <c r="G14" s="60">
        <v>155.99</v>
      </c>
      <c r="H14" s="60">
        <v>48.65</v>
      </c>
      <c r="I14" s="60">
        <v>0.97</v>
      </c>
      <c r="J14" s="60">
        <v>0.2</v>
      </c>
      <c r="K14" s="60">
        <v>218.81</v>
      </c>
      <c r="L14" s="60">
        <v>18.5</v>
      </c>
      <c r="M14" s="60">
        <v>42.14</v>
      </c>
      <c r="N14" s="60">
        <v>5.5</v>
      </c>
      <c r="O14" s="60">
        <v>0</v>
      </c>
      <c r="P14" s="60">
        <v>2.27</v>
      </c>
      <c r="Q14" s="60">
        <v>298.27999999999997</v>
      </c>
      <c r="R14" s="198"/>
      <c r="S14" s="198"/>
      <c r="T14" s="198"/>
      <c r="U14" s="198"/>
    </row>
    <row r="15" spans="1:21" s="12" customFormat="1" x14ac:dyDescent="0.25">
      <c r="A15" s="201" t="s">
        <v>2462</v>
      </c>
      <c r="B15" s="60">
        <v>43.07</v>
      </c>
      <c r="C15" s="60">
        <v>133.80000000000001</v>
      </c>
      <c r="D15" s="60">
        <v>108.38</v>
      </c>
      <c r="E15" s="60">
        <v>5.7</v>
      </c>
      <c r="F15" s="60">
        <v>0.81</v>
      </c>
      <c r="G15" s="60">
        <v>155.99</v>
      </c>
      <c r="H15" s="60">
        <v>48.65</v>
      </c>
      <c r="I15" s="60">
        <v>0.97</v>
      </c>
      <c r="J15" s="60">
        <v>0.22</v>
      </c>
      <c r="K15" s="60">
        <v>227.08</v>
      </c>
      <c r="L15" s="60">
        <v>18.079999999999998</v>
      </c>
      <c r="M15" s="60">
        <v>34.58</v>
      </c>
      <c r="N15" s="60">
        <v>5.8</v>
      </c>
      <c r="O15" s="60">
        <v>0</v>
      </c>
      <c r="P15" s="60">
        <v>2.21</v>
      </c>
      <c r="Q15" s="60">
        <v>294.16000000000003</v>
      </c>
      <c r="R15" s="198"/>
      <c r="S15" s="198"/>
      <c r="T15" s="198"/>
      <c r="U15" s="198"/>
    </row>
    <row r="16" spans="1:21" s="12" customFormat="1" x14ac:dyDescent="0.25">
      <c r="A16" s="201" t="s">
        <v>2463</v>
      </c>
      <c r="B16" s="60">
        <v>40.54</v>
      </c>
      <c r="C16" s="60">
        <v>130.11000000000001</v>
      </c>
      <c r="D16" s="60">
        <v>104.32</v>
      </c>
      <c r="E16" s="60">
        <v>5.21</v>
      </c>
      <c r="F16" s="60">
        <v>0.7</v>
      </c>
      <c r="G16" s="60">
        <v>155.99</v>
      </c>
      <c r="H16" s="60">
        <v>48.65</v>
      </c>
      <c r="I16" s="60">
        <v>0.94</v>
      </c>
      <c r="J16" s="60">
        <v>0.3</v>
      </c>
      <c r="K16" s="60">
        <v>223.46</v>
      </c>
      <c r="L16" s="60">
        <v>18.32</v>
      </c>
      <c r="M16" s="60">
        <v>36.07</v>
      </c>
      <c r="N16" s="60">
        <v>5.3</v>
      </c>
      <c r="O16" s="60">
        <v>0</v>
      </c>
      <c r="P16" s="60">
        <v>2.16</v>
      </c>
      <c r="Q16" s="60">
        <v>292.18</v>
      </c>
      <c r="R16" s="198"/>
      <c r="S16" s="198"/>
      <c r="T16" s="198"/>
      <c r="U16" s="198"/>
    </row>
    <row r="17" spans="1:21" s="12" customFormat="1" x14ac:dyDescent="0.25">
      <c r="A17" s="201" t="s">
        <v>2464</v>
      </c>
      <c r="B17" s="60">
        <v>38.409999999999997</v>
      </c>
      <c r="C17" s="60">
        <v>126.56</v>
      </c>
      <c r="D17" s="60">
        <v>100.65</v>
      </c>
      <c r="E17" s="60">
        <v>4.87</v>
      </c>
      <c r="F17" s="60">
        <v>0.66</v>
      </c>
      <c r="G17" s="60">
        <v>166.74</v>
      </c>
      <c r="H17" s="60">
        <v>50.89</v>
      </c>
      <c r="I17" s="60">
        <v>0.91</v>
      </c>
      <c r="J17" s="60">
        <v>0.37</v>
      </c>
      <c r="K17" s="60">
        <v>223.8</v>
      </c>
      <c r="L17" s="60">
        <v>18.21</v>
      </c>
      <c r="M17" s="60">
        <v>44.57</v>
      </c>
      <c r="N17" s="60">
        <v>5.4</v>
      </c>
      <c r="O17" s="60">
        <v>0</v>
      </c>
      <c r="P17" s="60">
        <v>2.13</v>
      </c>
      <c r="Q17" s="60">
        <v>286.01</v>
      </c>
      <c r="R17" s="198"/>
      <c r="S17" s="198"/>
      <c r="T17" s="198"/>
      <c r="U17" s="198"/>
    </row>
    <row r="18" spans="1:21" s="12" customFormat="1" x14ac:dyDescent="0.25">
      <c r="A18" s="201" t="s">
        <v>2465</v>
      </c>
      <c r="B18" s="60">
        <v>36.39</v>
      </c>
      <c r="C18" s="60">
        <v>123.49</v>
      </c>
      <c r="D18" s="60">
        <v>97.33</v>
      </c>
      <c r="E18" s="60">
        <v>5.3</v>
      </c>
      <c r="F18" s="60">
        <v>0.74</v>
      </c>
      <c r="G18" s="60">
        <v>166.74</v>
      </c>
      <c r="H18" s="60">
        <v>51.3</v>
      </c>
      <c r="I18" s="60">
        <v>0.88</v>
      </c>
      <c r="J18" s="60">
        <v>0.28999999999999998</v>
      </c>
      <c r="K18" s="60">
        <v>215.89</v>
      </c>
      <c r="L18" s="60">
        <v>18.38</v>
      </c>
      <c r="M18" s="60">
        <v>28.35</v>
      </c>
      <c r="N18" s="60">
        <v>5.5</v>
      </c>
      <c r="O18" s="60">
        <v>0</v>
      </c>
      <c r="P18" s="60">
        <v>2.11</v>
      </c>
      <c r="Q18" s="60">
        <v>282.70999999999998</v>
      </c>
      <c r="R18" s="198"/>
      <c r="S18" s="198"/>
      <c r="T18" s="198"/>
      <c r="U18" s="198"/>
    </row>
    <row r="19" spans="1:21" s="12" customFormat="1" x14ac:dyDescent="0.25">
      <c r="A19" s="201" t="s">
        <v>2466</v>
      </c>
      <c r="B19" s="60">
        <v>34.090000000000003</v>
      </c>
      <c r="C19" s="60">
        <v>120.11</v>
      </c>
      <c r="D19" s="60">
        <v>93.62</v>
      </c>
      <c r="E19" s="60">
        <v>5.68</v>
      </c>
      <c r="F19" s="60">
        <v>0.81</v>
      </c>
      <c r="G19" s="60">
        <v>166.74</v>
      </c>
      <c r="H19" s="60">
        <v>51.3</v>
      </c>
      <c r="I19" s="60">
        <v>0.86</v>
      </c>
      <c r="J19" s="60">
        <v>0.4</v>
      </c>
      <c r="K19" s="60">
        <v>222.36</v>
      </c>
      <c r="L19" s="60">
        <v>18.13</v>
      </c>
      <c r="M19" s="60">
        <v>52.33</v>
      </c>
      <c r="N19" s="60">
        <v>5.5</v>
      </c>
      <c r="O19" s="60">
        <v>0</v>
      </c>
      <c r="P19" s="60">
        <v>2.09</v>
      </c>
      <c r="Q19" s="60">
        <v>279.58999999999997</v>
      </c>
      <c r="R19" s="198"/>
      <c r="S19" s="198"/>
      <c r="T19" s="198"/>
      <c r="U19" s="198"/>
    </row>
    <row r="20" spans="1:21" s="12" customFormat="1" x14ac:dyDescent="0.25">
      <c r="A20" s="201" t="s">
        <v>2467</v>
      </c>
      <c r="B20" s="60">
        <v>31.86</v>
      </c>
      <c r="C20" s="60">
        <v>116.48</v>
      </c>
      <c r="D20" s="60">
        <v>89.83</v>
      </c>
      <c r="E20" s="60">
        <v>5.13</v>
      </c>
      <c r="F20" s="60">
        <v>0.82</v>
      </c>
      <c r="G20" s="60">
        <v>166.74</v>
      </c>
      <c r="H20" s="60">
        <v>51.3</v>
      </c>
      <c r="I20" s="60">
        <v>0.82</v>
      </c>
      <c r="J20" s="60">
        <v>0.42</v>
      </c>
      <c r="K20" s="60">
        <v>225.25</v>
      </c>
      <c r="L20" s="60">
        <v>17.989999999999998</v>
      </c>
      <c r="M20" s="60">
        <v>18.309999999999999</v>
      </c>
      <c r="N20" s="60">
        <v>5.7</v>
      </c>
      <c r="O20" s="60">
        <v>0</v>
      </c>
      <c r="P20" s="60">
        <v>2.06</v>
      </c>
      <c r="Q20" s="60">
        <v>275.10000000000002</v>
      </c>
      <c r="R20" s="198"/>
      <c r="S20" s="198"/>
      <c r="T20" s="198"/>
      <c r="U20" s="198"/>
    </row>
    <row r="21" spans="1:21" s="12" customFormat="1" x14ac:dyDescent="0.25">
      <c r="A21" s="201" t="s">
        <v>2468</v>
      </c>
      <c r="B21" s="60">
        <v>30.2</v>
      </c>
      <c r="C21" s="60">
        <v>113.38</v>
      </c>
      <c r="D21" s="60">
        <v>86.79</v>
      </c>
      <c r="E21" s="60">
        <v>5.53</v>
      </c>
      <c r="F21" s="60">
        <v>0.57999999999999996</v>
      </c>
      <c r="G21" s="60">
        <v>155.32</v>
      </c>
      <c r="H21" s="60">
        <v>50.9</v>
      </c>
      <c r="I21" s="60">
        <v>0.79</v>
      </c>
      <c r="J21" s="60">
        <v>0.23</v>
      </c>
      <c r="K21" s="60">
        <v>231</v>
      </c>
      <c r="L21" s="60">
        <v>17.760000000000002</v>
      </c>
      <c r="M21" s="60">
        <v>32.89</v>
      </c>
      <c r="N21" s="60">
        <v>5.9</v>
      </c>
      <c r="O21" s="60">
        <v>0</v>
      </c>
      <c r="P21" s="60">
        <v>2.0299999999999998</v>
      </c>
      <c r="Q21" s="60">
        <v>269.37</v>
      </c>
      <c r="R21" s="198"/>
      <c r="S21" s="198"/>
      <c r="T21" s="198"/>
      <c r="U21" s="198"/>
    </row>
    <row r="22" spans="1:21" s="12" customFormat="1" x14ac:dyDescent="0.25">
      <c r="A22" s="201" t="s">
        <v>2469</v>
      </c>
      <c r="B22" s="60">
        <v>28.7</v>
      </c>
      <c r="C22" s="60">
        <v>110.62</v>
      </c>
      <c r="D22" s="60">
        <v>84.06</v>
      </c>
      <c r="E22" s="60">
        <v>5.64</v>
      </c>
      <c r="F22" s="60">
        <v>0.59</v>
      </c>
      <c r="G22" s="60">
        <v>155.32</v>
      </c>
      <c r="H22" s="60">
        <v>50.83</v>
      </c>
      <c r="I22" s="60">
        <v>0.77</v>
      </c>
      <c r="J22" s="60">
        <v>0.13</v>
      </c>
      <c r="K22" s="60">
        <v>247.92</v>
      </c>
      <c r="L22" s="60">
        <v>17.059999999999999</v>
      </c>
      <c r="M22" s="60">
        <v>63.3</v>
      </c>
      <c r="N22" s="60">
        <v>6.2</v>
      </c>
      <c r="O22" s="60">
        <v>0</v>
      </c>
      <c r="P22" s="60">
        <v>2.04</v>
      </c>
      <c r="Q22" s="60">
        <v>267.27999999999997</v>
      </c>
      <c r="R22" s="198"/>
      <c r="S22" s="198"/>
      <c r="T22" s="198"/>
      <c r="U22" s="198"/>
    </row>
    <row r="23" spans="1:21" s="12" customFormat="1" x14ac:dyDescent="0.25">
      <c r="A23" s="201" t="s">
        <v>2470</v>
      </c>
      <c r="B23" s="60">
        <v>27.41</v>
      </c>
      <c r="C23" s="60">
        <v>108.66</v>
      </c>
      <c r="D23" s="60">
        <v>81.94</v>
      </c>
      <c r="E23" s="60">
        <v>5.31</v>
      </c>
      <c r="F23" s="60">
        <v>0.6</v>
      </c>
      <c r="G23" s="60">
        <v>155.32</v>
      </c>
      <c r="H23" s="60">
        <v>50.83</v>
      </c>
      <c r="I23" s="60">
        <v>0.74</v>
      </c>
      <c r="J23" s="60">
        <v>0.2</v>
      </c>
      <c r="K23" s="60">
        <v>261.68</v>
      </c>
      <c r="L23" s="60">
        <v>16.43</v>
      </c>
      <c r="M23" s="60">
        <v>48.32</v>
      </c>
      <c r="N23" s="60">
        <v>6</v>
      </c>
      <c r="O23" s="60">
        <v>0</v>
      </c>
      <c r="P23" s="60">
        <v>2.0499999999999998</v>
      </c>
      <c r="Q23" s="60">
        <v>264.77999999999997</v>
      </c>
      <c r="R23" s="198"/>
      <c r="S23" s="198"/>
      <c r="T23" s="198"/>
      <c r="U23" s="198"/>
    </row>
    <row r="24" spans="1:21" s="12" customFormat="1" x14ac:dyDescent="0.25">
      <c r="A24" s="201" t="s">
        <v>2471</v>
      </c>
      <c r="B24" s="60">
        <v>26.68</v>
      </c>
      <c r="C24" s="60">
        <v>107.29</v>
      </c>
      <c r="D24" s="60">
        <v>80.61</v>
      </c>
      <c r="E24" s="60">
        <v>2.8</v>
      </c>
      <c r="F24" s="60">
        <v>0.94</v>
      </c>
      <c r="G24" s="60">
        <v>155.32</v>
      </c>
      <c r="H24" s="60">
        <v>50.83</v>
      </c>
      <c r="I24" s="60">
        <v>0.73</v>
      </c>
      <c r="J24" s="60">
        <v>0.13</v>
      </c>
      <c r="K24" s="60">
        <v>260.08</v>
      </c>
      <c r="L24" s="60">
        <v>16.43</v>
      </c>
      <c r="M24" s="60">
        <v>48.38</v>
      </c>
      <c r="N24" s="60">
        <v>5.9</v>
      </c>
      <c r="O24" s="60">
        <v>0</v>
      </c>
      <c r="P24" s="60">
        <v>2.0699999999999998</v>
      </c>
      <c r="Q24" s="60">
        <v>262.18</v>
      </c>
      <c r="R24" s="198"/>
      <c r="S24" s="198"/>
      <c r="T24" s="198"/>
      <c r="U24" s="198"/>
    </row>
    <row r="25" spans="1:21" s="12" customFormat="1" x14ac:dyDescent="0.25">
      <c r="A25" s="201" t="s">
        <v>2472</v>
      </c>
      <c r="B25" s="60">
        <v>25.62</v>
      </c>
      <c r="C25" s="60">
        <v>105.76</v>
      </c>
      <c r="D25" s="60">
        <v>78.91</v>
      </c>
      <c r="E25" s="60">
        <v>5.56</v>
      </c>
      <c r="F25" s="60">
        <v>0.83</v>
      </c>
      <c r="G25" s="60">
        <v>185.56</v>
      </c>
      <c r="H25" s="60">
        <v>51.94</v>
      </c>
      <c r="I25" s="60">
        <v>0.71</v>
      </c>
      <c r="J25" s="60">
        <v>0.16</v>
      </c>
      <c r="K25" s="60">
        <v>261.58</v>
      </c>
      <c r="L25" s="60">
        <v>16.23</v>
      </c>
      <c r="M25" s="60">
        <v>65.34</v>
      </c>
      <c r="N25" s="60">
        <v>5.7</v>
      </c>
      <c r="O25" s="60">
        <v>0</v>
      </c>
      <c r="P25" s="60">
        <v>2.12</v>
      </c>
      <c r="Q25" s="60">
        <v>257.70999999999998</v>
      </c>
      <c r="R25" s="198"/>
      <c r="S25" s="198"/>
      <c r="T25" s="198"/>
      <c r="U25" s="198"/>
    </row>
    <row r="26" spans="1:21" s="12" customFormat="1" x14ac:dyDescent="0.25">
      <c r="A26" s="201" t="s">
        <v>2473</v>
      </c>
      <c r="B26" s="60">
        <v>24.41</v>
      </c>
      <c r="C26" s="60">
        <v>104.39</v>
      </c>
      <c r="D26" s="60">
        <v>77.180000000000007</v>
      </c>
      <c r="E26" s="60">
        <v>5.51</v>
      </c>
      <c r="F26" s="60">
        <v>0.7</v>
      </c>
      <c r="G26" s="60">
        <v>185.56</v>
      </c>
      <c r="H26" s="60">
        <v>52.13</v>
      </c>
      <c r="I26" s="60">
        <v>0.7</v>
      </c>
      <c r="J26" s="60">
        <v>0.18</v>
      </c>
      <c r="K26" s="60">
        <v>261.36</v>
      </c>
      <c r="L26" s="60">
        <v>16.100000000000001</v>
      </c>
      <c r="M26" s="60">
        <v>71.63</v>
      </c>
      <c r="N26" s="60">
        <v>5.8</v>
      </c>
      <c r="O26" s="60">
        <v>0</v>
      </c>
      <c r="P26" s="60">
        <v>2.14</v>
      </c>
      <c r="Q26" s="60">
        <v>254.74</v>
      </c>
      <c r="R26" s="198"/>
      <c r="S26" s="198"/>
      <c r="T26" s="198"/>
      <c r="U26" s="198"/>
    </row>
    <row r="27" spans="1:21" s="12" customFormat="1" x14ac:dyDescent="0.25">
      <c r="A27" s="201" t="s">
        <v>2474</v>
      </c>
      <c r="B27" s="60">
        <v>23.7</v>
      </c>
      <c r="C27" s="60">
        <v>104.26</v>
      </c>
      <c r="D27" s="60">
        <v>76.55</v>
      </c>
      <c r="E27" s="60">
        <v>5.54</v>
      </c>
      <c r="F27" s="60">
        <v>0.77</v>
      </c>
      <c r="G27" s="60">
        <v>185.56</v>
      </c>
      <c r="H27" s="60">
        <v>52.13</v>
      </c>
      <c r="I27" s="60">
        <v>0.68</v>
      </c>
      <c r="J27" s="60">
        <v>0.28999999999999998</v>
      </c>
      <c r="K27" s="60">
        <v>250.57</v>
      </c>
      <c r="L27" s="60">
        <v>16.22</v>
      </c>
      <c r="M27" s="60">
        <v>53.66</v>
      </c>
      <c r="N27" s="60">
        <v>5.0999999999999996</v>
      </c>
      <c r="O27" s="60">
        <v>0</v>
      </c>
      <c r="P27" s="60">
        <v>2.16</v>
      </c>
      <c r="Q27" s="60">
        <v>252.49</v>
      </c>
      <c r="R27" s="198"/>
      <c r="S27" s="198"/>
      <c r="T27" s="198"/>
      <c r="U27" s="198"/>
    </row>
    <row r="28" spans="1:21" s="12" customFormat="1" x14ac:dyDescent="0.25">
      <c r="A28" s="201" t="s">
        <v>2475</v>
      </c>
      <c r="B28" s="60">
        <v>22.87</v>
      </c>
      <c r="C28" s="60">
        <v>104.23</v>
      </c>
      <c r="D28" s="60">
        <v>75.86</v>
      </c>
      <c r="E28" s="60">
        <v>5.43</v>
      </c>
      <c r="F28" s="60">
        <v>0.67</v>
      </c>
      <c r="G28" s="60">
        <v>185.56</v>
      </c>
      <c r="H28" s="60">
        <v>52.13</v>
      </c>
      <c r="I28" s="60">
        <v>0.67</v>
      </c>
      <c r="J28" s="60">
        <v>0.14000000000000001</v>
      </c>
      <c r="K28" s="60">
        <v>251.13</v>
      </c>
      <c r="L28" s="60">
        <v>16.190000000000001</v>
      </c>
      <c r="M28" s="60">
        <v>61.6</v>
      </c>
      <c r="N28" s="60">
        <v>6</v>
      </c>
      <c r="O28" s="60">
        <v>0</v>
      </c>
      <c r="P28" s="60">
        <v>2.15</v>
      </c>
      <c r="Q28" s="60">
        <v>249.7</v>
      </c>
      <c r="R28" s="198"/>
      <c r="S28" s="198"/>
      <c r="T28" s="198"/>
      <c r="U28" s="198"/>
    </row>
    <row r="29" spans="1:21" s="12" customFormat="1" x14ac:dyDescent="0.25">
      <c r="A29" s="201" t="s">
        <v>2476</v>
      </c>
      <c r="B29" s="60">
        <v>22.17</v>
      </c>
      <c r="C29" s="60">
        <v>104.72</v>
      </c>
      <c r="D29" s="60">
        <v>75.569999999999993</v>
      </c>
      <c r="E29" s="60">
        <v>5.72</v>
      </c>
      <c r="F29" s="60">
        <v>0.64</v>
      </c>
      <c r="G29" s="60">
        <v>148.86000000000001</v>
      </c>
      <c r="H29" s="60">
        <v>54.26</v>
      </c>
      <c r="I29" s="60">
        <v>0.66</v>
      </c>
      <c r="J29" s="60">
        <v>0.2</v>
      </c>
      <c r="K29" s="60">
        <v>254.06</v>
      </c>
      <c r="L29" s="60">
        <v>15.97</v>
      </c>
      <c r="M29" s="60">
        <v>44.06</v>
      </c>
      <c r="N29" s="60">
        <v>5.6</v>
      </c>
      <c r="O29" s="60">
        <v>0</v>
      </c>
      <c r="P29" s="60">
        <v>2.13</v>
      </c>
      <c r="Q29" s="60">
        <v>248.05</v>
      </c>
      <c r="R29" s="198"/>
      <c r="S29" s="198"/>
      <c r="T29" s="198"/>
      <c r="U29" s="198"/>
    </row>
    <row r="30" spans="1:21" s="12" customFormat="1" x14ac:dyDescent="0.25">
      <c r="A30" s="201" t="s">
        <v>2477</v>
      </c>
      <c r="B30" s="60">
        <v>22.02</v>
      </c>
      <c r="C30" s="60">
        <v>105.11</v>
      </c>
      <c r="D30" s="60">
        <v>75.66</v>
      </c>
      <c r="E30" s="60">
        <v>5.91</v>
      </c>
      <c r="F30" s="60">
        <v>0.64</v>
      </c>
      <c r="G30" s="60">
        <v>148.86000000000001</v>
      </c>
      <c r="H30" s="60">
        <v>54.62</v>
      </c>
      <c r="I30" s="60">
        <v>0.65</v>
      </c>
      <c r="J30" s="60">
        <v>0.21</v>
      </c>
      <c r="K30" s="60">
        <v>252.29</v>
      </c>
      <c r="L30" s="60">
        <v>16.14</v>
      </c>
      <c r="M30" s="60">
        <v>35.409999999999997</v>
      </c>
      <c r="N30" s="60">
        <v>5.6</v>
      </c>
      <c r="O30" s="60">
        <v>0</v>
      </c>
      <c r="P30" s="60">
        <v>2.11</v>
      </c>
      <c r="Q30" s="60">
        <v>248.17</v>
      </c>
      <c r="R30" s="198"/>
      <c r="S30" s="198"/>
      <c r="T30" s="198"/>
      <c r="U30" s="198"/>
    </row>
    <row r="31" spans="1:21" s="12" customFormat="1" x14ac:dyDescent="0.25">
      <c r="A31" s="201" t="s">
        <v>2478</v>
      </c>
      <c r="B31" s="60">
        <v>21.77</v>
      </c>
      <c r="C31" s="60">
        <v>104.28</v>
      </c>
      <c r="D31" s="60">
        <v>75</v>
      </c>
      <c r="E31" s="60">
        <v>5.17</v>
      </c>
      <c r="F31" s="60">
        <v>0.76</v>
      </c>
      <c r="G31" s="60">
        <v>148.86000000000001</v>
      </c>
      <c r="H31" s="60">
        <v>54.62</v>
      </c>
      <c r="I31" s="60">
        <v>0.64</v>
      </c>
      <c r="J31" s="60">
        <v>0.19</v>
      </c>
      <c r="K31" s="60">
        <v>249.08</v>
      </c>
      <c r="L31" s="60">
        <v>16.05</v>
      </c>
      <c r="M31" s="60">
        <v>47.25</v>
      </c>
      <c r="N31" s="60">
        <v>5.4</v>
      </c>
      <c r="O31" s="60">
        <v>0</v>
      </c>
      <c r="P31" s="60">
        <v>2.08</v>
      </c>
      <c r="Q31" s="60">
        <v>247.47</v>
      </c>
      <c r="R31" s="198"/>
      <c r="S31" s="198"/>
      <c r="T31" s="198"/>
      <c r="U31" s="198"/>
    </row>
    <row r="32" spans="1:21" s="12" customFormat="1" x14ac:dyDescent="0.25">
      <c r="A32" s="201" t="s">
        <v>2479</v>
      </c>
      <c r="B32" s="60">
        <v>21.35</v>
      </c>
      <c r="C32" s="60">
        <v>103.1</v>
      </c>
      <c r="D32" s="60">
        <v>74.02</v>
      </c>
      <c r="E32" s="60">
        <v>5.86</v>
      </c>
      <c r="F32" s="60">
        <v>0.86</v>
      </c>
      <c r="G32" s="60">
        <v>148.86000000000001</v>
      </c>
      <c r="H32" s="60">
        <v>54.62</v>
      </c>
      <c r="I32" s="60">
        <v>0.63</v>
      </c>
      <c r="J32" s="60">
        <v>0.18</v>
      </c>
      <c r="K32" s="60">
        <v>245.63</v>
      </c>
      <c r="L32" s="60">
        <v>16.170000000000002</v>
      </c>
      <c r="M32" s="60">
        <v>33.630000000000003</v>
      </c>
      <c r="N32" s="60">
        <v>5.7</v>
      </c>
      <c r="O32" s="60">
        <v>0</v>
      </c>
      <c r="P32" s="60">
        <v>2.04</v>
      </c>
      <c r="Q32" s="60">
        <v>246.13</v>
      </c>
      <c r="R32" s="198"/>
      <c r="S32" s="198"/>
      <c r="T32" s="198"/>
      <c r="U32" s="198"/>
    </row>
    <row r="33" spans="1:21" s="12" customFormat="1" x14ac:dyDescent="0.25">
      <c r="A33" s="201" t="s">
        <v>2480</v>
      </c>
      <c r="B33" s="60">
        <v>22.51</v>
      </c>
      <c r="C33" s="60">
        <v>103.46</v>
      </c>
      <c r="D33" s="60">
        <v>75.150000000000006</v>
      </c>
      <c r="E33" s="60">
        <v>6</v>
      </c>
      <c r="F33" s="60">
        <v>0.8</v>
      </c>
      <c r="G33" s="60">
        <v>172.45</v>
      </c>
      <c r="H33" s="60">
        <v>56.8</v>
      </c>
      <c r="I33" s="60">
        <v>0.62</v>
      </c>
      <c r="J33" s="60">
        <v>0.21</v>
      </c>
      <c r="K33" s="60">
        <v>247.19</v>
      </c>
      <c r="L33" s="60">
        <v>15.95</v>
      </c>
      <c r="M33" s="60">
        <v>20.48</v>
      </c>
      <c r="N33" s="60">
        <v>7.4</v>
      </c>
      <c r="O33" s="60">
        <v>0</v>
      </c>
      <c r="P33" s="60">
        <v>2.02</v>
      </c>
      <c r="Q33" s="60">
        <v>244.82</v>
      </c>
      <c r="R33" s="198"/>
      <c r="S33" s="198"/>
      <c r="T33" s="198"/>
      <c r="U33" s="198"/>
    </row>
    <row r="34" spans="1:21" s="12" customFormat="1" x14ac:dyDescent="0.25">
      <c r="A34" s="201" t="s">
        <v>2481</v>
      </c>
      <c r="B34" s="60">
        <v>23.41</v>
      </c>
      <c r="C34" s="60">
        <v>104.01</v>
      </c>
      <c r="D34" s="60">
        <v>76.17</v>
      </c>
      <c r="E34" s="60">
        <v>5.54</v>
      </c>
      <c r="F34" s="60">
        <v>0.67</v>
      </c>
      <c r="G34" s="60">
        <v>172.45</v>
      </c>
      <c r="H34" s="60">
        <v>57.2</v>
      </c>
      <c r="I34" s="60">
        <v>0.6</v>
      </c>
      <c r="J34" s="60">
        <v>0.24</v>
      </c>
      <c r="K34" s="60">
        <v>235.16</v>
      </c>
      <c r="L34" s="60">
        <v>16.46</v>
      </c>
      <c r="M34" s="60">
        <v>26.53</v>
      </c>
      <c r="N34" s="60">
        <v>13.4</v>
      </c>
      <c r="O34" s="60">
        <v>0</v>
      </c>
      <c r="P34" s="60">
        <v>1.99</v>
      </c>
      <c r="Q34" s="60">
        <v>245.77</v>
      </c>
      <c r="R34" s="198"/>
      <c r="S34" s="198"/>
      <c r="T34" s="198"/>
      <c r="U34" s="198"/>
    </row>
    <row r="35" spans="1:21" s="12" customFormat="1" x14ac:dyDescent="0.25">
      <c r="A35" s="201" t="s">
        <v>2482</v>
      </c>
      <c r="B35" s="60">
        <v>23.76</v>
      </c>
      <c r="C35" s="60">
        <v>104.82</v>
      </c>
      <c r="D35" s="60">
        <v>76.900000000000006</v>
      </c>
      <c r="E35" s="60">
        <v>5.74</v>
      </c>
      <c r="F35" s="60">
        <v>0.7</v>
      </c>
      <c r="G35" s="60">
        <v>172.45</v>
      </c>
      <c r="H35" s="60">
        <v>57.2</v>
      </c>
      <c r="I35" s="60">
        <v>0.59</v>
      </c>
      <c r="J35" s="60">
        <v>0.32</v>
      </c>
      <c r="K35" s="60">
        <v>227.13</v>
      </c>
      <c r="L35" s="60">
        <v>16.82</v>
      </c>
      <c r="M35" s="60">
        <v>21.82</v>
      </c>
      <c r="N35" s="60">
        <v>24.2</v>
      </c>
      <c r="O35" s="60">
        <v>0</v>
      </c>
      <c r="P35" s="60">
        <v>1.97</v>
      </c>
      <c r="Q35" s="60">
        <v>246.13</v>
      </c>
      <c r="R35" s="198"/>
      <c r="S35" s="198"/>
      <c r="T35" s="198"/>
      <c r="U35" s="198"/>
    </row>
    <row r="36" spans="1:21" s="12" customFormat="1" x14ac:dyDescent="0.25">
      <c r="A36" s="201" t="s">
        <v>2483</v>
      </c>
      <c r="B36" s="60">
        <v>24.06</v>
      </c>
      <c r="C36" s="60">
        <v>105.5</v>
      </c>
      <c r="D36" s="60">
        <v>77.52</v>
      </c>
      <c r="E36" s="60">
        <v>5.76</v>
      </c>
      <c r="F36" s="60">
        <v>0.63</v>
      </c>
      <c r="G36" s="60">
        <v>172.45</v>
      </c>
      <c r="H36" s="60">
        <v>57.2</v>
      </c>
      <c r="I36" s="60">
        <v>0.57999999999999996</v>
      </c>
      <c r="J36" s="60">
        <v>0.25</v>
      </c>
      <c r="K36" s="60">
        <v>224.15</v>
      </c>
      <c r="L36" s="60">
        <v>17.100000000000001</v>
      </c>
      <c r="M36" s="60">
        <v>22.45</v>
      </c>
      <c r="N36" s="60">
        <v>38.299999999999997</v>
      </c>
      <c r="O36" s="60">
        <v>0</v>
      </c>
      <c r="P36" s="60">
        <v>1.93</v>
      </c>
      <c r="Q36" s="60">
        <v>245.97</v>
      </c>
      <c r="R36" s="198"/>
      <c r="S36" s="198"/>
      <c r="T36" s="198"/>
      <c r="U36" s="198"/>
    </row>
    <row r="37" spans="1:21" s="12" customFormat="1" x14ac:dyDescent="0.25">
      <c r="A37" s="201" t="s">
        <v>2484</v>
      </c>
      <c r="B37" s="60">
        <v>24.72</v>
      </c>
      <c r="C37" s="60">
        <v>106.94</v>
      </c>
      <c r="D37" s="60">
        <v>78.84</v>
      </c>
      <c r="E37" s="60">
        <v>5.73</v>
      </c>
      <c r="F37" s="60">
        <v>0.69</v>
      </c>
      <c r="G37" s="60">
        <v>164.27</v>
      </c>
      <c r="H37" s="60">
        <v>59.91</v>
      </c>
      <c r="I37" s="60">
        <v>0.56999999999999995</v>
      </c>
      <c r="J37" s="60">
        <v>0.3</v>
      </c>
      <c r="K37" s="60">
        <v>223.29</v>
      </c>
      <c r="L37" s="60">
        <v>17.329999999999998</v>
      </c>
      <c r="M37" s="60">
        <v>50.88</v>
      </c>
      <c r="N37" s="60">
        <v>52</v>
      </c>
      <c r="O37" s="60">
        <v>0</v>
      </c>
      <c r="P37" s="60">
        <v>1.84</v>
      </c>
      <c r="Q37" s="60">
        <v>243.88</v>
      </c>
      <c r="R37" s="198"/>
      <c r="S37" s="198"/>
      <c r="T37" s="198"/>
      <c r="U37" s="198"/>
    </row>
    <row r="38" spans="1:21" s="12" customFormat="1" x14ac:dyDescent="0.25">
      <c r="A38" s="201" t="s">
        <v>2485</v>
      </c>
      <c r="B38" s="60">
        <v>26.57</v>
      </c>
      <c r="C38" s="60">
        <v>110.48</v>
      </c>
      <c r="D38" s="60">
        <v>82.28</v>
      </c>
      <c r="E38" s="60">
        <v>5.99</v>
      </c>
      <c r="F38" s="60">
        <v>0.73</v>
      </c>
      <c r="G38" s="60">
        <v>164.27</v>
      </c>
      <c r="H38" s="60">
        <v>60.37</v>
      </c>
      <c r="I38" s="60">
        <v>0.56000000000000005</v>
      </c>
      <c r="J38" s="60">
        <v>0.66</v>
      </c>
      <c r="K38" s="60">
        <v>206.54</v>
      </c>
      <c r="L38" s="60">
        <v>18.329999999999998</v>
      </c>
      <c r="M38" s="60">
        <v>79.64</v>
      </c>
      <c r="N38" s="60">
        <v>119.7</v>
      </c>
      <c r="O38" s="60">
        <v>0</v>
      </c>
      <c r="P38" s="60">
        <v>1.86</v>
      </c>
      <c r="Q38" s="60">
        <v>245.17</v>
      </c>
      <c r="R38" s="198"/>
      <c r="S38" s="198"/>
      <c r="T38" s="198"/>
      <c r="U38" s="198"/>
    </row>
    <row r="39" spans="1:21" s="12" customFormat="1" x14ac:dyDescent="0.25">
      <c r="A39" s="201" t="s">
        <v>2486</v>
      </c>
      <c r="B39" s="60">
        <v>29.01</v>
      </c>
      <c r="C39" s="60">
        <v>115.87</v>
      </c>
      <c r="D39" s="60">
        <v>87.21</v>
      </c>
      <c r="E39" s="60">
        <v>6.82</v>
      </c>
      <c r="F39" s="60">
        <v>0.82</v>
      </c>
      <c r="G39" s="60">
        <v>164.27</v>
      </c>
      <c r="H39" s="60">
        <v>60.37</v>
      </c>
      <c r="I39" s="60">
        <v>0.55000000000000004</v>
      </c>
      <c r="J39" s="60">
        <v>0.61</v>
      </c>
      <c r="K39" s="60">
        <v>176.38</v>
      </c>
      <c r="L39" s="60">
        <v>20.77</v>
      </c>
      <c r="M39" s="60">
        <v>75.05</v>
      </c>
      <c r="N39" s="60">
        <v>204.8</v>
      </c>
      <c r="O39" s="60">
        <v>0</v>
      </c>
      <c r="P39" s="60">
        <v>1.83</v>
      </c>
      <c r="Q39" s="60">
        <v>245.91</v>
      </c>
      <c r="R39" s="198"/>
      <c r="S39" s="198"/>
      <c r="T39" s="198"/>
      <c r="U39" s="198"/>
    </row>
    <row r="40" spans="1:21" s="12" customFormat="1" x14ac:dyDescent="0.25">
      <c r="A40" s="201" t="s">
        <v>2487</v>
      </c>
      <c r="B40" s="60">
        <v>29.65</v>
      </c>
      <c r="C40" s="60">
        <v>117.94</v>
      </c>
      <c r="D40" s="60">
        <v>88.86</v>
      </c>
      <c r="E40" s="60">
        <v>4.1900000000000004</v>
      </c>
      <c r="F40" s="60">
        <v>0.84</v>
      </c>
      <c r="G40" s="60">
        <v>164.27</v>
      </c>
      <c r="H40" s="60">
        <v>60.37</v>
      </c>
      <c r="I40" s="60">
        <v>0.55000000000000004</v>
      </c>
      <c r="J40" s="60">
        <v>0.8</v>
      </c>
      <c r="K40" s="60">
        <v>161.85</v>
      </c>
      <c r="L40" s="60">
        <v>22.21</v>
      </c>
      <c r="M40" s="60">
        <v>71.91</v>
      </c>
      <c r="N40" s="60">
        <v>238.8</v>
      </c>
      <c r="O40" s="60">
        <v>0</v>
      </c>
      <c r="P40" s="60">
        <v>1.79</v>
      </c>
      <c r="Q40" s="60">
        <v>246.18</v>
      </c>
      <c r="R40" s="198"/>
      <c r="S40" s="198"/>
      <c r="T40" s="198"/>
      <c r="U40" s="198"/>
    </row>
    <row r="41" spans="1:21" s="12" customFormat="1" x14ac:dyDescent="0.25">
      <c r="A41" s="201" t="s">
        <v>2488</v>
      </c>
      <c r="B41" s="60">
        <v>29.58</v>
      </c>
      <c r="C41" s="60">
        <v>119.7</v>
      </c>
      <c r="D41" s="60">
        <v>89.79</v>
      </c>
      <c r="E41" s="60">
        <v>6.99</v>
      </c>
      <c r="F41" s="60">
        <v>0.97</v>
      </c>
      <c r="G41" s="60">
        <v>134.30000000000001</v>
      </c>
      <c r="H41" s="60">
        <v>55.82</v>
      </c>
      <c r="I41" s="60">
        <v>0.55000000000000004</v>
      </c>
      <c r="J41" s="60">
        <v>0.75</v>
      </c>
      <c r="K41" s="60">
        <v>150.5</v>
      </c>
      <c r="L41" s="60">
        <v>23.78</v>
      </c>
      <c r="M41" s="60">
        <v>82.91</v>
      </c>
      <c r="N41" s="60">
        <v>288.7</v>
      </c>
      <c r="O41" s="60">
        <v>0</v>
      </c>
      <c r="P41" s="60">
        <v>1.74</v>
      </c>
      <c r="Q41" s="60">
        <v>244.65</v>
      </c>
      <c r="R41" s="198"/>
      <c r="S41" s="198"/>
      <c r="T41" s="198"/>
      <c r="U41" s="198"/>
    </row>
    <row r="42" spans="1:21" s="12" customFormat="1" x14ac:dyDescent="0.25">
      <c r="A42" s="201" t="s">
        <v>2489</v>
      </c>
      <c r="B42" s="60">
        <v>29.56</v>
      </c>
      <c r="C42" s="60">
        <v>121.42</v>
      </c>
      <c r="D42" s="60">
        <v>90.72</v>
      </c>
      <c r="E42" s="60">
        <v>6.8</v>
      </c>
      <c r="F42" s="60">
        <v>1.02</v>
      </c>
      <c r="G42" s="60">
        <v>134.30000000000001</v>
      </c>
      <c r="H42" s="60">
        <v>55.05</v>
      </c>
      <c r="I42" s="60">
        <v>0.56000000000000005</v>
      </c>
      <c r="J42" s="60">
        <v>0.8</v>
      </c>
      <c r="K42" s="60">
        <v>150.93</v>
      </c>
      <c r="L42" s="60">
        <v>23.58</v>
      </c>
      <c r="M42" s="60">
        <v>61.21</v>
      </c>
      <c r="N42" s="60">
        <v>319.60000000000002</v>
      </c>
      <c r="O42" s="60">
        <v>0</v>
      </c>
      <c r="P42" s="60">
        <v>1.7</v>
      </c>
      <c r="Q42" s="60">
        <v>244.85</v>
      </c>
      <c r="R42" s="198"/>
      <c r="S42" s="198"/>
      <c r="T42" s="198"/>
      <c r="U42" s="198"/>
    </row>
    <row r="43" spans="1:21" s="12" customFormat="1" x14ac:dyDescent="0.25">
      <c r="A43" s="201" t="s">
        <v>2490</v>
      </c>
      <c r="B43" s="60">
        <v>28.48</v>
      </c>
      <c r="C43" s="60">
        <v>121.55</v>
      </c>
      <c r="D43" s="60">
        <v>89.92</v>
      </c>
      <c r="E43" s="60">
        <v>6.6</v>
      </c>
      <c r="F43" s="60">
        <v>1.01</v>
      </c>
      <c r="G43" s="60">
        <v>134.30000000000001</v>
      </c>
      <c r="H43" s="60">
        <v>55.05</v>
      </c>
      <c r="I43" s="60">
        <v>0.55000000000000004</v>
      </c>
      <c r="J43" s="60">
        <v>0.84</v>
      </c>
      <c r="K43" s="60">
        <v>149.38999999999999</v>
      </c>
      <c r="L43" s="60">
        <v>23.6</v>
      </c>
      <c r="M43" s="60">
        <v>57.57</v>
      </c>
      <c r="N43" s="60">
        <v>376.5</v>
      </c>
      <c r="O43" s="60">
        <v>0</v>
      </c>
      <c r="P43" s="60">
        <v>1.66</v>
      </c>
      <c r="Q43" s="60">
        <v>243.8</v>
      </c>
      <c r="R43" s="198"/>
      <c r="S43" s="198"/>
      <c r="T43" s="198"/>
      <c r="U43" s="198"/>
    </row>
    <row r="44" spans="1:21" s="12" customFormat="1" x14ac:dyDescent="0.25">
      <c r="A44" s="201" t="s">
        <v>2491</v>
      </c>
      <c r="B44" s="60">
        <v>26.86</v>
      </c>
      <c r="C44" s="60">
        <v>120.45</v>
      </c>
      <c r="D44" s="60">
        <v>88.02</v>
      </c>
      <c r="E44" s="60">
        <v>6.56</v>
      </c>
      <c r="F44" s="60">
        <v>1.05</v>
      </c>
      <c r="G44" s="60">
        <v>134.30000000000001</v>
      </c>
      <c r="H44" s="60">
        <v>55.05</v>
      </c>
      <c r="I44" s="60">
        <v>0.56000000000000005</v>
      </c>
      <c r="J44" s="60">
        <v>1.08</v>
      </c>
      <c r="K44" s="60">
        <v>149.12</v>
      </c>
      <c r="L44" s="60">
        <v>23.9</v>
      </c>
      <c r="M44" s="60">
        <v>62.94</v>
      </c>
      <c r="N44" s="60">
        <v>405.7</v>
      </c>
      <c r="O44" s="60">
        <v>0</v>
      </c>
      <c r="P44" s="60">
        <v>1.62</v>
      </c>
      <c r="Q44" s="60">
        <v>242.61</v>
      </c>
      <c r="R44" s="198"/>
      <c r="S44" s="198"/>
      <c r="T44" s="198"/>
      <c r="U44" s="198"/>
    </row>
    <row r="45" spans="1:21" s="12" customFormat="1" x14ac:dyDescent="0.25">
      <c r="A45" s="201" t="s">
        <v>2492</v>
      </c>
      <c r="B45" s="60">
        <v>25.04</v>
      </c>
      <c r="C45" s="60">
        <v>119.74</v>
      </c>
      <c r="D45" s="60">
        <v>86.16</v>
      </c>
      <c r="E45" s="60">
        <v>6.55</v>
      </c>
      <c r="F45" s="60">
        <v>1.07</v>
      </c>
      <c r="G45" s="60">
        <v>115.59</v>
      </c>
      <c r="H45" s="60">
        <v>50.08</v>
      </c>
      <c r="I45" s="60">
        <v>0.56000000000000005</v>
      </c>
      <c r="J45" s="60">
        <v>1.21</v>
      </c>
      <c r="K45" s="60">
        <v>126.19</v>
      </c>
      <c r="L45" s="60">
        <v>26.66</v>
      </c>
      <c r="M45" s="60">
        <v>83.99</v>
      </c>
      <c r="N45" s="60">
        <v>428.2</v>
      </c>
      <c r="O45" s="60">
        <v>0</v>
      </c>
      <c r="P45" s="60">
        <v>1.57</v>
      </c>
      <c r="Q45" s="60">
        <v>240.92</v>
      </c>
      <c r="R45" s="198"/>
      <c r="S45" s="198"/>
      <c r="T45" s="198"/>
      <c r="U45" s="198"/>
    </row>
    <row r="46" spans="1:21" s="12" customFormat="1" x14ac:dyDescent="0.25">
      <c r="A46" s="201" t="s">
        <v>2493</v>
      </c>
      <c r="B46" s="60">
        <v>22.75</v>
      </c>
      <c r="C46" s="60">
        <v>119.24</v>
      </c>
      <c r="D46" s="60">
        <v>84.05</v>
      </c>
      <c r="E46" s="60">
        <v>5.78</v>
      </c>
      <c r="F46" s="60">
        <v>1.08</v>
      </c>
      <c r="G46" s="60">
        <v>115.59</v>
      </c>
      <c r="H46" s="60">
        <v>49.17</v>
      </c>
      <c r="I46" s="60">
        <v>0.56000000000000005</v>
      </c>
      <c r="J46" s="60">
        <v>1.24</v>
      </c>
      <c r="K46" s="60">
        <v>121.62</v>
      </c>
      <c r="L46" s="60">
        <v>27.19</v>
      </c>
      <c r="M46" s="60">
        <v>63.7</v>
      </c>
      <c r="N46" s="60">
        <v>436.4</v>
      </c>
      <c r="O46" s="60">
        <v>0</v>
      </c>
      <c r="P46" s="60">
        <v>1.52</v>
      </c>
      <c r="Q46" s="60">
        <v>234.03</v>
      </c>
      <c r="R46" s="198"/>
      <c r="S46" s="198"/>
      <c r="T46" s="198"/>
      <c r="U46" s="198"/>
    </row>
    <row r="47" spans="1:21" s="12" customFormat="1" x14ac:dyDescent="0.25">
      <c r="A47" s="201" t="s">
        <v>2494</v>
      </c>
      <c r="B47" s="60">
        <v>20.41</v>
      </c>
      <c r="C47" s="60">
        <v>118.06</v>
      </c>
      <c r="D47" s="60">
        <v>81.52</v>
      </c>
      <c r="E47" s="60">
        <v>5.74</v>
      </c>
      <c r="F47" s="60">
        <v>0.95</v>
      </c>
      <c r="G47" s="60">
        <v>115.59</v>
      </c>
      <c r="H47" s="60">
        <v>49.17</v>
      </c>
      <c r="I47" s="60">
        <v>0.54</v>
      </c>
      <c r="J47" s="60">
        <v>0.87</v>
      </c>
      <c r="K47" s="60">
        <v>133.99</v>
      </c>
      <c r="L47" s="60">
        <v>25.29</v>
      </c>
      <c r="M47" s="60">
        <v>47.68</v>
      </c>
      <c r="N47" s="60">
        <v>466.3</v>
      </c>
      <c r="O47" s="60">
        <v>0</v>
      </c>
      <c r="P47" s="60">
        <v>1.48</v>
      </c>
      <c r="Q47" s="60">
        <v>228.36</v>
      </c>
      <c r="R47" s="198"/>
      <c r="S47" s="198"/>
      <c r="T47" s="198"/>
      <c r="U47" s="198"/>
    </row>
    <row r="48" spans="1:21" s="12" customFormat="1" x14ac:dyDescent="0.25">
      <c r="A48" s="201" t="s">
        <v>2495</v>
      </c>
      <c r="B48" s="60">
        <v>18.690000000000001</v>
      </c>
      <c r="C48" s="60">
        <v>116.38</v>
      </c>
      <c r="D48" s="60">
        <v>79.22</v>
      </c>
      <c r="E48" s="60">
        <v>5.43</v>
      </c>
      <c r="F48" s="60">
        <v>1.1000000000000001</v>
      </c>
      <c r="G48" s="60">
        <v>115.59</v>
      </c>
      <c r="H48" s="60">
        <v>49.17</v>
      </c>
      <c r="I48" s="60">
        <v>0.52</v>
      </c>
      <c r="J48" s="60">
        <v>1.46</v>
      </c>
      <c r="K48" s="60">
        <v>141.06</v>
      </c>
      <c r="L48" s="60">
        <v>24.19</v>
      </c>
      <c r="M48" s="60">
        <v>33.549999999999997</v>
      </c>
      <c r="N48" s="60">
        <v>496.5</v>
      </c>
      <c r="O48" s="60">
        <v>0</v>
      </c>
      <c r="P48" s="60">
        <v>1.43</v>
      </c>
      <c r="Q48" s="60">
        <v>225.18</v>
      </c>
      <c r="R48" s="198"/>
      <c r="S48" s="198"/>
      <c r="T48" s="198"/>
      <c r="U48" s="198"/>
    </row>
    <row r="49" spans="1:21" s="12" customFormat="1" x14ac:dyDescent="0.25">
      <c r="A49" s="201" t="s">
        <v>2496</v>
      </c>
      <c r="B49" s="60">
        <v>16.68</v>
      </c>
      <c r="C49" s="60">
        <v>114.32</v>
      </c>
      <c r="D49" s="60">
        <v>76.47</v>
      </c>
      <c r="E49" s="60">
        <v>6.22</v>
      </c>
      <c r="F49" s="60">
        <v>1.68</v>
      </c>
      <c r="G49" s="60">
        <v>72.69</v>
      </c>
      <c r="H49" s="60">
        <v>41.97</v>
      </c>
      <c r="I49" s="60">
        <v>0.51</v>
      </c>
      <c r="J49" s="60">
        <v>0.96</v>
      </c>
      <c r="K49" s="60">
        <v>127.18</v>
      </c>
      <c r="L49" s="60">
        <v>25.94</v>
      </c>
      <c r="M49" s="60">
        <v>46.81</v>
      </c>
      <c r="N49" s="60">
        <v>504.5</v>
      </c>
      <c r="O49" s="60">
        <v>0</v>
      </c>
      <c r="P49" s="60">
        <v>1.37</v>
      </c>
      <c r="Q49" s="60">
        <v>218.75</v>
      </c>
      <c r="R49" s="198"/>
      <c r="S49" s="198"/>
      <c r="T49" s="198"/>
      <c r="U49" s="198"/>
    </row>
    <row r="50" spans="1:21" s="12" customFormat="1" x14ac:dyDescent="0.25">
      <c r="A50" s="201" t="s">
        <v>2497</v>
      </c>
      <c r="B50" s="60">
        <v>14.29</v>
      </c>
      <c r="C50" s="60">
        <v>112.92</v>
      </c>
      <c r="D50" s="60">
        <v>73.78</v>
      </c>
      <c r="E50" s="60">
        <v>6.66</v>
      </c>
      <c r="F50" s="60">
        <v>2.2200000000000002</v>
      </c>
      <c r="G50" s="60">
        <v>72.69</v>
      </c>
      <c r="H50" s="60">
        <v>40.76</v>
      </c>
      <c r="I50" s="60">
        <v>0.5</v>
      </c>
      <c r="J50" s="60">
        <v>0.64</v>
      </c>
      <c r="K50" s="60">
        <v>122.58</v>
      </c>
      <c r="L50" s="60">
        <v>27.31</v>
      </c>
      <c r="M50" s="60">
        <v>63.8</v>
      </c>
      <c r="N50" s="60">
        <v>510.9</v>
      </c>
      <c r="O50" s="60">
        <v>0</v>
      </c>
      <c r="P50" s="60">
        <v>1.29</v>
      </c>
      <c r="Q50" s="60">
        <v>209.28</v>
      </c>
      <c r="R50" s="198"/>
      <c r="S50" s="198"/>
      <c r="T50" s="198"/>
      <c r="U50" s="198"/>
    </row>
    <row r="51" spans="1:21" s="12" customFormat="1" x14ac:dyDescent="0.25">
      <c r="A51" s="201" t="s">
        <v>2498</v>
      </c>
      <c r="B51" s="60">
        <v>13.77</v>
      </c>
      <c r="C51" s="60">
        <v>115.64</v>
      </c>
      <c r="D51" s="60">
        <v>74.86</v>
      </c>
      <c r="E51" s="60">
        <v>11.55</v>
      </c>
      <c r="F51" s="60">
        <v>5.68</v>
      </c>
      <c r="G51" s="60">
        <v>72.69</v>
      </c>
      <c r="H51" s="60">
        <v>40.76</v>
      </c>
      <c r="I51" s="60">
        <v>0.49</v>
      </c>
      <c r="J51" s="60">
        <v>1.03</v>
      </c>
      <c r="K51" s="60">
        <v>105.23</v>
      </c>
      <c r="L51" s="60">
        <v>29.83</v>
      </c>
      <c r="M51" s="60">
        <v>80.31</v>
      </c>
      <c r="N51" s="60">
        <v>517.1</v>
      </c>
      <c r="O51" s="60">
        <v>0</v>
      </c>
      <c r="P51" s="60">
        <v>1.24</v>
      </c>
      <c r="Q51" s="60">
        <v>196.67</v>
      </c>
      <c r="R51" s="198"/>
      <c r="S51" s="198"/>
      <c r="T51" s="198"/>
      <c r="U51" s="198"/>
    </row>
    <row r="52" spans="1:21" s="12" customFormat="1" x14ac:dyDescent="0.25">
      <c r="A52" s="201" t="s">
        <v>2499</v>
      </c>
      <c r="B52" s="60">
        <v>12.22</v>
      </c>
      <c r="C52" s="60">
        <v>125.19</v>
      </c>
      <c r="D52" s="60">
        <v>78.89</v>
      </c>
      <c r="E52" s="60">
        <v>11.08</v>
      </c>
      <c r="F52" s="60">
        <v>5.81</v>
      </c>
      <c r="G52" s="60">
        <v>72.69</v>
      </c>
      <c r="H52" s="60">
        <v>40.76</v>
      </c>
      <c r="I52" s="60">
        <v>0.45</v>
      </c>
      <c r="J52" s="60">
        <v>0.92</v>
      </c>
      <c r="K52" s="60">
        <v>110.54</v>
      </c>
      <c r="L52" s="60">
        <v>28.62</v>
      </c>
      <c r="M52" s="60">
        <v>64.66</v>
      </c>
      <c r="N52" s="60">
        <v>515.5</v>
      </c>
      <c r="O52" s="60">
        <v>0</v>
      </c>
      <c r="P52" s="60">
        <v>1.19</v>
      </c>
      <c r="Q52" s="60">
        <v>177.05</v>
      </c>
      <c r="R52" s="198"/>
      <c r="S52" s="198"/>
      <c r="T52" s="198"/>
      <c r="U52" s="198"/>
    </row>
    <row r="53" spans="1:21" s="12" customFormat="1" x14ac:dyDescent="0.25">
      <c r="A53" s="201" t="s">
        <v>2500</v>
      </c>
      <c r="B53" s="60">
        <v>10.86</v>
      </c>
      <c r="C53" s="60">
        <v>129.65</v>
      </c>
      <c r="D53" s="60">
        <v>80.260000000000005</v>
      </c>
      <c r="E53" s="60">
        <v>11.7</v>
      </c>
      <c r="F53" s="60">
        <v>5.34</v>
      </c>
      <c r="G53" s="60">
        <v>70.05</v>
      </c>
      <c r="H53" s="60">
        <v>36.54</v>
      </c>
      <c r="I53" s="60">
        <v>0.41</v>
      </c>
      <c r="J53" s="60">
        <v>0.9</v>
      </c>
      <c r="K53" s="60">
        <v>103.64</v>
      </c>
      <c r="L53" s="60">
        <v>29.55</v>
      </c>
      <c r="M53" s="60">
        <v>60.95</v>
      </c>
      <c r="N53" s="60">
        <v>524.29999999999995</v>
      </c>
      <c r="O53" s="60">
        <v>0</v>
      </c>
      <c r="P53" s="60">
        <v>1.1599999999999999</v>
      </c>
      <c r="Q53" s="60">
        <v>167.01</v>
      </c>
      <c r="R53" s="198"/>
      <c r="S53" s="198"/>
      <c r="T53" s="198"/>
      <c r="U53" s="198"/>
    </row>
    <row r="54" spans="1:21" s="12" customFormat="1" x14ac:dyDescent="0.25">
      <c r="A54" s="201" t="s">
        <v>2501</v>
      </c>
      <c r="B54" s="60">
        <v>8.0399999999999991</v>
      </c>
      <c r="C54" s="60">
        <v>131.44999999999999</v>
      </c>
      <c r="D54" s="60">
        <v>78.989999999999995</v>
      </c>
      <c r="E54" s="60">
        <v>10.97</v>
      </c>
      <c r="F54" s="60">
        <v>5.26</v>
      </c>
      <c r="G54" s="60">
        <v>70.05</v>
      </c>
      <c r="H54" s="60">
        <v>35.82</v>
      </c>
      <c r="I54" s="60">
        <v>0.39</v>
      </c>
      <c r="J54" s="60">
        <v>1.03</v>
      </c>
      <c r="K54" s="60">
        <v>119.51</v>
      </c>
      <c r="L54" s="60">
        <v>27.67</v>
      </c>
      <c r="M54" s="60">
        <v>45.98</v>
      </c>
      <c r="N54" s="60">
        <v>533.4</v>
      </c>
      <c r="O54" s="60">
        <v>0</v>
      </c>
      <c r="P54" s="60">
        <v>1.07</v>
      </c>
      <c r="Q54" s="60">
        <v>156.57</v>
      </c>
      <c r="R54" s="198"/>
      <c r="S54" s="198"/>
      <c r="T54" s="198"/>
      <c r="U54" s="198"/>
    </row>
    <row r="55" spans="1:21" s="12" customFormat="1" x14ac:dyDescent="0.25">
      <c r="A55" s="201" t="s">
        <v>2502</v>
      </c>
      <c r="B55" s="60">
        <v>6.45</v>
      </c>
      <c r="C55" s="60">
        <v>125.86</v>
      </c>
      <c r="D55" s="60">
        <v>74.63</v>
      </c>
      <c r="E55" s="60">
        <v>11.23</v>
      </c>
      <c r="F55" s="60">
        <v>7.11</v>
      </c>
      <c r="G55" s="60">
        <v>70.05</v>
      </c>
      <c r="H55" s="60">
        <v>35.82</v>
      </c>
      <c r="I55" s="60">
        <v>0.38</v>
      </c>
      <c r="J55" s="60">
        <v>0.75</v>
      </c>
      <c r="K55" s="60">
        <v>111.1</v>
      </c>
      <c r="L55" s="60">
        <v>28.4</v>
      </c>
      <c r="M55" s="60">
        <v>59.31</v>
      </c>
      <c r="N55" s="60">
        <v>528.1</v>
      </c>
      <c r="O55" s="60">
        <v>0</v>
      </c>
      <c r="P55" s="60">
        <v>0.99</v>
      </c>
      <c r="Q55" s="60">
        <v>142.68</v>
      </c>
      <c r="R55" s="198"/>
      <c r="S55" s="198"/>
      <c r="T55" s="198"/>
      <c r="U55" s="198"/>
    </row>
    <row r="56" spans="1:21" s="12" customFormat="1" x14ac:dyDescent="0.25">
      <c r="A56" s="201" t="s">
        <v>2503</v>
      </c>
      <c r="B56" s="60">
        <v>4.6500000000000004</v>
      </c>
      <c r="C56" s="60">
        <v>121.87</v>
      </c>
      <c r="D56" s="60">
        <v>70.98</v>
      </c>
      <c r="E56" s="60">
        <v>4.13</v>
      </c>
      <c r="F56" s="60">
        <v>3.95</v>
      </c>
      <c r="G56" s="60">
        <v>70.05</v>
      </c>
      <c r="H56" s="60">
        <v>35.82</v>
      </c>
      <c r="I56" s="60">
        <v>0.35</v>
      </c>
      <c r="J56" s="60">
        <v>0.64</v>
      </c>
      <c r="K56" s="60">
        <v>102.99</v>
      </c>
      <c r="L56" s="60">
        <v>29.96</v>
      </c>
      <c r="M56" s="60">
        <v>60.58</v>
      </c>
      <c r="N56" s="60">
        <v>530.6</v>
      </c>
      <c r="O56" s="60">
        <v>0</v>
      </c>
      <c r="P56" s="60">
        <v>0.96</v>
      </c>
      <c r="Q56" s="60">
        <v>138.25</v>
      </c>
      <c r="R56" s="198"/>
      <c r="S56" s="198"/>
      <c r="T56" s="198"/>
      <c r="U56" s="198"/>
    </row>
    <row r="57" spans="1:21" s="12" customFormat="1" x14ac:dyDescent="0.25">
      <c r="A57" s="201" t="s">
        <v>2504</v>
      </c>
      <c r="B57" s="60">
        <v>4.6399999999999997</v>
      </c>
      <c r="C57" s="60">
        <v>117.08</v>
      </c>
      <c r="D57" s="60">
        <v>68.34</v>
      </c>
      <c r="E57" s="60">
        <v>5.71</v>
      </c>
      <c r="F57" s="60">
        <v>2.85</v>
      </c>
      <c r="G57" s="60">
        <v>78.88</v>
      </c>
      <c r="H57" s="60">
        <v>31.9</v>
      </c>
      <c r="I57" s="60">
        <v>0.32</v>
      </c>
      <c r="J57" s="60">
        <v>0.57999999999999996</v>
      </c>
      <c r="K57" s="60">
        <v>105.67</v>
      </c>
      <c r="L57" s="60">
        <v>28.47</v>
      </c>
      <c r="M57" s="60">
        <v>39.25</v>
      </c>
      <c r="N57" s="60">
        <v>521.20000000000005</v>
      </c>
      <c r="O57" s="60">
        <v>0</v>
      </c>
      <c r="P57" s="60">
        <v>0.95</v>
      </c>
      <c r="Q57" s="60">
        <v>145.54</v>
      </c>
      <c r="R57" s="198"/>
      <c r="S57" s="198"/>
      <c r="T57" s="198"/>
      <c r="U57" s="198"/>
    </row>
    <row r="58" spans="1:21" s="12" customFormat="1" x14ac:dyDescent="0.25">
      <c r="A58" s="201" t="s">
        <v>2505</v>
      </c>
      <c r="B58" s="60">
        <v>5</v>
      </c>
      <c r="C58" s="60">
        <v>109.8</v>
      </c>
      <c r="D58" s="60">
        <v>64.61</v>
      </c>
      <c r="E58" s="60">
        <v>5.49</v>
      </c>
      <c r="F58" s="60">
        <v>2.2200000000000002</v>
      </c>
      <c r="G58" s="60">
        <v>78.88</v>
      </c>
      <c r="H58" s="60">
        <v>31.24</v>
      </c>
      <c r="I58" s="60">
        <v>0.32</v>
      </c>
      <c r="J58" s="60">
        <v>0.53</v>
      </c>
      <c r="K58" s="60">
        <v>102.9</v>
      </c>
      <c r="L58" s="60">
        <v>30.82</v>
      </c>
      <c r="M58" s="60">
        <v>84.59</v>
      </c>
      <c r="N58" s="60">
        <v>501.2</v>
      </c>
      <c r="O58" s="60">
        <v>0</v>
      </c>
      <c r="P58" s="60">
        <v>0.94</v>
      </c>
      <c r="Q58" s="60">
        <v>159.41</v>
      </c>
      <c r="R58" s="198"/>
      <c r="S58" s="198"/>
      <c r="T58" s="198"/>
      <c r="U58" s="198"/>
    </row>
    <row r="59" spans="1:21" s="12" customFormat="1" x14ac:dyDescent="0.25">
      <c r="A59" s="201" t="s">
        <v>2506</v>
      </c>
      <c r="B59" s="60">
        <v>5.52</v>
      </c>
      <c r="C59" s="60">
        <v>106.33</v>
      </c>
      <c r="D59" s="60">
        <v>63.11</v>
      </c>
      <c r="E59" s="60">
        <v>5.08</v>
      </c>
      <c r="F59" s="60">
        <v>1.68</v>
      </c>
      <c r="G59" s="60">
        <v>78.88</v>
      </c>
      <c r="H59" s="60">
        <v>31.24</v>
      </c>
      <c r="I59" s="60">
        <v>0.34</v>
      </c>
      <c r="J59" s="60">
        <v>0.66</v>
      </c>
      <c r="K59" s="60">
        <v>104.99</v>
      </c>
      <c r="L59" s="60">
        <v>29.93</v>
      </c>
      <c r="M59" s="60">
        <v>44.68</v>
      </c>
      <c r="N59" s="60">
        <v>493.1</v>
      </c>
      <c r="O59" s="60">
        <v>0</v>
      </c>
      <c r="P59" s="60">
        <v>0.93</v>
      </c>
      <c r="Q59" s="60">
        <v>172.33</v>
      </c>
      <c r="R59" s="198"/>
      <c r="S59" s="198"/>
      <c r="T59" s="198"/>
      <c r="U59" s="198"/>
    </row>
    <row r="60" spans="1:21" s="12" customFormat="1" x14ac:dyDescent="0.25">
      <c r="A60" s="201" t="s">
        <v>2507</v>
      </c>
      <c r="B60" s="60">
        <v>5.23</v>
      </c>
      <c r="C60" s="60">
        <v>104.4</v>
      </c>
      <c r="D60" s="60">
        <v>61.81</v>
      </c>
      <c r="E60" s="60">
        <v>4.4800000000000004</v>
      </c>
      <c r="F60" s="60">
        <v>2.06</v>
      </c>
      <c r="G60" s="60">
        <v>78.88</v>
      </c>
      <c r="H60" s="60">
        <v>31.24</v>
      </c>
      <c r="I60" s="60">
        <v>0.35</v>
      </c>
      <c r="J60" s="60">
        <v>0.78</v>
      </c>
      <c r="K60" s="60">
        <v>106.83</v>
      </c>
      <c r="L60" s="60">
        <v>29.26</v>
      </c>
      <c r="M60" s="60">
        <v>48.43</v>
      </c>
      <c r="N60" s="60">
        <v>471.5</v>
      </c>
      <c r="O60" s="60">
        <v>0</v>
      </c>
      <c r="P60" s="60">
        <v>0.92</v>
      </c>
      <c r="Q60" s="60">
        <v>172.92</v>
      </c>
      <c r="R60" s="198"/>
      <c r="S60" s="198"/>
      <c r="T60" s="198"/>
      <c r="U60" s="198"/>
    </row>
    <row r="61" spans="1:21" s="12" customFormat="1" x14ac:dyDescent="0.25">
      <c r="A61" s="201" t="s">
        <v>2508</v>
      </c>
      <c r="B61" s="60">
        <v>4.83</v>
      </c>
      <c r="C61" s="60">
        <v>103.67</v>
      </c>
      <c r="D61" s="60">
        <v>61.09</v>
      </c>
      <c r="E61" s="60">
        <v>4.75</v>
      </c>
      <c r="F61" s="60">
        <v>2.58</v>
      </c>
      <c r="G61" s="60">
        <v>80.56</v>
      </c>
      <c r="H61" s="60">
        <v>30.84</v>
      </c>
      <c r="I61" s="60">
        <v>0.36</v>
      </c>
      <c r="J61" s="60">
        <v>1.07</v>
      </c>
      <c r="K61" s="60">
        <v>107.75</v>
      </c>
      <c r="L61" s="60">
        <v>28.43</v>
      </c>
      <c r="M61" s="60">
        <v>43.19</v>
      </c>
      <c r="N61" s="60">
        <v>455.5</v>
      </c>
      <c r="O61" s="60">
        <v>0</v>
      </c>
      <c r="P61" s="60">
        <v>0.9</v>
      </c>
      <c r="Q61" s="60">
        <v>172.13</v>
      </c>
      <c r="R61" s="198"/>
      <c r="S61" s="198"/>
      <c r="T61" s="198"/>
      <c r="U61" s="198"/>
    </row>
    <row r="62" spans="1:21" s="12" customFormat="1" x14ac:dyDescent="0.25">
      <c r="A62" s="201" t="s">
        <v>2509</v>
      </c>
      <c r="B62" s="60">
        <v>4.05</v>
      </c>
      <c r="C62" s="60">
        <v>100.08</v>
      </c>
      <c r="D62" s="60">
        <v>58.48</v>
      </c>
      <c r="E62" s="60">
        <v>4.84</v>
      </c>
      <c r="F62" s="60">
        <v>5.31</v>
      </c>
      <c r="G62" s="60">
        <v>80.56</v>
      </c>
      <c r="H62" s="60">
        <v>30.78</v>
      </c>
      <c r="I62" s="60">
        <v>0.36</v>
      </c>
      <c r="J62" s="60">
        <v>0.73</v>
      </c>
      <c r="K62" s="60">
        <v>107.8</v>
      </c>
      <c r="L62" s="60">
        <v>28.19</v>
      </c>
      <c r="M62" s="60">
        <v>46.75</v>
      </c>
      <c r="N62" s="60">
        <v>433.9</v>
      </c>
      <c r="O62" s="60">
        <v>0</v>
      </c>
      <c r="P62" s="60">
        <v>0.89</v>
      </c>
      <c r="Q62" s="60">
        <v>170.05</v>
      </c>
      <c r="R62" s="198"/>
      <c r="S62" s="198"/>
      <c r="T62" s="198"/>
      <c r="U62" s="198"/>
    </row>
    <row r="63" spans="1:21" s="12" customFormat="1" x14ac:dyDescent="0.25">
      <c r="A63" s="201" t="s">
        <v>2510</v>
      </c>
      <c r="B63" s="60">
        <v>5.15</v>
      </c>
      <c r="C63" s="60">
        <v>99.66</v>
      </c>
      <c r="D63" s="60">
        <v>59.13</v>
      </c>
      <c r="E63" s="60">
        <v>5.0999999999999996</v>
      </c>
      <c r="F63" s="60">
        <v>10.6</v>
      </c>
      <c r="G63" s="60">
        <v>80.56</v>
      </c>
      <c r="H63" s="60">
        <v>30.78</v>
      </c>
      <c r="I63" s="60">
        <v>0.36</v>
      </c>
      <c r="J63" s="60">
        <v>1.06</v>
      </c>
      <c r="K63" s="60">
        <v>107.4</v>
      </c>
      <c r="L63" s="60">
        <v>28.72</v>
      </c>
      <c r="M63" s="60">
        <v>53.1</v>
      </c>
      <c r="N63" s="60">
        <v>412.4</v>
      </c>
      <c r="O63" s="60">
        <v>0</v>
      </c>
      <c r="P63" s="60">
        <v>0.85</v>
      </c>
      <c r="Q63" s="60">
        <v>158.19999999999999</v>
      </c>
      <c r="R63" s="198"/>
      <c r="S63" s="198"/>
      <c r="T63" s="198"/>
      <c r="U63" s="198"/>
    </row>
    <row r="64" spans="1:21" s="12" customFormat="1" x14ac:dyDescent="0.25">
      <c r="A64" s="201" t="s">
        <v>2511</v>
      </c>
      <c r="B64" s="60">
        <v>3.51</v>
      </c>
      <c r="C64" s="60">
        <v>97.03</v>
      </c>
      <c r="D64" s="60">
        <v>56.37</v>
      </c>
      <c r="E64" s="60">
        <v>5.81</v>
      </c>
      <c r="F64" s="60">
        <v>6.92</v>
      </c>
      <c r="G64" s="60">
        <v>80.56</v>
      </c>
      <c r="H64" s="60">
        <v>30.78</v>
      </c>
      <c r="I64" s="60">
        <v>0.33</v>
      </c>
      <c r="J64" s="60">
        <v>0.66</v>
      </c>
      <c r="K64" s="60">
        <v>108.42</v>
      </c>
      <c r="L64" s="60">
        <v>28.32</v>
      </c>
      <c r="M64" s="60">
        <v>55.01</v>
      </c>
      <c r="N64" s="60">
        <v>369.2</v>
      </c>
      <c r="O64" s="60">
        <v>0</v>
      </c>
      <c r="P64" s="60">
        <v>0.83</v>
      </c>
      <c r="Q64" s="60">
        <v>150.83000000000001</v>
      </c>
      <c r="R64" s="198"/>
      <c r="S64" s="198"/>
      <c r="T64" s="198"/>
      <c r="U64" s="198"/>
    </row>
    <row r="65" spans="1:21" s="12" customFormat="1" x14ac:dyDescent="0.25">
      <c r="A65" s="201" t="s">
        <v>2512</v>
      </c>
      <c r="B65" s="60">
        <v>5.5</v>
      </c>
      <c r="C65" s="60">
        <v>100.79</v>
      </c>
      <c r="D65" s="60">
        <v>60.04</v>
      </c>
      <c r="E65" s="60">
        <v>5.7</v>
      </c>
      <c r="F65" s="60">
        <v>5.04</v>
      </c>
      <c r="G65" s="60">
        <v>72.709999999999994</v>
      </c>
      <c r="H65" s="60">
        <v>31.3</v>
      </c>
      <c r="I65" s="60">
        <v>0.28999999999999998</v>
      </c>
      <c r="J65" s="60">
        <v>0.61</v>
      </c>
      <c r="K65" s="60">
        <v>99.93</v>
      </c>
      <c r="L65" s="60">
        <v>30.78</v>
      </c>
      <c r="M65" s="60">
        <v>78.87</v>
      </c>
      <c r="N65" s="60">
        <v>337.5</v>
      </c>
      <c r="O65" s="60">
        <v>0</v>
      </c>
      <c r="P65" s="60">
        <v>0.85</v>
      </c>
      <c r="Q65" s="60">
        <v>148.85</v>
      </c>
      <c r="R65" s="198"/>
      <c r="S65" s="198"/>
      <c r="T65" s="198"/>
      <c r="U65" s="198"/>
    </row>
    <row r="66" spans="1:21" s="12" customFormat="1" x14ac:dyDescent="0.25">
      <c r="A66" s="201" t="s">
        <v>2513</v>
      </c>
      <c r="B66" s="60">
        <v>4.8499999999999996</v>
      </c>
      <c r="C66" s="60">
        <v>99.94</v>
      </c>
      <c r="D66" s="60">
        <v>59.04</v>
      </c>
      <c r="E66" s="60">
        <v>7.12</v>
      </c>
      <c r="F66" s="60">
        <v>4.7699999999999996</v>
      </c>
      <c r="G66" s="60">
        <v>72.709999999999994</v>
      </c>
      <c r="H66" s="60">
        <v>31.39</v>
      </c>
      <c r="I66" s="60">
        <v>0.28999999999999998</v>
      </c>
      <c r="J66" s="60">
        <v>0.68</v>
      </c>
      <c r="K66" s="60">
        <v>99.21</v>
      </c>
      <c r="L66" s="60">
        <v>31.12</v>
      </c>
      <c r="M66" s="60">
        <v>79.92</v>
      </c>
      <c r="N66" s="60">
        <v>277.7</v>
      </c>
      <c r="O66" s="60">
        <v>0</v>
      </c>
      <c r="P66" s="60">
        <v>0.84</v>
      </c>
      <c r="Q66" s="60">
        <v>155.82</v>
      </c>
      <c r="R66" s="198"/>
      <c r="S66" s="198"/>
      <c r="T66" s="198"/>
      <c r="U66" s="198"/>
    </row>
    <row r="67" spans="1:21" s="12" customFormat="1" x14ac:dyDescent="0.25">
      <c r="A67" s="201" t="s">
        <v>2514</v>
      </c>
      <c r="B67" s="60">
        <v>5.03</v>
      </c>
      <c r="C67" s="60">
        <v>99.51</v>
      </c>
      <c r="D67" s="60">
        <v>58.95</v>
      </c>
      <c r="E67" s="60">
        <v>7.1</v>
      </c>
      <c r="F67" s="60">
        <v>7.66</v>
      </c>
      <c r="G67" s="60">
        <v>72.709999999999994</v>
      </c>
      <c r="H67" s="60">
        <v>31.39</v>
      </c>
      <c r="I67" s="60">
        <v>0.28999999999999998</v>
      </c>
      <c r="J67" s="60">
        <v>0.8</v>
      </c>
      <c r="K67" s="60">
        <v>95.59</v>
      </c>
      <c r="L67" s="60">
        <v>31.08</v>
      </c>
      <c r="M67" s="60">
        <v>83.62</v>
      </c>
      <c r="N67" s="60">
        <v>186.7</v>
      </c>
      <c r="O67" s="60">
        <v>0</v>
      </c>
      <c r="P67" s="60">
        <v>0.84</v>
      </c>
      <c r="Q67" s="60">
        <v>163.72</v>
      </c>
      <c r="R67" s="198"/>
      <c r="S67" s="198"/>
      <c r="T67" s="198"/>
      <c r="U67" s="198"/>
    </row>
    <row r="68" spans="1:21" s="12" customFormat="1" x14ac:dyDescent="0.25">
      <c r="A68" s="201" t="s">
        <v>2515</v>
      </c>
      <c r="B68" s="60">
        <v>5.23</v>
      </c>
      <c r="C68" s="60">
        <v>100.84</v>
      </c>
      <c r="D68" s="60">
        <v>59.84</v>
      </c>
      <c r="E68" s="60">
        <v>10.17</v>
      </c>
      <c r="F68" s="60">
        <v>14.95</v>
      </c>
      <c r="G68" s="60">
        <v>72.709999999999994</v>
      </c>
      <c r="H68" s="60">
        <v>31.39</v>
      </c>
      <c r="I68" s="60">
        <v>0.28999999999999998</v>
      </c>
      <c r="J68" s="60">
        <v>0.74</v>
      </c>
      <c r="K68" s="60">
        <v>97.02</v>
      </c>
      <c r="L68" s="60">
        <v>30.8</v>
      </c>
      <c r="M68" s="60">
        <v>65.73</v>
      </c>
      <c r="N68" s="60">
        <v>159.6</v>
      </c>
      <c r="O68" s="60">
        <v>0</v>
      </c>
      <c r="P68" s="60">
        <v>0.87</v>
      </c>
      <c r="Q68" s="60">
        <v>172.51</v>
      </c>
      <c r="R68" s="198"/>
      <c r="S68" s="198"/>
      <c r="T68" s="198"/>
      <c r="U68" s="198"/>
    </row>
    <row r="69" spans="1:21" s="12" customFormat="1" x14ac:dyDescent="0.25">
      <c r="A69" s="201" t="s">
        <v>2516</v>
      </c>
      <c r="B69" s="60">
        <v>5.83</v>
      </c>
      <c r="C69" s="60">
        <v>113.14</v>
      </c>
      <c r="D69" s="60">
        <v>67.12</v>
      </c>
      <c r="E69" s="60">
        <v>9.8000000000000007</v>
      </c>
      <c r="F69" s="60">
        <v>7.56</v>
      </c>
      <c r="G69" s="60">
        <v>92.31</v>
      </c>
      <c r="H69" s="60">
        <v>32.64</v>
      </c>
      <c r="I69" s="60">
        <v>0.3</v>
      </c>
      <c r="J69" s="60">
        <v>0.76</v>
      </c>
      <c r="K69" s="60">
        <v>102.78</v>
      </c>
      <c r="L69" s="60">
        <v>30.01</v>
      </c>
      <c r="M69" s="60">
        <v>78.989999999999995</v>
      </c>
      <c r="N69" s="60">
        <v>112.5</v>
      </c>
      <c r="O69" s="60">
        <v>0</v>
      </c>
      <c r="P69" s="60">
        <v>0.9</v>
      </c>
      <c r="Q69" s="60">
        <v>168.23</v>
      </c>
      <c r="R69" s="198"/>
      <c r="S69" s="198"/>
      <c r="T69" s="198"/>
      <c r="U69" s="198"/>
    </row>
    <row r="70" spans="1:21" s="12" customFormat="1" x14ac:dyDescent="0.25">
      <c r="A70" s="201" t="s">
        <v>2517</v>
      </c>
      <c r="B70" s="60">
        <v>3.72</v>
      </c>
      <c r="C70" s="60">
        <v>102.37</v>
      </c>
      <c r="D70" s="60">
        <v>59.48</v>
      </c>
      <c r="E70" s="60">
        <v>10.17</v>
      </c>
      <c r="F70" s="60">
        <v>10.57</v>
      </c>
      <c r="G70" s="60">
        <v>92.31</v>
      </c>
      <c r="H70" s="60">
        <v>32.85</v>
      </c>
      <c r="I70" s="60">
        <v>0.3</v>
      </c>
      <c r="J70" s="60">
        <v>0.38</v>
      </c>
      <c r="K70" s="60">
        <v>102.96</v>
      </c>
      <c r="L70" s="60">
        <v>29.29</v>
      </c>
      <c r="M70" s="60">
        <v>77.87</v>
      </c>
      <c r="N70" s="60">
        <v>106.8</v>
      </c>
      <c r="O70" s="60">
        <v>0</v>
      </c>
      <c r="P70" s="60">
        <v>0.89</v>
      </c>
      <c r="Q70" s="60">
        <v>166.46</v>
      </c>
      <c r="R70" s="198"/>
      <c r="S70" s="198"/>
      <c r="T70" s="198"/>
      <c r="U70" s="198"/>
    </row>
    <row r="71" spans="1:21" s="12" customFormat="1" x14ac:dyDescent="0.25">
      <c r="A71" s="201" t="s">
        <v>2518</v>
      </c>
      <c r="B71" s="60">
        <v>6.02</v>
      </c>
      <c r="C71" s="60">
        <v>116.03</v>
      </c>
      <c r="D71" s="60">
        <v>68.86</v>
      </c>
      <c r="E71" s="60">
        <v>7.55</v>
      </c>
      <c r="F71" s="60">
        <v>8.25</v>
      </c>
      <c r="G71" s="60">
        <v>92.31</v>
      </c>
      <c r="H71" s="60">
        <v>32.85</v>
      </c>
      <c r="I71" s="60">
        <v>0.28999999999999998</v>
      </c>
      <c r="J71" s="60">
        <v>0.36</v>
      </c>
      <c r="K71" s="60">
        <v>109.88</v>
      </c>
      <c r="L71" s="60">
        <v>28.51</v>
      </c>
      <c r="M71" s="60">
        <v>82.83</v>
      </c>
      <c r="N71" s="60">
        <v>79.5</v>
      </c>
      <c r="O71" s="60">
        <v>0</v>
      </c>
      <c r="P71" s="60">
        <v>0.94</v>
      </c>
      <c r="Q71" s="60">
        <v>175.96</v>
      </c>
      <c r="R71" s="198"/>
      <c r="S71" s="198"/>
      <c r="T71" s="198"/>
      <c r="U71" s="198"/>
    </row>
    <row r="72" spans="1:21" s="12" customFormat="1" x14ac:dyDescent="0.25">
      <c r="A72" s="201" t="s">
        <v>2519</v>
      </c>
      <c r="B72" s="60">
        <v>6.14</v>
      </c>
      <c r="C72" s="60">
        <v>120.17</v>
      </c>
      <c r="D72" s="60">
        <v>71.239999999999995</v>
      </c>
      <c r="E72" s="60">
        <v>3.53</v>
      </c>
      <c r="F72" s="60">
        <v>8.9499999999999993</v>
      </c>
      <c r="G72" s="60">
        <v>92.31</v>
      </c>
      <c r="H72" s="60">
        <v>32.85</v>
      </c>
      <c r="I72" s="60">
        <v>0.28999999999999998</v>
      </c>
      <c r="J72" s="60">
        <v>0.97</v>
      </c>
      <c r="K72" s="60">
        <v>114.92</v>
      </c>
      <c r="L72" s="60">
        <v>27.91</v>
      </c>
      <c r="M72" s="60">
        <v>85.32</v>
      </c>
      <c r="N72" s="60">
        <v>66</v>
      </c>
      <c r="O72" s="60">
        <v>0</v>
      </c>
      <c r="P72" s="60">
        <v>0.99</v>
      </c>
      <c r="Q72" s="60">
        <v>181.59</v>
      </c>
      <c r="R72" s="198"/>
      <c r="S72" s="198"/>
      <c r="T72" s="198"/>
      <c r="U72" s="198"/>
    </row>
    <row r="73" spans="1:21" s="12" customFormat="1" x14ac:dyDescent="0.25">
      <c r="A73" s="201" t="s">
        <v>2520</v>
      </c>
      <c r="B73" s="60">
        <v>7.89</v>
      </c>
      <c r="C73" s="60">
        <v>121.05</v>
      </c>
      <c r="D73" s="60">
        <v>73.14</v>
      </c>
      <c r="E73" s="60">
        <v>6.91</v>
      </c>
      <c r="F73" s="60">
        <v>7.96</v>
      </c>
      <c r="G73" s="60">
        <v>81.99</v>
      </c>
      <c r="H73" s="60">
        <v>31.1</v>
      </c>
      <c r="I73" s="60">
        <v>0.3</v>
      </c>
      <c r="J73" s="60">
        <v>0.93</v>
      </c>
      <c r="K73" s="60">
        <v>117.34</v>
      </c>
      <c r="L73" s="60">
        <v>27.43</v>
      </c>
      <c r="M73" s="60">
        <v>83.41</v>
      </c>
      <c r="N73" s="60">
        <v>43.9</v>
      </c>
      <c r="O73" s="60">
        <v>0</v>
      </c>
      <c r="P73" s="60">
        <v>1</v>
      </c>
      <c r="Q73" s="60">
        <v>182.22</v>
      </c>
      <c r="R73" s="198"/>
      <c r="S73" s="198"/>
      <c r="T73" s="198"/>
      <c r="U73" s="198"/>
    </row>
    <row r="74" spans="1:21" s="12" customFormat="1" x14ac:dyDescent="0.25">
      <c r="A74" s="201" t="s">
        <v>2521</v>
      </c>
      <c r="B74" s="60">
        <v>5.36</v>
      </c>
      <c r="C74" s="60">
        <v>124.11</v>
      </c>
      <c r="D74" s="60">
        <v>72.790000000000006</v>
      </c>
      <c r="E74" s="60">
        <v>5.0599999999999996</v>
      </c>
      <c r="F74" s="60">
        <v>4.2</v>
      </c>
      <c r="G74" s="60">
        <v>81.99</v>
      </c>
      <c r="H74" s="60">
        <v>30.8</v>
      </c>
      <c r="I74" s="60">
        <v>0.31</v>
      </c>
      <c r="J74" s="60">
        <v>0.65</v>
      </c>
      <c r="K74" s="60">
        <v>121.39</v>
      </c>
      <c r="L74" s="60">
        <v>27.04</v>
      </c>
      <c r="M74" s="60">
        <v>79.430000000000007</v>
      </c>
      <c r="N74" s="60">
        <v>32.200000000000003</v>
      </c>
      <c r="O74" s="60">
        <v>0</v>
      </c>
      <c r="P74" s="60">
        <v>1.04</v>
      </c>
      <c r="Q74" s="60">
        <v>175.51</v>
      </c>
      <c r="R74" s="198"/>
      <c r="S74" s="198"/>
      <c r="T74" s="198"/>
      <c r="U74" s="198"/>
    </row>
    <row r="75" spans="1:21" s="12" customFormat="1" x14ac:dyDescent="0.25">
      <c r="A75" s="201" t="s">
        <v>2522</v>
      </c>
      <c r="B75" s="60">
        <v>6.22</v>
      </c>
      <c r="C75" s="60">
        <v>128.19999999999999</v>
      </c>
      <c r="D75" s="60">
        <v>75.739999999999995</v>
      </c>
      <c r="E75" s="60">
        <v>4.95</v>
      </c>
      <c r="F75" s="60">
        <v>3.63</v>
      </c>
      <c r="G75" s="60">
        <v>81.99</v>
      </c>
      <c r="H75" s="60">
        <v>30.8</v>
      </c>
      <c r="I75" s="60">
        <v>0.31</v>
      </c>
      <c r="J75" s="60">
        <v>0.53</v>
      </c>
      <c r="K75" s="60">
        <v>123.65</v>
      </c>
      <c r="L75" s="60">
        <v>26.44</v>
      </c>
      <c r="M75" s="60">
        <v>82.05</v>
      </c>
      <c r="N75" s="60">
        <v>20.6</v>
      </c>
      <c r="O75" s="60">
        <v>0</v>
      </c>
      <c r="P75" s="60">
        <v>1.1000000000000001</v>
      </c>
      <c r="Q75" s="60">
        <v>173.44</v>
      </c>
      <c r="R75" s="198"/>
      <c r="S75" s="198"/>
      <c r="T75" s="198"/>
      <c r="U75" s="198"/>
    </row>
    <row r="76" spans="1:21" s="12" customFormat="1" x14ac:dyDescent="0.25">
      <c r="A76" s="201" t="s">
        <v>2523</v>
      </c>
      <c r="B76" s="60">
        <v>8.4</v>
      </c>
      <c r="C76" s="60">
        <v>140.01</v>
      </c>
      <c r="D76" s="60">
        <v>84</v>
      </c>
      <c r="E76" s="60">
        <v>4.95</v>
      </c>
      <c r="F76" s="60">
        <v>5.1100000000000003</v>
      </c>
      <c r="G76" s="60">
        <v>81.99</v>
      </c>
      <c r="H76" s="60">
        <v>30.8</v>
      </c>
      <c r="I76" s="60">
        <v>0.31</v>
      </c>
      <c r="J76" s="60">
        <v>0.44</v>
      </c>
      <c r="K76" s="60">
        <v>135.69</v>
      </c>
      <c r="L76" s="60">
        <v>25.56</v>
      </c>
      <c r="M76" s="60">
        <v>79.16</v>
      </c>
      <c r="N76" s="60">
        <v>13.1</v>
      </c>
      <c r="O76" s="60">
        <v>0</v>
      </c>
      <c r="P76" s="60">
        <v>1.24</v>
      </c>
      <c r="Q76" s="60">
        <v>171.67</v>
      </c>
      <c r="R76" s="198"/>
      <c r="S76" s="198"/>
      <c r="T76" s="198"/>
      <c r="U76" s="198"/>
    </row>
    <row r="77" spans="1:21" s="12" customFormat="1" x14ac:dyDescent="0.25">
      <c r="A77" s="201" t="s">
        <v>2524</v>
      </c>
      <c r="B77" s="60">
        <v>8.6300000000000008</v>
      </c>
      <c r="C77" s="60">
        <v>139.22999999999999</v>
      </c>
      <c r="D77" s="60">
        <v>83.76</v>
      </c>
      <c r="E77" s="60">
        <v>3.8</v>
      </c>
      <c r="F77" s="60">
        <v>1.94</v>
      </c>
      <c r="G77" s="60">
        <v>95.55</v>
      </c>
      <c r="H77" s="60">
        <v>31.18</v>
      </c>
      <c r="I77" s="60">
        <v>0.31</v>
      </c>
      <c r="J77" s="60">
        <v>0.35</v>
      </c>
      <c r="K77" s="60">
        <v>146.19999999999999</v>
      </c>
      <c r="L77" s="60">
        <v>24.65</v>
      </c>
      <c r="M77" s="60">
        <v>70.95</v>
      </c>
      <c r="N77" s="60">
        <v>5.3</v>
      </c>
      <c r="O77" s="60">
        <v>0</v>
      </c>
      <c r="P77" s="60">
        <v>1.29</v>
      </c>
      <c r="Q77" s="60">
        <v>172.47</v>
      </c>
      <c r="R77" s="198"/>
      <c r="S77" s="198"/>
      <c r="T77" s="198"/>
      <c r="U77" s="198"/>
    </row>
    <row r="78" spans="1:21" s="12" customFormat="1" x14ac:dyDescent="0.25">
      <c r="A78" s="201" t="s">
        <v>2525</v>
      </c>
      <c r="B78" s="60">
        <v>12.07</v>
      </c>
      <c r="C78" s="60">
        <v>138.72</v>
      </c>
      <c r="D78" s="60">
        <v>86.23</v>
      </c>
      <c r="E78" s="60">
        <v>3.86</v>
      </c>
      <c r="F78" s="60">
        <v>0.75</v>
      </c>
      <c r="G78" s="60">
        <v>95.55</v>
      </c>
      <c r="H78" s="60">
        <v>31.25</v>
      </c>
      <c r="I78" s="60">
        <v>0.32</v>
      </c>
      <c r="J78" s="60">
        <v>0.13</v>
      </c>
      <c r="K78" s="60">
        <v>153.13999999999999</v>
      </c>
      <c r="L78" s="60">
        <v>23.85</v>
      </c>
      <c r="M78" s="60">
        <v>49.76</v>
      </c>
      <c r="N78" s="60">
        <v>2.4</v>
      </c>
      <c r="O78" s="60">
        <v>0</v>
      </c>
      <c r="P78" s="60">
        <v>1.36</v>
      </c>
      <c r="Q78" s="60">
        <v>182.84</v>
      </c>
      <c r="R78" s="198"/>
      <c r="S78" s="198"/>
      <c r="T78" s="198"/>
      <c r="U78" s="198"/>
    </row>
    <row r="79" spans="1:21" s="12" customFormat="1" x14ac:dyDescent="0.25">
      <c r="A79" s="201" t="s">
        <v>2526</v>
      </c>
      <c r="B79" s="60">
        <v>14.82</v>
      </c>
      <c r="C79" s="60">
        <v>146.66</v>
      </c>
      <c r="D79" s="60">
        <v>92.82</v>
      </c>
      <c r="E79" s="60">
        <v>3.81</v>
      </c>
      <c r="F79" s="60">
        <v>0.61</v>
      </c>
      <c r="G79" s="60">
        <v>95.55</v>
      </c>
      <c r="H79" s="60">
        <v>31.25</v>
      </c>
      <c r="I79" s="60">
        <v>0.35</v>
      </c>
      <c r="J79" s="60">
        <v>0.15</v>
      </c>
      <c r="K79" s="60">
        <v>161.79</v>
      </c>
      <c r="L79" s="60">
        <v>23.1</v>
      </c>
      <c r="M79" s="60">
        <v>40.56</v>
      </c>
      <c r="N79" s="60">
        <v>1.5</v>
      </c>
      <c r="O79" s="60">
        <v>0</v>
      </c>
      <c r="P79" s="60">
        <v>1.45</v>
      </c>
      <c r="Q79" s="60">
        <v>193.03</v>
      </c>
      <c r="R79" s="198"/>
      <c r="S79" s="198"/>
      <c r="T79" s="198"/>
      <c r="U79" s="198"/>
    </row>
    <row r="80" spans="1:21" s="12" customFormat="1" x14ac:dyDescent="0.25">
      <c r="A80" s="201" t="s">
        <v>2527</v>
      </c>
      <c r="B80" s="60">
        <v>16.440000000000001</v>
      </c>
      <c r="C80" s="60">
        <v>147.36000000000001</v>
      </c>
      <c r="D80" s="60">
        <v>94.5</v>
      </c>
      <c r="E80" s="60">
        <v>3.63</v>
      </c>
      <c r="F80" s="60">
        <v>0.65</v>
      </c>
      <c r="G80" s="60">
        <v>95.55</v>
      </c>
      <c r="H80" s="60">
        <v>31.25</v>
      </c>
      <c r="I80" s="60">
        <v>0.38</v>
      </c>
      <c r="J80" s="60">
        <v>0.19</v>
      </c>
      <c r="K80" s="60">
        <v>182.61</v>
      </c>
      <c r="L80" s="60">
        <v>22.38</v>
      </c>
      <c r="M80" s="60">
        <v>36.729999999999997</v>
      </c>
      <c r="N80" s="60">
        <v>1.1000000000000001</v>
      </c>
      <c r="O80" s="60">
        <v>0</v>
      </c>
      <c r="P80" s="60">
        <v>1.53</v>
      </c>
      <c r="Q80" s="60">
        <v>201.57</v>
      </c>
      <c r="R80" s="198"/>
      <c r="S80" s="198"/>
      <c r="T80" s="198"/>
      <c r="U80" s="198"/>
    </row>
    <row r="81" spans="1:26" s="12" customFormat="1" x14ac:dyDescent="0.25">
      <c r="A81" s="201" t="s">
        <v>2528</v>
      </c>
      <c r="B81" s="60">
        <v>30.12</v>
      </c>
      <c r="C81" s="60">
        <v>159</v>
      </c>
      <c r="D81" s="60">
        <v>111.91</v>
      </c>
      <c r="E81" s="60">
        <v>4.1900000000000004</v>
      </c>
      <c r="F81" s="60">
        <v>1.44</v>
      </c>
      <c r="G81" s="60">
        <v>204.5</v>
      </c>
      <c r="H81" s="60">
        <v>45.02</v>
      </c>
      <c r="I81" s="60">
        <v>0.4</v>
      </c>
      <c r="J81" s="60">
        <v>0.13</v>
      </c>
      <c r="K81" s="60">
        <v>203.79</v>
      </c>
      <c r="L81" s="60">
        <v>21.73</v>
      </c>
      <c r="M81" s="60">
        <v>35.86</v>
      </c>
      <c r="N81" s="60">
        <v>1.1000000000000001</v>
      </c>
      <c r="O81" s="60">
        <v>0</v>
      </c>
      <c r="P81" s="60">
        <v>1.72</v>
      </c>
      <c r="Q81" s="60">
        <v>214.63</v>
      </c>
      <c r="R81" s="198"/>
      <c r="S81" s="198"/>
      <c r="T81" s="198"/>
      <c r="U81" s="198"/>
    </row>
    <row r="82" spans="1:26" s="12" customFormat="1" x14ac:dyDescent="0.25">
      <c r="A82" s="201" t="s">
        <v>2529</v>
      </c>
      <c r="B82" s="60">
        <v>38.909999999999997</v>
      </c>
      <c r="C82" s="60">
        <v>164.44</v>
      </c>
      <c r="D82" s="60">
        <v>121.95</v>
      </c>
      <c r="E82" s="60">
        <v>4.18</v>
      </c>
      <c r="F82" s="60">
        <v>1.48</v>
      </c>
      <c r="G82" s="60">
        <v>204.5</v>
      </c>
      <c r="H82" s="60">
        <v>47.34</v>
      </c>
      <c r="I82" s="60">
        <v>0.45</v>
      </c>
      <c r="J82" s="60">
        <v>0.11</v>
      </c>
      <c r="K82" s="60">
        <v>197.96</v>
      </c>
      <c r="L82" s="60">
        <v>21.35</v>
      </c>
      <c r="M82" s="60">
        <v>60.27</v>
      </c>
      <c r="N82" s="60">
        <v>1.1000000000000001</v>
      </c>
      <c r="O82" s="60">
        <v>0</v>
      </c>
      <c r="P82" s="60">
        <v>1.86</v>
      </c>
      <c r="Q82" s="60">
        <v>235.61</v>
      </c>
      <c r="R82" s="198"/>
      <c r="S82" s="198"/>
      <c r="T82" s="198"/>
      <c r="U82" s="198"/>
    </row>
    <row r="83" spans="1:26" s="12" customFormat="1" x14ac:dyDescent="0.25">
      <c r="A83" s="201" t="s">
        <v>2530</v>
      </c>
      <c r="B83" s="60">
        <v>44.29</v>
      </c>
      <c r="C83" s="60">
        <v>168.46</v>
      </c>
      <c r="D83" s="60">
        <v>128.49</v>
      </c>
      <c r="E83" s="60">
        <v>3.99</v>
      </c>
      <c r="F83" s="60">
        <v>1.27</v>
      </c>
      <c r="G83" s="60">
        <v>204.5</v>
      </c>
      <c r="H83" s="60">
        <v>47.34</v>
      </c>
      <c r="I83" s="60">
        <v>0.53</v>
      </c>
      <c r="J83" s="60">
        <v>0.17</v>
      </c>
      <c r="K83" s="60">
        <v>209.48</v>
      </c>
      <c r="L83" s="60">
        <v>20.99</v>
      </c>
      <c r="M83" s="60">
        <v>47.06</v>
      </c>
      <c r="N83" s="60">
        <v>0.9</v>
      </c>
      <c r="O83" s="60">
        <v>0</v>
      </c>
      <c r="P83" s="60">
        <v>1.98</v>
      </c>
      <c r="Q83" s="60">
        <v>253.48</v>
      </c>
      <c r="R83" s="198"/>
      <c r="S83" s="198"/>
      <c r="T83" s="198"/>
      <c r="U83" s="198"/>
    </row>
    <row r="84" spans="1:26" s="12" customFormat="1" x14ac:dyDescent="0.25">
      <c r="A84" s="201" t="s">
        <v>2531</v>
      </c>
      <c r="B84" s="60">
        <v>50.48</v>
      </c>
      <c r="C84" s="60">
        <v>177.46</v>
      </c>
      <c r="D84" s="60">
        <v>138.41999999999999</v>
      </c>
      <c r="E84" s="60">
        <v>4.37</v>
      </c>
      <c r="F84" s="60">
        <v>0.87</v>
      </c>
      <c r="G84" s="60">
        <v>204.5</v>
      </c>
      <c r="H84" s="60">
        <v>47.34</v>
      </c>
      <c r="I84" s="60">
        <v>0.61</v>
      </c>
      <c r="J84" s="60">
        <v>0.14000000000000001</v>
      </c>
      <c r="K84" s="60">
        <v>214.13</v>
      </c>
      <c r="L84" s="60">
        <v>20.95</v>
      </c>
      <c r="M84" s="60">
        <v>46.29</v>
      </c>
      <c r="N84" s="60">
        <v>0.8</v>
      </c>
      <c r="O84" s="60">
        <v>0</v>
      </c>
      <c r="P84" s="60">
        <v>2.14</v>
      </c>
      <c r="Q84" s="60">
        <v>267.73</v>
      </c>
      <c r="R84" s="198"/>
      <c r="S84" s="198"/>
      <c r="T84" s="198"/>
      <c r="U84" s="198"/>
    </row>
    <row r="85" spans="1:26" s="12" customFormat="1" x14ac:dyDescent="0.25">
      <c r="A85" s="201" t="s">
        <v>2532</v>
      </c>
      <c r="B85" s="60">
        <v>53.69</v>
      </c>
      <c r="C85" s="60">
        <v>174.55</v>
      </c>
      <c r="D85" s="60">
        <v>139.38</v>
      </c>
      <c r="E85" s="60">
        <v>4.46</v>
      </c>
      <c r="F85" s="60">
        <v>1.24</v>
      </c>
      <c r="G85" s="60">
        <v>324.31</v>
      </c>
      <c r="H85" s="60">
        <v>55.83</v>
      </c>
      <c r="I85" s="60">
        <v>0.68</v>
      </c>
      <c r="J85" s="60">
        <v>0.16</v>
      </c>
      <c r="K85" s="60">
        <v>218.14</v>
      </c>
      <c r="L85" s="60">
        <v>20.78</v>
      </c>
      <c r="M85" s="60">
        <v>82.12</v>
      </c>
      <c r="N85" s="60">
        <v>0.9</v>
      </c>
      <c r="O85" s="60">
        <v>0</v>
      </c>
      <c r="P85" s="60">
        <v>2.1</v>
      </c>
      <c r="Q85" s="60">
        <v>275.72000000000003</v>
      </c>
      <c r="R85" s="198"/>
      <c r="S85" s="198"/>
      <c r="T85" s="198"/>
      <c r="U85" s="198"/>
    </row>
    <row r="86" spans="1:26" s="12" customFormat="1" x14ac:dyDescent="0.25">
      <c r="A86" s="201" t="s">
        <v>2533</v>
      </c>
      <c r="B86" s="60">
        <v>62.55</v>
      </c>
      <c r="C86" s="60">
        <v>181.17</v>
      </c>
      <c r="D86" s="60">
        <v>150.13999999999999</v>
      </c>
      <c r="E86" s="60">
        <v>4.28</v>
      </c>
      <c r="F86" s="60">
        <v>0.83</v>
      </c>
      <c r="G86" s="60">
        <v>324.31</v>
      </c>
      <c r="H86" s="60">
        <v>57.27</v>
      </c>
      <c r="I86" s="60">
        <v>0.77</v>
      </c>
      <c r="J86" s="60">
        <v>0.21</v>
      </c>
      <c r="K86" s="60">
        <v>215.7</v>
      </c>
      <c r="L86" s="60">
        <v>20.64</v>
      </c>
      <c r="M86" s="60">
        <v>23.45</v>
      </c>
      <c r="N86" s="60">
        <v>0.6</v>
      </c>
      <c r="O86" s="60">
        <v>0</v>
      </c>
      <c r="P86" s="60">
        <v>2.41</v>
      </c>
      <c r="Q86" s="60">
        <v>286.95999999999998</v>
      </c>
      <c r="R86" s="198"/>
      <c r="S86" s="198"/>
      <c r="T86" s="198"/>
      <c r="U86" s="198"/>
    </row>
    <row r="87" spans="1:26" s="12" customFormat="1" x14ac:dyDescent="0.25">
      <c r="A87" s="201" t="s">
        <v>2534</v>
      </c>
      <c r="B87" s="60">
        <v>66.400000000000006</v>
      </c>
      <c r="C87" s="60">
        <v>188.88</v>
      </c>
      <c r="D87" s="60">
        <v>157.47999999999999</v>
      </c>
      <c r="E87" s="60">
        <v>5.45</v>
      </c>
      <c r="F87" s="60">
        <v>0.72</v>
      </c>
      <c r="G87" s="60">
        <v>324.31</v>
      </c>
      <c r="H87" s="60">
        <v>57.27</v>
      </c>
      <c r="I87" s="60">
        <v>0.85</v>
      </c>
      <c r="J87" s="60">
        <v>0.22</v>
      </c>
      <c r="K87" s="60">
        <v>197.45</v>
      </c>
      <c r="L87" s="60">
        <v>21.02</v>
      </c>
      <c r="M87" s="60">
        <v>37.85</v>
      </c>
      <c r="N87" s="60">
        <v>0.5</v>
      </c>
      <c r="O87" s="60">
        <v>0</v>
      </c>
      <c r="P87" s="60">
        <v>2.6</v>
      </c>
      <c r="Q87" s="60">
        <v>303.48</v>
      </c>
      <c r="R87" s="198"/>
      <c r="S87" s="198"/>
      <c r="T87" s="198"/>
      <c r="U87" s="198"/>
    </row>
    <row r="88" spans="1:26" s="12" customFormat="1" x14ac:dyDescent="0.25">
      <c r="A88" s="201" t="s">
        <v>2535</v>
      </c>
      <c r="B88" s="60">
        <v>72.290000000000006</v>
      </c>
      <c r="C88" s="60">
        <v>191.1</v>
      </c>
      <c r="D88" s="60">
        <v>163.43</v>
      </c>
      <c r="E88" s="60">
        <v>2.69</v>
      </c>
      <c r="F88" s="60">
        <v>1.56</v>
      </c>
      <c r="G88" s="60">
        <v>324.31</v>
      </c>
      <c r="H88" s="60">
        <v>57.27</v>
      </c>
      <c r="I88" s="60">
        <v>0.96</v>
      </c>
      <c r="J88" s="60">
        <v>0.13</v>
      </c>
      <c r="K88" s="60">
        <v>184.33</v>
      </c>
      <c r="L88" s="60">
        <v>20.95</v>
      </c>
      <c r="M88" s="60">
        <v>18.399999999999999</v>
      </c>
      <c r="N88" s="60">
        <v>1</v>
      </c>
      <c r="O88" s="60">
        <v>0</v>
      </c>
      <c r="P88" s="60">
        <v>2.78</v>
      </c>
      <c r="Q88" s="60">
        <v>316.54000000000002</v>
      </c>
      <c r="R88" s="198"/>
      <c r="S88" s="198"/>
      <c r="T88" s="198"/>
      <c r="U88" s="198"/>
    </row>
    <row r="89" spans="1:26" s="12" customFormat="1" x14ac:dyDescent="0.25">
      <c r="A89" s="201" t="s">
        <v>2536</v>
      </c>
      <c r="B89" s="60">
        <v>72.45</v>
      </c>
      <c r="C89" s="60">
        <v>186.5</v>
      </c>
      <c r="D89" s="60">
        <v>161.03</v>
      </c>
      <c r="E89" s="60">
        <v>3.47</v>
      </c>
      <c r="F89" s="60">
        <v>1.23</v>
      </c>
      <c r="G89" s="60">
        <v>280.60000000000002</v>
      </c>
      <c r="H89" s="60">
        <v>57.76</v>
      </c>
      <c r="I89" s="60">
        <v>1.04</v>
      </c>
      <c r="J89" s="60">
        <v>0.12</v>
      </c>
      <c r="K89" s="60">
        <v>193.97</v>
      </c>
      <c r="L89" s="60">
        <v>20.27</v>
      </c>
      <c r="M89" s="60">
        <v>41.03</v>
      </c>
      <c r="N89" s="60">
        <v>1.1000000000000001</v>
      </c>
      <c r="O89" s="60">
        <v>0</v>
      </c>
      <c r="P89" s="60">
        <v>2.86</v>
      </c>
      <c r="Q89" s="60">
        <v>317</v>
      </c>
      <c r="R89" s="198"/>
      <c r="S89" s="198"/>
      <c r="T89" s="198"/>
      <c r="U89" s="198"/>
    </row>
    <row r="90" spans="1:26" s="12" customFormat="1" x14ac:dyDescent="0.25">
      <c r="A90" s="201" t="s">
        <v>2537</v>
      </c>
      <c r="B90" s="60">
        <v>72</v>
      </c>
      <c r="C90" s="60">
        <v>185.01</v>
      </c>
      <c r="D90" s="60">
        <v>159.84</v>
      </c>
      <c r="E90" s="60">
        <v>3.82</v>
      </c>
      <c r="F90" s="60">
        <v>0.66</v>
      </c>
      <c r="G90" s="60">
        <v>280.60000000000002</v>
      </c>
      <c r="H90" s="60">
        <v>57.84</v>
      </c>
      <c r="I90" s="60">
        <v>1.1100000000000001</v>
      </c>
      <c r="J90" s="60">
        <v>0.1</v>
      </c>
      <c r="K90" s="60">
        <v>196.8</v>
      </c>
      <c r="L90" s="60">
        <v>20.09</v>
      </c>
      <c r="M90" s="60">
        <v>64.709999999999994</v>
      </c>
      <c r="N90" s="60">
        <v>1.1000000000000001</v>
      </c>
      <c r="O90" s="60">
        <v>0</v>
      </c>
      <c r="P90" s="60">
        <v>2.9</v>
      </c>
      <c r="Q90" s="60">
        <v>317.58</v>
      </c>
      <c r="R90" s="198"/>
      <c r="S90" s="198"/>
      <c r="T90" s="198"/>
      <c r="U90" s="198"/>
    </row>
    <row r="91" spans="1:26" s="12" customFormat="1" x14ac:dyDescent="0.25">
      <c r="A91" s="201" t="s">
        <v>2538</v>
      </c>
      <c r="B91" s="60">
        <v>73.17</v>
      </c>
      <c r="C91" s="60">
        <v>186.28</v>
      </c>
      <c r="D91" s="60">
        <v>161.47999999999999</v>
      </c>
      <c r="E91" s="60">
        <v>4.34</v>
      </c>
      <c r="F91" s="60">
        <v>0.79</v>
      </c>
      <c r="G91" s="60">
        <v>280.60000000000002</v>
      </c>
      <c r="H91" s="60">
        <v>57.84</v>
      </c>
      <c r="I91" s="60">
        <v>1.1399999999999999</v>
      </c>
      <c r="J91" s="60">
        <v>0.12</v>
      </c>
      <c r="K91" s="60">
        <v>206.31</v>
      </c>
      <c r="L91" s="60">
        <v>19.71</v>
      </c>
      <c r="M91" s="60">
        <v>84.42</v>
      </c>
      <c r="N91" s="60">
        <v>1</v>
      </c>
      <c r="O91" s="60">
        <v>0</v>
      </c>
      <c r="P91" s="60">
        <v>2.94</v>
      </c>
      <c r="Q91" s="60">
        <v>320.08999999999997</v>
      </c>
      <c r="R91" s="198"/>
      <c r="S91" s="198"/>
      <c r="T91" s="198"/>
      <c r="U91" s="198"/>
    </row>
    <row r="92" spans="1:26" s="12" customFormat="1" x14ac:dyDescent="0.25">
      <c r="A92" s="201" t="s">
        <v>2539</v>
      </c>
      <c r="B92" s="60">
        <v>79.650000000000006</v>
      </c>
      <c r="C92" s="60">
        <v>192.33</v>
      </c>
      <c r="D92" s="60">
        <v>170.02</v>
      </c>
      <c r="E92" s="60">
        <v>4.08</v>
      </c>
      <c r="F92" s="60">
        <v>0.27</v>
      </c>
      <c r="G92" s="60">
        <v>280.60000000000002</v>
      </c>
      <c r="H92" s="60">
        <v>57.84</v>
      </c>
      <c r="I92" s="60">
        <v>1.17</v>
      </c>
      <c r="J92" s="60">
        <v>0.06</v>
      </c>
      <c r="K92" s="60">
        <v>221.9</v>
      </c>
      <c r="L92" s="60">
        <v>19.39</v>
      </c>
      <c r="M92" s="60">
        <v>92.53</v>
      </c>
      <c r="N92" s="60">
        <v>1.1000000000000001</v>
      </c>
      <c r="O92" s="60">
        <v>0</v>
      </c>
      <c r="P92" s="60">
        <v>3.03</v>
      </c>
      <c r="Q92" s="60">
        <v>327.63</v>
      </c>
      <c r="R92" s="198"/>
      <c r="S92" s="198"/>
      <c r="T92" s="198"/>
      <c r="U92" s="198"/>
    </row>
    <row r="93" spans="1:26" s="12" customFormat="1" x14ac:dyDescent="0.25">
      <c r="A93" s="201" t="s">
        <v>2540</v>
      </c>
      <c r="B93" s="60">
        <v>90.32</v>
      </c>
      <c r="C93" s="60">
        <v>201.15</v>
      </c>
      <c r="D93" s="60">
        <v>183.44</v>
      </c>
      <c r="E93" s="60">
        <v>4.0999999999999996</v>
      </c>
      <c r="F93" s="60">
        <v>0.55000000000000004</v>
      </c>
      <c r="G93" s="60">
        <v>236.2</v>
      </c>
      <c r="H93" s="60">
        <v>58.93</v>
      </c>
      <c r="I93" s="60">
        <v>1.19</v>
      </c>
      <c r="J93" s="60">
        <v>0.15</v>
      </c>
      <c r="K93" s="60">
        <v>228.16</v>
      </c>
      <c r="L93" s="60">
        <v>19.059999999999999</v>
      </c>
      <c r="M93" s="60">
        <v>72.599999999999994</v>
      </c>
      <c r="N93" s="60">
        <v>1</v>
      </c>
      <c r="O93" s="60">
        <v>0</v>
      </c>
      <c r="P93" s="60">
        <v>3.12</v>
      </c>
      <c r="Q93" s="60">
        <v>339.03</v>
      </c>
      <c r="R93" s="198"/>
      <c r="S93" s="198"/>
      <c r="T93" s="198"/>
      <c r="U93" s="198"/>
    </row>
    <row r="94" spans="1:26" s="12" customFormat="1" x14ac:dyDescent="0.25">
      <c r="A94" s="201" t="s">
        <v>2541</v>
      </c>
      <c r="B94" s="60">
        <v>102.09</v>
      </c>
      <c r="C94" s="60">
        <v>210.95</v>
      </c>
      <c r="D94" s="60">
        <v>198.29</v>
      </c>
      <c r="E94" s="60">
        <v>4.2</v>
      </c>
      <c r="F94" s="60">
        <v>1.47</v>
      </c>
      <c r="G94" s="60">
        <v>236.2</v>
      </c>
      <c r="H94" s="60">
        <v>59.11</v>
      </c>
      <c r="I94" s="60">
        <v>1.23</v>
      </c>
      <c r="J94" s="60">
        <v>0.16</v>
      </c>
      <c r="K94" s="60">
        <v>242.59</v>
      </c>
      <c r="L94" s="60">
        <v>18.77</v>
      </c>
      <c r="M94" s="60">
        <v>82.14</v>
      </c>
      <c r="N94" s="60">
        <v>0.8</v>
      </c>
      <c r="O94" s="60">
        <v>0</v>
      </c>
      <c r="P94" s="60">
        <v>3.3</v>
      </c>
      <c r="Q94" s="60">
        <v>351.14</v>
      </c>
      <c r="R94" s="198"/>
      <c r="S94" s="198"/>
      <c r="T94" s="198"/>
      <c r="U94" s="198"/>
    </row>
    <row r="95" spans="1:26" s="12" customFormat="1" x14ac:dyDescent="0.25">
      <c r="A95" s="201" t="s">
        <v>2542</v>
      </c>
      <c r="B95" s="60">
        <v>126.73</v>
      </c>
      <c r="C95" s="60">
        <v>232.96</v>
      </c>
      <c r="D95" s="60">
        <v>230.19</v>
      </c>
      <c r="E95" s="60">
        <v>4.93</v>
      </c>
      <c r="F95" s="60">
        <v>1.06</v>
      </c>
      <c r="G95" s="60">
        <v>236.2</v>
      </c>
      <c r="H95" s="60">
        <v>59.11</v>
      </c>
      <c r="I95" s="60">
        <v>1.28</v>
      </c>
      <c r="J95" s="60">
        <v>0.12</v>
      </c>
      <c r="K95" s="60">
        <v>234.6</v>
      </c>
      <c r="L95" s="60">
        <v>18.399999999999999</v>
      </c>
      <c r="M95" s="60">
        <v>49.04</v>
      </c>
      <c r="N95" s="60">
        <v>0.9</v>
      </c>
      <c r="O95" s="60">
        <v>0</v>
      </c>
      <c r="P95" s="60">
        <v>3.54</v>
      </c>
      <c r="Q95" s="60">
        <v>371.78</v>
      </c>
      <c r="R95" s="198"/>
      <c r="S95" s="198"/>
      <c r="T95" s="198"/>
      <c r="U95" s="198"/>
    </row>
    <row r="96" spans="1:26" s="12" customFormat="1" x14ac:dyDescent="0.25">
      <c r="A96" s="201" t="s">
        <v>2543</v>
      </c>
      <c r="B96" s="60">
        <v>138.77000000000001</v>
      </c>
      <c r="C96" s="60">
        <v>245.74</v>
      </c>
      <c r="D96" s="60">
        <v>246.9</v>
      </c>
      <c r="E96" s="60">
        <v>5.1100000000000003</v>
      </c>
      <c r="F96" s="60">
        <v>0.8</v>
      </c>
      <c r="G96" s="60">
        <v>236.2</v>
      </c>
      <c r="H96" s="60">
        <v>59.11</v>
      </c>
      <c r="I96" s="60">
        <v>1.36</v>
      </c>
      <c r="J96" s="60">
        <v>0.14000000000000001</v>
      </c>
      <c r="K96" s="60">
        <v>234.3</v>
      </c>
      <c r="L96" s="60">
        <v>18.350000000000001</v>
      </c>
      <c r="M96" s="60">
        <v>75.97</v>
      </c>
      <c r="N96" s="60">
        <v>0.8</v>
      </c>
      <c r="O96" s="60">
        <v>0</v>
      </c>
      <c r="P96" s="60">
        <v>3.66</v>
      </c>
      <c r="Q96" s="60">
        <v>392.74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2544</v>
      </c>
      <c r="B97" s="60">
        <v>152.5</v>
      </c>
      <c r="C97" s="60">
        <v>256.94</v>
      </c>
      <c r="D97" s="60">
        <v>264.08999999999997</v>
      </c>
      <c r="E97" s="60">
        <v>4.99</v>
      </c>
      <c r="F97" s="60">
        <v>0.56000000000000005</v>
      </c>
      <c r="G97" s="60">
        <v>291.94</v>
      </c>
      <c r="H97" s="60">
        <v>60.75</v>
      </c>
      <c r="I97" s="60">
        <v>1.46</v>
      </c>
      <c r="J97" s="60">
        <v>0.21</v>
      </c>
      <c r="K97" s="60">
        <v>246.74</v>
      </c>
      <c r="L97" s="60">
        <v>18.2</v>
      </c>
      <c r="M97" s="60">
        <v>76.28</v>
      </c>
      <c r="N97" s="60">
        <v>0.8</v>
      </c>
      <c r="O97" s="60">
        <v>0</v>
      </c>
      <c r="P97" s="60">
        <v>3.78</v>
      </c>
      <c r="Q97" s="218" t="s">
        <v>42</v>
      </c>
      <c r="R97" s="198"/>
      <c r="S97" s="198"/>
      <c r="T97" s="198"/>
      <c r="U97" s="198"/>
    </row>
    <row r="98" spans="1:33" s="12" customFormat="1" x14ac:dyDescent="0.25">
      <c r="A98" s="201" t="s">
        <v>2545</v>
      </c>
      <c r="B98" s="60">
        <v>168.76</v>
      </c>
      <c r="C98" s="60">
        <v>269.39</v>
      </c>
      <c r="D98" s="60">
        <v>284</v>
      </c>
      <c r="E98" s="60">
        <v>5.05</v>
      </c>
      <c r="F98" s="60">
        <v>0.6</v>
      </c>
      <c r="G98" s="60">
        <v>291.94</v>
      </c>
      <c r="H98" s="60">
        <v>61.02</v>
      </c>
      <c r="I98" s="60">
        <v>1.51</v>
      </c>
      <c r="J98" s="60">
        <v>0.17</v>
      </c>
      <c r="K98" s="60">
        <v>249.35</v>
      </c>
      <c r="L98" s="60">
        <v>17.93</v>
      </c>
      <c r="M98" s="60">
        <v>79.81</v>
      </c>
      <c r="N98" s="60">
        <v>0.8</v>
      </c>
      <c r="O98" s="60">
        <v>0</v>
      </c>
      <c r="P98" s="60">
        <v>3.93</v>
      </c>
      <c r="Q98" s="218" t="s">
        <v>42</v>
      </c>
      <c r="R98" s="198"/>
      <c r="S98" s="198"/>
      <c r="T98" s="198"/>
      <c r="U98" s="198"/>
    </row>
    <row r="99" spans="1:33" s="12" customFormat="1" x14ac:dyDescent="0.25">
      <c r="A99" s="201" t="s">
        <v>2546</v>
      </c>
      <c r="B99" s="60">
        <v>182.25</v>
      </c>
      <c r="C99" s="60">
        <v>281.31</v>
      </c>
      <c r="D99" s="60">
        <v>301.39999999999998</v>
      </c>
      <c r="E99" s="60">
        <v>5.35</v>
      </c>
      <c r="F99" s="60">
        <v>0.56999999999999995</v>
      </c>
      <c r="G99" s="60">
        <v>291.94</v>
      </c>
      <c r="H99" s="60">
        <v>61.02</v>
      </c>
      <c r="I99" s="60">
        <v>1.57</v>
      </c>
      <c r="J99" s="60">
        <v>0.15</v>
      </c>
      <c r="K99" s="60">
        <v>236.85</v>
      </c>
      <c r="L99" s="60">
        <v>17.989999999999998</v>
      </c>
      <c r="M99" s="60">
        <v>70.849999999999994</v>
      </c>
      <c r="N99" s="60">
        <v>0.9</v>
      </c>
      <c r="O99" s="60">
        <v>0</v>
      </c>
      <c r="P99" s="60">
        <v>4.0599999999999996</v>
      </c>
      <c r="Q99" s="218" t="s">
        <v>42</v>
      </c>
      <c r="R99" s="198"/>
      <c r="S99" s="198"/>
      <c r="T99" s="198"/>
      <c r="U99" s="198"/>
    </row>
    <row r="100" spans="1:33" s="12" customFormat="1" x14ac:dyDescent="0.25">
      <c r="A100" s="201" t="s">
        <v>2547</v>
      </c>
      <c r="B100" s="60">
        <v>190.56</v>
      </c>
      <c r="C100" s="60">
        <v>288.02999999999997</v>
      </c>
      <c r="D100" s="60">
        <v>311.77</v>
      </c>
      <c r="E100" s="60">
        <v>5.64</v>
      </c>
      <c r="F100" s="60">
        <v>0.61</v>
      </c>
      <c r="G100" s="60">
        <v>291.94</v>
      </c>
      <c r="H100" s="60">
        <v>61.02</v>
      </c>
      <c r="I100" s="60">
        <v>1.63</v>
      </c>
      <c r="J100" s="60">
        <v>0.16</v>
      </c>
      <c r="K100" s="60">
        <v>226.16</v>
      </c>
      <c r="L100" s="60">
        <v>17.84</v>
      </c>
      <c r="M100" s="60">
        <v>78.31</v>
      </c>
      <c r="N100" s="60">
        <v>0.9</v>
      </c>
      <c r="O100" s="60">
        <v>0</v>
      </c>
      <c r="P100" s="60">
        <v>4.0999999999999996</v>
      </c>
      <c r="Q100" s="218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2548</v>
      </c>
      <c r="B101" s="60">
        <v>193.88</v>
      </c>
      <c r="C101" s="60">
        <v>289.57</v>
      </c>
      <c r="D101" s="60">
        <v>315.29000000000002</v>
      </c>
      <c r="E101" s="60">
        <v>5.26</v>
      </c>
      <c r="F101" s="60">
        <v>0.51</v>
      </c>
      <c r="G101" s="60">
        <v>282.8</v>
      </c>
      <c r="H101" s="60">
        <v>58.33</v>
      </c>
      <c r="I101" s="60">
        <v>1.68</v>
      </c>
      <c r="J101" s="60">
        <v>0.22</v>
      </c>
      <c r="K101" s="60">
        <v>246.02</v>
      </c>
      <c r="L101" s="60">
        <v>17.68</v>
      </c>
      <c r="M101" s="60">
        <v>77.55</v>
      </c>
      <c r="N101" s="60">
        <v>0.7</v>
      </c>
      <c r="O101" s="60">
        <v>0</v>
      </c>
      <c r="P101" s="60">
        <v>4.08</v>
      </c>
      <c r="Q101" s="218" t="s">
        <v>42</v>
      </c>
      <c r="R101" s="198"/>
      <c r="S101" s="198"/>
      <c r="T101" s="198"/>
      <c r="U101" s="198"/>
    </row>
    <row r="102" spans="1:33" s="12" customFormat="1" x14ac:dyDescent="0.25">
      <c r="A102" s="201" t="s">
        <v>2549</v>
      </c>
      <c r="B102" s="60">
        <v>193.09</v>
      </c>
      <c r="C102" s="60">
        <v>287</v>
      </c>
      <c r="D102" s="60">
        <v>313.23</v>
      </c>
      <c r="E102" s="60">
        <v>5.63</v>
      </c>
      <c r="F102" s="60">
        <v>0.71</v>
      </c>
      <c r="G102" s="60">
        <v>282.8</v>
      </c>
      <c r="H102" s="60">
        <v>57.87</v>
      </c>
      <c r="I102" s="60">
        <v>1.69</v>
      </c>
      <c r="J102" s="60">
        <v>0.15</v>
      </c>
      <c r="K102" s="60">
        <v>225.98</v>
      </c>
      <c r="L102" s="60">
        <v>18.079999999999998</v>
      </c>
      <c r="M102" s="60">
        <v>74.12</v>
      </c>
      <c r="N102" s="60">
        <v>0.7</v>
      </c>
      <c r="O102" s="60">
        <v>0</v>
      </c>
      <c r="P102" s="60">
        <v>4.0599999999999996</v>
      </c>
      <c r="Q102" s="218" t="s">
        <v>42</v>
      </c>
      <c r="R102" s="198"/>
      <c r="S102" s="198"/>
      <c r="T102" s="198"/>
      <c r="U102" s="198"/>
    </row>
    <row r="103" spans="1:33" s="12" customFormat="1" x14ac:dyDescent="0.25">
      <c r="A103" s="201" t="s">
        <v>2550</v>
      </c>
      <c r="B103" s="60">
        <v>189.36</v>
      </c>
      <c r="C103" s="60">
        <v>281.81</v>
      </c>
      <c r="D103" s="60">
        <v>307.38</v>
      </c>
      <c r="E103" s="60">
        <v>4.3899999999999997</v>
      </c>
      <c r="F103" s="60">
        <v>0.74</v>
      </c>
      <c r="G103" s="60">
        <v>282.8</v>
      </c>
      <c r="H103" s="60">
        <v>57.87</v>
      </c>
      <c r="I103" s="60">
        <v>1.7</v>
      </c>
      <c r="J103" s="60">
        <v>0.17</v>
      </c>
      <c r="K103" s="60">
        <v>219.72</v>
      </c>
      <c r="L103" s="60">
        <v>17.989999999999998</v>
      </c>
      <c r="M103" s="60">
        <v>70.319999999999993</v>
      </c>
      <c r="N103" s="60">
        <v>0.7</v>
      </c>
      <c r="O103" s="60">
        <v>0</v>
      </c>
      <c r="P103" s="60">
        <v>4.01</v>
      </c>
      <c r="Q103" s="218" t="s">
        <v>42</v>
      </c>
      <c r="R103" s="198"/>
      <c r="S103" s="198"/>
      <c r="T103" s="198"/>
      <c r="U103" s="198"/>
    </row>
    <row r="104" spans="1:33" s="12" customFormat="1" x14ac:dyDescent="0.25">
      <c r="A104" s="201" t="s">
        <v>2551</v>
      </c>
      <c r="B104" s="60">
        <v>182.22</v>
      </c>
      <c r="C104" s="60">
        <v>273.8</v>
      </c>
      <c r="D104" s="60">
        <v>297.23</v>
      </c>
      <c r="E104" s="60">
        <v>2.09</v>
      </c>
      <c r="F104" s="60">
        <v>0.67</v>
      </c>
      <c r="G104" s="60">
        <v>282.8</v>
      </c>
      <c r="H104" s="60">
        <v>57.87</v>
      </c>
      <c r="I104" s="60">
        <v>1.68</v>
      </c>
      <c r="J104" s="60">
        <v>0.18</v>
      </c>
      <c r="K104" s="60">
        <v>224.62</v>
      </c>
      <c r="L104" s="60">
        <v>17.97</v>
      </c>
      <c r="M104" s="60">
        <v>58.66</v>
      </c>
      <c r="N104" s="60">
        <v>0.6</v>
      </c>
      <c r="O104" s="60">
        <v>0</v>
      </c>
      <c r="P104" s="60">
        <v>3.9</v>
      </c>
      <c r="Q104" s="218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3.51</v>
      </c>
      <c r="C106" s="67">
        <f>MIN(C9:C104)</f>
        <v>97.03</v>
      </c>
      <c r="D106" s="67">
        <f t="shared" ref="D106:Q106" si="0">MIN(D9:D104)</f>
        <v>56.37</v>
      </c>
      <c r="E106" s="67">
        <f t="shared" si="0"/>
        <v>2.09</v>
      </c>
      <c r="F106" s="67">
        <f t="shared" si="0"/>
        <v>0.27</v>
      </c>
      <c r="G106" s="67">
        <f t="shared" si="0"/>
        <v>70.05</v>
      </c>
      <c r="H106" s="67">
        <f t="shared" si="0"/>
        <v>30.78</v>
      </c>
      <c r="I106" s="67">
        <f t="shared" si="0"/>
        <v>0.28999999999999998</v>
      </c>
      <c r="J106" s="67">
        <f t="shared" si="0"/>
        <v>0.06</v>
      </c>
      <c r="K106" s="67">
        <f t="shared" si="0"/>
        <v>95.59</v>
      </c>
      <c r="L106" s="67">
        <f t="shared" si="0"/>
        <v>15.95</v>
      </c>
      <c r="M106" s="67">
        <f t="shared" si="0"/>
        <v>18.309999999999999</v>
      </c>
      <c r="N106" s="67">
        <f t="shared" si="0"/>
        <v>0.5</v>
      </c>
      <c r="O106" s="67">
        <f t="shared" si="0"/>
        <v>0</v>
      </c>
      <c r="P106" s="67">
        <f t="shared" si="0"/>
        <v>0.83</v>
      </c>
      <c r="Q106" s="67">
        <f t="shared" si="0"/>
        <v>138.25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193.88</v>
      </c>
      <c r="C107" s="66">
        <f t="shared" ref="C107:Q107" si="1">MAX(C9:C104)</f>
        <v>289.57</v>
      </c>
      <c r="D107" s="66">
        <f t="shared" si="1"/>
        <v>315.29000000000002</v>
      </c>
      <c r="E107" s="66">
        <f t="shared" si="1"/>
        <v>11.7</v>
      </c>
      <c r="F107" s="66">
        <f t="shared" si="1"/>
        <v>14.95</v>
      </c>
      <c r="G107" s="66">
        <f t="shared" si="1"/>
        <v>324.31</v>
      </c>
      <c r="H107" s="66">
        <f t="shared" si="1"/>
        <v>61.02</v>
      </c>
      <c r="I107" s="66">
        <f t="shared" si="1"/>
        <v>1.7</v>
      </c>
      <c r="J107" s="66">
        <f t="shared" si="1"/>
        <v>1.46</v>
      </c>
      <c r="K107" s="66">
        <f t="shared" si="1"/>
        <v>261.68</v>
      </c>
      <c r="L107" s="66">
        <f t="shared" si="1"/>
        <v>31.12</v>
      </c>
      <c r="M107" s="66">
        <f t="shared" si="1"/>
        <v>92.53</v>
      </c>
      <c r="N107" s="66">
        <f t="shared" si="1"/>
        <v>533.4</v>
      </c>
      <c r="O107" s="66">
        <f t="shared" si="1"/>
        <v>0</v>
      </c>
      <c r="P107" s="66">
        <f t="shared" si="1"/>
        <v>4.0999999999999996</v>
      </c>
      <c r="Q107" s="66">
        <f t="shared" si="1"/>
        <v>392.74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42.825208333333343</v>
      </c>
      <c r="C108" s="67">
        <f t="shared" ref="C108:Q108" si="2">AVERAGE(C9:C104)</f>
        <v>143.26468749999995</v>
      </c>
      <c r="D108" s="67">
        <f t="shared" si="2"/>
        <v>113.40697916666663</v>
      </c>
      <c r="E108" s="67">
        <f t="shared" si="2"/>
        <v>5.6754166666666679</v>
      </c>
      <c r="F108" s="67">
        <f t="shared" si="2"/>
        <v>2.260520833333334</v>
      </c>
      <c r="G108" s="67">
        <f t="shared" si="2"/>
        <v>159.07166666666672</v>
      </c>
      <c r="H108" s="67">
        <f t="shared" si="2"/>
        <v>47.174479166666693</v>
      </c>
      <c r="I108" s="67">
        <f t="shared" si="2"/>
        <v>0.70583333333333353</v>
      </c>
      <c r="J108" s="67">
        <f t="shared" si="2"/>
        <v>0.43927083333333328</v>
      </c>
      <c r="K108" s="67">
        <f t="shared" si="2"/>
        <v>182.54906249999996</v>
      </c>
      <c r="L108" s="67">
        <f t="shared" si="2"/>
        <v>22.125520833333329</v>
      </c>
      <c r="M108" s="67">
        <f t="shared" si="2"/>
        <v>58.088229166666679</v>
      </c>
      <c r="N108" s="67">
        <f t="shared" si="2"/>
        <v>138.98541666666668</v>
      </c>
      <c r="O108" s="67">
        <f t="shared" si="2"/>
        <v>0</v>
      </c>
      <c r="P108" s="67">
        <f t="shared" si="2"/>
        <v>1.9664583333333336</v>
      </c>
      <c r="Q108" s="67">
        <f t="shared" si="2"/>
        <v>237.26784090909089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49.576875360216633</v>
      </c>
      <c r="C109" s="67">
        <f t="shared" ref="C109:Q109" si="3">STDEV(C9:C104)</f>
        <v>51.549571828394498</v>
      </c>
      <c r="D109" s="67">
        <f t="shared" si="3"/>
        <v>67.477232949847533</v>
      </c>
      <c r="E109" s="67">
        <f t="shared" si="3"/>
        <v>1.8583778532941044</v>
      </c>
      <c r="F109" s="67">
        <f t="shared" si="3"/>
        <v>2.7941447688040588</v>
      </c>
      <c r="G109" s="67">
        <f t="shared" si="3"/>
        <v>75.825449174113814</v>
      </c>
      <c r="H109" s="67">
        <f t="shared" si="3"/>
        <v>10.788677580519362</v>
      </c>
      <c r="I109" s="67">
        <f t="shared" si="3"/>
        <v>0.3884182950503543</v>
      </c>
      <c r="J109" s="67">
        <f t="shared" si="3"/>
        <v>0.33911415495039321</v>
      </c>
      <c r="K109" s="67">
        <f t="shared" si="3"/>
        <v>56.387182270219945</v>
      </c>
      <c r="L109" s="67">
        <f t="shared" si="3"/>
        <v>4.9632936580866938</v>
      </c>
      <c r="M109" s="67">
        <f t="shared" si="3"/>
        <v>19.373030195000517</v>
      </c>
      <c r="N109" s="67">
        <f t="shared" si="3"/>
        <v>198.49108848041593</v>
      </c>
      <c r="O109" s="67">
        <f t="shared" si="3"/>
        <v>0</v>
      </c>
      <c r="P109" s="67">
        <f t="shared" si="3"/>
        <v>0.9030999002461253</v>
      </c>
      <c r="Q109" s="67">
        <f t="shared" si="3"/>
        <v>59.506708178769728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88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C50" sqref="AC5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2552</v>
      </c>
      <c r="B9" s="60">
        <v>174.87</v>
      </c>
      <c r="C9" s="60">
        <v>265.07</v>
      </c>
      <c r="D9" s="60">
        <v>286.52</v>
      </c>
      <c r="E9" s="60">
        <v>6.07</v>
      </c>
      <c r="F9" s="60">
        <v>0.88</v>
      </c>
      <c r="G9" s="60">
        <v>142.44999999999999</v>
      </c>
      <c r="H9" s="60">
        <v>49.98</v>
      </c>
      <c r="I9" s="60">
        <v>1.65</v>
      </c>
      <c r="J9" s="60">
        <v>0.2</v>
      </c>
      <c r="K9" s="60">
        <v>210.18</v>
      </c>
      <c r="L9" s="60">
        <v>18.010000000000002</v>
      </c>
      <c r="M9" s="60">
        <v>36.200000000000003</v>
      </c>
      <c r="N9" s="60">
        <v>0.6</v>
      </c>
      <c r="O9" s="60">
        <v>0</v>
      </c>
      <c r="P9" s="60">
        <v>3.79</v>
      </c>
      <c r="Q9" s="218" t="s">
        <v>42</v>
      </c>
      <c r="R9" s="198"/>
      <c r="S9" s="198"/>
      <c r="T9" s="198"/>
      <c r="U9" s="198"/>
    </row>
    <row r="10" spans="1:21" s="12" customFormat="1" x14ac:dyDescent="0.25">
      <c r="A10" s="201" t="s">
        <v>2553</v>
      </c>
      <c r="B10" s="60">
        <v>165.54</v>
      </c>
      <c r="C10" s="60">
        <v>254.78</v>
      </c>
      <c r="D10" s="60">
        <v>273.35000000000002</v>
      </c>
      <c r="E10" s="60">
        <v>6.08</v>
      </c>
      <c r="F10" s="60">
        <v>0.94</v>
      </c>
      <c r="G10" s="60">
        <v>142.44999999999999</v>
      </c>
      <c r="H10" s="60">
        <v>48.65</v>
      </c>
      <c r="I10" s="60">
        <v>1.61</v>
      </c>
      <c r="J10" s="60">
        <v>0.24</v>
      </c>
      <c r="K10" s="60">
        <v>200.84</v>
      </c>
      <c r="L10" s="60">
        <v>18.2</v>
      </c>
      <c r="M10" s="60">
        <v>31.65</v>
      </c>
      <c r="N10" s="60">
        <v>0.5</v>
      </c>
      <c r="O10" s="60">
        <v>0</v>
      </c>
      <c r="P10" s="60">
        <v>3.65</v>
      </c>
      <c r="Q10" s="218" t="s">
        <v>42</v>
      </c>
      <c r="R10" s="198"/>
      <c r="S10" s="198"/>
      <c r="T10" s="198"/>
      <c r="U10" s="198"/>
    </row>
    <row r="11" spans="1:21" s="12" customFormat="1" x14ac:dyDescent="0.25">
      <c r="A11" s="201" t="s">
        <v>2554</v>
      </c>
      <c r="B11" s="60">
        <v>154.83000000000001</v>
      </c>
      <c r="C11" s="60">
        <v>243.38</v>
      </c>
      <c r="D11" s="60">
        <v>258.48</v>
      </c>
      <c r="E11" s="60">
        <v>5.94</v>
      </c>
      <c r="F11" s="60">
        <v>0.84</v>
      </c>
      <c r="G11" s="60">
        <v>142.44999999999999</v>
      </c>
      <c r="H11" s="60">
        <v>48.65</v>
      </c>
      <c r="I11" s="60">
        <v>1.58</v>
      </c>
      <c r="J11" s="60">
        <v>0.27</v>
      </c>
      <c r="K11" s="60">
        <v>194.67</v>
      </c>
      <c r="L11" s="60">
        <v>18.53</v>
      </c>
      <c r="M11" s="60">
        <v>45.33</v>
      </c>
      <c r="N11" s="60">
        <v>0.4</v>
      </c>
      <c r="O11" s="60">
        <v>0</v>
      </c>
      <c r="P11" s="60">
        <v>3.48</v>
      </c>
      <c r="Q11" s="218" t="s">
        <v>42</v>
      </c>
      <c r="R11" s="198"/>
      <c r="S11" s="198"/>
      <c r="T11" s="198"/>
      <c r="U11" s="198"/>
    </row>
    <row r="12" spans="1:21" s="12" customFormat="1" x14ac:dyDescent="0.25">
      <c r="A12" s="201" t="s">
        <v>2555</v>
      </c>
      <c r="B12" s="60">
        <v>144.18</v>
      </c>
      <c r="C12" s="60">
        <v>232.88</v>
      </c>
      <c r="D12" s="60">
        <v>244.14</v>
      </c>
      <c r="E12" s="60">
        <v>5.65</v>
      </c>
      <c r="F12" s="60">
        <v>0.79</v>
      </c>
      <c r="G12" s="60">
        <v>142.44999999999999</v>
      </c>
      <c r="H12" s="60">
        <v>48.65</v>
      </c>
      <c r="I12" s="60">
        <v>1.51</v>
      </c>
      <c r="J12" s="60">
        <v>0.22</v>
      </c>
      <c r="K12" s="60">
        <v>206.43</v>
      </c>
      <c r="L12" s="60">
        <v>18.190000000000001</v>
      </c>
      <c r="M12" s="60">
        <v>77.989999999999995</v>
      </c>
      <c r="N12" s="60">
        <v>1</v>
      </c>
      <c r="O12" s="60">
        <v>0</v>
      </c>
      <c r="P12" s="60">
        <v>3.34</v>
      </c>
      <c r="Q12" s="218" t="s">
        <v>42</v>
      </c>
      <c r="R12" s="198"/>
      <c r="S12" s="198"/>
      <c r="T12" s="198"/>
      <c r="U12" s="198"/>
    </row>
    <row r="13" spans="1:21" s="12" customFormat="1" x14ac:dyDescent="0.25">
      <c r="A13" s="201" t="s">
        <v>2556</v>
      </c>
      <c r="B13" s="60">
        <v>131.72</v>
      </c>
      <c r="C13" s="60">
        <v>219.66</v>
      </c>
      <c r="D13" s="60">
        <v>226.86</v>
      </c>
      <c r="E13" s="60">
        <v>5.77</v>
      </c>
      <c r="F13" s="60">
        <v>0.82</v>
      </c>
      <c r="G13" s="60">
        <v>105.62</v>
      </c>
      <c r="H13" s="60">
        <v>43.91</v>
      </c>
      <c r="I13" s="60">
        <v>1.45</v>
      </c>
      <c r="J13" s="60">
        <v>0.47</v>
      </c>
      <c r="K13" s="60">
        <v>201.96</v>
      </c>
      <c r="L13" s="60">
        <v>18.079999999999998</v>
      </c>
      <c r="M13" s="60">
        <v>73.97</v>
      </c>
      <c r="N13" s="60">
        <v>0.3</v>
      </c>
      <c r="O13" s="60">
        <v>0</v>
      </c>
      <c r="P13" s="60">
        <v>2.93</v>
      </c>
      <c r="Q13" s="60">
        <v>384.19</v>
      </c>
      <c r="R13" s="198"/>
      <c r="S13" s="198"/>
      <c r="T13" s="198"/>
      <c r="U13" s="198"/>
    </row>
    <row r="14" spans="1:21" s="12" customFormat="1" x14ac:dyDescent="0.25">
      <c r="A14" s="201" t="s">
        <v>2557</v>
      </c>
      <c r="B14" s="60">
        <v>121.05</v>
      </c>
      <c r="C14" s="60">
        <v>209.48</v>
      </c>
      <c r="D14" s="60">
        <v>212.68</v>
      </c>
      <c r="E14" s="60">
        <v>5.54</v>
      </c>
      <c r="F14" s="60">
        <v>0.79</v>
      </c>
      <c r="G14" s="60">
        <v>105.62</v>
      </c>
      <c r="H14" s="60">
        <v>43.11</v>
      </c>
      <c r="I14" s="60">
        <v>1.38</v>
      </c>
      <c r="J14" s="60">
        <v>0.74</v>
      </c>
      <c r="K14" s="60">
        <v>202.57</v>
      </c>
      <c r="L14" s="60">
        <v>18.260000000000002</v>
      </c>
      <c r="M14" s="60">
        <v>65.91</v>
      </c>
      <c r="N14" s="60">
        <v>0.3</v>
      </c>
      <c r="O14" s="60">
        <v>0</v>
      </c>
      <c r="P14" s="60">
        <v>2.92</v>
      </c>
      <c r="Q14" s="60">
        <v>370.95</v>
      </c>
      <c r="R14" s="198"/>
      <c r="S14" s="198"/>
      <c r="T14" s="198"/>
      <c r="U14" s="198"/>
    </row>
    <row r="15" spans="1:21" s="12" customFormat="1" x14ac:dyDescent="0.25">
      <c r="A15" s="201" t="s">
        <v>2558</v>
      </c>
      <c r="B15" s="60">
        <v>109.5</v>
      </c>
      <c r="C15" s="60">
        <v>201.2</v>
      </c>
      <c r="D15" s="60">
        <v>198.85</v>
      </c>
      <c r="E15" s="60">
        <v>5.94</v>
      </c>
      <c r="F15" s="60">
        <v>0.75</v>
      </c>
      <c r="G15" s="60">
        <v>105.62</v>
      </c>
      <c r="H15" s="60">
        <v>43.11</v>
      </c>
      <c r="I15" s="60">
        <v>1.33</v>
      </c>
      <c r="J15" s="60">
        <v>0.61</v>
      </c>
      <c r="K15" s="60">
        <v>205.33</v>
      </c>
      <c r="L15" s="60">
        <v>18.149999999999999</v>
      </c>
      <c r="M15" s="60">
        <v>58.29</v>
      </c>
      <c r="N15" s="60">
        <v>0.7</v>
      </c>
      <c r="O15" s="60">
        <v>0</v>
      </c>
      <c r="P15" s="60">
        <v>2.76</v>
      </c>
      <c r="Q15" s="60">
        <v>356.58</v>
      </c>
      <c r="R15" s="198"/>
      <c r="S15" s="198"/>
      <c r="T15" s="198"/>
      <c r="U15" s="198"/>
    </row>
    <row r="16" spans="1:21" s="12" customFormat="1" x14ac:dyDescent="0.25">
      <c r="A16" s="201" t="s">
        <v>2559</v>
      </c>
      <c r="B16" s="60">
        <v>101.6</v>
      </c>
      <c r="C16" s="60">
        <v>191.86</v>
      </c>
      <c r="D16" s="60">
        <v>187.36</v>
      </c>
      <c r="E16" s="60">
        <v>5.82</v>
      </c>
      <c r="F16" s="60">
        <v>0.81</v>
      </c>
      <c r="G16" s="60">
        <v>105.62</v>
      </c>
      <c r="H16" s="60">
        <v>43.11</v>
      </c>
      <c r="I16" s="60">
        <v>1.27</v>
      </c>
      <c r="J16" s="60">
        <v>0.34</v>
      </c>
      <c r="K16" s="60">
        <v>203.75</v>
      </c>
      <c r="L16" s="60">
        <v>18.09</v>
      </c>
      <c r="M16" s="60">
        <v>17.059999999999999</v>
      </c>
      <c r="N16" s="60">
        <v>1.1000000000000001</v>
      </c>
      <c r="O16" s="60">
        <v>0</v>
      </c>
      <c r="P16" s="60">
        <v>2.64</v>
      </c>
      <c r="Q16" s="60">
        <v>344.95</v>
      </c>
      <c r="R16" s="198"/>
      <c r="S16" s="198"/>
      <c r="T16" s="198"/>
      <c r="U16" s="198"/>
    </row>
    <row r="17" spans="1:21" s="12" customFormat="1" x14ac:dyDescent="0.25">
      <c r="A17" s="201" t="s">
        <v>2560</v>
      </c>
      <c r="B17" s="60">
        <v>94.13</v>
      </c>
      <c r="C17" s="60">
        <v>183.57</v>
      </c>
      <c r="D17" s="60">
        <v>176.79</v>
      </c>
      <c r="E17" s="60">
        <v>5.95</v>
      </c>
      <c r="F17" s="60">
        <v>0.76</v>
      </c>
      <c r="G17" s="60">
        <v>113.16</v>
      </c>
      <c r="H17" s="60">
        <v>40.53</v>
      </c>
      <c r="I17" s="60">
        <v>1.21</v>
      </c>
      <c r="J17" s="60">
        <v>0.3</v>
      </c>
      <c r="K17" s="60">
        <v>215.45</v>
      </c>
      <c r="L17" s="60">
        <v>17.739999999999998</v>
      </c>
      <c r="M17" s="60">
        <v>36.81</v>
      </c>
      <c r="N17" s="60">
        <v>1.1000000000000001</v>
      </c>
      <c r="O17" s="60">
        <v>0</v>
      </c>
      <c r="P17" s="60">
        <v>2.5299999999999998</v>
      </c>
      <c r="Q17" s="60">
        <v>334.38</v>
      </c>
      <c r="R17" s="198"/>
      <c r="S17" s="198"/>
      <c r="T17" s="198"/>
      <c r="U17" s="198"/>
    </row>
    <row r="18" spans="1:21" s="12" customFormat="1" x14ac:dyDescent="0.25">
      <c r="A18" s="201" t="s">
        <v>2561</v>
      </c>
      <c r="B18" s="60">
        <v>86.96</v>
      </c>
      <c r="C18" s="60">
        <v>175.74</v>
      </c>
      <c r="D18" s="60">
        <v>166.72</v>
      </c>
      <c r="E18" s="60">
        <v>5.65</v>
      </c>
      <c r="F18" s="60">
        <v>0.7</v>
      </c>
      <c r="G18" s="60">
        <v>113.16</v>
      </c>
      <c r="H18" s="60">
        <v>40.090000000000003</v>
      </c>
      <c r="I18" s="60">
        <v>1.1599999999999999</v>
      </c>
      <c r="J18" s="60">
        <v>0.54</v>
      </c>
      <c r="K18" s="60">
        <v>219.43</v>
      </c>
      <c r="L18" s="60">
        <v>17.47</v>
      </c>
      <c r="M18" s="60">
        <v>75.77</v>
      </c>
      <c r="N18" s="60">
        <v>0.5</v>
      </c>
      <c r="O18" s="60">
        <v>0</v>
      </c>
      <c r="P18" s="60">
        <v>2.44</v>
      </c>
      <c r="Q18" s="60">
        <v>325.92</v>
      </c>
      <c r="R18" s="198"/>
      <c r="S18" s="198"/>
      <c r="T18" s="198"/>
      <c r="U18" s="198"/>
    </row>
    <row r="19" spans="1:21" s="12" customFormat="1" x14ac:dyDescent="0.25">
      <c r="A19" s="201" t="s">
        <v>2562</v>
      </c>
      <c r="B19" s="60">
        <v>80.16</v>
      </c>
      <c r="C19" s="60">
        <v>169.38</v>
      </c>
      <c r="D19" s="60">
        <v>157.76</v>
      </c>
      <c r="E19" s="60">
        <v>5.95</v>
      </c>
      <c r="F19" s="60">
        <v>0.82</v>
      </c>
      <c r="G19" s="60">
        <v>113.16</v>
      </c>
      <c r="H19" s="60">
        <v>40.090000000000003</v>
      </c>
      <c r="I19" s="60">
        <v>1.1200000000000001</v>
      </c>
      <c r="J19" s="60">
        <v>0.49</v>
      </c>
      <c r="K19" s="60">
        <v>215.28</v>
      </c>
      <c r="L19" s="60">
        <v>17.55</v>
      </c>
      <c r="M19" s="60">
        <v>55.63</v>
      </c>
      <c r="N19" s="60">
        <v>0.5</v>
      </c>
      <c r="O19" s="60">
        <v>0</v>
      </c>
      <c r="P19" s="60">
        <v>2.35</v>
      </c>
      <c r="Q19" s="60">
        <v>317.31</v>
      </c>
      <c r="R19" s="198"/>
      <c r="S19" s="198"/>
      <c r="T19" s="198"/>
      <c r="U19" s="198"/>
    </row>
    <row r="20" spans="1:21" s="12" customFormat="1" x14ac:dyDescent="0.25">
      <c r="A20" s="201" t="s">
        <v>2563</v>
      </c>
      <c r="B20" s="60">
        <v>73.36</v>
      </c>
      <c r="C20" s="60">
        <v>162.47999999999999</v>
      </c>
      <c r="D20" s="60">
        <v>148.5</v>
      </c>
      <c r="E20" s="60">
        <v>5.83</v>
      </c>
      <c r="F20" s="60">
        <v>0.69</v>
      </c>
      <c r="G20" s="60">
        <v>113.16</v>
      </c>
      <c r="H20" s="60">
        <v>40.090000000000003</v>
      </c>
      <c r="I20" s="60">
        <v>1.06</v>
      </c>
      <c r="J20" s="60">
        <v>0.36</v>
      </c>
      <c r="K20" s="60">
        <v>212.13</v>
      </c>
      <c r="L20" s="60">
        <v>17.55</v>
      </c>
      <c r="M20" s="60">
        <v>45.85</v>
      </c>
      <c r="N20" s="60">
        <v>0.8</v>
      </c>
      <c r="O20" s="60">
        <v>0</v>
      </c>
      <c r="P20" s="60">
        <v>2.25</v>
      </c>
      <c r="Q20" s="60">
        <v>311.10000000000002</v>
      </c>
      <c r="R20" s="198"/>
      <c r="S20" s="198"/>
      <c r="T20" s="198"/>
      <c r="U20" s="198"/>
    </row>
    <row r="21" spans="1:21" s="12" customFormat="1" x14ac:dyDescent="0.25">
      <c r="A21" s="201" t="s">
        <v>2564</v>
      </c>
      <c r="B21" s="60">
        <v>67.39</v>
      </c>
      <c r="C21" s="60">
        <v>155.21</v>
      </c>
      <c r="D21" s="60">
        <v>139.69</v>
      </c>
      <c r="E21" s="60">
        <v>5.42</v>
      </c>
      <c r="F21" s="60">
        <v>0.76</v>
      </c>
      <c r="G21" s="60">
        <v>134.49</v>
      </c>
      <c r="H21" s="60">
        <v>45.04</v>
      </c>
      <c r="I21" s="60">
        <v>1.02</v>
      </c>
      <c r="J21" s="60">
        <v>0.61</v>
      </c>
      <c r="K21" s="60">
        <v>213.8</v>
      </c>
      <c r="L21" s="60">
        <v>17.46</v>
      </c>
      <c r="M21" s="60">
        <v>61.17</v>
      </c>
      <c r="N21" s="60">
        <v>0.4</v>
      </c>
      <c r="O21" s="60">
        <v>0</v>
      </c>
      <c r="P21" s="60">
        <v>2.15</v>
      </c>
      <c r="Q21" s="60">
        <v>301.32</v>
      </c>
      <c r="R21" s="198"/>
      <c r="S21" s="198"/>
      <c r="T21" s="198"/>
      <c r="U21" s="198"/>
    </row>
    <row r="22" spans="1:21" s="12" customFormat="1" x14ac:dyDescent="0.25">
      <c r="A22" s="201" t="s">
        <v>2565</v>
      </c>
      <c r="B22" s="60">
        <v>61.73</v>
      </c>
      <c r="C22" s="60">
        <v>148.44999999999999</v>
      </c>
      <c r="D22" s="60">
        <v>131.43</v>
      </c>
      <c r="E22" s="60">
        <v>5.65</v>
      </c>
      <c r="F22" s="60">
        <v>0.82</v>
      </c>
      <c r="G22" s="60">
        <v>134.49</v>
      </c>
      <c r="H22" s="60">
        <v>45.95</v>
      </c>
      <c r="I22" s="60">
        <v>0.95</v>
      </c>
      <c r="J22" s="60">
        <v>0.72</v>
      </c>
      <c r="K22" s="60">
        <v>214.47</v>
      </c>
      <c r="L22" s="60">
        <v>17.440000000000001</v>
      </c>
      <c r="M22" s="60">
        <v>68.91</v>
      </c>
      <c r="N22" s="60">
        <v>0.5</v>
      </c>
      <c r="O22" s="60">
        <v>0</v>
      </c>
      <c r="P22" s="60">
        <v>2.04</v>
      </c>
      <c r="Q22" s="60">
        <v>293.25</v>
      </c>
      <c r="R22" s="198"/>
      <c r="S22" s="198"/>
      <c r="T22" s="198"/>
      <c r="U22" s="198"/>
    </row>
    <row r="23" spans="1:21" s="12" customFormat="1" x14ac:dyDescent="0.25">
      <c r="A23" s="201" t="s">
        <v>2566</v>
      </c>
      <c r="B23" s="60">
        <v>55.87</v>
      </c>
      <c r="C23" s="60">
        <v>141.68</v>
      </c>
      <c r="D23" s="60">
        <v>122.99</v>
      </c>
      <c r="E23" s="60">
        <v>4.01</v>
      </c>
      <c r="F23" s="60">
        <v>1.31</v>
      </c>
      <c r="G23" s="60">
        <v>134.49</v>
      </c>
      <c r="H23" s="60">
        <v>45.95</v>
      </c>
      <c r="I23" s="60">
        <v>0.91</v>
      </c>
      <c r="J23" s="60">
        <v>0.6</v>
      </c>
      <c r="K23" s="60">
        <v>217.21</v>
      </c>
      <c r="L23" s="60">
        <v>17.239999999999998</v>
      </c>
      <c r="M23" s="60">
        <v>53.23</v>
      </c>
      <c r="N23" s="60">
        <v>0.7</v>
      </c>
      <c r="O23" s="60">
        <v>0</v>
      </c>
      <c r="P23" s="60">
        <v>1.94</v>
      </c>
      <c r="Q23" s="60">
        <v>285.11</v>
      </c>
      <c r="R23" s="198"/>
      <c r="S23" s="198"/>
      <c r="T23" s="198"/>
      <c r="U23" s="198"/>
    </row>
    <row r="24" spans="1:21" s="12" customFormat="1" x14ac:dyDescent="0.25">
      <c r="A24" s="201" t="s">
        <v>2567</v>
      </c>
      <c r="B24" s="60">
        <v>50.2</v>
      </c>
      <c r="C24" s="60">
        <v>135.62</v>
      </c>
      <c r="D24" s="60">
        <v>115.1</v>
      </c>
      <c r="E24" s="60">
        <v>1.92</v>
      </c>
      <c r="F24" s="60">
        <v>1.03</v>
      </c>
      <c r="G24" s="60">
        <v>134.49</v>
      </c>
      <c r="H24" s="60">
        <v>45.95</v>
      </c>
      <c r="I24" s="60">
        <v>0.86</v>
      </c>
      <c r="J24" s="60">
        <v>0.57999999999999996</v>
      </c>
      <c r="K24" s="60">
        <v>218.42</v>
      </c>
      <c r="L24" s="60">
        <v>17.149999999999999</v>
      </c>
      <c r="M24" s="60">
        <v>52.03</v>
      </c>
      <c r="N24" s="60">
        <v>0.7</v>
      </c>
      <c r="O24" s="60">
        <v>0</v>
      </c>
      <c r="P24" s="60">
        <v>1.83</v>
      </c>
      <c r="Q24" s="60">
        <v>277.25</v>
      </c>
      <c r="R24" s="198"/>
      <c r="S24" s="198"/>
      <c r="T24" s="198"/>
      <c r="U24" s="198"/>
    </row>
    <row r="25" spans="1:21" s="12" customFormat="1" x14ac:dyDescent="0.25">
      <c r="A25" s="201" t="s">
        <v>2568</v>
      </c>
      <c r="B25" s="60">
        <v>46</v>
      </c>
      <c r="C25" s="60">
        <v>130.85</v>
      </c>
      <c r="D25" s="60">
        <v>109.1</v>
      </c>
      <c r="E25" s="60">
        <v>4.63</v>
      </c>
      <c r="F25" s="60">
        <v>0.61</v>
      </c>
      <c r="G25" s="60">
        <v>76.77</v>
      </c>
      <c r="H25" s="60">
        <v>37.68</v>
      </c>
      <c r="I25" s="60">
        <v>0.81</v>
      </c>
      <c r="J25" s="60">
        <v>0.56999999999999995</v>
      </c>
      <c r="K25" s="60">
        <v>220.78</v>
      </c>
      <c r="L25" s="60">
        <v>16.88</v>
      </c>
      <c r="M25" s="60">
        <v>37.25</v>
      </c>
      <c r="N25" s="60">
        <v>0.8</v>
      </c>
      <c r="O25" s="60">
        <v>0</v>
      </c>
      <c r="P25" s="60">
        <v>1.75</v>
      </c>
      <c r="Q25" s="60">
        <v>269.5</v>
      </c>
      <c r="R25" s="198"/>
      <c r="S25" s="198"/>
      <c r="T25" s="198"/>
      <c r="U25" s="198"/>
    </row>
    <row r="26" spans="1:21" s="12" customFormat="1" x14ac:dyDescent="0.25">
      <c r="A26" s="201" t="s">
        <v>2569</v>
      </c>
      <c r="B26" s="60">
        <v>42.37</v>
      </c>
      <c r="C26" s="60">
        <v>126.61</v>
      </c>
      <c r="D26" s="60">
        <v>103.85</v>
      </c>
      <c r="E26" s="60">
        <v>4.41</v>
      </c>
      <c r="F26" s="60">
        <v>1.1100000000000001</v>
      </c>
      <c r="G26" s="60">
        <v>76.77</v>
      </c>
      <c r="H26" s="60">
        <v>36.159999999999997</v>
      </c>
      <c r="I26" s="60">
        <v>0.77</v>
      </c>
      <c r="J26" s="60">
        <v>0.42</v>
      </c>
      <c r="K26" s="60">
        <v>223.47</v>
      </c>
      <c r="L26" s="60">
        <v>16.66</v>
      </c>
      <c r="M26" s="60">
        <v>28.21</v>
      </c>
      <c r="N26" s="60">
        <v>0.9</v>
      </c>
      <c r="O26" s="60">
        <v>0</v>
      </c>
      <c r="P26" s="60">
        <v>1.67</v>
      </c>
      <c r="Q26" s="60">
        <v>265.60000000000002</v>
      </c>
      <c r="R26" s="198"/>
      <c r="S26" s="198"/>
      <c r="T26" s="198"/>
      <c r="U26" s="198"/>
    </row>
    <row r="27" spans="1:21" s="12" customFormat="1" x14ac:dyDescent="0.25">
      <c r="A27" s="201" t="s">
        <v>2570</v>
      </c>
      <c r="B27" s="60">
        <v>38.74</v>
      </c>
      <c r="C27" s="60">
        <v>122.47</v>
      </c>
      <c r="D27" s="60">
        <v>98.66</v>
      </c>
      <c r="E27" s="60">
        <v>4.01</v>
      </c>
      <c r="F27" s="60">
        <v>0.79</v>
      </c>
      <c r="G27" s="60">
        <v>76.77</v>
      </c>
      <c r="H27" s="60">
        <v>36.159999999999997</v>
      </c>
      <c r="I27" s="60">
        <v>0.73</v>
      </c>
      <c r="J27" s="60">
        <v>0.34</v>
      </c>
      <c r="K27" s="60">
        <v>226.77</v>
      </c>
      <c r="L27" s="60">
        <v>16.48</v>
      </c>
      <c r="M27" s="60">
        <v>38.29</v>
      </c>
      <c r="N27" s="60">
        <v>0.9</v>
      </c>
      <c r="O27" s="60">
        <v>0</v>
      </c>
      <c r="P27" s="60">
        <v>1.59</v>
      </c>
      <c r="Q27" s="60">
        <v>258.08</v>
      </c>
      <c r="R27" s="198"/>
      <c r="S27" s="198"/>
      <c r="T27" s="198"/>
      <c r="U27" s="198"/>
    </row>
    <row r="28" spans="1:21" s="12" customFormat="1" x14ac:dyDescent="0.25">
      <c r="A28" s="201" t="s">
        <v>2571</v>
      </c>
      <c r="B28" s="60">
        <v>34.869999999999997</v>
      </c>
      <c r="C28" s="60">
        <v>118.45</v>
      </c>
      <c r="D28" s="60">
        <v>93.34</v>
      </c>
      <c r="E28" s="60">
        <v>4.4400000000000004</v>
      </c>
      <c r="F28" s="60">
        <v>0.83</v>
      </c>
      <c r="G28" s="60">
        <v>76.77</v>
      </c>
      <c r="H28" s="60">
        <v>36.159999999999997</v>
      </c>
      <c r="I28" s="60">
        <v>0.7</v>
      </c>
      <c r="J28" s="60">
        <v>0.3</v>
      </c>
      <c r="K28" s="60">
        <v>230.62</v>
      </c>
      <c r="L28" s="60">
        <v>16.25</v>
      </c>
      <c r="M28" s="60">
        <v>44.93</v>
      </c>
      <c r="N28" s="60">
        <v>0.9</v>
      </c>
      <c r="O28" s="60">
        <v>0</v>
      </c>
      <c r="P28" s="60">
        <v>1.52</v>
      </c>
      <c r="Q28" s="60">
        <v>251.81</v>
      </c>
      <c r="R28" s="198"/>
      <c r="S28" s="198"/>
      <c r="T28" s="198"/>
      <c r="U28" s="198"/>
    </row>
    <row r="29" spans="1:21" s="12" customFormat="1" x14ac:dyDescent="0.25">
      <c r="A29" s="201" t="s">
        <v>2572</v>
      </c>
      <c r="B29" s="60">
        <v>31.73</v>
      </c>
      <c r="C29" s="60">
        <v>115.47</v>
      </c>
      <c r="D29" s="60">
        <v>89.17</v>
      </c>
      <c r="E29" s="60">
        <v>4.58</v>
      </c>
      <c r="F29" s="60">
        <v>0.71</v>
      </c>
      <c r="G29" s="60">
        <v>72.64</v>
      </c>
      <c r="H29" s="60">
        <v>32.04</v>
      </c>
      <c r="I29" s="60">
        <v>0.68</v>
      </c>
      <c r="J29" s="60">
        <v>0.45</v>
      </c>
      <c r="K29" s="60">
        <v>241.25</v>
      </c>
      <c r="L29" s="60">
        <v>15.8</v>
      </c>
      <c r="M29" s="60">
        <v>71.22</v>
      </c>
      <c r="N29" s="60">
        <v>0.7</v>
      </c>
      <c r="O29" s="60">
        <v>0</v>
      </c>
      <c r="P29" s="60">
        <v>1.44</v>
      </c>
      <c r="Q29" s="60">
        <v>245.96</v>
      </c>
      <c r="R29" s="198"/>
      <c r="S29" s="198"/>
      <c r="T29" s="198"/>
      <c r="U29" s="198"/>
    </row>
    <row r="30" spans="1:21" s="12" customFormat="1" x14ac:dyDescent="0.25">
      <c r="A30" s="201" t="s">
        <v>2573</v>
      </c>
      <c r="B30" s="60">
        <v>29.35</v>
      </c>
      <c r="C30" s="60">
        <v>113.46</v>
      </c>
      <c r="D30" s="60">
        <v>86.15</v>
      </c>
      <c r="E30" s="60">
        <v>4.51</v>
      </c>
      <c r="F30" s="60">
        <v>0.76</v>
      </c>
      <c r="G30" s="60">
        <v>72.64</v>
      </c>
      <c r="H30" s="60">
        <v>31.34</v>
      </c>
      <c r="I30" s="60">
        <v>0.66</v>
      </c>
      <c r="J30" s="60">
        <v>0.57999999999999996</v>
      </c>
      <c r="K30" s="60">
        <v>235.33</v>
      </c>
      <c r="L30" s="60">
        <v>16.010000000000002</v>
      </c>
      <c r="M30" s="60">
        <v>73.84</v>
      </c>
      <c r="N30" s="60">
        <v>0.3</v>
      </c>
      <c r="O30" s="60">
        <v>0</v>
      </c>
      <c r="P30" s="60">
        <v>1.37</v>
      </c>
      <c r="Q30" s="60">
        <v>241.53</v>
      </c>
      <c r="R30" s="198"/>
      <c r="S30" s="198"/>
      <c r="T30" s="198"/>
      <c r="U30" s="198"/>
    </row>
    <row r="31" spans="1:21" s="12" customFormat="1" x14ac:dyDescent="0.25">
      <c r="A31" s="201" t="s">
        <v>2574</v>
      </c>
      <c r="B31" s="60">
        <v>26.73</v>
      </c>
      <c r="C31" s="60">
        <v>111.83</v>
      </c>
      <c r="D31" s="60">
        <v>83.15</v>
      </c>
      <c r="E31" s="60">
        <v>4.72</v>
      </c>
      <c r="F31" s="60">
        <v>0.84</v>
      </c>
      <c r="G31" s="60">
        <v>72.64</v>
      </c>
      <c r="H31" s="60">
        <v>31.34</v>
      </c>
      <c r="I31" s="60">
        <v>0.64</v>
      </c>
      <c r="J31" s="60">
        <v>0.35</v>
      </c>
      <c r="K31" s="60">
        <v>236.43</v>
      </c>
      <c r="L31" s="60">
        <v>15.9</v>
      </c>
      <c r="M31" s="60">
        <v>64.209999999999994</v>
      </c>
      <c r="N31" s="60">
        <v>0.8</v>
      </c>
      <c r="O31" s="60">
        <v>0</v>
      </c>
      <c r="P31" s="60">
        <v>1.31</v>
      </c>
      <c r="Q31" s="60">
        <v>237.25</v>
      </c>
      <c r="R31" s="198"/>
      <c r="S31" s="198"/>
      <c r="T31" s="198"/>
      <c r="U31" s="198"/>
    </row>
    <row r="32" spans="1:21" s="12" customFormat="1" x14ac:dyDescent="0.25">
      <c r="A32" s="201" t="s">
        <v>2575</v>
      </c>
      <c r="B32" s="60">
        <v>25.2</v>
      </c>
      <c r="C32" s="60">
        <v>111.03</v>
      </c>
      <c r="D32" s="60">
        <v>81.48</v>
      </c>
      <c r="E32" s="60">
        <v>4.5599999999999996</v>
      </c>
      <c r="F32" s="60">
        <v>0.8</v>
      </c>
      <c r="G32" s="60">
        <v>72.64</v>
      </c>
      <c r="H32" s="60">
        <v>31.34</v>
      </c>
      <c r="I32" s="60">
        <v>0.62</v>
      </c>
      <c r="J32" s="60">
        <v>0.56000000000000005</v>
      </c>
      <c r="K32" s="60">
        <v>233.83</v>
      </c>
      <c r="L32" s="60">
        <v>15.92</v>
      </c>
      <c r="M32" s="60">
        <v>77.97</v>
      </c>
      <c r="N32" s="60">
        <v>0.4</v>
      </c>
      <c r="O32" s="60">
        <v>0</v>
      </c>
      <c r="P32" s="60">
        <v>1.26</v>
      </c>
      <c r="Q32" s="60">
        <v>233.99</v>
      </c>
      <c r="R32" s="198"/>
      <c r="S32" s="198"/>
      <c r="T32" s="198"/>
      <c r="U32" s="198"/>
    </row>
    <row r="33" spans="1:21" s="12" customFormat="1" x14ac:dyDescent="0.25">
      <c r="A33" s="201" t="s">
        <v>2576</v>
      </c>
      <c r="B33" s="60">
        <v>23.57</v>
      </c>
      <c r="C33" s="60">
        <v>110</v>
      </c>
      <c r="D33" s="60">
        <v>79.61</v>
      </c>
      <c r="E33" s="60">
        <v>4.5199999999999996</v>
      </c>
      <c r="F33" s="60">
        <v>0.67</v>
      </c>
      <c r="G33" s="60">
        <v>62.06</v>
      </c>
      <c r="H33" s="60">
        <v>29.76</v>
      </c>
      <c r="I33" s="60">
        <v>0.59</v>
      </c>
      <c r="J33" s="60">
        <v>0.68</v>
      </c>
      <c r="K33" s="60">
        <v>228.47</v>
      </c>
      <c r="L33" s="60">
        <v>16.21</v>
      </c>
      <c r="M33" s="60">
        <v>68.709999999999994</v>
      </c>
      <c r="N33" s="60">
        <v>1.7</v>
      </c>
      <c r="O33" s="60">
        <v>0</v>
      </c>
      <c r="P33" s="60">
        <v>1.2</v>
      </c>
      <c r="Q33" s="60">
        <v>230.05</v>
      </c>
      <c r="R33" s="198"/>
      <c r="S33" s="198"/>
      <c r="T33" s="198"/>
      <c r="U33" s="198"/>
    </row>
    <row r="34" spans="1:21" s="12" customFormat="1" x14ac:dyDescent="0.25">
      <c r="A34" s="201" t="s">
        <v>2577</v>
      </c>
      <c r="B34" s="60">
        <v>21.99</v>
      </c>
      <c r="C34" s="60">
        <v>109.72</v>
      </c>
      <c r="D34" s="60">
        <v>78.19</v>
      </c>
      <c r="E34" s="60">
        <v>5.0199999999999996</v>
      </c>
      <c r="F34" s="60">
        <v>0.61</v>
      </c>
      <c r="G34" s="60">
        <v>62.06</v>
      </c>
      <c r="H34" s="60">
        <v>29.5</v>
      </c>
      <c r="I34" s="60">
        <v>0.57999999999999996</v>
      </c>
      <c r="J34" s="60">
        <v>0.67</v>
      </c>
      <c r="K34" s="60">
        <v>229.41</v>
      </c>
      <c r="L34" s="60">
        <v>16.239999999999998</v>
      </c>
      <c r="M34" s="60">
        <v>73.67</v>
      </c>
      <c r="N34" s="60">
        <v>7</v>
      </c>
      <c r="O34" s="60">
        <v>0</v>
      </c>
      <c r="P34" s="60">
        <v>1.17</v>
      </c>
      <c r="Q34" s="60">
        <v>229.14</v>
      </c>
      <c r="R34" s="198"/>
      <c r="S34" s="198"/>
      <c r="T34" s="198"/>
      <c r="U34" s="198"/>
    </row>
    <row r="35" spans="1:21" s="12" customFormat="1" x14ac:dyDescent="0.25">
      <c r="A35" s="201" t="s">
        <v>2578</v>
      </c>
      <c r="B35" s="60">
        <v>21.6</v>
      </c>
      <c r="C35" s="60">
        <v>110.02</v>
      </c>
      <c r="D35" s="60">
        <v>78.040000000000006</v>
      </c>
      <c r="E35" s="60">
        <v>5.0999999999999996</v>
      </c>
      <c r="F35" s="60">
        <v>0.69</v>
      </c>
      <c r="G35" s="60">
        <v>62.06</v>
      </c>
      <c r="H35" s="60">
        <v>29.5</v>
      </c>
      <c r="I35" s="60">
        <v>0.56000000000000005</v>
      </c>
      <c r="J35" s="60">
        <v>0.53</v>
      </c>
      <c r="K35" s="60">
        <v>230.8</v>
      </c>
      <c r="L35" s="60">
        <v>16.39</v>
      </c>
      <c r="M35" s="60">
        <v>71.37</v>
      </c>
      <c r="N35" s="60">
        <v>17.600000000000001</v>
      </c>
      <c r="O35" s="60">
        <v>0</v>
      </c>
      <c r="P35" s="60">
        <v>1.1299999999999999</v>
      </c>
      <c r="Q35" s="60">
        <v>229.74</v>
      </c>
      <c r="R35" s="198"/>
      <c r="S35" s="198"/>
      <c r="T35" s="198"/>
      <c r="U35" s="198"/>
    </row>
    <row r="36" spans="1:21" s="12" customFormat="1" x14ac:dyDescent="0.25">
      <c r="A36" s="201" t="s">
        <v>2579</v>
      </c>
      <c r="B36" s="60">
        <v>22.47</v>
      </c>
      <c r="C36" s="60">
        <v>111.37</v>
      </c>
      <c r="D36" s="60">
        <v>79.48</v>
      </c>
      <c r="E36" s="60">
        <v>4.82</v>
      </c>
      <c r="F36" s="60">
        <v>0.82</v>
      </c>
      <c r="G36" s="60">
        <v>62.06</v>
      </c>
      <c r="H36" s="60">
        <v>29.5</v>
      </c>
      <c r="I36" s="60">
        <v>0.54</v>
      </c>
      <c r="J36" s="60">
        <v>0.82</v>
      </c>
      <c r="K36" s="60">
        <v>228.67</v>
      </c>
      <c r="L36" s="60">
        <v>16.57</v>
      </c>
      <c r="M36" s="60">
        <v>75.61</v>
      </c>
      <c r="N36" s="60">
        <v>29.1</v>
      </c>
      <c r="O36" s="60">
        <v>0</v>
      </c>
      <c r="P36" s="60">
        <v>1.1100000000000001</v>
      </c>
      <c r="Q36" s="60">
        <v>229.7</v>
      </c>
      <c r="R36" s="198"/>
      <c r="S36" s="198"/>
      <c r="T36" s="198"/>
      <c r="U36" s="198"/>
    </row>
    <row r="37" spans="1:21" s="12" customFormat="1" x14ac:dyDescent="0.25">
      <c r="A37" s="201" t="s">
        <v>2580</v>
      </c>
      <c r="B37" s="60">
        <v>23.21</v>
      </c>
      <c r="C37" s="60">
        <v>112.22</v>
      </c>
      <c r="D37" s="60">
        <v>80.540000000000006</v>
      </c>
      <c r="E37" s="60">
        <v>4.7</v>
      </c>
      <c r="F37" s="60">
        <v>0.68</v>
      </c>
      <c r="G37" s="60">
        <v>85.59</v>
      </c>
      <c r="H37" s="60">
        <v>30.32</v>
      </c>
      <c r="I37" s="60">
        <v>0.52</v>
      </c>
      <c r="J37" s="60">
        <v>0.67</v>
      </c>
      <c r="K37" s="60">
        <v>223.56</v>
      </c>
      <c r="L37" s="60">
        <v>16.97</v>
      </c>
      <c r="M37" s="60">
        <v>64.099999999999994</v>
      </c>
      <c r="N37" s="60">
        <v>41.6</v>
      </c>
      <c r="O37" s="60">
        <v>0</v>
      </c>
      <c r="P37" s="60">
        <v>1.03</v>
      </c>
      <c r="Q37" s="60">
        <v>226.99</v>
      </c>
      <c r="R37" s="198"/>
      <c r="S37" s="198"/>
      <c r="T37" s="198"/>
      <c r="U37" s="198"/>
    </row>
    <row r="38" spans="1:21" s="12" customFormat="1" x14ac:dyDescent="0.25">
      <c r="A38" s="201" t="s">
        <v>2581</v>
      </c>
      <c r="B38" s="60">
        <v>25.14</v>
      </c>
      <c r="C38" s="60">
        <v>114.6</v>
      </c>
      <c r="D38" s="60">
        <v>83.4</v>
      </c>
      <c r="E38" s="60">
        <v>4.6900000000000004</v>
      </c>
      <c r="F38" s="60">
        <v>0.73</v>
      </c>
      <c r="G38" s="60">
        <v>85.59</v>
      </c>
      <c r="H38" s="60">
        <v>30.47</v>
      </c>
      <c r="I38" s="60">
        <v>0.51</v>
      </c>
      <c r="J38" s="60">
        <v>0.81</v>
      </c>
      <c r="K38" s="60">
        <v>212.41</v>
      </c>
      <c r="L38" s="60">
        <v>17.53</v>
      </c>
      <c r="M38" s="60">
        <v>53.68</v>
      </c>
      <c r="N38" s="60">
        <v>112</v>
      </c>
      <c r="O38" s="60">
        <v>0</v>
      </c>
      <c r="P38" s="60">
        <v>1.1000000000000001</v>
      </c>
      <c r="Q38" s="60">
        <v>228.6</v>
      </c>
      <c r="R38" s="198"/>
      <c r="S38" s="198"/>
      <c r="T38" s="198"/>
      <c r="U38" s="198"/>
    </row>
    <row r="39" spans="1:21" s="12" customFormat="1" x14ac:dyDescent="0.25">
      <c r="A39" s="201" t="s">
        <v>2582</v>
      </c>
      <c r="B39" s="60">
        <v>25.07</v>
      </c>
      <c r="C39" s="60">
        <v>114.06</v>
      </c>
      <c r="D39" s="60">
        <v>83.05</v>
      </c>
      <c r="E39" s="60">
        <v>4.55</v>
      </c>
      <c r="F39" s="60">
        <v>0.79</v>
      </c>
      <c r="G39" s="60">
        <v>85.59</v>
      </c>
      <c r="H39" s="60">
        <v>30.47</v>
      </c>
      <c r="I39" s="60">
        <v>0.5</v>
      </c>
      <c r="J39" s="60">
        <v>0.6</v>
      </c>
      <c r="K39" s="60">
        <v>195.12</v>
      </c>
      <c r="L39" s="60">
        <v>18.97</v>
      </c>
      <c r="M39" s="60">
        <v>47.43</v>
      </c>
      <c r="N39" s="60">
        <v>192</v>
      </c>
      <c r="O39" s="60">
        <v>0</v>
      </c>
      <c r="P39" s="60">
        <v>1.0900000000000001</v>
      </c>
      <c r="Q39" s="60">
        <v>230.08</v>
      </c>
      <c r="R39" s="198"/>
      <c r="S39" s="198"/>
      <c r="T39" s="198"/>
      <c r="U39" s="198"/>
    </row>
    <row r="40" spans="1:21" s="12" customFormat="1" x14ac:dyDescent="0.25">
      <c r="A40" s="201" t="s">
        <v>2583</v>
      </c>
      <c r="B40" s="60">
        <v>24.3</v>
      </c>
      <c r="C40" s="60">
        <v>112.92</v>
      </c>
      <c r="D40" s="60">
        <v>81.81</v>
      </c>
      <c r="E40" s="60">
        <v>2.42</v>
      </c>
      <c r="F40" s="60">
        <v>0.76</v>
      </c>
      <c r="G40" s="60">
        <v>85.59</v>
      </c>
      <c r="H40" s="60">
        <v>30.47</v>
      </c>
      <c r="I40" s="60">
        <v>0.49</v>
      </c>
      <c r="J40" s="60">
        <v>0.92</v>
      </c>
      <c r="K40" s="60">
        <v>188.19</v>
      </c>
      <c r="L40" s="60">
        <v>19.71</v>
      </c>
      <c r="M40" s="60">
        <v>41.71</v>
      </c>
      <c r="N40" s="60">
        <v>239</v>
      </c>
      <c r="O40" s="60">
        <v>0</v>
      </c>
      <c r="P40" s="60">
        <v>1.07</v>
      </c>
      <c r="Q40" s="60">
        <v>230.3</v>
      </c>
      <c r="R40" s="198"/>
      <c r="S40" s="198"/>
      <c r="T40" s="198"/>
      <c r="U40" s="198"/>
    </row>
    <row r="41" spans="1:21" s="12" customFormat="1" x14ac:dyDescent="0.25">
      <c r="A41" s="201" t="s">
        <v>2584</v>
      </c>
      <c r="B41" s="60">
        <v>23.44</v>
      </c>
      <c r="C41" s="60">
        <v>111.87</v>
      </c>
      <c r="D41" s="60">
        <v>80.53</v>
      </c>
      <c r="E41" s="60">
        <v>3.76</v>
      </c>
      <c r="F41" s="60">
        <v>0.62</v>
      </c>
      <c r="G41" s="60">
        <v>71.11</v>
      </c>
      <c r="H41" s="60">
        <v>28.46</v>
      </c>
      <c r="I41" s="60">
        <v>0.48</v>
      </c>
      <c r="J41" s="60">
        <v>0.6</v>
      </c>
      <c r="K41" s="60">
        <v>169.45</v>
      </c>
      <c r="L41" s="60">
        <v>21.7</v>
      </c>
      <c r="M41" s="60">
        <v>71.83</v>
      </c>
      <c r="N41" s="60">
        <v>279.60000000000002</v>
      </c>
      <c r="O41" s="60">
        <v>0</v>
      </c>
      <c r="P41" s="60">
        <v>1.06</v>
      </c>
      <c r="Q41" s="60">
        <v>226.34</v>
      </c>
      <c r="R41" s="198"/>
      <c r="S41" s="198"/>
      <c r="T41" s="198"/>
      <c r="U41" s="198"/>
    </row>
    <row r="42" spans="1:21" s="12" customFormat="1" x14ac:dyDescent="0.25">
      <c r="A42" s="201" t="s">
        <v>2585</v>
      </c>
      <c r="B42" s="60">
        <v>22.69</v>
      </c>
      <c r="C42" s="60">
        <v>112.53</v>
      </c>
      <c r="D42" s="60">
        <v>80.3</v>
      </c>
      <c r="E42" s="60">
        <v>4.4800000000000004</v>
      </c>
      <c r="F42" s="60">
        <v>0.85</v>
      </c>
      <c r="G42" s="60">
        <v>71.11</v>
      </c>
      <c r="H42" s="60">
        <v>28.12</v>
      </c>
      <c r="I42" s="60">
        <v>0.48</v>
      </c>
      <c r="J42" s="60">
        <v>1.18</v>
      </c>
      <c r="K42" s="60">
        <v>171.36</v>
      </c>
      <c r="L42" s="60">
        <v>21.3</v>
      </c>
      <c r="M42" s="60">
        <v>42.84</v>
      </c>
      <c r="N42" s="60">
        <v>323.2</v>
      </c>
      <c r="O42" s="60">
        <v>0</v>
      </c>
      <c r="P42" s="60">
        <v>1.04</v>
      </c>
      <c r="Q42" s="60">
        <v>225.55</v>
      </c>
      <c r="R42" s="198"/>
      <c r="S42" s="198"/>
      <c r="T42" s="198"/>
      <c r="U42" s="198"/>
    </row>
    <row r="43" spans="1:21" s="12" customFormat="1" x14ac:dyDescent="0.25">
      <c r="A43" s="201" t="s">
        <v>2586</v>
      </c>
      <c r="B43" s="60">
        <v>21.42</v>
      </c>
      <c r="C43" s="60">
        <v>111.77</v>
      </c>
      <c r="D43" s="60">
        <v>78.86</v>
      </c>
      <c r="E43" s="60">
        <v>4.76</v>
      </c>
      <c r="F43" s="60">
        <v>0.94</v>
      </c>
      <c r="G43" s="60">
        <v>71.11</v>
      </c>
      <c r="H43" s="60">
        <v>28.12</v>
      </c>
      <c r="I43" s="60">
        <v>0.49</v>
      </c>
      <c r="J43" s="60">
        <v>0.82</v>
      </c>
      <c r="K43" s="60">
        <v>172.86</v>
      </c>
      <c r="L43" s="60">
        <v>21.67</v>
      </c>
      <c r="M43" s="60">
        <v>53.6</v>
      </c>
      <c r="N43" s="60">
        <v>354.9</v>
      </c>
      <c r="O43" s="60">
        <v>0</v>
      </c>
      <c r="P43" s="60">
        <v>1.02</v>
      </c>
      <c r="Q43" s="60">
        <v>225.72</v>
      </c>
      <c r="R43" s="198"/>
      <c r="S43" s="198"/>
      <c r="T43" s="198"/>
      <c r="U43" s="198"/>
    </row>
    <row r="44" spans="1:21" s="12" customFormat="1" x14ac:dyDescent="0.25">
      <c r="A44" s="201" t="s">
        <v>2587</v>
      </c>
      <c r="B44" s="60">
        <v>20.37</v>
      </c>
      <c r="C44" s="60">
        <v>111.53</v>
      </c>
      <c r="D44" s="60">
        <v>77.88</v>
      </c>
      <c r="E44" s="60">
        <v>5.03</v>
      </c>
      <c r="F44" s="60">
        <v>1.23</v>
      </c>
      <c r="G44" s="60">
        <v>71.11</v>
      </c>
      <c r="H44" s="60">
        <v>28.12</v>
      </c>
      <c r="I44" s="60">
        <v>0.49</v>
      </c>
      <c r="J44" s="60">
        <v>1.2</v>
      </c>
      <c r="K44" s="60">
        <v>168.62</v>
      </c>
      <c r="L44" s="60">
        <v>22.14</v>
      </c>
      <c r="M44" s="60">
        <v>46.94</v>
      </c>
      <c r="N44" s="60">
        <v>382.5</v>
      </c>
      <c r="O44" s="60">
        <v>0</v>
      </c>
      <c r="P44" s="60">
        <v>1.01</v>
      </c>
      <c r="Q44" s="60">
        <v>226.38</v>
      </c>
      <c r="R44" s="198"/>
      <c r="S44" s="198"/>
      <c r="T44" s="198"/>
      <c r="U44" s="198"/>
    </row>
    <row r="45" spans="1:21" s="12" customFormat="1" x14ac:dyDescent="0.25">
      <c r="A45" s="201" t="s">
        <v>2588</v>
      </c>
      <c r="B45" s="60">
        <v>19.34</v>
      </c>
      <c r="C45" s="60">
        <v>112.15</v>
      </c>
      <c r="D45" s="60">
        <v>77.41</v>
      </c>
      <c r="E45" s="60">
        <v>5.16</v>
      </c>
      <c r="F45" s="60">
        <v>0.74</v>
      </c>
      <c r="G45" s="60">
        <v>109.38</v>
      </c>
      <c r="H45" s="60">
        <v>30.04</v>
      </c>
      <c r="I45" s="60">
        <v>0.49</v>
      </c>
      <c r="J45" s="60">
        <v>1.28</v>
      </c>
      <c r="K45" s="60">
        <v>170.45</v>
      </c>
      <c r="L45" s="60">
        <v>21.82</v>
      </c>
      <c r="M45" s="60">
        <v>35.119999999999997</v>
      </c>
      <c r="N45" s="60">
        <v>408.2</v>
      </c>
      <c r="O45" s="60">
        <v>0</v>
      </c>
      <c r="P45" s="60">
        <v>0.99</v>
      </c>
      <c r="Q45" s="60">
        <v>225.21</v>
      </c>
      <c r="R45" s="198"/>
      <c r="S45" s="198"/>
      <c r="T45" s="198"/>
      <c r="U45" s="198"/>
    </row>
    <row r="46" spans="1:21" s="12" customFormat="1" x14ac:dyDescent="0.25">
      <c r="A46" s="201" t="s">
        <v>2589</v>
      </c>
      <c r="B46" s="60">
        <v>18.489999999999998</v>
      </c>
      <c r="C46" s="60">
        <v>112.43</v>
      </c>
      <c r="D46" s="60">
        <v>76.88</v>
      </c>
      <c r="E46" s="60">
        <v>4.5999999999999996</v>
      </c>
      <c r="F46" s="60">
        <v>1.42</v>
      </c>
      <c r="G46" s="60">
        <v>109.38</v>
      </c>
      <c r="H46" s="60">
        <v>30.37</v>
      </c>
      <c r="I46" s="60">
        <v>0.49</v>
      </c>
      <c r="J46" s="60">
        <v>0.96</v>
      </c>
      <c r="K46" s="60">
        <v>168.44</v>
      </c>
      <c r="L46" s="60">
        <v>22.69</v>
      </c>
      <c r="M46" s="60">
        <v>37.61</v>
      </c>
      <c r="N46" s="60">
        <v>427.2</v>
      </c>
      <c r="O46" s="60">
        <v>0</v>
      </c>
      <c r="P46" s="60">
        <v>0.97</v>
      </c>
      <c r="Q46" s="60">
        <v>226.17</v>
      </c>
      <c r="R46" s="198"/>
      <c r="S46" s="198"/>
      <c r="T46" s="198"/>
      <c r="U46" s="198"/>
    </row>
    <row r="47" spans="1:21" s="12" customFormat="1" x14ac:dyDescent="0.25">
      <c r="A47" s="201" t="s">
        <v>2590</v>
      </c>
      <c r="B47" s="60">
        <v>17.41</v>
      </c>
      <c r="C47" s="60">
        <v>112.77</v>
      </c>
      <c r="D47" s="60">
        <v>76.2</v>
      </c>
      <c r="E47" s="60">
        <v>5.18</v>
      </c>
      <c r="F47" s="60">
        <v>1.33</v>
      </c>
      <c r="G47" s="60">
        <v>109.38</v>
      </c>
      <c r="H47" s="60">
        <v>30.37</v>
      </c>
      <c r="I47" s="60">
        <v>0.5</v>
      </c>
      <c r="J47" s="60">
        <v>0.95</v>
      </c>
      <c r="K47" s="60">
        <v>144.69</v>
      </c>
      <c r="L47" s="60">
        <v>25.48</v>
      </c>
      <c r="M47" s="60">
        <v>76.3</v>
      </c>
      <c r="N47" s="60">
        <v>446.9</v>
      </c>
      <c r="O47" s="60">
        <v>0</v>
      </c>
      <c r="P47" s="60">
        <v>0.95</v>
      </c>
      <c r="Q47" s="60">
        <v>226.11</v>
      </c>
      <c r="R47" s="198"/>
      <c r="S47" s="198"/>
      <c r="T47" s="198"/>
      <c r="U47" s="198"/>
    </row>
    <row r="48" spans="1:21" s="12" customFormat="1" x14ac:dyDescent="0.25">
      <c r="A48" s="201" t="s">
        <v>2591</v>
      </c>
      <c r="B48" s="60">
        <v>16.71</v>
      </c>
      <c r="C48" s="60">
        <v>113.01</v>
      </c>
      <c r="D48" s="60">
        <v>75.77</v>
      </c>
      <c r="E48" s="60">
        <v>5.21</v>
      </c>
      <c r="F48" s="60">
        <v>1</v>
      </c>
      <c r="G48" s="60">
        <v>109.38</v>
      </c>
      <c r="H48" s="60">
        <v>30.37</v>
      </c>
      <c r="I48" s="60">
        <v>0.49</v>
      </c>
      <c r="J48" s="60">
        <v>0.95</v>
      </c>
      <c r="K48" s="60">
        <v>146.36000000000001</v>
      </c>
      <c r="L48" s="60">
        <v>25.63</v>
      </c>
      <c r="M48" s="60">
        <v>60.38</v>
      </c>
      <c r="N48" s="60">
        <v>467.6</v>
      </c>
      <c r="O48" s="60">
        <v>0</v>
      </c>
      <c r="P48" s="60">
        <v>0.96</v>
      </c>
      <c r="Q48" s="60">
        <v>225.28</v>
      </c>
      <c r="R48" s="198"/>
      <c r="S48" s="198"/>
      <c r="T48" s="198"/>
      <c r="U48" s="198"/>
    </row>
    <row r="49" spans="1:21" s="12" customFormat="1" x14ac:dyDescent="0.25">
      <c r="A49" s="201" t="s">
        <v>2592</v>
      </c>
      <c r="B49" s="60">
        <v>14.92</v>
      </c>
      <c r="C49" s="60">
        <v>113.1</v>
      </c>
      <c r="D49" s="60">
        <v>74.38</v>
      </c>
      <c r="E49" s="60">
        <v>4.78</v>
      </c>
      <c r="F49" s="60">
        <v>1.72</v>
      </c>
      <c r="G49" s="60">
        <v>91.15</v>
      </c>
      <c r="H49" s="60">
        <v>32.69</v>
      </c>
      <c r="I49" s="60">
        <v>0.48</v>
      </c>
      <c r="J49" s="60">
        <v>1.02</v>
      </c>
      <c r="K49" s="60">
        <v>134.54</v>
      </c>
      <c r="L49" s="60">
        <v>27.35</v>
      </c>
      <c r="M49" s="60">
        <v>74.81</v>
      </c>
      <c r="N49" s="60">
        <v>482.3</v>
      </c>
      <c r="O49" s="60">
        <v>0</v>
      </c>
      <c r="P49" s="60">
        <v>0.95</v>
      </c>
      <c r="Q49" s="60">
        <v>227.48</v>
      </c>
      <c r="R49" s="198"/>
      <c r="S49" s="198"/>
      <c r="T49" s="198"/>
      <c r="U49" s="198"/>
    </row>
    <row r="50" spans="1:21" s="12" customFormat="1" x14ac:dyDescent="0.25">
      <c r="A50" s="201" t="s">
        <v>2593</v>
      </c>
      <c r="B50" s="60">
        <v>12.89</v>
      </c>
      <c r="C50" s="60">
        <v>114.47</v>
      </c>
      <c r="D50" s="60">
        <v>73.510000000000005</v>
      </c>
      <c r="E50" s="60">
        <v>3.99</v>
      </c>
      <c r="F50" s="60">
        <v>1.97</v>
      </c>
      <c r="G50" s="60">
        <v>91.15</v>
      </c>
      <c r="H50" s="60">
        <v>33.090000000000003</v>
      </c>
      <c r="I50" s="60">
        <v>0.49</v>
      </c>
      <c r="J50" s="60">
        <v>1.17</v>
      </c>
      <c r="K50" s="60">
        <v>144.97</v>
      </c>
      <c r="L50" s="60">
        <v>25.84</v>
      </c>
      <c r="M50" s="60">
        <v>44.18</v>
      </c>
      <c r="N50" s="60">
        <v>491.9</v>
      </c>
      <c r="O50" s="60">
        <v>0</v>
      </c>
      <c r="P50" s="60">
        <v>0.95</v>
      </c>
      <c r="Q50" s="60">
        <v>225.55</v>
      </c>
      <c r="R50" s="198"/>
      <c r="S50" s="198"/>
      <c r="T50" s="198"/>
      <c r="U50" s="198"/>
    </row>
    <row r="51" spans="1:21" s="12" customFormat="1" x14ac:dyDescent="0.25">
      <c r="A51" s="201" t="s">
        <v>2594</v>
      </c>
      <c r="B51" s="60">
        <v>11.51</v>
      </c>
      <c r="C51" s="60">
        <v>111.5</v>
      </c>
      <c r="D51" s="60">
        <v>70.760000000000005</v>
      </c>
      <c r="E51" s="60">
        <v>4.34</v>
      </c>
      <c r="F51" s="60">
        <v>1.59</v>
      </c>
      <c r="G51" s="60">
        <v>91.15</v>
      </c>
      <c r="H51" s="60">
        <v>33.090000000000003</v>
      </c>
      <c r="I51" s="60">
        <v>0.47</v>
      </c>
      <c r="J51" s="60">
        <v>1.24</v>
      </c>
      <c r="K51" s="60">
        <v>141.16</v>
      </c>
      <c r="L51" s="60">
        <v>26.36</v>
      </c>
      <c r="M51" s="60">
        <v>50.05</v>
      </c>
      <c r="N51" s="60">
        <v>502.5</v>
      </c>
      <c r="O51" s="60">
        <v>0</v>
      </c>
      <c r="P51" s="60">
        <v>0.94</v>
      </c>
      <c r="Q51" s="60">
        <v>223.71</v>
      </c>
      <c r="R51" s="198"/>
      <c r="S51" s="198"/>
      <c r="T51" s="198"/>
      <c r="U51" s="198"/>
    </row>
    <row r="52" spans="1:21" s="12" customFormat="1" x14ac:dyDescent="0.25">
      <c r="A52" s="201" t="s">
        <v>2595</v>
      </c>
      <c r="B52" s="60">
        <v>10.130000000000001</v>
      </c>
      <c r="C52" s="60">
        <v>108.42</v>
      </c>
      <c r="D52" s="60">
        <v>67.959999999999994</v>
      </c>
      <c r="E52" s="60">
        <v>4.1900000000000004</v>
      </c>
      <c r="F52" s="60">
        <v>1.74</v>
      </c>
      <c r="G52" s="60">
        <v>91.15</v>
      </c>
      <c r="H52" s="60">
        <v>33.090000000000003</v>
      </c>
      <c r="I52" s="60">
        <v>0.46</v>
      </c>
      <c r="J52" s="60">
        <v>1.02</v>
      </c>
      <c r="K52" s="60">
        <v>138.47999999999999</v>
      </c>
      <c r="L52" s="60">
        <v>26.42</v>
      </c>
      <c r="M52" s="60">
        <v>49.22</v>
      </c>
      <c r="N52" s="60">
        <v>497.5</v>
      </c>
      <c r="O52" s="60">
        <v>0</v>
      </c>
      <c r="P52" s="60">
        <v>0.92</v>
      </c>
      <c r="Q52" s="60">
        <v>220.83</v>
      </c>
      <c r="R52" s="198"/>
      <c r="S52" s="198"/>
      <c r="T52" s="198"/>
      <c r="U52" s="198"/>
    </row>
    <row r="53" spans="1:21" s="12" customFormat="1" x14ac:dyDescent="0.25">
      <c r="A53" s="201" t="s">
        <v>2596</v>
      </c>
      <c r="B53" s="60">
        <v>9.1199999999999992</v>
      </c>
      <c r="C53" s="60">
        <v>112.3</v>
      </c>
      <c r="D53" s="60">
        <v>69.290000000000006</v>
      </c>
      <c r="E53" s="60">
        <v>4.3</v>
      </c>
      <c r="F53" s="60">
        <v>2.25</v>
      </c>
      <c r="G53" s="60">
        <v>105.08</v>
      </c>
      <c r="H53" s="60">
        <v>31.67</v>
      </c>
      <c r="I53" s="60">
        <v>0.45</v>
      </c>
      <c r="J53" s="60">
        <v>1.18</v>
      </c>
      <c r="K53" s="60">
        <v>132.52000000000001</v>
      </c>
      <c r="L53" s="60">
        <v>27.12</v>
      </c>
      <c r="M53" s="60">
        <v>47.66</v>
      </c>
      <c r="N53" s="60">
        <v>508.3</v>
      </c>
      <c r="O53" s="60">
        <v>0</v>
      </c>
      <c r="P53" s="60">
        <v>0.92</v>
      </c>
      <c r="Q53" s="60">
        <v>216.77</v>
      </c>
      <c r="R53" s="198"/>
      <c r="S53" s="198"/>
      <c r="T53" s="198"/>
      <c r="U53" s="198"/>
    </row>
    <row r="54" spans="1:21" s="12" customFormat="1" x14ac:dyDescent="0.25">
      <c r="A54" s="201" t="s">
        <v>2597</v>
      </c>
      <c r="B54" s="60">
        <v>7.34</v>
      </c>
      <c r="C54" s="60">
        <v>107.44</v>
      </c>
      <c r="D54" s="60">
        <v>65.180000000000007</v>
      </c>
      <c r="E54" s="60">
        <v>4.16</v>
      </c>
      <c r="F54" s="60">
        <v>2.4300000000000002</v>
      </c>
      <c r="G54" s="60">
        <v>105.08</v>
      </c>
      <c r="H54" s="60">
        <v>31.43</v>
      </c>
      <c r="I54" s="60">
        <v>0.45</v>
      </c>
      <c r="J54" s="60">
        <v>1.03</v>
      </c>
      <c r="K54" s="60">
        <v>132.96</v>
      </c>
      <c r="L54" s="60">
        <v>26.9</v>
      </c>
      <c r="M54" s="60">
        <v>54.82</v>
      </c>
      <c r="N54" s="60">
        <v>514.1</v>
      </c>
      <c r="O54" s="60">
        <v>0</v>
      </c>
      <c r="P54" s="60">
        <v>0.9</v>
      </c>
      <c r="Q54" s="60">
        <v>214.69</v>
      </c>
      <c r="R54" s="198"/>
      <c r="S54" s="198"/>
      <c r="T54" s="198"/>
      <c r="U54" s="198"/>
    </row>
    <row r="55" spans="1:21" s="12" customFormat="1" x14ac:dyDescent="0.25">
      <c r="A55" s="201" t="s">
        <v>2598</v>
      </c>
      <c r="B55" s="60">
        <v>6.15</v>
      </c>
      <c r="C55" s="60">
        <v>104.54</v>
      </c>
      <c r="D55" s="60">
        <v>62.62</v>
      </c>
      <c r="E55" s="60">
        <v>5</v>
      </c>
      <c r="F55" s="60">
        <v>3.12</v>
      </c>
      <c r="G55" s="60">
        <v>105.08</v>
      </c>
      <c r="H55" s="60">
        <v>31.43</v>
      </c>
      <c r="I55" s="60">
        <v>0.44</v>
      </c>
      <c r="J55" s="60">
        <v>0.95</v>
      </c>
      <c r="K55" s="60">
        <v>117.6</v>
      </c>
      <c r="L55" s="60">
        <v>28.35</v>
      </c>
      <c r="M55" s="60">
        <v>54.68</v>
      </c>
      <c r="N55" s="60">
        <v>512.20000000000005</v>
      </c>
      <c r="O55" s="60">
        <v>0</v>
      </c>
      <c r="P55" s="60">
        <v>0.89</v>
      </c>
      <c r="Q55" s="60">
        <v>213.36</v>
      </c>
      <c r="R55" s="198"/>
      <c r="S55" s="198"/>
      <c r="T55" s="198"/>
      <c r="U55" s="198"/>
    </row>
    <row r="56" spans="1:21" s="12" customFormat="1" x14ac:dyDescent="0.25">
      <c r="A56" s="201" t="s">
        <v>2599</v>
      </c>
      <c r="B56" s="60">
        <v>5.43</v>
      </c>
      <c r="C56" s="60">
        <v>102.25</v>
      </c>
      <c r="D56" s="60">
        <v>60.79</v>
      </c>
      <c r="E56" s="60">
        <v>2.93</v>
      </c>
      <c r="F56" s="60">
        <v>2.71</v>
      </c>
      <c r="G56" s="60">
        <v>105.08</v>
      </c>
      <c r="H56" s="60">
        <v>31.43</v>
      </c>
      <c r="I56" s="60">
        <v>0.43</v>
      </c>
      <c r="J56" s="60">
        <v>1.1399999999999999</v>
      </c>
      <c r="K56" s="60">
        <v>122.73</v>
      </c>
      <c r="L56" s="60">
        <v>27.41</v>
      </c>
      <c r="M56" s="60">
        <v>51.32</v>
      </c>
      <c r="N56" s="60">
        <v>525.79999999999995</v>
      </c>
      <c r="O56" s="60">
        <v>0</v>
      </c>
      <c r="P56" s="60">
        <v>0.87</v>
      </c>
      <c r="Q56" s="60">
        <v>211.57</v>
      </c>
      <c r="R56" s="198"/>
      <c r="S56" s="198"/>
      <c r="T56" s="198"/>
      <c r="U56" s="198"/>
    </row>
    <row r="57" spans="1:21" s="12" customFormat="1" x14ac:dyDescent="0.25">
      <c r="A57" s="201" t="s">
        <v>2600</v>
      </c>
      <c r="B57" s="60">
        <v>4.97</v>
      </c>
      <c r="C57" s="60">
        <v>100.51</v>
      </c>
      <c r="D57" s="60">
        <v>59.45</v>
      </c>
      <c r="E57" s="60">
        <v>5.49</v>
      </c>
      <c r="F57" s="60">
        <v>3</v>
      </c>
      <c r="G57" s="60">
        <v>83.21</v>
      </c>
      <c r="H57" s="60">
        <v>32.64</v>
      </c>
      <c r="I57" s="60">
        <v>0.43</v>
      </c>
      <c r="J57" s="60">
        <v>1.1000000000000001</v>
      </c>
      <c r="K57" s="60">
        <v>112.23</v>
      </c>
      <c r="L57" s="60">
        <v>28.43</v>
      </c>
      <c r="M57" s="60">
        <v>52.57</v>
      </c>
      <c r="N57" s="60">
        <v>524.5</v>
      </c>
      <c r="O57" s="60">
        <v>0</v>
      </c>
      <c r="P57" s="60">
        <v>0.86</v>
      </c>
      <c r="Q57" s="60">
        <v>211.6</v>
      </c>
      <c r="R57" s="198"/>
      <c r="S57" s="198"/>
      <c r="T57" s="198"/>
      <c r="U57" s="198"/>
    </row>
    <row r="58" spans="1:21" s="12" customFormat="1" x14ac:dyDescent="0.25">
      <c r="A58" s="201" t="s">
        <v>2601</v>
      </c>
      <c r="B58" s="60">
        <v>4.47</v>
      </c>
      <c r="C58" s="60">
        <v>97.87</v>
      </c>
      <c r="D58" s="60">
        <v>57.59</v>
      </c>
      <c r="E58" s="60">
        <v>5.87</v>
      </c>
      <c r="F58" s="60">
        <v>1.73</v>
      </c>
      <c r="G58" s="60">
        <v>83.21</v>
      </c>
      <c r="H58" s="60">
        <v>32.85</v>
      </c>
      <c r="I58" s="60">
        <v>0.42</v>
      </c>
      <c r="J58" s="60">
        <v>0.93</v>
      </c>
      <c r="K58" s="60">
        <v>113.95</v>
      </c>
      <c r="L58" s="60">
        <v>27.51</v>
      </c>
      <c r="M58" s="60">
        <v>40.479999999999997</v>
      </c>
      <c r="N58" s="60">
        <v>516.29999999999995</v>
      </c>
      <c r="O58" s="60">
        <v>0</v>
      </c>
      <c r="P58" s="60">
        <v>0.84</v>
      </c>
      <c r="Q58" s="60">
        <v>214.12</v>
      </c>
      <c r="R58" s="198"/>
      <c r="S58" s="198"/>
      <c r="T58" s="198"/>
      <c r="U58" s="198"/>
    </row>
    <row r="59" spans="1:21" s="12" customFormat="1" x14ac:dyDescent="0.25">
      <c r="A59" s="201" t="s">
        <v>2602</v>
      </c>
      <c r="B59" s="60">
        <v>4.2300000000000004</v>
      </c>
      <c r="C59" s="60">
        <v>96.05</v>
      </c>
      <c r="D59" s="60">
        <v>56.4</v>
      </c>
      <c r="E59" s="60">
        <v>6.12</v>
      </c>
      <c r="F59" s="60">
        <v>1.78</v>
      </c>
      <c r="G59" s="60">
        <v>83.21</v>
      </c>
      <c r="H59" s="60">
        <v>32.85</v>
      </c>
      <c r="I59" s="60">
        <v>0.42</v>
      </c>
      <c r="J59" s="60">
        <v>0.6</v>
      </c>
      <c r="K59" s="60">
        <v>107.01</v>
      </c>
      <c r="L59" s="60">
        <v>29.09</v>
      </c>
      <c r="M59" s="60">
        <v>56.36</v>
      </c>
      <c r="N59" s="60">
        <v>486.2</v>
      </c>
      <c r="O59" s="60">
        <v>0</v>
      </c>
      <c r="P59" s="60">
        <v>0.83</v>
      </c>
      <c r="Q59" s="60">
        <v>217.75</v>
      </c>
      <c r="R59" s="198"/>
      <c r="S59" s="198"/>
      <c r="T59" s="198"/>
      <c r="U59" s="198"/>
    </row>
    <row r="60" spans="1:21" s="12" customFormat="1" x14ac:dyDescent="0.25">
      <c r="A60" s="201" t="s">
        <v>2603</v>
      </c>
      <c r="B60" s="60">
        <v>4.3</v>
      </c>
      <c r="C60" s="60">
        <v>96.11</v>
      </c>
      <c r="D60" s="60">
        <v>56.49</v>
      </c>
      <c r="E60" s="60">
        <v>5.98</v>
      </c>
      <c r="F60" s="60">
        <v>1.91</v>
      </c>
      <c r="G60" s="60">
        <v>83.21</v>
      </c>
      <c r="H60" s="60">
        <v>32.85</v>
      </c>
      <c r="I60" s="60">
        <v>0.43</v>
      </c>
      <c r="J60" s="60">
        <v>0.42</v>
      </c>
      <c r="K60" s="60">
        <v>102</v>
      </c>
      <c r="L60" s="60">
        <v>29.92</v>
      </c>
      <c r="M60" s="60">
        <v>70.930000000000007</v>
      </c>
      <c r="N60" s="60">
        <v>482.7</v>
      </c>
      <c r="O60" s="60">
        <v>0</v>
      </c>
      <c r="P60" s="60">
        <v>0.82</v>
      </c>
      <c r="Q60" s="60">
        <v>222.08</v>
      </c>
      <c r="R60" s="198"/>
      <c r="S60" s="198"/>
      <c r="T60" s="198"/>
      <c r="U60" s="198"/>
    </row>
    <row r="61" spans="1:21" s="12" customFormat="1" x14ac:dyDescent="0.25">
      <c r="A61" s="201" t="s">
        <v>2604</v>
      </c>
      <c r="B61" s="60">
        <v>4.1100000000000003</v>
      </c>
      <c r="C61" s="60">
        <v>93.32</v>
      </c>
      <c r="D61" s="60">
        <v>54.79</v>
      </c>
      <c r="E61" s="60">
        <v>6.3</v>
      </c>
      <c r="F61" s="60">
        <v>3.51</v>
      </c>
      <c r="G61" s="60">
        <v>54.87</v>
      </c>
      <c r="H61" s="60">
        <v>24.57</v>
      </c>
      <c r="I61" s="60">
        <v>0.43</v>
      </c>
      <c r="J61" s="60">
        <v>0.7</v>
      </c>
      <c r="K61" s="60">
        <v>99.86</v>
      </c>
      <c r="L61" s="60">
        <v>30.98</v>
      </c>
      <c r="M61" s="60">
        <v>70.849999999999994</v>
      </c>
      <c r="N61" s="60">
        <v>461.8</v>
      </c>
      <c r="O61" s="60">
        <v>0</v>
      </c>
      <c r="P61" s="60">
        <v>0.8</v>
      </c>
      <c r="Q61" s="60">
        <v>226.86</v>
      </c>
      <c r="R61" s="198"/>
      <c r="S61" s="198"/>
      <c r="T61" s="198"/>
      <c r="U61" s="198"/>
    </row>
    <row r="62" spans="1:21" s="12" customFormat="1" x14ac:dyDescent="0.25">
      <c r="A62" s="201" t="s">
        <v>2605</v>
      </c>
      <c r="B62" s="60">
        <v>4.3600000000000003</v>
      </c>
      <c r="C62" s="60">
        <v>95.25</v>
      </c>
      <c r="D62" s="60">
        <v>56.07</v>
      </c>
      <c r="E62" s="60">
        <v>5.77</v>
      </c>
      <c r="F62" s="60">
        <v>3.22</v>
      </c>
      <c r="G62" s="60">
        <v>54.87</v>
      </c>
      <c r="H62" s="60">
        <v>23.17</v>
      </c>
      <c r="I62" s="60">
        <v>0.43</v>
      </c>
      <c r="J62" s="60">
        <v>0.85</v>
      </c>
      <c r="K62" s="60">
        <v>97.1</v>
      </c>
      <c r="L62" s="60">
        <v>30.78</v>
      </c>
      <c r="M62" s="60">
        <v>80.349999999999994</v>
      </c>
      <c r="N62" s="60">
        <v>441.2</v>
      </c>
      <c r="O62" s="60">
        <v>0</v>
      </c>
      <c r="P62" s="60">
        <v>0.85</v>
      </c>
      <c r="Q62" s="60">
        <v>231.88</v>
      </c>
      <c r="R62" s="198"/>
      <c r="S62" s="198"/>
      <c r="T62" s="198"/>
      <c r="U62" s="198"/>
    </row>
    <row r="63" spans="1:21" s="12" customFormat="1" x14ac:dyDescent="0.25">
      <c r="A63" s="201" t="s">
        <v>2606</v>
      </c>
      <c r="B63" s="60">
        <v>4.49</v>
      </c>
      <c r="C63" s="60">
        <v>96.9</v>
      </c>
      <c r="D63" s="60">
        <v>57.08</v>
      </c>
      <c r="E63" s="60">
        <v>6.34</v>
      </c>
      <c r="F63" s="60">
        <v>2.39</v>
      </c>
      <c r="G63" s="60">
        <v>54.87</v>
      </c>
      <c r="H63" s="60">
        <v>23.17</v>
      </c>
      <c r="I63" s="60">
        <v>0.43</v>
      </c>
      <c r="J63" s="60">
        <v>0.27</v>
      </c>
      <c r="K63" s="60">
        <v>93.01</v>
      </c>
      <c r="L63" s="60">
        <v>30.89</v>
      </c>
      <c r="M63" s="60">
        <v>58.47</v>
      </c>
      <c r="N63" s="60">
        <v>410.9</v>
      </c>
      <c r="O63" s="60">
        <v>0</v>
      </c>
      <c r="P63" s="60">
        <v>0.85</v>
      </c>
      <c r="Q63" s="60">
        <v>239.66</v>
      </c>
      <c r="R63" s="198"/>
      <c r="S63" s="198"/>
      <c r="T63" s="198"/>
      <c r="U63" s="198"/>
    </row>
    <row r="64" spans="1:21" s="12" customFormat="1" x14ac:dyDescent="0.25">
      <c r="A64" s="201" t="s">
        <v>2607</v>
      </c>
      <c r="B64" s="60">
        <v>4.8099999999999996</v>
      </c>
      <c r="C64" s="60">
        <v>99.23</v>
      </c>
      <c r="D64" s="60">
        <v>58.62</v>
      </c>
      <c r="E64" s="60">
        <v>6.73</v>
      </c>
      <c r="F64" s="60">
        <v>2.64</v>
      </c>
      <c r="G64" s="60">
        <v>54.87</v>
      </c>
      <c r="H64" s="60">
        <v>23.17</v>
      </c>
      <c r="I64" s="60">
        <v>0.43</v>
      </c>
      <c r="J64" s="60">
        <v>0.84</v>
      </c>
      <c r="K64" s="60">
        <v>96.72</v>
      </c>
      <c r="L64" s="60">
        <v>30.77</v>
      </c>
      <c r="M64" s="60">
        <v>86.48</v>
      </c>
      <c r="N64" s="60">
        <v>385.8</v>
      </c>
      <c r="O64" s="60">
        <v>0</v>
      </c>
      <c r="P64" s="60">
        <v>0.86</v>
      </c>
      <c r="Q64" s="60">
        <v>242.7</v>
      </c>
      <c r="R64" s="198"/>
      <c r="S64" s="198"/>
      <c r="T64" s="198"/>
      <c r="U64" s="198"/>
    </row>
    <row r="65" spans="1:21" s="12" customFormat="1" x14ac:dyDescent="0.25">
      <c r="A65" s="201" t="s">
        <v>2608</v>
      </c>
      <c r="B65" s="60">
        <v>5.01</v>
      </c>
      <c r="C65" s="60">
        <v>100.03</v>
      </c>
      <c r="D65" s="60">
        <v>59.22</v>
      </c>
      <c r="E65" s="60">
        <v>6.66</v>
      </c>
      <c r="F65" s="60">
        <v>3.04</v>
      </c>
      <c r="G65" s="60">
        <v>59.5</v>
      </c>
      <c r="H65" s="60">
        <v>25.56</v>
      </c>
      <c r="I65" s="60">
        <v>0.43</v>
      </c>
      <c r="J65" s="60">
        <v>1.02</v>
      </c>
      <c r="K65" s="60">
        <v>105.11</v>
      </c>
      <c r="L65" s="60">
        <v>29.14</v>
      </c>
      <c r="M65" s="60">
        <v>36.14</v>
      </c>
      <c r="N65" s="60">
        <v>353.3</v>
      </c>
      <c r="O65" s="60">
        <v>0</v>
      </c>
      <c r="P65" s="60">
        <v>0.86</v>
      </c>
      <c r="Q65" s="60">
        <v>241.39</v>
      </c>
      <c r="R65" s="198"/>
      <c r="S65" s="198"/>
      <c r="T65" s="198"/>
      <c r="U65" s="198"/>
    </row>
    <row r="66" spans="1:21" s="12" customFormat="1" x14ac:dyDescent="0.25">
      <c r="A66" s="201" t="s">
        <v>2609</v>
      </c>
      <c r="B66" s="60">
        <v>4.59</v>
      </c>
      <c r="C66" s="60">
        <v>98.32</v>
      </c>
      <c r="D66" s="60">
        <v>57.94</v>
      </c>
      <c r="E66" s="60">
        <v>8.43</v>
      </c>
      <c r="F66" s="60">
        <v>3.8</v>
      </c>
      <c r="G66" s="60">
        <v>59.5</v>
      </c>
      <c r="H66" s="60">
        <v>26</v>
      </c>
      <c r="I66" s="60">
        <v>0.42</v>
      </c>
      <c r="J66" s="60">
        <v>0.73</v>
      </c>
      <c r="K66" s="60">
        <v>109.17</v>
      </c>
      <c r="L66" s="60">
        <v>28</v>
      </c>
      <c r="M66" s="60">
        <v>37.799999999999997</v>
      </c>
      <c r="N66" s="60">
        <v>271.8</v>
      </c>
      <c r="O66" s="60">
        <v>0</v>
      </c>
      <c r="P66" s="60">
        <v>0.84</v>
      </c>
      <c r="Q66" s="60">
        <v>238.3</v>
      </c>
      <c r="R66" s="198"/>
      <c r="S66" s="198"/>
      <c r="T66" s="198"/>
      <c r="U66" s="198"/>
    </row>
    <row r="67" spans="1:21" s="12" customFormat="1" x14ac:dyDescent="0.25">
      <c r="A67" s="201" t="s">
        <v>2610</v>
      </c>
      <c r="B67" s="60">
        <v>4.17</v>
      </c>
      <c r="C67" s="60">
        <v>97.16</v>
      </c>
      <c r="D67" s="60">
        <v>56.97</v>
      </c>
      <c r="E67" s="60">
        <v>8.36</v>
      </c>
      <c r="F67" s="60">
        <v>3.09</v>
      </c>
      <c r="G67" s="60">
        <v>59.5</v>
      </c>
      <c r="H67" s="60">
        <v>26</v>
      </c>
      <c r="I67" s="60">
        <v>0.41</v>
      </c>
      <c r="J67" s="60">
        <v>1.07</v>
      </c>
      <c r="K67" s="60">
        <v>108.23</v>
      </c>
      <c r="L67" s="60">
        <v>28.1</v>
      </c>
      <c r="M67" s="60">
        <v>42.33</v>
      </c>
      <c r="N67" s="60">
        <v>192.2</v>
      </c>
      <c r="O67" s="60">
        <v>0</v>
      </c>
      <c r="P67" s="60">
        <v>0.82</v>
      </c>
      <c r="Q67" s="60">
        <v>235.76</v>
      </c>
      <c r="R67" s="198"/>
      <c r="S67" s="198"/>
      <c r="T67" s="198"/>
      <c r="U67" s="198"/>
    </row>
    <row r="68" spans="1:21" s="12" customFormat="1" x14ac:dyDescent="0.25">
      <c r="A68" s="201" t="s">
        <v>2611</v>
      </c>
      <c r="B68" s="60">
        <v>4.5</v>
      </c>
      <c r="C68" s="60">
        <v>96.71</v>
      </c>
      <c r="D68" s="60">
        <v>56.98</v>
      </c>
      <c r="E68" s="60">
        <v>7.27</v>
      </c>
      <c r="F68" s="60">
        <v>4.95</v>
      </c>
      <c r="G68" s="60">
        <v>59.5</v>
      </c>
      <c r="H68" s="60">
        <v>26</v>
      </c>
      <c r="I68" s="60">
        <v>0.4</v>
      </c>
      <c r="J68" s="60">
        <v>0.52</v>
      </c>
      <c r="K68" s="60">
        <v>107.07</v>
      </c>
      <c r="L68" s="60">
        <v>28.2</v>
      </c>
      <c r="M68" s="60">
        <v>49.18</v>
      </c>
      <c r="N68" s="60">
        <v>214.3</v>
      </c>
      <c r="O68" s="60">
        <v>0</v>
      </c>
      <c r="P68" s="60">
        <v>0.82</v>
      </c>
      <c r="Q68" s="60">
        <v>234.21</v>
      </c>
      <c r="R68" s="198"/>
      <c r="S68" s="198"/>
      <c r="T68" s="198"/>
      <c r="U68" s="198"/>
    </row>
    <row r="69" spans="1:21" s="12" customFormat="1" x14ac:dyDescent="0.25">
      <c r="A69" s="201" t="s">
        <v>2612</v>
      </c>
      <c r="B69" s="60">
        <v>4.05</v>
      </c>
      <c r="C69" s="60">
        <v>95.53</v>
      </c>
      <c r="D69" s="60">
        <v>55.97</v>
      </c>
      <c r="E69" s="60">
        <v>9.4499999999999993</v>
      </c>
      <c r="F69" s="60">
        <v>6.09</v>
      </c>
      <c r="G69" s="60">
        <v>63.18</v>
      </c>
      <c r="H69" s="60">
        <v>27.04</v>
      </c>
      <c r="I69" s="60">
        <v>0.4</v>
      </c>
      <c r="J69" s="60">
        <v>0.3</v>
      </c>
      <c r="K69" s="60">
        <v>106.13</v>
      </c>
      <c r="L69" s="60">
        <v>28.17</v>
      </c>
      <c r="M69" s="60">
        <v>35.36</v>
      </c>
      <c r="N69" s="60">
        <v>125</v>
      </c>
      <c r="O69" s="60">
        <v>0</v>
      </c>
      <c r="P69" s="60">
        <v>0.8</v>
      </c>
      <c r="Q69" s="60">
        <v>230.95</v>
      </c>
      <c r="R69" s="198"/>
      <c r="S69" s="198"/>
      <c r="T69" s="198"/>
      <c r="U69" s="198"/>
    </row>
    <row r="70" spans="1:21" s="12" customFormat="1" x14ac:dyDescent="0.25">
      <c r="A70" s="201" t="s">
        <v>2613</v>
      </c>
      <c r="B70" s="60">
        <v>3.98</v>
      </c>
      <c r="C70" s="60">
        <v>98.71</v>
      </c>
      <c r="D70" s="60">
        <v>57.67</v>
      </c>
      <c r="E70" s="60">
        <v>11.29</v>
      </c>
      <c r="F70" s="60">
        <v>5.67</v>
      </c>
      <c r="G70" s="60">
        <v>63.18</v>
      </c>
      <c r="H70" s="60">
        <v>27.22</v>
      </c>
      <c r="I70" s="60">
        <v>0.38</v>
      </c>
      <c r="J70" s="60">
        <v>0.28000000000000003</v>
      </c>
      <c r="K70" s="60">
        <v>109.76</v>
      </c>
      <c r="L70" s="60">
        <v>27.83</v>
      </c>
      <c r="M70" s="60">
        <v>59.51</v>
      </c>
      <c r="N70" s="60">
        <v>118.1</v>
      </c>
      <c r="O70" s="60">
        <v>0</v>
      </c>
      <c r="P70" s="60">
        <v>0.8</v>
      </c>
      <c r="Q70" s="60">
        <v>230.77</v>
      </c>
      <c r="R70" s="198"/>
      <c r="S70" s="198"/>
      <c r="T70" s="198"/>
      <c r="U70" s="198"/>
    </row>
    <row r="71" spans="1:21" s="12" customFormat="1" x14ac:dyDescent="0.25">
      <c r="A71" s="201" t="s">
        <v>2614</v>
      </c>
      <c r="B71" s="60">
        <v>4.88</v>
      </c>
      <c r="C71" s="60">
        <v>106.77</v>
      </c>
      <c r="D71" s="60">
        <v>62.84</v>
      </c>
      <c r="E71" s="60">
        <v>14.5</v>
      </c>
      <c r="F71" s="60">
        <v>6.77</v>
      </c>
      <c r="G71" s="60">
        <v>63.18</v>
      </c>
      <c r="H71" s="60">
        <v>27.22</v>
      </c>
      <c r="I71" s="60">
        <v>0.37</v>
      </c>
      <c r="J71" s="60">
        <v>0.28000000000000003</v>
      </c>
      <c r="K71" s="60">
        <v>110.76</v>
      </c>
      <c r="L71" s="60">
        <v>27.88</v>
      </c>
      <c r="M71" s="60">
        <v>74.430000000000007</v>
      </c>
      <c r="N71" s="60">
        <v>83.5</v>
      </c>
      <c r="O71" s="60">
        <v>0</v>
      </c>
      <c r="P71" s="60">
        <v>0.83</v>
      </c>
      <c r="Q71" s="60">
        <v>237.12</v>
      </c>
      <c r="R71" s="198"/>
      <c r="S71" s="198"/>
      <c r="T71" s="198"/>
      <c r="U71" s="198"/>
    </row>
    <row r="72" spans="1:21" s="12" customFormat="1" x14ac:dyDescent="0.25">
      <c r="A72" s="201" t="s">
        <v>2615</v>
      </c>
      <c r="B72" s="60">
        <v>6.81</v>
      </c>
      <c r="C72" s="60">
        <v>99.78</v>
      </c>
      <c r="D72" s="60">
        <v>60.53</v>
      </c>
      <c r="E72" s="60">
        <v>3.58</v>
      </c>
      <c r="F72" s="60">
        <v>4.6399999999999997</v>
      </c>
      <c r="G72" s="60">
        <v>63.18</v>
      </c>
      <c r="H72" s="60">
        <v>27.22</v>
      </c>
      <c r="I72" s="60">
        <v>0.38</v>
      </c>
      <c r="J72" s="60">
        <v>0.76</v>
      </c>
      <c r="K72" s="60">
        <v>104.86</v>
      </c>
      <c r="L72" s="60">
        <v>27.75</v>
      </c>
      <c r="M72" s="60">
        <v>82.79</v>
      </c>
      <c r="N72" s="60">
        <v>69.599999999999994</v>
      </c>
      <c r="O72" s="60">
        <v>0</v>
      </c>
      <c r="P72" s="60">
        <v>0.86</v>
      </c>
      <c r="Q72" s="60">
        <v>244.47</v>
      </c>
      <c r="R72" s="198"/>
      <c r="S72" s="198"/>
      <c r="T72" s="198"/>
      <c r="U72" s="198"/>
    </row>
    <row r="73" spans="1:21" s="12" customFormat="1" x14ac:dyDescent="0.25">
      <c r="A73" s="201" t="s">
        <v>2616</v>
      </c>
      <c r="B73" s="60">
        <v>6.44</v>
      </c>
      <c r="C73" s="60">
        <v>105.6</v>
      </c>
      <c r="D73" s="60">
        <v>63.44</v>
      </c>
      <c r="E73" s="60">
        <v>8.52</v>
      </c>
      <c r="F73" s="60">
        <v>5.21</v>
      </c>
      <c r="G73" s="60">
        <v>54.1</v>
      </c>
      <c r="H73" s="60">
        <v>27.57</v>
      </c>
      <c r="I73" s="60">
        <v>0.38</v>
      </c>
      <c r="J73" s="60">
        <v>0.74</v>
      </c>
      <c r="K73" s="60">
        <v>104.67</v>
      </c>
      <c r="L73" s="60">
        <v>27.39</v>
      </c>
      <c r="M73" s="60">
        <v>76.209999999999994</v>
      </c>
      <c r="N73" s="60">
        <v>44.5</v>
      </c>
      <c r="O73" s="60">
        <v>0</v>
      </c>
      <c r="P73" s="60">
        <v>0.89</v>
      </c>
      <c r="Q73" s="60">
        <v>249.24</v>
      </c>
      <c r="R73" s="198"/>
      <c r="S73" s="198"/>
      <c r="T73" s="198"/>
      <c r="U73" s="198"/>
    </row>
    <row r="74" spans="1:21" s="12" customFormat="1" x14ac:dyDescent="0.25">
      <c r="A74" s="201" t="s">
        <v>2617</v>
      </c>
      <c r="B74" s="60">
        <v>7.61</v>
      </c>
      <c r="C74" s="60">
        <v>102.8</v>
      </c>
      <c r="D74" s="60">
        <v>62.84</v>
      </c>
      <c r="E74" s="60">
        <v>6.82</v>
      </c>
      <c r="F74" s="60">
        <v>3.77</v>
      </c>
      <c r="G74" s="60">
        <v>54.1</v>
      </c>
      <c r="H74" s="60">
        <v>27.63</v>
      </c>
      <c r="I74" s="60">
        <v>0.4</v>
      </c>
      <c r="J74" s="60">
        <v>0.72</v>
      </c>
      <c r="K74" s="60">
        <v>108.5</v>
      </c>
      <c r="L74" s="60">
        <v>26.96</v>
      </c>
      <c r="M74" s="60">
        <v>86.49</v>
      </c>
      <c r="N74" s="60">
        <v>34.200000000000003</v>
      </c>
      <c r="O74" s="60">
        <v>0</v>
      </c>
      <c r="P74" s="60">
        <v>0.89</v>
      </c>
      <c r="Q74" s="60">
        <v>252.9</v>
      </c>
      <c r="R74" s="198"/>
      <c r="S74" s="198"/>
      <c r="T74" s="198"/>
      <c r="U74" s="198"/>
    </row>
    <row r="75" spans="1:21" s="12" customFormat="1" x14ac:dyDescent="0.25">
      <c r="A75" s="201" t="s">
        <v>2618</v>
      </c>
      <c r="B75" s="60">
        <v>7.36</v>
      </c>
      <c r="C75" s="60">
        <v>104.47</v>
      </c>
      <c r="D75" s="60">
        <v>63.56</v>
      </c>
      <c r="E75" s="60">
        <v>6.22</v>
      </c>
      <c r="F75" s="60">
        <v>3.69</v>
      </c>
      <c r="G75" s="60">
        <v>54.1</v>
      </c>
      <c r="H75" s="60">
        <v>27.63</v>
      </c>
      <c r="I75" s="60">
        <v>0.4</v>
      </c>
      <c r="J75" s="60">
        <v>0.91</v>
      </c>
      <c r="K75" s="60">
        <v>115.28</v>
      </c>
      <c r="L75" s="60">
        <v>26.38</v>
      </c>
      <c r="M75" s="60">
        <v>86.74</v>
      </c>
      <c r="N75" s="60">
        <v>24.1</v>
      </c>
      <c r="O75" s="60">
        <v>0</v>
      </c>
      <c r="P75" s="60">
        <v>0.92</v>
      </c>
      <c r="Q75" s="60">
        <v>256.98</v>
      </c>
      <c r="R75" s="198"/>
      <c r="S75" s="198"/>
      <c r="T75" s="198"/>
      <c r="U75" s="198"/>
    </row>
    <row r="76" spans="1:21" s="12" customFormat="1" x14ac:dyDescent="0.25">
      <c r="A76" s="201" t="s">
        <v>2619</v>
      </c>
      <c r="B76" s="60">
        <v>7.07</v>
      </c>
      <c r="C76" s="60">
        <v>107.01</v>
      </c>
      <c r="D76" s="60">
        <v>64.73</v>
      </c>
      <c r="E76" s="60">
        <v>6.75</v>
      </c>
      <c r="F76" s="60">
        <v>4.1900000000000004</v>
      </c>
      <c r="G76" s="60">
        <v>54.1</v>
      </c>
      <c r="H76" s="60">
        <v>27.63</v>
      </c>
      <c r="I76" s="60">
        <v>0.42</v>
      </c>
      <c r="J76" s="60">
        <v>0.78</v>
      </c>
      <c r="K76" s="60">
        <v>119.16</v>
      </c>
      <c r="L76" s="60">
        <v>25.77</v>
      </c>
      <c r="M76" s="60">
        <v>91.86</v>
      </c>
      <c r="N76" s="60">
        <v>14.5</v>
      </c>
      <c r="O76" s="60">
        <v>0</v>
      </c>
      <c r="P76" s="60">
        <v>0.95</v>
      </c>
      <c r="Q76" s="60">
        <v>259.11</v>
      </c>
      <c r="R76" s="198"/>
      <c r="S76" s="198"/>
      <c r="T76" s="198"/>
      <c r="U76" s="198"/>
    </row>
    <row r="77" spans="1:21" s="12" customFormat="1" x14ac:dyDescent="0.25">
      <c r="A77" s="201" t="s">
        <v>2620</v>
      </c>
      <c r="B77" s="60">
        <v>8.18</v>
      </c>
      <c r="C77" s="60">
        <v>114.19</v>
      </c>
      <c r="D77" s="60">
        <v>69.58</v>
      </c>
      <c r="E77" s="60">
        <v>5.91</v>
      </c>
      <c r="F77" s="60">
        <v>2.59</v>
      </c>
      <c r="G77" s="60">
        <v>54.7</v>
      </c>
      <c r="H77" s="60">
        <v>26.57</v>
      </c>
      <c r="I77" s="60">
        <v>0.43</v>
      </c>
      <c r="J77" s="60">
        <v>0.59</v>
      </c>
      <c r="K77" s="60">
        <v>124.06</v>
      </c>
      <c r="L77" s="60">
        <v>25.04</v>
      </c>
      <c r="M77" s="60">
        <v>90.36</v>
      </c>
      <c r="N77" s="60">
        <v>6</v>
      </c>
      <c r="O77" s="60">
        <v>0</v>
      </c>
      <c r="P77" s="60">
        <v>0.98</v>
      </c>
      <c r="Q77" s="60">
        <v>263.11</v>
      </c>
      <c r="R77" s="198"/>
      <c r="S77" s="198"/>
      <c r="T77" s="198"/>
      <c r="U77" s="198"/>
    </row>
    <row r="78" spans="1:21" s="12" customFormat="1" x14ac:dyDescent="0.25">
      <c r="A78" s="201" t="s">
        <v>2621</v>
      </c>
      <c r="B78" s="60">
        <v>8.9700000000000006</v>
      </c>
      <c r="C78" s="60">
        <v>114.52</v>
      </c>
      <c r="D78" s="60">
        <v>70.39</v>
      </c>
      <c r="E78" s="60">
        <v>4.5</v>
      </c>
      <c r="F78" s="60">
        <v>1.43</v>
      </c>
      <c r="G78" s="60">
        <v>54.7</v>
      </c>
      <c r="H78" s="60">
        <v>26.37</v>
      </c>
      <c r="I78" s="60">
        <v>0.43</v>
      </c>
      <c r="J78" s="60">
        <v>0.17</v>
      </c>
      <c r="K78" s="60">
        <v>133.72</v>
      </c>
      <c r="L78" s="60">
        <v>23.97</v>
      </c>
      <c r="M78" s="60">
        <v>68.63</v>
      </c>
      <c r="N78" s="60">
        <v>2.4</v>
      </c>
      <c r="O78" s="60">
        <v>0</v>
      </c>
      <c r="P78" s="60">
        <v>1.05</v>
      </c>
      <c r="Q78" s="60">
        <v>268.37</v>
      </c>
      <c r="R78" s="198"/>
      <c r="S78" s="198"/>
      <c r="T78" s="198"/>
      <c r="U78" s="198"/>
    </row>
    <row r="79" spans="1:21" s="12" customFormat="1" x14ac:dyDescent="0.25">
      <c r="A79" s="201" t="s">
        <v>2622</v>
      </c>
      <c r="B79" s="60">
        <v>12.83</v>
      </c>
      <c r="C79" s="60">
        <v>124.56</v>
      </c>
      <c r="D79" s="60">
        <v>79.03</v>
      </c>
      <c r="E79" s="60">
        <v>4.92</v>
      </c>
      <c r="F79" s="60">
        <v>1.1399999999999999</v>
      </c>
      <c r="G79" s="60">
        <v>54.7</v>
      </c>
      <c r="H79" s="60">
        <v>26.37</v>
      </c>
      <c r="I79" s="60">
        <v>0.45</v>
      </c>
      <c r="J79" s="60">
        <v>0.22</v>
      </c>
      <c r="K79" s="60">
        <v>140.03</v>
      </c>
      <c r="L79" s="60">
        <v>23.41</v>
      </c>
      <c r="M79" s="60">
        <v>43.31</v>
      </c>
      <c r="N79" s="60">
        <v>1.1000000000000001</v>
      </c>
      <c r="O79" s="60">
        <v>0</v>
      </c>
      <c r="P79" s="60">
        <v>1.17</v>
      </c>
      <c r="Q79" s="60">
        <v>270.67</v>
      </c>
      <c r="R79" s="198"/>
      <c r="S79" s="198"/>
      <c r="T79" s="198"/>
      <c r="U79" s="198"/>
    </row>
    <row r="80" spans="1:21" s="12" customFormat="1" x14ac:dyDescent="0.25">
      <c r="A80" s="201" t="s">
        <v>2623</v>
      </c>
      <c r="B80" s="60">
        <v>13.45</v>
      </c>
      <c r="C80" s="60">
        <v>128.22999999999999</v>
      </c>
      <c r="D80" s="60">
        <v>81.56</v>
      </c>
      <c r="E80" s="60">
        <v>4.7699999999999996</v>
      </c>
      <c r="F80" s="60">
        <v>1.41</v>
      </c>
      <c r="G80" s="60">
        <v>54.7</v>
      </c>
      <c r="H80" s="60">
        <v>26.37</v>
      </c>
      <c r="I80" s="60">
        <v>0.46</v>
      </c>
      <c r="J80" s="60">
        <v>0.23</v>
      </c>
      <c r="K80" s="60">
        <v>151.51</v>
      </c>
      <c r="L80" s="60">
        <v>23.16</v>
      </c>
      <c r="M80" s="60">
        <v>23.14</v>
      </c>
      <c r="N80" s="60">
        <v>1</v>
      </c>
      <c r="O80" s="60">
        <v>0</v>
      </c>
      <c r="P80" s="60">
        <v>1.22</v>
      </c>
      <c r="Q80" s="60">
        <v>273.99</v>
      </c>
      <c r="R80" s="198"/>
      <c r="S80" s="198"/>
      <c r="T80" s="198"/>
      <c r="U80" s="198"/>
    </row>
    <row r="81" spans="1:26" s="12" customFormat="1" x14ac:dyDescent="0.25">
      <c r="A81" s="201" t="s">
        <v>2624</v>
      </c>
      <c r="B81" s="60">
        <v>15.85</v>
      </c>
      <c r="C81" s="60">
        <v>134.96</v>
      </c>
      <c r="D81" s="60">
        <v>87.19</v>
      </c>
      <c r="E81" s="60">
        <v>4.21</v>
      </c>
      <c r="F81" s="60">
        <v>0.88</v>
      </c>
      <c r="G81" s="60">
        <v>82.94</v>
      </c>
      <c r="H81" s="60">
        <v>28.65</v>
      </c>
      <c r="I81" s="60">
        <v>0.48</v>
      </c>
      <c r="J81" s="60">
        <v>0.16</v>
      </c>
      <c r="K81" s="60">
        <v>178.06</v>
      </c>
      <c r="L81" s="60">
        <v>22.18</v>
      </c>
      <c r="M81" s="60">
        <v>33.799999999999997</v>
      </c>
      <c r="N81" s="60">
        <v>1.2</v>
      </c>
      <c r="O81" s="60">
        <v>0</v>
      </c>
      <c r="P81" s="60">
        <v>1.31</v>
      </c>
      <c r="Q81" s="60">
        <v>274.20999999999998</v>
      </c>
      <c r="R81" s="198"/>
      <c r="S81" s="198"/>
      <c r="T81" s="198"/>
      <c r="U81" s="198"/>
    </row>
    <row r="82" spans="1:26" s="12" customFormat="1" x14ac:dyDescent="0.25">
      <c r="A82" s="201" t="s">
        <v>2625</v>
      </c>
      <c r="B82" s="60">
        <v>23.39</v>
      </c>
      <c r="C82" s="60">
        <v>136.78</v>
      </c>
      <c r="D82" s="60">
        <v>94.24</v>
      </c>
      <c r="E82" s="60">
        <v>4.47</v>
      </c>
      <c r="F82" s="60">
        <v>0.93</v>
      </c>
      <c r="G82" s="60">
        <v>82.94</v>
      </c>
      <c r="H82" s="60">
        <v>29.07</v>
      </c>
      <c r="I82" s="60">
        <v>0.51</v>
      </c>
      <c r="J82" s="60">
        <v>0.1</v>
      </c>
      <c r="K82" s="60">
        <v>179.9</v>
      </c>
      <c r="L82" s="60">
        <v>21.57</v>
      </c>
      <c r="M82" s="60">
        <v>46.1</v>
      </c>
      <c r="N82" s="60">
        <v>1.1000000000000001</v>
      </c>
      <c r="O82" s="60">
        <v>0</v>
      </c>
      <c r="P82" s="60">
        <v>1.44</v>
      </c>
      <c r="Q82" s="60">
        <v>283</v>
      </c>
      <c r="R82" s="198"/>
      <c r="S82" s="198"/>
      <c r="T82" s="198"/>
      <c r="U82" s="198"/>
    </row>
    <row r="83" spans="1:26" s="12" customFormat="1" x14ac:dyDescent="0.25">
      <c r="A83" s="201" t="s">
        <v>2626</v>
      </c>
      <c r="B83" s="60">
        <v>28.3</v>
      </c>
      <c r="C83" s="60">
        <v>142</v>
      </c>
      <c r="D83" s="60">
        <v>101.06</v>
      </c>
      <c r="E83" s="60">
        <v>4.37</v>
      </c>
      <c r="F83" s="60">
        <v>0.8</v>
      </c>
      <c r="G83" s="60">
        <v>82.94</v>
      </c>
      <c r="H83" s="60">
        <v>29.07</v>
      </c>
      <c r="I83" s="60">
        <v>0.55000000000000004</v>
      </c>
      <c r="J83" s="60">
        <v>0.11</v>
      </c>
      <c r="K83" s="60">
        <v>193.59</v>
      </c>
      <c r="L83" s="60">
        <v>20.86</v>
      </c>
      <c r="M83" s="60">
        <v>36.4</v>
      </c>
      <c r="N83" s="60">
        <v>1.1000000000000001</v>
      </c>
      <c r="O83" s="60">
        <v>0</v>
      </c>
      <c r="P83" s="60">
        <v>1.58</v>
      </c>
      <c r="Q83" s="60">
        <v>291.89</v>
      </c>
      <c r="R83" s="198"/>
      <c r="S83" s="198"/>
      <c r="T83" s="198"/>
      <c r="U83" s="198"/>
    </row>
    <row r="84" spans="1:26" s="12" customFormat="1" x14ac:dyDescent="0.25">
      <c r="A84" s="201" t="s">
        <v>2627</v>
      </c>
      <c r="B84" s="60">
        <v>31.72</v>
      </c>
      <c r="C84" s="60">
        <v>150.43</v>
      </c>
      <c r="D84" s="60">
        <v>108.46</v>
      </c>
      <c r="E84" s="60">
        <v>5.27</v>
      </c>
      <c r="F84" s="60">
        <v>0.96</v>
      </c>
      <c r="G84" s="60">
        <v>82.94</v>
      </c>
      <c r="H84" s="60">
        <v>29.07</v>
      </c>
      <c r="I84" s="60">
        <v>0.61</v>
      </c>
      <c r="J84" s="60">
        <v>0.15</v>
      </c>
      <c r="K84" s="60">
        <v>192.96</v>
      </c>
      <c r="L84" s="60">
        <v>20.71</v>
      </c>
      <c r="M84" s="60">
        <v>32.86</v>
      </c>
      <c r="N84" s="60">
        <v>0.6</v>
      </c>
      <c r="O84" s="60">
        <v>0</v>
      </c>
      <c r="P84" s="60">
        <v>1.73</v>
      </c>
      <c r="Q84" s="60">
        <v>295.17</v>
      </c>
      <c r="R84" s="198"/>
      <c r="S84" s="198"/>
      <c r="T84" s="198"/>
      <c r="U84" s="198"/>
    </row>
    <row r="85" spans="1:26" s="12" customFormat="1" x14ac:dyDescent="0.25">
      <c r="A85" s="201" t="s">
        <v>2628</v>
      </c>
      <c r="B85" s="60">
        <v>36.49</v>
      </c>
      <c r="C85" s="60">
        <v>158.47</v>
      </c>
      <c r="D85" s="60">
        <v>116.72</v>
      </c>
      <c r="E85" s="60">
        <v>5.38</v>
      </c>
      <c r="F85" s="60">
        <v>0.95</v>
      </c>
      <c r="G85" s="60">
        <v>178.36</v>
      </c>
      <c r="H85" s="60">
        <v>30.18</v>
      </c>
      <c r="I85" s="60">
        <v>0.69</v>
      </c>
      <c r="J85" s="60">
        <v>0.22</v>
      </c>
      <c r="K85" s="60">
        <v>177.72</v>
      </c>
      <c r="L85" s="60">
        <v>21.13</v>
      </c>
      <c r="M85" s="60">
        <v>19.690000000000001</v>
      </c>
      <c r="N85" s="60">
        <v>0.4</v>
      </c>
      <c r="O85" s="60">
        <v>0</v>
      </c>
      <c r="P85" s="60">
        <v>1.78</v>
      </c>
      <c r="Q85" s="60">
        <v>298.12</v>
      </c>
      <c r="R85" s="198"/>
      <c r="S85" s="198"/>
      <c r="T85" s="198"/>
      <c r="U85" s="198"/>
    </row>
    <row r="86" spans="1:26" s="12" customFormat="1" x14ac:dyDescent="0.25">
      <c r="A86" s="201" t="s">
        <v>2629</v>
      </c>
      <c r="B86" s="60">
        <v>39.24</v>
      </c>
      <c r="C86" s="60">
        <v>164.86</v>
      </c>
      <c r="D86" s="60">
        <v>122.46</v>
      </c>
      <c r="E86" s="60">
        <v>5.42</v>
      </c>
      <c r="F86" s="60">
        <v>0.94</v>
      </c>
      <c r="G86" s="60">
        <v>178.36</v>
      </c>
      <c r="H86" s="60">
        <v>30.39</v>
      </c>
      <c r="I86" s="60">
        <v>0.79</v>
      </c>
      <c r="J86" s="60">
        <v>0.18</v>
      </c>
      <c r="K86" s="60">
        <v>181.12</v>
      </c>
      <c r="L86" s="60">
        <v>21</v>
      </c>
      <c r="M86" s="60">
        <v>56.5</v>
      </c>
      <c r="N86" s="60">
        <v>0.7</v>
      </c>
      <c r="O86" s="60">
        <v>0</v>
      </c>
      <c r="P86" s="60">
        <v>1.96</v>
      </c>
      <c r="Q86" s="60">
        <v>304</v>
      </c>
      <c r="R86" s="198"/>
      <c r="S86" s="198"/>
      <c r="T86" s="198"/>
      <c r="U86" s="198"/>
    </row>
    <row r="87" spans="1:26" s="12" customFormat="1" x14ac:dyDescent="0.25">
      <c r="A87" s="201" t="s">
        <v>2630</v>
      </c>
      <c r="B87" s="60">
        <v>43.3</v>
      </c>
      <c r="C87" s="60">
        <v>163.44</v>
      </c>
      <c r="D87" s="60">
        <v>124.92</v>
      </c>
      <c r="E87" s="60">
        <v>5.28</v>
      </c>
      <c r="F87" s="60">
        <v>1.02</v>
      </c>
      <c r="G87" s="60">
        <v>178.36</v>
      </c>
      <c r="H87" s="60">
        <v>30.39</v>
      </c>
      <c r="I87" s="60">
        <v>0.88</v>
      </c>
      <c r="J87" s="60">
        <v>0.37</v>
      </c>
      <c r="K87" s="60">
        <v>194.8</v>
      </c>
      <c r="L87" s="60">
        <v>20.96</v>
      </c>
      <c r="M87" s="60">
        <v>70.22</v>
      </c>
      <c r="N87" s="60">
        <v>0.5</v>
      </c>
      <c r="O87" s="60">
        <v>0</v>
      </c>
      <c r="P87" s="60">
        <v>2.11</v>
      </c>
      <c r="Q87" s="60">
        <v>309.8</v>
      </c>
      <c r="R87" s="198"/>
      <c r="S87" s="198"/>
      <c r="T87" s="198"/>
      <c r="U87" s="198"/>
    </row>
    <row r="88" spans="1:26" s="12" customFormat="1" x14ac:dyDescent="0.25">
      <c r="A88" s="201" t="s">
        <v>2631</v>
      </c>
      <c r="B88" s="60">
        <v>50.06</v>
      </c>
      <c r="C88" s="60">
        <v>169.59</v>
      </c>
      <c r="D88" s="60">
        <v>133.72999999999999</v>
      </c>
      <c r="E88" s="60">
        <v>3.43</v>
      </c>
      <c r="F88" s="60">
        <v>0.81</v>
      </c>
      <c r="G88" s="60">
        <v>178.36</v>
      </c>
      <c r="H88" s="60">
        <v>30.39</v>
      </c>
      <c r="I88" s="60">
        <v>0.96</v>
      </c>
      <c r="J88" s="60">
        <v>0.24</v>
      </c>
      <c r="K88" s="60">
        <v>215.97</v>
      </c>
      <c r="L88" s="60">
        <v>20.14</v>
      </c>
      <c r="M88" s="60">
        <v>71.42</v>
      </c>
      <c r="N88" s="60">
        <v>1</v>
      </c>
      <c r="O88" s="60">
        <v>0</v>
      </c>
      <c r="P88" s="60">
        <v>2.33</v>
      </c>
      <c r="Q88" s="60">
        <v>318.24</v>
      </c>
      <c r="R88" s="198"/>
      <c r="S88" s="198"/>
      <c r="T88" s="198"/>
      <c r="U88" s="198"/>
    </row>
    <row r="89" spans="1:26" s="12" customFormat="1" x14ac:dyDescent="0.25">
      <c r="A89" s="201" t="s">
        <v>2632</v>
      </c>
      <c r="B89" s="60">
        <v>60.91</v>
      </c>
      <c r="C89" s="60">
        <v>183.34</v>
      </c>
      <c r="D89" s="60">
        <v>150.02000000000001</v>
      </c>
      <c r="E89" s="60">
        <v>5.15</v>
      </c>
      <c r="F89" s="60">
        <v>0.72</v>
      </c>
      <c r="G89" s="60">
        <v>171.05</v>
      </c>
      <c r="H89" s="60">
        <v>38.799999999999997</v>
      </c>
      <c r="I89" s="60">
        <v>1.02</v>
      </c>
      <c r="J89" s="60">
        <v>0.2</v>
      </c>
      <c r="K89" s="60">
        <v>216.85</v>
      </c>
      <c r="L89" s="60">
        <v>19.61</v>
      </c>
      <c r="M89" s="60">
        <v>69.83</v>
      </c>
      <c r="N89" s="60">
        <v>0.7</v>
      </c>
      <c r="O89" s="60">
        <v>0</v>
      </c>
      <c r="P89" s="60">
        <v>2.6</v>
      </c>
      <c r="Q89" s="60">
        <v>328.68</v>
      </c>
      <c r="R89" s="198"/>
      <c r="S89" s="198"/>
      <c r="T89" s="198"/>
      <c r="U89" s="198"/>
    </row>
    <row r="90" spans="1:26" s="12" customFormat="1" x14ac:dyDescent="0.25">
      <c r="A90" s="201" t="s">
        <v>2633</v>
      </c>
      <c r="B90" s="60">
        <v>66.7</v>
      </c>
      <c r="C90" s="60">
        <v>184.71</v>
      </c>
      <c r="D90" s="60">
        <v>155.43</v>
      </c>
      <c r="E90" s="60">
        <v>5.03</v>
      </c>
      <c r="F90" s="60">
        <v>0.75</v>
      </c>
      <c r="G90" s="60">
        <v>171.05</v>
      </c>
      <c r="H90" s="60">
        <v>40.22</v>
      </c>
      <c r="I90" s="60">
        <v>1.1200000000000001</v>
      </c>
      <c r="J90" s="60">
        <v>0.28999999999999998</v>
      </c>
      <c r="K90" s="60">
        <v>215.58</v>
      </c>
      <c r="L90" s="60">
        <v>19.47</v>
      </c>
      <c r="M90" s="60">
        <v>70.64</v>
      </c>
      <c r="N90" s="60">
        <v>0.8</v>
      </c>
      <c r="O90" s="60">
        <v>0</v>
      </c>
      <c r="P90" s="60">
        <v>2.8</v>
      </c>
      <c r="Q90" s="60">
        <v>338.22</v>
      </c>
      <c r="R90" s="198"/>
      <c r="S90" s="198"/>
      <c r="T90" s="198"/>
      <c r="U90" s="198"/>
    </row>
    <row r="91" spans="1:26" s="12" customFormat="1" x14ac:dyDescent="0.25">
      <c r="A91" s="201" t="s">
        <v>2634</v>
      </c>
      <c r="B91" s="60">
        <v>71.95</v>
      </c>
      <c r="C91" s="60">
        <v>189.87</v>
      </c>
      <c r="D91" s="60">
        <v>162.47999999999999</v>
      </c>
      <c r="E91" s="60">
        <v>5.75</v>
      </c>
      <c r="F91" s="60">
        <v>0.7</v>
      </c>
      <c r="G91" s="60">
        <v>171.05</v>
      </c>
      <c r="H91" s="60">
        <v>40.22</v>
      </c>
      <c r="I91" s="60">
        <v>1.22</v>
      </c>
      <c r="J91" s="60">
        <v>0.34</v>
      </c>
      <c r="K91" s="60">
        <v>210.55</v>
      </c>
      <c r="L91" s="60">
        <v>19.329999999999998</v>
      </c>
      <c r="M91" s="60">
        <v>46.72</v>
      </c>
      <c r="N91" s="60">
        <v>0.5</v>
      </c>
      <c r="O91" s="60">
        <v>0</v>
      </c>
      <c r="P91" s="60">
        <v>2.95</v>
      </c>
      <c r="Q91" s="60">
        <v>345.96</v>
      </c>
      <c r="R91" s="198"/>
      <c r="S91" s="198"/>
      <c r="T91" s="198"/>
      <c r="U91" s="198"/>
    </row>
    <row r="92" spans="1:26" s="12" customFormat="1" x14ac:dyDescent="0.25">
      <c r="A92" s="201" t="s">
        <v>2635</v>
      </c>
      <c r="B92" s="60">
        <v>82.17</v>
      </c>
      <c r="C92" s="60">
        <v>200.22</v>
      </c>
      <c r="D92" s="60">
        <v>176.39</v>
      </c>
      <c r="E92" s="60">
        <v>5.03</v>
      </c>
      <c r="F92" s="60">
        <v>0.83</v>
      </c>
      <c r="G92" s="60">
        <v>171.05</v>
      </c>
      <c r="H92" s="60">
        <v>40.22</v>
      </c>
      <c r="I92" s="60">
        <v>1.31</v>
      </c>
      <c r="J92" s="60">
        <v>0.39</v>
      </c>
      <c r="K92" s="60">
        <v>207.61</v>
      </c>
      <c r="L92" s="60">
        <v>20.04</v>
      </c>
      <c r="M92" s="60">
        <v>74.69</v>
      </c>
      <c r="N92" s="60">
        <v>0.3</v>
      </c>
      <c r="O92" s="60">
        <v>0</v>
      </c>
      <c r="P92" s="60">
        <v>3.1</v>
      </c>
      <c r="Q92" s="60">
        <v>358.98</v>
      </c>
      <c r="R92" s="198"/>
      <c r="S92" s="198"/>
      <c r="T92" s="198"/>
      <c r="U92" s="198"/>
    </row>
    <row r="93" spans="1:26" s="12" customFormat="1" x14ac:dyDescent="0.25">
      <c r="A93" s="201" t="s">
        <v>2636</v>
      </c>
      <c r="B93" s="60">
        <v>97.96</v>
      </c>
      <c r="C93" s="60">
        <v>213.91</v>
      </c>
      <c r="D93" s="60">
        <v>196.61</v>
      </c>
      <c r="E93" s="60">
        <v>5.5</v>
      </c>
      <c r="F93" s="60">
        <v>0.91</v>
      </c>
      <c r="G93" s="60">
        <v>163.72</v>
      </c>
      <c r="H93" s="60">
        <v>40.340000000000003</v>
      </c>
      <c r="I93" s="60">
        <v>1.38</v>
      </c>
      <c r="J93" s="60">
        <v>0.27</v>
      </c>
      <c r="K93" s="60">
        <v>222.67</v>
      </c>
      <c r="L93" s="60">
        <v>19.53</v>
      </c>
      <c r="M93" s="60">
        <v>67.11</v>
      </c>
      <c r="N93" s="60">
        <v>1.1000000000000001</v>
      </c>
      <c r="O93" s="60">
        <v>0</v>
      </c>
      <c r="P93" s="60">
        <v>3.33</v>
      </c>
      <c r="Q93" s="60">
        <v>371.62</v>
      </c>
      <c r="R93" s="198"/>
      <c r="S93" s="198"/>
      <c r="T93" s="198"/>
      <c r="U93" s="198"/>
    </row>
    <row r="94" spans="1:26" s="12" customFormat="1" x14ac:dyDescent="0.25">
      <c r="A94" s="201" t="s">
        <v>2637</v>
      </c>
      <c r="B94" s="60">
        <v>109.19</v>
      </c>
      <c r="C94" s="60">
        <v>223.51</v>
      </c>
      <c r="D94" s="60">
        <v>210.91</v>
      </c>
      <c r="E94" s="60">
        <v>5.74</v>
      </c>
      <c r="F94" s="60">
        <v>1.22</v>
      </c>
      <c r="G94" s="60">
        <v>163.72</v>
      </c>
      <c r="H94" s="60">
        <v>40.36</v>
      </c>
      <c r="I94" s="60">
        <v>1.43</v>
      </c>
      <c r="J94" s="60">
        <v>0.33</v>
      </c>
      <c r="K94" s="60">
        <v>220.34</v>
      </c>
      <c r="L94" s="60">
        <v>19.149999999999999</v>
      </c>
      <c r="M94" s="60">
        <v>71.569999999999993</v>
      </c>
      <c r="N94" s="60">
        <v>0.7</v>
      </c>
      <c r="O94" s="60">
        <v>0</v>
      </c>
      <c r="P94" s="60">
        <v>3.5</v>
      </c>
      <c r="Q94" s="60">
        <v>384.16</v>
      </c>
      <c r="R94" s="198"/>
      <c r="S94" s="198"/>
      <c r="T94" s="198"/>
      <c r="U94" s="198"/>
    </row>
    <row r="95" spans="1:26" s="12" customFormat="1" x14ac:dyDescent="0.25">
      <c r="A95" s="201" t="s">
        <v>2638</v>
      </c>
      <c r="B95" s="60">
        <v>114.8</v>
      </c>
      <c r="C95" s="60">
        <v>228.16</v>
      </c>
      <c r="D95" s="60">
        <v>217.98</v>
      </c>
      <c r="E95" s="60">
        <v>5.59</v>
      </c>
      <c r="F95" s="60">
        <v>0.78</v>
      </c>
      <c r="G95" s="60">
        <v>163.72</v>
      </c>
      <c r="H95" s="60">
        <v>40.36</v>
      </c>
      <c r="I95" s="60">
        <v>1.51</v>
      </c>
      <c r="J95" s="60">
        <v>0.26</v>
      </c>
      <c r="K95" s="60">
        <v>224.96</v>
      </c>
      <c r="L95" s="60">
        <v>18.86</v>
      </c>
      <c r="M95" s="60">
        <v>62.45</v>
      </c>
      <c r="N95" s="60">
        <v>0.9</v>
      </c>
      <c r="O95" s="60">
        <v>0</v>
      </c>
      <c r="P95" s="60">
        <v>3.61</v>
      </c>
      <c r="Q95" s="60">
        <v>391</v>
      </c>
      <c r="R95" s="198"/>
      <c r="S95" s="198"/>
      <c r="T95" s="198"/>
      <c r="U95" s="198"/>
    </row>
    <row r="96" spans="1:26" s="12" customFormat="1" x14ac:dyDescent="0.25">
      <c r="A96" s="201" t="s">
        <v>2639</v>
      </c>
      <c r="B96" s="60">
        <v>122.56</v>
      </c>
      <c r="C96" s="60">
        <v>234.08</v>
      </c>
      <c r="D96" s="60">
        <v>227.47</v>
      </c>
      <c r="E96" s="60">
        <v>5.41</v>
      </c>
      <c r="F96" s="60">
        <v>0.57999999999999996</v>
      </c>
      <c r="G96" s="60">
        <v>163.72</v>
      </c>
      <c r="H96" s="60">
        <v>40.36</v>
      </c>
      <c r="I96" s="60">
        <v>1.69</v>
      </c>
      <c r="J96" s="60">
        <v>0.3</v>
      </c>
      <c r="K96" s="60">
        <v>231.67</v>
      </c>
      <c r="L96" s="60">
        <v>18.7</v>
      </c>
      <c r="M96" s="60">
        <v>66.08</v>
      </c>
      <c r="N96" s="60">
        <v>0.7</v>
      </c>
      <c r="O96" s="60">
        <v>0</v>
      </c>
      <c r="P96" s="60">
        <v>3.7</v>
      </c>
      <c r="Q96" s="60">
        <v>398.47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2640</v>
      </c>
      <c r="B97" s="60">
        <v>133.41</v>
      </c>
      <c r="C97" s="60">
        <v>243.03</v>
      </c>
      <c r="D97" s="60">
        <v>241.11</v>
      </c>
      <c r="E97" s="60">
        <v>5.66</v>
      </c>
      <c r="F97" s="60">
        <v>0.74</v>
      </c>
      <c r="G97" s="60">
        <v>183.84</v>
      </c>
      <c r="H97" s="60">
        <v>44.04</v>
      </c>
      <c r="I97" s="60">
        <v>1.57</v>
      </c>
      <c r="J97" s="60">
        <v>0.37</v>
      </c>
      <c r="K97" s="60">
        <v>236.35</v>
      </c>
      <c r="L97" s="60">
        <v>18.48</v>
      </c>
      <c r="M97" s="60">
        <v>77.319999999999993</v>
      </c>
      <c r="N97" s="60">
        <v>0.7</v>
      </c>
      <c r="O97" s="60">
        <v>0</v>
      </c>
      <c r="P97" s="60">
        <v>3.83</v>
      </c>
      <c r="Q97" s="60">
        <v>408.2</v>
      </c>
      <c r="R97" s="198"/>
      <c r="S97" s="198"/>
      <c r="T97" s="198"/>
      <c r="U97" s="198"/>
    </row>
    <row r="98" spans="1:33" s="12" customFormat="1" x14ac:dyDescent="0.25">
      <c r="A98" s="201" t="s">
        <v>2641</v>
      </c>
      <c r="B98" s="60">
        <v>140.08000000000001</v>
      </c>
      <c r="C98" s="60">
        <v>247.65</v>
      </c>
      <c r="D98" s="60">
        <v>249</v>
      </c>
      <c r="E98" s="60">
        <v>5.76</v>
      </c>
      <c r="F98" s="60">
        <v>0.73</v>
      </c>
      <c r="G98" s="60">
        <v>183.84</v>
      </c>
      <c r="H98" s="60">
        <v>44.67</v>
      </c>
      <c r="I98" s="60">
        <v>1.59</v>
      </c>
      <c r="J98" s="60">
        <v>0.78</v>
      </c>
      <c r="K98" s="60">
        <v>188.64</v>
      </c>
      <c r="L98" s="60">
        <v>19.149999999999999</v>
      </c>
      <c r="M98" s="60">
        <v>39.74</v>
      </c>
      <c r="N98" s="60">
        <v>0.3</v>
      </c>
      <c r="O98" s="60">
        <v>0</v>
      </c>
      <c r="P98" s="60">
        <v>3.89</v>
      </c>
      <c r="Q98" s="60">
        <v>413.57</v>
      </c>
      <c r="R98" s="198"/>
      <c r="S98" s="198"/>
      <c r="T98" s="198"/>
      <c r="U98" s="198"/>
    </row>
    <row r="99" spans="1:33" s="12" customFormat="1" x14ac:dyDescent="0.25">
      <c r="A99" s="201" t="s">
        <v>2642</v>
      </c>
      <c r="B99" s="60">
        <v>136.01</v>
      </c>
      <c r="C99" s="60">
        <v>242.78</v>
      </c>
      <c r="D99" s="60">
        <v>243.06</v>
      </c>
      <c r="E99" s="60">
        <v>6.04</v>
      </c>
      <c r="F99" s="60">
        <v>0.84</v>
      </c>
      <c r="G99" s="60">
        <v>183.84</v>
      </c>
      <c r="H99" s="60">
        <v>44.67</v>
      </c>
      <c r="I99" s="60">
        <v>1.63</v>
      </c>
      <c r="J99" s="60">
        <v>0.32</v>
      </c>
      <c r="K99" s="60">
        <v>185.45</v>
      </c>
      <c r="L99" s="60">
        <v>19.739999999999998</v>
      </c>
      <c r="M99" s="60">
        <v>51.65</v>
      </c>
      <c r="N99" s="60">
        <v>0.8</v>
      </c>
      <c r="O99" s="60">
        <v>0</v>
      </c>
      <c r="P99" s="60">
        <v>3.81</v>
      </c>
      <c r="Q99" s="60">
        <v>409.02</v>
      </c>
      <c r="R99" s="198"/>
      <c r="S99" s="198"/>
      <c r="T99" s="198"/>
      <c r="U99" s="198"/>
    </row>
    <row r="100" spans="1:33" s="12" customFormat="1" x14ac:dyDescent="0.25">
      <c r="A100" s="201" t="s">
        <v>2643</v>
      </c>
      <c r="B100" s="60">
        <v>130.79</v>
      </c>
      <c r="C100" s="60">
        <v>238.13</v>
      </c>
      <c r="D100" s="60">
        <v>236.3</v>
      </c>
      <c r="E100" s="60">
        <v>6.06</v>
      </c>
      <c r="F100" s="60">
        <v>0.53</v>
      </c>
      <c r="G100" s="60">
        <v>183.84</v>
      </c>
      <c r="H100" s="60">
        <v>44.67</v>
      </c>
      <c r="I100" s="60">
        <v>1.65</v>
      </c>
      <c r="J100" s="60">
        <v>0.28000000000000003</v>
      </c>
      <c r="K100" s="60">
        <v>209.35</v>
      </c>
      <c r="L100" s="60">
        <v>18.72</v>
      </c>
      <c r="M100" s="60">
        <v>59.96</v>
      </c>
      <c r="N100" s="60">
        <v>1.3</v>
      </c>
      <c r="O100" s="60">
        <v>0</v>
      </c>
      <c r="P100" s="60">
        <v>3.71</v>
      </c>
      <c r="Q100" s="60">
        <v>399.37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2644</v>
      </c>
      <c r="B101" s="60">
        <v>123.1</v>
      </c>
      <c r="C101" s="60">
        <v>230.41</v>
      </c>
      <c r="D101" s="60">
        <v>225.87</v>
      </c>
      <c r="E101" s="60">
        <v>5.93</v>
      </c>
      <c r="F101" s="60">
        <v>0.54</v>
      </c>
      <c r="G101" s="60">
        <v>101.46</v>
      </c>
      <c r="H101" s="60">
        <v>41.52</v>
      </c>
      <c r="I101" s="60">
        <v>1.62</v>
      </c>
      <c r="J101" s="60">
        <v>0.18</v>
      </c>
      <c r="K101" s="60">
        <v>197.64</v>
      </c>
      <c r="L101" s="60">
        <v>18.27</v>
      </c>
      <c r="M101" s="60">
        <v>46.29</v>
      </c>
      <c r="N101" s="60">
        <v>0.8</v>
      </c>
      <c r="O101" s="60">
        <v>0</v>
      </c>
      <c r="P101" s="60">
        <v>3.6</v>
      </c>
      <c r="Q101" s="60">
        <v>387.1</v>
      </c>
      <c r="R101" s="198"/>
      <c r="S101" s="198"/>
      <c r="T101" s="198"/>
      <c r="U101" s="198"/>
    </row>
    <row r="102" spans="1:33" s="12" customFormat="1" x14ac:dyDescent="0.25">
      <c r="A102" s="201" t="s">
        <v>2645</v>
      </c>
      <c r="B102" s="60">
        <v>116.33</v>
      </c>
      <c r="C102" s="60">
        <v>224.08</v>
      </c>
      <c r="D102" s="60">
        <v>216.96</v>
      </c>
      <c r="E102" s="60">
        <v>5.89</v>
      </c>
      <c r="F102" s="60">
        <v>0.61</v>
      </c>
      <c r="G102" s="60">
        <v>101.46</v>
      </c>
      <c r="H102" s="60">
        <v>40.99</v>
      </c>
      <c r="I102" s="60">
        <v>1.59</v>
      </c>
      <c r="J102" s="60">
        <v>0.26</v>
      </c>
      <c r="K102" s="60">
        <v>201.69</v>
      </c>
      <c r="L102" s="60">
        <v>18.34</v>
      </c>
      <c r="M102" s="60">
        <v>57.1</v>
      </c>
      <c r="N102" s="60">
        <v>0.7</v>
      </c>
      <c r="O102" s="60">
        <v>0</v>
      </c>
      <c r="P102" s="60">
        <v>3.48</v>
      </c>
      <c r="Q102" s="60">
        <v>377.02</v>
      </c>
      <c r="R102" s="198"/>
      <c r="S102" s="198"/>
      <c r="T102" s="198"/>
      <c r="U102" s="198"/>
    </row>
    <row r="103" spans="1:33" s="12" customFormat="1" x14ac:dyDescent="0.25">
      <c r="A103" s="201" t="s">
        <v>2646</v>
      </c>
      <c r="B103" s="60">
        <v>111.71</v>
      </c>
      <c r="C103" s="60">
        <v>217.86</v>
      </c>
      <c r="D103" s="60">
        <v>209.82</v>
      </c>
      <c r="E103" s="60">
        <v>6</v>
      </c>
      <c r="F103" s="60">
        <v>0.75</v>
      </c>
      <c r="G103" s="60">
        <v>101.46</v>
      </c>
      <c r="H103" s="60">
        <v>40.99</v>
      </c>
      <c r="I103" s="60">
        <v>1.54</v>
      </c>
      <c r="J103" s="60">
        <v>0.21</v>
      </c>
      <c r="K103" s="60">
        <v>206.33</v>
      </c>
      <c r="L103" s="60">
        <v>18.02</v>
      </c>
      <c r="M103" s="60">
        <v>69.319999999999993</v>
      </c>
      <c r="N103" s="60">
        <v>1.1000000000000001</v>
      </c>
      <c r="O103" s="60">
        <v>0</v>
      </c>
      <c r="P103" s="60">
        <v>3.35</v>
      </c>
      <c r="Q103" s="60">
        <v>369.09</v>
      </c>
      <c r="R103" s="198"/>
      <c r="S103" s="198"/>
      <c r="T103" s="198"/>
      <c r="U103" s="198"/>
    </row>
    <row r="104" spans="1:33" s="12" customFormat="1" x14ac:dyDescent="0.25">
      <c r="A104" s="201" t="s">
        <v>2647</v>
      </c>
      <c r="B104" s="60">
        <v>105.92</v>
      </c>
      <c r="C104" s="60">
        <v>211.06</v>
      </c>
      <c r="D104" s="60">
        <v>201.42</v>
      </c>
      <c r="E104" s="60">
        <v>2.83</v>
      </c>
      <c r="F104" s="60">
        <v>0.74</v>
      </c>
      <c r="G104" s="60">
        <v>101.46</v>
      </c>
      <c r="H104" s="60">
        <v>40.99</v>
      </c>
      <c r="I104" s="60">
        <v>1.51</v>
      </c>
      <c r="J104" s="60">
        <v>0.28000000000000003</v>
      </c>
      <c r="K104" s="60">
        <v>220.81</v>
      </c>
      <c r="L104" s="60">
        <v>17.25</v>
      </c>
      <c r="M104" s="60">
        <v>55.23</v>
      </c>
      <c r="N104" s="60">
        <v>0.9</v>
      </c>
      <c r="O104" s="60">
        <v>0</v>
      </c>
      <c r="P104" s="60">
        <v>3.22</v>
      </c>
      <c r="Q104" s="60">
        <v>360.77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3.98</v>
      </c>
      <c r="C106" s="67">
        <f>MIN(C9:C104)</f>
        <v>93.32</v>
      </c>
      <c r="D106" s="67">
        <f t="shared" ref="D106:Q106" si="0">MIN(D9:D104)</f>
        <v>54.79</v>
      </c>
      <c r="E106" s="67">
        <f t="shared" si="0"/>
        <v>1.92</v>
      </c>
      <c r="F106" s="67">
        <f t="shared" si="0"/>
        <v>0.53</v>
      </c>
      <c r="G106" s="67">
        <f t="shared" si="0"/>
        <v>54.1</v>
      </c>
      <c r="H106" s="67">
        <f t="shared" si="0"/>
        <v>23.17</v>
      </c>
      <c r="I106" s="67">
        <f t="shared" si="0"/>
        <v>0.37</v>
      </c>
      <c r="J106" s="67">
        <f t="shared" si="0"/>
        <v>0.1</v>
      </c>
      <c r="K106" s="67">
        <f t="shared" si="0"/>
        <v>93.01</v>
      </c>
      <c r="L106" s="67">
        <f t="shared" si="0"/>
        <v>15.8</v>
      </c>
      <c r="M106" s="67">
        <f t="shared" si="0"/>
        <v>17.059999999999999</v>
      </c>
      <c r="N106" s="67">
        <f t="shared" si="0"/>
        <v>0.3</v>
      </c>
      <c r="O106" s="67">
        <f t="shared" si="0"/>
        <v>0</v>
      </c>
      <c r="P106" s="67">
        <f t="shared" si="0"/>
        <v>0.8</v>
      </c>
      <c r="Q106" s="67">
        <f t="shared" si="0"/>
        <v>211.57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174.87</v>
      </c>
      <c r="C107" s="66">
        <f t="shared" ref="C107:Q107" si="1">MAX(C9:C104)</f>
        <v>265.07</v>
      </c>
      <c r="D107" s="66">
        <f t="shared" si="1"/>
        <v>286.52</v>
      </c>
      <c r="E107" s="66">
        <f t="shared" si="1"/>
        <v>14.5</v>
      </c>
      <c r="F107" s="66">
        <f t="shared" si="1"/>
        <v>6.77</v>
      </c>
      <c r="G107" s="66">
        <f t="shared" si="1"/>
        <v>183.84</v>
      </c>
      <c r="H107" s="66">
        <f t="shared" si="1"/>
        <v>49.98</v>
      </c>
      <c r="I107" s="66">
        <f t="shared" si="1"/>
        <v>1.69</v>
      </c>
      <c r="J107" s="66">
        <f t="shared" si="1"/>
        <v>1.28</v>
      </c>
      <c r="K107" s="66">
        <f t="shared" si="1"/>
        <v>241.25</v>
      </c>
      <c r="L107" s="66">
        <f t="shared" si="1"/>
        <v>30.98</v>
      </c>
      <c r="M107" s="66">
        <f t="shared" si="1"/>
        <v>91.86</v>
      </c>
      <c r="N107" s="66">
        <f t="shared" si="1"/>
        <v>525.79999999999995</v>
      </c>
      <c r="O107" s="66">
        <f t="shared" si="1"/>
        <v>0</v>
      </c>
      <c r="P107" s="66">
        <f t="shared" si="1"/>
        <v>3.89</v>
      </c>
      <c r="Q107" s="66">
        <f t="shared" si="1"/>
        <v>413.57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46.983020833333335</v>
      </c>
      <c r="C108" s="67">
        <f t="shared" ref="C108:Q108" si="2">AVERAGE(C9:C104)</f>
        <v>144.90166666666667</v>
      </c>
      <c r="D108" s="67">
        <f t="shared" si="2"/>
        <v>117.64489583333329</v>
      </c>
      <c r="E108" s="67">
        <f t="shared" si="2"/>
        <v>5.4426041666666665</v>
      </c>
      <c r="F108" s="67">
        <f t="shared" si="2"/>
        <v>1.586354166666667</v>
      </c>
      <c r="G108" s="67">
        <f t="shared" si="2"/>
        <v>100.85124999999995</v>
      </c>
      <c r="H108" s="67">
        <f t="shared" si="2"/>
        <v>34.075624999999988</v>
      </c>
      <c r="I108" s="67">
        <f t="shared" si="2"/>
        <v>0.79562500000000014</v>
      </c>
      <c r="J108" s="67">
        <f t="shared" si="2"/>
        <v>0.57156250000000008</v>
      </c>
      <c r="K108" s="67">
        <f t="shared" si="2"/>
        <v>176.0909375</v>
      </c>
      <c r="L108" s="67">
        <f t="shared" si="2"/>
        <v>21.755312500000006</v>
      </c>
      <c r="M108" s="67">
        <f t="shared" si="2"/>
        <v>57.21687499999998</v>
      </c>
      <c r="N108" s="67">
        <f t="shared" si="2"/>
        <v>136.08750000000001</v>
      </c>
      <c r="O108" s="67">
        <f t="shared" si="2"/>
        <v>0</v>
      </c>
      <c r="P108" s="67">
        <f t="shared" si="2"/>
        <v>1.7637499999999997</v>
      </c>
      <c r="Q108" s="67">
        <f t="shared" si="2"/>
        <v>277.29347826086951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47.217166573181416</v>
      </c>
      <c r="C109" s="67">
        <f t="shared" ref="C109:Q109" si="3">STDEV(C9:C104)</f>
        <v>50.028978227185107</v>
      </c>
      <c r="D109" s="67">
        <f t="shared" si="3"/>
        <v>65.064072825335984</v>
      </c>
      <c r="E109" s="67">
        <f t="shared" si="3"/>
        <v>1.6279863214165227</v>
      </c>
      <c r="F109" s="67">
        <f t="shared" si="3"/>
        <v>1.3691135201802476</v>
      </c>
      <c r="G109" s="67">
        <f t="shared" si="3"/>
        <v>40.619111842113362</v>
      </c>
      <c r="H109" s="67">
        <f t="shared" si="3"/>
        <v>7.0650092282131709</v>
      </c>
      <c r="I109" s="67">
        <f t="shared" si="3"/>
        <v>0.4372758072189068</v>
      </c>
      <c r="J109" s="67">
        <f t="shared" si="3"/>
        <v>0.32123881303478879</v>
      </c>
      <c r="K109" s="67">
        <f t="shared" si="3"/>
        <v>46.639762391696777</v>
      </c>
      <c r="L109" s="67">
        <f t="shared" si="3"/>
        <v>4.6256513517159394</v>
      </c>
      <c r="M109" s="67">
        <f t="shared" si="3"/>
        <v>16.991317740323545</v>
      </c>
      <c r="N109" s="67">
        <f t="shared" si="3"/>
        <v>196.11081359916466</v>
      </c>
      <c r="O109" s="67">
        <f t="shared" si="3"/>
        <v>0</v>
      </c>
      <c r="P109" s="67">
        <f t="shared" si="3"/>
        <v>1.0194686438480955</v>
      </c>
      <c r="Q109" s="67">
        <f t="shared" si="3"/>
        <v>59.994493106896151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92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2648</v>
      </c>
      <c r="B9" s="60">
        <v>101.36</v>
      </c>
      <c r="C9" s="60">
        <v>206.02</v>
      </c>
      <c r="D9" s="60">
        <v>194.98</v>
      </c>
      <c r="E9" s="60">
        <v>5.68</v>
      </c>
      <c r="F9" s="60">
        <v>0.86</v>
      </c>
      <c r="G9" s="60">
        <v>76.05</v>
      </c>
      <c r="H9" s="60">
        <v>36.36</v>
      </c>
      <c r="I9" s="60">
        <v>1.46</v>
      </c>
      <c r="J9" s="60">
        <v>0.18</v>
      </c>
      <c r="K9" s="60">
        <v>223.22</v>
      </c>
      <c r="L9" s="60">
        <v>17.100000000000001</v>
      </c>
      <c r="M9" s="60">
        <v>66.48</v>
      </c>
      <c r="N9" s="60">
        <v>0.9</v>
      </c>
      <c r="O9" s="60">
        <v>0</v>
      </c>
      <c r="P9" s="60">
        <v>3.11</v>
      </c>
      <c r="Q9" s="60">
        <v>352.48</v>
      </c>
      <c r="R9" s="198"/>
      <c r="S9" s="198"/>
      <c r="T9" s="198"/>
      <c r="U9" s="198"/>
    </row>
    <row r="10" spans="1:21" s="12" customFormat="1" x14ac:dyDescent="0.25">
      <c r="A10" s="201" t="s">
        <v>2649</v>
      </c>
      <c r="B10" s="60">
        <v>97.21</v>
      </c>
      <c r="C10" s="60">
        <v>200.46</v>
      </c>
      <c r="D10" s="60">
        <v>188.58</v>
      </c>
      <c r="E10" s="60">
        <v>5.63</v>
      </c>
      <c r="F10" s="60">
        <v>0.79</v>
      </c>
      <c r="G10" s="60">
        <v>76.05</v>
      </c>
      <c r="H10" s="60">
        <v>35.58</v>
      </c>
      <c r="I10" s="60">
        <v>1.41</v>
      </c>
      <c r="J10" s="60">
        <v>0.18</v>
      </c>
      <c r="K10" s="60">
        <v>224.04</v>
      </c>
      <c r="L10" s="60">
        <v>16.64</v>
      </c>
      <c r="M10" s="60">
        <v>54.47</v>
      </c>
      <c r="N10" s="60">
        <v>1</v>
      </c>
      <c r="O10" s="60">
        <v>0</v>
      </c>
      <c r="P10" s="60">
        <v>3</v>
      </c>
      <c r="Q10" s="60">
        <v>350.55</v>
      </c>
      <c r="R10" s="198"/>
      <c r="S10" s="198"/>
      <c r="T10" s="198"/>
      <c r="U10" s="198"/>
    </row>
    <row r="11" spans="1:21" s="12" customFormat="1" x14ac:dyDescent="0.25">
      <c r="A11" s="201" t="s">
        <v>2650</v>
      </c>
      <c r="B11" s="60">
        <v>92.25</v>
      </c>
      <c r="C11" s="60">
        <v>193.38</v>
      </c>
      <c r="D11" s="60">
        <v>180.7</v>
      </c>
      <c r="E11" s="60">
        <v>5.54</v>
      </c>
      <c r="F11" s="60">
        <v>0.82</v>
      </c>
      <c r="G11" s="60">
        <v>76.05</v>
      </c>
      <c r="H11" s="60">
        <v>35.58</v>
      </c>
      <c r="I11" s="60">
        <v>1.36</v>
      </c>
      <c r="J11" s="60">
        <v>0.23</v>
      </c>
      <c r="K11" s="60">
        <v>230.18</v>
      </c>
      <c r="L11" s="60">
        <v>16.510000000000002</v>
      </c>
      <c r="M11" s="60">
        <v>67.33</v>
      </c>
      <c r="N11" s="60">
        <v>0.8</v>
      </c>
      <c r="O11" s="60">
        <v>0</v>
      </c>
      <c r="P11" s="60">
        <v>2.9</v>
      </c>
      <c r="Q11" s="60">
        <v>342.06</v>
      </c>
      <c r="R11" s="198"/>
      <c r="S11" s="198"/>
      <c r="T11" s="198"/>
      <c r="U11" s="198"/>
    </row>
    <row r="12" spans="1:21" s="12" customFormat="1" x14ac:dyDescent="0.25">
      <c r="A12" s="201" t="s">
        <v>2651</v>
      </c>
      <c r="B12" s="60">
        <v>87.3</v>
      </c>
      <c r="C12" s="60">
        <v>185.74</v>
      </c>
      <c r="D12" s="60">
        <v>172.51</v>
      </c>
      <c r="E12" s="60">
        <v>5.45</v>
      </c>
      <c r="F12" s="60">
        <v>0.79</v>
      </c>
      <c r="G12" s="60">
        <v>76.05</v>
      </c>
      <c r="H12" s="60">
        <v>35.58</v>
      </c>
      <c r="I12" s="60">
        <v>1.31</v>
      </c>
      <c r="J12" s="60">
        <v>0.17</v>
      </c>
      <c r="K12" s="60">
        <v>230.82</v>
      </c>
      <c r="L12" s="60">
        <v>16.16</v>
      </c>
      <c r="M12" s="60">
        <v>51.79</v>
      </c>
      <c r="N12" s="60">
        <v>0.9</v>
      </c>
      <c r="O12" s="60">
        <v>0</v>
      </c>
      <c r="P12" s="60">
        <v>2.78</v>
      </c>
      <c r="Q12" s="60">
        <v>333.48</v>
      </c>
      <c r="R12" s="198"/>
      <c r="S12" s="198"/>
      <c r="T12" s="198"/>
      <c r="U12" s="198"/>
    </row>
    <row r="13" spans="1:21" s="12" customFormat="1" x14ac:dyDescent="0.25">
      <c r="A13" s="201" t="s">
        <v>2652</v>
      </c>
      <c r="B13" s="60">
        <v>81.92</v>
      </c>
      <c r="C13" s="60">
        <v>177.89</v>
      </c>
      <c r="D13" s="60">
        <v>163.86</v>
      </c>
      <c r="E13" s="60">
        <v>5.34</v>
      </c>
      <c r="F13" s="60">
        <v>0.71</v>
      </c>
      <c r="G13" s="60">
        <v>106.53</v>
      </c>
      <c r="H13" s="60">
        <v>33.450000000000003</v>
      </c>
      <c r="I13" s="60">
        <v>1.26</v>
      </c>
      <c r="J13" s="60">
        <v>0.46</v>
      </c>
      <c r="K13" s="60">
        <v>246.65</v>
      </c>
      <c r="L13" s="60">
        <v>16.05</v>
      </c>
      <c r="M13" s="60">
        <v>81.3</v>
      </c>
      <c r="N13" s="60">
        <v>0.5</v>
      </c>
      <c r="O13" s="60">
        <v>0</v>
      </c>
      <c r="P13" s="60">
        <v>2.58</v>
      </c>
      <c r="Q13" s="60">
        <v>323.29000000000002</v>
      </c>
      <c r="R13" s="198"/>
      <c r="S13" s="198"/>
      <c r="T13" s="198"/>
      <c r="U13" s="198"/>
    </row>
    <row r="14" spans="1:21" s="12" customFormat="1" x14ac:dyDescent="0.25">
      <c r="A14" s="201" t="s">
        <v>2653</v>
      </c>
      <c r="B14" s="60">
        <v>76.489999999999995</v>
      </c>
      <c r="C14" s="60">
        <v>171.41</v>
      </c>
      <c r="D14" s="60">
        <v>155.94</v>
      </c>
      <c r="E14" s="60">
        <v>5.55</v>
      </c>
      <c r="F14" s="60">
        <v>0.56999999999999995</v>
      </c>
      <c r="G14" s="60">
        <v>106.53</v>
      </c>
      <c r="H14" s="60">
        <v>33.06</v>
      </c>
      <c r="I14" s="60">
        <v>1.21</v>
      </c>
      <c r="J14" s="60">
        <v>0.55000000000000004</v>
      </c>
      <c r="K14" s="60">
        <v>235.69</v>
      </c>
      <c r="L14" s="60">
        <v>16.440000000000001</v>
      </c>
      <c r="M14" s="60">
        <v>81.92</v>
      </c>
      <c r="N14" s="60">
        <v>0.2</v>
      </c>
      <c r="O14" s="60">
        <v>0</v>
      </c>
      <c r="P14" s="60">
        <v>2.56</v>
      </c>
      <c r="Q14" s="60">
        <v>315.14999999999998</v>
      </c>
      <c r="R14" s="198"/>
      <c r="S14" s="198"/>
      <c r="T14" s="198"/>
      <c r="U14" s="198"/>
    </row>
    <row r="15" spans="1:21" s="12" customFormat="1" x14ac:dyDescent="0.25">
      <c r="A15" s="201" t="s">
        <v>2654</v>
      </c>
      <c r="B15" s="60">
        <v>70.959999999999994</v>
      </c>
      <c r="C15" s="60">
        <v>165.81</v>
      </c>
      <c r="D15" s="60">
        <v>148.41</v>
      </c>
      <c r="E15" s="60">
        <v>5.38</v>
      </c>
      <c r="F15" s="60">
        <v>0.76</v>
      </c>
      <c r="G15" s="60">
        <v>106.53</v>
      </c>
      <c r="H15" s="60">
        <v>33.06</v>
      </c>
      <c r="I15" s="60">
        <v>1.18</v>
      </c>
      <c r="J15" s="60">
        <v>0.21</v>
      </c>
      <c r="K15" s="60">
        <v>241.44</v>
      </c>
      <c r="L15" s="60">
        <v>16.170000000000002</v>
      </c>
      <c r="M15" s="60">
        <v>80.55</v>
      </c>
      <c r="N15" s="60">
        <v>1</v>
      </c>
      <c r="O15" s="60">
        <v>0</v>
      </c>
      <c r="P15" s="60">
        <v>2.46</v>
      </c>
      <c r="Q15" s="60">
        <v>306.64999999999998</v>
      </c>
      <c r="R15" s="198"/>
      <c r="S15" s="198"/>
      <c r="T15" s="198"/>
      <c r="U15" s="198"/>
    </row>
    <row r="16" spans="1:21" s="12" customFormat="1" x14ac:dyDescent="0.25">
      <c r="A16" s="201" t="s">
        <v>2655</v>
      </c>
      <c r="B16" s="60">
        <v>66.069999999999993</v>
      </c>
      <c r="C16" s="60">
        <v>160.36000000000001</v>
      </c>
      <c r="D16" s="60">
        <v>141.47999999999999</v>
      </c>
      <c r="E16" s="60">
        <v>5.29</v>
      </c>
      <c r="F16" s="60">
        <v>0.85</v>
      </c>
      <c r="G16" s="60">
        <v>106.53</v>
      </c>
      <c r="H16" s="60">
        <v>33.06</v>
      </c>
      <c r="I16" s="60">
        <v>1.1100000000000001</v>
      </c>
      <c r="J16" s="60">
        <v>0.13</v>
      </c>
      <c r="K16" s="60">
        <v>239.27</v>
      </c>
      <c r="L16" s="60">
        <v>15.95</v>
      </c>
      <c r="M16" s="60">
        <v>71.78</v>
      </c>
      <c r="N16" s="60">
        <v>1</v>
      </c>
      <c r="O16" s="60">
        <v>0</v>
      </c>
      <c r="P16" s="60">
        <v>2.38</v>
      </c>
      <c r="Q16" s="60">
        <v>298.66000000000003</v>
      </c>
      <c r="R16" s="198"/>
      <c r="S16" s="198"/>
      <c r="T16" s="198"/>
      <c r="U16" s="198"/>
    </row>
    <row r="17" spans="1:21" s="12" customFormat="1" x14ac:dyDescent="0.25">
      <c r="A17" s="201" t="s">
        <v>2656</v>
      </c>
      <c r="B17" s="60">
        <v>61.26</v>
      </c>
      <c r="C17" s="60">
        <v>155.46</v>
      </c>
      <c r="D17" s="60">
        <v>134.93</v>
      </c>
      <c r="E17" s="60">
        <v>5.84</v>
      </c>
      <c r="F17" s="60">
        <v>0.78</v>
      </c>
      <c r="G17" s="60">
        <v>128.69</v>
      </c>
      <c r="H17" s="60">
        <v>38.58</v>
      </c>
      <c r="I17" s="60">
        <v>1.06</v>
      </c>
      <c r="J17" s="60">
        <v>0.09</v>
      </c>
      <c r="K17" s="60">
        <v>233.18</v>
      </c>
      <c r="L17" s="60">
        <v>15.88</v>
      </c>
      <c r="M17" s="60">
        <v>81.37</v>
      </c>
      <c r="N17" s="60">
        <v>1.1000000000000001</v>
      </c>
      <c r="O17" s="60">
        <v>0</v>
      </c>
      <c r="P17" s="60">
        <v>2.29</v>
      </c>
      <c r="Q17" s="60">
        <v>287.32</v>
      </c>
      <c r="R17" s="198"/>
      <c r="S17" s="198"/>
      <c r="T17" s="198"/>
      <c r="U17" s="198"/>
    </row>
    <row r="18" spans="1:21" s="12" customFormat="1" x14ac:dyDescent="0.25">
      <c r="A18" s="201" t="s">
        <v>2657</v>
      </c>
      <c r="B18" s="60">
        <v>55.89</v>
      </c>
      <c r="C18" s="60">
        <v>149.51</v>
      </c>
      <c r="D18" s="60">
        <v>127.33</v>
      </c>
      <c r="E18" s="60">
        <v>5.37</v>
      </c>
      <c r="F18" s="60">
        <v>0.8</v>
      </c>
      <c r="G18" s="60">
        <v>128.69</v>
      </c>
      <c r="H18" s="60">
        <v>39.51</v>
      </c>
      <c r="I18" s="60">
        <v>1</v>
      </c>
      <c r="J18" s="60">
        <v>0.15</v>
      </c>
      <c r="K18" s="60">
        <v>237.16</v>
      </c>
      <c r="L18" s="60">
        <v>15.62</v>
      </c>
      <c r="M18" s="60">
        <v>69.66</v>
      </c>
      <c r="N18" s="60">
        <v>0.9</v>
      </c>
      <c r="O18" s="60">
        <v>0</v>
      </c>
      <c r="P18" s="60">
        <v>2.19</v>
      </c>
      <c r="Q18" s="60">
        <v>278.86</v>
      </c>
      <c r="R18" s="198"/>
      <c r="S18" s="198"/>
      <c r="T18" s="198"/>
      <c r="U18" s="198"/>
    </row>
    <row r="19" spans="1:21" s="12" customFormat="1" x14ac:dyDescent="0.25">
      <c r="A19" s="201" t="s">
        <v>2658</v>
      </c>
      <c r="B19" s="60">
        <v>50.78</v>
      </c>
      <c r="C19" s="60">
        <v>143.43</v>
      </c>
      <c r="D19" s="60">
        <v>119.88</v>
      </c>
      <c r="E19" s="60">
        <v>5.44</v>
      </c>
      <c r="F19" s="60">
        <v>0.66</v>
      </c>
      <c r="G19" s="60">
        <v>128.69</v>
      </c>
      <c r="H19" s="60">
        <v>39.51</v>
      </c>
      <c r="I19" s="60">
        <v>0.96</v>
      </c>
      <c r="J19" s="60">
        <v>0.2</v>
      </c>
      <c r="K19" s="60">
        <v>241.15</v>
      </c>
      <c r="L19" s="60">
        <v>15.52</v>
      </c>
      <c r="M19" s="60">
        <v>68.89</v>
      </c>
      <c r="N19" s="60">
        <v>0.8</v>
      </c>
      <c r="O19" s="60">
        <v>0</v>
      </c>
      <c r="P19" s="60">
        <v>2.1</v>
      </c>
      <c r="Q19" s="60">
        <v>270.70999999999998</v>
      </c>
      <c r="R19" s="198"/>
      <c r="S19" s="198"/>
      <c r="T19" s="198"/>
      <c r="U19" s="198"/>
    </row>
    <row r="20" spans="1:21" s="12" customFormat="1" x14ac:dyDescent="0.25">
      <c r="A20" s="201" t="s">
        <v>2659</v>
      </c>
      <c r="B20" s="60">
        <v>46.14</v>
      </c>
      <c r="C20" s="60">
        <v>137.44999999999999</v>
      </c>
      <c r="D20" s="60">
        <v>112.86</v>
      </c>
      <c r="E20" s="60">
        <v>5.73</v>
      </c>
      <c r="F20" s="60">
        <v>0.71</v>
      </c>
      <c r="G20" s="60">
        <v>128.69</v>
      </c>
      <c r="H20" s="60">
        <v>39.51</v>
      </c>
      <c r="I20" s="60">
        <v>0.9</v>
      </c>
      <c r="J20" s="60">
        <v>0.15</v>
      </c>
      <c r="K20" s="60">
        <v>248.9</v>
      </c>
      <c r="L20" s="60">
        <v>15.27</v>
      </c>
      <c r="M20" s="60">
        <v>83.92</v>
      </c>
      <c r="N20" s="60">
        <v>1</v>
      </c>
      <c r="O20" s="60">
        <v>0</v>
      </c>
      <c r="P20" s="60">
        <v>2.0099999999999998</v>
      </c>
      <c r="Q20" s="60">
        <v>262.27999999999997</v>
      </c>
      <c r="R20" s="198"/>
      <c r="S20" s="198"/>
      <c r="T20" s="198"/>
      <c r="U20" s="198"/>
    </row>
    <row r="21" spans="1:21" s="12" customFormat="1" x14ac:dyDescent="0.25">
      <c r="A21" s="201" t="s">
        <v>2660</v>
      </c>
      <c r="B21" s="60">
        <v>42.19</v>
      </c>
      <c r="C21" s="60">
        <v>131.86000000000001</v>
      </c>
      <c r="D21" s="60">
        <v>106.6</v>
      </c>
      <c r="E21" s="60">
        <v>5.83</v>
      </c>
      <c r="F21" s="60">
        <v>0.78</v>
      </c>
      <c r="G21" s="60">
        <v>91.51</v>
      </c>
      <c r="H21" s="60">
        <v>40.630000000000003</v>
      </c>
      <c r="I21" s="60">
        <v>0.86</v>
      </c>
      <c r="J21" s="60">
        <v>0.19</v>
      </c>
      <c r="K21" s="60">
        <v>269.3</v>
      </c>
      <c r="L21" s="60">
        <v>14.75</v>
      </c>
      <c r="M21" s="60">
        <v>75.459999999999994</v>
      </c>
      <c r="N21" s="60">
        <v>1</v>
      </c>
      <c r="O21" s="60">
        <v>0</v>
      </c>
      <c r="P21" s="60">
        <v>1.94</v>
      </c>
      <c r="Q21" s="60">
        <v>253.31</v>
      </c>
      <c r="R21" s="198"/>
      <c r="S21" s="198"/>
      <c r="T21" s="198"/>
      <c r="U21" s="198"/>
    </row>
    <row r="22" spans="1:21" s="12" customFormat="1" x14ac:dyDescent="0.25">
      <c r="A22" s="201" t="s">
        <v>2661</v>
      </c>
      <c r="B22" s="60">
        <v>38.880000000000003</v>
      </c>
      <c r="C22" s="60">
        <v>126.89</v>
      </c>
      <c r="D22" s="60">
        <v>101.2</v>
      </c>
      <c r="E22" s="60">
        <v>5.33</v>
      </c>
      <c r="F22" s="60">
        <v>0.86</v>
      </c>
      <c r="G22" s="60">
        <v>91.51</v>
      </c>
      <c r="H22" s="60">
        <v>40.82</v>
      </c>
      <c r="I22" s="60">
        <v>0.82</v>
      </c>
      <c r="J22" s="60">
        <v>0.15</v>
      </c>
      <c r="K22" s="60">
        <v>266.27999999999997</v>
      </c>
      <c r="L22" s="60">
        <v>14.48</v>
      </c>
      <c r="M22" s="60">
        <v>77.41</v>
      </c>
      <c r="N22" s="60">
        <v>0.9</v>
      </c>
      <c r="O22" s="60">
        <v>0</v>
      </c>
      <c r="P22" s="60">
        <v>1.87</v>
      </c>
      <c r="Q22" s="60">
        <v>247.29</v>
      </c>
      <c r="R22" s="198"/>
      <c r="S22" s="198"/>
      <c r="T22" s="198"/>
      <c r="U22" s="198"/>
    </row>
    <row r="23" spans="1:21" s="12" customFormat="1" x14ac:dyDescent="0.25">
      <c r="A23" s="201" t="s">
        <v>2662</v>
      </c>
      <c r="B23" s="60">
        <v>36.19</v>
      </c>
      <c r="C23" s="60">
        <v>122.9</v>
      </c>
      <c r="D23" s="60">
        <v>96.84</v>
      </c>
      <c r="E23" s="60">
        <v>5.68</v>
      </c>
      <c r="F23" s="60">
        <v>0.69</v>
      </c>
      <c r="G23" s="60">
        <v>91.51</v>
      </c>
      <c r="H23" s="60">
        <v>40.82</v>
      </c>
      <c r="I23" s="60">
        <v>0.79</v>
      </c>
      <c r="J23" s="60">
        <v>0.12</v>
      </c>
      <c r="K23" s="60">
        <v>269.47000000000003</v>
      </c>
      <c r="L23" s="60">
        <v>14.35</v>
      </c>
      <c r="M23" s="60">
        <v>72.64</v>
      </c>
      <c r="N23" s="60">
        <v>0.9</v>
      </c>
      <c r="O23" s="60">
        <v>0</v>
      </c>
      <c r="P23" s="60">
        <v>1.81</v>
      </c>
      <c r="Q23" s="60">
        <v>242.57</v>
      </c>
      <c r="R23" s="198"/>
      <c r="S23" s="198"/>
      <c r="T23" s="198"/>
      <c r="U23" s="198"/>
    </row>
    <row r="24" spans="1:21" s="12" customFormat="1" x14ac:dyDescent="0.25">
      <c r="A24" s="201" t="s">
        <v>2663</v>
      </c>
      <c r="B24" s="60">
        <v>34.590000000000003</v>
      </c>
      <c r="C24" s="60">
        <v>120.42</v>
      </c>
      <c r="D24" s="60">
        <v>94.19</v>
      </c>
      <c r="E24" s="60">
        <v>2.68</v>
      </c>
      <c r="F24" s="60">
        <v>0.68</v>
      </c>
      <c r="G24" s="60">
        <v>91.51</v>
      </c>
      <c r="H24" s="60">
        <v>40.82</v>
      </c>
      <c r="I24" s="60">
        <v>0.76</v>
      </c>
      <c r="J24" s="60">
        <v>0.15</v>
      </c>
      <c r="K24" s="60">
        <v>273.26</v>
      </c>
      <c r="L24" s="60">
        <v>14.36</v>
      </c>
      <c r="M24" s="60">
        <v>85.73</v>
      </c>
      <c r="N24" s="60">
        <v>0.7</v>
      </c>
      <c r="O24" s="60">
        <v>0</v>
      </c>
      <c r="P24" s="60">
        <v>1.77</v>
      </c>
      <c r="Q24" s="60">
        <v>243.25</v>
      </c>
      <c r="R24" s="198"/>
      <c r="S24" s="198"/>
      <c r="T24" s="198"/>
      <c r="U24" s="198"/>
    </row>
    <row r="25" spans="1:21" s="12" customFormat="1" x14ac:dyDescent="0.25">
      <c r="A25" s="201" t="s">
        <v>2664</v>
      </c>
      <c r="B25" s="60">
        <v>34.299999999999997</v>
      </c>
      <c r="C25" s="60">
        <v>118.02</v>
      </c>
      <c r="D25" s="60">
        <v>92.64</v>
      </c>
      <c r="E25" s="60">
        <v>4.55</v>
      </c>
      <c r="F25" s="60">
        <v>0.68</v>
      </c>
      <c r="G25" s="60">
        <v>105.55</v>
      </c>
      <c r="H25" s="60">
        <v>40.85</v>
      </c>
      <c r="I25" s="60">
        <v>0.73</v>
      </c>
      <c r="J25" s="60">
        <v>0.11</v>
      </c>
      <c r="K25" s="60">
        <v>272.44</v>
      </c>
      <c r="L25" s="60">
        <v>14.39</v>
      </c>
      <c r="M25" s="60">
        <v>73.680000000000007</v>
      </c>
      <c r="N25" s="60">
        <v>0.8</v>
      </c>
      <c r="O25" s="60">
        <v>0</v>
      </c>
      <c r="P25" s="60">
        <v>1.76</v>
      </c>
      <c r="Q25" s="60">
        <v>242.31</v>
      </c>
      <c r="R25" s="198"/>
      <c r="S25" s="198"/>
      <c r="T25" s="198"/>
      <c r="U25" s="198"/>
    </row>
    <row r="26" spans="1:21" s="12" customFormat="1" x14ac:dyDescent="0.25">
      <c r="A26" s="201" t="s">
        <v>2665</v>
      </c>
      <c r="B26" s="60">
        <v>34.53</v>
      </c>
      <c r="C26" s="60">
        <v>116.58</v>
      </c>
      <c r="D26" s="60">
        <v>92.03</v>
      </c>
      <c r="E26" s="60">
        <v>4.72</v>
      </c>
      <c r="F26" s="60">
        <v>0.75</v>
      </c>
      <c r="G26" s="60">
        <v>105.55</v>
      </c>
      <c r="H26" s="60">
        <v>40.85</v>
      </c>
      <c r="I26" s="60">
        <v>0.7</v>
      </c>
      <c r="J26" s="60">
        <v>0.13</v>
      </c>
      <c r="K26" s="60">
        <v>267.57</v>
      </c>
      <c r="L26" s="60">
        <v>14.45</v>
      </c>
      <c r="M26" s="60">
        <v>70.7</v>
      </c>
      <c r="N26" s="60">
        <v>0.7</v>
      </c>
      <c r="O26" s="60">
        <v>0</v>
      </c>
      <c r="P26" s="60">
        <v>1.74</v>
      </c>
      <c r="Q26" s="60">
        <v>240.74</v>
      </c>
      <c r="R26" s="198"/>
      <c r="S26" s="198"/>
      <c r="T26" s="198"/>
      <c r="U26" s="198"/>
    </row>
    <row r="27" spans="1:21" s="12" customFormat="1" x14ac:dyDescent="0.25">
      <c r="A27" s="201" t="s">
        <v>2666</v>
      </c>
      <c r="B27" s="60">
        <v>35.5</v>
      </c>
      <c r="C27" s="60">
        <v>116.81</v>
      </c>
      <c r="D27" s="60">
        <v>92.94</v>
      </c>
      <c r="E27" s="60">
        <v>5.21</v>
      </c>
      <c r="F27" s="60">
        <v>0.69</v>
      </c>
      <c r="G27" s="60">
        <v>105.55</v>
      </c>
      <c r="H27" s="60">
        <v>40.85</v>
      </c>
      <c r="I27" s="60">
        <v>0.69</v>
      </c>
      <c r="J27" s="60">
        <v>0.16</v>
      </c>
      <c r="K27" s="60">
        <v>260.77999999999997</v>
      </c>
      <c r="L27" s="60">
        <v>14.7</v>
      </c>
      <c r="M27" s="60">
        <v>67.16</v>
      </c>
      <c r="N27" s="60">
        <v>0.5</v>
      </c>
      <c r="O27" s="60">
        <v>0</v>
      </c>
      <c r="P27" s="60">
        <v>1.72</v>
      </c>
      <c r="Q27" s="60">
        <v>241.48</v>
      </c>
      <c r="R27" s="198"/>
      <c r="S27" s="198"/>
      <c r="T27" s="198"/>
      <c r="U27" s="198"/>
    </row>
    <row r="28" spans="1:21" s="12" customFormat="1" x14ac:dyDescent="0.25">
      <c r="A28" s="201" t="s">
        <v>2667</v>
      </c>
      <c r="B28" s="60">
        <v>34.64</v>
      </c>
      <c r="C28" s="60">
        <v>115.41</v>
      </c>
      <c r="D28" s="60">
        <v>91.47</v>
      </c>
      <c r="E28" s="60">
        <v>5.49</v>
      </c>
      <c r="F28" s="60">
        <v>0.69</v>
      </c>
      <c r="G28" s="60">
        <v>105.55</v>
      </c>
      <c r="H28" s="60">
        <v>40.85</v>
      </c>
      <c r="I28" s="60">
        <v>0.66</v>
      </c>
      <c r="J28" s="60">
        <v>0.1</v>
      </c>
      <c r="K28" s="60">
        <v>261.58999999999997</v>
      </c>
      <c r="L28" s="60">
        <v>14.5</v>
      </c>
      <c r="M28" s="60">
        <v>61.72</v>
      </c>
      <c r="N28" s="60">
        <v>1</v>
      </c>
      <c r="O28" s="60">
        <v>0</v>
      </c>
      <c r="P28" s="60">
        <v>1.68</v>
      </c>
      <c r="Q28" s="60">
        <v>240.47</v>
      </c>
      <c r="R28" s="198"/>
      <c r="S28" s="198"/>
      <c r="T28" s="198"/>
      <c r="U28" s="198"/>
    </row>
    <row r="29" spans="1:21" s="12" customFormat="1" x14ac:dyDescent="0.25">
      <c r="A29" s="201" t="s">
        <v>2668</v>
      </c>
      <c r="B29" s="60">
        <v>33.25</v>
      </c>
      <c r="C29" s="60">
        <v>113.53</v>
      </c>
      <c r="D29" s="60">
        <v>89.32</v>
      </c>
      <c r="E29" s="60">
        <v>4.99</v>
      </c>
      <c r="F29" s="60">
        <v>1.41</v>
      </c>
      <c r="G29" s="60">
        <v>125.01</v>
      </c>
      <c r="H29" s="60">
        <v>40.75</v>
      </c>
      <c r="I29" s="60">
        <v>0.65</v>
      </c>
      <c r="J29" s="60">
        <v>0.17</v>
      </c>
      <c r="K29" s="60">
        <v>270.85000000000002</v>
      </c>
      <c r="L29" s="60">
        <v>14.28</v>
      </c>
      <c r="M29" s="60">
        <v>63.91</v>
      </c>
      <c r="N29" s="60">
        <v>0.5</v>
      </c>
      <c r="O29" s="60">
        <v>0</v>
      </c>
      <c r="P29" s="60">
        <v>1.63</v>
      </c>
      <c r="Q29" s="60">
        <v>237.3</v>
      </c>
      <c r="R29" s="198"/>
      <c r="S29" s="198"/>
      <c r="T29" s="198"/>
      <c r="U29" s="198"/>
    </row>
    <row r="30" spans="1:21" s="12" customFormat="1" x14ac:dyDescent="0.25">
      <c r="A30" s="201" t="s">
        <v>2669</v>
      </c>
      <c r="B30" s="60">
        <v>35.200000000000003</v>
      </c>
      <c r="C30" s="60">
        <v>114.91</v>
      </c>
      <c r="D30" s="60">
        <v>91.65</v>
      </c>
      <c r="E30" s="60">
        <v>5.29</v>
      </c>
      <c r="F30" s="60">
        <v>0.06</v>
      </c>
      <c r="G30" s="60">
        <v>125.01</v>
      </c>
      <c r="H30" s="60">
        <v>40.74</v>
      </c>
      <c r="I30" s="60">
        <v>0.63</v>
      </c>
      <c r="J30" s="60">
        <v>0.16</v>
      </c>
      <c r="K30" s="60">
        <v>277.7</v>
      </c>
      <c r="L30" s="60">
        <v>14.18</v>
      </c>
      <c r="M30" s="60">
        <v>80.45</v>
      </c>
      <c r="N30" s="60">
        <v>0.7</v>
      </c>
      <c r="O30" s="60">
        <v>0</v>
      </c>
      <c r="P30" s="60">
        <v>1.62</v>
      </c>
      <c r="Q30" s="60">
        <v>237.96</v>
      </c>
      <c r="R30" s="198"/>
      <c r="S30" s="198"/>
      <c r="T30" s="198"/>
      <c r="U30" s="198"/>
    </row>
    <row r="31" spans="1:21" s="12" customFormat="1" x14ac:dyDescent="0.25">
      <c r="A31" s="201" t="s">
        <v>2670</v>
      </c>
      <c r="B31" s="60">
        <v>43.17</v>
      </c>
      <c r="C31" s="60">
        <v>122.03</v>
      </c>
      <c r="D31" s="60">
        <v>101.96</v>
      </c>
      <c r="E31" s="60">
        <v>5.53</v>
      </c>
      <c r="F31" s="60">
        <v>0.53</v>
      </c>
      <c r="G31" s="60">
        <v>125.01</v>
      </c>
      <c r="H31" s="60">
        <v>40.74</v>
      </c>
      <c r="I31" s="60">
        <v>0.61</v>
      </c>
      <c r="J31" s="60">
        <v>0.2</v>
      </c>
      <c r="K31" s="60">
        <v>281.83999999999997</v>
      </c>
      <c r="L31" s="60">
        <v>14.14</v>
      </c>
      <c r="M31" s="60">
        <v>80.72</v>
      </c>
      <c r="N31" s="60">
        <v>0.6</v>
      </c>
      <c r="O31" s="60">
        <v>0</v>
      </c>
      <c r="P31" s="60">
        <v>1.63</v>
      </c>
      <c r="Q31" s="60">
        <v>242.22</v>
      </c>
      <c r="R31" s="198"/>
      <c r="S31" s="198"/>
      <c r="T31" s="198"/>
      <c r="U31" s="198"/>
    </row>
    <row r="32" spans="1:21" s="12" customFormat="1" x14ac:dyDescent="0.25">
      <c r="A32" s="201" t="s">
        <v>2671</v>
      </c>
      <c r="B32" s="60">
        <v>53.48</v>
      </c>
      <c r="C32" s="60">
        <v>131.9</v>
      </c>
      <c r="D32" s="60">
        <v>115.68</v>
      </c>
      <c r="E32" s="60">
        <v>5.91</v>
      </c>
      <c r="F32" s="60">
        <v>0.66</v>
      </c>
      <c r="G32" s="60">
        <v>125.01</v>
      </c>
      <c r="H32" s="60">
        <v>40.74</v>
      </c>
      <c r="I32" s="60">
        <v>0.6</v>
      </c>
      <c r="J32" s="60">
        <v>0.13</v>
      </c>
      <c r="K32" s="60">
        <v>275.52</v>
      </c>
      <c r="L32" s="60">
        <v>14.16</v>
      </c>
      <c r="M32" s="60">
        <v>80.819999999999993</v>
      </c>
      <c r="N32" s="60">
        <v>0.9</v>
      </c>
      <c r="O32" s="60">
        <v>0</v>
      </c>
      <c r="P32" s="60">
        <v>1.67</v>
      </c>
      <c r="Q32" s="60">
        <v>251.05</v>
      </c>
      <c r="R32" s="198"/>
      <c r="S32" s="198"/>
      <c r="T32" s="198"/>
      <c r="U32" s="198"/>
    </row>
    <row r="33" spans="1:21" s="12" customFormat="1" x14ac:dyDescent="0.25">
      <c r="A33" s="201" t="s">
        <v>2672</v>
      </c>
      <c r="B33" s="60">
        <v>58.47</v>
      </c>
      <c r="C33" s="60">
        <v>136.99</v>
      </c>
      <c r="D33" s="60">
        <v>122.49</v>
      </c>
      <c r="E33" s="60">
        <v>5.98</v>
      </c>
      <c r="F33" s="60">
        <v>0.49</v>
      </c>
      <c r="G33" s="60">
        <v>171.43</v>
      </c>
      <c r="H33" s="60">
        <v>41.91</v>
      </c>
      <c r="I33" s="60">
        <v>0.6</v>
      </c>
      <c r="J33" s="60">
        <v>0.16</v>
      </c>
      <c r="K33" s="60">
        <v>271.95</v>
      </c>
      <c r="L33" s="60">
        <v>14.28</v>
      </c>
      <c r="M33" s="60">
        <v>69.900000000000006</v>
      </c>
      <c r="N33" s="60">
        <v>1.7</v>
      </c>
      <c r="O33" s="60">
        <v>0</v>
      </c>
      <c r="P33" s="60">
        <v>1.7</v>
      </c>
      <c r="Q33" s="60">
        <v>254.28</v>
      </c>
      <c r="R33" s="198"/>
      <c r="S33" s="198"/>
      <c r="T33" s="198"/>
      <c r="U33" s="198"/>
    </row>
    <row r="34" spans="1:21" s="12" customFormat="1" x14ac:dyDescent="0.25">
      <c r="A34" s="201" t="s">
        <v>2673</v>
      </c>
      <c r="B34" s="60">
        <v>60.89</v>
      </c>
      <c r="C34" s="60">
        <v>138.87</v>
      </c>
      <c r="D34" s="60">
        <v>125.47</v>
      </c>
      <c r="E34" s="60">
        <v>5.7</v>
      </c>
      <c r="F34" s="60">
        <v>1.1599999999999999</v>
      </c>
      <c r="G34" s="60">
        <v>171.43</v>
      </c>
      <c r="H34" s="60">
        <v>42.11</v>
      </c>
      <c r="I34" s="60">
        <v>0.57999999999999996</v>
      </c>
      <c r="J34" s="60">
        <v>0.33</v>
      </c>
      <c r="K34" s="60">
        <v>277.77999999999997</v>
      </c>
      <c r="L34" s="60">
        <v>14.44</v>
      </c>
      <c r="M34" s="60">
        <v>66.28</v>
      </c>
      <c r="N34" s="60">
        <v>5.9</v>
      </c>
      <c r="O34" s="60">
        <v>0</v>
      </c>
      <c r="P34" s="60">
        <v>1.72</v>
      </c>
      <c r="Q34" s="60">
        <v>255.75</v>
      </c>
      <c r="R34" s="198"/>
      <c r="S34" s="198"/>
      <c r="T34" s="198"/>
      <c r="U34" s="198"/>
    </row>
    <row r="35" spans="1:21" s="12" customFormat="1" x14ac:dyDescent="0.25">
      <c r="A35" s="201" t="s">
        <v>2674</v>
      </c>
      <c r="B35" s="60">
        <v>62.35</v>
      </c>
      <c r="C35" s="60">
        <v>139.13999999999999</v>
      </c>
      <c r="D35" s="60">
        <v>126.79</v>
      </c>
      <c r="E35" s="60">
        <v>5.55</v>
      </c>
      <c r="F35" s="60">
        <v>0.94</v>
      </c>
      <c r="G35" s="60">
        <v>171.43</v>
      </c>
      <c r="H35" s="60">
        <v>42.11</v>
      </c>
      <c r="I35" s="60">
        <v>0.57999999999999996</v>
      </c>
      <c r="J35" s="60">
        <v>0.18</v>
      </c>
      <c r="K35" s="60">
        <v>285.89</v>
      </c>
      <c r="L35" s="60">
        <v>14.4</v>
      </c>
      <c r="M35" s="60">
        <v>72.34</v>
      </c>
      <c r="N35" s="60">
        <v>16.7</v>
      </c>
      <c r="O35" s="60">
        <v>0</v>
      </c>
      <c r="P35" s="60">
        <v>1.72</v>
      </c>
      <c r="Q35" s="60">
        <v>256.18</v>
      </c>
      <c r="R35" s="198"/>
      <c r="S35" s="198"/>
      <c r="T35" s="198"/>
      <c r="U35" s="198"/>
    </row>
    <row r="36" spans="1:21" s="12" customFormat="1" x14ac:dyDescent="0.25">
      <c r="A36" s="201" t="s">
        <v>2675</v>
      </c>
      <c r="B36" s="60">
        <v>64.41</v>
      </c>
      <c r="C36" s="60">
        <v>139.35</v>
      </c>
      <c r="D36" s="60">
        <v>128.56</v>
      </c>
      <c r="E36" s="60">
        <v>5.49</v>
      </c>
      <c r="F36" s="60">
        <v>0.59</v>
      </c>
      <c r="G36" s="60">
        <v>171.43</v>
      </c>
      <c r="H36" s="60">
        <v>42.11</v>
      </c>
      <c r="I36" s="60">
        <v>0.56000000000000005</v>
      </c>
      <c r="J36" s="60">
        <v>0.14000000000000001</v>
      </c>
      <c r="K36" s="60">
        <v>290.60000000000002</v>
      </c>
      <c r="L36" s="60">
        <v>14.36</v>
      </c>
      <c r="M36" s="60">
        <v>79.69</v>
      </c>
      <c r="N36" s="60">
        <v>28.7</v>
      </c>
      <c r="O36" s="60">
        <v>0</v>
      </c>
      <c r="P36" s="60">
        <v>1.68</v>
      </c>
      <c r="Q36" s="60">
        <v>256.16000000000003</v>
      </c>
      <c r="R36" s="198"/>
      <c r="S36" s="198"/>
      <c r="T36" s="198"/>
      <c r="U36" s="198"/>
    </row>
    <row r="37" spans="1:21" s="12" customFormat="1" x14ac:dyDescent="0.25">
      <c r="A37" s="201" t="s">
        <v>2676</v>
      </c>
      <c r="B37" s="60">
        <v>69.260000000000005</v>
      </c>
      <c r="C37" s="60">
        <v>143.19</v>
      </c>
      <c r="D37" s="60">
        <v>134.56</v>
      </c>
      <c r="E37" s="60">
        <v>6</v>
      </c>
      <c r="F37" s="60">
        <v>0.49</v>
      </c>
      <c r="G37" s="60">
        <v>135.96</v>
      </c>
      <c r="H37" s="60">
        <v>43.51</v>
      </c>
      <c r="I37" s="60">
        <v>0.56000000000000005</v>
      </c>
      <c r="J37" s="60">
        <v>0.08</v>
      </c>
      <c r="K37" s="60">
        <v>284.7</v>
      </c>
      <c r="L37" s="60">
        <v>14.86</v>
      </c>
      <c r="M37" s="60">
        <v>64.63</v>
      </c>
      <c r="N37" s="60">
        <v>41.3</v>
      </c>
      <c r="O37" s="60">
        <v>0</v>
      </c>
      <c r="P37" s="60">
        <v>1.65</v>
      </c>
      <c r="Q37" s="60">
        <v>258.52999999999997</v>
      </c>
      <c r="R37" s="198"/>
      <c r="S37" s="198"/>
      <c r="T37" s="198"/>
      <c r="U37" s="198"/>
    </row>
    <row r="38" spans="1:21" s="12" customFormat="1" x14ac:dyDescent="0.25">
      <c r="A38" s="201" t="s">
        <v>2677</v>
      </c>
      <c r="B38" s="60">
        <v>76.27</v>
      </c>
      <c r="C38" s="60">
        <v>150.56</v>
      </c>
      <c r="D38" s="60">
        <v>144.25</v>
      </c>
      <c r="E38" s="60">
        <v>5.64</v>
      </c>
      <c r="F38" s="60">
        <v>0.53</v>
      </c>
      <c r="G38" s="60">
        <v>135.96</v>
      </c>
      <c r="H38" s="60">
        <v>43.77</v>
      </c>
      <c r="I38" s="60">
        <v>0.56000000000000005</v>
      </c>
      <c r="J38" s="60">
        <v>0.16</v>
      </c>
      <c r="K38" s="60">
        <v>264.08</v>
      </c>
      <c r="L38" s="60">
        <v>15.97</v>
      </c>
      <c r="M38" s="60">
        <v>70.75</v>
      </c>
      <c r="N38" s="60">
        <v>95.5</v>
      </c>
      <c r="O38" s="60">
        <v>0</v>
      </c>
      <c r="P38" s="60">
        <v>1.72</v>
      </c>
      <c r="Q38" s="60">
        <v>267.38</v>
      </c>
      <c r="R38" s="198"/>
      <c r="S38" s="198"/>
      <c r="T38" s="198"/>
      <c r="U38" s="198"/>
    </row>
    <row r="39" spans="1:21" s="12" customFormat="1" x14ac:dyDescent="0.25">
      <c r="A39" s="201" t="s">
        <v>2678</v>
      </c>
      <c r="B39" s="60">
        <v>84.32</v>
      </c>
      <c r="C39" s="60">
        <v>160.28</v>
      </c>
      <c r="D39" s="60">
        <v>156.07</v>
      </c>
      <c r="E39" s="60">
        <v>5.51</v>
      </c>
      <c r="F39" s="60">
        <v>0.43</v>
      </c>
      <c r="G39" s="60">
        <v>135.96</v>
      </c>
      <c r="H39" s="60">
        <v>43.77</v>
      </c>
      <c r="I39" s="60">
        <v>0.56000000000000005</v>
      </c>
      <c r="J39" s="60">
        <v>0.55000000000000004</v>
      </c>
      <c r="K39" s="60">
        <v>207.25</v>
      </c>
      <c r="L39" s="60">
        <v>18.29</v>
      </c>
      <c r="M39" s="60">
        <v>48.99</v>
      </c>
      <c r="N39" s="60">
        <v>181.6</v>
      </c>
      <c r="O39" s="60">
        <v>0</v>
      </c>
      <c r="P39" s="60">
        <v>1.74</v>
      </c>
      <c r="Q39" s="60">
        <v>281.35000000000002</v>
      </c>
      <c r="R39" s="198"/>
      <c r="S39" s="198"/>
      <c r="T39" s="198"/>
      <c r="U39" s="198"/>
    </row>
    <row r="40" spans="1:21" s="12" customFormat="1" x14ac:dyDescent="0.25">
      <c r="A40" s="201" t="s">
        <v>2679</v>
      </c>
      <c r="B40" s="60">
        <v>84.38</v>
      </c>
      <c r="C40" s="60">
        <v>163.30000000000001</v>
      </c>
      <c r="D40" s="60">
        <v>157.79</v>
      </c>
      <c r="E40" s="60">
        <v>3.08</v>
      </c>
      <c r="F40" s="60">
        <v>0.51</v>
      </c>
      <c r="G40" s="60">
        <v>135.96</v>
      </c>
      <c r="H40" s="60">
        <v>43.77</v>
      </c>
      <c r="I40" s="60">
        <v>0.56999999999999995</v>
      </c>
      <c r="J40" s="60">
        <v>0.6</v>
      </c>
      <c r="K40" s="60">
        <v>184.81</v>
      </c>
      <c r="L40" s="60">
        <v>20.149999999999999</v>
      </c>
      <c r="M40" s="60">
        <v>48.86</v>
      </c>
      <c r="N40" s="60">
        <v>230.3</v>
      </c>
      <c r="O40" s="60">
        <v>0</v>
      </c>
      <c r="P40" s="60">
        <v>1.74</v>
      </c>
      <c r="Q40" s="60">
        <v>284.05</v>
      </c>
      <c r="R40" s="198"/>
      <c r="S40" s="198"/>
      <c r="T40" s="198"/>
      <c r="U40" s="198"/>
    </row>
    <row r="41" spans="1:21" s="12" customFormat="1" x14ac:dyDescent="0.25">
      <c r="A41" s="201" t="s">
        <v>2680</v>
      </c>
      <c r="B41" s="60">
        <v>81.22</v>
      </c>
      <c r="C41" s="60">
        <v>162.51</v>
      </c>
      <c r="D41" s="60">
        <v>154.81</v>
      </c>
      <c r="E41" s="60">
        <v>4.3899999999999997</v>
      </c>
      <c r="F41" s="60">
        <v>0.6</v>
      </c>
      <c r="G41" s="60">
        <v>123.96</v>
      </c>
      <c r="H41" s="60">
        <v>43.25</v>
      </c>
      <c r="I41" s="60">
        <v>0.56999999999999995</v>
      </c>
      <c r="J41" s="60">
        <v>0.71</v>
      </c>
      <c r="K41" s="60">
        <v>171.98</v>
      </c>
      <c r="L41" s="60">
        <v>21.1</v>
      </c>
      <c r="M41" s="60">
        <v>50.26</v>
      </c>
      <c r="N41" s="60">
        <v>275.3</v>
      </c>
      <c r="O41" s="60">
        <v>0</v>
      </c>
      <c r="P41" s="60">
        <v>1.72</v>
      </c>
      <c r="Q41" s="60">
        <v>281.7</v>
      </c>
      <c r="R41" s="198"/>
      <c r="S41" s="198"/>
      <c r="T41" s="198"/>
      <c r="U41" s="198"/>
    </row>
    <row r="42" spans="1:21" s="12" customFormat="1" x14ac:dyDescent="0.25">
      <c r="A42" s="201" t="s">
        <v>2681</v>
      </c>
      <c r="B42" s="60">
        <v>77.11</v>
      </c>
      <c r="C42" s="60">
        <v>158.82</v>
      </c>
      <c r="D42" s="60">
        <v>149.49</v>
      </c>
      <c r="E42" s="60">
        <v>4.55</v>
      </c>
      <c r="F42" s="60">
        <v>0.77</v>
      </c>
      <c r="G42" s="60">
        <v>123.96</v>
      </c>
      <c r="H42" s="60">
        <v>43.15</v>
      </c>
      <c r="I42" s="60">
        <v>0.56999999999999995</v>
      </c>
      <c r="J42" s="60">
        <v>0.96</v>
      </c>
      <c r="K42" s="60">
        <v>161.44</v>
      </c>
      <c r="L42" s="60">
        <v>21.79</v>
      </c>
      <c r="M42" s="60">
        <v>52.9</v>
      </c>
      <c r="N42" s="60">
        <v>320.10000000000002</v>
      </c>
      <c r="O42" s="60">
        <v>0</v>
      </c>
      <c r="P42" s="60">
        <v>1.69</v>
      </c>
      <c r="Q42" s="60">
        <v>279.75</v>
      </c>
      <c r="R42" s="198"/>
      <c r="S42" s="198"/>
      <c r="T42" s="198"/>
      <c r="U42" s="198"/>
    </row>
    <row r="43" spans="1:21" s="12" customFormat="1" x14ac:dyDescent="0.25">
      <c r="A43" s="201" t="s">
        <v>2682</v>
      </c>
      <c r="B43" s="60">
        <v>71.84</v>
      </c>
      <c r="C43" s="60">
        <v>156.31</v>
      </c>
      <c r="D43" s="60">
        <v>143.87</v>
      </c>
      <c r="E43" s="60">
        <v>4.88</v>
      </c>
      <c r="F43" s="60">
        <v>0.72</v>
      </c>
      <c r="G43" s="60">
        <v>123.96</v>
      </c>
      <c r="H43" s="60">
        <v>43.15</v>
      </c>
      <c r="I43" s="60">
        <v>0.56000000000000005</v>
      </c>
      <c r="J43" s="60">
        <v>0.79</v>
      </c>
      <c r="K43" s="60">
        <v>151.28</v>
      </c>
      <c r="L43" s="60">
        <v>22.68</v>
      </c>
      <c r="M43" s="60">
        <v>57.89</v>
      </c>
      <c r="N43" s="60">
        <v>356.2</v>
      </c>
      <c r="O43" s="60">
        <v>0</v>
      </c>
      <c r="P43" s="60">
        <v>1.64</v>
      </c>
      <c r="Q43" s="60">
        <v>276.54000000000002</v>
      </c>
      <c r="R43" s="198"/>
      <c r="S43" s="198"/>
      <c r="T43" s="198"/>
      <c r="U43" s="198"/>
    </row>
    <row r="44" spans="1:21" s="12" customFormat="1" x14ac:dyDescent="0.25">
      <c r="A44" s="201" t="s">
        <v>2683</v>
      </c>
      <c r="B44" s="60">
        <v>66.09</v>
      </c>
      <c r="C44" s="60">
        <v>153.47999999999999</v>
      </c>
      <c r="D44" s="60">
        <v>137.69999999999999</v>
      </c>
      <c r="E44" s="60">
        <v>4.88</v>
      </c>
      <c r="F44" s="60">
        <v>0.71</v>
      </c>
      <c r="G44" s="60">
        <v>123.96</v>
      </c>
      <c r="H44" s="60">
        <v>43.15</v>
      </c>
      <c r="I44" s="60">
        <v>0.56000000000000005</v>
      </c>
      <c r="J44" s="60">
        <v>1.01</v>
      </c>
      <c r="K44" s="60">
        <v>147.35</v>
      </c>
      <c r="L44" s="60">
        <v>22.95</v>
      </c>
      <c r="M44" s="60">
        <v>55.56</v>
      </c>
      <c r="N44" s="60">
        <v>383.8</v>
      </c>
      <c r="O44" s="60">
        <v>0</v>
      </c>
      <c r="P44" s="60">
        <v>1.6</v>
      </c>
      <c r="Q44" s="60">
        <v>271.17</v>
      </c>
      <c r="R44" s="198"/>
      <c r="S44" s="198"/>
      <c r="T44" s="198"/>
      <c r="U44" s="198"/>
    </row>
    <row r="45" spans="1:21" s="12" customFormat="1" x14ac:dyDescent="0.25">
      <c r="A45" s="201" t="s">
        <v>2684</v>
      </c>
      <c r="B45" s="60">
        <v>61.42</v>
      </c>
      <c r="C45" s="60">
        <v>152.6</v>
      </c>
      <c r="D45" s="60">
        <v>133.47999999999999</v>
      </c>
      <c r="E45" s="60">
        <v>5.23</v>
      </c>
      <c r="F45" s="60">
        <v>0.84</v>
      </c>
      <c r="G45" s="60">
        <v>88.9</v>
      </c>
      <c r="H45" s="60">
        <v>40.32</v>
      </c>
      <c r="I45" s="60">
        <v>0.55000000000000004</v>
      </c>
      <c r="J45" s="60">
        <v>1.01</v>
      </c>
      <c r="K45" s="60">
        <v>128.06</v>
      </c>
      <c r="L45" s="60">
        <v>25.33</v>
      </c>
      <c r="M45" s="60">
        <v>82.56</v>
      </c>
      <c r="N45" s="60">
        <v>406.1</v>
      </c>
      <c r="O45" s="60">
        <v>0</v>
      </c>
      <c r="P45" s="60">
        <v>1.54</v>
      </c>
      <c r="Q45" s="60">
        <v>263.2</v>
      </c>
      <c r="R45" s="198"/>
      <c r="S45" s="198"/>
      <c r="T45" s="198"/>
      <c r="U45" s="198"/>
    </row>
    <row r="46" spans="1:21" s="12" customFormat="1" x14ac:dyDescent="0.25">
      <c r="A46" s="201" t="s">
        <v>2685</v>
      </c>
      <c r="B46" s="60">
        <v>56.69</v>
      </c>
      <c r="C46" s="60">
        <v>154.62</v>
      </c>
      <c r="D46" s="60">
        <v>130.79</v>
      </c>
      <c r="E46" s="60">
        <v>5.71</v>
      </c>
      <c r="F46" s="60">
        <v>0.95</v>
      </c>
      <c r="G46" s="60">
        <v>88.9</v>
      </c>
      <c r="H46" s="60">
        <v>39.840000000000003</v>
      </c>
      <c r="I46" s="60">
        <v>0.54</v>
      </c>
      <c r="J46" s="60">
        <v>1.18</v>
      </c>
      <c r="K46" s="60">
        <v>118.55</v>
      </c>
      <c r="L46" s="60">
        <v>27.08</v>
      </c>
      <c r="M46" s="60">
        <v>89.95</v>
      </c>
      <c r="N46" s="60">
        <v>427</v>
      </c>
      <c r="O46" s="60">
        <v>0</v>
      </c>
      <c r="P46" s="60">
        <v>1.49</v>
      </c>
      <c r="Q46" s="60">
        <v>258.39</v>
      </c>
      <c r="R46" s="198"/>
      <c r="S46" s="198"/>
      <c r="T46" s="198"/>
      <c r="U46" s="198"/>
    </row>
    <row r="47" spans="1:21" s="12" customFormat="1" x14ac:dyDescent="0.25">
      <c r="A47" s="201" t="s">
        <v>2686</v>
      </c>
      <c r="B47" s="60">
        <v>53.59</v>
      </c>
      <c r="C47" s="60">
        <v>157.53</v>
      </c>
      <c r="D47" s="60">
        <v>129.91</v>
      </c>
      <c r="E47" s="60">
        <v>5.71</v>
      </c>
      <c r="F47" s="60">
        <v>1.06</v>
      </c>
      <c r="G47" s="60">
        <v>88.9</v>
      </c>
      <c r="H47" s="60">
        <v>39.840000000000003</v>
      </c>
      <c r="I47" s="60">
        <v>0.53</v>
      </c>
      <c r="J47" s="60">
        <v>1.01</v>
      </c>
      <c r="K47" s="60">
        <v>114.73</v>
      </c>
      <c r="L47" s="60">
        <v>28</v>
      </c>
      <c r="M47" s="60">
        <v>85.97</v>
      </c>
      <c r="N47" s="60">
        <v>445.6</v>
      </c>
      <c r="O47" s="60">
        <v>0</v>
      </c>
      <c r="P47" s="60">
        <v>1.45</v>
      </c>
      <c r="Q47" s="60">
        <v>255.5</v>
      </c>
      <c r="R47" s="198"/>
      <c r="S47" s="198"/>
      <c r="T47" s="198"/>
      <c r="U47" s="198"/>
    </row>
    <row r="48" spans="1:21" s="12" customFormat="1" x14ac:dyDescent="0.25">
      <c r="A48" s="201" t="s">
        <v>2687</v>
      </c>
      <c r="B48" s="60">
        <v>52.17</v>
      </c>
      <c r="C48" s="60">
        <v>160.63</v>
      </c>
      <c r="D48" s="60">
        <v>130.47999999999999</v>
      </c>
      <c r="E48" s="60">
        <v>6.21</v>
      </c>
      <c r="F48" s="60">
        <v>1.04</v>
      </c>
      <c r="G48" s="60">
        <v>88.9</v>
      </c>
      <c r="H48" s="60">
        <v>39.840000000000003</v>
      </c>
      <c r="I48" s="60">
        <v>0.52</v>
      </c>
      <c r="J48" s="60">
        <v>1.08</v>
      </c>
      <c r="K48" s="60">
        <v>119.26</v>
      </c>
      <c r="L48" s="60">
        <v>27.14</v>
      </c>
      <c r="M48" s="60">
        <v>73.31</v>
      </c>
      <c r="N48" s="60">
        <v>466.4</v>
      </c>
      <c r="O48" s="60">
        <v>0</v>
      </c>
      <c r="P48" s="60">
        <v>1.42</v>
      </c>
      <c r="Q48" s="60">
        <v>254.97</v>
      </c>
      <c r="R48" s="198"/>
      <c r="S48" s="198"/>
      <c r="T48" s="198"/>
      <c r="U48" s="198"/>
    </row>
    <row r="49" spans="1:21" s="12" customFormat="1" x14ac:dyDescent="0.25">
      <c r="A49" s="201" t="s">
        <v>2688</v>
      </c>
      <c r="B49" s="60">
        <v>51.73</v>
      </c>
      <c r="C49" s="60">
        <v>161.75</v>
      </c>
      <c r="D49" s="60">
        <v>130.75</v>
      </c>
      <c r="E49" s="60">
        <v>6.15</v>
      </c>
      <c r="F49" s="60">
        <v>0.92</v>
      </c>
      <c r="G49" s="60">
        <v>70.31</v>
      </c>
      <c r="H49" s="60">
        <v>36.76</v>
      </c>
      <c r="I49" s="60">
        <v>0.51</v>
      </c>
      <c r="J49" s="60">
        <v>1.35</v>
      </c>
      <c r="K49" s="60">
        <v>128.61000000000001</v>
      </c>
      <c r="L49" s="60">
        <v>24.89</v>
      </c>
      <c r="M49" s="60">
        <v>45.26</v>
      </c>
      <c r="N49" s="60">
        <v>481.3</v>
      </c>
      <c r="O49" s="60">
        <v>0</v>
      </c>
      <c r="P49" s="60">
        <v>1.38</v>
      </c>
      <c r="Q49" s="60">
        <v>255.24</v>
      </c>
      <c r="R49" s="198"/>
      <c r="S49" s="198"/>
      <c r="T49" s="198"/>
      <c r="U49" s="198"/>
    </row>
    <row r="50" spans="1:21" s="12" customFormat="1" x14ac:dyDescent="0.25">
      <c r="A50" s="201" t="s">
        <v>2689</v>
      </c>
      <c r="B50" s="60">
        <v>50.47</v>
      </c>
      <c r="C50" s="60">
        <v>164.28</v>
      </c>
      <c r="D50" s="60">
        <v>131.13</v>
      </c>
      <c r="E50" s="60">
        <v>7.7</v>
      </c>
      <c r="F50" s="60">
        <v>1.23</v>
      </c>
      <c r="G50" s="60">
        <v>70.31</v>
      </c>
      <c r="H50" s="60">
        <v>36.24</v>
      </c>
      <c r="I50" s="60">
        <v>0.51</v>
      </c>
      <c r="J50" s="60">
        <v>1.18</v>
      </c>
      <c r="K50" s="60">
        <v>133.06</v>
      </c>
      <c r="L50" s="60">
        <v>25.05</v>
      </c>
      <c r="M50" s="60">
        <v>38.39</v>
      </c>
      <c r="N50" s="60">
        <v>491.8</v>
      </c>
      <c r="O50" s="60">
        <v>0</v>
      </c>
      <c r="P50" s="60">
        <v>1.32</v>
      </c>
      <c r="Q50" s="60">
        <v>255.6</v>
      </c>
      <c r="R50" s="198"/>
      <c r="S50" s="198"/>
      <c r="T50" s="198"/>
      <c r="U50" s="198"/>
    </row>
    <row r="51" spans="1:21" s="12" customFormat="1" x14ac:dyDescent="0.25">
      <c r="A51" s="201" t="s">
        <v>2690</v>
      </c>
      <c r="B51" s="60">
        <v>45.15</v>
      </c>
      <c r="C51" s="60">
        <v>169.17</v>
      </c>
      <c r="D51" s="60">
        <v>129.57</v>
      </c>
      <c r="E51" s="60">
        <v>13.7</v>
      </c>
      <c r="F51" s="60">
        <v>1.99</v>
      </c>
      <c r="G51" s="60">
        <v>70.31</v>
      </c>
      <c r="H51" s="60">
        <v>36.24</v>
      </c>
      <c r="I51" s="60">
        <v>0.5</v>
      </c>
      <c r="J51" s="60">
        <v>1.1200000000000001</v>
      </c>
      <c r="K51" s="60">
        <v>125.74</v>
      </c>
      <c r="L51" s="60">
        <v>26.13</v>
      </c>
      <c r="M51" s="60">
        <v>69.430000000000007</v>
      </c>
      <c r="N51" s="60">
        <v>500.6</v>
      </c>
      <c r="O51" s="60">
        <v>0</v>
      </c>
      <c r="P51" s="60">
        <v>1.19</v>
      </c>
      <c r="Q51" s="60">
        <v>238.51</v>
      </c>
      <c r="R51" s="198"/>
      <c r="S51" s="198"/>
      <c r="T51" s="198"/>
      <c r="U51" s="198"/>
    </row>
    <row r="52" spans="1:21" s="12" customFormat="1" x14ac:dyDescent="0.25">
      <c r="A52" s="201" t="s">
        <v>2691</v>
      </c>
      <c r="B52" s="60">
        <v>39.36</v>
      </c>
      <c r="C52" s="60">
        <v>180.29</v>
      </c>
      <c r="D52" s="60">
        <v>131.06</v>
      </c>
      <c r="E52" s="60">
        <v>17.66</v>
      </c>
      <c r="F52" s="60">
        <v>2.29</v>
      </c>
      <c r="G52" s="60">
        <v>70.31</v>
      </c>
      <c r="H52" s="60">
        <v>36.24</v>
      </c>
      <c r="I52" s="60">
        <v>0.48</v>
      </c>
      <c r="J52" s="60">
        <v>1.18</v>
      </c>
      <c r="K52" s="60">
        <v>118.5</v>
      </c>
      <c r="L52" s="60">
        <v>27.44</v>
      </c>
      <c r="M52" s="60">
        <v>52.63</v>
      </c>
      <c r="N52" s="60">
        <v>506.3</v>
      </c>
      <c r="O52" s="60">
        <v>0</v>
      </c>
      <c r="P52" s="60">
        <v>1.1399999999999999</v>
      </c>
      <c r="Q52" s="60">
        <v>212.8</v>
      </c>
      <c r="R52" s="198"/>
      <c r="S52" s="198"/>
      <c r="T52" s="198"/>
      <c r="U52" s="198"/>
    </row>
    <row r="53" spans="1:21" s="12" customFormat="1" x14ac:dyDescent="0.25">
      <c r="A53" s="201" t="s">
        <v>2692</v>
      </c>
      <c r="B53" s="60">
        <v>34.090000000000003</v>
      </c>
      <c r="C53" s="60">
        <v>181.25</v>
      </c>
      <c r="D53" s="60">
        <v>127.36</v>
      </c>
      <c r="E53" s="60">
        <v>11.02</v>
      </c>
      <c r="F53" s="60">
        <v>1.65</v>
      </c>
      <c r="G53" s="60">
        <v>68.739999999999995</v>
      </c>
      <c r="H53" s="60">
        <v>34.32</v>
      </c>
      <c r="I53" s="60">
        <v>0.4</v>
      </c>
      <c r="J53" s="60">
        <v>0.94</v>
      </c>
      <c r="K53" s="60">
        <v>119.77</v>
      </c>
      <c r="L53" s="60">
        <v>27.08</v>
      </c>
      <c r="M53" s="60">
        <v>66.209999999999994</v>
      </c>
      <c r="N53" s="60">
        <v>512.29999999999995</v>
      </c>
      <c r="O53" s="60">
        <v>0</v>
      </c>
      <c r="P53" s="60">
        <v>1.07</v>
      </c>
      <c r="Q53" s="60">
        <v>195.95</v>
      </c>
      <c r="R53" s="198"/>
      <c r="S53" s="198"/>
      <c r="T53" s="198"/>
      <c r="U53" s="198"/>
    </row>
    <row r="54" spans="1:21" s="12" customFormat="1" x14ac:dyDescent="0.25">
      <c r="A54" s="201" t="s">
        <v>2693</v>
      </c>
      <c r="B54" s="60">
        <v>27.2</v>
      </c>
      <c r="C54" s="60">
        <v>174.57</v>
      </c>
      <c r="D54" s="60">
        <v>118.15</v>
      </c>
      <c r="E54" s="60">
        <v>11.05</v>
      </c>
      <c r="F54" s="60">
        <v>3.38</v>
      </c>
      <c r="G54" s="60">
        <v>68.739999999999995</v>
      </c>
      <c r="H54" s="60">
        <v>34</v>
      </c>
      <c r="I54" s="60">
        <v>0.35</v>
      </c>
      <c r="J54" s="60">
        <v>1.05</v>
      </c>
      <c r="K54" s="60">
        <v>106.37</v>
      </c>
      <c r="L54" s="60">
        <v>29.25</v>
      </c>
      <c r="M54" s="60">
        <v>90.65</v>
      </c>
      <c r="N54" s="60">
        <v>518.6</v>
      </c>
      <c r="O54" s="60">
        <v>0</v>
      </c>
      <c r="P54" s="60">
        <v>1.05</v>
      </c>
      <c r="Q54" s="60">
        <v>181.59</v>
      </c>
      <c r="R54" s="198"/>
      <c r="S54" s="198"/>
      <c r="T54" s="198"/>
      <c r="U54" s="198"/>
    </row>
    <row r="55" spans="1:21" s="12" customFormat="1" x14ac:dyDescent="0.25">
      <c r="A55" s="201" t="s">
        <v>2694</v>
      </c>
      <c r="B55" s="60">
        <v>19.190000000000001</v>
      </c>
      <c r="C55" s="60">
        <v>164.24</v>
      </c>
      <c r="D55" s="60">
        <v>106.03</v>
      </c>
      <c r="E55" s="60">
        <v>19.84</v>
      </c>
      <c r="F55" s="60">
        <v>6.11</v>
      </c>
      <c r="G55" s="60">
        <v>68.739999999999995</v>
      </c>
      <c r="H55" s="60">
        <v>34</v>
      </c>
      <c r="I55" s="60">
        <v>0.33</v>
      </c>
      <c r="J55" s="60">
        <v>1.0900000000000001</v>
      </c>
      <c r="K55" s="60">
        <v>93.65</v>
      </c>
      <c r="L55" s="60">
        <v>30.11</v>
      </c>
      <c r="M55" s="60">
        <v>70.38</v>
      </c>
      <c r="N55" s="60">
        <v>522.1</v>
      </c>
      <c r="O55" s="60">
        <v>0</v>
      </c>
      <c r="P55" s="60">
        <v>1.01</v>
      </c>
      <c r="Q55" s="60">
        <v>167.76</v>
      </c>
      <c r="R55" s="198"/>
      <c r="S55" s="198"/>
      <c r="T55" s="198"/>
      <c r="U55" s="198"/>
    </row>
    <row r="56" spans="1:21" s="12" customFormat="1" x14ac:dyDescent="0.25">
      <c r="A56" s="201" t="s">
        <v>2695</v>
      </c>
      <c r="B56" s="60">
        <v>16.170000000000002</v>
      </c>
      <c r="C56" s="60">
        <v>163.69999999999999</v>
      </c>
      <c r="D56" s="60">
        <v>103.31</v>
      </c>
      <c r="E56" s="60">
        <v>9.66</v>
      </c>
      <c r="F56" s="60">
        <v>2.87</v>
      </c>
      <c r="G56" s="60">
        <v>68.739999999999995</v>
      </c>
      <c r="H56" s="60">
        <v>34</v>
      </c>
      <c r="I56" s="60">
        <v>0.3</v>
      </c>
      <c r="J56" s="60">
        <v>0.82</v>
      </c>
      <c r="K56" s="60">
        <v>98.17</v>
      </c>
      <c r="L56" s="60">
        <v>28.59</v>
      </c>
      <c r="M56" s="60">
        <v>68.739999999999995</v>
      </c>
      <c r="N56" s="60">
        <v>521.6</v>
      </c>
      <c r="O56" s="60">
        <v>0</v>
      </c>
      <c r="P56" s="60">
        <v>0.97</v>
      </c>
      <c r="Q56" s="60">
        <v>159.27000000000001</v>
      </c>
      <c r="R56" s="198"/>
      <c r="S56" s="198"/>
      <c r="T56" s="198"/>
      <c r="U56" s="198"/>
    </row>
    <row r="57" spans="1:21" s="12" customFormat="1" x14ac:dyDescent="0.25">
      <c r="A57" s="201" t="s">
        <v>2696</v>
      </c>
      <c r="B57" s="60">
        <v>13.41</v>
      </c>
      <c r="C57" s="60">
        <v>159.13999999999999</v>
      </c>
      <c r="D57" s="60">
        <v>98.58</v>
      </c>
      <c r="E57" s="60">
        <v>7.87</v>
      </c>
      <c r="F57" s="60">
        <v>1.82</v>
      </c>
      <c r="G57" s="60">
        <v>54.35</v>
      </c>
      <c r="H57" s="60">
        <v>31.11</v>
      </c>
      <c r="I57" s="60">
        <v>0.28000000000000003</v>
      </c>
      <c r="J57" s="60">
        <v>0.71</v>
      </c>
      <c r="K57" s="60">
        <v>91.66</v>
      </c>
      <c r="L57" s="60">
        <v>29.58</v>
      </c>
      <c r="M57" s="60">
        <v>60.2</v>
      </c>
      <c r="N57" s="60">
        <v>522.1</v>
      </c>
      <c r="O57" s="60">
        <v>0</v>
      </c>
      <c r="P57" s="60">
        <v>0.94</v>
      </c>
      <c r="Q57" s="60">
        <v>154.15</v>
      </c>
      <c r="R57" s="198"/>
      <c r="S57" s="198"/>
      <c r="T57" s="198"/>
      <c r="U57" s="198"/>
    </row>
    <row r="58" spans="1:21" s="12" customFormat="1" x14ac:dyDescent="0.25">
      <c r="A58" s="201" t="s">
        <v>2697</v>
      </c>
      <c r="B58" s="60">
        <v>12.86</v>
      </c>
      <c r="C58" s="60">
        <v>151.16</v>
      </c>
      <c r="D58" s="60">
        <v>93.73</v>
      </c>
      <c r="E58" s="60">
        <v>6.32</v>
      </c>
      <c r="F58" s="60">
        <v>1.24</v>
      </c>
      <c r="G58" s="60">
        <v>54.35</v>
      </c>
      <c r="H58" s="60">
        <v>30.62</v>
      </c>
      <c r="I58" s="60">
        <v>0.28000000000000003</v>
      </c>
      <c r="J58" s="60">
        <v>0.68</v>
      </c>
      <c r="K58" s="60">
        <v>99.5</v>
      </c>
      <c r="L58" s="60">
        <v>28.17</v>
      </c>
      <c r="M58" s="60">
        <v>61</v>
      </c>
      <c r="N58" s="60">
        <v>507.6</v>
      </c>
      <c r="O58" s="60">
        <v>0</v>
      </c>
      <c r="P58" s="60">
        <v>0.92</v>
      </c>
      <c r="Q58" s="60">
        <v>159.59</v>
      </c>
      <c r="R58" s="198"/>
      <c r="S58" s="198"/>
      <c r="T58" s="198"/>
      <c r="U58" s="198"/>
    </row>
    <row r="59" spans="1:21" s="12" customFormat="1" x14ac:dyDescent="0.25">
      <c r="A59" s="201" t="s">
        <v>2698</v>
      </c>
      <c r="B59" s="60">
        <v>13.41</v>
      </c>
      <c r="C59" s="60">
        <v>144.79</v>
      </c>
      <c r="D59" s="60">
        <v>90.66</v>
      </c>
      <c r="E59" s="60">
        <v>6.98</v>
      </c>
      <c r="F59" s="60">
        <v>1.78</v>
      </c>
      <c r="G59" s="60">
        <v>54.35</v>
      </c>
      <c r="H59" s="60">
        <v>30.62</v>
      </c>
      <c r="I59" s="60">
        <v>0.28000000000000003</v>
      </c>
      <c r="J59" s="60">
        <v>1.29</v>
      </c>
      <c r="K59" s="60">
        <v>83.24</v>
      </c>
      <c r="L59" s="60">
        <v>30.67</v>
      </c>
      <c r="M59" s="60">
        <v>84.53</v>
      </c>
      <c r="N59" s="60">
        <v>488.6</v>
      </c>
      <c r="O59" s="60">
        <v>0</v>
      </c>
      <c r="P59" s="60">
        <v>0.92</v>
      </c>
      <c r="Q59" s="60">
        <v>167.35</v>
      </c>
      <c r="R59" s="198"/>
      <c r="S59" s="198"/>
      <c r="T59" s="198"/>
      <c r="U59" s="198"/>
    </row>
    <row r="60" spans="1:21" s="12" customFormat="1" x14ac:dyDescent="0.25">
      <c r="A60" s="201" t="s">
        <v>2699</v>
      </c>
      <c r="B60" s="60">
        <v>12.82</v>
      </c>
      <c r="C60" s="60">
        <v>149.28</v>
      </c>
      <c r="D60" s="60">
        <v>92.66</v>
      </c>
      <c r="E60" s="60">
        <v>17.04</v>
      </c>
      <c r="F60" s="60">
        <v>4.32</v>
      </c>
      <c r="G60" s="60">
        <v>54.35</v>
      </c>
      <c r="H60" s="60">
        <v>30.62</v>
      </c>
      <c r="I60" s="60">
        <v>0.28999999999999998</v>
      </c>
      <c r="J60" s="60">
        <v>0.65</v>
      </c>
      <c r="K60" s="60">
        <v>82.78</v>
      </c>
      <c r="L60" s="60">
        <v>31.11</v>
      </c>
      <c r="M60" s="60">
        <v>69.98</v>
      </c>
      <c r="N60" s="60">
        <v>481</v>
      </c>
      <c r="O60" s="60">
        <v>0</v>
      </c>
      <c r="P60" s="60">
        <v>0.89</v>
      </c>
      <c r="Q60" s="60">
        <v>164.04</v>
      </c>
      <c r="R60" s="198"/>
      <c r="S60" s="198"/>
      <c r="T60" s="198"/>
      <c r="U60" s="198"/>
    </row>
    <row r="61" spans="1:21" s="12" customFormat="1" x14ac:dyDescent="0.25">
      <c r="A61" s="201" t="s">
        <v>2700</v>
      </c>
      <c r="B61" s="60">
        <v>10.68</v>
      </c>
      <c r="C61" s="60">
        <v>149.32</v>
      </c>
      <c r="D61" s="60">
        <v>90.98</v>
      </c>
      <c r="E61" s="60">
        <v>8.5299999999999994</v>
      </c>
      <c r="F61" s="60">
        <v>1.83</v>
      </c>
      <c r="G61" s="60">
        <v>56.15</v>
      </c>
      <c r="H61" s="60">
        <v>31.47</v>
      </c>
      <c r="I61" s="60">
        <v>0.28999999999999998</v>
      </c>
      <c r="J61" s="60">
        <v>0.65</v>
      </c>
      <c r="K61" s="60">
        <v>85.74</v>
      </c>
      <c r="L61" s="60">
        <v>29.13</v>
      </c>
      <c r="M61" s="60">
        <v>48.67</v>
      </c>
      <c r="N61" s="60">
        <v>469.3</v>
      </c>
      <c r="O61" s="60">
        <v>0</v>
      </c>
      <c r="P61" s="60">
        <v>0.86</v>
      </c>
      <c r="Q61" s="60">
        <v>161.91999999999999</v>
      </c>
      <c r="R61" s="198"/>
      <c r="S61" s="198"/>
      <c r="T61" s="198"/>
      <c r="U61" s="198"/>
    </row>
    <row r="62" spans="1:21" s="12" customFormat="1" x14ac:dyDescent="0.25">
      <c r="A62" s="201" t="s">
        <v>2701</v>
      </c>
      <c r="B62" s="60">
        <v>10.29</v>
      </c>
      <c r="C62" s="60">
        <v>143.19</v>
      </c>
      <c r="D62" s="60">
        <v>87.28</v>
      </c>
      <c r="E62" s="60">
        <v>7.58</v>
      </c>
      <c r="F62" s="60">
        <v>2.16</v>
      </c>
      <c r="G62" s="60">
        <v>56.15</v>
      </c>
      <c r="H62" s="60">
        <v>31.61</v>
      </c>
      <c r="I62" s="60">
        <v>0.27</v>
      </c>
      <c r="J62" s="60">
        <v>0.85</v>
      </c>
      <c r="K62" s="60">
        <v>94.19</v>
      </c>
      <c r="L62" s="60">
        <v>28.14</v>
      </c>
      <c r="M62" s="60">
        <v>50.95</v>
      </c>
      <c r="N62" s="60">
        <v>448.8</v>
      </c>
      <c r="O62" s="60">
        <v>0</v>
      </c>
      <c r="P62" s="60">
        <v>0.87</v>
      </c>
      <c r="Q62" s="60">
        <v>169.09</v>
      </c>
      <c r="R62" s="198"/>
      <c r="S62" s="198"/>
      <c r="T62" s="198"/>
      <c r="U62" s="198"/>
    </row>
    <row r="63" spans="1:21" s="12" customFormat="1" x14ac:dyDescent="0.25">
      <c r="A63" s="201" t="s">
        <v>2702</v>
      </c>
      <c r="B63" s="60">
        <v>10.18</v>
      </c>
      <c r="C63" s="60">
        <v>134.38</v>
      </c>
      <c r="D63" s="60">
        <v>82.32</v>
      </c>
      <c r="E63" s="60">
        <v>7.62</v>
      </c>
      <c r="F63" s="60">
        <v>2.2400000000000002</v>
      </c>
      <c r="G63" s="60">
        <v>56.15</v>
      </c>
      <c r="H63" s="60">
        <v>31.61</v>
      </c>
      <c r="I63" s="60">
        <v>0.28000000000000003</v>
      </c>
      <c r="J63" s="60">
        <v>0.89</v>
      </c>
      <c r="K63" s="60">
        <v>86.59</v>
      </c>
      <c r="L63" s="60">
        <v>28.42</v>
      </c>
      <c r="M63" s="60">
        <v>39.75</v>
      </c>
      <c r="N63" s="60">
        <v>421.7</v>
      </c>
      <c r="O63" s="60">
        <v>0</v>
      </c>
      <c r="P63" s="60">
        <v>0.88</v>
      </c>
      <c r="Q63" s="60">
        <v>178.52</v>
      </c>
      <c r="R63" s="198"/>
      <c r="S63" s="198"/>
      <c r="T63" s="198"/>
      <c r="U63" s="198"/>
    </row>
    <row r="64" spans="1:21" s="12" customFormat="1" x14ac:dyDescent="0.25">
      <c r="A64" s="201" t="s">
        <v>2703</v>
      </c>
      <c r="B64" s="60">
        <v>9.5399999999999991</v>
      </c>
      <c r="C64" s="60">
        <v>126.2</v>
      </c>
      <c r="D64" s="60">
        <v>77.3</v>
      </c>
      <c r="E64" s="60">
        <v>6.79</v>
      </c>
      <c r="F64" s="60">
        <v>2.35</v>
      </c>
      <c r="G64" s="60">
        <v>56.15</v>
      </c>
      <c r="H64" s="60">
        <v>31.61</v>
      </c>
      <c r="I64" s="60">
        <v>0.28999999999999998</v>
      </c>
      <c r="J64" s="60">
        <v>0.94</v>
      </c>
      <c r="K64" s="60">
        <v>89.18</v>
      </c>
      <c r="L64" s="60">
        <v>28.29</v>
      </c>
      <c r="M64" s="60">
        <v>51.79</v>
      </c>
      <c r="N64" s="60">
        <v>386.6</v>
      </c>
      <c r="O64" s="60">
        <v>0</v>
      </c>
      <c r="P64" s="60">
        <v>0.87</v>
      </c>
      <c r="Q64" s="60">
        <v>185.09</v>
      </c>
      <c r="R64" s="198"/>
      <c r="S64" s="198"/>
      <c r="T64" s="198"/>
      <c r="U64" s="198"/>
    </row>
    <row r="65" spans="1:21" s="12" customFormat="1" x14ac:dyDescent="0.25">
      <c r="A65" s="201" t="s">
        <v>2704</v>
      </c>
      <c r="B65" s="60">
        <v>9.48</v>
      </c>
      <c r="C65" s="60">
        <v>121.11</v>
      </c>
      <c r="D65" s="60">
        <v>74.44</v>
      </c>
      <c r="E65" s="60">
        <v>7.86</v>
      </c>
      <c r="F65" s="60">
        <v>3.49</v>
      </c>
      <c r="G65" s="60">
        <v>54.47</v>
      </c>
      <c r="H65" s="60">
        <v>28.93</v>
      </c>
      <c r="I65" s="60">
        <v>0.31</v>
      </c>
      <c r="J65" s="60">
        <v>0.85</v>
      </c>
      <c r="K65" s="60">
        <v>85.49</v>
      </c>
      <c r="L65" s="60">
        <v>28.61</v>
      </c>
      <c r="M65" s="60">
        <v>67.790000000000006</v>
      </c>
      <c r="N65" s="60">
        <v>345.7</v>
      </c>
      <c r="O65" s="60">
        <v>0</v>
      </c>
      <c r="P65" s="60">
        <v>0.86</v>
      </c>
      <c r="Q65" s="60">
        <v>190.21</v>
      </c>
      <c r="R65" s="198"/>
      <c r="S65" s="198"/>
      <c r="T65" s="198"/>
      <c r="U65" s="198"/>
    </row>
    <row r="66" spans="1:21" s="12" customFormat="1" x14ac:dyDescent="0.25">
      <c r="A66" s="201" t="s">
        <v>2705</v>
      </c>
      <c r="B66" s="60">
        <v>8.9700000000000006</v>
      </c>
      <c r="C66" s="60">
        <v>128.4</v>
      </c>
      <c r="D66" s="60">
        <v>78.05</v>
      </c>
      <c r="E66" s="60">
        <v>15.79</v>
      </c>
      <c r="F66" s="60">
        <v>6.89</v>
      </c>
      <c r="G66" s="60">
        <v>54.47</v>
      </c>
      <c r="H66" s="60">
        <v>28.44</v>
      </c>
      <c r="I66" s="60">
        <v>0.32</v>
      </c>
      <c r="J66" s="60">
        <v>0.85</v>
      </c>
      <c r="K66" s="60">
        <v>83.36</v>
      </c>
      <c r="L66" s="60">
        <v>29.33</v>
      </c>
      <c r="M66" s="60">
        <v>59.71</v>
      </c>
      <c r="N66" s="60">
        <v>264.89999999999998</v>
      </c>
      <c r="O66" s="60">
        <v>0</v>
      </c>
      <c r="P66" s="60">
        <v>0.91</v>
      </c>
      <c r="Q66" s="60">
        <v>190.22</v>
      </c>
      <c r="R66" s="198"/>
      <c r="S66" s="198"/>
      <c r="T66" s="198"/>
      <c r="U66" s="198"/>
    </row>
    <row r="67" spans="1:21" s="12" customFormat="1" x14ac:dyDescent="0.25">
      <c r="A67" s="201" t="s">
        <v>2706</v>
      </c>
      <c r="B67" s="60">
        <v>5.63</v>
      </c>
      <c r="C67" s="60">
        <v>125.24</v>
      </c>
      <c r="D67" s="60">
        <v>73.63</v>
      </c>
      <c r="E67" s="60">
        <v>8.77</v>
      </c>
      <c r="F67" s="60">
        <v>3.29</v>
      </c>
      <c r="G67" s="60">
        <v>54.47</v>
      </c>
      <c r="H67" s="60">
        <v>28.44</v>
      </c>
      <c r="I67" s="60">
        <v>0.32</v>
      </c>
      <c r="J67" s="60">
        <v>0.54</v>
      </c>
      <c r="K67" s="60">
        <v>86.7</v>
      </c>
      <c r="L67" s="60">
        <v>28.32</v>
      </c>
      <c r="M67" s="60">
        <v>49.16</v>
      </c>
      <c r="N67" s="60">
        <v>167.6</v>
      </c>
      <c r="O67" s="60">
        <v>0</v>
      </c>
      <c r="P67" s="60">
        <v>0.9</v>
      </c>
      <c r="Q67" s="60">
        <v>187.54</v>
      </c>
      <c r="R67" s="198"/>
      <c r="S67" s="198"/>
      <c r="T67" s="198"/>
      <c r="U67" s="198"/>
    </row>
    <row r="68" spans="1:21" s="12" customFormat="1" x14ac:dyDescent="0.25">
      <c r="A68" s="201" t="s">
        <v>2707</v>
      </c>
      <c r="B68" s="60">
        <v>5.49</v>
      </c>
      <c r="C68" s="60">
        <v>122.07</v>
      </c>
      <c r="D68" s="60">
        <v>71.77</v>
      </c>
      <c r="E68" s="60">
        <v>7.27</v>
      </c>
      <c r="F68" s="60">
        <v>3.49</v>
      </c>
      <c r="G68" s="60">
        <v>54.47</v>
      </c>
      <c r="H68" s="60">
        <v>28.44</v>
      </c>
      <c r="I68" s="60">
        <v>0.3</v>
      </c>
      <c r="J68" s="60">
        <v>0.81</v>
      </c>
      <c r="K68" s="60">
        <v>83.78</v>
      </c>
      <c r="L68" s="60">
        <v>28.93</v>
      </c>
      <c r="M68" s="60">
        <v>76.37</v>
      </c>
      <c r="N68" s="60">
        <v>182.2</v>
      </c>
      <c r="O68" s="60">
        <v>0</v>
      </c>
      <c r="P68" s="60">
        <v>0.9</v>
      </c>
      <c r="Q68" s="60">
        <v>192.65</v>
      </c>
      <c r="R68" s="198"/>
      <c r="S68" s="198"/>
      <c r="T68" s="198"/>
      <c r="U68" s="198"/>
    </row>
    <row r="69" spans="1:21" s="12" customFormat="1" x14ac:dyDescent="0.25">
      <c r="A69" s="201" t="s">
        <v>2708</v>
      </c>
      <c r="B69" s="60">
        <v>6.37</v>
      </c>
      <c r="C69" s="60">
        <v>121.18</v>
      </c>
      <c r="D69" s="60">
        <v>71.98</v>
      </c>
      <c r="E69" s="60">
        <v>6.8</v>
      </c>
      <c r="F69" s="60">
        <v>4.54</v>
      </c>
      <c r="G69" s="60">
        <v>60.44</v>
      </c>
      <c r="H69" s="60">
        <v>29.67</v>
      </c>
      <c r="I69" s="60">
        <v>0.3</v>
      </c>
      <c r="J69" s="60">
        <v>0.88</v>
      </c>
      <c r="K69" s="60">
        <v>87.48</v>
      </c>
      <c r="L69" s="60">
        <v>28.48</v>
      </c>
      <c r="M69" s="60">
        <v>79.510000000000005</v>
      </c>
      <c r="N69" s="60">
        <v>132</v>
      </c>
      <c r="O69" s="60">
        <v>0</v>
      </c>
      <c r="P69" s="60">
        <v>0.92</v>
      </c>
      <c r="Q69" s="60">
        <v>193.07</v>
      </c>
      <c r="R69" s="198"/>
      <c r="S69" s="198"/>
      <c r="T69" s="198"/>
      <c r="U69" s="198"/>
    </row>
    <row r="70" spans="1:21" s="12" customFormat="1" x14ac:dyDescent="0.25">
      <c r="A70" s="201" t="s">
        <v>2709</v>
      </c>
      <c r="B70" s="60">
        <v>5.92</v>
      </c>
      <c r="C70" s="60">
        <v>120.85</v>
      </c>
      <c r="D70" s="60">
        <v>71.45</v>
      </c>
      <c r="E70" s="60">
        <v>7.61</v>
      </c>
      <c r="F70" s="60">
        <v>3.8</v>
      </c>
      <c r="G70" s="60">
        <v>60.44</v>
      </c>
      <c r="H70" s="60">
        <v>29.88</v>
      </c>
      <c r="I70" s="60">
        <v>0.3</v>
      </c>
      <c r="J70" s="60">
        <v>0.63</v>
      </c>
      <c r="K70" s="60">
        <v>90.56</v>
      </c>
      <c r="L70" s="60">
        <v>27.87</v>
      </c>
      <c r="M70" s="60">
        <v>63.7</v>
      </c>
      <c r="N70" s="60">
        <v>121.6</v>
      </c>
      <c r="O70" s="60">
        <v>0</v>
      </c>
      <c r="P70" s="60">
        <v>0.94</v>
      </c>
      <c r="Q70" s="60">
        <v>194.74</v>
      </c>
      <c r="R70" s="198"/>
      <c r="S70" s="198"/>
      <c r="T70" s="198"/>
      <c r="U70" s="198"/>
    </row>
    <row r="71" spans="1:21" s="12" customFormat="1" x14ac:dyDescent="0.25">
      <c r="A71" s="201" t="s">
        <v>2710</v>
      </c>
      <c r="B71" s="60">
        <v>7.85</v>
      </c>
      <c r="C71" s="60">
        <v>118.73</v>
      </c>
      <c r="D71" s="60">
        <v>71.819999999999993</v>
      </c>
      <c r="E71" s="60">
        <v>6.78</v>
      </c>
      <c r="F71" s="60">
        <v>3.37</v>
      </c>
      <c r="G71" s="60">
        <v>60.44</v>
      </c>
      <c r="H71" s="60">
        <v>29.88</v>
      </c>
      <c r="I71" s="60">
        <v>0.31</v>
      </c>
      <c r="J71" s="60">
        <v>0.9</v>
      </c>
      <c r="K71" s="60">
        <v>94.31</v>
      </c>
      <c r="L71" s="60">
        <v>27.44</v>
      </c>
      <c r="M71" s="60">
        <v>85.12</v>
      </c>
      <c r="N71" s="60">
        <v>79.599999999999994</v>
      </c>
      <c r="O71" s="60">
        <v>0</v>
      </c>
      <c r="P71" s="60">
        <v>0.97</v>
      </c>
      <c r="Q71" s="60">
        <v>200.43</v>
      </c>
      <c r="R71" s="198"/>
      <c r="S71" s="198"/>
      <c r="T71" s="198"/>
      <c r="U71" s="198"/>
    </row>
    <row r="72" spans="1:21" s="12" customFormat="1" x14ac:dyDescent="0.25">
      <c r="A72" s="201" t="s">
        <v>2711</v>
      </c>
      <c r="B72" s="60">
        <v>7.06</v>
      </c>
      <c r="C72" s="60">
        <v>118.75</v>
      </c>
      <c r="D72" s="60">
        <v>71.2</v>
      </c>
      <c r="E72" s="60">
        <v>3.62</v>
      </c>
      <c r="F72" s="60">
        <v>2.75</v>
      </c>
      <c r="G72" s="60">
        <v>60.44</v>
      </c>
      <c r="H72" s="60">
        <v>29.88</v>
      </c>
      <c r="I72" s="60">
        <v>0.31</v>
      </c>
      <c r="J72" s="60">
        <v>0.9</v>
      </c>
      <c r="K72" s="60">
        <v>98.5</v>
      </c>
      <c r="L72" s="60">
        <v>27.09</v>
      </c>
      <c r="M72" s="60">
        <v>85.12</v>
      </c>
      <c r="N72" s="60">
        <v>61.7</v>
      </c>
      <c r="O72" s="60">
        <v>0</v>
      </c>
      <c r="P72" s="60">
        <v>0.97</v>
      </c>
      <c r="Q72" s="60">
        <v>205.81</v>
      </c>
      <c r="R72" s="198"/>
      <c r="S72" s="198"/>
      <c r="T72" s="198"/>
      <c r="U72" s="198"/>
    </row>
    <row r="73" spans="1:21" s="12" customFormat="1" x14ac:dyDescent="0.25">
      <c r="A73" s="201" t="s">
        <v>2712</v>
      </c>
      <c r="B73" s="60">
        <v>7.6</v>
      </c>
      <c r="C73" s="60">
        <v>120.63</v>
      </c>
      <c r="D73" s="60">
        <v>72.67</v>
      </c>
      <c r="E73" s="60">
        <v>6.27</v>
      </c>
      <c r="F73" s="60">
        <v>3.69</v>
      </c>
      <c r="G73" s="60">
        <v>73.72</v>
      </c>
      <c r="H73" s="60">
        <v>30.03</v>
      </c>
      <c r="I73" s="60">
        <v>0.31</v>
      </c>
      <c r="J73" s="60">
        <v>0.83</v>
      </c>
      <c r="K73" s="60">
        <v>95.86</v>
      </c>
      <c r="L73" s="60">
        <v>26.73</v>
      </c>
      <c r="M73" s="60">
        <v>86.83</v>
      </c>
      <c r="N73" s="60">
        <v>41.6</v>
      </c>
      <c r="O73" s="60">
        <v>0</v>
      </c>
      <c r="P73" s="60">
        <v>0.99</v>
      </c>
      <c r="Q73" s="60">
        <v>208.63</v>
      </c>
      <c r="R73" s="198"/>
      <c r="S73" s="198"/>
      <c r="T73" s="198"/>
      <c r="U73" s="198"/>
    </row>
    <row r="74" spans="1:21" s="12" customFormat="1" x14ac:dyDescent="0.25">
      <c r="A74" s="201" t="s">
        <v>2713</v>
      </c>
      <c r="B74" s="60">
        <v>13.25</v>
      </c>
      <c r="C74" s="60">
        <v>132.33000000000001</v>
      </c>
      <c r="D74" s="60">
        <v>83.65</v>
      </c>
      <c r="E74" s="60">
        <v>7.63</v>
      </c>
      <c r="F74" s="60">
        <v>6.24</v>
      </c>
      <c r="G74" s="60">
        <v>73.72</v>
      </c>
      <c r="H74" s="60">
        <v>30.06</v>
      </c>
      <c r="I74" s="60">
        <v>0.32</v>
      </c>
      <c r="J74" s="60">
        <v>1.1200000000000001</v>
      </c>
      <c r="K74" s="60">
        <v>99.67</v>
      </c>
      <c r="L74" s="60">
        <v>26.2</v>
      </c>
      <c r="M74" s="60">
        <v>88.3</v>
      </c>
      <c r="N74" s="60">
        <v>31.7</v>
      </c>
      <c r="O74" s="60">
        <v>0</v>
      </c>
      <c r="P74" s="60">
        <v>1.02</v>
      </c>
      <c r="Q74" s="60">
        <v>209.07</v>
      </c>
      <c r="R74" s="198"/>
      <c r="S74" s="198"/>
      <c r="T74" s="198"/>
      <c r="U74" s="198"/>
    </row>
    <row r="75" spans="1:21" s="12" customFormat="1" x14ac:dyDescent="0.25">
      <c r="A75" s="201" t="s">
        <v>2714</v>
      </c>
      <c r="B75" s="60">
        <v>9.15</v>
      </c>
      <c r="C75" s="60">
        <v>141.4</v>
      </c>
      <c r="D75" s="60">
        <v>85.37</v>
      </c>
      <c r="E75" s="60">
        <v>8.19</v>
      </c>
      <c r="F75" s="60">
        <v>6.29</v>
      </c>
      <c r="G75" s="60">
        <v>73.72</v>
      </c>
      <c r="H75" s="60">
        <v>30.06</v>
      </c>
      <c r="I75" s="60">
        <v>0.32</v>
      </c>
      <c r="J75" s="60">
        <v>1.02</v>
      </c>
      <c r="K75" s="60">
        <v>105.24</v>
      </c>
      <c r="L75" s="60">
        <v>25.66</v>
      </c>
      <c r="M75" s="60">
        <v>95.77</v>
      </c>
      <c r="N75" s="60">
        <v>22.4</v>
      </c>
      <c r="O75" s="60">
        <v>0</v>
      </c>
      <c r="P75" s="60">
        <v>1.05</v>
      </c>
      <c r="Q75" s="60">
        <v>207.07</v>
      </c>
      <c r="R75" s="198"/>
      <c r="S75" s="198"/>
      <c r="T75" s="198"/>
      <c r="U75" s="198"/>
    </row>
    <row r="76" spans="1:21" s="12" customFormat="1" x14ac:dyDescent="0.25">
      <c r="A76" s="201" t="s">
        <v>2715</v>
      </c>
      <c r="B76" s="60">
        <v>9.1300000000000008</v>
      </c>
      <c r="C76" s="60">
        <v>143.31</v>
      </c>
      <c r="D76" s="60">
        <v>86.41</v>
      </c>
      <c r="E76" s="60">
        <v>7.97</v>
      </c>
      <c r="F76" s="60">
        <v>5.98</v>
      </c>
      <c r="G76" s="60">
        <v>73.72</v>
      </c>
      <c r="H76" s="60">
        <v>30.06</v>
      </c>
      <c r="I76" s="60">
        <v>0.31</v>
      </c>
      <c r="J76" s="60">
        <v>0.86</v>
      </c>
      <c r="K76" s="60">
        <v>110.56</v>
      </c>
      <c r="L76" s="60">
        <v>24.98</v>
      </c>
      <c r="M76" s="60">
        <v>90.98</v>
      </c>
      <c r="N76" s="60">
        <v>13.1</v>
      </c>
      <c r="O76" s="60">
        <v>0</v>
      </c>
      <c r="P76" s="60">
        <v>1.1100000000000001</v>
      </c>
      <c r="Q76" s="60">
        <v>198.25</v>
      </c>
      <c r="R76" s="198"/>
      <c r="S76" s="198"/>
      <c r="T76" s="198"/>
      <c r="U76" s="198"/>
    </row>
    <row r="77" spans="1:21" s="12" customFormat="1" x14ac:dyDescent="0.25">
      <c r="A77" s="201" t="s">
        <v>2716</v>
      </c>
      <c r="B77" s="60">
        <v>11.72</v>
      </c>
      <c r="C77" s="60">
        <v>157.15</v>
      </c>
      <c r="D77" s="60">
        <v>96.12</v>
      </c>
      <c r="E77" s="60">
        <v>7.85</v>
      </c>
      <c r="F77" s="60">
        <v>5.79</v>
      </c>
      <c r="G77" s="60">
        <v>63.54</v>
      </c>
      <c r="H77" s="60">
        <v>28.5</v>
      </c>
      <c r="I77" s="60">
        <v>0.32</v>
      </c>
      <c r="J77" s="60">
        <v>0.7</v>
      </c>
      <c r="K77" s="60">
        <v>115.35</v>
      </c>
      <c r="L77" s="60">
        <v>24.3</v>
      </c>
      <c r="M77" s="60">
        <v>89.92</v>
      </c>
      <c r="N77" s="60">
        <v>5.5</v>
      </c>
      <c r="O77" s="60">
        <v>0</v>
      </c>
      <c r="P77" s="60">
        <v>1.24</v>
      </c>
      <c r="Q77" s="60">
        <v>186.19</v>
      </c>
      <c r="R77" s="198"/>
      <c r="S77" s="198"/>
      <c r="T77" s="198"/>
      <c r="U77" s="198"/>
    </row>
    <row r="78" spans="1:21" s="12" customFormat="1" x14ac:dyDescent="0.25">
      <c r="A78" s="201" t="s">
        <v>2717</v>
      </c>
      <c r="B78" s="60">
        <v>12.64</v>
      </c>
      <c r="C78" s="60">
        <v>168.02</v>
      </c>
      <c r="D78" s="60">
        <v>102.87</v>
      </c>
      <c r="E78" s="60">
        <v>6.36</v>
      </c>
      <c r="F78" s="60">
        <v>2.92</v>
      </c>
      <c r="G78" s="60">
        <v>63.54</v>
      </c>
      <c r="H78" s="60">
        <v>28.24</v>
      </c>
      <c r="I78" s="60">
        <v>0.32</v>
      </c>
      <c r="J78" s="60">
        <v>0.28000000000000003</v>
      </c>
      <c r="K78" s="60">
        <v>124.13</v>
      </c>
      <c r="L78" s="60">
        <v>23.42</v>
      </c>
      <c r="M78" s="60">
        <v>85.15</v>
      </c>
      <c r="N78" s="60">
        <v>2.2999999999999998</v>
      </c>
      <c r="O78" s="60">
        <v>0</v>
      </c>
      <c r="P78" s="60">
        <v>1.34</v>
      </c>
      <c r="Q78" s="60">
        <v>186.25</v>
      </c>
      <c r="R78" s="198"/>
      <c r="S78" s="198"/>
      <c r="T78" s="198"/>
      <c r="U78" s="198"/>
    </row>
    <row r="79" spans="1:21" s="12" customFormat="1" x14ac:dyDescent="0.25">
      <c r="A79" s="201" t="s">
        <v>2718</v>
      </c>
      <c r="B79" s="60">
        <v>15.92</v>
      </c>
      <c r="C79" s="60">
        <v>172.71</v>
      </c>
      <c r="D79" s="60">
        <v>108.08</v>
      </c>
      <c r="E79" s="60">
        <v>5.09</v>
      </c>
      <c r="F79" s="60">
        <v>1.18</v>
      </c>
      <c r="G79" s="60">
        <v>63.54</v>
      </c>
      <c r="H79" s="60">
        <v>28.24</v>
      </c>
      <c r="I79" s="60">
        <v>0.34</v>
      </c>
      <c r="J79" s="60">
        <v>0.2</v>
      </c>
      <c r="K79" s="60">
        <v>146.41</v>
      </c>
      <c r="L79" s="60">
        <v>22.35</v>
      </c>
      <c r="M79" s="60">
        <v>76.3</v>
      </c>
      <c r="N79" s="60">
        <v>1.3</v>
      </c>
      <c r="O79" s="60">
        <v>0</v>
      </c>
      <c r="P79" s="60">
        <v>1.41</v>
      </c>
      <c r="Q79" s="60">
        <v>195.68</v>
      </c>
      <c r="R79" s="198"/>
      <c r="S79" s="198"/>
      <c r="T79" s="198"/>
      <c r="U79" s="198"/>
    </row>
    <row r="80" spans="1:21" s="12" customFormat="1" x14ac:dyDescent="0.25">
      <c r="A80" s="201" t="s">
        <v>2719</v>
      </c>
      <c r="B80" s="60">
        <v>18.12</v>
      </c>
      <c r="C80" s="60">
        <v>170.96</v>
      </c>
      <c r="D80" s="60">
        <v>108.88</v>
      </c>
      <c r="E80" s="60">
        <v>5.2</v>
      </c>
      <c r="F80" s="60">
        <v>0.82</v>
      </c>
      <c r="G80" s="60">
        <v>63.54</v>
      </c>
      <c r="H80" s="60">
        <v>28.24</v>
      </c>
      <c r="I80" s="60">
        <v>0.37</v>
      </c>
      <c r="J80" s="60">
        <v>0.24</v>
      </c>
      <c r="K80" s="60">
        <v>148.28</v>
      </c>
      <c r="L80" s="60">
        <v>21.81</v>
      </c>
      <c r="M80" s="60">
        <v>39.35</v>
      </c>
      <c r="N80" s="60">
        <v>0.8</v>
      </c>
      <c r="O80" s="60">
        <v>0</v>
      </c>
      <c r="P80" s="60">
        <v>1.47</v>
      </c>
      <c r="Q80" s="60">
        <v>206.61</v>
      </c>
      <c r="R80" s="198"/>
      <c r="S80" s="198"/>
      <c r="T80" s="198"/>
      <c r="U80" s="198"/>
    </row>
    <row r="81" spans="1:26" s="12" customFormat="1" x14ac:dyDescent="0.25">
      <c r="A81" s="201" t="s">
        <v>2720</v>
      </c>
      <c r="B81" s="60">
        <v>19.739999999999998</v>
      </c>
      <c r="C81" s="60">
        <v>168.73</v>
      </c>
      <c r="D81" s="60">
        <v>108.95</v>
      </c>
      <c r="E81" s="60">
        <v>5.01</v>
      </c>
      <c r="F81" s="60">
        <v>0.93</v>
      </c>
      <c r="G81" s="60">
        <v>90.34</v>
      </c>
      <c r="H81" s="60">
        <v>30.91</v>
      </c>
      <c r="I81" s="60">
        <v>0.4</v>
      </c>
      <c r="J81" s="60">
        <v>0.2</v>
      </c>
      <c r="K81" s="60">
        <v>157.49</v>
      </c>
      <c r="L81" s="60">
        <v>21.66</v>
      </c>
      <c r="M81" s="60">
        <v>34.29</v>
      </c>
      <c r="N81" s="60">
        <v>1</v>
      </c>
      <c r="O81" s="60">
        <v>0</v>
      </c>
      <c r="P81" s="60">
        <v>1.53</v>
      </c>
      <c r="Q81" s="60">
        <v>217.87</v>
      </c>
      <c r="R81" s="198"/>
      <c r="S81" s="198"/>
      <c r="T81" s="198"/>
      <c r="U81" s="198"/>
    </row>
    <row r="82" spans="1:26" s="12" customFormat="1" x14ac:dyDescent="0.25">
      <c r="A82" s="201" t="s">
        <v>2721</v>
      </c>
      <c r="B82" s="60">
        <v>21.38</v>
      </c>
      <c r="C82" s="60">
        <v>163.89</v>
      </c>
      <c r="D82" s="60">
        <v>107.59</v>
      </c>
      <c r="E82" s="60">
        <v>4.6399999999999997</v>
      </c>
      <c r="F82" s="60">
        <v>0.93</v>
      </c>
      <c r="G82" s="60">
        <v>90.34</v>
      </c>
      <c r="H82" s="60">
        <v>31.36</v>
      </c>
      <c r="I82" s="60">
        <v>0.44</v>
      </c>
      <c r="J82" s="60">
        <v>0.09</v>
      </c>
      <c r="K82" s="60">
        <v>177.91</v>
      </c>
      <c r="L82" s="60">
        <v>20.81</v>
      </c>
      <c r="M82" s="60">
        <v>68.069999999999993</v>
      </c>
      <c r="N82" s="60">
        <v>1.2</v>
      </c>
      <c r="O82" s="60">
        <v>0</v>
      </c>
      <c r="P82" s="60">
        <v>1.6</v>
      </c>
      <c r="Q82" s="60">
        <v>227.87</v>
      </c>
      <c r="R82" s="198"/>
      <c r="S82" s="198"/>
      <c r="T82" s="198"/>
      <c r="U82" s="198"/>
    </row>
    <row r="83" spans="1:26" s="12" customFormat="1" x14ac:dyDescent="0.25">
      <c r="A83" s="201" t="s">
        <v>2722</v>
      </c>
      <c r="B83" s="60">
        <v>24.5</v>
      </c>
      <c r="C83" s="60">
        <v>162.51</v>
      </c>
      <c r="D83" s="60">
        <v>109.33</v>
      </c>
      <c r="E83" s="60">
        <v>4.7300000000000004</v>
      </c>
      <c r="F83" s="60">
        <v>0.87</v>
      </c>
      <c r="G83" s="60">
        <v>90.34</v>
      </c>
      <c r="H83" s="60">
        <v>31.36</v>
      </c>
      <c r="I83" s="60">
        <v>0.48</v>
      </c>
      <c r="J83" s="60">
        <v>0.11</v>
      </c>
      <c r="K83" s="60">
        <v>185.5</v>
      </c>
      <c r="L83" s="60">
        <v>20.04</v>
      </c>
      <c r="M83" s="60">
        <v>58.84</v>
      </c>
      <c r="N83" s="60">
        <v>1.1000000000000001</v>
      </c>
      <c r="O83" s="60">
        <v>0</v>
      </c>
      <c r="P83" s="60">
        <v>1.68</v>
      </c>
      <c r="Q83" s="60">
        <v>234.76</v>
      </c>
      <c r="R83" s="198"/>
      <c r="S83" s="198"/>
      <c r="T83" s="198"/>
      <c r="U83" s="198"/>
    </row>
    <row r="84" spans="1:26" s="12" customFormat="1" x14ac:dyDescent="0.25">
      <c r="A84" s="201" t="s">
        <v>2723</v>
      </c>
      <c r="B84" s="60">
        <v>28.66</v>
      </c>
      <c r="C84" s="60">
        <v>164.62</v>
      </c>
      <c r="D84" s="60">
        <v>113.84</v>
      </c>
      <c r="E84" s="60">
        <v>4.45</v>
      </c>
      <c r="F84" s="60">
        <v>0.84</v>
      </c>
      <c r="G84" s="60">
        <v>90.34</v>
      </c>
      <c r="H84" s="60">
        <v>31.36</v>
      </c>
      <c r="I84" s="60">
        <v>0.52</v>
      </c>
      <c r="J84" s="60">
        <v>0.11</v>
      </c>
      <c r="K84" s="60">
        <v>205.55</v>
      </c>
      <c r="L84" s="60">
        <v>19.48</v>
      </c>
      <c r="M84" s="60">
        <v>49.15</v>
      </c>
      <c r="N84" s="60">
        <v>1</v>
      </c>
      <c r="O84" s="60">
        <v>0</v>
      </c>
      <c r="P84" s="60">
        <v>1.78</v>
      </c>
      <c r="Q84" s="60">
        <v>242.44</v>
      </c>
      <c r="R84" s="198"/>
      <c r="S84" s="198"/>
      <c r="T84" s="198"/>
      <c r="U84" s="198"/>
    </row>
    <row r="85" spans="1:26" s="12" customFormat="1" x14ac:dyDescent="0.25">
      <c r="A85" s="201" t="s">
        <v>2724</v>
      </c>
      <c r="B85" s="60">
        <v>32.74</v>
      </c>
      <c r="C85" s="60">
        <v>166.32</v>
      </c>
      <c r="D85" s="60">
        <v>118.04</v>
      </c>
      <c r="E85" s="60">
        <v>4.9000000000000004</v>
      </c>
      <c r="F85" s="60">
        <v>0.69</v>
      </c>
      <c r="G85" s="60">
        <v>175.97</v>
      </c>
      <c r="H85" s="60">
        <v>33.78</v>
      </c>
      <c r="I85" s="60">
        <v>0.56999999999999995</v>
      </c>
      <c r="J85" s="60">
        <v>0.1</v>
      </c>
      <c r="K85" s="60">
        <v>202.95</v>
      </c>
      <c r="L85" s="60">
        <v>19.149999999999999</v>
      </c>
      <c r="M85" s="60">
        <v>46.21</v>
      </c>
      <c r="N85" s="60">
        <v>1</v>
      </c>
      <c r="O85" s="60">
        <v>0</v>
      </c>
      <c r="P85" s="60">
        <v>1.82</v>
      </c>
      <c r="Q85" s="60">
        <v>248.31</v>
      </c>
      <c r="R85" s="198"/>
      <c r="S85" s="198"/>
      <c r="T85" s="198"/>
      <c r="U85" s="198"/>
    </row>
    <row r="86" spans="1:26" s="12" customFormat="1" x14ac:dyDescent="0.25">
      <c r="A86" s="201" t="s">
        <v>2725</v>
      </c>
      <c r="B86" s="60">
        <v>40.25</v>
      </c>
      <c r="C86" s="60">
        <v>170.95</v>
      </c>
      <c r="D86" s="60">
        <v>126.62</v>
      </c>
      <c r="E86" s="60">
        <v>4.8</v>
      </c>
      <c r="F86" s="60">
        <v>0.75</v>
      </c>
      <c r="G86" s="60">
        <v>175.97</v>
      </c>
      <c r="H86" s="60">
        <v>34.22</v>
      </c>
      <c r="I86" s="60">
        <v>0.63</v>
      </c>
      <c r="J86" s="60">
        <v>0.16</v>
      </c>
      <c r="K86" s="60">
        <v>204.63</v>
      </c>
      <c r="L86" s="60">
        <v>18.920000000000002</v>
      </c>
      <c r="M86" s="60">
        <v>65.28</v>
      </c>
      <c r="N86" s="60">
        <v>0.5</v>
      </c>
      <c r="O86" s="60">
        <v>0</v>
      </c>
      <c r="P86" s="60">
        <v>2.02</v>
      </c>
      <c r="Q86" s="60">
        <v>258.91000000000003</v>
      </c>
      <c r="R86" s="198"/>
      <c r="S86" s="198"/>
      <c r="T86" s="198"/>
      <c r="U86" s="198"/>
    </row>
    <row r="87" spans="1:26" s="12" customFormat="1" x14ac:dyDescent="0.25">
      <c r="A87" s="201" t="s">
        <v>2726</v>
      </c>
      <c r="B87" s="60">
        <v>51.36</v>
      </c>
      <c r="C87" s="60">
        <v>180.7</v>
      </c>
      <c r="D87" s="60">
        <v>140.91</v>
      </c>
      <c r="E87" s="60">
        <v>4.68</v>
      </c>
      <c r="F87" s="60">
        <v>0.78</v>
      </c>
      <c r="G87" s="60">
        <v>175.97</v>
      </c>
      <c r="H87" s="60">
        <v>34.22</v>
      </c>
      <c r="I87" s="60">
        <v>0.69</v>
      </c>
      <c r="J87" s="60">
        <v>7.0000000000000007E-2</v>
      </c>
      <c r="K87" s="60">
        <v>209.37</v>
      </c>
      <c r="L87" s="60">
        <v>18.61</v>
      </c>
      <c r="M87" s="60">
        <v>83.3</v>
      </c>
      <c r="N87" s="60">
        <v>1</v>
      </c>
      <c r="O87" s="60">
        <v>0</v>
      </c>
      <c r="P87" s="60">
        <v>2.23</v>
      </c>
      <c r="Q87" s="60">
        <v>275.60000000000002</v>
      </c>
      <c r="R87" s="198"/>
      <c r="S87" s="198"/>
      <c r="T87" s="198"/>
      <c r="U87" s="198"/>
    </row>
    <row r="88" spans="1:26" s="12" customFormat="1" x14ac:dyDescent="0.25">
      <c r="A88" s="201" t="s">
        <v>2727</v>
      </c>
      <c r="B88" s="60">
        <v>65.72</v>
      </c>
      <c r="C88" s="60">
        <v>195.66</v>
      </c>
      <c r="D88" s="60">
        <v>160.68</v>
      </c>
      <c r="E88" s="60">
        <v>3.6</v>
      </c>
      <c r="F88" s="60">
        <v>0.82</v>
      </c>
      <c r="G88" s="60">
        <v>175.97</v>
      </c>
      <c r="H88" s="60">
        <v>34.22</v>
      </c>
      <c r="I88" s="60">
        <v>0.77</v>
      </c>
      <c r="J88" s="60">
        <v>0.14000000000000001</v>
      </c>
      <c r="K88" s="60">
        <v>212.26</v>
      </c>
      <c r="L88" s="60">
        <v>18.36</v>
      </c>
      <c r="M88" s="60">
        <v>61.63</v>
      </c>
      <c r="N88" s="60">
        <v>0.8</v>
      </c>
      <c r="O88" s="60">
        <v>0</v>
      </c>
      <c r="P88" s="60">
        <v>2.38</v>
      </c>
      <c r="Q88" s="60">
        <v>291.44</v>
      </c>
      <c r="R88" s="198"/>
      <c r="S88" s="198"/>
      <c r="T88" s="198"/>
      <c r="U88" s="198"/>
    </row>
    <row r="89" spans="1:26" s="12" customFormat="1" x14ac:dyDescent="0.25">
      <c r="A89" s="201" t="s">
        <v>2728</v>
      </c>
      <c r="B89" s="60">
        <v>81.48</v>
      </c>
      <c r="C89" s="60">
        <v>208.61</v>
      </c>
      <c r="D89" s="60">
        <v>180.47</v>
      </c>
      <c r="E89" s="60">
        <v>5.32</v>
      </c>
      <c r="F89" s="60">
        <v>0.76</v>
      </c>
      <c r="G89" s="60">
        <v>218.69</v>
      </c>
      <c r="H89" s="60">
        <v>43.66</v>
      </c>
      <c r="I89" s="60">
        <v>0.87</v>
      </c>
      <c r="J89" s="60">
        <v>0.12</v>
      </c>
      <c r="K89" s="60">
        <v>210.55</v>
      </c>
      <c r="L89" s="60">
        <v>18.16</v>
      </c>
      <c r="M89" s="60">
        <v>72.58</v>
      </c>
      <c r="N89" s="60">
        <v>0.9</v>
      </c>
      <c r="O89" s="60">
        <v>0</v>
      </c>
      <c r="P89" s="60">
        <v>2.58</v>
      </c>
      <c r="Q89" s="60">
        <v>308.73</v>
      </c>
      <c r="R89" s="198"/>
      <c r="S89" s="198"/>
      <c r="T89" s="198"/>
      <c r="U89" s="198"/>
    </row>
    <row r="90" spans="1:26" s="12" customFormat="1" x14ac:dyDescent="0.25">
      <c r="A90" s="201" t="s">
        <v>2729</v>
      </c>
      <c r="B90" s="60">
        <v>95.8</v>
      </c>
      <c r="C90" s="60">
        <v>221.97</v>
      </c>
      <c r="D90" s="60">
        <v>199.32</v>
      </c>
      <c r="E90" s="60">
        <v>5.88</v>
      </c>
      <c r="F90" s="60">
        <v>0.73</v>
      </c>
      <c r="G90" s="60">
        <v>218.69</v>
      </c>
      <c r="H90" s="60">
        <v>45.25</v>
      </c>
      <c r="I90" s="60">
        <v>0.96</v>
      </c>
      <c r="J90" s="60">
        <v>0.18</v>
      </c>
      <c r="K90" s="60">
        <v>223.41</v>
      </c>
      <c r="L90" s="60">
        <v>17.97</v>
      </c>
      <c r="M90" s="60">
        <v>71.59</v>
      </c>
      <c r="N90" s="60">
        <v>0.6</v>
      </c>
      <c r="O90" s="60">
        <v>0</v>
      </c>
      <c r="P90" s="60">
        <v>2.78</v>
      </c>
      <c r="Q90" s="60">
        <v>330.83</v>
      </c>
      <c r="R90" s="198"/>
      <c r="S90" s="198"/>
      <c r="T90" s="198"/>
      <c r="U90" s="198"/>
    </row>
    <row r="91" spans="1:26" s="12" customFormat="1" x14ac:dyDescent="0.25">
      <c r="A91" s="201" t="s">
        <v>2730</v>
      </c>
      <c r="B91" s="60">
        <v>118.17</v>
      </c>
      <c r="C91" s="60">
        <v>240.32</v>
      </c>
      <c r="D91" s="60">
        <v>227.39</v>
      </c>
      <c r="E91" s="60">
        <v>5.68</v>
      </c>
      <c r="F91" s="60">
        <v>0.69</v>
      </c>
      <c r="G91" s="60">
        <v>218.69</v>
      </c>
      <c r="H91" s="60">
        <v>45.25</v>
      </c>
      <c r="I91" s="60">
        <v>1.05</v>
      </c>
      <c r="J91" s="60">
        <v>0.16</v>
      </c>
      <c r="K91" s="60">
        <v>226.07</v>
      </c>
      <c r="L91" s="60">
        <v>17.850000000000001</v>
      </c>
      <c r="M91" s="60">
        <v>87.41</v>
      </c>
      <c r="N91" s="60">
        <v>0.6</v>
      </c>
      <c r="O91" s="60">
        <v>0</v>
      </c>
      <c r="P91" s="60">
        <v>3.09</v>
      </c>
      <c r="Q91" s="60">
        <v>357.3</v>
      </c>
      <c r="R91" s="198"/>
      <c r="S91" s="198"/>
      <c r="T91" s="198"/>
      <c r="U91" s="198"/>
    </row>
    <row r="92" spans="1:26" s="12" customFormat="1" x14ac:dyDescent="0.25">
      <c r="A92" s="201" t="s">
        <v>2731</v>
      </c>
      <c r="B92" s="60">
        <v>142.72999999999999</v>
      </c>
      <c r="C92" s="60">
        <v>260.05</v>
      </c>
      <c r="D92" s="60">
        <v>257.97000000000003</v>
      </c>
      <c r="E92" s="60">
        <v>6.06</v>
      </c>
      <c r="F92" s="60">
        <v>0.68</v>
      </c>
      <c r="G92" s="60">
        <v>218.69</v>
      </c>
      <c r="H92" s="60">
        <v>45.25</v>
      </c>
      <c r="I92" s="60">
        <v>1.1499999999999999</v>
      </c>
      <c r="J92" s="60">
        <v>0.08</v>
      </c>
      <c r="K92" s="60">
        <v>227.91</v>
      </c>
      <c r="L92" s="60">
        <v>17.61</v>
      </c>
      <c r="M92" s="60">
        <v>88.08</v>
      </c>
      <c r="N92" s="60">
        <v>1.1000000000000001</v>
      </c>
      <c r="O92" s="60">
        <v>0</v>
      </c>
      <c r="P92" s="60">
        <v>3.39</v>
      </c>
      <c r="Q92" s="60">
        <v>388.36</v>
      </c>
      <c r="R92" s="198"/>
      <c r="S92" s="198"/>
      <c r="T92" s="198"/>
      <c r="U92" s="198"/>
    </row>
    <row r="93" spans="1:26" s="12" customFormat="1" x14ac:dyDescent="0.25">
      <c r="A93" s="201" t="s">
        <v>2732</v>
      </c>
      <c r="B93" s="60">
        <v>170.18</v>
      </c>
      <c r="C93" s="60">
        <v>284.2</v>
      </c>
      <c r="D93" s="60">
        <v>293.31</v>
      </c>
      <c r="E93" s="60">
        <v>6.32</v>
      </c>
      <c r="F93" s="60">
        <v>0.73</v>
      </c>
      <c r="G93" s="60">
        <v>289.76</v>
      </c>
      <c r="H93" s="60">
        <v>51.73</v>
      </c>
      <c r="I93" s="60">
        <v>1.27</v>
      </c>
      <c r="J93" s="60">
        <v>0.17</v>
      </c>
      <c r="K93" s="60">
        <v>239.88</v>
      </c>
      <c r="L93" s="60">
        <v>17.48</v>
      </c>
      <c r="M93" s="60">
        <v>85.14</v>
      </c>
      <c r="N93" s="60">
        <v>0.6</v>
      </c>
      <c r="O93" s="60">
        <v>0</v>
      </c>
      <c r="P93" s="60">
        <v>3.62</v>
      </c>
      <c r="Q93" s="218" t="s">
        <v>42</v>
      </c>
      <c r="R93" s="198"/>
      <c r="S93" s="198"/>
      <c r="T93" s="198"/>
      <c r="U93" s="198"/>
    </row>
    <row r="94" spans="1:26" s="12" customFormat="1" x14ac:dyDescent="0.25">
      <c r="A94" s="201" t="s">
        <v>2733</v>
      </c>
      <c r="B94" s="60">
        <v>191.65</v>
      </c>
      <c r="C94" s="60">
        <v>301.57</v>
      </c>
      <c r="D94" s="60">
        <v>320.12</v>
      </c>
      <c r="E94" s="60">
        <v>6.85</v>
      </c>
      <c r="F94" s="60">
        <v>0.75</v>
      </c>
      <c r="G94" s="60">
        <v>289.76</v>
      </c>
      <c r="H94" s="60">
        <v>52.82</v>
      </c>
      <c r="I94" s="60">
        <v>1.4</v>
      </c>
      <c r="J94" s="60">
        <v>0.16</v>
      </c>
      <c r="K94" s="60">
        <v>233.35</v>
      </c>
      <c r="L94" s="60">
        <v>17.420000000000002</v>
      </c>
      <c r="M94" s="60">
        <v>78.92</v>
      </c>
      <c r="N94" s="60">
        <v>0.7</v>
      </c>
      <c r="O94" s="60">
        <v>0</v>
      </c>
      <c r="P94" s="60">
        <v>3.84</v>
      </c>
      <c r="Q94" s="218" t="s">
        <v>42</v>
      </c>
      <c r="R94" s="198"/>
      <c r="S94" s="198"/>
      <c r="T94" s="198"/>
      <c r="U94" s="198"/>
    </row>
    <row r="95" spans="1:26" s="12" customFormat="1" x14ac:dyDescent="0.25">
      <c r="A95" s="201" t="s">
        <v>2734</v>
      </c>
      <c r="B95" s="60">
        <v>200.17</v>
      </c>
      <c r="C95" s="60">
        <v>305.70999999999998</v>
      </c>
      <c r="D95" s="60">
        <v>329.23</v>
      </c>
      <c r="E95" s="60">
        <v>7.01</v>
      </c>
      <c r="F95" s="60">
        <v>0.7</v>
      </c>
      <c r="G95" s="60">
        <v>289.76</v>
      </c>
      <c r="H95" s="60">
        <v>52.82</v>
      </c>
      <c r="I95" s="60">
        <v>1.54</v>
      </c>
      <c r="J95" s="60">
        <v>0.21</v>
      </c>
      <c r="K95" s="60">
        <v>237.85</v>
      </c>
      <c r="L95" s="60">
        <v>17.12</v>
      </c>
      <c r="M95" s="60">
        <v>67.83</v>
      </c>
      <c r="N95" s="60">
        <v>0.6</v>
      </c>
      <c r="O95" s="60">
        <v>0</v>
      </c>
      <c r="P95" s="60">
        <v>3.93</v>
      </c>
      <c r="Q95" s="218" t="s">
        <v>42</v>
      </c>
      <c r="R95" s="198"/>
      <c r="S95" s="198"/>
      <c r="T95" s="198"/>
      <c r="U95" s="198"/>
    </row>
    <row r="96" spans="1:26" s="12" customFormat="1" x14ac:dyDescent="0.25">
      <c r="A96" s="201" t="s">
        <v>2735</v>
      </c>
      <c r="B96" s="60">
        <v>210.27</v>
      </c>
      <c r="C96" s="60">
        <v>309.70999999999998</v>
      </c>
      <c r="D96" s="60">
        <v>339.54</v>
      </c>
      <c r="E96" s="60">
        <v>7.13</v>
      </c>
      <c r="F96" s="60">
        <v>0.77</v>
      </c>
      <c r="G96" s="60">
        <v>289.76</v>
      </c>
      <c r="H96" s="60">
        <v>52.82</v>
      </c>
      <c r="I96" s="60">
        <v>1.78</v>
      </c>
      <c r="J96" s="60">
        <v>0.2</v>
      </c>
      <c r="K96" s="60">
        <v>231.47</v>
      </c>
      <c r="L96" s="60">
        <v>17.18</v>
      </c>
      <c r="M96" s="60">
        <v>77.56</v>
      </c>
      <c r="N96" s="60">
        <v>0.6</v>
      </c>
      <c r="O96" s="60">
        <v>0</v>
      </c>
      <c r="P96" s="60">
        <v>4.03</v>
      </c>
      <c r="Q96" s="218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2736</v>
      </c>
      <c r="B97" s="60">
        <v>212.35</v>
      </c>
      <c r="C97" s="60">
        <v>306.10000000000002</v>
      </c>
      <c r="D97" s="60">
        <v>339.21</v>
      </c>
      <c r="E97" s="60">
        <v>6.75</v>
      </c>
      <c r="F97" s="60">
        <v>0.75</v>
      </c>
      <c r="G97" s="60">
        <v>245.83</v>
      </c>
      <c r="H97" s="60">
        <v>57.31</v>
      </c>
      <c r="I97" s="60">
        <v>1.82</v>
      </c>
      <c r="J97" s="60">
        <v>0.25</v>
      </c>
      <c r="K97" s="60">
        <v>220.59</v>
      </c>
      <c r="L97" s="60">
        <v>17.420000000000002</v>
      </c>
      <c r="M97" s="60">
        <v>70.25</v>
      </c>
      <c r="N97" s="60">
        <v>0.4</v>
      </c>
      <c r="O97" s="60">
        <v>0</v>
      </c>
      <c r="P97" s="60">
        <v>3.99</v>
      </c>
      <c r="Q97" s="218" t="s">
        <v>42</v>
      </c>
      <c r="R97" s="198"/>
      <c r="S97" s="198"/>
      <c r="T97" s="198"/>
      <c r="U97" s="198"/>
    </row>
    <row r="98" spans="1:33" s="12" customFormat="1" x14ac:dyDescent="0.25">
      <c r="A98" s="201" t="s">
        <v>2737</v>
      </c>
      <c r="B98" s="60">
        <v>206.29</v>
      </c>
      <c r="C98" s="60">
        <v>296.06</v>
      </c>
      <c r="D98" s="60">
        <v>328.81</v>
      </c>
      <c r="E98" s="60">
        <v>6.58</v>
      </c>
      <c r="F98" s="60">
        <v>0.72</v>
      </c>
      <c r="G98" s="60">
        <v>245.83</v>
      </c>
      <c r="H98" s="60">
        <v>58.07</v>
      </c>
      <c r="I98" s="60">
        <v>1.84</v>
      </c>
      <c r="J98" s="60">
        <v>0.19</v>
      </c>
      <c r="K98" s="60">
        <v>212.05</v>
      </c>
      <c r="L98" s="60">
        <v>17.149999999999999</v>
      </c>
      <c r="M98" s="60">
        <v>75.08</v>
      </c>
      <c r="N98" s="60">
        <v>0.8</v>
      </c>
      <c r="O98" s="60">
        <v>0</v>
      </c>
      <c r="P98" s="60">
        <v>3.86</v>
      </c>
      <c r="Q98" s="218" t="s">
        <v>42</v>
      </c>
      <c r="R98" s="198"/>
      <c r="S98" s="198"/>
      <c r="T98" s="198"/>
      <c r="U98" s="198"/>
    </row>
    <row r="99" spans="1:33" s="12" customFormat="1" x14ac:dyDescent="0.25">
      <c r="A99" s="201" t="s">
        <v>2738</v>
      </c>
      <c r="B99" s="60">
        <v>196.02</v>
      </c>
      <c r="C99" s="60">
        <v>283.26</v>
      </c>
      <c r="D99" s="60">
        <v>313.52</v>
      </c>
      <c r="E99" s="60">
        <v>6.58</v>
      </c>
      <c r="F99" s="60">
        <v>0.72</v>
      </c>
      <c r="G99" s="60">
        <v>245.83</v>
      </c>
      <c r="H99" s="60">
        <v>58.07</v>
      </c>
      <c r="I99" s="60">
        <v>1.8</v>
      </c>
      <c r="J99" s="60">
        <v>0.1</v>
      </c>
      <c r="K99" s="60">
        <v>222.23</v>
      </c>
      <c r="L99" s="60">
        <v>16.66</v>
      </c>
      <c r="M99" s="60">
        <v>76.31</v>
      </c>
      <c r="N99" s="60">
        <v>1.1000000000000001</v>
      </c>
      <c r="O99" s="60">
        <v>0</v>
      </c>
      <c r="P99" s="60">
        <v>3.71</v>
      </c>
      <c r="Q99" s="218" t="s">
        <v>42</v>
      </c>
      <c r="R99" s="198"/>
      <c r="S99" s="198"/>
      <c r="T99" s="198"/>
      <c r="U99" s="198"/>
    </row>
    <row r="100" spans="1:33" s="12" customFormat="1" x14ac:dyDescent="0.25">
      <c r="A100" s="201" t="s">
        <v>2739</v>
      </c>
      <c r="B100" s="60">
        <v>188.63</v>
      </c>
      <c r="C100" s="60">
        <v>274.41000000000003</v>
      </c>
      <c r="D100" s="60">
        <v>302.70999999999998</v>
      </c>
      <c r="E100" s="60">
        <v>6.6</v>
      </c>
      <c r="F100" s="60">
        <v>0.7</v>
      </c>
      <c r="G100" s="60">
        <v>245.83</v>
      </c>
      <c r="H100" s="60">
        <v>58.07</v>
      </c>
      <c r="I100" s="60">
        <v>1.58</v>
      </c>
      <c r="J100" s="60">
        <v>0.12</v>
      </c>
      <c r="K100" s="60">
        <v>240.92</v>
      </c>
      <c r="L100" s="60">
        <v>16.27</v>
      </c>
      <c r="M100" s="60">
        <v>58.58</v>
      </c>
      <c r="N100" s="60">
        <v>1</v>
      </c>
      <c r="O100" s="60">
        <v>0</v>
      </c>
      <c r="P100" s="60">
        <v>3.59</v>
      </c>
      <c r="Q100" s="218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2740</v>
      </c>
      <c r="B101" s="60">
        <v>187.29</v>
      </c>
      <c r="C101" s="60">
        <v>270.88</v>
      </c>
      <c r="D101" s="60">
        <v>299.68</v>
      </c>
      <c r="E101" s="60">
        <v>6.55</v>
      </c>
      <c r="F101" s="60">
        <v>0.53</v>
      </c>
      <c r="G101" s="60">
        <v>133.25</v>
      </c>
      <c r="H101" s="60">
        <v>52.15</v>
      </c>
      <c r="I101" s="60">
        <v>1.52</v>
      </c>
      <c r="J101" s="60">
        <v>0.12</v>
      </c>
      <c r="K101" s="60">
        <v>245.83</v>
      </c>
      <c r="L101" s="60">
        <v>15.88</v>
      </c>
      <c r="M101" s="60">
        <v>72.989999999999995</v>
      </c>
      <c r="N101" s="60">
        <v>1</v>
      </c>
      <c r="O101" s="60">
        <v>0</v>
      </c>
      <c r="P101" s="60">
        <v>3.52</v>
      </c>
      <c r="Q101" s="218" t="s">
        <v>42</v>
      </c>
      <c r="R101" s="198"/>
      <c r="S101" s="198"/>
      <c r="T101" s="198"/>
      <c r="U101" s="198"/>
    </row>
    <row r="102" spans="1:33" s="12" customFormat="1" x14ac:dyDescent="0.25">
      <c r="A102" s="201" t="s">
        <v>2741</v>
      </c>
      <c r="B102" s="60">
        <v>186.72</v>
      </c>
      <c r="C102" s="60">
        <v>268.89999999999998</v>
      </c>
      <c r="D102" s="60">
        <v>298.13</v>
      </c>
      <c r="E102" s="60">
        <v>7.04</v>
      </c>
      <c r="F102" s="60">
        <v>0.7</v>
      </c>
      <c r="G102" s="60">
        <v>133.25</v>
      </c>
      <c r="H102" s="60">
        <v>51.15</v>
      </c>
      <c r="I102" s="60">
        <v>1.48</v>
      </c>
      <c r="J102" s="60">
        <v>0.15</v>
      </c>
      <c r="K102" s="60">
        <v>252.44</v>
      </c>
      <c r="L102" s="60">
        <v>15.55</v>
      </c>
      <c r="M102" s="60">
        <v>86.96</v>
      </c>
      <c r="N102" s="60">
        <v>0.7</v>
      </c>
      <c r="O102" s="60">
        <v>0</v>
      </c>
      <c r="P102" s="60">
        <v>3.42</v>
      </c>
      <c r="Q102" s="218" t="s">
        <v>42</v>
      </c>
      <c r="R102" s="198"/>
      <c r="S102" s="198"/>
      <c r="T102" s="198"/>
      <c r="U102" s="198"/>
    </row>
    <row r="103" spans="1:33" s="12" customFormat="1" x14ac:dyDescent="0.25">
      <c r="A103" s="201" t="s">
        <v>2742</v>
      </c>
      <c r="B103" s="60">
        <v>187.51</v>
      </c>
      <c r="C103" s="60">
        <v>269.73</v>
      </c>
      <c r="D103" s="60">
        <v>299.22000000000003</v>
      </c>
      <c r="E103" s="60">
        <v>6.94</v>
      </c>
      <c r="F103" s="60">
        <v>0.74</v>
      </c>
      <c r="G103" s="60">
        <v>133.25</v>
      </c>
      <c r="H103" s="60">
        <v>51.15</v>
      </c>
      <c r="I103" s="60">
        <v>1.44</v>
      </c>
      <c r="J103" s="60">
        <v>0.14000000000000001</v>
      </c>
      <c r="K103" s="60">
        <v>252.08</v>
      </c>
      <c r="L103" s="60">
        <v>15.32</v>
      </c>
      <c r="M103" s="60">
        <v>77.63</v>
      </c>
      <c r="N103" s="60">
        <v>0.8</v>
      </c>
      <c r="O103" s="60">
        <v>0</v>
      </c>
      <c r="P103" s="60">
        <v>3.35</v>
      </c>
      <c r="Q103" s="218" t="s">
        <v>42</v>
      </c>
      <c r="R103" s="198"/>
      <c r="S103" s="198"/>
      <c r="T103" s="198"/>
      <c r="U103" s="198"/>
    </row>
    <row r="104" spans="1:33" s="12" customFormat="1" x14ac:dyDescent="0.25">
      <c r="A104" s="201" t="s">
        <v>2743</v>
      </c>
      <c r="B104" s="60">
        <v>187.23</v>
      </c>
      <c r="C104" s="60">
        <v>268.93</v>
      </c>
      <c r="D104" s="60">
        <v>298.55</v>
      </c>
      <c r="E104" s="60">
        <v>2.64</v>
      </c>
      <c r="F104" s="60">
        <v>0.72</v>
      </c>
      <c r="G104" s="60">
        <v>133.25</v>
      </c>
      <c r="H104" s="60">
        <v>51.15</v>
      </c>
      <c r="I104" s="60">
        <v>1.41</v>
      </c>
      <c r="J104" s="60">
        <v>0.17</v>
      </c>
      <c r="K104" s="60">
        <v>258.83</v>
      </c>
      <c r="L104" s="60">
        <v>15.19</v>
      </c>
      <c r="M104" s="60">
        <v>90.41</v>
      </c>
      <c r="N104" s="60">
        <v>0.6</v>
      </c>
      <c r="O104" s="60">
        <v>0</v>
      </c>
      <c r="P104" s="60">
        <v>3.25</v>
      </c>
      <c r="Q104" s="218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5.49</v>
      </c>
      <c r="C106" s="67">
        <f>MIN(C9:C104)</f>
        <v>113.53</v>
      </c>
      <c r="D106" s="67">
        <f t="shared" ref="D106:Q106" si="0">MIN(D9:D104)</f>
        <v>71.2</v>
      </c>
      <c r="E106" s="67">
        <f t="shared" si="0"/>
        <v>2.64</v>
      </c>
      <c r="F106" s="67">
        <f t="shared" si="0"/>
        <v>0.06</v>
      </c>
      <c r="G106" s="67">
        <f t="shared" si="0"/>
        <v>54.35</v>
      </c>
      <c r="H106" s="67">
        <f t="shared" si="0"/>
        <v>28.24</v>
      </c>
      <c r="I106" s="67">
        <f t="shared" si="0"/>
        <v>0.27</v>
      </c>
      <c r="J106" s="67">
        <f t="shared" si="0"/>
        <v>7.0000000000000007E-2</v>
      </c>
      <c r="K106" s="67">
        <f t="shared" si="0"/>
        <v>82.78</v>
      </c>
      <c r="L106" s="67">
        <f t="shared" si="0"/>
        <v>14.14</v>
      </c>
      <c r="M106" s="67">
        <f t="shared" si="0"/>
        <v>34.29</v>
      </c>
      <c r="N106" s="67">
        <f t="shared" si="0"/>
        <v>0.2</v>
      </c>
      <c r="O106" s="67">
        <f t="shared" si="0"/>
        <v>0</v>
      </c>
      <c r="P106" s="67">
        <f t="shared" si="0"/>
        <v>0.86</v>
      </c>
      <c r="Q106" s="67">
        <f t="shared" si="0"/>
        <v>154.15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212.35</v>
      </c>
      <c r="C107" s="66">
        <f t="shared" ref="C107:Q107" si="1">MAX(C9:C104)</f>
        <v>309.70999999999998</v>
      </c>
      <c r="D107" s="66">
        <f t="shared" si="1"/>
        <v>339.54</v>
      </c>
      <c r="E107" s="66">
        <f t="shared" si="1"/>
        <v>19.84</v>
      </c>
      <c r="F107" s="66">
        <f t="shared" si="1"/>
        <v>6.89</v>
      </c>
      <c r="G107" s="66">
        <f t="shared" si="1"/>
        <v>289.76</v>
      </c>
      <c r="H107" s="66">
        <f t="shared" si="1"/>
        <v>58.07</v>
      </c>
      <c r="I107" s="66">
        <f t="shared" si="1"/>
        <v>1.84</v>
      </c>
      <c r="J107" s="66">
        <f t="shared" si="1"/>
        <v>1.35</v>
      </c>
      <c r="K107" s="66">
        <f t="shared" si="1"/>
        <v>290.60000000000002</v>
      </c>
      <c r="L107" s="66">
        <f t="shared" si="1"/>
        <v>31.11</v>
      </c>
      <c r="M107" s="66">
        <f t="shared" si="1"/>
        <v>95.77</v>
      </c>
      <c r="N107" s="66">
        <f t="shared" si="1"/>
        <v>522.1</v>
      </c>
      <c r="O107" s="66">
        <f t="shared" si="1"/>
        <v>0</v>
      </c>
      <c r="P107" s="66">
        <f t="shared" si="1"/>
        <v>4.03</v>
      </c>
      <c r="Q107" s="66">
        <f t="shared" si="1"/>
        <v>388.36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62.517916666666672</v>
      </c>
      <c r="C108" s="67">
        <f t="shared" ref="C108:Q108" si="2">AVERAGE(C9:C104)</f>
        <v>170.51770833333325</v>
      </c>
      <c r="D108" s="67">
        <f t="shared" si="2"/>
        <v>144.23843749999992</v>
      </c>
      <c r="E108" s="67">
        <f t="shared" si="2"/>
        <v>6.5965625000000001</v>
      </c>
      <c r="F108" s="67">
        <f t="shared" si="2"/>
        <v>1.5637499999999998</v>
      </c>
      <c r="G108" s="67">
        <f t="shared" si="2"/>
        <v>117.04791666666669</v>
      </c>
      <c r="H108" s="67">
        <f t="shared" si="2"/>
        <v>38.376145833333339</v>
      </c>
      <c r="I108" s="67">
        <f t="shared" si="2"/>
        <v>0.72729166666666656</v>
      </c>
      <c r="J108" s="67">
        <f t="shared" si="2"/>
        <v>0.46791666666666676</v>
      </c>
      <c r="K108" s="67">
        <f t="shared" si="2"/>
        <v>185.84958333333338</v>
      </c>
      <c r="L108" s="67">
        <f t="shared" si="2"/>
        <v>20.726041666666671</v>
      </c>
      <c r="M108" s="67">
        <f t="shared" si="2"/>
        <v>69.910729166666655</v>
      </c>
      <c r="N108" s="67">
        <f t="shared" si="2"/>
        <v>135.1614583333334</v>
      </c>
      <c r="O108" s="67">
        <f t="shared" si="2"/>
        <v>0</v>
      </c>
      <c r="P108" s="67">
        <f t="shared" si="2"/>
        <v>1.8926041666666666</v>
      </c>
      <c r="Q108" s="67">
        <f t="shared" si="2"/>
        <v>243.30535714285708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57.540540196806901</v>
      </c>
      <c r="C109" s="67">
        <f t="shared" ref="C109:Q109" si="3">STDEV(C9:C104)</f>
        <v>51.923631542754677</v>
      </c>
      <c r="D109" s="67">
        <f t="shared" si="3"/>
        <v>73.159917143749524</v>
      </c>
      <c r="E109" s="67">
        <f t="shared" si="3"/>
        <v>2.8416599404406684</v>
      </c>
      <c r="F109" s="67">
        <f t="shared" si="3"/>
        <v>1.5477387580460384</v>
      </c>
      <c r="G109" s="67">
        <f t="shared" si="3"/>
        <v>62.286773115065984</v>
      </c>
      <c r="H109" s="67">
        <f t="shared" si="3"/>
        <v>7.8144940058830841</v>
      </c>
      <c r="I109" s="67">
        <f t="shared" si="3"/>
        <v>0.43731592618866</v>
      </c>
      <c r="J109" s="67">
        <f t="shared" si="3"/>
        <v>0.38839729162334602</v>
      </c>
      <c r="K109" s="67">
        <f t="shared" si="3"/>
        <v>69.972474932973498</v>
      </c>
      <c r="L109" s="67">
        <f t="shared" si="3"/>
        <v>5.5675833327096713</v>
      </c>
      <c r="M109" s="67">
        <f t="shared" si="3"/>
        <v>14.126577359140157</v>
      </c>
      <c r="N109" s="67">
        <f t="shared" si="3"/>
        <v>196.35003511172889</v>
      </c>
      <c r="O109" s="67">
        <f t="shared" si="3"/>
        <v>0</v>
      </c>
      <c r="P109" s="67">
        <f t="shared" si="3"/>
        <v>0.89814105654743426</v>
      </c>
      <c r="Q109" s="67">
        <f t="shared" si="3"/>
        <v>52.328663283861694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>COUNT(G9:G104)</f>
        <v>96</v>
      </c>
      <c r="H110" s="66">
        <f>COUNT(H9:H104)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84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209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1203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2744</v>
      </c>
      <c r="B9" s="60">
        <v>188.48</v>
      </c>
      <c r="C9" s="60">
        <v>269.60000000000002</v>
      </c>
      <c r="D9" s="60">
        <v>299.93</v>
      </c>
      <c r="E9" s="60">
        <v>5.01</v>
      </c>
      <c r="F9" s="60">
        <v>0.74</v>
      </c>
      <c r="G9" s="60">
        <v>160.77000000000001</v>
      </c>
      <c r="H9" s="60">
        <v>47.64</v>
      </c>
      <c r="I9" s="60">
        <v>1.37</v>
      </c>
      <c r="J9" s="60">
        <v>0.12</v>
      </c>
      <c r="K9" s="60">
        <v>255.3</v>
      </c>
      <c r="L9" s="60">
        <v>15.16</v>
      </c>
      <c r="M9" s="60">
        <v>88.11</v>
      </c>
      <c r="N9" s="60">
        <v>0.8</v>
      </c>
      <c r="O9" s="60">
        <v>0</v>
      </c>
      <c r="P9" s="60">
        <v>3.18</v>
      </c>
      <c r="Q9" s="218" t="s">
        <v>42</v>
      </c>
      <c r="R9" s="198"/>
      <c r="S9" s="198"/>
      <c r="T9" s="198"/>
      <c r="U9" s="198"/>
    </row>
    <row r="10" spans="1:21" s="12" customFormat="1" x14ac:dyDescent="0.25">
      <c r="A10" s="201" t="s">
        <v>2745</v>
      </c>
      <c r="B10" s="60">
        <v>186.65</v>
      </c>
      <c r="C10" s="60">
        <v>268.05</v>
      </c>
      <c r="D10" s="60">
        <v>297.61</v>
      </c>
      <c r="E10" s="60">
        <v>5.2</v>
      </c>
      <c r="F10" s="60">
        <v>0.66</v>
      </c>
      <c r="G10" s="60">
        <v>160.77000000000001</v>
      </c>
      <c r="H10" s="60">
        <v>47.05</v>
      </c>
      <c r="I10" s="60">
        <v>1.34</v>
      </c>
      <c r="J10" s="60">
        <v>0.2</v>
      </c>
      <c r="K10" s="60">
        <v>256.27999999999997</v>
      </c>
      <c r="L10" s="60">
        <v>15.15</v>
      </c>
      <c r="M10" s="60">
        <v>85.76</v>
      </c>
      <c r="N10" s="60">
        <v>0.6</v>
      </c>
      <c r="O10" s="60">
        <v>0</v>
      </c>
      <c r="P10" s="60">
        <v>3.09</v>
      </c>
      <c r="Q10" s="218" t="s">
        <v>42</v>
      </c>
      <c r="R10" s="198"/>
      <c r="S10" s="198"/>
      <c r="T10" s="198"/>
      <c r="U10" s="198"/>
    </row>
    <row r="11" spans="1:21" s="12" customFormat="1" x14ac:dyDescent="0.25">
      <c r="A11" s="201" t="s">
        <v>2746</v>
      </c>
      <c r="B11" s="60">
        <v>180.66</v>
      </c>
      <c r="C11" s="60">
        <v>262.01</v>
      </c>
      <c r="D11" s="60">
        <v>289.47000000000003</v>
      </c>
      <c r="E11" s="60">
        <v>5.09</v>
      </c>
      <c r="F11" s="60">
        <v>0.47</v>
      </c>
      <c r="G11" s="60">
        <v>160.77000000000001</v>
      </c>
      <c r="H11" s="60">
        <v>47.05</v>
      </c>
      <c r="I11" s="60">
        <v>1.32</v>
      </c>
      <c r="J11" s="60">
        <v>0.17</v>
      </c>
      <c r="K11" s="60">
        <v>257.79000000000002</v>
      </c>
      <c r="L11" s="60">
        <v>15.15</v>
      </c>
      <c r="M11" s="60">
        <v>88.83</v>
      </c>
      <c r="N11" s="60">
        <v>0.7</v>
      </c>
      <c r="O11" s="60">
        <v>0</v>
      </c>
      <c r="P11" s="60">
        <v>2.98</v>
      </c>
      <c r="Q11" s="218" t="s">
        <v>42</v>
      </c>
      <c r="R11" s="198"/>
      <c r="S11" s="198"/>
      <c r="T11" s="198"/>
      <c r="U11" s="198"/>
    </row>
    <row r="12" spans="1:21" s="12" customFormat="1" x14ac:dyDescent="0.25">
      <c r="A12" s="201" t="s">
        <v>2747</v>
      </c>
      <c r="B12" s="60">
        <v>173.02</v>
      </c>
      <c r="C12" s="60">
        <v>254.97</v>
      </c>
      <c r="D12" s="60">
        <v>279.45999999999998</v>
      </c>
      <c r="E12" s="60">
        <v>4.84</v>
      </c>
      <c r="F12" s="60">
        <v>0.61</v>
      </c>
      <c r="G12" s="60">
        <v>160.77000000000001</v>
      </c>
      <c r="H12" s="60">
        <v>47.05</v>
      </c>
      <c r="I12" s="60">
        <v>1.29</v>
      </c>
      <c r="J12" s="60">
        <v>0.12</v>
      </c>
      <c r="K12" s="60">
        <v>250.68</v>
      </c>
      <c r="L12" s="60">
        <v>15.01</v>
      </c>
      <c r="M12" s="60">
        <v>91.08</v>
      </c>
      <c r="N12" s="60">
        <v>0.9</v>
      </c>
      <c r="O12" s="60">
        <v>0</v>
      </c>
      <c r="P12" s="60">
        <v>2.88</v>
      </c>
      <c r="Q12" s="218" t="s">
        <v>42</v>
      </c>
      <c r="R12" s="198"/>
      <c r="S12" s="198"/>
      <c r="T12" s="198"/>
      <c r="U12" s="198"/>
    </row>
    <row r="13" spans="1:21" s="12" customFormat="1" x14ac:dyDescent="0.25">
      <c r="A13" s="201" t="s">
        <v>2748</v>
      </c>
      <c r="B13" s="60">
        <v>162.72</v>
      </c>
      <c r="C13" s="60">
        <v>244.56</v>
      </c>
      <c r="D13" s="60">
        <v>265.45</v>
      </c>
      <c r="E13" s="60">
        <v>4.99</v>
      </c>
      <c r="F13" s="60">
        <v>0.62</v>
      </c>
      <c r="G13" s="60">
        <v>137.85</v>
      </c>
      <c r="H13" s="60">
        <v>46.21</v>
      </c>
      <c r="I13" s="60">
        <v>1.24</v>
      </c>
      <c r="J13" s="60">
        <v>0.19</v>
      </c>
      <c r="K13" s="60">
        <v>259.3</v>
      </c>
      <c r="L13" s="60">
        <v>14.87</v>
      </c>
      <c r="M13" s="60">
        <v>85.44</v>
      </c>
      <c r="N13" s="60">
        <v>0.7</v>
      </c>
      <c r="O13" s="60">
        <v>0</v>
      </c>
      <c r="P13" s="60">
        <v>2.48</v>
      </c>
      <c r="Q13" s="218" t="s">
        <v>42</v>
      </c>
      <c r="R13" s="198"/>
      <c r="S13" s="198"/>
      <c r="T13" s="198"/>
      <c r="U13" s="198"/>
    </row>
    <row r="14" spans="1:21" s="12" customFormat="1" x14ac:dyDescent="0.25">
      <c r="A14" s="201" t="s">
        <v>2749</v>
      </c>
      <c r="B14" s="60">
        <v>152.28</v>
      </c>
      <c r="C14" s="60">
        <v>233.87</v>
      </c>
      <c r="D14" s="60">
        <v>251.18</v>
      </c>
      <c r="E14" s="60">
        <v>5.08</v>
      </c>
      <c r="F14" s="60">
        <v>0.77</v>
      </c>
      <c r="G14" s="60">
        <v>137.85</v>
      </c>
      <c r="H14" s="60">
        <v>46.06</v>
      </c>
      <c r="I14" s="60">
        <v>1.19</v>
      </c>
      <c r="J14" s="60">
        <v>0.12</v>
      </c>
      <c r="K14" s="60">
        <v>260.32</v>
      </c>
      <c r="L14" s="60">
        <v>14.81</v>
      </c>
      <c r="M14" s="60">
        <v>65.25</v>
      </c>
      <c r="N14" s="60">
        <v>0.9</v>
      </c>
      <c r="O14" s="60">
        <v>0</v>
      </c>
      <c r="P14" s="60">
        <v>2.56</v>
      </c>
      <c r="Q14" s="60">
        <v>396.04</v>
      </c>
      <c r="R14" s="198"/>
      <c r="S14" s="198"/>
      <c r="T14" s="198"/>
      <c r="U14" s="198"/>
    </row>
    <row r="15" spans="1:21" s="12" customFormat="1" x14ac:dyDescent="0.25">
      <c r="A15" s="201" t="s">
        <v>2750</v>
      </c>
      <c r="B15" s="60">
        <v>142.44999999999999</v>
      </c>
      <c r="C15" s="60">
        <v>223.48</v>
      </c>
      <c r="D15" s="60">
        <v>237.57</v>
      </c>
      <c r="E15" s="60">
        <v>4.8499999999999996</v>
      </c>
      <c r="F15" s="60">
        <v>0.69</v>
      </c>
      <c r="G15" s="60">
        <v>137.85</v>
      </c>
      <c r="H15" s="60">
        <v>46.06</v>
      </c>
      <c r="I15" s="60">
        <v>1.1399999999999999</v>
      </c>
      <c r="J15" s="60">
        <v>0.13</v>
      </c>
      <c r="K15" s="60">
        <v>256.76</v>
      </c>
      <c r="L15" s="60">
        <v>14.86</v>
      </c>
      <c r="M15" s="60">
        <v>73.05</v>
      </c>
      <c r="N15" s="60">
        <v>0.8</v>
      </c>
      <c r="O15" s="60">
        <v>0</v>
      </c>
      <c r="P15" s="60">
        <v>2.46</v>
      </c>
      <c r="Q15" s="60">
        <v>385.26</v>
      </c>
      <c r="R15" s="198"/>
      <c r="S15" s="198"/>
      <c r="T15" s="198"/>
      <c r="U15" s="198"/>
    </row>
    <row r="16" spans="1:21" s="12" customFormat="1" x14ac:dyDescent="0.25">
      <c r="A16" s="201" t="s">
        <v>2751</v>
      </c>
      <c r="B16" s="60">
        <v>133.54</v>
      </c>
      <c r="C16" s="60">
        <v>212.94</v>
      </c>
      <c r="D16" s="60">
        <v>224.61</v>
      </c>
      <c r="E16" s="60">
        <v>4.3099999999999996</v>
      </c>
      <c r="F16" s="60">
        <v>0.7</v>
      </c>
      <c r="G16" s="60">
        <v>137.85</v>
      </c>
      <c r="H16" s="60">
        <v>46.06</v>
      </c>
      <c r="I16" s="60">
        <v>1.08</v>
      </c>
      <c r="J16" s="60">
        <v>0.21</v>
      </c>
      <c r="K16" s="60">
        <v>265.52</v>
      </c>
      <c r="L16" s="60">
        <v>15.03</v>
      </c>
      <c r="M16" s="60">
        <v>40.32</v>
      </c>
      <c r="N16" s="60">
        <v>0.5</v>
      </c>
      <c r="O16" s="60">
        <v>0</v>
      </c>
      <c r="P16" s="60">
        <v>2.37</v>
      </c>
      <c r="Q16" s="60">
        <v>373.51</v>
      </c>
      <c r="R16" s="198"/>
      <c r="S16" s="198"/>
      <c r="T16" s="198"/>
      <c r="U16" s="198"/>
    </row>
    <row r="17" spans="1:21" s="12" customFormat="1" x14ac:dyDescent="0.25">
      <c r="A17" s="201" t="s">
        <v>2752</v>
      </c>
      <c r="B17" s="60">
        <v>125.15</v>
      </c>
      <c r="C17" s="60">
        <v>203.67</v>
      </c>
      <c r="D17" s="60">
        <v>212.76</v>
      </c>
      <c r="E17" s="60">
        <v>4.67</v>
      </c>
      <c r="F17" s="60">
        <v>0.8</v>
      </c>
      <c r="G17" s="60">
        <v>95.37</v>
      </c>
      <c r="H17" s="60">
        <v>43.87</v>
      </c>
      <c r="I17" s="60">
        <v>1.03</v>
      </c>
      <c r="J17" s="60">
        <v>0.15</v>
      </c>
      <c r="K17" s="60">
        <v>269.55</v>
      </c>
      <c r="L17" s="60">
        <v>14.95</v>
      </c>
      <c r="M17" s="60">
        <v>62.55</v>
      </c>
      <c r="N17" s="60">
        <v>0.8</v>
      </c>
      <c r="O17" s="60">
        <v>0</v>
      </c>
      <c r="P17" s="60">
        <v>2.27</v>
      </c>
      <c r="Q17" s="60">
        <v>362.12</v>
      </c>
      <c r="R17" s="198"/>
      <c r="S17" s="198"/>
      <c r="T17" s="198"/>
      <c r="U17" s="198"/>
    </row>
    <row r="18" spans="1:21" s="12" customFormat="1" x14ac:dyDescent="0.25">
      <c r="A18" s="201" t="s">
        <v>2753</v>
      </c>
      <c r="B18" s="60">
        <v>116.9</v>
      </c>
      <c r="C18" s="60">
        <v>194.67</v>
      </c>
      <c r="D18" s="60">
        <v>201.18</v>
      </c>
      <c r="E18" s="60">
        <v>4.03</v>
      </c>
      <c r="F18" s="60">
        <v>0.78</v>
      </c>
      <c r="G18" s="60">
        <v>95.37</v>
      </c>
      <c r="H18" s="60">
        <v>43.47</v>
      </c>
      <c r="I18" s="60">
        <v>0.98</v>
      </c>
      <c r="J18" s="60">
        <v>0.16</v>
      </c>
      <c r="K18" s="60">
        <v>265.18</v>
      </c>
      <c r="L18" s="60">
        <v>14.87</v>
      </c>
      <c r="M18" s="60">
        <v>68</v>
      </c>
      <c r="N18" s="60">
        <v>0.6</v>
      </c>
      <c r="O18" s="60">
        <v>0</v>
      </c>
      <c r="P18" s="60">
        <v>2.19</v>
      </c>
      <c r="Q18" s="60">
        <v>352.77</v>
      </c>
      <c r="R18" s="198"/>
      <c r="S18" s="198"/>
      <c r="T18" s="198"/>
      <c r="U18" s="198"/>
    </row>
    <row r="19" spans="1:21" s="12" customFormat="1" x14ac:dyDescent="0.25">
      <c r="A19" s="201" t="s">
        <v>2754</v>
      </c>
      <c r="B19" s="60">
        <v>108.98</v>
      </c>
      <c r="C19" s="60">
        <v>186.29</v>
      </c>
      <c r="D19" s="60">
        <v>190.2</v>
      </c>
      <c r="E19" s="60">
        <v>3.94</v>
      </c>
      <c r="F19" s="60">
        <v>0.31</v>
      </c>
      <c r="G19" s="60">
        <v>95.37</v>
      </c>
      <c r="H19" s="60">
        <v>43.47</v>
      </c>
      <c r="I19" s="60">
        <v>0.95</v>
      </c>
      <c r="J19" s="60">
        <v>0.12</v>
      </c>
      <c r="K19" s="60">
        <v>260.51</v>
      </c>
      <c r="L19" s="60">
        <v>14.84</v>
      </c>
      <c r="M19" s="60">
        <v>66.28</v>
      </c>
      <c r="N19" s="60">
        <v>0.8</v>
      </c>
      <c r="O19" s="60">
        <v>0</v>
      </c>
      <c r="P19" s="60">
        <v>2.1</v>
      </c>
      <c r="Q19" s="60">
        <v>344.11</v>
      </c>
      <c r="R19" s="198"/>
      <c r="S19" s="198"/>
      <c r="T19" s="198"/>
      <c r="U19" s="198"/>
    </row>
    <row r="20" spans="1:21" s="12" customFormat="1" x14ac:dyDescent="0.25">
      <c r="A20" s="201" t="s">
        <v>2755</v>
      </c>
      <c r="B20" s="60">
        <v>101.61</v>
      </c>
      <c r="C20" s="60">
        <v>179.33</v>
      </c>
      <c r="D20" s="60">
        <v>180.45</v>
      </c>
      <c r="E20" s="60">
        <v>4.08</v>
      </c>
      <c r="F20" s="60">
        <v>0.71</v>
      </c>
      <c r="G20" s="60">
        <v>95.37</v>
      </c>
      <c r="H20" s="60">
        <v>43.47</v>
      </c>
      <c r="I20" s="60">
        <v>0.91</v>
      </c>
      <c r="J20" s="60">
        <v>0.12</v>
      </c>
      <c r="K20" s="60">
        <v>247.02</v>
      </c>
      <c r="L20" s="60">
        <v>14.97</v>
      </c>
      <c r="M20" s="60">
        <v>75.87</v>
      </c>
      <c r="N20" s="60">
        <v>0.6</v>
      </c>
      <c r="O20" s="60">
        <v>0</v>
      </c>
      <c r="P20" s="60">
        <v>2.04</v>
      </c>
      <c r="Q20" s="60">
        <v>335.5</v>
      </c>
      <c r="R20" s="198"/>
      <c r="S20" s="198"/>
      <c r="T20" s="198"/>
      <c r="U20" s="198"/>
    </row>
    <row r="21" spans="1:21" s="12" customFormat="1" x14ac:dyDescent="0.25">
      <c r="A21" s="201" t="s">
        <v>2756</v>
      </c>
      <c r="B21" s="60">
        <v>94.39</v>
      </c>
      <c r="C21" s="60">
        <v>173.88</v>
      </c>
      <c r="D21" s="60">
        <v>171.66</v>
      </c>
      <c r="E21" s="60">
        <v>4.4400000000000004</v>
      </c>
      <c r="F21" s="60">
        <v>0.84</v>
      </c>
      <c r="G21" s="60">
        <v>81.19</v>
      </c>
      <c r="H21" s="60">
        <v>40.94</v>
      </c>
      <c r="I21" s="60">
        <v>0.88</v>
      </c>
      <c r="J21" s="60">
        <v>0.11</v>
      </c>
      <c r="K21" s="60">
        <v>243.45</v>
      </c>
      <c r="L21" s="60">
        <v>15.03</v>
      </c>
      <c r="M21" s="60">
        <v>47.49</v>
      </c>
      <c r="N21" s="60">
        <v>0.7</v>
      </c>
      <c r="O21" s="60">
        <v>0</v>
      </c>
      <c r="P21" s="60">
        <v>1.96</v>
      </c>
      <c r="Q21" s="60">
        <v>325.52</v>
      </c>
      <c r="R21" s="198"/>
      <c r="S21" s="198"/>
      <c r="T21" s="198"/>
      <c r="U21" s="198"/>
    </row>
    <row r="22" spans="1:21" s="12" customFormat="1" x14ac:dyDescent="0.25">
      <c r="A22" s="201" t="s">
        <v>2757</v>
      </c>
      <c r="B22" s="60">
        <v>86.31</v>
      </c>
      <c r="C22" s="60">
        <v>167.59</v>
      </c>
      <c r="D22" s="60">
        <v>161.71</v>
      </c>
      <c r="E22" s="60">
        <v>4.3499999999999996</v>
      </c>
      <c r="F22" s="60">
        <v>0.82</v>
      </c>
      <c r="G22" s="60">
        <v>81.19</v>
      </c>
      <c r="H22" s="60">
        <v>40.47</v>
      </c>
      <c r="I22" s="60">
        <v>0.85</v>
      </c>
      <c r="J22" s="60">
        <v>0.16</v>
      </c>
      <c r="K22" s="60">
        <v>259.79000000000002</v>
      </c>
      <c r="L22" s="60">
        <v>14.54</v>
      </c>
      <c r="M22" s="60">
        <v>89.75</v>
      </c>
      <c r="N22" s="60">
        <v>1</v>
      </c>
      <c r="O22" s="60">
        <v>0</v>
      </c>
      <c r="P22" s="60">
        <v>1.89</v>
      </c>
      <c r="Q22" s="60">
        <v>315.2</v>
      </c>
      <c r="R22" s="198"/>
      <c r="S22" s="198"/>
      <c r="T22" s="198"/>
      <c r="U22" s="198"/>
    </row>
    <row r="23" spans="1:21" s="12" customFormat="1" x14ac:dyDescent="0.25">
      <c r="A23" s="201" t="s">
        <v>2758</v>
      </c>
      <c r="B23" s="60">
        <v>79.290000000000006</v>
      </c>
      <c r="C23" s="60">
        <v>162.15</v>
      </c>
      <c r="D23" s="60">
        <v>153.07</v>
      </c>
      <c r="E23" s="60">
        <v>4.24</v>
      </c>
      <c r="F23" s="60">
        <v>0.56999999999999995</v>
      </c>
      <c r="G23" s="60">
        <v>81.19</v>
      </c>
      <c r="H23" s="60">
        <v>40.47</v>
      </c>
      <c r="I23" s="60">
        <v>0.82</v>
      </c>
      <c r="J23" s="60">
        <v>0.14000000000000001</v>
      </c>
      <c r="K23" s="60">
        <v>255.3</v>
      </c>
      <c r="L23" s="60">
        <v>14.37</v>
      </c>
      <c r="M23" s="60">
        <v>66.66</v>
      </c>
      <c r="N23" s="60">
        <v>0.8</v>
      </c>
      <c r="O23" s="60">
        <v>0</v>
      </c>
      <c r="P23" s="60">
        <v>1.82</v>
      </c>
      <c r="Q23" s="60">
        <v>306.7</v>
      </c>
      <c r="R23" s="198"/>
      <c r="S23" s="198"/>
      <c r="T23" s="198"/>
      <c r="U23" s="198"/>
    </row>
    <row r="24" spans="1:21" s="12" customFormat="1" x14ac:dyDescent="0.25">
      <c r="A24" s="201" t="s">
        <v>2759</v>
      </c>
      <c r="B24" s="60">
        <v>72.8</v>
      </c>
      <c r="C24" s="60">
        <v>157.35</v>
      </c>
      <c r="D24" s="60">
        <v>145.22</v>
      </c>
      <c r="E24" s="60">
        <v>2.84</v>
      </c>
      <c r="F24" s="60">
        <v>0.59</v>
      </c>
      <c r="G24" s="60">
        <v>81.19</v>
      </c>
      <c r="H24" s="60">
        <v>40.47</v>
      </c>
      <c r="I24" s="60">
        <v>0.8</v>
      </c>
      <c r="J24" s="60">
        <v>0.37</v>
      </c>
      <c r="K24" s="60">
        <v>244.16</v>
      </c>
      <c r="L24" s="60">
        <v>15.15</v>
      </c>
      <c r="M24" s="60">
        <v>72.680000000000007</v>
      </c>
      <c r="N24" s="60">
        <v>0.3</v>
      </c>
      <c r="O24" s="60">
        <v>0</v>
      </c>
      <c r="P24" s="60">
        <v>1.78</v>
      </c>
      <c r="Q24" s="60">
        <v>297.95999999999998</v>
      </c>
      <c r="R24" s="198"/>
      <c r="S24" s="198"/>
      <c r="T24" s="198"/>
      <c r="U24" s="198"/>
    </row>
    <row r="25" spans="1:21" s="12" customFormat="1" x14ac:dyDescent="0.25">
      <c r="A25" s="201" t="s">
        <v>2760</v>
      </c>
      <c r="B25" s="60">
        <v>67.22</v>
      </c>
      <c r="C25" s="60">
        <v>152.94999999999999</v>
      </c>
      <c r="D25" s="60">
        <v>138.32</v>
      </c>
      <c r="E25" s="60">
        <v>5.86</v>
      </c>
      <c r="F25" s="60">
        <v>0.72</v>
      </c>
      <c r="G25" s="60">
        <v>131.44999999999999</v>
      </c>
      <c r="H25" s="60">
        <v>39.270000000000003</v>
      </c>
      <c r="I25" s="60">
        <v>0.77</v>
      </c>
      <c r="J25" s="60">
        <v>0.17</v>
      </c>
      <c r="K25" s="60">
        <v>259.39</v>
      </c>
      <c r="L25" s="60">
        <v>14.5</v>
      </c>
      <c r="M25" s="60">
        <v>76.59</v>
      </c>
      <c r="N25" s="60">
        <v>1</v>
      </c>
      <c r="O25" s="60">
        <v>0</v>
      </c>
      <c r="P25" s="60">
        <v>1.75</v>
      </c>
      <c r="Q25" s="60">
        <v>289.95999999999998</v>
      </c>
      <c r="R25" s="198"/>
      <c r="S25" s="198"/>
      <c r="T25" s="198"/>
      <c r="U25" s="198"/>
    </row>
    <row r="26" spans="1:21" s="12" customFormat="1" x14ac:dyDescent="0.25">
      <c r="A26" s="201" t="s">
        <v>2761</v>
      </c>
      <c r="B26" s="60">
        <v>63.59</v>
      </c>
      <c r="C26" s="60">
        <v>149.97999999999999</v>
      </c>
      <c r="D26" s="60">
        <v>133.76</v>
      </c>
      <c r="E26" s="60">
        <v>5.39</v>
      </c>
      <c r="F26" s="60">
        <v>3.57</v>
      </c>
      <c r="G26" s="60">
        <v>131.44999999999999</v>
      </c>
      <c r="H26" s="60">
        <v>39.049999999999997</v>
      </c>
      <c r="I26" s="60">
        <v>0.75</v>
      </c>
      <c r="J26" s="60">
        <v>0.26</v>
      </c>
      <c r="K26" s="60">
        <v>266.39</v>
      </c>
      <c r="L26" s="60">
        <v>14.23</v>
      </c>
      <c r="M26" s="60">
        <v>73.34</v>
      </c>
      <c r="N26" s="60">
        <v>0.6</v>
      </c>
      <c r="O26" s="60">
        <v>0</v>
      </c>
      <c r="P26" s="60">
        <v>1.72</v>
      </c>
      <c r="Q26" s="60">
        <v>284.87</v>
      </c>
      <c r="R26" s="198"/>
      <c r="S26" s="198"/>
      <c r="T26" s="198"/>
      <c r="U26" s="198"/>
    </row>
    <row r="27" spans="1:21" s="12" customFormat="1" x14ac:dyDescent="0.25">
      <c r="A27" s="201" t="s">
        <v>2762</v>
      </c>
      <c r="B27" s="60">
        <v>62.27</v>
      </c>
      <c r="C27" s="60">
        <v>148.5</v>
      </c>
      <c r="D27" s="60">
        <v>131.88999999999999</v>
      </c>
      <c r="E27" s="60">
        <v>5.74</v>
      </c>
      <c r="F27" s="60">
        <v>4.38</v>
      </c>
      <c r="G27" s="60">
        <v>131.44999999999999</v>
      </c>
      <c r="H27" s="60">
        <v>39.049999999999997</v>
      </c>
      <c r="I27" s="60">
        <v>0.73</v>
      </c>
      <c r="J27" s="60">
        <v>0.22</v>
      </c>
      <c r="K27" s="60">
        <v>288.64</v>
      </c>
      <c r="L27" s="60">
        <v>14.08</v>
      </c>
      <c r="M27" s="60">
        <v>69.790000000000006</v>
      </c>
      <c r="N27" s="60">
        <v>0.9</v>
      </c>
      <c r="O27" s="60">
        <v>0</v>
      </c>
      <c r="P27" s="60">
        <v>1.69</v>
      </c>
      <c r="Q27" s="60">
        <v>281.85000000000002</v>
      </c>
      <c r="R27" s="198"/>
      <c r="S27" s="198"/>
      <c r="T27" s="198"/>
      <c r="U27" s="198"/>
    </row>
    <row r="28" spans="1:21" s="12" customFormat="1" x14ac:dyDescent="0.25">
      <c r="A28" s="201" t="s">
        <v>2763</v>
      </c>
      <c r="B28" s="60">
        <v>61.22</v>
      </c>
      <c r="C28" s="60">
        <v>144.94999999999999</v>
      </c>
      <c r="D28" s="60">
        <v>129.08000000000001</v>
      </c>
      <c r="E28" s="60">
        <v>5.59</v>
      </c>
      <c r="F28" s="60">
        <v>0.82</v>
      </c>
      <c r="G28" s="60">
        <v>131.44999999999999</v>
      </c>
      <c r="H28" s="60">
        <v>39.049999999999997</v>
      </c>
      <c r="I28" s="60">
        <v>0.72</v>
      </c>
      <c r="J28" s="60">
        <v>0.26</v>
      </c>
      <c r="K28" s="60">
        <v>302.33</v>
      </c>
      <c r="L28" s="60">
        <v>13.95</v>
      </c>
      <c r="M28" s="60">
        <v>74.7</v>
      </c>
      <c r="N28" s="60">
        <v>0.6</v>
      </c>
      <c r="O28" s="60">
        <v>0</v>
      </c>
      <c r="P28" s="60">
        <v>1.65</v>
      </c>
      <c r="Q28" s="60">
        <v>281.5</v>
      </c>
      <c r="R28" s="198"/>
      <c r="S28" s="198"/>
      <c r="T28" s="198"/>
      <c r="U28" s="198"/>
    </row>
    <row r="29" spans="1:21" s="12" customFormat="1" x14ac:dyDescent="0.25">
      <c r="A29" s="201" t="s">
        <v>2764</v>
      </c>
      <c r="B29" s="60">
        <v>61.54</v>
      </c>
      <c r="C29" s="60">
        <v>140.96</v>
      </c>
      <c r="D29" s="60">
        <v>127.15</v>
      </c>
      <c r="E29" s="60">
        <v>5.47</v>
      </c>
      <c r="F29" s="60">
        <v>0.98</v>
      </c>
      <c r="G29" s="60">
        <v>135.07</v>
      </c>
      <c r="H29" s="60">
        <v>40.049999999999997</v>
      </c>
      <c r="I29" s="60">
        <v>0.7</v>
      </c>
      <c r="J29" s="60">
        <v>0.17</v>
      </c>
      <c r="K29" s="60">
        <v>310.81</v>
      </c>
      <c r="L29" s="60">
        <v>13.65</v>
      </c>
      <c r="M29" s="60">
        <v>80.180000000000007</v>
      </c>
      <c r="N29" s="60">
        <v>1.1000000000000001</v>
      </c>
      <c r="O29" s="60">
        <v>0</v>
      </c>
      <c r="P29" s="60">
        <v>1.61</v>
      </c>
      <c r="Q29" s="60">
        <v>280.2</v>
      </c>
      <c r="R29" s="198"/>
      <c r="S29" s="198"/>
      <c r="T29" s="198"/>
      <c r="U29" s="198"/>
    </row>
    <row r="30" spans="1:21" s="12" customFormat="1" x14ac:dyDescent="0.25">
      <c r="A30" s="201" t="s">
        <v>2765</v>
      </c>
      <c r="B30" s="60">
        <v>64.17</v>
      </c>
      <c r="C30" s="60">
        <v>139.1</v>
      </c>
      <c r="D30" s="60">
        <v>128.22</v>
      </c>
      <c r="E30" s="60">
        <v>4.9800000000000004</v>
      </c>
      <c r="F30" s="60">
        <v>0.59</v>
      </c>
      <c r="G30" s="60">
        <v>135.07</v>
      </c>
      <c r="H30" s="60">
        <v>40.24</v>
      </c>
      <c r="I30" s="60">
        <v>0.69</v>
      </c>
      <c r="J30" s="60">
        <v>0.24</v>
      </c>
      <c r="K30" s="60">
        <v>314.33999999999997</v>
      </c>
      <c r="L30" s="60">
        <v>13.5</v>
      </c>
      <c r="M30" s="60">
        <v>68.8</v>
      </c>
      <c r="N30" s="60">
        <v>0.6</v>
      </c>
      <c r="O30" s="60">
        <v>0</v>
      </c>
      <c r="P30" s="60">
        <v>1.59</v>
      </c>
      <c r="Q30" s="60">
        <v>280.07</v>
      </c>
      <c r="R30" s="198"/>
      <c r="S30" s="198"/>
      <c r="T30" s="198"/>
      <c r="U30" s="198"/>
    </row>
    <row r="31" spans="1:21" s="12" customFormat="1" x14ac:dyDescent="0.25">
      <c r="A31" s="201" t="s">
        <v>2766</v>
      </c>
      <c r="B31" s="60">
        <v>66.650000000000006</v>
      </c>
      <c r="C31" s="60">
        <v>138.13999999999999</v>
      </c>
      <c r="D31" s="60">
        <v>129.69</v>
      </c>
      <c r="E31" s="60">
        <v>4.99</v>
      </c>
      <c r="F31" s="60">
        <v>0.65</v>
      </c>
      <c r="G31" s="60">
        <v>135.07</v>
      </c>
      <c r="H31" s="60">
        <v>40.24</v>
      </c>
      <c r="I31" s="60">
        <v>0.67</v>
      </c>
      <c r="J31" s="60">
        <v>0.27</v>
      </c>
      <c r="K31" s="60">
        <v>313.45999999999998</v>
      </c>
      <c r="L31" s="60">
        <v>13.52</v>
      </c>
      <c r="M31" s="60">
        <v>68.08</v>
      </c>
      <c r="N31" s="60">
        <v>0.6</v>
      </c>
      <c r="O31" s="60">
        <v>0</v>
      </c>
      <c r="P31" s="60">
        <v>1.59</v>
      </c>
      <c r="Q31" s="60">
        <v>281.26</v>
      </c>
      <c r="R31" s="198"/>
      <c r="S31" s="198"/>
      <c r="T31" s="198"/>
      <c r="U31" s="198"/>
    </row>
    <row r="32" spans="1:21" s="12" customFormat="1" x14ac:dyDescent="0.25">
      <c r="A32" s="201" t="s">
        <v>2767</v>
      </c>
      <c r="B32" s="60">
        <v>69.67</v>
      </c>
      <c r="C32" s="60">
        <v>138.46</v>
      </c>
      <c r="D32" s="60">
        <v>132.28</v>
      </c>
      <c r="E32" s="60">
        <v>5.16</v>
      </c>
      <c r="F32" s="60">
        <v>0.56999999999999995</v>
      </c>
      <c r="G32" s="60">
        <v>135.07</v>
      </c>
      <c r="H32" s="60">
        <v>40.24</v>
      </c>
      <c r="I32" s="60">
        <v>0.66</v>
      </c>
      <c r="J32" s="60">
        <v>0.27</v>
      </c>
      <c r="K32" s="60">
        <v>307.25</v>
      </c>
      <c r="L32" s="60">
        <v>13.63</v>
      </c>
      <c r="M32" s="60">
        <v>71.569999999999993</v>
      </c>
      <c r="N32" s="60">
        <v>0.6</v>
      </c>
      <c r="O32" s="60">
        <v>0</v>
      </c>
      <c r="P32" s="60">
        <v>1.57</v>
      </c>
      <c r="Q32" s="60">
        <v>283.58999999999997</v>
      </c>
      <c r="R32" s="198"/>
      <c r="S32" s="198"/>
      <c r="T32" s="198"/>
      <c r="U32" s="198"/>
    </row>
    <row r="33" spans="1:21" s="12" customFormat="1" x14ac:dyDescent="0.25">
      <c r="A33" s="201" t="s">
        <v>2768</v>
      </c>
      <c r="B33" s="60">
        <v>70.16</v>
      </c>
      <c r="C33" s="60">
        <v>137</v>
      </c>
      <c r="D33" s="60">
        <v>131.87</v>
      </c>
      <c r="E33" s="60">
        <v>5.41</v>
      </c>
      <c r="F33" s="60">
        <v>0.48</v>
      </c>
      <c r="G33" s="60">
        <v>100.32</v>
      </c>
      <c r="H33" s="60">
        <v>38.58</v>
      </c>
      <c r="I33" s="60">
        <v>0.66</v>
      </c>
      <c r="J33" s="60">
        <v>0.16</v>
      </c>
      <c r="K33" s="60">
        <v>306.47000000000003</v>
      </c>
      <c r="L33" s="60">
        <v>13.48</v>
      </c>
      <c r="M33" s="60">
        <v>72.75</v>
      </c>
      <c r="N33" s="60">
        <v>1.7</v>
      </c>
      <c r="O33" s="60">
        <v>0</v>
      </c>
      <c r="P33" s="60">
        <v>1.54</v>
      </c>
      <c r="Q33" s="60">
        <v>282.25</v>
      </c>
      <c r="R33" s="198"/>
      <c r="S33" s="198"/>
      <c r="T33" s="198"/>
      <c r="U33" s="198"/>
    </row>
    <row r="34" spans="1:21" s="12" customFormat="1" x14ac:dyDescent="0.25">
      <c r="A34" s="201" t="s">
        <v>2769</v>
      </c>
      <c r="B34" s="60">
        <v>71.680000000000007</v>
      </c>
      <c r="C34" s="60">
        <v>137.51</v>
      </c>
      <c r="D34" s="60">
        <v>133.37</v>
      </c>
      <c r="E34" s="60">
        <v>5.4</v>
      </c>
      <c r="F34" s="60">
        <v>0.55000000000000004</v>
      </c>
      <c r="G34" s="60">
        <v>100.32</v>
      </c>
      <c r="H34" s="60">
        <v>38.299999999999997</v>
      </c>
      <c r="I34" s="60">
        <v>0.66</v>
      </c>
      <c r="J34" s="60">
        <v>0.13</v>
      </c>
      <c r="K34" s="60">
        <v>317.38</v>
      </c>
      <c r="L34" s="60">
        <v>13.12</v>
      </c>
      <c r="M34" s="60">
        <v>71.06</v>
      </c>
      <c r="N34" s="60">
        <v>5.9</v>
      </c>
      <c r="O34" s="60">
        <v>0</v>
      </c>
      <c r="P34" s="60">
        <v>1.52</v>
      </c>
      <c r="Q34" s="60">
        <v>283.08999999999997</v>
      </c>
      <c r="R34" s="198"/>
      <c r="S34" s="198"/>
      <c r="T34" s="198"/>
      <c r="U34" s="198"/>
    </row>
    <row r="35" spans="1:21" s="12" customFormat="1" x14ac:dyDescent="0.25">
      <c r="A35" s="201" t="s">
        <v>2770</v>
      </c>
      <c r="B35" s="60">
        <v>77.16</v>
      </c>
      <c r="C35" s="60">
        <v>142.04</v>
      </c>
      <c r="D35" s="60">
        <v>140.27000000000001</v>
      </c>
      <c r="E35" s="60">
        <v>5.03</v>
      </c>
      <c r="F35" s="60">
        <v>0.64</v>
      </c>
      <c r="G35" s="60">
        <v>100.32</v>
      </c>
      <c r="H35" s="60">
        <v>38.299999999999997</v>
      </c>
      <c r="I35" s="60">
        <v>0.63</v>
      </c>
      <c r="J35" s="60">
        <v>0.15</v>
      </c>
      <c r="K35" s="60">
        <v>318.73</v>
      </c>
      <c r="L35" s="60">
        <v>13.17</v>
      </c>
      <c r="M35" s="60">
        <v>82.75</v>
      </c>
      <c r="N35" s="60">
        <v>15.2</v>
      </c>
      <c r="O35" s="60">
        <v>0</v>
      </c>
      <c r="P35" s="60">
        <v>1.52</v>
      </c>
      <c r="Q35" s="60">
        <v>287.94</v>
      </c>
      <c r="R35" s="198"/>
      <c r="S35" s="198"/>
      <c r="T35" s="198"/>
      <c r="U35" s="198"/>
    </row>
    <row r="36" spans="1:21" s="12" customFormat="1" x14ac:dyDescent="0.25">
      <c r="A36" s="201" t="s">
        <v>2771</v>
      </c>
      <c r="B36" s="60">
        <v>82.57</v>
      </c>
      <c r="C36" s="60">
        <v>146.16</v>
      </c>
      <c r="D36" s="60">
        <v>146.87</v>
      </c>
      <c r="E36" s="60">
        <v>5.08</v>
      </c>
      <c r="F36" s="60">
        <v>0.63</v>
      </c>
      <c r="G36" s="60">
        <v>100.32</v>
      </c>
      <c r="H36" s="60">
        <v>38.299999999999997</v>
      </c>
      <c r="I36" s="60">
        <v>0.63</v>
      </c>
      <c r="J36" s="60">
        <v>0.33</v>
      </c>
      <c r="K36" s="60">
        <v>305.05</v>
      </c>
      <c r="L36" s="60">
        <v>13.78</v>
      </c>
      <c r="M36" s="60">
        <v>68.95</v>
      </c>
      <c r="N36" s="60">
        <v>25.9</v>
      </c>
      <c r="O36" s="60">
        <v>0</v>
      </c>
      <c r="P36" s="60">
        <v>1.51</v>
      </c>
      <c r="Q36" s="60">
        <v>291.97000000000003</v>
      </c>
      <c r="R36" s="198"/>
      <c r="S36" s="198"/>
      <c r="T36" s="198"/>
      <c r="U36" s="198"/>
    </row>
    <row r="37" spans="1:21" s="12" customFormat="1" x14ac:dyDescent="0.25">
      <c r="A37" s="201" t="s">
        <v>2772</v>
      </c>
      <c r="B37" s="60">
        <v>85.72</v>
      </c>
      <c r="C37" s="60">
        <v>148.99</v>
      </c>
      <c r="D37" s="60">
        <v>150.97</v>
      </c>
      <c r="E37" s="60">
        <v>5.15</v>
      </c>
      <c r="F37" s="60">
        <v>0.55000000000000004</v>
      </c>
      <c r="G37" s="60">
        <v>96.03</v>
      </c>
      <c r="H37" s="60">
        <v>37.770000000000003</v>
      </c>
      <c r="I37" s="60">
        <v>0.63</v>
      </c>
      <c r="J37" s="60">
        <v>0.41</v>
      </c>
      <c r="K37" s="60">
        <v>291.64999999999998</v>
      </c>
      <c r="L37" s="60">
        <v>14.8</v>
      </c>
      <c r="M37" s="60">
        <v>54.8</v>
      </c>
      <c r="N37" s="60">
        <v>39.200000000000003</v>
      </c>
      <c r="O37" s="60">
        <v>0</v>
      </c>
      <c r="P37" s="60">
        <v>1.46</v>
      </c>
      <c r="Q37" s="60">
        <v>292.69</v>
      </c>
      <c r="R37" s="198"/>
      <c r="S37" s="198"/>
      <c r="T37" s="198"/>
      <c r="U37" s="198"/>
    </row>
    <row r="38" spans="1:21" s="12" customFormat="1" x14ac:dyDescent="0.25">
      <c r="A38" s="201" t="s">
        <v>2773</v>
      </c>
      <c r="B38" s="60">
        <v>86</v>
      </c>
      <c r="C38" s="60">
        <v>151.15</v>
      </c>
      <c r="D38" s="60">
        <v>152.38</v>
      </c>
      <c r="E38" s="60">
        <v>5.37</v>
      </c>
      <c r="F38" s="60">
        <v>0.8</v>
      </c>
      <c r="G38" s="60">
        <v>96.03</v>
      </c>
      <c r="H38" s="60">
        <v>37.68</v>
      </c>
      <c r="I38" s="60">
        <v>0.62</v>
      </c>
      <c r="J38" s="60">
        <v>0.3</v>
      </c>
      <c r="K38" s="60">
        <v>286.23</v>
      </c>
      <c r="L38" s="60">
        <v>15.4</v>
      </c>
      <c r="M38" s="60">
        <v>49.16</v>
      </c>
      <c r="N38" s="60">
        <v>79.7</v>
      </c>
      <c r="O38" s="60">
        <v>0</v>
      </c>
      <c r="P38" s="60">
        <v>1.51</v>
      </c>
      <c r="Q38" s="60">
        <v>292.35000000000002</v>
      </c>
      <c r="R38" s="198"/>
      <c r="S38" s="198"/>
      <c r="T38" s="198"/>
      <c r="U38" s="198"/>
    </row>
    <row r="39" spans="1:21" s="12" customFormat="1" x14ac:dyDescent="0.25">
      <c r="A39" s="201" t="s">
        <v>2774</v>
      </c>
      <c r="B39" s="60">
        <v>84.33</v>
      </c>
      <c r="C39" s="60">
        <v>153.87</v>
      </c>
      <c r="D39" s="60">
        <v>152.55000000000001</v>
      </c>
      <c r="E39" s="60">
        <v>5.49</v>
      </c>
      <c r="F39" s="60">
        <v>0.67</v>
      </c>
      <c r="G39" s="60">
        <v>96.03</v>
      </c>
      <c r="H39" s="60">
        <v>37.68</v>
      </c>
      <c r="I39" s="60">
        <v>0.62</v>
      </c>
      <c r="J39" s="60">
        <v>0.73</v>
      </c>
      <c r="K39" s="60">
        <v>261.17</v>
      </c>
      <c r="L39" s="60">
        <v>16.87</v>
      </c>
      <c r="M39" s="60">
        <v>45.88</v>
      </c>
      <c r="N39" s="60">
        <v>155.4</v>
      </c>
      <c r="O39" s="60">
        <v>0</v>
      </c>
      <c r="P39" s="60">
        <v>1.53</v>
      </c>
      <c r="Q39" s="60">
        <v>292.66000000000003</v>
      </c>
      <c r="R39" s="198"/>
      <c r="S39" s="198"/>
      <c r="T39" s="198"/>
      <c r="U39" s="198"/>
    </row>
    <row r="40" spans="1:21" s="12" customFormat="1" x14ac:dyDescent="0.25">
      <c r="A40" s="201" t="s">
        <v>2775</v>
      </c>
      <c r="B40" s="60">
        <v>81.67</v>
      </c>
      <c r="C40" s="60">
        <v>156.93</v>
      </c>
      <c r="D40" s="60">
        <v>152.1</v>
      </c>
      <c r="E40" s="60">
        <v>2.87</v>
      </c>
      <c r="F40" s="60">
        <v>0.51</v>
      </c>
      <c r="G40" s="60">
        <v>96.03</v>
      </c>
      <c r="H40" s="60">
        <v>37.68</v>
      </c>
      <c r="I40" s="60">
        <v>0.62</v>
      </c>
      <c r="J40" s="60">
        <v>0.53</v>
      </c>
      <c r="K40" s="60">
        <v>237.03</v>
      </c>
      <c r="L40" s="60">
        <v>18.27</v>
      </c>
      <c r="M40" s="60">
        <v>45.56</v>
      </c>
      <c r="N40" s="60">
        <v>199.7</v>
      </c>
      <c r="O40" s="60">
        <v>0</v>
      </c>
      <c r="P40" s="60">
        <v>1.56</v>
      </c>
      <c r="Q40" s="60">
        <v>292.58999999999997</v>
      </c>
      <c r="R40" s="198"/>
      <c r="S40" s="198"/>
      <c r="T40" s="198"/>
      <c r="U40" s="198"/>
    </row>
    <row r="41" spans="1:21" s="12" customFormat="1" x14ac:dyDescent="0.25">
      <c r="A41" s="201" t="s">
        <v>2776</v>
      </c>
      <c r="B41" s="60">
        <v>78.209999999999994</v>
      </c>
      <c r="C41" s="60">
        <v>157.65</v>
      </c>
      <c r="D41" s="60">
        <v>149.72</v>
      </c>
      <c r="E41" s="60">
        <v>5.17</v>
      </c>
      <c r="F41" s="60">
        <v>0.57999999999999996</v>
      </c>
      <c r="G41" s="60">
        <v>132.81</v>
      </c>
      <c r="H41" s="60">
        <v>43.82</v>
      </c>
      <c r="I41" s="60">
        <v>0.63</v>
      </c>
      <c r="J41" s="60">
        <v>0.72</v>
      </c>
      <c r="K41" s="60">
        <v>213.86</v>
      </c>
      <c r="L41" s="60">
        <v>18.95</v>
      </c>
      <c r="M41" s="60">
        <v>39.86</v>
      </c>
      <c r="N41" s="60">
        <v>248.4</v>
      </c>
      <c r="O41" s="60">
        <v>0</v>
      </c>
      <c r="P41" s="60">
        <v>1.58</v>
      </c>
      <c r="Q41" s="60">
        <v>291.75</v>
      </c>
      <c r="R41" s="198"/>
      <c r="S41" s="198"/>
      <c r="T41" s="198"/>
      <c r="U41" s="198"/>
    </row>
    <row r="42" spans="1:21" s="12" customFormat="1" x14ac:dyDescent="0.25">
      <c r="A42" s="201" t="s">
        <v>2777</v>
      </c>
      <c r="B42" s="60">
        <v>73.489999999999995</v>
      </c>
      <c r="C42" s="60">
        <v>155.01</v>
      </c>
      <c r="D42" s="60">
        <v>144.47999999999999</v>
      </c>
      <c r="E42" s="60">
        <v>5.38</v>
      </c>
      <c r="F42" s="60">
        <v>0.56999999999999995</v>
      </c>
      <c r="G42" s="60">
        <v>132.81</v>
      </c>
      <c r="H42" s="60">
        <v>44.86</v>
      </c>
      <c r="I42" s="60">
        <v>0.63</v>
      </c>
      <c r="J42" s="60">
        <v>0.91</v>
      </c>
      <c r="K42" s="60">
        <v>204.47</v>
      </c>
      <c r="L42" s="60">
        <v>19.43</v>
      </c>
      <c r="M42" s="60">
        <v>32.659999999999997</v>
      </c>
      <c r="N42" s="60">
        <v>286.60000000000002</v>
      </c>
      <c r="O42" s="60">
        <v>0</v>
      </c>
      <c r="P42" s="60">
        <v>1.57</v>
      </c>
      <c r="Q42" s="60">
        <v>290.75</v>
      </c>
      <c r="R42" s="198"/>
      <c r="S42" s="198"/>
      <c r="T42" s="198"/>
      <c r="U42" s="198"/>
    </row>
    <row r="43" spans="1:21" s="12" customFormat="1" x14ac:dyDescent="0.25">
      <c r="A43" s="201" t="s">
        <v>2778</v>
      </c>
      <c r="B43" s="60">
        <v>68.540000000000006</v>
      </c>
      <c r="C43" s="60">
        <v>152.01</v>
      </c>
      <c r="D43" s="60">
        <v>138.85</v>
      </c>
      <c r="E43" s="60">
        <v>4.68</v>
      </c>
      <c r="F43" s="60">
        <v>0.7</v>
      </c>
      <c r="G43" s="60">
        <v>132.81</v>
      </c>
      <c r="H43" s="60">
        <v>44.86</v>
      </c>
      <c r="I43" s="60">
        <v>0.63</v>
      </c>
      <c r="J43" s="60">
        <v>0.72</v>
      </c>
      <c r="K43" s="60">
        <v>192.85</v>
      </c>
      <c r="L43" s="60">
        <v>19.96</v>
      </c>
      <c r="M43" s="60">
        <v>37.799999999999997</v>
      </c>
      <c r="N43" s="60">
        <v>322.7</v>
      </c>
      <c r="O43" s="60">
        <v>0</v>
      </c>
      <c r="P43" s="60">
        <v>1.56</v>
      </c>
      <c r="Q43" s="60">
        <v>291.62</v>
      </c>
      <c r="R43" s="198"/>
      <c r="S43" s="198"/>
      <c r="T43" s="198"/>
      <c r="U43" s="198"/>
    </row>
    <row r="44" spans="1:21" s="12" customFormat="1" x14ac:dyDescent="0.25">
      <c r="A44" s="201" t="s">
        <v>2779</v>
      </c>
      <c r="B44" s="60">
        <v>63.6</v>
      </c>
      <c r="C44" s="60">
        <v>148.65</v>
      </c>
      <c r="D44" s="60">
        <v>133.04</v>
      </c>
      <c r="E44" s="60">
        <v>5.12</v>
      </c>
      <c r="F44" s="60">
        <v>0.56999999999999995</v>
      </c>
      <c r="G44" s="60">
        <v>132.81</v>
      </c>
      <c r="H44" s="60">
        <v>44.86</v>
      </c>
      <c r="I44" s="60">
        <v>0.63</v>
      </c>
      <c r="J44" s="60">
        <v>0.9</v>
      </c>
      <c r="K44" s="60">
        <v>178.9</v>
      </c>
      <c r="L44" s="60">
        <v>20.67</v>
      </c>
      <c r="M44" s="60">
        <v>30.62</v>
      </c>
      <c r="N44" s="60">
        <v>349.6</v>
      </c>
      <c r="O44" s="60">
        <v>0</v>
      </c>
      <c r="P44" s="60">
        <v>1.56</v>
      </c>
      <c r="Q44" s="60">
        <v>289.31</v>
      </c>
      <c r="R44" s="198"/>
      <c r="S44" s="198"/>
      <c r="T44" s="198"/>
      <c r="U44" s="198"/>
    </row>
    <row r="45" spans="1:21" s="12" customFormat="1" x14ac:dyDescent="0.25">
      <c r="A45" s="201" t="s">
        <v>2780</v>
      </c>
      <c r="B45" s="60">
        <v>58.76</v>
      </c>
      <c r="C45" s="60">
        <v>144.91</v>
      </c>
      <c r="D45" s="60">
        <v>127.09</v>
      </c>
      <c r="E45" s="60">
        <v>4.97</v>
      </c>
      <c r="F45" s="60">
        <v>0.67</v>
      </c>
      <c r="G45" s="60">
        <v>112.5</v>
      </c>
      <c r="H45" s="60">
        <v>43.76</v>
      </c>
      <c r="I45" s="60">
        <v>0.61</v>
      </c>
      <c r="J45" s="60">
        <v>0.85</v>
      </c>
      <c r="K45" s="60">
        <v>173.3</v>
      </c>
      <c r="L45" s="60">
        <v>21.05</v>
      </c>
      <c r="M45" s="60">
        <v>31.41</v>
      </c>
      <c r="N45" s="60">
        <v>373.4</v>
      </c>
      <c r="O45" s="60">
        <v>0</v>
      </c>
      <c r="P45" s="60">
        <v>1.55</v>
      </c>
      <c r="Q45" s="60">
        <v>284.94</v>
      </c>
      <c r="R45" s="198"/>
      <c r="S45" s="198"/>
      <c r="T45" s="198"/>
      <c r="U45" s="198"/>
    </row>
    <row r="46" spans="1:21" s="12" customFormat="1" x14ac:dyDescent="0.25">
      <c r="A46" s="201" t="s">
        <v>2781</v>
      </c>
      <c r="B46" s="60">
        <v>53.62</v>
      </c>
      <c r="C46" s="60">
        <v>142.69</v>
      </c>
      <c r="D46" s="60">
        <v>121.75</v>
      </c>
      <c r="E46" s="60">
        <v>4.84</v>
      </c>
      <c r="F46" s="60">
        <v>0.89</v>
      </c>
      <c r="G46" s="60">
        <v>112.5</v>
      </c>
      <c r="H46" s="60">
        <v>43.55</v>
      </c>
      <c r="I46" s="60">
        <v>0.62</v>
      </c>
      <c r="J46" s="60">
        <v>1.02</v>
      </c>
      <c r="K46" s="60">
        <v>165.66</v>
      </c>
      <c r="L46" s="60">
        <v>22.11</v>
      </c>
      <c r="M46" s="60">
        <v>44.71</v>
      </c>
      <c r="N46" s="60">
        <v>393.3</v>
      </c>
      <c r="O46" s="60">
        <v>0</v>
      </c>
      <c r="P46" s="60">
        <v>1.53</v>
      </c>
      <c r="Q46" s="60">
        <v>282.94</v>
      </c>
      <c r="R46" s="198"/>
      <c r="S46" s="198"/>
      <c r="T46" s="198"/>
      <c r="U46" s="198"/>
    </row>
    <row r="47" spans="1:21" s="12" customFormat="1" x14ac:dyDescent="0.25">
      <c r="A47" s="201" t="s">
        <v>2782</v>
      </c>
      <c r="B47" s="60">
        <v>47.91</v>
      </c>
      <c r="C47" s="60">
        <v>141.31</v>
      </c>
      <c r="D47" s="60">
        <v>116.41</v>
      </c>
      <c r="E47" s="60">
        <v>5.09</v>
      </c>
      <c r="F47" s="60">
        <v>0.86</v>
      </c>
      <c r="G47" s="60">
        <v>112.5</v>
      </c>
      <c r="H47" s="60">
        <v>43.55</v>
      </c>
      <c r="I47" s="60">
        <v>0.61</v>
      </c>
      <c r="J47" s="60">
        <v>0.63</v>
      </c>
      <c r="K47" s="60">
        <v>157.38999999999999</v>
      </c>
      <c r="L47" s="60">
        <v>23.38</v>
      </c>
      <c r="M47" s="60">
        <v>46.92</v>
      </c>
      <c r="N47" s="60">
        <v>410.1</v>
      </c>
      <c r="O47" s="60">
        <v>0</v>
      </c>
      <c r="P47" s="60">
        <v>1.52</v>
      </c>
      <c r="Q47" s="60">
        <v>280.79000000000002</v>
      </c>
      <c r="R47" s="198"/>
      <c r="S47" s="198"/>
      <c r="T47" s="198"/>
      <c r="U47" s="198"/>
    </row>
    <row r="48" spans="1:21" s="12" customFormat="1" x14ac:dyDescent="0.25">
      <c r="A48" s="201" t="s">
        <v>2783</v>
      </c>
      <c r="B48" s="60">
        <v>41.9</v>
      </c>
      <c r="C48" s="60">
        <v>140.25</v>
      </c>
      <c r="D48" s="60">
        <v>111</v>
      </c>
      <c r="E48" s="60">
        <v>5.0199999999999996</v>
      </c>
      <c r="F48" s="60">
        <v>0.86</v>
      </c>
      <c r="G48" s="60">
        <v>112.5</v>
      </c>
      <c r="H48" s="60">
        <v>43.55</v>
      </c>
      <c r="I48" s="60">
        <v>0.6</v>
      </c>
      <c r="J48" s="60">
        <v>0.86</v>
      </c>
      <c r="K48" s="60">
        <v>157.38999999999999</v>
      </c>
      <c r="L48" s="60">
        <v>23.91</v>
      </c>
      <c r="M48" s="60">
        <v>45.09</v>
      </c>
      <c r="N48" s="60">
        <v>429.7</v>
      </c>
      <c r="O48" s="60">
        <v>0</v>
      </c>
      <c r="P48" s="60">
        <v>1.51</v>
      </c>
      <c r="Q48" s="60">
        <v>277.77999999999997</v>
      </c>
      <c r="R48" s="198"/>
      <c r="S48" s="198"/>
      <c r="T48" s="198"/>
      <c r="U48" s="198"/>
    </row>
    <row r="49" spans="1:21" s="12" customFormat="1" x14ac:dyDescent="0.25">
      <c r="A49" s="201" t="s">
        <v>2784</v>
      </c>
      <c r="B49" s="60">
        <v>35.96</v>
      </c>
      <c r="C49" s="60">
        <v>139.74</v>
      </c>
      <c r="D49" s="60">
        <v>105.96</v>
      </c>
      <c r="E49" s="60">
        <v>5.57</v>
      </c>
      <c r="F49" s="60">
        <v>0.99</v>
      </c>
      <c r="G49" s="60">
        <v>120.75</v>
      </c>
      <c r="H49" s="60">
        <v>46.89</v>
      </c>
      <c r="I49" s="60">
        <v>0.59</v>
      </c>
      <c r="J49" s="60">
        <v>0.77</v>
      </c>
      <c r="K49" s="60">
        <v>143.06</v>
      </c>
      <c r="L49" s="60">
        <v>24.14</v>
      </c>
      <c r="M49" s="60">
        <v>45.66</v>
      </c>
      <c r="N49" s="60">
        <v>448.4</v>
      </c>
      <c r="O49" s="60">
        <v>0</v>
      </c>
      <c r="P49" s="60">
        <v>1.49</v>
      </c>
      <c r="Q49" s="60">
        <v>273.51</v>
      </c>
      <c r="R49" s="198"/>
      <c r="S49" s="198"/>
      <c r="T49" s="198"/>
      <c r="U49" s="198"/>
    </row>
    <row r="50" spans="1:21" s="12" customFormat="1" x14ac:dyDescent="0.25">
      <c r="A50" s="201" t="s">
        <v>2785</v>
      </c>
      <c r="B50" s="60">
        <v>30.16</v>
      </c>
      <c r="C50" s="60">
        <v>137.86000000000001</v>
      </c>
      <c r="D50" s="60">
        <v>100.27</v>
      </c>
      <c r="E50" s="60">
        <v>5.99</v>
      </c>
      <c r="F50" s="60">
        <v>1.38</v>
      </c>
      <c r="G50" s="60">
        <v>120.75</v>
      </c>
      <c r="H50" s="60">
        <v>47.45</v>
      </c>
      <c r="I50" s="60">
        <v>0.57999999999999996</v>
      </c>
      <c r="J50" s="60">
        <v>0.7</v>
      </c>
      <c r="K50" s="60">
        <v>124.21</v>
      </c>
      <c r="L50" s="60">
        <v>24.79</v>
      </c>
      <c r="M50" s="60">
        <v>41.71</v>
      </c>
      <c r="N50" s="60">
        <v>459.2</v>
      </c>
      <c r="O50" s="60">
        <v>0</v>
      </c>
      <c r="P50" s="60">
        <v>1.47</v>
      </c>
      <c r="Q50" s="60">
        <v>271.77</v>
      </c>
      <c r="R50" s="198"/>
      <c r="S50" s="198"/>
      <c r="T50" s="198"/>
      <c r="U50" s="198"/>
    </row>
    <row r="51" spans="1:21" s="12" customFormat="1" x14ac:dyDescent="0.25">
      <c r="A51" s="201" t="s">
        <v>2786</v>
      </c>
      <c r="B51" s="60">
        <v>25.15</v>
      </c>
      <c r="C51" s="60">
        <v>135.88999999999999</v>
      </c>
      <c r="D51" s="60">
        <v>95.16</v>
      </c>
      <c r="E51" s="60">
        <v>5.94</v>
      </c>
      <c r="F51" s="60">
        <v>1.36</v>
      </c>
      <c r="G51" s="60">
        <v>120.75</v>
      </c>
      <c r="H51" s="60">
        <v>47.45</v>
      </c>
      <c r="I51" s="60">
        <v>0.57999999999999996</v>
      </c>
      <c r="J51" s="60">
        <v>0.81</v>
      </c>
      <c r="K51" s="60">
        <v>123.17</v>
      </c>
      <c r="L51" s="60">
        <v>25.88</v>
      </c>
      <c r="M51" s="60">
        <v>40.369999999999997</v>
      </c>
      <c r="N51" s="60">
        <v>460.3</v>
      </c>
      <c r="O51" s="60">
        <v>0</v>
      </c>
      <c r="P51" s="60">
        <v>1.46</v>
      </c>
      <c r="Q51" s="60">
        <v>270.97000000000003</v>
      </c>
      <c r="R51" s="198"/>
      <c r="S51" s="198"/>
      <c r="T51" s="198"/>
      <c r="U51" s="198"/>
    </row>
    <row r="52" spans="1:21" s="12" customFormat="1" x14ac:dyDescent="0.25">
      <c r="A52" s="201" t="s">
        <v>2787</v>
      </c>
      <c r="B52" s="60">
        <v>20.66</v>
      </c>
      <c r="C52" s="60">
        <v>133.41</v>
      </c>
      <c r="D52" s="60">
        <v>90.2</v>
      </c>
      <c r="E52" s="60">
        <v>6.05</v>
      </c>
      <c r="F52" s="60">
        <v>1.19</v>
      </c>
      <c r="G52" s="60">
        <v>120.75</v>
      </c>
      <c r="H52" s="60">
        <v>47.45</v>
      </c>
      <c r="I52" s="60">
        <v>0.57999999999999996</v>
      </c>
      <c r="J52" s="60">
        <v>0.74</v>
      </c>
      <c r="K52" s="60">
        <v>124</v>
      </c>
      <c r="L52" s="60">
        <v>25.51</v>
      </c>
      <c r="M52" s="60">
        <v>38.99</v>
      </c>
      <c r="N52" s="60">
        <v>470.8</v>
      </c>
      <c r="O52" s="60">
        <v>0</v>
      </c>
      <c r="P52" s="60">
        <v>1.44</v>
      </c>
      <c r="Q52" s="60">
        <v>270.22000000000003</v>
      </c>
      <c r="R52" s="198"/>
      <c r="S52" s="198"/>
      <c r="T52" s="198"/>
      <c r="U52" s="198"/>
    </row>
    <row r="53" spans="1:21" s="12" customFormat="1" x14ac:dyDescent="0.25">
      <c r="A53" s="201" t="s">
        <v>2788</v>
      </c>
      <c r="B53" s="60">
        <v>17.02</v>
      </c>
      <c r="C53" s="60">
        <v>130.06</v>
      </c>
      <c r="D53" s="60">
        <v>85.43</v>
      </c>
      <c r="E53" s="60">
        <v>5.42</v>
      </c>
      <c r="F53" s="60">
        <v>1.07</v>
      </c>
      <c r="G53" s="60">
        <v>97.91</v>
      </c>
      <c r="H53" s="60">
        <v>44.44</v>
      </c>
      <c r="I53" s="60">
        <v>0.57999999999999996</v>
      </c>
      <c r="J53" s="60">
        <v>0.67</v>
      </c>
      <c r="K53" s="60">
        <v>118.4</v>
      </c>
      <c r="L53" s="60">
        <v>26.46</v>
      </c>
      <c r="M53" s="60">
        <v>47.32</v>
      </c>
      <c r="N53" s="60">
        <v>505.4</v>
      </c>
      <c r="O53" s="60">
        <v>0</v>
      </c>
      <c r="P53" s="60">
        <v>1.41</v>
      </c>
      <c r="Q53" s="60">
        <v>268.51</v>
      </c>
      <c r="R53" s="198"/>
      <c r="S53" s="198"/>
      <c r="T53" s="198"/>
      <c r="U53" s="198"/>
    </row>
    <row r="54" spans="1:21" s="12" customFormat="1" x14ac:dyDescent="0.25">
      <c r="A54" s="201" t="s">
        <v>2789</v>
      </c>
      <c r="B54" s="60">
        <v>14.16</v>
      </c>
      <c r="C54" s="60">
        <v>126.8</v>
      </c>
      <c r="D54" s="60">
        <v>81.33</v>
      </c>
      <c r="E54" s="60">
        <v>5.44</v>
      </c>
      <c r="F54" s="60">
        <v>1.7</v>
      </c>
      <c r="G54" s="60">
        <v>97.91</v>
      </c>
      <c r="H54" s="60">
        <v>43.93</v>
      </c>
      <c r="I54" s="60">
        <v>0.56999999999999995</v>
      </c>
      <c r="J54" s="60">
        <v>0.89</v>
      </c>
      <c r="K54" s="60">
        <v>111.32</v>
      </c>
      <c r="L54" s="60">
        <v>26.37</v>
      </c>
      <c r="M54" s="60">
        <v>32.619999999999997</v>
      </c>
      <c r="N54" s="60">
        <v>508.5</v>
      </c>
      <c r="O54" s="60">
        <v>0</v>
      </c>
      <c r="P54" s="60">
        <v>1.39</v>
      </c>
      <c r="Q54" s="60">
        <v>269.05</v>
      </c>
      <c r="R54" s="198"/>
      <c r="S54" s="198"/>
      <c r="T54" s="198"/>
      <c r="U54" s="198"/>
    </row>
    <row r="55" spans="1:21" s="12" customFormat="1" x14ac:dyDescent="0.25">
      <c r="A55" s="201" t="s">
        <v>2790</v>
      </c>
      <c r="B55" s="60">
        <v>11.72</v>
      </c>
      <c r="C55" s="60">
        <v>124.01</v>
      </c>
      <c r="D55" s="60">
        <v>77.84</v>
      </c>
      <c r="E55" s="60">
        <v>5.34</v>
      </c>
      <c r="F55" s="60">
        <v>1.61</v>
      </c>
      <c r="G55" s="60">
        <v>97.91</v>
      </c>
      <c r="H55" s="60">
        <v>43.93</v>
      </c>
      <c r="I55" s="60">
        <v>0.56999999999999995</v>
      </c>
      <c r="J55" s="60">
        <v>0.49</v>
      </c>
      <c r="K55" s="60">
        <v>103.23</v>
      </c>
      <c r="L55" s="60">
        <v>28.26</v>
      </c>
      <c r="M55" s="60">
        <v>65.849999999999994</v>
      </c>
      <c r="N55" s="60">
        <v>496</v>
      </c>
      <c r="O55" s="60">
        <v>0</v>
      </c>
      <c r="P55" s="60">
        <v>1.37</v>
      </c>
      <c r="Q55" s="60">
        <v>270.60000000000002</v>
      </c>
      <c r="R55" s="198"/>
      <c r="S55" s="198"/>
      <c r="T55" s="198"/>
      <c r="U55" s="198"/>
    </row>
    <row r="56" spans="1:21" s="12" customFormat="1" x14ac:dyDescent="0.25">
      <c r="A56" s="201" t="s">
        <v>2791</v>
      </c>
      <c r="B56" s="60">
        <v>9.43</v>
      </c>
      <c r="C56" s="60">
        <v>121.61</v>
      </c>
      <c r="D56" s="60">
        <v>74.680000000000007</v>
      </c>
      <c r="E56" s="60">
        <v>3.78</v>
      </c>
      <c r="F56" s="60">
        <v>2.73</v>
      </c>
      <c r="G56" s="60">
        <v>97.91</v>
      </c>
      <c r="H56" s="60">
        <v>43.93</v>
      </c>
      <c r="I56" s="60">
        <v>0.56999999999999995</v>
      </c>
      <c r="J56" s="60">
        <v>0.92</v>
      </c>
      <c r="K56" s="60">
        <v>92.75</v>
      </c>
      <c r="L56" s="60">
        <v>30.54</v>
      </c>
      <c r="M56" s="60">
        <v>81.94</v>
      </c>
      <c r="N56" s="60">
        <v>488.1</v>
      </c>
      <c r="O56" s="60">
        <v>0</v>
      </c>
      <c r="P56" s="60">
        <v>1.35</v>
      </c>
      <c r="Q56" s="60">
        <v>271.51</v>
      </c>
      <c r="R56" s="198"/>
      <c r="S56" s="198"/>
      <c r="T56" s="198"/>
      <c r="U56" s="198"/>
    </row>
    <row r="57" spans="1:21" s="12" customFormat="1" x14ac:dyDescent="0.25">
      <c r="A57" s="201" t="s">
        <v>2792</v>
      </c>
      <c r="B57" s="60">
        <v>7.77</v>
      </c>
      <c r="C57" s="60">
        <v>121.64</v>
      </c>
      <c r="D57" s="60">
        <v>73.36</v>
      </c>
      <c r="E57" s="60">
        <v>6.32</v>
      </c>
      <c r="F57" s="60">
        <v>2.4500000000000002</v>
      </c>
      <c r="G57" s="60">
        <v>75.77</v>
      </c>
      <c r="H57" s="60">
        <v>40.96</v>
      </c>
      <c r="I57" s="60">
        <v>0.56000000000000005</v>
      </c>
      <c r="J57" s="60">
        <v>0.67</v>
      </c>
      <c r="K57" s="60">
        <v>97.05</v>
      </c>
      <c r="L57" s="60">
        <v>29.19</v>
      </c>
      <c r="M57" s="60">
        <v>37.47</v>
      </c>
      <c r="N57" s="60">
        <v>469.8</v>
      </c>
      <c r="O57" s="60">
        <v>0</v>
      </c>
      <c r="P57" s="60">
        <v>1.34</v>
      </c>
      <c r="Q57" s="60">
        <v>273.41000000000003</v>
      </c>
      <c r="R57" s="198"/>
      <c r="S57" s="198"/>
      <c r="T57" s="198"/>
      <c r="U57" s="198"/>
    </row>
    <row r="58" spans="1:21" s="12" customFormat="1" x14ac:dyDescent="0.25">
      <c r="A58" s="201" t="s">
        <v>2793</v>
      </c>
      <c r="B58" s="60">
        <v>6.32</v>
      </c>
      <c r="C58" s="60">
        <v>119.12</v>
      </c>
      <c r="D58" s="60">
        <v>70.81</v>
      </c>
      <c r="E58" s="60">
        <v>5.2</v>
      </c>
      <c r="F58" s="60">
        <v>1.95</v>
      </c>
      <c r="G58" s="60">
        <v>75.77</v>
      </c>
      <c r="H58" s="60">
        <v>40.46</v>
      </c>
      <c r="I58" s="60">
        <v>0.55000000000000004</v>
      </c>
      <c r="J58" s="60">
        <v>0.77</v>
      </c>
      <c r="K58" s="60">
        <v>95.35</v>
      </c>
      <c r="L58" s="60">
        <v>28.87</v>
      </c>
      <c r="M58" s="60">
        <v>74.98</v>
      </c>
      <c r="N58" s="60">
        <v>489.6</v>
      </c>
      <c r="O58" s="60">
        <v>0</v>
      </c>
      <c r="P58" s="60">
        <v>1.31</v>
      </c>
      <c r="Q58" s="60">
        <v>269.93</v>
      </c>
      <c r="R58" s="198"/>
      <c r="S58" s="198"/>
      <c r="T58" s="198"/>
      <c r="U58" s="198"/>
    </row>
    <row r="59" spans="1:21" s="12" customFormat="1" x14ac:dyDescent="0.25">
      <c r="A59" s="201" t="s">
        <v>2794</v>
      </c>
      <c r="B59" s="60">
        <v>5.23</v>
      </c>
      <c r="C59" s="60">
        <v>116.47</v>
      </c>
      <c r="D59" s="60">
        <v>68.47</v>
      </c>
      <c r="E59" s="60">
        <v>5.27</v>
      </c>
      <c r="F59" s="60">
        <v>3.1</v>
      </c>
      <c r="G59" s="60">
        <v>75.77</v>
      </c>
      <c r="H59" s="60">
        <v>40.46</v>
      </c>
      <c r="I59" s="60">
        <v>0.54</v>
      </c>
      <c r="J59" s="60">
        <v>0.8</v>
      </c>
      <c r="K59" s="60">
        <v>90.95</v>
      </c>
      <c r="L59" s="60">
        <v>29.6</v>
      </c>
      <c r="M59" s="60">
        <v>56.19</v>
      </c>
      <c r="N59" s="60">
        <v>503.4</v>
      </c>
      <c r="O59" s="60">
        <v>0</v>
      </c>
      <c r="P59" s="60">
        <v>1.28</v>
      </c>
      <c r="Q59" s="60">
        <v>263.66000000000003</v>
      </c>
      <c r="R59" s="198"/>
      <c r="S59" s="198"/>
      <c r="T59" s="198"/>
      <c r="U59" s="198"/>
    </row>
    <row r="60" spans="1:21" s="12" customFormat="1" x14ac:dyDescent="0.25">
      <c r="A60" s="201" t="s">
        <v>2795</v>
      </c>
      <c r="B60" s="60">
        <v>4.03</v>
      </c>
      <c r="C60" s="60">
        <v>113.11</v>
      </c>
      <c r="D60" s="60">
        <v>65.650000000000006</v>
      </c>
      <c r="E60" s="60">
        <v>5.51</v>
      </c>
      <c r="F60" s="60">
        <v>2.91</v>
      </c>
      <c r="G60" s="60">
        <v>75.77</v>
      </c>
      <c r="H60" s="60">
        <v>40.46</v>
      </c>
      <c r="I60" s="60">
        <v>0.53</v>
      </c>
      <c r="J60" s="60">
        <v>0.78</v>
      </c>
      <c r="K60" s="60">
        <v>87.56</v>
      </c>
      <c r="L60" s="60">
        <v>30.73</v>
      </c>
      <c r="M60" s="60">
        <v>76.650000000000006</v>
      </c>
      <c r="N60" s="60">
        <v>468.1</v>
      </c>
      <c r="O60" s="60">
        <v>0</v>
      </c>
      <c r="P60" s="60">
        <v>1.24</v>
      </c>
      <c r="Q60" s="60">
        <v>258.19</v>
      </c>
      <c r="R60" s="198"/>
      <c r="S60" s="198"/>
      <c r="T60" s="198"/>
      <c r="U60" s="198"/>
    </row>
    <row r="61" spans="1:21" s="12" customFormat="1" x14ac:dyDescent="0.25">
      <c r="A61" s="201" t="s">
        <v>2796</v>
      </c>
      <c r="B61" s="60">
        <v>3.45</v>
      </c>
      <c r="C61" s="60">
        <v>111.15</v>
      </c>
      <c r="D61" s="60">
        <v>64.11</v>
      </c>
      <c r="E61" s="60">
        <v>6.09</v>
      </c>
      <c r="F61" s="60">
        <v>3.1</v>
      </c>
      <c r="G61" s="60">
        <v>63.33</v>
      </c>
      <c r="H61" s="60">
        <v>36.590000000000003</v>
      </c>
      <c r="I61" s="60">
        <v>0.52</v>
      </c>
      <c r="J61" s="60">
        <v>0.64</v>
      </c>
      <c r="K61" s="60">
        <v>85.23</v>
      </c>
      <c r="L61" s="60">
        <v>30.83</v>
      </c>
      <c r="M61" s="60">
        <v>70.12</v>
      </c>
      <c r="N61" s="60">
        <v>437.5</v>
      </c>
      <c r="O61" s="60">
        <v>0</v>
      </c>
      <c r="P61" s="60">
        <v>1.18</v>
      </c>
      <c r="Q61" s="60">
        <v>253.78</v>
      </c>
      <c r="R61" s="198"/>
      <c r="S61" s="198"/>
      <c r="T61" s="198"/>
      <c r="U61" s="198"/>
    </row>
    <row r="62" spans="1:21" s="12" customFormat="1" x14ac:dyDescent="0.25">
      <c r="A62" s="201" t="s">
        <v>2797</v>
      </c>
      <c r="B62" s="60">
        <v>2.94</v>
      </c>
      <c r="C62" s="60">
        <v>107.67</v>
      </c>
      <c r="D62" s="60">
        <v>61.78</v>
      </c>
      <c r="E62" s="60">
        <v>5.64</v>
      </c>
      <c r="F62" s="60">
        <v>3.1</v>
      </c>
      <c r="G62" s="60">
        <v>63.33</v>
      </c>
      <c r="H62" s="60">
        <v>35.94</v>
      </c>
      <c r="I62" s="60">
        <v>0.5</v>
      </c>
      <c r="J62" s="60">
        <v>0.59</v>
      </c>
      <c r="K62" s="60">
        <v>89.25</v>
      </c>
      <c r="L62" s="60">
        <v>29.46</v>
      </c>
      <c r="M62" s="60">
        <v>58.9</v>
      </c>
      <c r="N62" s="60">
        <v>419.7</v>
      </c>
      <c r="O62" s="60">
        <v>0</v>
      </c>
      <c r="P62" s="60">
        <v>1.2</v>
      </c>
      <c r="Q62" s="60">
        <v>250.83</v>
      </c>
      <c r="R62" s="198"/>
      <c r="S62" s="198"/>
      <c r="T62" s="198"/>
      <c r="U62" s="198"/>
    </row>
    <row r="63" spans="1:21" s="12" customFormat="1" x14ac:dyDescent="0.25">
      <c r="A63" s="201" t="s">
        <v>2798</v>
      </c>
      <c r="B63" s="60">
        <v>2.62</v>
      </c>
      <c r="C63" s="60">
        <v>104.3</v>
      </c>
      <c r="D63" s="60">
        <v>59.66</v>
      </c>
      <c r="E63" s="60">
        <v>6.32</v>
      </c>
      <c r="F63" s="60">
        <v>4.01</v>
      </c>
      <c r="G63" s="60">
        <v>63.33</v>
      </c>
      <c r="H63" s="60">
        <v>35.94</v>
      </c>
      <c r="I63" s="60">
        <v>0.48</v>
      </c>
      <c r="J63" s="60">
        <v>0.61</v>
      </c>
      <c r="K63" s="60">
        <v>87.19</v>
      </c>
      <c r="L63" s="60">
        <v>30.24</v>
      </c>
      <c r="M63" s="60">
        <v>79.89</v>
      </c>
      <c r="N63" s="60">
        <v>416.9</v>
      </c>
      <c r="O63" s="60">
        <v>0</v>
      </c>
      <c r="P63" s="60">
        <v>1.17</v>
      </c>
      <c r="Q63" s="60">
        <v>249.63</v>
      </c>
      <c r="R63" s="198"/>
      <c r="S63" s="198"/>
      <c r="T63" s="198"/>
      <c r="U63" s="198"/>
    </row>
    <row r="64" spans="1:21" s="12" customFormat="1" x14ac:dyDescent="0.25">
      <c r="A64" s="201" t="s">
        <v>2799</v>
      </c>
      <c r="B64" s="60">
        <v>2.62</v>
      </c>
      <c r="C64" s="60">
        <v>103.17</v>
      </c>
      <c r="D64" s="60">
        <v>59.04</v>
      </c>
      <c r="E64" s="60">
        <v>6.51</v>
      </c>
      <c r="F64" s="60">
        <v>3.75</v>
      </c>
      <c r="G64" s="60">
        <v>63.33</v>
      </c>
      <c r="H64" s="60">
        <v>35.94</v>
      </c>
      <c r="I64" s="60">
        <v>0.47</v>
      </c>
      <c r="J64" s="60">
        <v>0.42</v>
      </c>
      <c r="K64" s="60">
        <v>78.72</v>
      </c>
      <c r="L64" s="60">
        <v>31.06</v>
      </c>
      <c r="M64" s="60">
        <v>54.36</v>
      </c>
      <c r="N64" s="60">
        <v>395.3</v>
      </c>
      <c r="O64" s="60">
        <v>0</v>
      </c>
      <c r="P64" s="60">
        <v>1.1599999999999999</v>
      </c>
      <c r="Q64" s="60">
        <v>247.11</v>
      </c>
      <c r="R64" s="198"/>
      <c r="S64" s="198"/>
      <c r="T64" s="198"/>
      <c r="U64" s="198"/>
    </row>
    <row r="65" spans="1:21" s="12" customFormat="1" x14ac:dyDescent="0.25">
      <c r="A65" s="201" t="s">
        <v>2800</v>
      </c>
      <c r="B65" s="60">
        <v>2.56</v>
      </c>
      <c r="C65" s="60">
        <v>101.23</v>
      </c>
      <c r="D65" s="60">
        <v>57.92</v>
      </c>
      <c r="E65" s="60">
        <v>5.82</v>
      </c>
      <c r="F65" s="60">
        <v>3.86</v>
      </c>
      <c r="G65" s="60">
        <v>57.46</v>
      </c>
      <c r="H65" s="60">
        <v>32.54</v>
      </c>
      <c r="I65" s="60">
        <v>0.46</v>
      </c>
      <c r="J65" s="60">
        <v>0.64</v>
      </c>
      <c r="K65" s="60">
        <v>83.05</v>
      </c>
      <c r="L65" s="60">
        <v>28.97</v>
      </c>
      <c r="M65" s="60">
        <v>53.65</v>
      </c>
      <c r="N65" s="60">
        <v>364.9</v>
      </c>
      <c r="O65" s="60">
        <v>0</v>
      </c>
      <c r="P65" s="60">
        <v>1.1399999999999999</v>
      </c>
      <c r="Q65" s="60">
        <v>248.3</v>
      </c>
      <c r="R65" s="198"/>
      <c r="S65" s="198"/>
      <c r="T65" s="198"/>
      <c r="U65" s="198"/>
    </row>
    <row r="66" spans="1:21" s="12" customFormat="1" x14ac:dyDescent="0.25">
      <c r="A66" s="201" t="s">
        <v>2801</v>
      </c>
      <c r="B66" s="60">
        <v>2.74</v>
      </c>
      <c r="C66" s="60">
        <v>98.69</v>
      </c>
      <c r="D66" s="60">
        <v>56.67</v>
      </c>
      <c r="E66" s="60">
        <v>5.91</v>
      </c>
      <c r="F66" s="60">
        <v>3.12</v>
      </c>
      <c r="G66" s="60">
        <v>57.46</v>
      </c>
      <c r="H66" s="60">
        <v>31.97</v>
      </c>
      <c r="I66" s="60">
        <v>0.45</v>
      </c>
      <c r="J66" s="60">
        <v>0.56000000000000005</v>
      </c>
      <c r="K66" s="60">
        <v>82.47</v>
      </c>
      <c r="L66" s="60">
        <v>30.05</v>
      </c>
      <c r="M66" s="60">
        <v>65.72</v>
      </c>
      <c r="N66" s="60">
        <v>247</v>
      </c>
      <c r="O66" s="60">
        <v>0</v>
      </c>
      <c r="P66" s="60">
        <v>1.1299999999999999</v>
      </c>
      <c r="Q66" s="60">
        <v>252.51</v>
      </c>
      <c r="R66" s="198"/>
      <c r="S66" s="198"/>
      <c r="T66" s="198"/>
      <c r="U66" s="198"/>
    </row>
    <row r="67" spans="1:21" s="12" customFormat="1" x14ac:dyDescent="0.25">
      <c r="A67" s="201" t="s">
        <v>2802</v>
      </c>
      <c r="B67" s="60">
        <v>3.68</v>
      </c>
      <c r="C67" s="60">
        <v>102.85</v>
      </c>
      <c r="D67" s="60">
        <v>59.71</v>
      </c>
      <c r="E67" s="60">
        <v>6.57</v>
      </c>
      <c r="F67" s="60">
        <v>4.43</v>
      </c>
      <c r="G67" s="60">
        <v>57.46</v>
      </c>
      <c r="H67" s="60">
        <v>31.97</v>
      </c>
      <c r="I67" s="60">
        <v>0.45</v>
      </c>
      <c r="J67" s="60">
        <v>0.31</v>
      </c>
      <c r="K67" s="60">
        <v>81.430000000000007</v>
      </c>
      <c r="L67" s="60">
        <v>29.67</v>
      </c>
      <c r="M67" s="60">
        <v>78.48</v>
      </c>
      <c r="N67" s="60">
        <v>170.1</v>
      </c>
      <c r="O67" s="60">
        <v>0</v>
      </c>
      <c r="P67" s="60">
        <v>1.1200000000000001</v>
      </c>
      <c r="Q67" s="60">
        <v>256.99</v>
      </c>
      <c r="R67" s="198"/>
      <c r="S67" s="198"/>
      <c r="T67" s="198"/>
      <c r="U67" s="198"/>
    </row>
    <row r="68" spans="1:21" s="12" customFormat="1" x14ac:dyDescent="0.25">
      <c r="A68" s="201" t="s">
        <v>2803</v>
      </c>
      <c r="B68" s="60">
        <v>3</v>
      </c>
      <c r="C68" s="60">
        <v>97.77</v>
      </c>
      <c r="D68" s="60">
        <v>56.36</v>
      </c>
      <c r="E68" s="60">
        <v>6.52</v>
      </c>
      <c r="F68" s="60">
        <v>4.5999999999999996</v>
      </c>
      <c r="G68" s="60">
        <v>57.46</v>
      </c>
      <c r="H68" s="60">
        <v>31.97</v>
      </c>
      <c r="I68" s="60">
        <v>0.45</v>
      </c>
      <c r="J68" s="60">
        <v>0.57999999999999996</v>
      </c>
      <c r="K68" s="60">
        <v>85.97</v>
      </c>
      <c r="L68" s="60">
        <v>28.33</v>
      </c>
      <c r="M68" s="60">
        <v>52.14</v>
      </c>
      <c r="N68" s="60">
        <v>246.4</v>
      </c>
      <c r="O68" s="60">
        <v>0</v>
      </c>
      <c r="P68" s="60">
        <v>1.0900000000000001</v>
      </c>
      <c r="Q68" s="60">
        <v>259.89999999999998</v>
      </c>
      <c r="R68" s="198"/>
      <c r="S68" s="198"/>
      <c r="T68" s="198"/>
      <c r="U68" s="198"/>
    </row>
    <row r="69" spans="1:21" s="12" customFormat="1" x14ac:dyDescent="0.25">
      <c r="A69" s="201" t="s">
        <v>2804</v>
      </c>
      <c r="B69" s="60">
        <v>2.5299999999999998</v>
      </c>
      <c r="C69" s="60">
        <v>92.04</v>
      </c>
      <c r="D69" s="60">
        <v>52.83</v>
      </c>
      <c r="E69" s="60">
        <v>6.75</v>
      </c>
      <c r="F69" s="60">
        <v>5.26</v>
      </c>
      <c r="G69" s="60">
        <v>60.31</v>
      </c>
      <c r="H69" s="60">
        <v>29.55</v>
      </c>
      <c r="I69" s="60">
        <v>0.45</v>
      </c>
      <c r="J69" s="60">
        <v>0.5</v>
      </c>
      <c r="K69" s="60">
        <v>89.88</v>
      </c>
      <c r="L69" s="60">
        <v>28.56</v>
      </c>
      <c r="M69" s="60">
        <v>74.959999999999994</v>
      </c>
      <c r="N69" s="60">
        <v>164.9</v>
      </c>
      <c r="O69" s="60">
        <v>0</v>
      </c>
      <c r="P69" s="60">
        <v>1.06</v>
      </c>
      <c r="Q69" s="60">
        <v>259.99</v>
      </c>
      <c r="R69" s="198"/>
      <c r="S69" s="198"/>
      <c r="T69" s="198"/>
      <c r="U69" s="198"/>
    </row>
    <row r="70" spans="1:21" s="12" customFormat="1" x14ac:dyDescent="0.25">
      <c r="A70" s="201" t="s">
        <v>2805</v>
      </c>
      <c r="B70" s="60">
        <v>2.92</v>
      </c>
      <c r="C70" s="60">
        <v>92.52</v>
      </c>
      <c r="D70" s="60">
        <v>53.4</v>
      </c>
      <c r="E70" s="60">
        <v>6.59</v>
      </c>
      <c r="F70" s="60">
        <v>7.25</v>
      </c>
      <c r="G70" s="60">
        <v>60.31</v>
      </c>
      <c r="H70" s="60">
        <v>29.14</v>
      </c>
      <c r="I70" s="60">
        <v>0.45</v>
      </c>
      <c r="J70" s="60">
        <v>0.28000000000000003</v>
      </c>
      <c r="K70" s="60">
        <v>88.74</v>
      </c>
      <c r="L70" s="60">
        <v>28.45</v>
      </c>
      <c r="M70" s="60">
        <v>76.38</v>
      </c>
      <c r="N70" s="60">
        <v>144.30000000000001</v>
      </c>
      <c r="O70" s="60">
        <v>0</v>
      </c>
      <c r="P70" s="60">
        <v>1.05</v>
      </c>
      <c r="Q70" s="60">
        <v>263.47000000000003</v>
      </c>
      <c r="R70" s="198"/>
      <c r="S70" s="198"/>
      <c r="T70" s="198"/>
      <c r="U70" s="198"/>
    </row>
    <row r="71" spans="1:21" s="12" customFormat="1" x14ac:dyDescent="0.25">
      <c r="A71" s="201" t="s">
        <v>2806</v>
      </c>
      <c r="B71" s="60">
        <v>4.0999999999999996</v>
      </c>
      <c r="C71" s="60">
        <v>100.66</v>
      </c>
      <c r="D71" s="60">
        <v>58.84</v>
      </c>
      <c r="E71" s="60">
        <v>5.66</v>
      </c>
      <c r="F71" s="60">
        <v>3.27</v>
      </c>
      <c r="G71" s="60">
        <v>60.31</v>
      </c>
      <c r="H71" s="60">
        <v>29.14</v>
      </c>
      <c r="I71" s="60">
        <v>0.44</v>
      </c>
      <c r="J71" s="60">
        <v>0.44</v>
      </c>
      <c r="K71" s="60">
        <v>95.59</v>
      </c>
      <c r="L71" s="60">
        <v>27.96</v>
      </c>
      <c r="M71" s="60">
        <v>75.28</v>
      </c>
      <c r="N71" s="60">
        <v>86.2</v>
      </c>
      <c r="O71" s="60">
        <v>0</v>
      </c>
      <c r="P71" s="60">
        <v>1.0900000000000001</v>
      </c>
      <c r="Q71" s="60">
        <v>271.88</v>
      </c>
      <c r="R71" s="198"/>
      <c r="S71" s="198"/>
      <c r="T71" s="198"/>
      <c r="U71" s="198"/>
    </row>
    <row r="72" spans="1:21" s="12" customFormat="1" x14ac:dyDescent="0.25">
      <c r="A72" s="201" t="s">
        <v>2807</v>
      </c>
      <c r="B72" s="60">
        <v>3.54</v>
      </c>
      <c r="C72" s="60">
        <v>99.49</v>
      </c>
      <c r="D72" s="60">
        <v>57.74</v>
      </c>
      <c r="E72" s="60">
        <v>2.39</v>
      </c>
      <c r="F72" s="60">
        <v>2.76</v>
      </c>
      <c r="G72" s="60">
        <v>60.31</v>
      </c>
      <c r="H72" s="60">
        <v>29.14</v>
      </c>
      <c r="I72" s="60">
        <v>0.44</v>
      </c>
      <c r="J72" s="60">
        <v>0.2</v>
      </c>
      <c r="K72" s="60">
        <v>91.51</v>
      </c>
      <c r="L72" s="60">
        <v>27.46</v>
      </c>
      <c r="M72" s="60">
        <v>87.97</v>
      </c>
      <c r="N72" s="60">
        <v>61.3</v>
      </c>
      <c r="O72" s="60">
        <v>0</v>
      </c>
      <c r="P72" s="60">
        <v>1.1200000000000001</v>
      </c>
      <c r="Q72" s="60">
        <v>276.24</v>
      </c>
      <c r="R72" s="198"/>
      <c r="S72" s="198"/>
      <c r="T72" s="198"/>
      <c r="U72" s="198"/>
    </row>
    <row r="73" spans="1:21" s="12" customFormat="1" x14ac:dyDescent="0.25">
      <c r="A73" s="201" t="s">
        <v>2808</v>
      </c>
      <c r="B73" s="60">
        <v>3.55</v>
      </c>
      <c r="C73" s="60">
        <v>102.28</v>
      </c>
      <c r="D73" s="60">
        <v>59.29</v>
      </c>
      <c r="E73" s="60">
        <v>4.6100000000000003</v>
      </c>
      <c r="F73" s="60">
        <v>2.67</v>
      </c>
      <c r="G73" s="60">
        <v>59.78</v>
      </c>
      <c r="H73" s="60">
        <v>27.55</v>
      </c>
      <c r="I73" s="60">
        <v>0.46</v>
      </c>
      <c r="J73" s="60">
        <v>0.56000000000000005</v>
      </c>
      <c r="K73" s="60">
        <v>101.12</v>
      </c>
      <c r="L73" s="60">
        <v>26.95</v>
      </c>
      <c r="M73" s="60">
        <v>89.65</v>
      </c>
      <c r="N73" s="60">
        <v>42.7</v>
      </c>
      <c r="O73" s="60">
        <v>0</v>
      </c>
      <c r="P73" s="60">
        <v>1.1200000000000001</v>
      </c>
      <c r="Q73" s="60">
        <v>273.13</v>
      </c>
      <c r="R73" s="198"/>
      <c r="S73" s="198"/>
      <c r="T73" s="198"/>
      <c r="U73" s="198"/>
    </row>
    <row r="74" spans="1:21" s="12" customFormat="1" x14ac:dyDescent="0.25">
      <c r="A74" s="201" t="s">
        <v>2809</v>
      </c>
      <c r="B74" s="60">
        <v>4.7300000000000004</v>
      </c>
      <c r="C74" s="60">
        <v>104.86</v>
      </c>
      <c r="D74" s="60">
        <v>61.66</v>
      </c>
      <c r="E74" s="60">
        <v>5.46</v>
      </c>
      <c r="F74" s="60">
        <v>3.06</v>
      </c>
      <c r="G74" s="60">
        <v>59.78</v>
      </c>
      <c r="H74" s="60">
        <v>27.29</v>
      </c>
      <c r="I74" s="60">
        <v>0.45</v>
      </c>
      <c r="J74" s="60">
        <v>0.48</v>
      </c>
      <c r="K74" s="60">
        <v>105.28</v>
      </c>
      <c r="L74" s="60">
        <v>26.43</v>
      </c>
      <c r="M74" s="60">
        <v>85.62</v>
      </c>
      <c r="N74" s="60">
        <v>33</v>
      </c>
      <c r="O74" s="60">
        <v>0</v>
      </c>
      <c r="P74" s="60">
        <v>1.1399999999999999</v>
      </c>
      <c r="Q74" s="60">
        <v>272.36</v>
      </c>
      <c r="R74" s="198"/>
      <c r="S74" s="198"/>
      <c r="T74" s="198"/>
      <c r="U74" s="198"/>
    </row>
    <row r="75" spans="1:21" s="12" customFormat="1" x14ac:dyDescent="0.25">
      <c r="A75" s="201" t="s">
        <v>2810</v>
      </c>
      <c r="B75" s="60">
        <v>6.48</v>
      </c>
      <c r="C75" s="60">
        <v>115.38</v>
      </c>
      <c r="D75" s="60">
        <v>68.87</v>
      </c>
      <c r="E75" s="60">
        <v>5.76</v>
      </c>
      <c r="F75" s="60">
        <v>2.99</v>
      </c>
      <c r="G75" s="60">
        <v>59.78</v>
      </c>
      <c r="H75" s="60">
        <v>27.29</v>
      </c>
      <c r="I75" s="60">
        <v>0.45</v>
      </c>
      <c r="J75" s="60">
        <v>0.28999999999999998</v>
      </c>
      <c r="K75" s="60">
        <v>115.22</v>
      </c>
      <c r="L75" s="60">
        <v>25.75</v>
      </c>
      <c r="M75" s="60">
        <v>85.39</v>
      </c>
      <c r="N75" s="60">
        <v>23.6</v>
      </c>
      <c r="O75" s="60">
        <v>0</v>
      </c>
      <c r="P75" s="60">
        <v>1.17</v>
      </c>
      <c r="Q75" s="60">
        <v>272.10000000000002</v>
      </c>
      <c r="R75" s="198"/>
      <c r="S75" s="198"/>
      <c r="T75" s="198"/>
      <c r="U75" s="198"/>
    </row>
    <row r="76" spans="1:21" s="12" customFormat="1" x14ac:dyDescent="0.25">
      <c r="A76" s="201" t="s">
        <v>2811</v>
      </c>
      <c r="B76" s="60">
        <v>7.45</v>
      </c>
      <c r="C76" s="60">
        <v>123.59</v>
      </c>
      <c r="D76" s="60">
        <v>74.180000000000007</v>
      </c>
      <c r="E76" s="60">
        <v>5.66</v>
      </c>
      <c r="F76" s="60">
        <v>3.05</v>
      </c>
      <c r="G76" s="60">
        <v>59.78</v>
      </c>
      <c r="H76" s="60">
        <v>27.29</v>
      </c>
      <c r="I76" s="60">
        <v>0.44</v>
      </c>
      <c r="J76" s="60">
        <v>0.16</v>
      </c>
      <c r="K76" s="60">
        <v>124.38</v>
      </c>
      <c r="L76" s="60">
        <v>24.88</v>
      </c>
      <c r="M76" s="60">
        <v>49.59</v>
      </c>
      <c r="N76" s="60">
        <v>14</v>
      </c>
      <c r="O76" s="60">
        <v>0</v>
      </c>
      <c r="P76" s="60">
        <v>1.24</v>
      </c>
      <c r="Q76" s="60">
        <v>273.14</v>
      </c>
      <c r="R76" s="198"/>
      <c r="S76" s="198"/>
      <c r="T76" s="198"/>
      <c r="U76" s="198"/>
    </row>
    <row r="77" spans="1:21" s="12" customFormat="1" x14ac:dyDescent="0.25">
      <c r="A77" s="201" t="s">
        <v>2812</v>
      </c>
      <c r="B77" s="60">
        <v>9.9</v>
      </c>
      <c r="C77" s="60">
        <v>130.44999999999999</v>
      </c>
      <c r="D77" s="60">
        <v>79.930000000000007</v>
      </c>
      <c r="E77" s="60">
        <v>5.28</v>
      </c>
      <c r="F77" s="60">
        <v>0.97</v>
      </c>
      <c r="G77" s="60">
        <v>72.430000000000007</v>
      </c>
      <c r="H77" s="60">
        <v>26.81</v>
      </c>
      <c r="I77" s="60">
        <v>0.45</v>
      </c>
      <c r="J77" s="60">
        <v>0.09</v>
      </c>
      <c r="K77" s="60">
        <v>135.52000000000001</v>
      </c>
      <c r="L77" s="60">
        <v>23.89</v>
      </c>
      <c r="M77" s="60">
        <v>62.68</v>
      </c>
      <c r="N77" s="60">
        <v>6</v>
      </c>
      <c r="O77" s="60">
        <v>0</v>
      </c>
      <c r="P77" s="60">
        <v>1.3</v>
      </c>
      <c r="Q77" s="60">
        <v>275.83</v>
      </c>
      <c r="R77" s="198"/>
      <c r="S77" s="198"/>
      <c r="T77" s="198"/>
      <c r="U77" s="198"/>
    </row>
    <row r="78" spans="1:21" s="12" customFormat="1" x14ac:dyDescent="0.25">
      <c r="A78" s="201" t="s">
        <v>2813</v>
      </c>
      <c r="B78" s="60">
        <v>9.41</v>
      </c>
      <c r="C78" s="60">
        <v>131.35</v>
      </c>
      <c r="D78" s="60">
        <v>80.03</v>
      </c>
      <c r="E78" s="60">
        <v>4.9400000000000004</v>
      </c>
      <c r="F78" s="60">
        <v>1.0900000000000001</v>
      </c>
      <c r="G78" s="60">
        <v>72.430000000000007</v>
      </c>
      <c r="H78" s="60">
        <v>26.72</v>
      </c>
      <c r="I78" s="60">
        <v>0.45</v>
      </c>
      <c r="J78" s="60">
        <v>0.09</v>
      </c>
      <c r="K78" s="60">
        <v>144.85</v>
      </c>
      <c r="L78" s="60">
        <v>22.78</v>
      </c>
      <c r="M78" s="60">
        <v>36.11</v>
      </c>
      <c r="N78" s="60">
        <v>2.2999999999999998</v>
      </c>
      <c r="O78" s="60">
        <v>0</v>
      </c>
      <c r="P78" s="60">
        <v>1.31</v>
      </c>
      <c r="Q78" s="60">
        <v>279.33</v>
      </c>
      <c r="R78" s="198"/>
      <c r="S78" s="198"/>
      <c r="T78" s="198"/>
      <c r="U78" s="198"/>
    </row>
    <row r="79" spans="1:21" s="12" customFormat="1" x14ac:dyDescent="0.25">
      <c r="A79" s="201" t="s">
        <v>2814</v>
      </c>
      <c r="B79" s="60">
        <v>12.56</v>
      </c>
      <c r="C79" s="60">
        <v>140.12</v>
      </c>
      <c r="D79" s="60">
        <v>87.4</v>
      </c>
      <c r="E79" s="60">
        <v>5.04</v>
      </c>
      <c r="F79" s="60">
        <v>1.2</v>
      </c>
      <c r="G79" s="60">
        <v>72.430000000000007</v>
      </c>
      <c r="H79" s="60">
        <v>26.72</v>
      </c>
      <c r="I79" s="60">
        <v>0.47</v>
      </c>
      <c r="J79" s="60">
        <v>0.13</v>
      </c>
      <c r="K79" s="60">
        <v>163.72</v>
      </c>
      <c r="L79" s="60">
        <v>21.93</v>
      </c>
      <c r="M79" s="60">
        <v>68.849999999999994</v>
      </c>
      <c r="N79" s="60">
        <v>1.1000000000000001</v>
      </c>
      <c r="O79" s="60">
        <v>0</v>
      </c>
      <c r="P79" s="60">
        <v>1.38</v>
      </c>
      <c r="Q79" s="60">
        <v>285.54000000000002</v>
      </c>
      <c r="R79" s="198"/>
      <c r="S79" s="198"/>
      <c r="T79" s="198"/>
      <c r="U79" s="198"/>
    </row>
    <row r="80" spans="1:21" s="12" customFormat="1" x14ac:dyDescent="0.25">
      <c r="A80" s="201" t="s">
        <v>2815</v>
      </c>
      <c r="B80" s="60">
        <v>14.31</v>
      </c>
      <c r="C80" s="60">
        <v>144.34</v>
      </c>
      <c r="D80" s="60">
        <v>91.14</v>
      </c>
      <c r="E80" s="60">
        <v>5.17</v>
      </c>
      <c r="F80" s="60">
        <v>1.2</v>
      </c>
      <c r="G80" s="60">
        <v>72.430000000000007</v>
      </c>
      <c r="H80" s="60">
        <v>26.72</v>
      </c>
      <c r="I80" s="60">
        <v>0.49</v>
      </c>
      <c r="J80" s="60">
        <v>0.15</v>
      </c>
      <c r="K80" s="60">
        <v>174.94</v>
      </c>
      <c r="L80" s="60">
        <v>21.44</v>
      </c>
      <c r="M80" s="60">
        <v>74.84</v>
      </c>
      <c r="N80" s="60">
        <v>1</v>
      </c>
      <c r="O80" s="60">
        <v>0</v>
      </c>
      <c r="P80" s="60">
        <v>1.45</v>
      </c>
      <c r="Q80" s="60">
        <v>292.83999999999997</v>
      </c>
      <c r="R80" s="198"/>
      <c r="S80" s="198"/>
      <c r="T80" s="198"/>
      <c r="U80" s="198"/>
    </row>
    <row r="81" spans="1:26" s="12" customFormat="1" x14ac:dyDescent="0.25">
      <c r="A81" s="201" t="s">
        <v>2816</v>
      </c>
      <c r="B81" s="60">
        <v>19.100000000000001</v>
      </c>
      <c r="C81" s="60">
        <v>145.54</v>
      </c>
      <c r="D81" s="60">
        <v>95.64</v>
      </c>
      <c r="E81" s="60">
        <v>4.71</v>
      </c>
      <c r="F81" s="60">
        <v>1.04</v>
      </c>
      <c r="G81" s="60">
        <v>102.85</v>
      </c>
      <c r="H81" s="60">
        <v>29.12</v>
      </c>
      <c r="I81" s="60">
        <v>0.52</v>
      </c>
      <c r="J81" s="60">
        <v>0.17</v>
      </c>
      <c r="K81" s="60">
        <v>187.82</v>
      </c>
      <c r="L81" s="60">
        <v>20.9</v>
      </c>
      <c r="M81" s="60">
        <v>33.51</v>
      </c>
      <c r="N81" s="60">
        <v>1</v>
      </c>
      <c r="O81" s="60">
        <v>0</v>
      </c>
      <c r="P81" s="60">
        <v>1.53</v>
      </c>
      <c r="Q81" s="60">
        <v>299.68</v>
      </c>
      <c r="R81" s="198"/>
      <c r="S81" s="198"/>
      <c r="T81" s="198"/>
      <c r="U81" s="198"/>
    </row>
    <row r="82" spans="1:26" s="12" customFormat="1" x14ac:dyDescent="0.25">
      <c r="A82" s="201" t="s">
        <v>2817</v>
      </c>
      <c r="B82" s="60">
        <v>24.23</v>
      </c>
      <c r="C82" s="60">
        <v>154.08000000000001</v>
      </c>
      <c r="D82" s="60">
        <v>104.47</v>
      </c>
      <c r="E82" s="60">
        <v>5.0599999999999996</v>
      </c>
      <c r="F82" s="60">
        <v>0.74</v>
      </c>
      <c r="G82" s="60">
        <v>102.85</v>
      </c>
      <c r="H82" s="60">
        <v>29.53</v>
      </c>
      <c r="I82" s="60">
        <v>0.55000000000000004</v>
      </c>
      <c r="J82" s="60">
        <v>0.1</v>
      </c>
      <c r="K82" s="60">
        <v>191.08</v>
      </c>
      <c r="L82" s="60">
        <v>20.5</v>
      </c>
      <c r="M82" s="60">
        <v>53.42</v>
      </c>
      <c r="N82" s="60">
        <v>1</v>
      </c>
      <c r="O82" s="60">
        <v>0</v>
      </c>
      <c r="P82" s="60">
        <v>1.6</v>
      </c>
      <c r="Q82" s="60">
        <v>308.86</v>
      </c>
      <c r="R82" s="198"/>
      <c r="S82" s="198"/>
      <c r="T82" s="198"/>
      <c r="U82" s="198"/>
    </row>
    <row r="83" spans="1:26" s="12" customFormat="1" x14ac:dyDescent="0.25">
      <c r="A83" s="201" t="s">
        <v>2818</v>
      </c>
      <c r="B83" s="60">
        <v>29.32</v>
      </c>
      <c r="C83" s="60">
        <v>159.74</v>
      </c>
      <c r="D83" s="60">
        <v>111.67</v>
      </c>
      <c r="E83" s="60">
        <v>5.0999999999999996</v>
      </c>
      <c r="F83" s="60">
        <v>0.94</v>
      </c>
      <c r="G83" s="60">
        <v>102.85</v>
      </c>
      <c r="H83" s="60">
        <v>29.53</v>
      </c>
      <c r="I83" s="60">
        <v>0.6</v>
      </c>
      <c r="J83" s="60">
        <v>0.14000000000000001</v>
      </c>
      <c r="K83" s="60">
        <v>203.43</v>
      </c>
      <c r="L83" s="60">
        <v>19.98</v>
      </c>
      <c r="M83" s="60">
        <v>36.29</v>
      </c>
      <c r="N83" s="60">
        <v>0.9</v>
      </c>
      <c r="O83" s="60">
        <v>0</v>
      </c>
      <c r="P83" s="60">
        <v>1.68</v>
      </c>
      <c r="Q83" s="60">
        <v>317.62</v>
      </c>
      <c r="R83" s="198"/>
      <c r="S83" s="198"/>
      <c r="T83" s="198"/>
      <c r="U83" s="198"/>
    </row>
    <row r="84" spans="1:26" s="12" customFormat="1" x14ac:dyDescent="0.25">
      <c r="A84" s="201" t="s">
        <v>2819</v>
      </c>
      <c r="B84" s="60">
        <v>39.200000000000003</v>
      </c>
      <c r="C84" s="60">
        <v>171.7</v>
      </c>
      <c r="D84" s="60">
        <v>126.19</v>
      </c>
      <c r="E84" s="60">
        <v>4.96</v>
      </c>
      <c r="F84" s="60">
        <v>0.97</v>
      </c>
      <c r="G84" s="60">
        <v>102.85</v>
      </c>
      <c r="H84" s="60">
        <v>29.53</v>
      </c>
      <c r="I84" s="60">
        <v>0.66</v>
      </c>
      <c r="J84" s="60">
        <v>0.06</v>
      </c>
      <c r="K84" s="60">
        <v>212.28</v>
      </c>
      <c r="L84" s="60">
        <v>19.77</v>
      </c>
      <c r="M84" s="60">
        <v>31.5</v>
      </c>
      <c r="N84" s="60">
        <v>1.1000000000000001</v>
      </c>
      <c r="O84" s="60">
        <v>0</v>
      </c>
      <c r="P84" s="60">
        <v>1.76</v>
      </c>
      <c r="Q84" s="60">
        <v>326.94</v>
      </c>
      <c r="R84" s="198"/>
      <c r="S84" s="198"/>
      <c r="T84" s="198"/>
      <c r="U84" s="198"/>
    </row>
    <row r="85" spans="1:26" s="12" customFormat="1" x14ac:dyDescent="0.25">
      <c r="A85" s="201" t="s">
        <v>2820</v>
      </c>
      <c r="B85" s="60">
        <v>43.69</v>
      </c>
      <c r="C85" s="60">
        <v>171.24</v>
      </c>
      <c r="D85" s="60">
        <v>129.54</v>
      </c>
      <c r="E85" s="60">
        <v>5.31</v>
      </c>
      <c r="F85" s="60">
        <v>0.75</v>
      </c>
      <c r="G85" s="60">
        <v>166.9</v>
      </c>
      <c r="H85" s="60">
        <v>32.549999999999997</v>
      </c>
      <c r="I85" s="60">
        <v>0.72</v>
      </c>
      <c r="J85" s="60">
        <v>0.11</v>
      </c>
      <c r="K85" s="60">
        <v>210.35</v>
      </c>
      <c r="L85" s="60">
        <v>19.350000000000001</v>
      </c>
      <c r="M85" s="60">
        <v>33.85</v>
      </c>
      <c r="N85" s="60">
        <v>0.9</v>
      </c>
      <c r="O85" s="60">
        <v>0</v>
      </c>
      <c r="P85" s="60">
        <v>1.78</v>
      </c>
      <c r="Q85" s="60">
        <v>336.09</v>
      </c>
      <c r="R85" s="198"/>
      <c r="S85" s="198"/>
      <c r="T85" s="198"/>
      <c r="U85" s="198"/>
    </row>
    <row r="86" spans="1:26" s="12" customFormat="1" x14ac:dyDescent="0.25">
      <c r="A86" s="201" t="s">
        <v>2821</v>
      </c>
      <c r="B86" s="60">
        <v>48.94</v>
      </c>
      <c r="C86" s="60">
        <v>175.66</v>
      </c>
      <c r="D86" s="60">
        <v>136.19</v>
      </c>
      <c r="E86" s="60">
        <v>4.95</v>
      </c>
      <c r="F86" s="60">
        <v>0.46</v>
      </c>
      <c r="G86" s="60">
        <v>166.9</v>
      </c>
      <c r="H86" s="60">
        <v>33.06</v>
      </c>
      <c r="I86" s="60">
        <v>0.78</v>
      </c>
      <c r="J86" s="60">
        <v>0.17</v>
      </c>
      <c r="K86" s="60">
        <v>222.72</v>
      </c>
      <c r="L86" s="60">
        <v>19.13</v>
      </c>
      <c r="M86" s="60">
        <v>34.61</v>
      </c>
      <c r="N86" s="60">
        <v>0.7</v>
      </c>
      <c r="O86" s="60">
        <v>0</v>
      </c>
      <c r="P86" s="60">
        <v>1.9</v>
      </c>
      <c r="Q86" s="60">
        <v>348.33</v>
      </c>
      <c r="R86" s="198"/>
      <c r="S86" s="198"/>
      <c r="T86" s="198"/>
      <c r="U86" s="198"/>
    </row>
    <row r="87" spans="1:26" s="12" customFormat="1" x14ac:dyDescent="0.25">
      <c r="A87" s="201" t="s">
        <v>2822</v>
      </c>
      <c r="B87" s="60">
        <v>53.07</v>
      </c>
      <c r="C87" s="60">
        <v>178.27</v>
      </c>
      <c r="D87" s="60">
        <v>140.94</v>
      </c>
      <c r="E87" s="60">
        <v>4.5999999999999996</v>
      </c>
      <c r="F87" s="60">
        <v>0.53</v>
      </c>
      <c r="G87" s="60">
        <v>166.9</v>
      </c>
      <c r="H87" s="60">
        <v>33.06</v>
      </c>
      <c r="I87" s="60">
        <v>0.82</v>
      </c>
      <c r="J87" s="60">
        <v>0.12</v>
      </c>
      <c r="K87" s="60">
        <v>249.32</v>
      </c>
      <c r="L87" s="60">
        <v>19.03</v>
      </c>
      <c r="M87" s="60">
        <v>45.34</v>
      </c>
      <c r="N87" s="60">
        <v>0.7</v>
      </c>
      <c r="O87" s="60">
        <v>0</v>
      </c>
      <c r="P87" s="60">
        <v>1.98</v>
      </c>
      <c r="Q87" s="60">
        <v>352.58</v>
      </c>
      <c r="R87" s="198"/>
      <c r="S87" s="198"/>
      <c r="T87" s="198"/>
      <c r="U87" s="198"/>
    </row>
    <row r="88" spans="1:26" s="12" customFormat="1" x14ac:dyDescent="0.25">
      <c r="A88" s="201" t="s">
        <v>2823</v>
      </c>
      <c r="B88" s="60">
        <v>54.73</v>
      </c>
      <c r="C88" s="60">
        <v>177.84</v>
      </c>
      <c r="D88" s="60">
        <v>142.04</v>
      </c>
      <c r="E88" s="60">
        <v>2.41</v>
      </c>
      <c r="F88" s="60">
        <v>0.79</v>
      </c>
      <c r="G88" s="60">
        <v>166.9</v>
      </c>
      <c r="H88" s="60">
        <v>33.06</v>
      </c>
      <c r="I88" s="60">
        <v>0.87</v>
      </c>
      <c r="J88" s="60">
        <v>0.12</v>
      </c>
      <c r="K88" s="60">
        <v>239.13</v>
      </c>
      <c r="L88" s="60">
        <v>18.93</v>
      </c>
      <c r="M88" s="60">
        <v>59.46</v>
      </c>
      <c r="N88" s="60">
        <v>0.8</v>
      </c>
      <c r="O88" s="60">
        <v>0</v>
      </c>
      <c r="P88" s="60">
        <v>2.06</v>
      </c>
      <c r="Q88" s="60">
        <v>352.55</v>
      </c>
      <c r="R88" s="198"/>
      <c r="S88" s="198"/>
      <c r="T88" s="198"/>
      <c r="U88" s="198"/>
    </row>
    <row r="89" spans="1:26" s="12" customFormat="1" x14ac:dyDescent="0.25">
      <c r="A89" s="201" t="s">
        <v>2824</v>
      </c>
      <c r="B89" s="60">
        <v>58.4</v>
      </c>
      <c r="C89" s="60">
        <v>180.25</v>
      </c>
      <c r="D89" s="60">
        <v>146.31</v>
      </c>
      <c r="E89" s="60">
        <v>4.55</v>
      </c>
      <c r="F89" s="60">
        <v>0.8</v>
      </c>
      <c r="G89" s="60">
        <v>188.75</v>
      </c>
      <c r="H89" s="60">
        <v>36.659999999999997</v>
      </c>
      <c r="I89" s="60">
        <v>0.91</v>
      </c>
      <c r="J89" s="60">
        <v>0.08</v>
      </c>
      <c r="K89" s="60">
        <v>238.98</v>
      </c>
      <c r="L89" s="60">
        <v>18.829999999999998</v>
      </c>
      <c r="M89" s="60">
        <v>49.54</v>
      </c>
      <c r="N89" s="60">
        <v>1.1000000000000001</v>
      </c>
      <c r="O89" s="60">
        <v>0</v>
      </c>
      <c r="P89" s="60">
        <v>2.1800000000000002</v>
      </c>
      <c r="Q89" s="60">
        <v>354.31</v>
      </c>
      <c r="R89" s="198"/>
      <c r="S89" s="198"/>
      <c r="T89" s="198"/>
      <c r="U89" s="198"/>
    </row>
    <row r="90" spans="1:26" s="12" customFormat="1" x14ac:dyDescent="0.25">
      <c r="A90" s="201" t="s">
        <v>2825</v>
      </c>
      <c r="B90" s="60">
        <v>63.81</v>
      </c>
      <c r="C90" s="60">
        <v>184.76</v>
      </c>
      <c r="D90" s="60">
        <v>153.13</v>
      </c>
      <c r="E90" s="60">
        <v>4.95</v>
      </c>
      <c r="F90" s="60">
        <v>0.94</v>
      </c>
      <c r="G90" s="60">
        <v>188.75</v>
      </c>
      <c r="H90" s="60">
        <v>37.26</v>
      </c>
      <c r="I90" s="60">
        <v>0.95</v>
      </c>
      <c r="J90" s="60">
        <v>0.12</v>
      </c>
      <c r="K90" s="60">
        <v>235.67</v>
      </c>
      <c r="L90" s="60">
        <v>18.7</v>
      </c>
      <c r="M90" s="60">
        <v>66.77</v>
      </c>
      <c r="N90" s="60">
        <v>0.8</v>
      </c>
      <c r="O90" s="60">
        <v>0</v>
      </c>
      <c r="P90" s="60">
        <v>2.36</v>
      </c>
      <c r="Q90" s="60">
        <v>359.38</v>
      </c>
      <c r="R90" s="198"/>
      <c r="S90" s="198"/>
      <c r="T90" s="198"/>
      <c r="U90" s="198"/>
    </row>
    <row r="91" spans="1:26" s="12" customFormat="1" x14ac:dyDescent="0.25">
      <c r="A91" s="201" t="s">
        <v>2826</v>
      </c>
      <c r="B91" s="60">
        <v>72.92</v>
      </c>
      <c r="C91" s="60">
        <v>193.14</v>
      </c>
      <c r="D91" s="60">
        <v>165.07</v>
      </c>
      <c r="E91" s="60">
        <v>4.55</v>
      </c>
      <c r="F91" s="60">
        <v>0.82</v>
      </c>
      <c r="G91" s="60">
        <v>188.75</v>
      </c>
      <c r="H91" s="60">
        <v>37.26</v>
      </c>
      <c r="I91" s="60">
        <v>1</v>
      </c>
      <c r="J91" s="60">
        <v>0.13</v>
      </c>
      <c r="K91" s="60">
        <v>225.81</v>
      </c>
      <c r="L91" s="60">
        <v>18.649999999999999</v>
      </c>
      <c r="M91" s="60">
        <v>95.79</v>
      </c>
      <c r="N91" s="60">
        <v>0.6</v>
      </c>
      <c r="O91" s="60">
        <v>0</v>
      </c>
      <c r="P91" s="60">
        <v>2.57</v>
      </c>
      <c r="Q91" s="60">
        <v>369.14</v>
      </c>
      <c r="R91" s="198"/>
      <c r="S91" s="198"/>
      <c r="T91" s="198"/>
      <c r="U91" s="198"/>
    </row>
    <row r="92" spans="1:26" s="12" customFormat="1" x14ac:dyDescent="0.25">
      <c r="A92" s="201" t="s">
        <v>2827</v>
      </c>
      <c r="B92" s="60">
        <v>81.8</v>
      </c>
      <c r="C92" s="60">
        <v>201.47</v>
      </c>
      <c r="D92" s="60">
        <v>176.79</v>
      </c>
      <c r="E92" s="60">
        <v>4.9400000000000004</v>
      </c>
      <c r="F92" s="60">
        <v>0.85</v>
      </c>
      <c r="G92" s="60">
        <v>188.75</v>
      </c>
      <c r="H92" s="60">
        <v>37.26</v>
      </c>
      <c r="I92" s="60">
        <v>1.08</v>
      </c>
      <c r="J92" s="60">
        <v>0.11</v>
      </c>
      <c r="K92" s="60">
        <v>210.13</v>
      </c>
      <c r="L92" s="60">
        <v>18.989999999999998</v>
      </c>
      <c r="M92" s="60">
        <v>44.96</v>
      </c>
      <c r="N92" s="60">
        <v>0.6</v>
      </c>
      <c r="O92" s="60">
        <v>0</v>
      </c>
      <c r="P92" s="60">
        <v>2.75</v>
      </c>
      <c r="Q92" s="60">
        <v>376.93</v>
      </c>
      <c r="R92" s="198"/>
      <c r="S92" s="198"/>
      <c r="T92" s="198"/>
      <c r="U92" s="198"/>
    </row>
    <row r="93" spans="1:26" s="12" customFormat="1" x14ac:dyDescent="0.25">
      <c r="A93" s="201" t="s">
        <v>2828</v>
      </c>
      <c r="B93" s="60">
        <v>88.34</v>
      </c>
      <c r="C93" s="60">
        <v>206.98</v>
      </c>
      <c r="D93" s="60">
        <v>185.07</v>
      </c>
      <c r="E93" s="60">
        <v>5.64</v>
      </c>
      <c r="F93" s="60">
        <v>0.82</v>
      </c>
      <c r="G93" s="60">
        <v>187.66</v>
      </c>
      <c r="H93" s="60">
        <v>39.94</v>
      </c>
      <c r="I93" s="60">
        <v>1.17</v>
      </c>
      <c r="J93" s="60">
        <v>0.17</v>
      </c>
      <c r="K93" s="60">
        <v>213.65</v>
      </c>
      <c r="L93" s="60">
        <v>18.940000000000001</v>
      </c>
      <c r="M93" s="60">
        <v>81.709999999999994</v>
      </c>
      <c r="N93" s="60">
        <v>0.8</v>
      </c>
      <c r="O93" s="60">
        <v>0</v>
      </c>
      <c r="P93" s="60">
        <v>2.88</v>
      </c>
      <c r="Q93" s="60">
        <v>380.65</v>
      </c>
      <c r="R93" s="198"/>
      <c r="S93" s="198"/>
      <c r="T93" s="198"/>
      <c r="U93" s="198"/>
    </row>
    <row r="94" spans="1:26" s="12" customFormat="1" x14ac:dyDescent="0.25">
      <c r="A94" s="201" t="s">
        <v>2829</v>
      </c>
      <c r="B94" s="60">
        <v>91.84</v>
      </c>
      <c r="C94" s="60">
        <v>210.88</v>
      </c>
      <c r="D94" s="60">
        <v>190.03</v>
      </c>
      <c r="E94" s="60">
        <v>5.65</v>
      </c>
      <c r="F94" s="60">
        <v>0.87</v>
      </c>
      <c r="G94" s="60">
        <v>187.66</v>
      </c>
      <c r="H94" s="60">
        <v>40.39</v>
      </c>
      <c r="I94" s="60">
        <v>1.25</v>
      </c>
      <c r="J94" s="60">
        <v>0.14000000000000001</v>
      </c>
      <c r="K94" s="60">
        <v>210.89</v>
      </c>
      <c r="L94" s="60">
        <v>18.48</v>
      </c>
      <c r="M94" s="60">
        <v>65.61</v>
      </c>
      <c r="N94" s="60">
        <v>0.9</v>
      </c>
      <c r="O94" s="60">
        <v>0</v>
      </c>
      <c r="P94" s="60">
        <v>2.97</v>
      </c>
      <c r="Q94" s="60">
        <v>384.97</v>
      </c>
      <c r="R94" s="198"/>
      <c r="S94" s="198"/>
      <c r="T94" s="198"/>
      <c r="U94" s="198"/>
    </row>
    <row r="95" spans="1:26" s="12" customFormat="1" x14ac:dyDescent="0.25">
      <c r="A95" s="201" t="s">
        <v>2830</v>
      </c>
      <c r="B95" s="60">
        <v>97.68</v>
      </c>
      <c r="C95" s="60">
        <v>217.26</v>
      </c>
      <c r="D95" s="60">
        <v>198.23</v>
      </c>
      <c r="E95" s="60">
        <v>5.48</v>
      </c>
      <c r="F95" s="60">
        <v>0.39</v>
      </c>
      <c r="G95" s="60">
        <v>187.66</v>
      </c>
      <c r="H95" s="60">
        <v>40.39</v>
      </c>
      <c r="I95" s="60">
        <v>1.33</v>
      </c>
      <c r="J95" s="60">
        <v>0.15</v>
      </c>
      <c r="K95" s="60">
        <v>217.99</v>
      </c>
      <c r="L95" s="60">
        <v>18.2</v>
      </c>
      <c r="M95" s="60">
        <v>72.56</v>
      </c>
      <c r="N95" s="60">
        <v>0.9</v>
      </c>
      <c r="O95" s="60">
        <v>0</v>
      </c>
      <c r="P95" s="60">
        <v>3.03</v>
      </c>
      <c r="Q95" s="60">
        <v>391.69</v>
      </c>
      <c r="R95" s="198"/>
      <c r="S95" s="198"/>
      <c r="T95" s="198"/>
      <c r="U95" s="198"/>
    </row>
    <row r="96" spans="1:26" s="12" customFormat="1" x14ac:dyDescent="0.25">
      <c r="A96" s="201" t="s">
        <v>2831</v>
      </c>
      <c r="B96" s="60">
        <v>106.37</v>
      </c>
      <c r="C96" s="60">
        <v>226.11</v>
      </c>
      <c r="D96" s="60">
        <v>210.09</v>
      </c>
      <c r="E96" s="60">
        <v>5.32</v>
      </c>
      <c r="F96" s="60">
        <v>0.61</v>
      </c>
      <c r="G96" s="60">
        <v>187.66</v>
      </c>
      <c r="H96" s="60">
        <v>40.39</v>
      </c>
      <c r="I96" s="60">
        <v>1.39</v>
      </c>
      <c r="J96" s="60">
        <v>0.18</v>
      </c>
      <c r="K96" s="60">
        <v>231.58</v>
      </c>
      <c r="L96" s="60">
        <v>17.89</v>
      </c>
      <c r="M96" s="60">
        <v>88.94</v>
      </c>
      <c r="N96" s="60">
        <v>0.9</v>
      </c>
      <c r="O96" s="60">
        <v>0</v>
      </c>
      <c r="P96" s="60">
        <v>3.14</v>
      </c>
      <c r="Q96" s="218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2832</v>
      </c>
      <c r="B97" s="60">
        <v>116.31</v>
      </c>
      <c r="C97" s="60">
        <v>235.05</v>
      </c>
      <c r="D97" s="60">
        <v>222.99</v>
      </c>
      <c r="E97" s="60">
        <v>5.94</v>
      </c>
      <c r="F97" s="60">
        <v>0.89</v>
      </c>
      <c r="G97" s="60">
        <v>191.17</v>
      </c>
      <c r="H97" s="60">
        <v>43.59</v>
      </c>
      <c r="I97" s="60">
        <v>1.43</v>
      </c>
      <c r="J97" s="60">
        <v>0.2</v>
      </c>
      <c r="K97" s="60">
        <v>231.31</v>
      </c>
      <c r="L97" s="60">
        <v>17.579999999999998</v>
      </c>
      <c r="M97" s="60">
        <v>92.62</v>
      </c>
      <c r="N97" s="60">
        <v>0.8</v>
      </c>
      <c r="O97" s="60">
        <v>0</v>
      </c>
      <c r="P97" s="60">
        <v>3.3</v>
      </c>
      <c r="Q97" s="218" t="s">
        <v>42</v>
      </c>
      <c r="R97" s="198"/>
      <c r="S97" s="198"/>
      <c r="T97" s="198"/>
      <c r="U97" s="198"/>
    </row>
    <row r="98" spans="1:33" s="12" customFormat="1" x14ac:dyDescent="0.25">
      <c r="A98" s="201" t="s">
        <v>2833</v>
      </c>
      <c r="B98" s="60">
        <v>124.19</v>
      </c>
      <c r="C98" s="60">
        <v>241.98</v>
      </c>
      <c r="D98" s="60">
        <v>233.14</v>
      </c>
      <c r="E98" s="60">
        <v>5.96</v>
      </c>
      <c r="F98" s="60">
        <v>0.81</v>
      </c>
      <c r="G98" s="60">
        <v>191.17</v>
      </c>
      <c r="H98" s="60">
        <v>44.14</v>
      </c>
      <c r="I98" s="60">
        <v>1.48</v>
      </c>
      <c r="J98" s="60">
        <v>0.27</v>
      </c>
      <c r="K98" s="60">
        <v>235.2</v>
      </c>
      <c r="L98" s="60">
        <v>17.52</v>
      </c>
      <c r="M98" s="60">
        <v>81.8</v>
      </c>
      <c r="N98" s="60">
        <v>0.5</v>
      </c>
      <c r="O98" s="60">
        <v>0</v>
      </c>
      <c r="P98" s="60">
        <v>3.42</v>
      </c>
      <c r="Q98" s="218" t="s">
        <v>42</v>
      </c>
      <c r="R98" s="198"/>
      <c r="S98" s="198"/>
      <c r="T98" s="198"/>
      <c r="U98" s="198"/>
    </row>
    <row r="99" spans="1:33" s="12" customFormat="1" x14ac:dyDescent="0.25">
      <c r="A99" s="201" t="s">
        <v>2834</v>
      </c>
      <c r="B99" s="60">
        <v>128.6</v>
      </c>
      <c r="C99" s="60">
        <v>244.79</v>
      </c>
      <c r="D99" s="60">
        <v>238.22</v>
      </c>
      <c r="E99" s="60">
        <v>5.93</v>
      </c>
      <c r="F99" s="60">
        <v>0.71</v>
      </c>
      <c r="G99" s="60">
        <v>191.17</v>
      </c>
      <c r="H99" s="60">
        <v>44.14</v>
      </c>
      <c r="I99" s="60">
        <v>1.54</v>
      </c>
      <c r="J99" s="60">
        <v>0.27</v>
      </c>
      <c r="K99" s="60">
        <v>235.52</v>
      </c>
      <c r="L99" s="60">
        <v>17.91</v>
      </c>
      <c r="M99" s="60">
        <v>73.14</v>
      </c>
      <c r="N99" s="60">
        <v>0.5</v>
      </c>
      <c r="O99" s="60">
        <v>0</v>
      </c>
      <c r="P99" s="60">
        <v>3.46</v>
      </c>
      <c r="Q99" s="218" t="s">
        <v>42</v>
      </c>
      <c r="R99" s="198"/>
      <c r="S99" s="198"/>
      <c r="T99" s="198"/>
      <c r="U99" s="198"/>
    </row>
    <row r="100" spans="1:33" s="12" customFormat="1" x14ac:dyDescent="0.25">
      <c r="A100" s="201" t="s">
        <v>2835</v>
      </c>
      <c r="B100" s="60">
        <v>127.43</v>
      </c>
      <c r="C100" s="60">
        <v>239.88</v>
      </c>
      <c r="D100" s="60">
        <v>234.57</v>
      </c>
      <c r="E100" s="60">
        <v>5.93</v>
      </c>
      <c r="F100" s="60">
        <v>1.29</v>
      </c>
      <c r="G100" s="60">
        <v>191.17</v>
      </c>
      <c r="H100" s="60">
        <v>44.14</v>
      </c>
      <c r="I100" s="60">
        <v>1.57</v>
      </c>
      <c r="J100" s="60">
        <v>0.19</v>
      </c>
      <c r="K100" s="60">
        <v>237.39</v>
      </c>
      <c r="L100" s="60">
        <v>17.489999999999998</v>
      </c>
      <c r="M100" s="60">
        <v>71.23</v>
      </c>
      <c r="N100" s="60">
        <v>1</v>
      </c>
      <c r="O100" s="60">
        <v>0</v>
      </c>
      <c r="P100" s="60">
        <v>3.41</v>
      </c>
      <c r="Q100" s="218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2836</v>
      </c>
      <c r="B101" s="60">
        <v>122.36</v>
      </c>
      <c r="C101" s="60">
        <v>230.74</v>
      </c>
      <c r="D101" s="60">
        <v>225.46</v>
      </c>
      <c r="E101" s="60">
        <v>5.57</v>
      </c>
      <c r="F101" s="60">
        <v>1.1200000000000001</v>
      </c>
      <c r="G101" s="60">
        <v>167.98</v>
      </c>
      <c r="H101" s="60">
        <v>47.6</v>
      </c>
      <c r="I101" s="60">
        <v>1.58</v>
      </c>
      <c r="J101" s="60">
        <v>0.13</v>
      </c>
      <c r="K101" s="60">
        <v>237.47</v>
      </c>
      <c r="L101" s="60">
        <v>17.04</v>
      </c>
      <c r="M101" s="60">
        <v>63.36</v>
      </c>
      <c r="N101" s="60">
        <v>1.1000000000000001</v>
      </c>
      <c r="O101" s="60">
        <v>0</v>
      </c>
      <c r="P101" s="60">
        <v>3.34</v>
      </c>
      <c r="Q101" s="218" t="s">
        <v>42</v>
      </c>
      <c r="R101" s="198"/>
      <c r="S101" s="198"/>
      <c r="T101" s="198"/>
      <c r="U101" s="198"/>
    </row>
    <row r="102" spans="1:33" s="12" customFormat="1" x14ac:dyDescent="0.25">
      <c r="A102" s="201" t="s">
        <v>2837</v>
      </c>
      <c r="B102" s="60">
        <v>116.21</v>
      </c>
      <c r="C102" s="60">
        <v>221.53</v>
      </c>
      <c r="D102" s="60">
        <v>215.45</v>
      </c>
      <c r="E102" s="60">
        <v>5.82</v>
      </c>
      <c r="F102" s="60">
        <v>1.01</v>
      </c>
      <c r="G102" s="60">
        <v>167.98</v>
      </c>
      <c r="H102" s="60">
        <v>48.19</v>
      </c>
      <c r="I102" s="60">
        <v>1.55</v>
      </c>
      <c r="J102" s="60">
        <v>0.16</v>
      </c>
      <c r="K102" s="60">
        <v>247.43</v>
      </c>
      <c r="L102" s="60">
        <v>16.62</v>
      </c>
      <c r="M102" s="60">
        <v>82.03</v>
      </c>
      <c r="N102" s="60">
        <v>1.2</v>
      </c>
      <c r="O102" s="60">
        <v>0</v>
      </c>
      <c r="P102" s="60">
        <v>3.24</v>
      </c>
      <c r="Q102" s="218" t="s">
        <v>42</v>
      </c>
      <c r="R102" s="198"/>
      <c r="S102" s="198"/>
      <c r="T102" s="198"/>
      <c r="U102" s="198"/>
    </row>
    <row r="103" spans="1:33" s="12" customFormat="1" x14ac:dyDescent="0.25">
      <c r="A103" s="201" t="s">
        <v>2838</v>
      </c>
      <c r="B103" s="60">
        <v>111.2</v>
      </c>
      <c r="C103" s="60">
        <v>214.82</v>
      </c>
      <c r="D103" s="60">
        <v>207.73</v>
      </c>
      <c r="E103" s="60">
        <v>5.71</v>
      </c>
      <c r="F103" s="60">
        <v>0.96</v>
      </c>
      <c r="G103" s="60">
        <v>167.98</v>
      </c>
      <c r="H103" s="60">
        <v>48.19</v>
      </c>
      <c r="I103" s="60">
        <v>1.5</v>
      </c>
      <c r="J103" s="60">
        <v>0.18</v>
      </c>
      <c r="K103" s="60">
        <v>250.64</v>
      </c>
      <c r="L103" s="60">
        <v>16.34</v>
      </c>
      <c r="M103" s="60">
        <v>71.27</v>
      </c>
      <c r="N103" s="60">
        <v>0.9</v>
      </c>
      <c r="O103" s="60">
        <v>0</v>
      </c>
      <c r="P103" s="60">
        <v>3.16</v>
      </c>
      <c r="Q103" s="60">
        <v>396.32</v>
      </c>
      <c r="R103" s="198"/>
      <c r="S103" s="198"/>
      <c r="T103" s="198"/>
      <c r="U103" s="198"/>
    </row>
    <row r="104" spans="1:33" s="12" customFormat="1" x14ac:dyDescent="0.25">
      <c r="A104" s="201" t="s">
        <v>2839</v>
      </c>
      <c r="B104" s="60">
        <v>108.65</v>
      </c>
      <c r="C104" s="60">
        <v>211.01</v>
      </c>
      <c r="D104" s="60">
        <v>203.58</v>
      </c>
      <c r="E104" s="60">
        <v>2.37</v>
      </c>
      <c r="F104" s="60">
        <v>0.57999999999999996</v>
      </c>
      <c r="G104" s="60">
        <v>167.98</v>
      </c>
      <c r="H104" s="60">
        <v>48.19</v>
      </c>
      <c r="I104" s="60">
        <v>1.45</v>
      </c>
      <c r="J104" s="60">
        <v>0.17</v>
      </c>
      <c r="K104" s="60">
        <v>241.87</v>
      </c>
      <c r="L104" s="60">
        <v>16.36</v>
      </c>
      <c r="M104" s="60">
        <v>41.95</v>
      </c>
      <c r="N104" s="60">
        <v>0.9</v>
      </c>
      <c r="O104" s="60">
        <v>0</v>
      </c>
      <c r="P104" s="60">
        <v>3.09</v>
      </c>
      <c r="Q104" s="60">
        <v>391.39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2.5299999999999998</v>
      </c>
      <c r="C106" s="67">
        <f>MIN(C9:C104)</f>
        <v>92.04</v>
      </c>
      <c r="D106" s="67">
        <f t="shared" ref="D106:Q106" si="0">MIN(D9:D104)</f>
        <v>52.83</v>
      </c>
      <c r="E106" s="67">
        <f t="shared" si="0"/>
        <v>2.37</v>
      </c>
      <c r="F106" s="67">
        <f t="shared" si="0"/>
        <v>0.31</v>
      </c>
      <c r="G106" s="67">
        <f t="shared" si="0"/>
        <v>57.46</v>
      </c>
      <c r="H106" s="67">
        <f t="shared" si="0"/>
        <v>26.72</v>
      </c>
      <c r="I106" s="67">
        <f t="shared" si="0"/>
        <v>0.44</v>
      </c>
      <c r="J106" s="67">
        <f t="shared" si="0"/>
        <v>0.06</v>
      </c>
      <c r="K106" s="67">
        <f t="shared" si="0"/>
        <v>78.72</v>
      </c>
      <c r="L106" s="67">
        <f t="shared" si="0"/>
        <v>13.12</v>
      </c>
      <c r="M106" s="67">
        <f t="shared" si="0"/>
        <v>30.62</v>
      </c>
      <c r="N106" s="67">
        <f t="shared" si="0"/>
        <v>0.3</v>
      </c>
      <c r="O106" s="67">
        <f t="shared" si="0"/>
        <v>0</v>
      </c>
      <c r="P106" s="67">
        <f t="shared" si="0"/>
        <v>1.05</v>
      </c>
      <c r="Q106" s="67">
        <f t="shared" si="0"/>
        <v>247.11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188.48</v>
      </c>
      <c r="C107" s="66">
        <f t="shared" ref="C107:Q107" si="1">MAX(C9:C104)</f>
        <v>269.60000000000002</v>
      </c>
      <c r="D107" s="66">
        <f t="shared" si="1"/>
        <v>299.93</v>
      </c>
      <c r="E107" s="66">
        <f t="shared" si="1"/>
        <v>6.75</v>
      </c>
      <c r="F107" s="66">
        <f t="shared" si="1"/>
        <v>7.25</v>
      </c>
      <c r="G107" s="66">
        <f t="shared" si="1"/>
        <v>191.17</v>
      </c>
      <c r="H107" s="66">
        <f t="shared" si="1"/>
        <v>48.19</v>
      </c>
      <c r="I107" s="66">
        <f t="shared" si="1"/>
        <v>1.58</v>
      </c>
      <c r="J107" s="66">
        <f t="shared" si="1"/>
        <v>1.02</v>
      </c>
      <c r="K107" s="66">
        <f t="shared" si="1"/>
        <v>318.73</v>
      </c>
      <c r="L107" s="66">
        <f t="shared" si="1"/>
        <v>31.06</v>
      </c>
      <c r="M107" s="66">
        <f t="shared" si="1"/>
        <v>95.79</v>
      </c>
      <c r="N107" s="66">
        <f t="shared" si="1"/>
        <v>508.5</v>
      </c>
      <c r="O107" s="66">
        <f t="shared" si="1"/>
        <v>0</v>
      </c>
      <c r="P107" s="66">
        <f t="shared" si="1"/>
        <v>3.46</v>
      </c>
      <c r="Q107" s="66">
        <f t="shared" si="1"/>
        <v>396.32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62.166354166666629</v>
      </c>
      <c r="C108" s="67">
        <f t="shared" ref="C108:Q108" si="2">AVERAGE(C9:C104)</f>
        <v>160.6451041666667</v>
      </c>
      <c r="D108" s="67">
        <f t="shared" si="2"/>
        <v>138.50937500000001</v>
      </c>
      <c r="E108" s="67">
        <f t="shared" si="2"/>
        <v>5.1577083333333329</v>
      </c>
      <c r="F108" s="67">
        <f t="shared" si="2"/>
        <v>1.4620833333333338</v>
      </c>
      <c r="G108" s="67">
        <f t="shared" si="2"/>
        <v>116.51708333333336</v>
      </c>
      <c r="H108" s="67">
        <f t="shared" si="2"/>
        <v>39.013541666666661</v>
      </c>
      <c r="I108" s="67">
        <f t="shared" si="2"/>
        <v>0.78781250000000025</v>
      </c>
      <c r="J108" s="67">
        <f t="shared" si="2"/>
        <v>0.35593750000000007</v>
      </c>
      <c r="K108" s="67">
        <f t="shared" si="2"/>
        <v>198.64395833333333</v>
      </c>
      <c r="L108" s="67">
        <f t="shared" si="2"/>
        <v>20.38260416666667</v>
      </c>
      <c r="M108" s="67">
        <f t="shared" si="2"/>
        <v>62.934791666666676</v>
      </c>
      <c r="N108" s="67">
        <f t="shared" si="2"/>
        <v>129.37916666666666</v>
      </c>
      <c r="O108" s="67">
        <f t="shared" si="2"/>
        <v>0</v>
      </c>
      <c r="P108" s="67">
        <f t="shared" si="2"/>
        <v>1.8594791666666672</v>
      </c>
      <c r="Q108" s="67">
        <f t="shared" si="2"/>
        <v>300.67940476190489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49.622268666603901</v>
      </c>
      <c r="C109" s="67">
        <f t="shared" ref="C109:Q109" si="3">STDEV(C9:C104)</f>
        <v>45.753792572046699</v>
      </c>
      <c r="D109" s="67">
        <f t="shared" si="3"/>
        <v>63.80965800207764</v>
      </c>
      <c r="E109" s="67">
        <f t="shared" si="3"/>
        <v>0.85237189704800265</v>
      </c>
      <c r="F109" s="67">
        <f t="shared" si="3"/>
        <v>1.3094698940826284</v>
      </c>
      <c r="G109" s="67">
        <f t="shared" si="3"/>
        <v>42.810810978848139</v>
      </c>
      <c r="H109" s="67">
        <f t="shared" si="3"/>
        <v>6.3991673766229153</v>
      </c>
      <c r="I109" s="67">
        <f t="shared" si="3"/>
        <v>0.33591415922586659</v>
      </c>
      <c r="J109" s="67">
        <f t="shared" si="3"/>
        <v>0.26815383693536404</v>
      </c>
      <c r="K109" s="67">
        <f t="shared" si="3"/>
        <v>74.411907118476563</v>
      </c>
      <c r="L109" s="67">
        <f t="shared" si="3"/>
        <v>5.6335433824251666</v>
      </c>
      <c r="M109" s="67">
        <f t="shared" si="3"/>
        <v>18.125448523185987</v>
      </c>
      <c r="N109" s="67">
        <f t="shared" si="3"/>
        <v>186.49364031299555</v>
      </c>
      <c r="O109" s="67">
        <f t="shared" si="3"/>
        <v>0</v>
      </c>
      <c r="P109" s="67">
        <f t="shared" si="3"/>
        <v>0.69436888390092966</v>
      </c>
      <c r="Q109" s="67">
        <f t="shared" si="3"/>
        <v>41.561553490660089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84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A113" s="66">
        <f>COUNT(A12:A107)</f>
        <v>0</v>
      </c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7:U117"/>
    <mergeCell ref="B115:D115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2840</v>
      </c>
      <c r="B9" s="60">
        <v>103.13</v>
      </c>
      <c r="C9" s="60">
        <v>203.88</v>
      </c>
      <c r="D9" s="60">
        <v>195.22</v>
      </c>
      <c r="E9" s="60">
        <v>5.1100000000000003</v>
      </c>
      <c r="F9" s="60">
        <v>0.95</v>
      </c>
      <c r="G9" s="60">
        <v>130.94</v>
      </c>
      <c r="H9" s="60">
        <v>44.56</v>
      </c>
      <c r="I9" s="60">
        <v>1.4</v>
      </c>
      <c r="J9" s="60">
        <v>0.12</v>
      </c>
      <c r="K9" s="60">
        <v>255.08</v>
      </c>
      <c r="L9" s="60">
        <v>16.059999999999999</v>
      </c>
      <c r="M9" s="60">
        <v>41.18</v>
      </c>
      <c r="N9" s="60">
        <v>1</v>
      </c>
      <c r="O9" s="60">
        <v>0</v>
      </c>
      <c r="P9" s="60">
        <v>2.98</v>
      </c>
      <c r="Q9" s="60">
        <v>382.82</v>
      </c>
      <c r="R9" s="198"/>
      <c r="S9" s="198"/>
      <c r="T9" s="198"/>
      <c r="U9" s="198"/>
    </row>
    <row r="10" spans="1:21" s="12" customFormat="1" x14ac:dyDescent="0.25">
      <c r="A10" s="201" t="s">
        <v>2841</v>
      </c>
      <c r="B10" s="60">
        <v>97.37</v>
      </c>
      <c r="C10" s="60">
        <v>197.54</v>
      </c>
      <c r="D10" s="60">
        <v>187.1</v>
      </c>
      <c r="E10" s="60">
        <v>5.2</v>
      </c>
      <c r="F10" s="60">
        <v>0.37</v>
      </c>
      <c r="G10" s="60">
        <v>130.94</v>
      </c>
      <c r="H10" s="60">
        <v>43.94</v>
      </c>
      <c r="I10" s="60">
        <v>1.35</v>
      </c>
      <c r="J10" s="60">
        <v>0.16</v>
      </c>
      <c r="K10" s="60">
        <v>263.48</v>
      </c>
      <c r="L10" s="60">
        <v>15.67</v>
      </c>
      <c r="M10" s="60">
        <v>56.91</v>
      </c>
      <c r="N10" s="60">
        <v>0.9</v>
      </c>
      <c r="O10" s="60">
        <v>0</v>
      </c>
      <c r="P10" s="60">
        <v>2.91</v>
      </c>
      <c r="Q10" s="60">
        <v>374.17</v>
      </c>
      <c r="R10" s="198"/>
      <c r="S10" s="198"/>
      <c r="T10" s="198"/>
      <c r="U10" s="198"/>
    </row>
    <row r="11" spans="1:21" s="12" customFormat="1" x14ac:dyDescent="0.25">
      <c r="A11" s="201" t="s">
        <v>2842</v>
      </c>
      <c r="B11" s="60">
        <v>92.81</v>
      </c>
      <c r="C11" s="60">
        <v>193.42</v>
      </c>
      <c r="D11" s="60">
        <v>181.17</v>
      </c>
      <c r="E11" s="60">
        <v>5.09</v>
      </c>
      <c r="F11" s="60">
        <v>0.85</v>
      </c>
      <c r="G11" s="60">
        <v>130.94</v>
      </c>
      <c r="H11" s="60">
        <v>43.94</v>
      </c>
      <c r="I11" s="60">
        <v>1.31</v>
      </c>
      <c r="J11" s="60">
        <v>0.15</v>
      </c>
      <c r="K11" s="60">
        <v>264.61</v>
      </c>
      <c r="L11" s="60">
        <v>15.55</v>
      </c>
      <c r="M11" s="60">
        <v>32.94</v>
      </c>
      <c r="N11" s="60">
        <v>0.9</v>
      </c>
      <c r="O11" s="60">
        <v>0</v>
      </c>
      <c r="P11" s="60">
        <v>2.82</v>
      </c>
      <c r="Q11" s="60">
        <v>366.78</v>
      </c>
      <c r="R11" s="198"/>
      <c r="S11" s="198"/>
      <c r="T11" s="198"/>
      <c r="U11" s="198"/>
    </row>
    <row r="12" spans="1:21" s="12" customFormat="1" x14ac:dyDescent="0.25">
      <c r="A12" s="201" t="s">
        <v>2843</v>
      </c>
      <c r="B12" s="60">
        <v>87.21</v>
      </c>
      <c r="C12" s="60">
        <v>187.99</v>
      </c>
      <c r="D12" s="60">
        <v>173.68</v>
      </c>
      <c r="E12" s="60">
        <v>4.78</v>
      </c>
      <c r="F12" s="60">
        <v>0.72</v>
      </c>
      <c r="G12" s="60">
        <v>130.94</v>
      </c>
      <c r="H12" s="60">
        <v>43.94</v>
      </c>
      <c r="I12" s="60">
        <v>1.28</v>
      </c>
      <c r="J12" s="60">
        <v>0.21</v>
      </c>
      <c r="K12" s="60">
        <v>278.24</v>
      </c>
      <c r="L12" s="60">
        <v>15.48</v>
      </c>
      <c r="M12" s="60">
        <v>82.07</v>
      </c>
      <c r="N12" s="60">
        <v>0.7</v>
      </c>
      <c r="O12" s="60">
        <v>0</v>
      </c>
      <c r="P12" s="60">
        <v>2.73</v>
      </c>
      <c r="Q12" s="60">
        <v>357.83</v>
      </c>
      <c r="R12" s="198"/>
      <c r="S12" s="198"/>
      <c r="T12" s="198"/>
      <c r="U12" s="198"/>
    </row>
    <row r="13" spans="1:21" s="12" customFormat="1" x14ac:dyDescent="0.25">
      <c r="A13" s="201" t="s">
        <v>2844</v>
      </c>
      <c r="B13" s="60">
        <v>81.97</v>
      </c>
      <c r="C13" s="60">
        <v>182.52</v>
      </c>
      <c r="D13" s="60">
        <v>166.47</v>
      </c>
      <c r="E13" s="60">
        <v>4.8899999999999997</v>
      </c>
      <c r="F13" s="60">
        <v>0.69</v>
      </c>
      <c r="G13" s="60">
        <v>129.31</v>
      </c>
      <c r="H13" s="60">
        <v>43.27</v>
      </c>
      <c r="I13" s="60">
        <v>1.25</v>
      </c>
      <c r="J13" s="60">
        <v>0.18</v>
      </c>
      <c r="K13" s="60">
        <v>288.20999999999998</v>
      </c>
      <c r="L13" s="60">
        <v>15.59</v>
      </c>
      <c r="M13" s="60">
        <v>37.81</v>
      </c>
      <c r="N13" s="60">
        <v>0.6</v>
      </c>
      <c r="O13" s="60">
        <v>0</v>
      </c>
      <c r="P13" s="60">
        <v>2.58</v>
      </c>
      <c r="Q13" s="60">
        <v>349.14</v>
      </c>
      <c r="R13" s="198"/>
      <c r="S13" s="198"/>
      <c r="T13" s="198"/>
      <c r="U13" s="198"/>
    </row>
    <row r="14" spans="1:21" s="12" customFormat="1" x14ac:dyDescent="0.25">
      <c r="A14" s="201" t="s">
        <v>2845</v>
      </c>
      <c r="B14" s="60">
        <v>76.53</v>
      </c>
      <c r="C14" s="60">
        <v>176.08</v>
      </c>
      <c r="D14" s="60">
        <v>158.54</v>
      </c>
      <c r="E14" s="60">
        <v>4.57</v>
      </c>
      <c r="F14" s="60">
        <v>0.53</v>
      </c>
      <c r="G14" s="60">
        <v>129.31</v>
      </c>
      <c r="H14" s="60">
        <v>43.15</v>
      </c>
      <c r="I14" s="60">
        <v>1.2</v>
      </c>
      <c r="J14" s="60">
        <v>0.17</v>
      </c>
      <c r="K14" s="60">
        <v>283.77</v>
      </c>
      <c r="L14" s="60">
        <v>15.45</v>
      </c>
      <c r="M14" s="60">
        <v>84.87</v>
      </c>
      <c r="N14" s="60">
        <v>0.9</v>
      </c>
      <c r="O14" s="60">
        <v>0</v>
      </c>
      <c r="P14" s="60">
        <v>2.59</v>
      </c>
      <c r="Q14" s="60">
        <v>341.19</v>
      </c>
      <c r="R14" s="198"/>
      <c r="S14" s="198"/>
      <c r="T14" s="198"/>
      <c r="U14" s="198"/>
    </row>
    <row r="15" spans="1:21" s="12" customFormat="1" x14ac:dyDescent="0.25">
      <c r="A15" s="201" t="s">
        <v>2846</v>
      </c>
      <c r="B15" s="60">
        <v>71.19</v>
      </c>
      <c r="C15" s="60">
        <v>170.01</v>
      </c>
      <c r="D15" s="60">
        <v>150.91999999999999</v>
      </c>
      <c r="E15" s="60">
        <v>4.6100000000000003</v>
      </c>
      <c r="F15" s="60">
        <v>0.61</v>
      </c>
      <c r="G15" s="60">
        <v>129.31</v>
      </c>
      <c r="H15" s="60">
        <v>43.15</v>
      </c>
      <c r="I15" s="60">
        <v>1.1599999999999999</v>
      </c>
      <c r="J15" s="60">
        <v>0.22</v>
      </c>
      <c r="K15" s="60">
        <v>278.58999999999997</v>
      </c>
      <c r="L15" s="60">
        <v>15.58</v>
      </c>
      <c r="M15" s="60">
        <v>68.38</v>
      </c>
      <c r="N15" s="60">
        <v>0.3</v>
      </c>
      <c r="O15" s="60">
        <v>0</v>
      </c>
      <c r="P15" s="60">
        <v>2.5299999999999998</v>
      </c>
      <c r="Q15" s="60">
        <v>332.93</v>
      </c>
      <c r="R15" s="198"/>
      <c r="S15" s="198"/>
      <c r="T15" s="198"/>
      <c r="U15" s="198"/>
    </row>
    <row r="16" spans="1:21" s="12" customFormat="1" x14ac:dyDescent="0.25">
      <c r="A16" s="201" t="s">
        <v>2847</v>
      </c>
      <c r="B16" s="60">
        <v>66.040000000000006</v>
      </c>
      <c r="C16" s="60">
        <v>164.02</v>
      </c>
      <c r="D16" s="60">
        <v>143.47</v>
      </c>
      <c r="E16" s="60">
        <v>4.95</v>
      </c>
      <c r="F16" s="60">
        <v>0.6</v>
      </c>
      <c r="G16" s="60">
        <v>129.31</v>
      </c>
      <c r="H16" s="60">
        <v>43.15</v>
      </c>
      <c r="I16" s="60">
        <v>1.1299999999999999</v>
      </c>
      <c r="J16" s="60">
        <v>0.14000000000000001</v>
      </c>
      <c r="K16" s="60">
        <v>276.38</v>
      </c>
      <c r="L16" s="60">
        <v>15.7</v>
      </c>
      <c r="M16" s="60">
        <v>89.65</v>
      </c>
      <c r="N16" s="60">
        <v>0.9</v>
      </c>
      <c r="O16" s="60">
        <v>0</v>
      </c>
      <c r="P16" s="60">
        <v>2.4700000000000002</v>
      </c>
      <c r="Q16" s="60">
        <v>325.10000000000002</v>
      </c>
      <c r="R16" s="198"/>
      <c r="S16" s="198"/>
      <c r="T16" s="198"/>
      <c r="U16" s="198"/>
    </row>
    <row r="17" spans="1:21" s="12" customFormat="1" x14ac:dyDescent="0.25">
      <c r="A17" s="201" t="s">
        <v>2848</v>
      </c>
      <c r="B17" s="60">
        <v>61.54</v>
      </c>
      <c r="C17" s="60">
        <v>158.49</v>
      </c>
      <c r="D17" s="60">
        <v>136.82</v>
      </c>
      <c r="E17" s="60">
        <v>4.84</v>
      </c>
      <c r="F17" s="60">
        <v>0.6</v>
      </c>
      <c r="G17" s="60">
        <v>100</v>
      </c>
      <c r="H17" s="60">
        <v>41.28</v>
      </c>
      <c r="I17" s="60">
        <v>1.0900000000000001</v>
      </c>
      <c r="J17" s="60">
        <v>0.18</v>
      </c>
      <c r="K17" s="60">
        <v>294.60000000000002</v>
      </c>
      <c r="L17" s="60">
        <v>15.08</v>
      </c>
      <c r="M17" s="60">
        <v>72.83</v>
      </c>
      <c r="N17" s="60">
        <v>1</v>
      </c>
      <c r="O17" s="60">
        <v>0</v>
      </c>
      <c r="P17" s="60">
        <v>2.42</v>
      </c>
      <c r="Q17" s="60">
        <v>317.45999999999998</v>
      </c>
      <c r="R17" s="198"/>
      <c r="S17" s="198"/>
      <c r="T17" s="198"/>
      <c r="U17" s="198"/>
    </row>
    <row r="18" spans="1:21" s="12" customFormat="1" x14ac:dyDescent="0.25">
      <c r="A18" s="201" t="s">
        <v>2849</v>
      </c>
      <c r="B18" s="60">
        <v>58.38</v>
      </c>
      <c r="C18" s="60">
        <v>154.9</v>
      </c>
      <c r="D18" s="60">
        <v>132.30000000000001</v>
      </c>
      <c r="E18" s="60">
        <v>4.42</v>
      </c>
      <c r="F18" s="60">
        <v>0.73</v>
      </c>
      <c r="G18" s="60">
        <v>100</v>
      </c>
      <c r="H18" s="60">
        <v>40.97</v>
      </c>
      <c r="I18" s="60">
        <v>1.06</v>
      </c>
      <c r="J18" s="60">
        <v>0.15</v>
      </c>
      <c r="K18" s="60">
        <v>292.02999999999997</v>
      </c>
      <c r="L18" s="60">
        <v>14.9</v>
      </c>
      <c r="M18" s="60">
        <v>88.34</v>
      </c>
      <c r="N18" s="60">
        <v>0.9</v>
      </c>
      <c r="O18" s="60">
        <v>0</v>
      </c>
      <c r="P18" s="60">
        <v>2.38</v>
      </c>
      <c r="Q18" s="60">
        <v>316.45</v>
      </c>
      <c r="R18" s="198"/>
      <c r="S18" s="198"/>
      <c r="T18" s="198"/>
      <c r="U18" s="198"/>
    </row>
    <row r="19" spans="1:21" s="12" customFormat="1" x14ac:dyDescent="0.25">
      <c r="A19" s="201" t="s">
        <v>2850</v>
      </c>
      <c r="B19" s="60">
        <v>56.84</v>
      </c>
      <c r="C19" s="60">
        <v>152.19999999999999</v>
      </c>
      <c r="D19" s="60">
        <v>129.58000000000001</v>
      </c>
      <c r="E19" s="60">
        <v>4.67</v>
      </c>
      <c r="F19" s="60">
        <v>0.72</v>
      </c>
      <c r="G19" s="60">
        <v>100</v>
      </c>
      <c r="H19" s="60">
        <v>40.97</v>
      </c>
      <c r="I19" s="60">
        <v>1.05</v>
      </c>
      <c r="J19" s="60">
        <v>0.12</v>
      </c>
      <c r="K19" s="60">
        <v>296.85000000000002</v>
      </c>
      <c r="L19" s="60">
        <v>14.71</v>
      </c>
      <c r="M19" s="60">
        <v>84.16</v>
      </c>
      <c r="N19" s="60">
        <v>0.9</v>
      </c>
      <c r="O19" s="60">
        <v>0</v>
      </c>
      <c r="P19" s="60">
        <v>2.35</v>
      </c>
      <c r="Q19" s="60">
        <v>314.27999999999997</v>
      </c>
      <c r="R19" s="198"/>
      <c r="S19" s="198"/>
      <c r="T19" s="198"/>
      <c r="U19" s="198"/>
    </row>
    <row r="20" spans="1:21" s="12" customFormat="1" x14ac:dyDescent="0.25">
      <c r="A20" s="201" t="s">
        <v>2851</v>
      </c>
      <c r="B20" s="60">
        <v>55.92</v>
      </c>
      <c r="C20" s="60">
        <v>149.77000000000001</v>
      </c>
      <c r="D20" s="60">
        <v>127.5</v>
      </c>
      <c r="E20" s="60">
        <v>4.33</v>
      </c>
      <c r="F20" s="60">
        <v>0.65</v>
      </c>
      <c r="G20" s="60">
        <v>100</v>
      </c>
      <c r="H20" s="60">
        <v>40.97</v>
      </c>
      <c r="I20" s="60">
        <v>1.04</v>
      </c>
      <c r="J20" s="60">
        <v>0.25</v>
      </c>
      <c r="K20" s="60">
        <v>294.02999999999997</v>
      </c>
      <c r="L20" s="60">
        <v>14.82</v>
      </c>
      <c r="M20" s="60">
        <v>68.459999999999994</v>
      </c>
      <c r="N20" s="60">
        <v>0.4</v>
      </c>
      <c r="O20" s="60">
        <v>0</v>
      </c>
      <c r="P20" s="60">
        <v>2.31</v>
      </c>
      <c r="Q20" s="60">
        <v>310.64</v>
      </c>
      <c r="R20" s="198"/>
      <c r="S20" s="198"/>
      <c r="T20" s="198"/>
      <c r="U20" s="198"/>
    </row>
    <row r="21" spans="1:21" s="12" customFormat="1" x14ac:dyDescent="0.25">
      <c r="A21" s="201" t="s">
        <v>2852</v>
      </c>
      <c r="B21" s="60">
        <v>55.57</v>
      </c>
      <c r="C21" s="60">
        <v>147.30000000000001</v>
      </c>
      <c r="D21" s="60">
        <v>125.86</v>
      </c>
      <c r="E21" s="60">
        <v>4.29</v>
      </c>
      <c r="F21" s="60">
        <v>0.55000000000000004</v>
      </c>
      <c r="G21" s="60">
        <v>105.01</v>
      </c>
      <c r="H21" s="60">
        <v>41.43</v>
      </c>
      <c r="I21" s="60">
        <v>1</v>
      </c>
      <c r="J21" s="60">
        <v>0.18</v>
      </c>
      <c r="K21" s="60">
        <v>289.48</v>
      </c>
      <c r="L21" s="60">
        <v>15.16</v>
      </c>
      <c r="M21" s="60">
        <v>68.739999999999995</v>
      </c>
      <c r="N21" s="60">
        <v>0.6</v>
      </c>
      <c r="O21" s="60">
        <v>0</v>
      </c>
      <c r="P21" s="60">
        <v>2.2799999999999998</v>
      </c>
      <c r="Q21" s="60">
        <v>306.73</v>
      </c>
      <c r="R21" s="198"/>
      <c r="S21" s="198"/>
      <c r="T21" s="198"/>
      <c r="U21" s="198"/>
    </row>
    <row r="22" spans="1:21" s="12" customFormat="1" x14ac:dyDescent="0.25">
      <c r="A22" s="201" t="s">
        <v>2853</v>
      </c>
      <c r="B22" s="60">
        <v>56.18</v>
      </c>
      <c r="C22" s="60">
        <v>145.55000000000001</v>
      </c>
      <c r="D22" s="60">
        <v>125.38</v>
      </c>
      <c r="E22" s="60">
        <v>4.9800000000000004</v>
      </c>
      <c r="F22" s="60">
        <v>0.6</v>
      </c>
      <c r="G22" s="60">
        <v>105.01</v>
      </c>
      <c r="H22" s="60">
        <v>41.51</v>
      </c>
      <c r="I22" s="60">
        <v>0.99</v>
      </c>
      <c r="J22" s="60">
        <v>0.24</v>
      </c>
      <c r="K22" s="60">
        <v>295.41000000000003</v>
      </c>
      <c r="L22" s="60">
        <v>14.76</v>
      </c>
      <c r="M22" s="60">
        <v>75.64</v>
      </c>
      <c r="N22" s="60">
        <v>0.7</v>
      </c>
      <c r="O22" s="60">
        <v>0</v>
      </c>
      <c r="P22" s="60">
        <v>2.2400000000000002</v>
      </c>
      <c r="Q22" s="60">
        <v>305.8</v>
      </c>
      <c r="R22" s="198"/>
      <c r="S22" s="198"/>
      <c r="T22" s="198"/>
      <c r="U22" s="198"/>
    </row>
    <row r="23" spans="1:21" s="12" customFormat="1" x14ac:dyDescent="0.25">
      <c r="A23" s="201" t="s">
        <v>2854</v>
      </c>
      <c r="B23" s="60">
        <v>56.53</v>
      </c>
      <c r="C23" s="60">
        <v>143.47</v>
      </c>
      <c r="D23" s="60">
        <v>124.51</v>
      </c>
      <c r="E23" s="60">
        <v>4.71</v>
      </c>
      <c r="F23" s="60">
        <v>1.19</v>
      </c>
      <c r="G23" s="60">
        <v>105.01</v>
      </c>
      <c r="H23" s="60">
        <v>41.51</v>
      </c>
      <c r="I23" s="60">
        <v>0.98</v>
      </c>
      <c r="J23" s="60">
        <v>0.31</v>
      </c>
      <c r="K23" s="60">
        <v>283.60000000000002</v>
      </c>
      <c r="L23" s="60">
        <v>14.97</v>
      </c>
      <c r="M23" s="60">
        <v>68.61</v>
      </c>
      <c r="N23" s="60">
        <v>0.5</v>
      </c>
      <c r="O23" s="60">
        <v>0</v>
      </c>
      <c r="P23" s="60">
        <v>2.2000000000000002</v>
      </c>
      <c r="Q23" s="60">
        <v>306.04000000000002</v>
      </c>
      <c r="R23" s="198"/>
      <c r="S23" s="198"/>
      <c r="T23" s="198"/>
      <c r="U23" s="198"/>
    </row>
    <row r="24" spans="1:21" s="12" customFormat="1" x14ac:dyDescent="0.25">
      <c r="A24" s="201" t="s">
        <v>2855</v>
      </c>
      <c r="B24" s="60">
        <v>54.63</v>
      </c>
      <c r="C24" s="60">
        <v>139.24</v>
      </c>
      <c r="D24" s="60">
        <v>120.65</v>
      </c>
      <c r="E24" s="60">
        <v>1.99</v>
      </c>
      <c r="F24" s="60">
        <v>0.79</v>
      </c>
      <c r="G24" s="60">
        <v>105.01</v>
      </c>
      <c r="H24" s="60">
        <v>41.51</v>
      </c>
      <c r="I24" s="60">
        <v>0.97</v>
      </c>
      <c r="J24" s="60">
        <v>0.22</v>
      </c>
      <c r="K24" s="60">
        <v>295.87</v>
      </c>
      <c r="L24" s="60">
        <v>14.52</v>
      </c>
      <c r="M24" s="60">
        <v>80.099999999999994</v>
      </c>
      <c r="N24" s="60">
        <v>0.9</v>
      </c>
      <c r="O24" s="60">
        <v>0</v>
      </c>
      <c r="P24" s="60">
        <v>2.14</v>
      </c>
      <c r="Q24" s="60">
        <v>302.8</v>
      </c>
      <c r="R24" s="198"/>
      <c r="S24" s="198"/>
      <c r="T24" s="198"/>
      <c r="U24" s="198"/>
    </row>
    <row r="25" spans="1:21" s="12" customFormat="1" x14ac:dyDescent="0.25">
      <c r="A25" s="201" t="s">
        <v>2856</v>
      </c>
      <c r="B25" s="60">
        <v>52.64</v>
      </c>
      <c r="C25" s="60">
        <v>135.66999999999999</v>
      </c>
      <c r="D25" s="60">
        <v>117.08</v>
      </c>
      <c r="E25" s="60">
        <v>5.0999999999999996</v>
      </c>
      <c r="F25" s="60">
        <v>0.82</v>
      </c>
      <c r="G25" s="60">
        <v>83.63</v>
      </c>
      <c r="H25" s="60">
        <v>37.880000000000003</v>
      </c>
      <c r="I25" s="60">
        <v>0.95</v>
      </c>
      <c r="J25" s="60">
        <v>0.16</v>
      </c>
      <c r="K25" s="60">
        <v>302.92</v>
      </c>
      <c r="L25" s="60">
        <v>14.2</v>
      </c>
      <c r="M25" s="60">
        <v>77.930000000000007</v>
      </c>
      <c r="N25" s="60">
        <v>1</v>
      </c>
      <c r="O25" s="60">
        <v>0</v>
      </c>
      <c r="P25" s="60">
        <v>2.09</v>
      </c>
      <c r="Q25" s="60">
        <v>296.82</v>
      </c>
      <c r="R25" s="198"/>
      <c r="S25" s="198"/>
      <c r="T25" s="198"/>
      <c r="U25" s="198"/>
    </row>
    <row r="26" spans="1:21" s="12" customFormat="1" x14ac:dyDescent="0.25">
      <c r="A26" s="201" t="s">
        <v>2857</v>
      </c>
      <c r="B26" s="60">
        <v>49.94</v>
      </c>
      <c r="C26" s="60">
        <v>131.63999999999999</v>
      </c>
      <c r="D26" s="60">
        <v>112.7</v>
      </c>
      <c r="E26" s="60">
        <v>5.33</v>
      </c>
      <c r="F26" s="60">
        <v>0.63</v>
      </c>
      <c r="G26" s="60">
        <v>83.63</v>
      </c>
      <c r="H26" s="60">
        <v>37.21</v>
      </c>
      <c r="I26" s="60">
        <v>0.91</v>
      </c>
      <c r="J26" s="60">
        <v>0.18</v>
      </c>
      <c r="K26" s="60">
        <v>306.27999999999997</v>
      </c>
      <c r="L26" s="60">
        <v>14.04</v>
      </c>
      <c r="M26" s="60">
        <v>75.11</v>
      </c>
      <c r="N26" s="60">
        <v>0.9</v>
      </c>
      <c r="O26" s="60">
        <v>0</v>
      </c>
      <c r="P26" s="60">
        <v>2.02</v>
      </c>
      <c r="Q26" s="60">
        <v>290.75</v>
      </c>
      <c r="R26" s="198"/>
      <c r="S26" s="198"/>
      <c r="T26" s="198"/>
      <c r="U26" s="198"/>
    </row>
    <row r="27" spans="1:21" s="12" customFormat="1" x14ac:dyDescent="0.25">
      <c r="A27" s="201" t="s">
        <v>2858</v>
      </c>
      <c r="B27" s="60">
        <v>48.5</v>
      </c>
      <c r="C27" s="60">
        <v>128.44999999999999</v>
      </c>
      <c r="D27" s="60">
        <v>109.78</v>
      </c>
      <c r="E27" s="60">
        <v>4.96</v>
      </c>
      <c r="F27" s="60">
        <v>0.47</v>
      </c>
      <c r="G27" s="60">
        <v>83.63</v>
      </c>
      <c r="H27" s="60">
        <v>37.21</v>
      </c>
      <c r="I27" s="60">
        <v>0.88</v>
      </c>
      <c r="J27" s="60">
        <v>0.23</v>
      </c>
      <c r="K27" s="60">
        <v>313.02999999999997</v>
      </c>
      <c r="L27" s="60">
        <v>13.84</v>
      </c>
      <c r="M27" s="60">
        <v>89.38</v>
      </c>
      <c r="N27" s="60">
        <v>0.9</v>
      </c>
      <c r="O27" s="60">
        <v>0</v>
      </c>
      <c r="P27" s="60">
        <v>1.96</v>
      </c>
      <c r="Q27" s="60">
        <v>285.76</v>
      </c>
      <c r="R27" s="198"/>
      <c r="S27" s="198"/>
      <c r="T27" s="198"/>
      <c r="U27" s="198"/>
    </row>
    <row r="28" spans="1:21" s="12" customFormat="1" x14ac:dyDescent="0.25">
      <c r="A28" s="201" t="s">
        <v>2859</v>
      </c>
      <c r="B28" s="60">
        <v>48.45</v>
      </c>
      <c r="C28" s="60">
        <v>127.16</v>
      </c>
      <c r="D28" s="60">
        <v>109.03</v>
      </c>
      <c r="E28" s="60">
        <v>5.33</v>
      </c>
      <c r="F28" s="60">
        <v>0.48</v>
      </c>
      <c r="G28" s="60">
        <v>83.63</v>
      </c>
      <c r="H28" s="60">
        <v>37.21</v>
      </c>
      <c r="I28" s="60">
        <v>0.85</v>
      </c>
      <c r="J28" s="60">
        <v>0.17</v>
      </c>
      <c r="K28" s="60">
        <v>320.27999999999997</v>
      </c>
      <c r="L28" s="60">
        <v>13.52</v>
      </c>
      <c r="M28" s="60">
        <v>88.8</v>
      </c>
      <c r="N28" s="60">
        <v>0.9</v>
      </c>
      <c r="O28" s="60">
        <v>0</v>
      </c>
      <c r="P28" s="60">
        <v>1.93</v>
      </c>
      <c r="Q28" s="60">
        <v>282.64999999999998</v>
      </c>
      <c r="R28" s="198"/>
      <c r="S28" s="198"/>
      <c r="T28" s="198"/>
      <c r="U28" s="198"/>
    </row>
    <row r="29" spans="1:21" s="12" customFormat="1" x14ac:dyDescent="0.25">
      <c r="A29" s="201" t="s">
        <v>2860</v>
      </c>
      <c r="B29" s="60">
        <v>49.61</v>
      </c>
      <c r="C29" s="60">
        <v>126.85</v>
      </c>
      <c r="D29" s="60">
        <v>109.79</v>
      </c>
      <c r="E29" s="60">
        <v>5.15</v>
      </c>
      <c r="F29" s="60">
        <v>0.62</v>
      </c>
      <c r="G29" s="60">
        <v>85.51</v>
      </c>
      <c r="H29" s="60">
        <v>35.630000000000003</v>
      </c>
      <c r="I29" s="60">
        <v>0.81</v>
      </c>
      <c r="J29" s="60">
        <v>0.16</v>
      </c>
      <c r="K29" s="60">
        <v>323.25</v>
      </c>
      <c r="L29" s="60">
        <v>13.38</v>
      </c>
      <c r="M29" s="60">
        <v>89.18</v>
      </c>
      <c r="N29" s="60">
        <v>0.9</v>
      </c>
      <c r="O29" s="60">
        <v>0</v>
      </c>
      <c r="P29" s="60">
        <v>1.89</v>
      </c>
      <c r="Q29" s="60">
        <v>279.86</v>
      </c>
      <c r="R29" s="198"/>
      <c r="S29" s="198"/>
      <c r="T29" s="198"/>
      <c r="U29" s="198"/>
    </row>
    <row r="30" spans="1:21" s="12" customFormat="1" x14ac:dyDescent="0.25">
      <c r="A30" s="201" t="s">
        <v>2861</v>
      </c>
      <c r="B30" s="60">
        <v>52.63</v>
      </c>
      <c r="C30" s="60">
        <v>128.46</v>
      </c>
      <c r="D30" s="60">
        <v>113.1</v>
      </c>
      <c r="E30" s="60">
        <v>4.95</v>
      </c>
      <c r="F30" s="60">
        <v>0.47</v>
      </c>
      <c r="G30" s="60">
        <v>85.51</v>
      </c>
      <c r="H30" s="60">
        <v>35.369999999999997</v>
      </c>
      <c r="I30" s="60">
        <v>0.79</v>
      </c>
      <c r="J30" s="60">
        <v>0.22</v>
      </c>
      <c r="K30" s="60">
        <v>313.86</v>
      </c>
      <c r="L30" s="60">
        <v>13.68</v>
      </c>
      <c r="M30" s="60">
        <v>72.27</v>
      </c>
      <c r="N30" s="60">
        <v>0.4</v>
      </c>
      <c r="O30" s="60">
        <v>0</v>
      </c>
      <c r="P30" s="60">
        <v>1.87</v>
      </c>
      <c r="Q30" s="60">
        <v>281.79000000000002</v>
      </c>
      <c r="R30" s="198"/>
      <c r="S30" s="198"/>
      <c r="T30" s="198"/>
      <c r="U30" s="198"/>
    </row>
    <row r="31" spans="1:21" s="12" customFormat="1" x14ac:dyDescent="0.25">
      <c r="A31" s="201" t="s">
        <v>2862</v>
      </c>
      <c r="B31" s="60">
        <v>53.99</v>
      </c>
      <c r="C31" s="60">
        <v>129.37</v>
      </c>
      <c r="D31" s="60">
        <v>114.69</v>
      </c>
      <c r="E31" s="60">
        <v>5.28</v>
      </c>
      <c r="F31" s="60">
        <v>0.45</v>
      </c>
      <c r="G31" s="60">
        <v>85.51</v>
      </c>
      <c r="H31" s="60">
        <v>35.369999999999997</v>
      </c>
      <c r="I31" s="60">
        <v>0.77</v>
      </c>
      <c r="J31" s="60">
        <v>0.21</v>
      </c>
      <c r="K31" s="60">
        <v>296.04000000000002</v>
      </c>
      <c r="L31" s="60">
        <v>13.93</v>
      </c>
      <c r="M31" s="60">
        <v>75.87</v>
      </c>
      <c r="N31" s="60">
        <v>0.5</v>
      </c>
      <c r="O31" s="60">
        <v>0</v>
      </c>
      <c r="P31" s="60">
        <v>1.85</v>
      </c>
      <c r="Q31" s="60">
        <v>282.14999999999998</v>
      </c>
      <c r="R31" s="198"/>
      <c r="S31" s="198"/>
      <c r="T31" s="198"/>
      <c r="U31" s="198"/>
    </row>
    <row r="32" spans="1:21" s="12" customFormat="1" x14ac:dyDescent="0.25">
      <c r="A32" s="201" t="s">
        <v>2863</v>
      </c>
      <c r="B32" s="60">
        <v>52.73</v>
      </c>
      <c r="C32" s="60">
        <v>128.87</v>
      </c>
      <c r="D32" s="60">
        <v>113.4</v>
      </c>
      <c r="E32" s="60">
        <v>5.26</v>
      </c>
      <c r="F32" s="60">
        <v>0.51</v>
      </c>
      <c r="G32" s="60">
        <v>85.51</v>
      </c>
      <c r="H32" s="60">
        <v>35.369999999999997</v>
      </c>
      <c r="I32" s="60">
        <v>0.75</v>
      </c>
      <c r="J32" s="60">
        <v>0.22</v>
      </c>
      <c r="K32" s="60">
        <v>295.23</v>
      </c>
      <c r="L32" s="60">
        <v>13.71</v>
      </c>
      <c r="M32" s="60">
        <v>76.77</v>
      </c>
      <c r="N32" s="60">
        <v>0.7</v>
      </c>
      <c r="O32" s="60">
        <v>0</v>
      </c>
      <c r="P32" s="60">
        <v>1.8</v>
      </c>
      <c r="Q32" s="60">
        <v>281.24</v>
      </c>
      <c r="R32" s="198"/>
      <c r="S32" s="198"/>
      <c r="T32" s="198"/>
      <c r="U32" s="198"/>
    </row>
    <row r="33" spans="1:21" s="12" customFormat="1" x14ac:dyDescent="0.25">
      <c r="A33" s="201" t="s">
        <v>2864</v>
      </c>
      <c r="B33" s="60">
        <v>51.06</v>
      </c>
      <c r="C33" s="60">
        <v>127.46</v>
      </c>
      <c r="D33" s="60">
        <v>111.29</v>
      </c>
      <c r="E33" s="60">
        <v>5.08</v>
      </c>
      <c r="F33" s="60">
        <v>0.5</v>
      </c>
      <c r="G33" s="60">
        <v>91.1</v>
      </c>
      <c r="H33" s="60">
        <v>35.49</v>
      </c>
      <c r="I33" s="60">
        <v>0.73</v>
      </c>
      <c r="J33" s="60">
        <v>0.2</v>
      </c>
      <c r="K33" s="60">
        <v>297.64</v>
      </c>
      <c r="L33" s="60">
        <v>13.47</v>
      </c>
      <c r="M33" s="60">
        <v>87.24</v>
      </c>
      <c r="N33" s="60">
        <v>1.8</v>
      </c>
      <c r="O33" s="60">
        <v>0</v>
      </c>
      <c r="P33" s="60">
        <v>1.77</v>
      </c>
      <c r="Q33" s="60">
        <v>279.72000000000003</v>
      </c>
      <c r="R33" s="198"/>
      <c r="S33" s="198"/>
      <c r="T33" s="198"/>
      <c r="U33" s="198"/>
    </row>
    <row r="34" spans="1:21" s="12" customFormat="1" x14ac:dyDescent="0.25">
      <c r="A34" s="201" t="s">
        <v>2865</v>
      </c>
      <c r="B34" s="60">
        <v>49.57</v>
      </c>
      <c r="C34" s="60">
        <v>125.96</v>
      </c>
      <c r="D34" s="60">
        <v>109.26</v>
      </c>
      <c r="E34" s="60">
        <v>4.97</v>
      </c>
      <c r="F34" s="60">
        <v>0.56999999999999995</v>
      </c>
      <c r="G34" s="60">
        <v>91.1</v>
      </c>
      <c r="H34" s="60">
        <v>35.51</v>
      </c>
      <c r="I34" s="60">
        <v>0.71</v>
      </c>
      <c r="J34" s="60">
        <v>0.2</v>
      </c>
      <c r="K34" s="60">
        <v>298.05</v>
      </c>
      <c r="L34" s="60">
        <v>13.49</v>
      </c>
      <c r="M34" s="60">
        <v>79.55</v>
      </c>
      <c r="N34" s="60">
        <v>5.5</v>
      </c>
      <c r="O34" s="60">
        <v>0</v>
      </c>
      <c r="P34" s="60">
        <v>1.73</v>
      </c>
      <c r="Q34" s="60">
        <v>276.26</v>
      </c>
      <c r="R34" s="198"/>
      <c r="S34" s="198"/>
      <c r="T34" s="198"/>
      <c r="U34" s="198"/>
    </row>
    <row r="35" spans="1:21" s="12" customFormat="1" x14ac:dyDescent="0.25">
      <c r="A35" s="201" t="s">
        <v>2866</v>
      </c>
      <c r="B35" s="60">
        <v>48.98</v>
      </c>
      <c r="C35" s="60">
        <v>125.33</v>
      </c>
      <c r="D35" s="60">
        <v>108.45</v>
      </c>
      <c r="E35" s="60">
        <v>5.04</v>
      </c>
      <c r="F35" s="60">
        <v>0.65</v>
      </c>
      <c r="G35" s="60">
        <v>91.1</v>
      </c>
      <c r="H35" s="60">
        <v>35.51</v>
      </c>
      <c r="I35" s="60">
        <v>0.69</v>
      </c>
      <c r="J35" s="60">
        <v>0.19</v>
      </c>
      <c r="K35" s="60">
        <v>305.77</v>
      </c>
      <c r="L35" s="60">
        <v>13.36</v>
      </c>
      <c r="M35" s="60">
        <v>86.8</v>
      </c>
      <c r="N35" s="60">
        <v>14.9</v>
      </c>
      <c r="O35" s="60">
        <v>0</v>
      </c>
      <c r="P35" s="60">
        <v>1.72</v>
      </c>
      <c r="Q35" s="60">
        <v>274.33</v>
      </c>
      <c r="R35" s="198"/>
      <c r="S35" s="198"/>
      <c r="T35" s="198"/>
      <c r="U35" s="198"/>
    </row>
    <row r="36" spans="1:21" s="12" customFormat="1" x14ac:dyDescent="0.25">
      <c r="A36" s="201" t="s">
        <v>2867</v>
      </c>
      <c r="B36" s="60">
        <v>52.69</v>
      </c>
      <c r="C36" s="60">
        <v>128.83000000000001</v>
      </c>
      <c r="D36" s="60">
        <v>113.35</v>
      </c>
      <c r="E36" s="60">
        <v>4.78</v>
      </c>
      <c r="F36" s="60">
        <v>0.45</v>
      </c>
      <c r="G36" s="60">
        <v>91.1</v>
      </c>
      <c r="H36" s="60">
        <v>35.51</v>
      </c>
      <c r="I36" s="60">
        <v>0.67</v>
      </c>
      <c r="J36" s="60">
        <v>0.23</v>
      </c>
      <c r="K36" s="60">
        <v>298.85000000000002</v>
      </c>
      <c r="L36" s="60">
        <v>13.83</v>
      </c>
      <c r="M36" s="60">
        <v>77.06</v>
      </c>
      <c r="N36" s="60">
        <v>27.1</v>
      </c>
      <c r="O36" s="60">
        <v>0</v>
      </c>
      <c r="P36" s="60">
        <v>1.75</v>
      </c>
      <c r="Q36" s="60">
        <v>278.51</v>
      </c>
      <c r="R36" s="198"/>
      <c r="S36" s="198"/>
      <c r="T36" s="198"/>
      <c r="U36" s="198"/>
    </row>
    <row r="37" spans="1:21" s="12" customFormat="1" x14ac:dyDescent="0.25">
      <c r="A37" s="201" t="s">
        <v>2868</v>
      </c>
      <c r="B37" s="60">
        <v>56.2</v>
      </c>
      <c r="C37" s="60">
        <v>132.72</v>
      </c>
      <c r="D37" s="60">
        <v>118.32</v>
      </c>
      <c r="E37" s="60">
        <v>5.37</v>
      </c>
      <c r="F37" s="60">
        <v>0.48</v>
      </c>
      <c r="G37" s="60">
        <v>106.16</v>
      </c>
      <c r="H37" s="60">
        <v>35.840000000000003</v>
      </c>
      <c r="I37" s="60">
        <v>0.65</v>
      </c>
      <c r="J37" s="60">
        <v>0.28000000000000003</v>
      </c>
      <c r="K37" s="60">
        <v>278.57</v>
      </c>
      <c r="L37" s="60">
        <v>14.89</v>
      </c>
      <c r="M37" s="60">
        <v>53.28</v>
      </c>
      <c r="N37" s="60">
        <v>40.5</v>
      </c>
      <c r="O37" s="60">
        <v>0</v>
      </c>
      <c r="P37" s="60">
        <v>1.69</v>
      </c>
      <c r="Q37" s="60">
        <v>280.73</v>
      </c>
      <c r="R37" s="198"/>
      <c r="S37" s="198"/>
      <c r="T37" s="198"/>
      <c r="U37" s="198"/>
    </row>
    <row r="38" spans="1:21" s="12" customFormat="1" x14ac:dyDescent="0.25">
      <c r="A38" s="201" t="s">
        <v>2869</v>
      </c>
      <c r="B38" s="60">
        <v>57.23</v>
      </c>
      <c r="C38" s="60">
        <v>135.69999999999999</v>
      </c>
      <c r="D38" s="60">
        <v>120.78</v>
      </c>
      <c r="E38" s="60">
        <v>5.3</v>
      </c>
      <c r="F38" s="60">
        <v>0.65</v>
      </c>
      <c r="G38" s="60">
        <v>106.16</v>
      </c>
      <c r="H38" s="60">
        <v>35.9</v>
      </c>
      <c r="I38" s="60">
        <v>0.65</v>
      </c>
      <c r="J38" s="60">
        <v>0.31</v>
      </c>
      <c r="K38" s="60">
        <v>262.22000000000003</v>
      </c>
      <c r="L38" s="60">
        <v>15.9</v>
      </c>
      <c r="M38" s="60">
        <v>56.16</v>
      </c>
      <c r="N38" s="60">
        <v>76.900000000000006</v>
      </c>
      <c r="O38" s="60">
        <v>0</v>
      </c>
      <c r="P38" s="60">
        <v>1.74</v>
      </c>
      <c r="Q38" s="60">
        <v>282.73</v>
      </c>
      <c r="R38" s="198"/>
      <c r="S38" s="198"/>
      <c r="T38" s="198"/>
      <c r="U38" s="198"/>
    </row>
    <row r="39" spans="1:21" s="12" customFormat="1" x14ac:dyDescent="0.25">
      <c r="A39" s="201" t="s">
        <v>2870</v>
      </c>
      <c r="B39" s="60">
        <v>55.91</v>
      </c>
      <c r="C39" s="60">
        <v>141.38999999999999</v>
      </c>
      <c r="D39" s="60">
        <v>122.87</v>
      </c>
      <c r="E39" s="60">
        <v>5.29</v>
      </c>
      <c r="F39" s="60">
        <v>0.7</v>
      </c>
      <c r="G39" s="60">
        <v>106.16</v>
      </c>
      <c r="H39" s="60">
        <v>35.9</v>
      </c>
      <c r="I39" s="60">
        <v>0.64</v>
      </c>
      <c r="J39" s="60">
        <v>0.28999999999999998</v>
      </c>
      <c r="K39" s="60">
        <v>249.87</v>
      </c>
      <c r="L39" s="60">
        <v>16.97</v>
      </c>
      <c r="M39" s="60">
        <v>64.569999999999993</v>
      </c>
      <c r="N39" s="60">
        <v>144.9</v>
      </c>
      <c r="O39" s="60">
        <v>0</v>
      </c>
      <c r="P39" s="60">
        <v>1.75</v>
      </c>
      <c r="Q39" s="60">
        <v>283.37</v>
      </c>
      <c r="R39" s="198"/>
      <c r="S39" s="198"/>
      <c r="T39" s="198"/>
      <c r="U39" s="198"/>
    </row>
    <row r="40" spans="1:21" s="12" customFormat="1" x14ac:dyDescent="0.25">
      <c r="A40" s="201" t="s">
        <v>2871</v>
      </c>
      <c r="B40" s="60">
        <v>52.87</v>
      </c>
      <c r="C40" s="60">
        <v>143.78</v>
      </c>
      <c r="D40" s="60">
        <v>121.75</v>
      </c>
      <c r="E40" s="60">
        <v>2.5499999999999998</v>
      </c>
      <c r="F40" s="60">
        <v>0.87</v>
      </c>
      <c r="G40" s="60">
        <v>106.16</v>
      </c>
      <c r="H40" s="60">
        <v>35.9</v>
      </c>
      <c r="I40" s="60">
        <v>0.64</v>
      </c>
      <c r="J40" s="60">
        <v>0.5</v>
      </c>
      <c r="K40" s="60">
        <v>232.44</v>
      </c>
      <c r="L40" s="60">
        <v>18.13</v>
      </c>
      <c r="M40" s="60">
        <v>48.18</v>
      </c>
      <c r="N40" s="60">
        <v>189</v>
      </c>
      <c r="O40" s="60">
        <v>0</v>
      </c>
      <c r="P40" s="60">
        <v>1.74</v>
      </c>
      <c r="Q40" s="60">
        <v>279.93</v>
      </c>
      <c r="R40" s="198"/>
      <c r="S40" s="198"/>
      <c r="T40" s="198"/>
      <c r="U40" s="198"/>
    </row>
    <row r="41" spans="1:21" s="12" customFormat="1" x14ac:dyDescent="0.25">
      <c r="A41" s="201" t="s">
        <v>2872</v>
      </c>
      <c r="B41" s="60">
        <v>49.23</v>
      </c>
      <c r="C41" s="60">
        <v>141.85</v>
      </c>
      <c r="D41" s="60">
        <v>117.76</v>
      </c>
      <c r="E41" s="60">
        <v>4.66</v>
      </c>
      <c r="F41" s="60">
        <v>0.72</v>
      </c>
      <c r="G41" s="60">
        <v>102.95</v>
      </c>
      <c r="H41" s="60">
        <v>39.31</v>
      </c>
      <c r="I41" s="60">
        <v>0.63</v>
      </c>
      <c r="J41" s="60">
        <v>0.33</v>
      </c>
      <c r="K41" s="60">
        <v>220.08</v>
      </c>
      <c r="L41" s="60">
        <v>19.55</v>
      </c>
      <c r="M41" s="60">
        <v>51.47</v>
      </c>
      <c r="N41" s="60">
        <v>227.5</v>
      </c>
      <c r="O41" s="60">
        <v>0</v>
      </c>
      <c r="P41" s="60">
        <v>1.72</v>
      </c>
      <c r="Q41" s="60">
        <v>276.81</v>
      </c>
      <c r="R41" s="198"/>
      <c r="S41" s="198"/>
      <c r="T41" s="198"/>
      <c r="U41" s="198"/>
    </row>
    <row r="42" spans="1:21" s="12" customFormat="1" x14ac:dyDescent="0.25">
      <c r="A42" s="201" t="s">
        <v>2873</v>
      </c>
      <c r="B42" s="60">
        <v>46.38</v>
      </c>
      <c r="C42" s="60">
        <v>142.12</v>
      </c>
      <c r="D42" s="60">
        <v>115.62</v>
      </c>
      <c r="E42" s="60">
        <v>5.2</v>
      </c>
      <c r="F42" s="60">
        <v>0.66</v>
      </c>
      <c r="G42" s="60">
        <v>102.95</v>
      </c>
      <c r="H42" s="60">
        <v>39.880000000000003</v>
      </c>
      <c r="I42" s="60">
        <v>0.62</v>
      </c>
      <c r="J42" s="60">
        <v>0.25</v>
      </c>
      <c r="K42" s="60">
        <v>211.92</v>
      </c>
      <c r="L42" s="60">
        <v>20.73</v>
      </c>
      <c r="M42" s="60">
        <v>65.09</v>
      </c>
      <c r="N42" s="60">
        <v>262.8</v>
      </c>
      <c r="O42" s="60">
        <v>0</v>
      </c>
      <c r="P42" s="60">
        <v>1.73</v>
      </c>
      <c r="Q42" s="60">
        <v>276.07</v>
      </c>
      <c r="R42" s="198"/>
      <c r="S42" s="198"/>
      <c r="T42" s="198"/>
      <c r="U42" s="198"/>
    </row>
    <row r="43" spans="1:21" s="12" customFormat="1" x14ac:dyDescent="0.25">
      <c r="A43" s="201" t="s">
        <v>2874</v>
      </c>
      <c r="B43" s="60">
        <v>44.26</v>
      </c>
      <c r="C43" s="60">
        <v>141.69999999999999</v>
      </c>
      <c r="D43" s="60">
        <v>113.69</v>
      </c>
      <c r="E43" s="60">
        <v>5.24</v>
      </c>
      <c r="F43" s="60">
        <v>0.46</v>
      </c>
      <c r="G43" s="60">
        <v>102.95</v>
      </c>
      <c r="H43" s="60">
        <v>39.880000000000003</v>
      </c>
      <c r="I43" s="60">
        <v>0.61</v>
      </c>
      <c r="J43" s="60">
        <v>0.46</v>
      </c>
      <c r="K43" s="60">
        <v>208.41</v>
      </c>
      <c r="L43" s="60">
        <v>21.21</v>
      </c>
      <c r="M43" s="60">
        <v>58.05</v>
      </c>
      <c r="N43" s="60">
        <v>300.3</v>
      </c>
      <c r="O43" s="60">
        <v>0</v>
      </c>
      <c r="P43" s="60">
        <v>1.74</v>
      </c>
      <c r="Q43" s="60">
        <v>276.93</v>
      </c>
      <c r="R43" s="198"/>
      <c r="S43" s="198"/>
      <c r="T43" s="198"/>
      <c r="U43" s="198"/>
    </row>
    <row r="44" spans="1:21" s="12" customFormat="1" x14ac:dyDescent="0.25">
      <c r="A44" s="201" t="s">
        <v>2875</v>
      </c>
      <c r="B44" s="60">
        <v>41.37</v>
      </c>
      <c r="C44" s="60">
        <v>141.19</v>
      </c>
      <c r="D44" s="60">
        <v>111.09</v>
      </c>
      <c r="E44" s="60">
        <v>5.14</v>
      </c>
      <c r="F44" s="60">
        <v>0.61</v>
      </c>
      <c r="G44" s="60">
        <v>102.95</v>
      </c>
      <c r="H44" s="60">
        <v>39.880000000000003</v>
      </c>
      <c r="I44" s="60">
        <v>0.61</v>
      </c>
      <c r="J44" s="60">
        <v>0.33</v>
      </c>
      <c r="K44" s="60">
        <v>185.99</v>
      </c>
      <c r="L44" s="60">
        <v>23.1</v>
      </c>
      <c r="M44" s="60">
        <v>65.430000000000007</v>
      </c>
      <c r="N44" s="60">
        <v>319.5</v>
      </c>
      <c r="O44" s="60">
        <v>0</v>
      </c>
      <c r="P44" s="60">
        <v>1.74</v>
      </c>
      <c r="Q44" s="60">
        <v>276.37</v>
      </c>
      <c r="R44" s="198"/>
      <c r="S44" s="198"/>
      <c r="T44" s="198"/>
      <c r="U44" s="198"/>
    </row>
    <row r="45" spans="1:21" s="12" customFormat="1" x14ac:dyDescent="0.25">
      <c r="A45" s="201" t="s">
        <v>2876</v>
      </c>
      <c r="B45" s="60">
        <v>39.18</v>
      </c>
      <c r="C45" s="60">
        <v>144</v>
      </c>
      <c r="D45" s="60">
        <v>110.89</v>
      </c>
      <c r="E45" s="60">
        <v>5.4</v>
      </c>
      <c r="F45" s="60">
        <v>0.63</v>
      </c>
      <c r="G45" s="60">
        <v>104.61</v>
      </c>
      <c r="H45" s="60">
        <v>39.4</v>
      </c>
      <c r="I45" s="60">
        <v>0.62</v>
      </c>
      <c r="J45" s="60">
        <v>0.34</v>
      </c>
      <c r="K45" s="60">
        <v>168.87</v>
      </c>
      <c r="L45" s="60">
        <v>25.28</v>
      </c>
      <c r="M45" s="60">
        <v>85.6</v>
      </c>
      <c r="N45" s="60">
        <v>342.9</v>
      </c>
      <c r="O45" s="60">
        <v>0</v>
      </c>
      <c r="P45" s="60">
        <v>1.77</v>
      </c>
      <c r="Q45" s="60">
        <v>276.95999999999998</v>
      </c>
      <c r="R45" s="198"/>
      <c r="S45" s="198"/>
      <c r="T45" s="198"/>
      <c r="U45" s="198"/>
    </row>
    <row r="46" spans="1:21" s="12" customFormat="1" x14ac:dyDescent="0.25">
      <c r="A46" s="201" t="s">
        <v>2877</v>
      </c>
      <c r="B46" s="60">
        <v>36.76</v>
      </c>
      <c r="C46" s="60">
        <v>147.75</v>
      </c>
      <c r="D46" s="60">
        <v>111.02</v>
      </c>
      <c r="E46" s="60">
        <v>4.88</v>
      </c>
      <c r="F46" s="60">
        <v>0.92</v>
      </c>
      <c r="G46" s="60">
        <v>104.61</v>
      </c>
      <c r="H46" s="60">
        <v>39.32</v>
      </c>
      <c r="I46" s="60">
        <v>0.62</v>
      </c>
      <c r="J46" s="60">
        <v>0.4</v>
      </c>
      <c r="K46" s="60">
        <v>159.28</v>
      </c>
      <c r="L46" s="60">
        <v>25.81</v>
      </c>
      <c r="M46" s="60">
        <v>69.37</v>
      </c>
      <c r="N46" s="60">
        <v>367.5</v>
      </c>
      <c r="O46" s="60">
        <v>0</v>
      </c>
      <c r="P46" s="60">
        <v>1.8</v>
      </c>
      <c r="Q46" s="60">
        <v>279.67</v>
      </c>
      <c r="R46" s="198"/>
      <c r="S46" s="198"/>
      <c r="T46" s="198"/>
      <c r="U46" s="198"/>
    </row>
    <row r="47" spans="1:21" s="12" customFormat="1" x14ac:dyDescent="0.25">
      <c r="A47" s="201" t="s">
        <v>2878</v>
      </c>
      <c r="B47" s="60">
        <v>33.700000000000003</v>
      </c>
      <c r="C47" s="60">
        <v>151.06</v>
      </c>
      <c r="D47" s="60">
        <v>110.39</v>
      </c>
      <c r="E47" s="60">
        <v>5.3</v>
      </c>
      <c r="F47" s="60">
        <v>0.98</v>
      </c>
      <c r="G47" s="60">
        <v>104.61</v>
      </c>
      <c r="H47" s="60">
        <v>39.32</v>
      </c>
      <c r="I47" s="60">
        <v>0.62</v>
      </c>
      <c r="J47" s="60">
        <v>0.41</v>
      </c>
      <c r="K47" s="60">
        <v>159.74</v>
      </c>
      <c r="L47" s="60">
        <v>24.96</v>
      </c>
      <c r="M47" s="60">
        <v>45.18</v>
      </c>
      <c r="N47" s="60">
        <v>389.2</v>
      </c>
      <c r="O47" s="60">
        <v>0</v>
      </c>
      <c r="P47" s="60">
        <v>1.82</v>
      </c>
      <c r="Q47" s="60">
        <v>285.49</v>
      </c>
      <c r="R47" s="198"/>
      <c r="S47" s="198"/>
      <c r="T47" s="198"/>
      <c r="U47" s="198"/>
    </row>
    <row r="48" spans="1:21" s="12" customFormat="1" x14ac:dyDescent="0.25">
      <c r="A48" s="201" t="s">
        <v>2879</v>
      </c>
      <c r="B48" s="60">
        <v>29.81</v>
      </c>
      <c r="C48" s="60">
        <v>151.41999999999999</v>
      </c>
      <c r="D48" s="60">
        <v>107.47</v>
      </c>
      <c r="E48" s="60">
        <v>5.12</v>
      </c>
      <c r="F48" s="60">
        <v>0.81</v>
      </c>
      <c r="G48" s="60">
        <v>104.61</v>
      </c>
      <c r="H48" s="60">
        <v>39.32</v>
      </c>
      <c r="I48" s="60">
        <v>0.64</v>
      </c>
      <c r="J48" s="60">
        <v>0.73</v>
      </c>
      <c r="K48" s="60">
        <v>150.57</v>
      </c>
      <c r="L48" s="60">
        <v>25.16</v>
      </c>
      <c r="M48" s="60">
        <v>39.43</v>
      </c>
      <c r="N48" s="60">
        <v>406.2</v>
      </c>
      <c r="O48" s="60">
        <v>0</v>
      </c>
      <c r="P48" s="60">
        <v>1.82</v>
      </c>
      <c r="Q48" s="60">
        <v>284.16000000000003</v>
      </c>
      <c r="R48" s="198"/>
      <c r="S48" s="198"/>
      <c r="T48" s="198"/>
      <c r="U48" s="198"/>
    </row>
    <row r="49" spans="1:21" s="12" customFormat="1" x14ac:dyDescent="0.25">
      <c r="A49" s="201" t="s">
        <v>2880</v>
      </c>
      <c r="B49" s="60">
        <v>25.18</v>
      </c>
      <c r="C49" s="60">
        <v>149.52000000000001</v>
      </c>
      <c r="D49" s="60">
        <v>102.71</v>
      </c>
      <c r="E49" s="60">
        <v>4.8499999999999996</v>
      </c>
      <c r="F49" s="60">
        <v>1.05</v>
      </c>
      <c r="G49" s="60">
        <v>118.99</v>
      </c>
      <c r="H49" s="60">
        <v>41.28</v>
      </c>
      <c r="I49" s="60">
        <v>0.63</v>
      </c>
      <c r="J49" s="60">
        <v>0.64</v>
      </c>
      <c r="K49" s="60">
        <v>153.91999999999999</v>
      </c>
      <c r="L49" s="60">
        <v>25.56</v>
      </c>
      <c r="M49" s="60">
        <v>47.79</v>
      </c>
      <c r="N49" s="60">
        <v>405.3</v>
      </c>
      <c r="O49" s="60">
        <v>0</v>
      </c>
      <c r="P49" s="60">
        <v>1.81</v>
      </c>
      <c r="Q49" s="60">
        <v>280.32</v>
      </c>
      <c r="R49" s="198"/>
      <c r="S49" s="198"/>
      <c r="T49" s="198"/>
      <c r="U49" s="198"/>
    </row>
    <row r="50" spans="1:21" s="12" customFormat="1" x14ac:dyDescent="0.25">
      <c r="A50" s="201" t="s">
        <v>2881</v>
      </c>
      <c r="B50" s="60">
        <v>20.45</v>
      </c>
      <c r="C50" s="60">
        <v>148.16</v>
      </c>
      <c r="D50" s="60">
        <v>98.16</v>
      </c>
      <c r="E50" s="60">
        <v>5.23</v>
      </c>
      <c r="F50" s="60">
        <v>1.05</v>
      </c>
      <c r="G50" s="60">
        <v>118.99</v>
      </c>
      <c r="H50" s="60">
        <v>41.61</v>
      </c>
      <c r="I50" s="60">
        <v>0.63</v>
      </c>
      <c r="J50" s="60">
        <v>0.4</v>
      </c>
      <c r="K50" s="60">
        <v>134.54</v>
      </c>
      <c r="L50" s="60">
        <v>27</v>
      </c>
      <c r="M50" s="60">
        <v>63.62</v>
      </c>
      <c r="N50" s="60">
        <v>414.5</v>
      </c>
      <c r="O50" s="60">
        <v>0</v>
      </c>
      <c r="P50" s="60">
        <v>1.8</v>
      </c>
      <c r="Q50" s="60">
        <v>277.91000000000003</v>
      </c>
      <c r="R50" s="198"/>
      <c r="S50" s="198"/>
      <c r="T50" s="198"/>
      <c r="U50" s="198"/>
    </row>
    <row r="51" spans="1:21" s="12" customFormat="1" x14ac:dyDescent="0.25">
      <c r="A51" s="201" t="s">
        <v>2882</v>
      </c>
      <c r="B51" s="60">
        <v>16.3</v>
      </c>
      <c r="C51" s="60">
        <v>152.05000000000001</v>
      </c>
      <c r="D51" s="60">
        <v>96.98</v>
      </c>
      <c r="E51" s="60">
        <v>5.15</v>
      </c>
      <c r="F51" s="60">
        <v>1.38</v>
      </c>
      <c r="G51" s="60">
        <v>118.99</v>
      </c>
      <c r="H51" s="60">
        <v>41.61</v>
      </c>
      <c r="I51" s="60">
        <v>0.63</v>
      </c>
      <c r="J51" s="60">
        <v>0.92</v>
      </c>
      <c r="K51" s="60">
        <v>127.67</v>
      </c>
      <c r="L51" s="60">
        <v>26.89</v>
      </c>
      <c r="M51" s="60">
        <v>48.65</v>
      </c>
      <c r="N51" s="60">
        <v>445.5</v>
      </c>
      <c r="O51" s="60">
        <v>0</v>
      </c>
      <c r="P51" s="60">
        <v>1.79</v>
      </c>
      <c r="Q51" s="60">
        <v>275.94</v>
      </c>
      <c r="R51" s="198"/>
      <c r="S51" s="198"/>
      <c r="T51" s="198"/>
      <c r="U51" s="198"/>
    </row>
    <row r="52" spans="1:21" s="12" customFormat="1" x14ac:dyDescent="0.25">
      <c r="A52" s="201" t="s">
        <v>2883</v>
      </c>
      <c r="B52" s="60">
        <v>10.89</v>
      </c>
      <c r="C52" s="60">
        <v>148.86000000000001</v>
      </c>
      <c r="D52" s="60">
        <v>90.88</v>
      </c>
      <c r="E52" s="60">
        <v>5.04</v>
      </c>
      <c r="F52" s="60">
        <v>1.77</v>
      </c>
      <c r="G52" s="60">
        <v>118.99</v>
      </c>
      <c r="H52" s="60">
        <v>41.61</v>
      </c>
      <c r="I52" s="60">
        <v>0.63</v>
      </c>
      <c r="J52" s="60">
        <v>0.68</v>
      </c>
      <c r="K52" s="60">
        <v>128.21</v>
      </c>
      <c r="L52" s="60">
        <v>26.42</v>
      </c>
      <c r="M52" s="60">
        <v>51.03</v>
      </c>
      <c r="N52" s="60">
        <v>450.2</v>
      </c>
      <c r="O52" s="60">
        <v>0</v>
      </c>
      <c r="P52" s="60">
        <v>1.73</v>
      </c>
      <c r="Q52" s="60">
        <v>263.08</v>
      </c>
      <c r="R52" s="198"/>
      <c r="S52" s="198"/>
      <c r="T52" s="198"/>
      <c r="U52" s="198"/>
    </row>
    <row r="53" spans="1:21" s="12" customFormat="1" x14ac:dyDescent="0.25">
      <c r="A53" s="201" t="s">
        <v>2884</v>
      </c>
      <c r="B53" s="60">
        <v>6.17</v>
      </c>
      <c r="C53" s="60">
        <v>141.30000000000001</v>
      </c>
      <c r="D53" s="60">
        <v>82.92</v>
      </c>
      <c r="E53" s="60">
        <v>4.66</v>
      </c>
      <c r="F53" s="60">
        <v>3.06</v>
      </c>
      <c r="G53" s="60">
        <v>97.85</v>
      </c>
      <c r="H53" s="60">
        <v>42.18</v>
      </c>
      <c r="I53" s="60">
        <v>0.6</v>
      </c>
      <c r="J53" s="60">
        <v>0.68</v>
      </c>
      <c r="K53" s="60">
        <v>127.91</v>
      </c>
      <c r="L53" s="60">
        <v>26.6</v>
      </c>
      <c r="M53" s="60">
        <v>44.14</v>
      </c>
      <c r="N53" s="60">
        <v>455.4</v>
      </c>
      <c r="O53" s="60">
        <v>0</v>
      </c>
      <c r="P53" s="60">
        <v>1.62</v>
      </c>
      <c r="Q53" s="60">
        <v>241.48</v>
      </c>
      <c r="R53" s="198"/>
      <c r="S53" s="198"/>
      <c r="T53" s="198"/>
      <c r="U53" s="198"/>
    </row>
    <row r="54" spans="1:21" s="12" customFormat="1" x14ac:dyDescent="0.25">
      <c r="A54" s="201" t="s">
        <v>2885</v>
      </c>
      <c r="B54" s="60">
        <v>3.34</v>
      </c>
      <c r="C54" s="60">
        <v>131.77000000000001</v>
      </c>
      <c r="D54" s="60">
        <v>75.400000000000006</v>
      </c>
      <c r="E54" s="60">
        <v>4.6500000000000004</v>
      </c>
      <c r="F54" s="60">
        <v>3.07</v>
      </c>
      <c r="G54" s="60">
        <v>97.85</v>
      </c>
      <c r="H54" s="60">
        <v>42.29</v>
      </c>
      <c r="I54" s="60">
        <v>0.56999999999999995</v>
      </c>
      <c r="J54" s="60">
        <v>0.74</v>
      </c>
      <c r="K54" s="60">
        <v>123.84</v>
      </c>
      <c r="L54" s="60">
        <v>28</v>
      </c>
      <c r="M54" s="60">
        <v>58.71</v>
      </c>
      <c r="N54" s="60">
        <v>462</v>
      </c>
      <c r="O54" s="60">
        <v>0</v>
      </c>
      <c r="P54" s="60">
        <v>1.56</v>
      </c>
      <c r="Q54" s="60">
        <v>228.12</v>
      </c>
      <c r="R54" s="198"/>
      <c r="S54" s="198"/>
      <c r="T54" s="198"/>
      <c r="U54" s="198"/>
    </row>
    <row r="55" spans="1:21" s="12" customFormat="1" x14ac:dyDescent="0.25">
      <c r="A55" s="201" t="s">
        <v>2886</v>
      </c>
      <c r="B55" s="60">
        <v>2.59</v>
      </c>
      <c r="C55" s="60">
        <v>121.38</v>
      </c>
      <c r="D55" s="60">
        <v>69.069999999999993</v>
      </c>
      <c r="E55" s="60">
        <v>5.18</v>
      </c>
      <c r="F55" s="60">
        <v>5.5</v>
      </c>
      <c r="G55" s="60">
        <v>97.85</v>
      </c>
      <c r="H55" s="60">
        <v>42.29</v>
      </c>
      <c r="I55" s="60">
        <v>0.53</v>
      </c>
      <c r="J55" s="60">
        <v>0.73</v>
      </c>
      <c r="K55" s="60">
        <v>125.93</v>
      </c>
      <c r="L55" s="60">
        <v>27.37</v>
      </c>
      <c r="M55" s="60">
        <v>51.12</v>
      </c>
      <c r="N55" s="60">
        <v>464.1</v>
      </c>
      <c r="O55" s="60">
        <v>0</v>
      </c>
      <c r="P55" s="60">
        <v>1.49</v>
      </c>
      <c r="Q55" s="60">
        <v>229.35</v>
      </c>
      <c r="R55" s="198"/>
      <c r="S55" s="198"/>
      <c r="T55" s="198"/>
      <c r="U55" s="198"/>
    </row>
    <row r="56" spans="1:21" s="12" customFormat="1" x14ac:dyDescent="0.25">
      <c r="A56" s="201" t="s">
        <v>2887</v>
      </c>
      <c r="B56" s="60">
        <v>2.23</v>
      </c>
      <c r="C56" s="60">
        <v>109.4</v>
      </c>
      <c r="D56" s="60">
        <v>62.16</v>
      </c>
      <c r="E56" s="60">
        <v>2.23</v>
      </c>
      <c r="F56" s="60">
        <v>10.72</v>
      </c>
      <c r="G56" s="60">
        <v>97.85</v>
      </c>
      <c r="H56" s="60">
        <v>42.29</v>
      </c>
      <c r="I56" s="60">
        <v>0.52</v>
      </c>
      <c r="J56" s="60">
        <v>0.95</v>
      </c>
      <c r="K56" s="60">
        <v>111.51</v>
      </c>
      <c r="L56" s="60">
        <v>30.2</v>
      </c>
      <c r="M56" s="60">
        <v>80.459999999999994</v>
      </c>
      <c r="N56" s="60">
        <v>462.9</v>
      </c>
      <c r="O56" s="60">
        <v>0</v>
      </c>
      <c r="P56" s="60">
        <v>1.38</v>
      </c>
      <c r="Q56" s="60">
        <v>222.73</v>
      </c>
      <c r="R56" s="198"/>
      <c r="S56" s="198"/>
      <c r="T56" s="198"/>
      <c r="U56" s="198"/>
    </row>
    <row r="57" spans="1:21" s="12" customFormat="1" x14ac:dyDescent="0.25">
      <c r="A57" s="201" t="s">
        <v>2888</v>
      </c>
      <c r="B57" s="60">
        <v>2.38</v>
      </c>
      <c r="C57" s="60">
        <v>115.36</v>
      </c>
      <c r="D57" s="60">
        <v>65.569999999999993</v>
      </c>
      <c r="E57" s="60">
        <v>3.86</v>
      </c>
      <c r="F57" s="60">
        <v>3.37</v>
      </c>
      <c r="G57" s="60">
        <v>83.23</v>
      </c>
      <c r="H57" s="60">
        <v>40.15</v>
      </c>
      <c r="I57" s="60">
        <v>0.49</v>
      </c>
      <c r="J57" s="60">
        <v>0.84</v>
      </c>
      <c r="K57" s="60">
        <v>104.42</v>
      </c>
      <c r="L57" s="60">
        <v>31.74</v>
      </c>
      <c r="M57" s="60">
        <v>89.09</v>
      </c>
      <c r="N57" s="60">
        <v>452.1</v>
      </c>
      <c r="O57" s="60">
        <v>0</v>
      </c>
      <c r="P57" s="60">
        <v>1.41</v>
      </c>
      <c r="Q57" s="60">
        <v>218.79</v>
      </c>
      <c r="R57" s="198"/>
      <c r="S57" s="198"/>
      <c r="T57" s="198"/>
      <c r="U57" s="198"/>
    </row>
    <row r="58" spans="1:21" s="12" customFormat="1" x14ac:dyDescent="0.25">
      <c r="A58" s="201" t="s">
        <v>2889</v>
      </c>
      <c r="B58" s="60">
        <v>2.94</v>
      </c>
      <c r="C58" s="60">
        <v>113.6</v>
      </c>
      <c r="D58" s="60">
        <v>65.06</v>
      </c>
      <c r="E58" s="60">
        <v>4.83</v>
      </c>
      <c r="F58" s="60">
        <v>3.44</v>
      </c>
      <c r="G58" s="60">
        <v>83.23</v>
      </c>
      <c r="H58" s="60">
        <v>39.79</v>
      </c>
      <c r="I58" s="60">
        <v>0.44</v>
      </c>
      <c r="J58" s="60">
        <v>0.63</v>
      </c>
      <c r="K58" s="60">
        <v>107.38</v>
      </c>
      <c r="L58" s="60">
        <v>30.84</v>
      </c>
      <c r="M58" s="60">
        <v>79.34</v>
      </c>
      <c r="N58" s="60">
        <v>434.4</v>
      </c>
      <c r="O58" s="60">
        <v>0</v>
      </c>
      <c r="P58" s="60">
        <v>1.39</v>
      </c>
      <c r="Q58" s="60">
        <v>224.36</v>
      </c>
      <c r="R58" s="198"/>
      <c r="S58" s="198"/>
      <c r="T58" s="198"/>
      <c r="U58" s="198"/>
    </row>
    <row r="59" spans="1:21" s="12" customFormat="1" x14ac:dyDescent="0.25">
      <c r="A59" s="201" t="s">
        <v>2890</v>
      </c>
      <c r="B59" s="60">
        <v>2.6</v>
      </c>
      <c r="C59" s="60">
        <v>110.48</v>
      </c>
      <c r="D59" s="60">
        <v>63.05</v>
      </c>
      <c r="E59" s="60">
        <v>4.68</v>
      </c>
      <c r="F59" s="60">
        <v>3.04</v>
      </c>
      <c r="G59" s="60">
        <v>83.23</v>
      </c>
      <c r="H59" s="60">
        <v>39.79</v>
      </c>
      <c r="I59" s="60">
        <v>0.47</v>
      </c>
      <c r="J59" s="60">
        <v>1.03</v>
      </c>
      <c r="K59" s="60">
        <v>104</v>
      </c>
      <c r="L59" s="60">
        <v>31.3</v>
      </c>
      <c r="M59" s="60">
        <v>91.65</v>
      </c>
      <c r="N59" s="60">
        <v>432.9</v>
      </c>
      <c r="O59" s="60">
        <v>0</v>
      </c>
      <c r="P59" s="60">
        <v>1.38</v>
      </c>
      <c r="Q59" s="60">
        <v>229.99</v>
      </c>
      <c r="R59" s="198"/>
      <c r="S59" s="198"/>
      <c r="T59" s="198"/>
      <c r="U59" s="198"/>
    </row>
    <row r="60" spans="1:21" s="12" customFormat="1" x14ac:dyDescent="0.25">
      <c r="A60" s="201" t="s">
        <v>2891</v>
      </c>
      <c r="B60" s="60">
        <v>2.78</v>
      </c>
      <c r="C60" s="60">
        <v>110.05</v>
      </c>
      <c r="D60" s="60">
        <v>62.96</v>
      </c>
      <c r="E60" s="60">
        <v>4.75</v>
      </c>
      <c r="F60" s="60">
        <v>3.33</v>
      </c>
      <c r="G60" s="60">
        <v>83.23</v>
      </c>
      <c r="H60" s="60">
        <v>39.79</v>
      </c>
      <c r="I60" s="60">
        <v>0.46</v>
      </c>
      <c r="J60" s="60">
        <v>0.71</v>
      </c>
      <c r="K60" s="60">
        <v>102.68</v>
      </c>
      <c r="L60" s="60">
        <v>31.29</v>
      </c>
      <c r="M60" s="60">
        <v>78.680000000000007</v>
      </c>
      <c r="N60" s="60">
        <v>412.5</v>
      </c>
      <c r="O60" s="60">
        <v>0</v>
      </c>
      <c r="P60" s="60">
        <v>1.36</v>
      </c>
      <c r="Q60" s="60">
        <v>237.51</v>
      </c>
      <c r="R60" s="198"/>
      <c r="S60" s="198"/>
      <c r="T60" s="198"/>
      <c r="U60" s="198"/>
    </row>
    <row r="61" spans="1:21" s="12" customFormat="1" x14ac:dyDescent="0.25">
      <c r="A61" s="201" t="s">
        <v>2892</v>
      </c>
      <c r="B61" s="60">
        <v>3.28</v>
      </c>
      <c r="C61" s="60">
        <v>114.07</v>
      </c>
      <c r="D61" s="60">
        <v>65.58</v>
      </c>
      <c r="E61" s="60">
        <v>4.95</v>
      </c>
      <c r="F61" s="60">
        <v>4.03</v>
      </c>
      <c r="G61" s="60">
        <v>76.63</v>
      </c>
      <c r="H61" s="60">
        <v>37.869999999999997</v>
      </c>
      <c r="I61" s="60">
        <v>0.47</v>
      </c>
      <c r="J61" s="60">
        <v>0.43</v>
      </c>
      <c r="K61" s="60">
        <v>100.57</v>
      </c>
      <c r="L61" s="60">
        <v>31.08</v>
      </c>
      <c r="M61" s="60">
        <v>70.819999999999993</v>
      </c>
      <c r="N61" s="60">
        <v>398.1</v>
      </c>
      <c r="O61" s="60">
        <v>0</v>
      </c>
      <c r="P61" s="60">
        <v>1.3</v>
      </c>
      <c r="Q61" s="60">
        <v>244.02</v>
      </c>
      <c r="R61" s="198"/>
      <c r="S61" s="198"/>
      <c r="T61" s="198"/>
      <c r="U61" s="198"/>
    </row>
    <row r="62" spans="1:21" s="12" customFormat="1" x14ac:dyDescent="0.25">
      <c r="A62" s="201" t="s">
        <v>2893</v>
      </c>
      <c r="B62" s="60">
        <v>2.4500000000000002</v>
      </c>
      <c r="C62" s="60">
        <v>120.07</v>
      </c>
      <c r="D62" s="60">
        <v>68.23</v>
      </c>
      <c r="E62" s="60">
        <v>5.5</v>
      </c>
      <c r="F62" s="60">
        <v>6.84</v>
      </c>
      <c r="G62" s="60">
        <v>76.63</v>
      </c>
      <c r="H62" s="60">
        <v>37.549999999999997</v>
      </c>
      <c r="I62" s="60">
        <v>0.47</v>
      </c>
      <c r="J62" s="60">
        <v>0.56000000000000005</v>
      </c>
      <c r="K62" s="60">
        <v>104.84</v>
      </c>
      <c r="L62" s="60">
        <v>29.1</v>
      </c>
      <c r="M62" s="60">
        <v>54.81</v>
      </c>
      <c r="N62" s="60">
        <v>393</v>
      </c>
      <c r="O62" s="60">
        <v>0</v>
      </c>
      <c r="P62" s="60">
        <v>1.26</v>
      </c>
      <c r="Q62" s="60">
        <v>228.36</v>
      </c>
      <c r="R62" s="198"/>
      <c r="S62" s="198"/>
      <c r="T62" s="198"/>
      <c r="U62" s="198"/>
    </row>
    <row r="63" spans="1:21" s="12" customFormat="1" x14ac:dyDescent="0.25">
      <c r="A63" s="201" t="s">
        <v>2894</v>
      </c>
      <c r="B63" s="60">
        <v>2.4500000000000002</v>
      </c>
      <c r="C63" s="60">
        <v>120.47</v>
      </c>
      <c r="D63" s="60">
        <v>68.45</v>
      </c>
      <c r="E63" s="60">
        <v>5.8</v>
      </c>
      <c r="F63" s="60">
        <v>6.39</v>
      </c>
      <c r="G63" s="60">
        <v>76.63</v>
      </c>
      <c r="H63" s="60">
        <v>37.549999999999997</v>
      </c>
      <c r="I63" s="60">
        <v>0.45</v>
      </c>
      <c r="J63" s="60">
        <v>0.78</v>
      </c>
      <c r="K63" s="60">
        <v>97.69</v>
      </c>
      <c r="L63" s="60">
        <v>31.17</v>
      </c>
      <c r="M63" s="60">
        <v>72.760000000000005</v>
      </c>
      <c r="N63" s="60">
        <v>376.1</v>
      </c>
      <c r="O63" s="60">
        <v>0</v>
      </c>
      <c r="P63" s="60">
        <v>1.22</v>
      </c>
      <c r="Q63" s="60">
        <v>220.85</v>
      </c>
      <c r="R63" s="198"/>
      <c r="S63" s="198"/>
      <c r="T63" s="198"/>
      <c r="U63" s="198"/>
    </row>
    <row r="64" spans="1:21" s="12" customFormat="1" x14ac:dyDescent="0.25">
      <c r="A64" s="201" t="s">
        <v>2895</v>
      </c>
      <c r="B64" s="60">
        <v>4.9800000000000004</v>
      </c>
      <c r="C64" s="60">
        <v>122.28</v>
      </c>
      <c r="D64" s="60">
        <v>71.47</v>
      </c>
      <c r="E64" s="60">
        <v>11.46</v>
      </c>
      <c r="F64" s="60">
        <v>16.489999999999998</v>
      </c>
      <c r="G64" s="60">
        <v>76.63</v>
      </c>
      <c r="H64" s="60">
        <v>37.549999999999997</v>
      </c>
      <c r="I64" s="60">
        <v>0.39</v>
      </c>
      <c r="J64" s="60">
        <v>0.84</v>
      </c>
      <c r="K64" s="60">
        <v>102.1</v>
      </c>
      <c r="L64" s="60">
        <v>29.93</v>
      </c>
      <c r="M64" s="60">
        <v>60.8</v>
      </c>
      <c r="N64" s="60">
        <v>359.6</v>
      </c>
      <c r="O64" s="60">
        <v>0</v>
      </c>
      <c r="P64" s="60">
        <v>1.1499999999999999</v>
      </c>
      <c r="Q64" s="60">
        <v>221.82</v>
      </c>
      <c r="R64" s="198"/>
      <c r="S64" s="198"/>
      <c r="T64" s="198"/>
      <c r="U64" s="198"/>
    </row>
    <row r="65" spans="1:21" s="12" customFormat="1" x14ac:dyDescent="0.25">
      <c r="A65" s="201" t="s">
        <v>2896</v>
      </c>
      <c r="B65" s="60">
        <v>3.14</v>
      </c>
      <c r="C65" s="60">
        <v>124.91</v>
      </c>
      <c r="D65" s="60">
        <v>71.45</v>
      </c>
      <c r="E65" s="60">
        <v>9.23</v>
      </c>
      <c r="F65" s="60">
        <v>18.510000000000002</v>
      </c>
      <c r="G65" s="60">
        <v>63.51</v>
      </c>
      <c r="H65" s="60">
        <v>36.83</v>
      </c>
      <c r="I65" s="60">
        <v>0.37</v>
      </c>
      <c r="J65" s="60">
        <v>0.73</v>
      </c>
      <c r="K65" s="60">
        <v>110.62</v>
      </c>
      <c r="L65" s="60">
        <v>28.43</v>
      </c>
      <c r="M65" s="60">
        <v>43.72</v>
      </c>
      <c r="N65" s="60">
        <v>331.7</v>
      </c>
      <c r="O65" s="60">
        <v>0</v>
      </c>
      <c r="P65" s="60">
        <v>1.0900000000000001</v>
      </c>
      <c r="Q65" s="60">
        <v>209.5</v>
      </c>
      <c r="R65" s="198"/>
      <c r="S65" s="198"/>
      <c r="T65" s="198"/>
      <c r="U65" s="198"/>
    </row>
    <row r="66" spans="1:21" s="12" customFormat="1" x14ac:dyDescent="0.25">
      <c r="A66" s="201" t="s">
        <v>2897</v>
      </c>
      <c r="B66" s="60">
        <v>2.41</v>
      </c>
      <c r="C66" s="60">
        <v>116.36</v>
      </c>
      <c r="D66" s="60">
        <v>66.150000000000006</v>
      </c>
      <c r="E66" s="60">
        <v>12.7</v>
      </c>
      <c r="F66" s="60">
        <v>28.52</v>
      </c>
      <c r="G66" s="60">
        <v>63.51</v>
      </c>
      <c r="H66" s="60">
        <v>36.71</v>
      </c>
      <c r="I66" s="60">
        <v>0.34</v>
      </c>
      <c r="J66" s="60">
        <v>0.64</v>
      </c>
      <c r="K66" s="60">
        <v>107.11</v>
      </c>
      <c r="L66" s="60">
        <v>28.7</v>
      </c>
      <c r="M66" s="60">
        <v>47.12</v>
      </c>
      <c r="N66" s="60">
        <v>232.5</v>
      </c>
      <c r="O66" s="60">
        <v>0</v>
      </c>
      <c r="P66" s="60">
        <v>1.02</v>
      </c>
      <c r="Q66" s="60">
        <v>191.26</v>
      </c>
      <c r="R66" s="198"/>
      <c r="S66" s="198"/>
      <c r="T66" s="198"/>
      <c r="U66" s="198"/>
    </row>
    <row r="67" spans="1:21" s="12" customFormat="1" x14ac:dyDescent="0.25">
      <c r="A67" s="201" t="s">
        <v>2898</v>
      </c>
      <c r="B67" s="60">
        <v>1.47</v>
      </c>
      <c r="C67" s="60">
        <v>105.54</v>
      </c>
      <c r="D67" s="60">
        <v>59.42</v>
      </c>
      <c r="E67" s="60">
        <v>10.06</v>
      </c>
      <c r="F67" s="60">
        <v>18.829999999999998</v>
      </c>
      <c r="G67" s="60">
        <v>63.51</v>
      </c>
      <c r="H67" s="60">
        <v>36.71</v>
      </c>
      <c r="I67" s="60">
        <v>0.31</v>
      </c>
      <c r="J67" s="60">
        <v>1.19</v>
      </c>
      <c r="K67" s="60">
        <v>110.38</v>
      </c>
      <c r="L67" s="60">
        <v>27.6</v>
      </c>
      <c r="M67" s="60">
        <v>30.82</v>
      </c>
      <c r="N67" s="60">
        <v>161.9</v>
      </c>
      <c r="O67" s="60">
        <v>0</v>
      </c>
      <c r="P67" s="60">
        <v>0.95</v>
      </c>
      <c r="Q67" s="60">
        <v>175.33</v>
      </c>
      <c r="R67" s="198"/>
      <c r="S67" s="198"/>
      <c r="T67" s="198"/>
      <c r="U67" s="198"/>
    </row>
    <row r="68" spans="1:21" s="12" customFormat="1" x14ac:dyDescent="0.25">
      <c r="A68" s="201" t="s">
        <v>2899</v>
      </c>
      <c r="B68" s="60">
        <v>1.32</v>
      </c>
      <c r="C68" s="60">
        <v>99.72</v>
      </c>
      <c r="D68" s="60">
        <v>56.09</v>
      </c>
      <c r="E68" s="60">
        <v>6.2</v>
      </c>
      <c r="F68" s="60">
        <v>11.62</v>
      </c>
      <c r="G68" s="60">
        <v>63.51</v>
      </c>
      <c r="H68" s="60">
        <v>36.71</v>
      </c>
      <c r="I68" s="60">
        <v>0.27</v>
      </c>
      <c r="J68" s="60">
        <v>0.67</v>
      </c>
      <c r="K68" s="60">
        <v>108.11</v>
      </c>
      <c r="L68" s="60">
        <v>27.73</v>
      </c>
      <c r="M68" s="60">
        <v>43.32</v>
      </c>
      <c r="N68" s="60">
        <v>225.9</v>
      </c>
      <c r="O68" s="60">
        <v>0</v>
      </c>
      <c r="P68" s="60">
        <v>0.92</v>
      </c>
      <c r="Q68" s="60">
        <v>162.9</v>
      </c>
      <c r="R68" s="198"/>
      <c r="S68" s="198"/>
      <c r="T68" s="198"/>
      <c r="U68" s="198"/>
    </row>
    <row r="69" spans="1:21" s="12" customFormat="1" x14ac:dyDescent="0.25">
      <c r="A69" s="201" t="s">
        <v>2900</v>
      </c>
      <c r="B69" s="60">
        <v>1.59</v>
      </c>
      <c r="C69" s="60">
        <v>94.5</v>
      </c>
      <c r="D69" s="60">
        <v>53.42</v>
      </c>
      <c r="E69" s="60">
        <v>5.96</v>
      </c>
      <c r="F69" s="60">
        <v>9.31</v>
      </c>
      <c r="G69" s="60">
        <v>56.93</v>
      </c>
      <c r="H69" s="60">
        <v>29.59</v>
      </c>
      <c r="I69" s="60">
        <v>0.27</v>
      </c>
      <c r="J69" s="60">
        <v>0.62</v>
      </c>
      <c r="K69" s="60">
        <v>106.16</v>
      </c>
      <c r="L69" s="60">
        <v>27.86</v>
      </c>
      <c r="M69" s="60">
        <v>39.99</v>
      </c>
      <c r="N69" s="60">
        <v>173.7</v>
      </c>
      <c r="O69" s="60">
        <v>0</v>
      </c>
      <c r="P69" s="60">
        <v>0.89</v>
      </c>
      <c r="Q69" s="60">
        <v>168.02</v>
      </c>
      <c r="R69" s="198"/>
      <c r="S69" s="198"/>
      <c r="T69" s="198"/>
      <c r="U69" s="198"/>
    </row>
    <row r="70" spans="1:21" s="12" customFormat="1" x14ac:dyDescent="0.25">
      <c r="A70" s="201" t="s">
        <v>2901</v>
      </c>
      <c r="B70" s="60">
        <v>1.87</v>
      </c>
      <c r="C70" s="60">
        <v>91.29</v>
      </c>
      <c r="D70" s="60">
        <v>51.88</v>
      </c>
      <c r="E70" s="60">
        <v>5.92</v>
      </c>
      <c r="F70" s="60">
        <v>12.42</v>
      </c>
      <c r="G70" s="60">
        <v>56.93</v>
      </c>
      <c r="H70" s="60">
        <v>28.38</v>
      </c>
      <c r="I70" s="60">
        <v>0.28000000000000003</v>
      </c>
      <c r="J70" s="60">
        <v>0.68</v>
      </c>
      <c r="K70" s="60">
        <v>109</v>
      </c>
      <c r="L70" s="60">
        <v>27.14</v>
      </c>
      <c r="M70" s="60">
        <v>35.369999999999997</v>
      </c>
      <c r="N70" s="60">
        <v>132.4</v>
      </c>
      <c r="O70" s="60">
        <v>0</v>
      </c>
      <c r="P70" s="60">
        <v>0.87</v>
      </c>
      <c r="Q70" s="60">
        <v>182.47</v>
      </c>
      <c r="R70" s="198"/>
      <c r="S70" s="198"/>
      <c r="T70" s="198"/>
      <c r="U70" s="198"/>
    </row>
    <row r="71" spans="1:21" s="12" customFormat="1" x14ac:dyDescent="0.25">
      <c r="A71" s="201" t="s">
        <v>2902</v>
      </c>
      <c r="B71" s="60">
        <v>1.41</v>
      </c>
      <c r="C71" s="60">
        <v>83.99</v>
      </c>
      <c r="D71" s="60">
        <v>47.48</v>
      </c>
      <c r="E71" s="60">
        <v>8.5299999999999994</v>
      </c>
      <c r="F71" s="60">
        <v>17.329999999999998</v>
      </c>
      <c r="G71" s="60">
        <v>56.93</v>
      </c>
      <c r="H71" s="60">
        <v>28.38</v>
      </c>
      <c r="I71" s="60">
        <v>0.27</v>
      </c>
      <c r="J71" s="60">
        <v>0.46</v>
      </c>
      <c r="K71" s="60">
        <v>111.5</v>
      </c>
      <c r="L71" s="60">
        <v>26.99</v>
      </c>
      <c r="M71" s="60">
        <v>28.7</v>
      </c>
      <c r="N71" s="60">
        <v>84.4</v>
      </c>
      <c r="O71" s="60">
        <v>0</v>
      </c>
      <c r="P71" s="60">
        <v>0.8</v>
      </c>
      <c r="Q71" s="60">
        <v>181.79</v>
      </c>
      <c r="R71" s="198"/>
      <c r="S71" s="198"/>
      <c r="T71" s="198"/>
      <c r="U71" s="198"/>
    </row>
    <row r="72" spans="1:21" s="12" customFormat="1" x14ac:dyDescent="0.25">
      <c r="A72" s="201" t="s">
        <v>2903</v>
      </c>
      <c r="B72" s="60">
        <v>1.83</v>
      </c>
      <c r="C72" s="60">
        <v>84.6</v>
      </c>
      <c r="D72" s="60">
        <v>48.16</v>
      </c>
      <c r="E72" s="60">
        <v>6.98</v>
      </c>
      <c r="F72" s="60">
        <v>8.51</v>
      </c>
      <c r="G72" s="60">
        <v>56.93</v>
      </c>
      <c r="H72" s="60">
        <v>28.38</v>
      </c>
      <c r="I72" s="60">
        <v>0.28000000000000003</v>
      </c>
      <c r="J72" s="60">
        <v>0.57999999999999996</v>
      </c>
      <c r="K72" s="60">
        <v>112.73</v>
      </c>
      <c r="L72" s="60">
        <v>26.8</v>
      </c>
      <c r="M72" s="60">
        <v>32.840000000000003</v>
      </c>
      <c r="N72" s="60">
        <v>60.2</v>
      </c>
      <c r="O72" s="60">
        <v>0</v>
      </c>
      <c r="P72" s="60">
        <v>0.81</v>
      </c>
      <c r="Q72" s="60">
        <v>187.92</v>
      </c>
      <c r="R72" s="198"/>
      <c r="S72" s="198"/>
      <c r="T72" s="198"/>
      <c r="U72" s="198"/>
    </row>
    <row r="73" spans="1:21" s="12" customFormat="1" x14ac:dyDescent="0.25">
      <c r="A73" s="201" t="s">
        <v>2904</v>
      </c>
      <c r="B73" s="60">
        <v>2.5</v>
      </c>
      <c r="C73" s="60">
        <v>85.18</v>
      </c>
      <c r="D73" s="60">
        <v>49.01</v>
      </c>
      <c r="E73" s="60">
        <v>7.45</v>
      </c>
      <c r="F73" s="60">
        <v>10.53</v>
      </c>
      <c r="G73" s="60">
        <v>50.15</v>
      </c>
      <c r="H73" s="60">
        <v>26.31</v>
      </c>
      <c r="I73" s="60">
        <v>0.27</v>
      </c>
      <c r="J73" s="60">
        <v>0.39</v>
      </c>
      <c r="K73" s="60">
        <v>115.41</v>
      </c>
      <c r="L73" s="60">
        <v>26.66</v>
      </c>
      <c r="M73" s="60">
        <v>56.65</v>
      </c>
      <c r="N73" s="60">
        <v>41.3</v>
      </c>
      <c r="O73" s="60">
        <v>0</v>
      </c>
      <c r="P73" s="60">
        <v>0.81</v>
      </c>
      <c r="Q73" s="60">
        <v>198.59</v>
      </c>
      <c r="R73" s="198"/>
      <c r="S73" s="198"/>
      <c r="T73" s="198"/>
      <c r="U73" s="198"/>
    </row>
    <row r="74" spans="1:21" s="12" customFormat="1" x14ac:dyDescent="0.25">
      <c r="A74" s="201" t="s">
        <v>2905</v>
      </c>
      <c r="B74" s="60">
        <v>2.63</v>
      </c>
      <c r="C74" s="60">
        <v>85.22</v>
      </c>
      <c r="D74" s="60">
        <v>49.14</v>
      </c>
      <c r="E74" s="60">
        <v>6.13</v>
      </c>
      <c r="F74" s="60">
        <v>11.45</v>
      </c>
      <c r="G74" s="60">
        <v>50.15</v>
      </c>
      <c r="H74" s="60">
        <v>25.92</v>
      </c>
      <c r="I74" s="60">
        <v>0.28000000000000003</v>
      </c>
      <c r="J74" s="60">
        <v>0.27</v>
      </c>
      <c r="K74" s="60">
        <v>120.99</v>
      </c>
      <c r="L74" s="60">
        <v>26.32</v>
      </c>
      <c r="M74" s="60">
        <v>38.75</v>
      </c>
      <c r="N74" s="60">
        <v>28.1</v>
      </c>
      <c r="O74" s="60">
        <v>0</v>
      </c>
      <c r="P74" s="60">
        <v>0.8</v>
      </c>
      <c r="Q74" s="60">
        <v>211.9</v>
      </c>
      <c r="R74" s="198"/>
      <c r="S74" s="198"/>
      <c r="T74" s="198"/>
      <c r="U74" s="198"/>
    </row>
    <row r="75" spans="1:21" s="12" customFormat="1" x14ac:dyDescent="0.25">
      <c r="A75" s="201" t="s">
        <v>2906</v>
      </c>
      <c r="B75" s="60">
        <v>2.72</v>
      </c>
      <c r="C75" s="60">
        <v>85.98</v>
      </c>
      <c r="D75" s="60">
        <v>49.63</v>
      </c>
      <c r="E75" s="60">
        <v>5.57</v>
      </c>
      <c r="F75" s="60">
        <v>6.01</v>
      </c>
      <c r="G75" s="60">
        <v>50.15</v>
      </c>
      <c r="H75" s="60">
        <v>25.92</v>
      </c>
      <c r="I75" s="60">
        <v>0.28999999999999998</v>
      </c>
      <c r="J75" s="60">
        <v>0.36</v>
      </c>
      <c r="K75" s="60">
        <v>125.04</v>
      </c>
      <c r="L75" s="60">
        <v>25.91</v>
      </c>
      <c r="M75" s="60">
        <v>34.94</v>
      </c>
      <c r="N75" s="60">
        <v>21.7</v>
      </c>
      <c r="O75" s="60">
        <v>0</v>
      </c>
      <c r="P75" s="60">
        <v>0.81</v>
      </c>
      <c r="Q75" s="60">
        <v>224.63</v>
      </c>
      <c r="R75" s="198"/>
      <c r="S75" s="198"/>
      <c r="T75" s="198"/>
      <c r="U75" s="198"/>
    </row>
    <row r="76" spans="1:21" s="12" customFormat="1" x14ac:dyDescent="0.25">
      <c r="A76" s="201" t="s">
        <v>2907</v>
      </c>
      <c r="B76" s="60">
        <v>2.4300000000000002</v>
      </c>
      <c r="C76" s="60">
        <v>93.02</v>
      </c>
      <c r="D76" s="60">
        <v>53.29</v>
      </c>
      <c r="E76" s="60">
        <v>4.54</v>
      </c>
      <c r="F76" s="60">
        <v>6.26</v>
      </c>
      <c r="G76" s="60">
        <v>50.15</v>
      </c>
      <c r="H76" s="60">
        <v>25.92</v>
      </c>
      <c r="I76" s="60">
        <v>0.31</v>
      </c>
      <c r="J76" s="60">
        <v>0.12</v>
      </c>
      <c r="K76" s="60">
        <v>143.81</v>
      </c>
      <c r="L76" s="60">
        <v>25.35</v>
      </c>
      <c r="M76" s="60">
        <v>18.16</v>
      </c>
      <c r="N76" s="60">
        <v>13.4</v>
      </c>
      <c r="O76" s="60">
        <v>0</v>
      </c>
      <c r="P76" s="60">
        <v>0.84</v>
      </c>
      <c r="Q76" s="60">
        <v>222.7</v>
      </c>
      <c r="R76" s="198"/>
      <c r="S76" s="198"/>
      <c r="T76" s="198"/>
      <c r="U76" s="198"/>
    </row>
    <row r="77" spans="1:21" s="12" customFormat="1" x14ac:dyDescent="0.25">
      <c r="A77" s="201" t="s">
        <v>2908</v>
      </c>
      <c r="B77" s="60">
        <v>6.43</v>
      </c>
      <c r="C77" s="60">
        <v>106.99</v>
      </c>
      <c r="D77" s="60">
        <v>64.2</v>
      </c>
      <c r="E77" s="60">
        <v>3.69</v>
      </c>
      <c r="F77" s="60">
        <v>2.68</v>
      </c>
      <c r="G77" s="60">
        <v>52.98</v>
      </c>
      <c r="H77" s="60">
        <v>26.34</v>
      </c>
      <c r="I77" s="60">
        <v>0.33</v>
      </c>
      <c r="J77" s="60">
        <v>0.14000000000000001</v>
      </c>
      <c r="K77" s="60">
        <v>183.31</v>
      </c>
      <c r="L77" s="60">
        <v>24.08</v>
      </c>
      <c r="M77" s="60">
        <v>53.07</v>
      </c>
      <c r="N77" s="60">
        <v>6.5</v>
      </c>
      <c r="O77" s="60">
        <v>0</v>
      </c>
      <c r="P77" s="60">
        <v>0.93</v>
      </c>
      <c r="Q77" s="60">
        <v>222.55</v>
      </c>
      <c r="R77" s="198"/>
      <c r="S77" s="198"/>
      <c r="T77" s="198"/>
      <c r="U77" s="198"/>
    </row>
    <row r="78" spans="1:21" s="12" customFormat="1" x14ac:dyDescent="0.25">
      <c r="A78" s="201" t="s">
        <v>2909</v>
      </c>
      <c r="B78" s="60">
        <v>14.44</v>
      </c>
      <c r="C78" s="60">
        <v>128.03</v>
      </c>
      <c r="D78" s="60">
        <v>82.24</v>
      </c>
      <c r="E78" s="60">
        <v>3.66</v>
      </c>
      <c r="F78" s="60">
        <v>1.1100000000000001</v>
      </c>
      <c r="G78" s="60">
        <v>52.98</v>
      </c>
      <c r="H78" s="60">
        <v>26.42</v>
      </c>
      <c r="I78" s="60">
        <v>0.33</v>
      </c>
      <c r="J78" s="60">
        <v>0.15</v>
      </c>
      <c r="K78" s="60">
        <v>198.87</v>
      </c>
      <c r="L78" s="60">
        <v>22.94</v>
      </c>
      <c r="M78" s="60">
        <v>70.86</v>
      </c>
      <c r="N78" s="60">
        <v>2.5</v>
      </c>
      <c r="O78" s="60">
        <v>0</v>
      </c>
      <c r="P78" s="60">
        <v>1.1499999999999999</v>
      </c>
      <c r="Q78" s="60">
        <v>237.35</v>
      </c>
      <c r="R78" s="198"/>
      <c r="S78" s="198"/>
      <c r="T78" s="198"/>
      <c r="U78" s="198"/>
    </row>
    <row r="79" spans="1:21" s="12" customFormat="1" x14ac:dyDescent="0.25">
      <c r="A79" s="201" t="s">
        <v>2910</v>
      </c>
      <c r="B79" s="60">
        <v>19.93</v>
      </c>
      <c r="C79" s="60">
        <v>137.77000000000001</v>
      </c>
      <c r="D79" s="60">
        <v>92.01</v>
      </c>
      <c r="E79" s="60">
        <v>3.23</v>
      </c>
      <c r="F79" s="60">
        <v>0.8</v>
      </c>
      <c r="G79" s="60">
        <v>52.98</v>
      </c>
      <c r="H79" s="60">
        <v>26.42</v>
      </c>
      <c r="I79" s="60">
        <v>0.36</v>
      </c>
      <c r="J79" s="60">
        <v>0.19</v>
      </c>
      <c r="K79" s="60">
        <v>201.31</v>
      </c>
      <c r="L79" s="60">
        <v>22.19</v>
      </c>
      <c r="M79" s="60">
        <v>66.13</v>
      </c>
      <c r="N79" s="60">
        <v>1.3</v>
      </c>
      <c r="O79" s="60">
        <v>0</v>
      </c>
      <c r="P79" s="60">
        <v>1.3</v>
      </c>
      <c r="Q79" s="60">
        <v>253.78</v>
      </c>
      <c r="R79" s="198"/>
      <c r="S79" s="198"/>
      <c r="T79" s="198"/>
      <c r="U79" s="198"/>
    </row>
    <row r="80" spans="1:21" s="12" customFormat="1" x14ac:dyDescent="0.25">
      <c r="A80" s="201" t="s">
        <v>2911</v>
      </c>
      <c r="B80" s="60">
        <v>21.94</v>
      </c>
      <c r="C80" s="60">
        <v>141.93</v>
      </c>
      <c r="D80" s="60">
        <v>95.92</v>
      </c>
      <c r="E80" s="60">
        <v>3.66</v>
      </c>
      <c r="F80" s="60">
        <v>0.84</v>
      </c>
      <c r="G80" s="60">
        <v>52.98</v>
      </c>
      <c r="H80" s="60">
        <v>26.42</v>
      </c>
      <c r="I80" s="60">
        <v>0.4</v>
      </c>
      <c r="J80" s="60">
        <v>0.16</v>
      </c>
      <c r="K80" s="60">
        <v>203.93</v>
      </c>
      <c r="L80" s="60">
        <v>21.84</v>
      </c>
      <c r="M80" s="60">
        <v>53.27</v>
      </c>
      <c r="N80" s="60">
        <v>0.9</v>
      </c>
      <c r="O80" s="60">
        <v>0</v>
      </c>
      <c r="P80" s="60">
        <v>1.42</v>
      </c>
      <c r="Q80" s="60">
        <v>263.82</v>
      </c>
      <c r="R80" s="198"/>
      <c r="S80" s="198"/>
      <c r="T80" s="198"/>
      <c r="U80" s="198"/>
    </row>
    <row r="81" spans="1:26" s="12" customFormat="1" x14ac:dyDescent="0.25">
      <c r="A81" s="201" t="s">
        <v>2912</v>
      </c>
      <c r="B81" s="60">
        <v>24.27</v>
      </c>
      <c r="C81" s="60">
        <v>151.32</v>
      </c>
      <c r="D81" s="60">
        <v>102.98</v>
      </c>
      <c r="E81" s="60">
        <v>3.59</v>
      </c>
      <c r="F81" s="60">
        <v>0.67</v>
      </c>
      <c r="G81" s="60">
        <v>140.85</v>
      </c>
      <c r="H81" s="60">
        <v>26.78</v>
      </c>
      <c r="I81" s="60">
        <v>0.44</v>
      </c>
      <c r="J81" s="60">
        <v>0.17</v>
      </c>
      <c r="K81" s="60">
        <v>197.72</v>
      </c>
      <c r="L81" s="60">
        <v>21.97</v>
      </c>
      <c r="M81" s="60">
        <v>55.85</v>
      </c>
      <c r="N81" s="60">
        <v>0.7</v>
      </c>
      <c r="O81" s="60">
        <v>0</v>
      </c>
      <c r="P81" s="60">
        <v>1.58</v>
      </c>
      <c r="Q81" s="60">
        <v>270.39999999999998</v>
      </c>
      <c r="R81" s="198"/>
      <c r="S81" s="198"/>
      <c r="T81" s="198"/>
      <c r="U81" s="198"/>
    </row>
    <row r="82" spans="1:26" s="12" customFormat="1" x14ac:dyDescent="0.25">
      <c r="A82" s="201" t="s">
        <v>2913</v>
      </c>
      <c r="B82" s="60">
        <v>29.04</v>
      </c>
      <c r="C82" s="60">
        <v>157.27000000000001</v>
      </c>
      <c r="D82" s="60">
        <v>110.08</v>
      </c>
      <c r="E82" s="60">
        <v>4.3</v>
      </c>
      <c r="F82" s="60">
        <v>0.76</v>
      </c>
      <c r="G82" s="60">
        <v>140.85</v>
      </c>
      <c r="H82" s="60">
        <v>26.84</v>
      </c>
      <c r="I82" s="60">
        <v>0.48</v>
      </c>
      <c r="J82" s="60">
        <v>0.16</v>
      </c>
      <c r="K82" s="60">
        <v>212.21</v>
      </c>
      <c r="L82" s="60">
        <v>21.4</v>
      </c>
      <c r="M82" s="60">
        <v>41.24</v>
      </c>
      <c r="N82" s="60">
        <v>1.1000000000000001</v>
      </c>
      <c r="O82" s="60">
        <v>0</v>
      </c>
      <c r="P82" s="60">
        <v>1.7</v>
      </c>
      <c r="Q82" s="60">
        <v>281.02</v>
      </c>
      <c r="R82" s="198"/>
      <c r="S82" s="198"/>
      <c r="T82" s="198"/>
      <c r="U82" s="198"/>
    </row>
    <row r="83" spans="1:26" s="12" customFormat="1" x14ac:dyDescent="0.25">
      <c r="A83" s="201" t="s">
        <v>2914</v>
      </c>
      <c r="B83" s="60">
        <v>37.799999999999997</v>
      </c>
      <c r="C83" s="60">
        <v>171.06</v>
      </c>
      <c r="D83" s="60">
        <v>124.72</v>
      </c>
      <c r="E83" s="60">
        <v>4.0599999999999996</v>
      </c>
      <c r="F83" s="60">
        <v>1.08</v>
      </c>
      <c r="G83" s="60">
        <v>140.85</v>
      </c>
      <c r="H83" s="60">
        <v>26.84</v>
      </c>
      <c r="I83" s="60">
        <v>0.52</v>
      </c>
      <c r="J83" s="60">
        <v>0.14000000000000001</v>
      </c>
      <c r="K83" s="60">
        <v>217.85</v>
      </c>
      <c r="L83" s="60">
        <v>21.02</v>
      </c>
      <c r="M83" s="60">
        <v>41.48</v>
      </c>
      <c r="N83" s="60">
        <v>0.9</v>
      </c>
      <c r="O83" s="60">
        <v>0</v>
      </c>
      <c r="P83" s="60">
        <v>1.85</v>
      </c>
      <c r="Q83" s="60">
        <v>295.55</v>
      </c>
      <c r="R83" s="198"/>
      <c r="S83" s="198"/>
      <c r="T83" s="198"/>
      <c r="U83" s="198"/>
    </row>
    <row r="84" spans="1:26" s="12" customFormat="1" x14ac:dyDescent="0.25">
      <c r="A84" s="201" t="s">
        <v>2915</v>
      </c>
      <c r="B84" s="60">
        <v>44.78</v>
      </c>
      <c r="C84" s="60">
        <v>180.89</v>
      </c>
      <c r="D84" s="60">
        <v>135.74</v>
      </c>
      <c r="E84" s="60">
        <v>4.1399999999999997</v>
      </c>
      <c r="F84" s="60">
        <v>0.88</v>
      </c>
      <c r="G84" s="60">
        <v>140.85</v>
      </c>
      <c r="H84" s="60">
        <v>26.84</v>
      </c>
      <c r="I84" s="60">
        <v>0.59</v>
      </c>
      <c r="J84" s="60">
        <v>0.11</v>
      </c>
      <c r="K84" s="60">
        <v>223.11</v>
      </c>
      <c r="L84" s="60">
        <v>20.8</v>
      </c>
      <c r="M84" s="60">
        <v>63.16</v>
      </c>
      <c r="N84" s="60">
        <v>1</v>
      </c>
      <c r="O84" s="60">
        <v>0</v>
      </c>
      <c r="P84" s="60">
        <v>2.0099999999999998</v>
      </c>
      <c r="Q84" s="60">
        <v>309.52999999999997</v>
      </c>
      <c r="R84" s="198"/>
      <c r="S84" s="198"/>
      <c r="T84" s="198"/>
      <c r="U84" s="198"/>
    </row>
    <row r="85" spans="1:26" s="12" customFormat="1" x14ac:dyDescent="0.25">
      <c r="A85" s="201" t="s">
        <v>2916</v>
      </c>
      <c r="B85" s="60">
        <v>49.77</v>
      </c>
      <c r="C85" s="60">
        <v>182.48</v>
      </c>
      <c r="D85" s="60">
        <v>140.62</v>
      </c>
      <c r="E85" s="60">
        <v>4.18</v>
      </c>
      <c r="F85" s="60">
        <v>0.78</v>
      </c>
      <c r="G85" s="60">
        <v>179.2</v>
      </c>
      <c r="H85" s="60">
        <v>33.97</v>
      </c>
      <c r="I85" s="60">
        <v>0.68</v>
      </c>
      <c r="J85" s="60">
        <v>0.17</v>
      </c>
      <c r="K85" s="60">
        <v>244.86</v>
      </c>
      <c r="L85" s="60">
        <v>20.39</v>
      </c>
      <c r="M85" s="60">
        <v>80.56</v>
      </c>
      <c r="N85" s="60">
        <v>0.9</v>
      </c>
      <c r="O85" s="60">
        <v>0</v>
      </c>
      <c r="P85" s="60">
        <v>2.0299999999999998</v>
      </c>
      <c r="Q85" s="60">
        <v>320.08</v>
      </c>
      <c r="R85" s="198"/>
      <c r="S85" s="198"/>
      <c r="T85" s="198"/>
      <c r="U85" s="198"/>
    </row>
    <row r="86" spans="1:26" s="12" customFormat="1" x14ac:dyDescent="0.25">
      <c r="A86" s="201" t="s">
        <v>2917</v>
      </c>
      <c r="B86" s="60">
        <v>55.63</v>
      </c>
      <c r="C86" s="60">
        <v>190.77</v>
      </c>
      <c r="D86" s="60">
        <v>149.88999999999999</v>
      </c>
      <c r="E86" s="60">
        <v>4.57</v>
      </c>
      <c r="F86" s="60">
        <v>0.76</v>
      </c>
      <c r="G86" s="60">
        <v>179.2</v>
      </c>
      <c r="H86" s="60">
        <v>35.17</v>
      </c>
      <c r="I86" s="60">
        <v>0.75</v>
      </c>
      <c r="J86" s="60">
        <v>0.13</v>
      </c>
      <c r="K86" s="60">
        <v>225.15</v>
      </c>
      <c r="L86" s="60">
        <v>20.03</v>
      </c>
      <c r="M86" s="60">
        <v>50.1</v>
      </c>
      <c r="N86" s="60">
        <v>0.9</v>
      </c>
      <c r="O86" s="60">
        <v>0</v>
      </c>
      <c r="P86" s="60">
        <v>2.35</v>
      </c>
      <c r="Q86" s="60">
        <v>331.7</v>
      </c>
      <c r="R86" s="198"/>
      <c r="S86" s="198"/>
      <c r="T86" s="198"/>
      <c r="U86" s="198"/>
    </row>
    <row r="87" spans="1:26" s="12" customFormat="1" x14ac:dyDescent="0.25">
      <c r="A87" s="201" t="s">
        <v>2918</v>
      </c>
      <c r="B87" s="60">
        <v>63.28</v>
      </c>
      <c r="C87" s="60">
        <v>195</v>
      </c>
      <c r="D87" s="60">
        <v>158.36000000000001</v>
      </c>
      <c r="E87" s="60">
        <v>4.33</v>
      </c>
      <c r="F87" s="60">
        <v>0.74</v>
      </c>
      <c r="G87" s="60">
        <v>179.2</v>
      </c>
      <c r="H87" s="60">
        <v>35.17</v>
      </c>
      <c r="I87" s="60">
        <v>0.85</v>
      </c>
      <c r="J87" s="60">
        <v>0.13</v>
      </c>
      <c r="K87" s="60">
        <v>224.86</v>
      </c>
      <c r="L87" s="60">
        <v>20.13</v>
      </c>
      <c r="M87" s="60">
        <v>82.15</v>
      </c>
      <c r="N87" s="60">
        <v>0.7</v>
      </c>
      <c r="O87" s="60">
        <v>0</v>
      </c>
      <c r="P87" s="60">
        <v>2.56</v>
      </c>
      <c r="Q87" s="60">
        <v>344.08</v>
      </c>
      <c r="R87" s="198"/>
      <c r="S87" s="198"/>
      <c r="T87" s="198"/>
      <c r="U87" s="198"/>
    </row>
    <row r="88" spans="1:26" s="12" customFormat="1" x14ac:dyDescent="0.25">
      <c r="A88" s="201" t="s">
        <v>2919</v>
      </c>
      <c r="B88" s="60">
        <v>67.239999999999995</v>
      </c>
      <c r="C88" s="60">
        <v>200.81</v>
      </c>
      <c r="D88" s="60">
        <v>164.75</v>
      </c>
      <c r="E88" s="60">
        <v>2.2000000000000002</v>
      </c>
      <c r="F88" s="60">
        <v>1.02</v>
      </c>
      <c r="G88" s="60">
        <v>179.2</v>
      </c>
      <c r="H88" s="60">
        <v>35.17</v>
      </c>
      <c r="I88" s="60">
        <v>0.95</v>
      </c>
      <c r="J88" s="60">
        <v>0.1</v>
      </c>
      <c r="K88" s="60">
        <v>214.51</v>
      </c>
      <c r="L88" s="60">
        <v>20.149999999999999</v>
      </c>
      <c r="M88" s="60">
        <v>36.65</v>
      </c>
      <c r="N88" s="60">
        <v>1</v>
      </c>
      <c r="O88" s="60">
        <v>0</v>
      </c>
      <c r="P88" s="60">
        <v>2.77</v>
      </c>
      <c r="Q88" s="60">
        <v>356.3</v>
      </c>
      <c r="R88" s="198"/>
      <c r="S88" s="198"/>
      <c r="T88" s="198"/>
      <c r="U88" s="198"/>
    </row>
    <row r="89" spans="1:26" s="12" customFormat="1" x14ac:dyDescent="0.25">
      <c r="A89" s="201" t="s">
        <v>2920</v>
      </c>
      <c r="B89" s="60">
        <v>71.38</v>
      </c>
      <c r="C89" s="60">
        <v>207.27</v>
      </c>
      <c r="D89" s="60">
        <v>171.63</v>
      </c>
      <c r="E89" s="60">
        <v>4.78</v>
      </c>
      <c r="F89" s="60">
        <v>1.1299999999999999</v>
      </c>
      <c r="G89" s="60">
        <v>162.37</v>
      </c>
      <c r="H89" s="60">
        <v>38.64</v>
      </c>
      <c r="I89" s="60">
        <v>1.04</v>
      </c>
      <c r="J89" s="60">
        <v>0.08</v>
      </c>
      <c r="K89" s="60">
        <v>212.25</v>
      </c>
      <c r="L89" s="60">
        <v>19.95</v>
      </c>
      <c r="M89" s="60">
        <v>15.25</v>
      </c>
      <c r="N89" s="60">
        <v>1.1000000000000001</v>
      </c>
      <c r="O89" s="60">
        <v>0</v>
      </c>
      <c r="P89" s="60">
        <v>2.92</v>
      </c>
      <c r="Q89" s="60">
        <v>363.19</v>
      </c>
      <c r="R89" s="198"/>
      <c r="S89" s="198"/>
      <c r="T89" s="198"/>
      <c r="U89" s="198"/>
    </row>
    <row r="90" spans="1:26" s="12" customFormat="1" x14ac:dyDescent="0.25">
      <c r="A90" s="201" t="s">
        <v>2921</v>
      </c>
      <c r="B90" s="60">
        <v>72</v>
      </c>
      <c r="C90" s="60">
        <v>202.62</v>
      </c>
      <c r="D90" s="60">
        <v>169.56</v>
      </c>
      <c r="E90" s="60">
        <v>4.88</v>
      </c>
      <c r="F90" s="60">
        <v>0.97</v>
      </c>
      <c r="G90" s="60">
        <v>162.37</v>
      </c>
      <c r="H90" s="60">
        <v>39.229999999999997</v>
      </c>
      <c r="I90" s="60">
        <v>1.1399999999999999</v>
      </c>
      <c r="J90" s="60">
        <v>0.12</v>
      </c>
      <c r="K90" s="60">
        <v>213.99</v>
      </c>
      <c r="L90" s="60">
        <v>19.84</v>
      </c>
      <c r="M90" s="60">
        <v>61.33</v>
      </c>
      <c r="N90" s="60">
        <v>0.9</v>
      </c>
      <c r="O90" s="60">
        <v>0</v>
      </c>
      <c r="P90" s="60">
        <v>3</v>
      </c>
      <c r="Q90" s="60">
        <v>367.64</v>
      </c>
      <c r="R90" s="198"/>
      <c r="S90" s="198"/>
      <c r="T90" s="198"/>
      <c r="U90" s="198"/>
    </row>
    <row r="91" spans="1:26" s="12" customFormat="1" x14ac:dyDescent="0.25">
      <c r="A91" s="201" t="s">
        <v>2922</v>
      </c>
      <c r="B91" s="60">
        <v>75.06</v>
      </c>
      <c r="C91" s="60">
        <v>204.09</v>
      </c>
      <c r="D91" s="60">
        <v>172.83</v>
      </c>
      <c r="E91" s="60">
        <v>5.26</v>
      </c>
      <c r="F91" s="60">
        <v>0.71</v>
      </c>
      <c r="G91" s="60">
        <v>162.37</v>
      </c>
      <c r="H91" s="60">
        <v>39.229999999999997</v>
      </c>
      <c r="I91" s="60">
        <v>1.22</v>
      </c>
      <c r="J91" s="60">
        <v>0.08</v>
      </c>
      <c r="K91" s="60">
        <v>224.8</v>
      </c>
      <c r="L91" s="60">
        <v>19.34</v>
      </c>
      <c r="M91" s="60">
        <v>2.71</v>
      </c>
      <c r="N91" s="60">
        <v>1.1000000000000001</v>
      </c>
      <c r="O91" s="60">
        <v>0</v>
      </c>
      <c r="P91" s="60">
        <v>3.09</v>
      </c>
      <c r="Q91" s="60">
        <v>370.42</v>
      </c>
      <c r="R91" s="198"/>
      <c r="S91" s="198"/>
      <c r="T91" s="198"/>
      <c r="U91" s="198"/>
    </row>
    <row r="92" spans="1:26" s="12" customFormat="1" x14ac:dyDescent="0.25">
      <c r="A92" s="201" t="s">
        <v>2923</v>
      </c>
      <c r="B92" s="60">
        <v>80.2</v>
      </c>
      <c r="C92" s="60">
        <v>208.4</v>
      </c>
      <c r="D92" s="60">
        <v>179.32</v>
      </c>
      <c r="E92" s="60">
        <v>5.42</v>
      </c>
      <c r="F92" s="60">
        <v>0.77</v>
      </c>
      <c r="G92" s="60">
        <v>162.37</v>
      </c>
      <c r="H92" s="60">
        <v>39.229999999999997</v>
      </c>
      <c r="I92" s="60">
        <v>1.27</v>
      </c>
      <c r="J92" s="60">
        <v>0.13</v>
      </c>
      <c r="K92" s="60">
        <v>227.92</v>
      </c>
      <c r="L92" s="60">
        <v>19.09</v>
      </c>
      <c r="M92" s="60">
        <v>49.79</v>
      </c>
      <c r="N92" s="60">
        <v>0.8</v>
      </c>
      <c r="O92" s="60">
        <v>0</v>
      </c>
      <c r="P92" s="60">
        <v>3.14</v>
      </c>
      <c r="Q92" s="60">
        <v>377.14</v>
      </c>
      <c r="R92" s="198"/>
      <c r="S92" s="198"/>
      <c r="T92" s="198"/>
      <c r="U92" s="198"/>
    </row>
    <row r="93" spans="1:26" s="12" customFormat="1" x14ac:dyDescent="0.25">
      <c r="A93" s="201" t="s">
        <v>2924</v>
      </c>
      <c r="B93" s="60">
        <v>84.53</v>
      </c>
      <c r="C93" s="60">
        <v>211.44</v>
      </c>
      <c r="D93" s="60">
        <v>184.47</v>
      </c>
      <c r="E93" s="60">
        <v>5.0599999999999996</v>
      </c>
      <c r="F93" s="60">
        <v>0.68</v>
      </c>
      <c r="G93" s="60">
        <v>163.79</v>
      </c>
      <c r="H93" s="60">
        <v>41.33</v>
      </c>
      <c r="I93" s="60">
        <v>1.29</v>
      </c>
      <c r="J93" s="60">
        <v>0.1</v>
      </c>
      <c r="K93" s="60">
        <v>236.39</v>
      </c>
      <c r="L93" s="60">
        <v>19.13</v>
      </c>
      <c r="M93" s="60">
        <v>79.56</v>
      </c>
      <c r="N93" s="60">
        <v>0.9</v>
      </c>
      <c r="O93" s="60">
        <v>0</v>
      </c>
      <c r="P93" s="60">
        <v>3.18</v>
      </c>
      <c r="Q93" s="60">
        <v>381.11</v>
      </c>
      <c r="R93" s="198"/>
      <c r="S93" s="198"/>
      <c r="T93" s="198"/>
      <c r="U93" s="198"/>
    </row>
    <row r="94" spans="1:26" s="12" customFormat="1" x14ac:dyDescent="0.25">
      <c r="A94" s="201" t="s">
        <v>2925</v>
      </c>
      <c r="B94" s="60">
        <v>89.11</v>
      </c>
      <c r="C94" s="60">
        <v>214.98</v>
      </c>
      <c r="D94" s="60">
        <v>190.1</v>
      </c>
      <c r="E94" s="60">
        <v>5.12</v>
      </c>
      <c r="F94" s="60">
        <v>0.73</v>
      </c>
      <c r="G94" s="60">
        <v>163.79</v>
      </c>
      <c r="H94" s="60">
        <v>41.68</v>
      </c>
      <c r="I94" s="60">
        <v>1.33</v>
      </c>
      <c r="J94" s="60">
        <v>0.2</v>
      </c>
      <c r="K94" s="60">
        <v>239.74</v>
      </c>
      <c r="L94" s="60">
        <v>19</v>
      </c>
      <c r="M94" s="60">
        <v>84.37</v>
      </c>
      <c r="N94" s="60">
        <v>0.6</v>
      </c>
      <c r="O94" s="60">
        <v>0</v>
      </c>
      <c r="P94" s="60">
        <v>3.23</v>
      </c>
      <c r="Q94" s="60">
        <v>386.87</v>
      </c>
      <c r="R94" s="198"/>
      <c r="S94" s="198"/>
      <c r="T94" s="198"/>
      <c r="U94" s="198"/>
    </row>
    <row r="95" spans="1:26" s="12" customFormat="1" x14ac:dyDescent="0.25">
      <c r="A95" s="201" t="s">
        <v>2926</v>
      </c>
      <c r="B95" s="60">
        <v>98.27</v>
      </c>
      <c r="C95" s="60">
        <v>222.9</v>
      </c>
      <c r="D95" s="60">
        <v>201.82</v>
      </c>
      <c r="E95" s="60">
        <v>5.18</v>
      </c>
      <c r="F95" s="60">
        <v>0.88</v>
      </c>
      <c r="G95" s="60">
        <v>163.79</v>
      </c>
      <c r="H95" s="60">
        <v>41.68</v>
      </c>
      <c r="I95" s="60">
        <v>1.35</v>
      </c>
      <c r="J95" s="60">
        <v>0.17</v>
      </c>
      <c r="K95" s="60">
        <v>257.24</v>
      </c>
      <c r="L95" s="60">
        <v>18.61</v>
      </c>
      <c r="M95" s="60">
        <v>89.6</v>
      </c>
      <c r="N95" s="60">
        <v>0.9</v>
      </c>
      <c r="O95" s="60">
        <v>0</v>
      </c>
      <c r="P95" s="60">
        <v>3.38</v>
      </c>
      <c r="Q95" s="60">
        <v>396.98</v>
      </c>
      <c r="R95" s="198"/>
      <c r="S95" s="198"/>
      <c r="T95" s="198"/>
      <c r="U95" s="198"/>
    </row>
    <row r="96" spans="1:26" s="12" customFormat="1" x14ac:dyDescent="0.25">
      <c r="A96" s="201" t="s">
        <v>2927</v>
      </c>
      <c r="B96" s="60">
        <v>113.84</v>
      </c>
      <c r="C96" s="60">
        <v>236.22</v>
      </c>
      <c r="D96" s="60">
        <v>221.65</v>
      </c>
      <c r="E96" s="60">
        <v>5.0199999999999996</v>
      </c>
      <c r="F96" s="60">
        <v>0.87</v>
      </c>
      <c r="G96" s="60">
        <v>163.79</v>
      </c>
      <c r="H96" s="60">
        <v>41.68</v>
      </c>
      <c r="I96" s="60">
        <v>1.39</v>
      </c>
      <c r="J96" s="60">
        <v>0.18</v>
      </c>
      <c r="K96" s="60">
        <v>257.77999999999997</v>
      </c>
      <c r="L96" s="60">
        <v>18.25</v>
      </c>
      <c r="M96" s="60">
        <v>83.04</v>
      </c>
      <c r="N96" s="60">
        <v>0.8</v>
      </c>
      <c r="O96" s="60">
        <v>0</v>
      </c>
      <c r="P96" s="60">
        <v>3.59</v>
      </c>
      <c r="Q96" s="218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2928</v>
      </c>
      <c r="B97" s="60">
        <v>125.61</v>
      </c>
      <c r="C97" s="60">
        <v>247.54</v>
      </c>
      <c r="D97" s="60">
        <v>237.34</v>
      </c>
      <c r="E97" s="60">
        <v>5.31</v>
      </c>
      <c r="F97" s="60">
        <v>0.66</v>
      </c>
      <c r="G97" s="60">
        <v>184.43</v>
      </c>
      <c r="H97" s="60">
        <v>43.14</v>
      </c>
      <c r="I97" s="60">
        <v>1.44</v>
      </c>
      <c r="J97" s="60">
        <v>0.27</v>
      </c>
      <c r="K97" s="60">
        <v>264.8</v>
      </c>
      <c r="L97" s="60">
        <v>18.16</v>
      </c>
      <c r="M97" s="60">
        <v>85.69</v>
      </c>
      <c r="N97" s="60">
        <v>0.9</v>
      </c>
      <c r="O97" s="60">
        <v>0</v>
      </c>
      <c r="P97" s="60">
        <v>3.75</v>
      </c>
      <c r="Q97" s="218" t="s">
        <v>42</v>
      </c>
      <c r="R97" s="198"/>
      <c r="S97" s="198"/>
      <c r="T97" s="198"/>
      <c r="U97" s="198"/>
    </row>
    <row r="98" spans="1:33" s="12" customFormat="1" x14ac:dyDescent="0.25">
      <c r="A98" s="201" t="s">
        <v>2929</v>
      </c>
      <c r="B98" s="60">
        <v>132.47999999999999</v>
      </c>
      <c r="C98" s="60">
        <v>253.27</v>
      </c>
      <c r="D98" s="60">
        <v>246.01</v>
      </c>
      <c r="E98" s="60">
        <v>5.44</v>
      </c>
      <c r="F98" s="60">
        <v>0.7</v>
      </c>
      <c r="G98" s="60">
        <v>184.43</v>
      </c>
      <c r="H98" s="60">
        <v>43.38</v>
      </c>
      <c r="I98" s="60">
        <v>1.51</v>
      </c>
      <c r="J98" s="60">
        <v>0.14000000000000001</v>
      </c>
      <c r="K98" s="60">
        <v>249.03</v>
      </c>
      <c r="L98" s="60">
        <v>17.91</v>
      </c>
      <c r="M98" s="60">
        <v>86.06</v>
      </c>
      <c r="N98" s="60">
        <v>0.9</v>
      </c>
      <c r="O98" s="60">
        <v>0</v>
      </c>
      <c r="P98" s="60">
        <v>3.86</v>
      </c>
      <c r="Q98" s="218" t="s">
        <v>42</v>
      </c>
      <c r="R98" s="198"/>
      <c r="S98" s="198"/>
      <c r="T98" s="198"/>
      <c r="U98" s="198"/>
    </row>
    <row r="99" spans="1:33" s="12" customFormat="1" x14ac:dyDescent="0.25">
      <c r="A99" s="201" t="s">
        <v>2930</v>
      </c>
      <c r="B99" s="60">
        <v>136.41</v>
      </c>
      <c r="C99" s="60">
        <v>257.44</v>
      </c>
      <c r="D99" s="60">
        <v>251.47</v>
      </c>
      <c r="E99" s="60">
        <v>5.98</v>
      </c>
      <c r="F99" s="60">
        <v>0.67</v>
      </c>
      <c r="G99" s="60">
        <v>184.43</v>
      </c>
      <c r="H99" s="60">
        <v>43.38</v>
      </c>
      <c r="I99" s="60">
        <v>1.57</v>
      </c>
      <c r="J99" s="60">
        <v>0.18</v>
      </c>
      <c r="K99" s="60">
        <v>251.96</v>
      </c>
      <c r="L99" s="60">
        <v>17.72</v>
      </c>
      <c r="M99" s="60">
        <v>92.41</v>
      </c>
      <c r="N99" s="60">
        <v>0.7</v>
      </c>
      <c r="O99" s="60">
        <v>0</v>
      </c>
      <c r="P99" s="60">
        <v>3.9</v>
      </c>
      <c r="Q99" s="218" t="s">
        <v>42</v>
      </c>
      <c r="R99" s="198"/>
      <c r="S99" s="198"/>
      <c r="T99" s="198"/>
      <c r="U99" s="198"/>
    </row>
    <row r="100" spans="1:33" s="12" customFormat="1" x14ac:dyDescent="0.25">
      <c r="A100" s="201" t="s">
        <v>2931</v>
      </c>
      <c r="B100" s="60">
        <v>143.91</v>
      </c>
      <c r="C100" s="60">
        <v>265.04000000000002</v>
      </c>
      <c r="D100" s="60">
        <v>261.68</v>
      </c>
      <c r="E100" s="60">
        <v>5.84</v>
      </c>
      <c r="F100" s="60">
        <v>0.62</v>
      </c>
      <c r="G100" s="60">
        <v>184.43</v>
      </c>
      <c r="H100" s="60">
        <v>43.38</v>
      </c>
      <c r="I100" s="60">
        <v>1.61</v>
      </c>
      <c r="J100" s="60">
        <v>0.17</v>
      </c>
      <c r="K100" s="60">
        <v>252.67</v>
      </c>
      <c r="L100" s="60">
        <v>17.59</v>
      </c>
      <c r="M100" s="60">
        <v>88.88</v>
      </c>
      <c r="N100" s="60">
        <v>1</v>
      </c>
      <c r="O100" s="60">
        <v>0</v>
      </c>
      <c r="P100" s="60">
        <v>3.93</v>
      </c>
      <c r="Q100" s="218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2932</v>
      </c>
      <c r="B101" s="60">
        <v>147.46</v>
      </c>
      <c r="C101" s="60">
        <v>267.77</v>
      </c>
      <c r="D101" s="60">
        <v>266.02999999999997</v>
      </c>
      <c r="E101" s="60">
        <v>5.34</v>
      </c>
      <c r="F101" s="60">
        <v>0.64</v>
      </c>
      <c r="G101" s="60">
        <v>165.72</v>
      </c>
      <c r="H101" s="60">
        <v>45.6</v>
      </c>
      <c r="I101" s="60">
        <v>1.63</v>
      </c>
      <c r="J101" s="60">
        <v>0.18</v>
      </c>
      <c r="K101" s="60">
        <v>256.85000000000002</v>
      </c>
      <c r="L101" s="60">
        <v>17.329999999999998</v>
      </c>
      <c r="M101" s="60">
        <v>88.78</v>
      </c>
      <c r="N101" s="60">
        <v>0.9</v>
      </c>
      <c r="O101" s="60">
        <v>0</v>
      </c>
      <c r="P101" s="60">
        <v>3.93</v>
      </c>
      <c r="Q101" s="218" t="s">
        <v>42</v>
      </c>
      <c r="R101" s="198"/>
      <c r="S101" s="198"/>
      <c r="T101" s="198"/>
      <c r="U101" s="198"/>
    </row>
    <row r="102" spans="1:33" s="12" customFormat="1" x14ac:dyDescent="0.25">
      <c r="A102" s="201" t="s">
        <v>2933</v>
      </c>
      <c r="B102" s="60">
        <v>147.86000000000001</v>
      </c>
      <c r="C102" s="60">
        <v>266.89999999999998</v>
      </c>
      <c r="D102" s="60">
        <v>265.87</v>
      </c>
      <c r="E102" s="60">
        <v>5.96</v>
      </c>
      <c r="F102" s="60">
        <v>0.7</v>
      </c>
      <c r="G102" s="60">
        <v>165.72</v>
      </c>
      <c r="H102" s="60">
        <v>45.98</v>
      </c>
      <c r="I102" s="60">
        <v>1.64</v>
      </c>
      <c r="J102" s="60">
        <v>0.14000000000000001</v>
      </c>
      <c r="K102" s="60">
        <v>259.64</v>
      </c>
      <c r="L102" s="60">
        <v>17.2</v>
      </c>
      <c r="M102" s="60">
        <v>71.81</v>
      </c>
      <c r="N102" s="60">
        <v>1</v>
      </c>
      <c r="O102" s="60">
        <v>0</v>
      </c>
      <c r="P102" s="60">
        <v>3.92</v>
      </c>
      <c r="Q102" s="218" t="s">
        <v>42</v>
      </c>
      <c r="R102" s="198"/>
      <c r="S102" s="198"/>
      <c r="T102" s="198"/>
      <c r="U102" s="198"/>
    </row>
    <row r="103" spans="1:33" s="12" customFormat="1" x14ac:dyDescent="0.25">
      <c r="A103" s="201" t="s">
        <v>2934</v>
      </c>
      <c r="B103" s="60">
        <v>143.79</v>
      </c>
      <c r="C103" s="60">
        <v>262.74</v>
      </c>
      <c r="D103" s="60">
        <v>260.31</v>
      </c>
      <c r="E103" s="60">
        <v>5.8</v>
      </c>
      <c r="F103" s="60">
        <v>0.72</v>
      </c>
      <c r="G103" s="60">
        <v>165.72</v>
      </c>
      <c r="H103" s="60">
        <v>45.98</v>
      </c>
      <c r="I103" s="60">
        <v>1.64</v>
      </c>
      <c r="J103" s="60">
        <v>0.11</v>
      </c>
      <c r="K103" s="60">
        <v>264.32</v>
      </c>
      <c r="L103" s="60">
        <v>17</v>
      </c>
      <c r="M103" s="60">
        <v>77.790000000000006</v>
      </c>
      <c r="N103" s="60">
        <v>1</v>
      </c>
      <c r="O103" s="60">
        <v>0</v>
      </c>
      <c r="P103" s="60">
        <v>3.85</v>
      </c>
      <c r="Q103" s="218" t="s">
        <v>42</v>
      </c>
      <c r="R103" s="198"/>
      <c r="S103" s="198"/>
      <c r="T103" s="198"/>
      <c r="U103" s="198"/>
    </row>
    <row r="104" spans="1:33" s="12" customFormat="1" x14ac:dyDescent="0.25">
      <c r="A104" s="201" t="s">
        <v>2935</v>
      </c>
      <c r="B104" s="60">
        <v>140.5</v>
      </c>
      <c r="C104" s="60">
        <v>259.02</v>
      </c>
      <c r="D104" s="60">
        <v>255.61</v>
      </c>
      <c r="E104" s="60">
        <v>3.29</v>
      </c>
      <c r="F104" s="60">
        <v>0.64</v>
      </c>
      <c r="G104" s="60">
        <v>165.72</v>
      </c>
      <c r="H104" s="60">
        <v>45.98</v>
      </c>
      <c r="I104" s="60">
        <v>1.65</v>
      </c>
      <c r="J104" s="60">
        <v>0.16</v>
      </c>
      <c r="K104" s="60">
        <v>266.70999999999998</v>
      </c>
      <c r="L104" s="60">
        <v>16.87</v>
      </c>
      <c r="M104" s="60">
        <v>83.86</v>
      </c>
      <c r="N104" s="60">
        <v>0.9</v>
      </c>
      <c r="O104" s="60">
        <v>0</v>
      </c>
      <c r="P104" s="60">
        <v>3.78</v>
      </c>
      <c r="Q104" s="218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1.32</v>
      </c>
      <c r="C106" s="67">
        <f>MIN(C9:C104)</f>
        <v>83.99</v>
      </c>
      <c r="D106" s="67">
        <f t="shared" ref="D106:Q106" si="0">MIN(D9:D104)</f>
        <v>47.48</v>
      </c>
      <c r="E106" s="67">
        <f t="shared" si="0"/>
        <v>1.99</v>
      </c>
      <c r="F106" s="67">
        <f t="shared" si="0"/>
        <v>0.37</v>
      </c>
      <c r="G106" s="67">
        <f t="shared" si="0"/>
        <v>50.15</v>
      </c>
      <c r="H106" s="67">
        <f t="shared" si="0"/>
        <v>25.92</v>
      </c>
      <c r="I106" s="67">
        <f t="shared" si="0"/>
        <v>0.27</v>
      </c>
      <c r="J106" s="67">
        <f t="shared" si="0"/>
        <v>0.08</v>
      </c>
      <c r="K106" s="67">
        <f t="shared" si="0"/>
        <v>97.69</v>
      </c>
      <c r="L106" s="67">
        <f t="shared" si="0"/>
        <v>13.36</v>
      </c>
      <c r="M106" s="67">
        <f t="shared" si="0"/>
        <v>2.71</v>
      </c>
      <c r="N106" s="67">
        <f t="shared" si="0"/>
        <v>0.3</v>
      </c>
      <c r="O106" s="67">
        <f t="shared" si="0"/>
        <v>0</v>
      </c>
      <c r="P106" s="67">
        <f t="shared" si="0"/>
        <v>0.8</v>
      </c>
      <c r="Q106" s="67">
        <f t="shared" si="0"/>
        <v>162.9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147.86000000000001</v>
      </c>
      <c r="C107" s="66">
        <f t="shared" ref="C107:Q107" si="1">MAX(C9:C104)</f>
        <v>267.77</v>
      </c>
      <c r="D107" s="66">
        <f t="shared" si="1"/>
        <v>266.02999999999997</v>
      </c>
      <c r="E107" s="66">
        <f t="shared" si="1"/>
        <v>12.7</v>
      </c>
      <c r="F107" s="66">
        <f t="shared" si="1"/>
        <v>28.52</v>
      </c>
      <c r="G107" s="66">
        <f t="shared" si="1"/>
        <v>184.43</v>
      </c>
      <c r="H107" s="66">
        <f t="shared" si="1"/>
        <v>45.98</v>
      </c>
      <c r="I107" s="66">
        <f t="shared" si="1"/>
        <v>1.65</v>
      </c>
      <c r="J107" s="66">
        <f t="shared" si="1"/>
        <v>1.19</v>
      </c>
      <c r="K107" s="66">
        <f t="shared" si="1"/>
        <v>323.25</v>
      </c>
      <c r="L107" s="66">
        <f t="shared" si="1"/>
        <v>31.74</v>
      </c>
      <c r="M107" s="66">
        <f t="shared" si="1"/>
        <v>92.41</v>
      </c>
      <c r="N107" s="66">
        <f t="shared" si="1"/>
        <v>464.1</v>
      </c>
      <c r="O107" s="66">
        <f t="shared" si="1"/>
        <v>0</v>
      </c>
      <c r="P107" s="66">
        <f t="shared" si="1"/>
        <v>3.93</v>
      </c>
      <c r="Q107" s="66">
        <f t="shared" si="1"/>
        <v>396.98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48.529374999999995</v>
      </c>
      <c r="C108" s="67">
        <f t="shared" ref="C108:Q108" si="2">AVERAGE(C9:C104)</f>
        <v>154.54375000000002</v>
      </c>
      <c r="D108" s="67">
        <f t="shared" si="2"/>
        <v>124.20541666666666</v>
      </c>
      <c r="E108" s="67">
        <f t="shared" si="2"/>
        <v>5.1613541666666665</v>
      </c>
      <c r="F108" s="67">
        <f t="shared" si="2"/>
        <v>2.9614583333333329</v>
      </c>
      <c r="G108" s="67">
        <f t="shared" si="2"/>
        <v>109.82708333333335</v>
      </c>
      <c r="H108" s="67">
        <f t="shared" si="2"/>
        <v>37.658645833333352</v>
      </c>
      <c r="I108" s="67">
        <f t="shared" si="2"/>
        <v>0.79833333333333367</v>
      </c>
      <c r="J108" s="67">
        <f t="shared" si="2"/>
        <v>0.33781250000000007</v>
      </c>
      <c r="K108" s="67">
        <f t="shared" si="2"/>
        <v>212.61708333333328</v>
      </c>
      <c r="L108" s="67">
        <f t="shared" si="2"/>
        <v>20.833854166666665</v>
      </c>
      <c r="M108" s="67">
        <f t="shared" si="2"/>
        <v>63.622499999999981</v>
      </c>
      <c r="N108" s="67">
        <f t="shared" si="2"/>
        <v>119.72291666666665</v>
      </c>
      <c r="O108" s="67">
        <f t="shared" si="2"/>
        <v>0</v>
      </c>
      <c r="P108" s="67">
        <f t="shared" si="2"/>
        <v>2.0388541666666664</v>
      </c>
      <c r="Q108" s="67">
        <f t="shared" si="2"/>
        <v>279.88931034482761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40.172114885105408</v>
      </c>
      <c r="C109" s="67">
        <f t="shared" ref="C109:Q109" si="3">STDEV(C9:C104)</f>
        <v>46.647148956709678</v>
      </c>
      <c r="D109" s="67">
        <f t="shared" si="3"/>
        <v>56.705933077063044</v>
      </c>
      <c r="E109" s="67">
        <f t="shared" si="3"/>
        <v>1.5449971008602807</v>
      </c>
      <c r="F109" s="67">
        <f t="shared" si="3"/>
        <v>4.9931042931683418</v>
      </c>
      <c r="G109" s="67">
        <f t="shared" si="3"/>
        <v>39.241200955833861</v>
      </c>
      <c r="H109" s="67">
        <f t="shared" si="3"/>
        <v>5.6053115073379951</v>
      </c>
      <c r="I109" s="67">
        <f t="shared" si="3"/>
        <v>0.39621542961710371</v>
      </c>
      <c r="J109" s="67">
        <f t="shared" si="3"/>
        <v>0.25414543339550577</v>
      </c>
      <c r="K109" s="67">
        <f t="shared" si="3"/>
        <v>72.720233554669377</v>
      </c>
      <c r="L109" s="67">
        <f t="shared" si="3"/>
        <v>5.6657704209329891</v>
      </c>
      <c r="M109" s="67">
        <f t="shared" si="3"/>
        <v>20.251303583772241</v>
      </c>
      <c r="N109" s="67">
        <f t="shared" si="3"/>
        <v>171.57208120275757</v>
      </c>
      <c r="O109" s="67">
        <f t="shared" si="3"/>
        <v>0</v>
      </c>
      <c r="P109" s="67">
        <f t="shared" si="3"/>
        <v>0.85547016287034017</v>
      </c>
      <c r="Q109" s="67">
        <f t="shared" si="3"/>
        <v>56.143695058908136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87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55" zoomScale="85" zoomScaleNormal="85" workbookViewId="0">
      <pane xSplit="1" topLeftCell="B1" activePane="topRight" state="frozen"/>
      <selection pane="topRight"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1.8554687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2936</v>
      </c>
      <c r="B9" s="60">
        <v>137.99</v>
      </c>
      <c r="C9" s="60">
        <v>253.39</v>
      </c>
      <c r="D9" s="60">
        <v>250.5</v>
      </c>
      <c r="E9" s="60">
        <v>5.16</v>
      </c>
      <c r="F9" s="60">
        <v>0.69</v>
      </c>
      <c r="G9" s="60">
        <v>154.44</v>
      </c>
      <c r="H9" s="60">
        <v>48.45</v>
      </c>
      <c r="I9" s="60">
        <v>1.62</v>
      </c>
      <c r="J9" s="60">
        <v>0.15</v>
      </c>
      <c r="K9" s="60">
        <v>272.08</v>
      </c>
      <c r="L9" s="60">
        <v>16.760000000000002</v>
      </c>
      <c r="M9" s="60">
        <v>78</v>
      </c>
      <c r="N9" s="60">
        <v>1</v>
      </c>
      <c r="O9" s="60">
        <v>0</v>
      </c>
      <c r="P9" s="60">
        <v>3.72</v>
      </c>
      <c r="Q9" s="218" t="s">
        <v>42</v>
      </c>
      <c r="R9" s="198"/>
      <c r="S9" s="198"/>
      <c r="T9" s="198"/>
      <c r="U9" s="198"/>
    </row>
    <row r="10" spans="1:21" s="12" customFormat="1" x14ac:dyDescent="0.25">
      <c r="A10" s="201" t="s">
        <v>2937</v>
      </c>
      <c r="B10" s="60">
        <v>135.68</v>
      </c>
      <c r="C10" s="60">
        <v>247.99</v>
      </c>
      <c r="D10" s="60">
        <v>245.67</v>
      </c>
      <c r="E10" s="60">
        <v>5.86</v>
      </c>
      <c r="F10" s="60">
        <v>0.72</v>
      </c>
      <c r="G10" s="60">
        <v>154.44</v>
      </c>
      <c r="H10" s="60">
        <v>48.87</v>
      </c>
      <c r="I10" s="60">
        <v>1.59</v>
      </c>
      <c r="J10" s="60">
        <v>0.1</v>
      </c>
      <c r="K10" s="60">
        <v>280.07</v>
      </c>
      <c r="L10" s="60">
        <v>16.48</v>
      </c>
      <c r="M10" s="60">
        <v>86</v>
      </c>
      <c r="N10" s="60">
        <v>1</v>
      </c>
      <c r="O10" s="60">
        <v>0</v>
      </c>
      <c r="P10" s="60">
        <v>3.68</v>
      </c>
      <c r="Q10" s="218" t="s">
        <v>42</v>
      </c>
      <c r="R10" s="198"/>
      <c r="S10" s="198"/>
      <c r="T10" s="198"/>
      <c r="U10" s="198"/>
    </row>
    <row r="11" spans="1:21" s="12" customFormat="1" x14ac:dyDescent="0.25">
      <c r="A11" s="201" t="s">
        <v>2938</v>
      </c>
      <c r="B11" s="60">
        <v>133.72</v>
      </c>
      <c r="C11" s="60">
        <v>244.29</v>
      </c>
      <c r="D11" s="60">
        <v>242.05</v>
      </c>
      <c r="E11" s="60">
        <v>5.54</v>
      </c>
      <c r="F11" s="60">
        <v>0.67</v>
      </c>
      <c r="G11" s="60">
        <v>154.44</v>
      </c>
      <c r="H11" s="60">
        <v>48.87</v>
      </c>
      <c r="I11" s="60">
        <v>1.57</v>
      </c>
      <c r="J11" s="60">
        <v>0.11</v>
      </c>
      <c r="K11" s="60">
        <v>287.60000000000002</v>
      </c>
      <c r="L11" s="60">
        <v>16.260000000000002</v>
      </c>
      <c r="M11" s="60">
        <v>64</v>
      </c>
      <c r="N11" s="60">
        <v>1</v>
      </c>
      <c r="O11" s="60">
        <v>0</v>
      </c>
      <c r="P11" s="60">
        <v>3.59</v>
      </c>
      <c r="Q11" s="218" t="s">
        <v>42</v>
      </c>
      <c r="R11" s="198"/>
      <c r="S11" s="198"/>
      <c r="T11" s="198"/>
      <c r="U11" s="198"/>
    </row>
    <row r="12" spans="1:21" s="12" customFormat="1" x14ac:dyDescent="0.25">
      <c r="A12" s="201" t="s">
        <v>2939</v>
      </c>
      <c r="B12" s="60">
        <v>133.22</v>
      </c>
      <c r="C12" s="60">
        <v>241.3</v>
      </c>
      <c r="D12" s="60">
        <v>240</v>
      </c>
      <c r="E12" s="60">
        <v>5.2</v>
      </c>
      <c r="F12" s="60">
        <v>0.7</v>
      </c>
      <c r="G12" s="60">
        <v>154.44</v>
      </c>
      <c r="H12" s="60">
        <v>48.87</v>
      </c>
      <c r="I12" s="60">
        <v>1.54</v>
      </c>
      <c r="J12" s="60">
        <v>0.23</v>
      </c>
      <c r="K12" s="60">
        <v>296.5</v>
      </c>
      <c r="L12" s="60">
        <v>16.39</v>
      </c>
      <c r="M12" s="60">
        <v>69</v>
      </c>
      <c r="N12" s="60">
        <v>0.5</v>
      </c>
      <c r="O12" s="60">
        <v>0</v>
      </c>
      <c r="P12" s="60">
        <v>3.52</v>
      </c>
      <c r="Q12" s="218" t="s">
        <v>42</v>
      </c>
      <c r="R12" s="198"/>
      <c r="S12" s="198"/>
      <c r="T12" s="198"/>
      <c r="U12" s="198"/>
    </row>
    <row r="13" spans="1:21" s="12" customFormat="1" x14ac:dyDescent="0.25">
      <c r="A13" s="201" t="s">
        <v>2940</v>
      </c>
      <c r="B13" s="60">
        <v>133.15</v>
      </c>
      <c r="C13" s="60">
        <v>236.84</v>
      </c>
      <c r="D13" s="60">
        <v>237.48</v>
      </c>
      <c r="E13" s="60">
        <v>5.32</v>
      </c>
      <c r="F13" s="60">
        <v>0.63</v>
      </c>
      <c r="G13" s="60">
        <v>140.87</v>
      </c>
      <c r="H13" s="60">
        <v>47.64</v>
      </c>
      <c r="I13" s="60">
        <v>1.52</v>
      </c>
      <c r="J13" s="60">
        <v>0.2</v>
      </c>
      <c r="K13" s="60">
        <v>291.77999999999997</v>
      </c>
      <c r="L13" s="60">
        <v>16.66</v>
      </c>
      <c r="M13" s="60">
        <v>80</v>
      </c>
      <c r="N13" s="60">
        <v>0.7</v>
      </c>
      <c r="O13" s="60">
        <v>0</v>
      </c>
      <c r="P13" s="60">
        <v>3.37</v>
      </c>
      <c r="Q13" s="218" t="s">
        <v>42</v>
      </c>
      <c r="R13" s="198"/>
      <c r="S13" s="198"/>
      <c r="T13" s="198"/>
      <c r="U13" s="198"/>
    </row>
    <row r="14" spans="1:21" s="12" customFormat="1" x14ac:dyDescent="0.25">
      <c r="A14" s="201" t="s">
        <v>2941</v>
      </c>
      <c r="B14" s="60">
        <v>131.24</v>
      </c>
      <c r="C14" s="60">
        <v>230.25</v>
      </c>
      <c r="D14" s="60">
        <v>232.31</v>
      </c>
      <c r="E14" s="60">
        <v>4.8</v>
      </c>
      <c r="F14" s="60">
        <v>0.66</v>
      </c>
      <c r="G14" s="60">
        <v>138.58000000000001</v>
      </c>
      <c r="H14" s="60">
        <v>47.43</v>
      </c>
      <c r="I14" s="60">
        <v>1.49</v>
      </c>
      <c r="J14" s="60">
        <v>0.2</v>
      </c>
      <c r="K14" s="60">
        <v>296.73</v>
      </c>
      <c r="L14" s="60">
        <v>16.170000000000002</v>
      </c>
      <c r="M14" s="60">
        <v>88</v>
      </c>
      <c r="N14" s="60">
        <v>1.1000000000000001</v>
      </c>
      <c r="O14" s="60">
        <v>0</v>
      </c>
      <c r="P14" s="60">
        <v>3.41</v>
      </c>
      <c r="Q14" s="218" t="s">
        <v>42</v>
      </c>
      <c r="R14" s="198"/>
      <c r="S14" s="198"/>
      <c r="T14" s="198"/>
      <c r="U14" s="198"/>
    </row>
    <row r="15" spans="1:21" s="12" customFormat="1" x14ac:dyDescent="0.25">
      <c r="A15" s="201" t="s">
        <v>2942</v>
      </c>
      <c r="B15" s="60">
        <v>129.08000000000001</v>
      </c>
      <c r="C15" s="60">
        <v>225.69</v>
      </c>
      <c r="D15" s="60">
        <v>228.06</v>
      </c>
      <c r="E15" s="60">
        <v>5.21</v>
      </c>
      <c r="F15" s="60">
        <v>0.62</v>
      </c>
      <c r="G15" s="60">
        <v>138.58000000000001</v>
      </c>
      <c r="H15" s="60">
        <v>47.43</v>
      </c>
      <c r="I15" s="60">
        <v>1.48</v>
      </c>
      <c r="J15" s="60">
        <v>0.16</v>
      </c>
      <c r="K15" s="60">
        <v>305.67</v>
      </c>
      <c r="L15" s="60">
        <v>15.84</v>
      </c>
      <c r="M15" s="60">
        <v>72</v>
      </c>
      <c r="N15" s="60">
        <v>0.8</v>
      </c>
      <c r="O15" s="60">
        <v>0</v>
      </c>
      <c r="P15" s="60">
        <v>3.35</v>
      </c>
      <c r="Q15" s="218" t="s">
        <v>42</v>
      </c>
      <c r="R15" s="198"/>
      <c r="S15" s="198"/>
      <c r="T15" s="198"/>
      <c r="U15" s="198"/>
    </row>
    <row r="16" spans="1:21" s="12" customFormat="1" x14ac:dyDescent="0.25">
      <c r="A16" s="201" t="s">
        <v>2943</v>
      </c>
      <c r="B16" s="60">
        <v>125.23</v>
      </c>
      <c r="C16" s="60">
        <v>220.48</v>
      </c>
      <c r="D16" s="60">
        <v>222.1</v>
      </c>
      <c r="E16" s="60">
        <v>5.58</v>
      </c>
      <c r="F16" s="60">
        <v>0.69</v>
      </c>
      <c r="G16" s="60">
        <v>138.58000000000001</v>
      </c>
      <c r="H16" s="60">
        <v>47.43</v>
      </c>
      <c r="I16" s="60">
        <v>1.45</v>
      </c>
      <c r="J16" s="60">
        <v>0.25</v>
      </c>
      <c r="K16" s="60">
        <v>294.14</v>
      </c>
      <c r="L16" s="60">
        <v>16.329999999999998</v>
      </c>
      <c r="M16" s="60">
        <v>78</v>
      </c>
      <c r="N16" s="60">
        <v>0.2</v>
      </c>
      <c r="O16" s="60">
        <v>0</v>
      </c>
      <c r="P16" s="60">
        <v>3.28</v>
      </c>
      <c r="Q16" s="218" t="s">
        <v>42</v>
      </c>
      <c r="R16" s="198"/>
      <c r="S16" s="198"/>
      <c r="T16" s="198"/>
      <c r="U16" s="198"/>
    </row>
    <row r="17" spans="1:21" s="12" customFormat="1" x14ac:dyDescent="0.25">
      <c r="A17" s="201" t="s">
        <v>2944</v>
      </c>
      <c r="B17" s="60">
        <v>119.1</v>
      </c>
      <c r="C17" s="60">
        <v>213.49</v>
      </c>
      <c r="D17" s="60">
        <v>213.33</v>
      </c>
      <c r="E17" s="60">
        <v>5.16</v>
      </c>
      <c r="F17" s="60">
        <v>0.65</v>
      </c>
      <c r="G17" s="60">
        <v>126.54</v>
      </c>
      <c r="H17" s="60">
        <v>44.74</v>
      </c>
      <c r="I17" s="60">
        <v>1.43</v>
      </c>
      <c r="J17" s="60">
        <v>0.22</v>
      </c>
      <c r="K17" s="60">
        <v>294.14</v>
      </c>
      <c r="L17" s="60">
        <v>16.34</v>
      </c>
      <c r="M17" s="60">
        <v>101</v>
      </c>
      <c r="N17" s="60">
        <v>0.9</v>
      </c>
      <c r="O17" s="60">
        <v>0</v>
      </c>
      <c r="P17" s="60">
        <v>3.2</v>
      </c>
      <c r="Q17" s="60">
        <v>399.06</v>
      </c>
      <c r="R17" s="198"/>
      <c r="S17" s="198"/>
      <c r="T17" s="198"/>
      <c r="U17" s="198"/>
    </row>
    <row r="18" spans="1:21" s="12" customFormat="1" x14ac:dyDescent="0.25">
      <c r="A18" s="201" t="s">
        <v>2945</v>
      </c>
      <c r="B18" s="60">
        <v>113.77</v>
      </c>
      <c r="C18" s="60">
        <v>206.59</v>
      </c>
      <c r="D18" s="60">
        <v>205.25</v>
      </c>
      <c r="E18" s="60">
        <v>5.16</v>
      </c>
      <c r="F18" s="60">
        <v>0.59</v>
      </c>
      <c r="G18" s="60">
        <v>124.33</v>
      </c>
      <c r="H18" s="60">
        <v>44.29</v>
      </c>
      <c r="I18" s="60">
        <v>1.41</v>
      </c>
      <c r="J18" s="60">
        <v>0.17</v>
      </c>
      <c r="K18" s="60">
        <v>303.08999999999997</v>
      </c>
      <c r="L18" s="60">
        <v>15.92</v>
      </c>
      <c r="M18" s="60">
        <v>74</v>
      </c>
      <c r="N18" s="60">
        <v>0.7</v>
      </c>
      <c r="O18" s="60">
        <v>0</v>
      </c>
      <c r="P18" s="60">
        <v>3.13</v>
      </c>
      <c r="Q18" s="60">
        <v>391.11</v>
      </c>
      <c r="R18" s="198"/>
      <c r="S18" s="198"/>
      <c r="T18" s="198"/>
      <c r="U18" s="198"/>
    </row>
    <row r="19" spans="1:21" s="12" customFormat="1" x14ac:dyDescent="0.25">
      <c r="A19" s="201" t="s">
        <v>2946</v>
      </c>
      <c r="B19" s="60">
        <v>108.26</v>
      </c>
      <c r="C19" s="60">
        <v>200.3</v>
      </c>
      <c r="D19" s="60">
        <v>197.35</v>
      </c>
      <c r="E19" s="60">
        <v>5.73</v>
      </c>
      <c r="F19" s="60">
        <v>0.56999999999999995</v>
      </c>
      <c r="G19" s="60">
        <v>124.33</v>
      </c>
      <c r="H19" s="60">
        <v>44.29</v>
      </c>
      <c r="I19" s="60">
        <v>1.39</v>
      </c>
      <c r="J19" s="60">
        <v>0.14000000000000001</v>
      </c>
      <c r="K19" s="60">
        <v>293.82</v>
      </c>
      <c r="L19" s="60">
        <v>16.079999999999998</v>
      </c>
      <c r="M19" s="60">
        <v>72</v>
      </c>
      <c r="N19" s="60">
        <v>0.9</v>
      </c>
      <c r="O19" s="60">
        <v>0</v>
      </c>
      <c r="P19" s="60">
        <v>3.06</v>
      </c>
      <c r="Q19" s="60">
        <v>384.44</v>
      </c>
      <c r="R19" s="198"/>
      <c r="S19" s="198"/>
      <c r="T19" s="198"/>
      <c r="U19" s="198"/>
    </row>
    <row r="20" spans="1:21" s="12" customFormat="1" x14ac:dyDescent="0.25">
      <c r="A20" s="201" t="s">
        <v>2947</v>
      </c>
      <c r="B20" s="60">
        <v>102.31</v>
      </c>
      <c r="C20" s="60">
        <v>193.14</v>
      </c>
      <c r="D20" s="60">
        <v>188.63</v>
      </c>
      <c r="E20" s="60">
        <v>5.34</v>
      </c>
      <c r="F20" s="60">
        <v>0.51</v>
      </c>
      <c r="G20" s="60">
        <v>124.33</v>
      </c>
      <c r="H20" s="60">
        <v>44.29</v>
      </c>
      <c r="I20" s="60">
        <v>1.36</v>
      </c>
      <c r="J20" s="60">
        <v>0.21</v>
      </c>
      <c r="K20" s="60">
        <v>294.94</v>
      </c>
      <c r="L20" s="60">
        <v>15.92</v>
      </c>
      <c r="M20" s="60">
        <v>47</v>
      </c>
      <c r="N20" s="60">
        <v>0.8</v>
      </c>
      <c r="O20" s="60">
        <v>0</v>
      </c>
      <c r="P20" s="60">
        <v>3.01</v>
      </c>
      <c r="Q20" s="60">
        <v>375.95</v>
      </c>
      <c r="R20" s="198"/>
      <c r="S20" s="198"/>
      <c r="T20" s="198"/>
      <c r="U20" s="198"/>
    </row>
    <row r="21" spans="1:21" s="12" customFormat="1" x14ac:dyDescent="0.25">
      <c r="A21" s="201" t="s">
        <v>2948</v>
      </c>
      <c r="B21" s="60">
        <v>96.68</v>
      </c>
      <c r="C21" s="60">
        <v>186.01</v>
      </c>
      <c r="D21" s="60">
        <v>180.19</v>
      </c>
      <c r="E21" s="60">
        <v>5.56</v>
      </c>
      <c r="F21" s="60">
        <v>0.51</v>
      </c>
      <c r="G21" s="60">
        <v>111.36</v>
      </c>
      <c r="H21" s="60">
        <v>46.08</v>
      </c>
      <c r="I21" s="60">
        <v>1.34</v>
      </c>
      <c r="J21" s="60">
        <v>0.12</v>
      </c>
      <c r="K21" s="60">
        <v>302.97000000000003</v>
      </c>
      <c r="L21" s="60">
        <v>15.68</v>
      </c>
      <c r="M21" s="60">
        <v>56</v>
      </c>
      <c r="N21" s="60">
        <v>0.9</v>
      </c>
      <c r="O21" s="60">
        <v>0</v>
      </c>
      <c r="P21" s="60">
        <v>2.95</v>
      </c>
      <c r="Q21" s="60">
        <v>366.91</v>
      </c>
      <c r="R21" s="198"/>
      <c r="S21" s="198"/>
      <c r="T21" s="198"/>
      <c r="U21" s="198"/>
    </row>
    <row r="22" spans="1:21" s="12" customFormat="1" x14ac:dyDescent="0.25">
      <c r="A22" s="201" t="s">
        <v>2949</v>
      </c>
      <c r="B22" s="60">
        <v>91.51</v>
      </c>
      <c r="C22" s="60">
        <v>179.04</v>
      </c>
      <c r="D22" s="60">
        <v>172.2</v>
      </c>
      <c r="E22" s="60">
        <v>5.52</v>
      </c>
      <c r="F22" s="60">
        <v>0.52</v>
      </c>
      <c r="G22" s="60">
        <v>111.36</v>
      </c>
      <c r="H22" s="60">
        <v>46.41</v>
      </c>
      <c r="I22" s="60">
        <v>1.32</v>
      </c>
      <c r="J22" s="60">
        <v>0.13</v>
      </c>
      <c r="K22" s="60">
        <v>307.14999999999998</v>
      </c>
      <c r="L22" s="60">
        <v>15.48</v>
      </c>
      <c r="M22" s="60">
        <v>89</v>
      </c>
      <c r="N22" s="60">
        <v>1</v>
      </c>
      <c r="O22" s="60">
        <v>0</v>
      </c>
      <c r="P22" s="60">
        <v>2.9</v>
      </c>
      <c r="Q22" s="60">
        <v>361.28</v>
      </c>
      <c r="R22" s="198"/>
      <c r="S22" s="198"/>
      <c r="T22" s="198"/>
      <c r="U22" s="198"/>
    </row>
    <row r="23" spans="1:21" s="12" customFormat="1" x14ac:dyDescent="0.25">
      <c r="A23" s="201" t="s">
        <v>2950</v>
      </c>
      <c r="B23" s="60">
        <v>87.27</v>
      </c>
      <c r="C23" s="60">
        <v>171.93</v>
      </c>
      <c r="D23" s="60">
        <v>164.87</v>
      </c>
      <c r="E23" s="60">
        <v>5.67</v>
      </c>
      <c r="F23" s="60">
        <v>0.53</v>
      </c>
      <c r="G23" s="60">
        <v>111.36</v>
      </c>
      <c r="H23" s="60">
        <v>46.41</v>
      </c>
      <c r="I23" s="60">
        <v>1.3</v>
      </c>
      <c r="J23" s="60">
        <v>0.13</v>
      </c>
      <c r="K23" s="60">
        <v>308.33</v>
      </c>
      <c r="L23" s="60">
        <v>15.31</v>
      </c>
      <c r="M23" s="60">
        <v>71</v>
      </c>
      <c r="N23" s="60">
        <v>0.8</v>
      </c>
      <c r="O23" s="60">
        <v>0</v>
      </c>
      <c r="P23" s="60">
        <v>2.85</v>
      </c>
      <c r="Q23" s="60">
        <v>356.03</v>
      </c>
      <c r="R23" s="198"/>
      <c r="S23" s="198"/>
      <c r="T23" s="198"/>
      <c r="U23" s="198"/>
    </row>
    <row r="24" spans="1:21" s="12" customFormat="1" x14ac:dyDescent="0.25">
      <c r="A24" s="201" t="s">
        <v>2951</v>
      </c>
      <c r="B24" s="60">
        <v>83.28</v>
      </c>
      <c r="C24" s="60">
        <v>166.21</v>
      </c>
      <c r="D24" s="60">
        <v>158.51</v>
      </c>
      <c r="E24" s="60">
        <v>3.02</v>
      </c>
      <c r="F24" s="60">
        <v>0.79</v>
      </c>
      <c r="G24" s="60">
        <v>111.36</v>
      </c>
      <c r="H24" s="60">
        <v>46.41</v>
      </c>
      <c r="I24" s="60">
        <v>1.27</v>
      </c>
      <c r="J24" s="60">
        <v>0.14000000000000001</v>
      </c>
      <c r="K24" s="60">
        <v>303.75</v>
      </c>
      <c r="L24" s="60">
        <v>15.38</v>
      </c>
      <c r="M24" s="60">
        <v>68</v>
      </c>
      <c r="N24" s="60">
        <v>0.7</v>
      </c>
      <c r="O24" s="60">
        <v>0</v>
      </c>
      <c r="P24" s="60">
        <v>2.79</v>
      </c>
      <c r="Q24" s="60">
        <v>350.49</v>
      </c>
      <c r="R24" s="198"/>
      <c r="S24" s="198"/>
      <c r="T24" s="198"/>
      <c r="U24" s="198"/>
    </row>
    <row r="25" spans="1:21" s="12" customFormat="1" x14ac:dyDescent="0.25">
      <c r="A25" s="201" t="s">
        <v>2952</v>
      </c>
      <c r="B25" s="60">
        <v>80.48</v>
      </c>
      <c r="C25" s="60">
        <v>162.34</v>
      </c>
      <c r="D25" s="60">
        <v>154.13999999999999</v>
      </c>
      <c r="E25" s="60">
        <v>5.14</v>
      </c>
      <c r="F25" s="60">
        <v>0.73</v>
      </c>
      <c r="G25" s="60">
        <v>114.24</v>
      </c>
      <c r="H25" s="60">
        <v>47.44</v>
      </c>
      <c r="I25" s="60">
        <v>1.25</v>
      </c>
      <c r="J25" s="60">
        <v>0.17</v>
      </c>
      <c r="K25" s="60">
        <v>310.41000000000003</v>
      </c>
      <c r="L25" s="60">
        <v>15.17</v>
      </c>
      <c r="M25" s="60">
        <v>81</v>
      </c>
      <c r="N25" s="60">
        <v>0.9</v>
      </c>
      <c r="O25" s="60">
        <v>0</v>
      </c>
      <c r="P25" s="60">
        <v>2.73</v>
      </c>
      <c r="Q25" s="60">
        <v>345.06</v>
      </c>
      <c r="R25" s="198"/>
      <c r="S25" s="198"/>
      <c r="T25" s="198"/>
      <c r="U25" s="198"/>
    </row>
    <row r="26" spans="1:21" s="12" customFormat="1" x14ac:dyDescent="0.25">
      <c r="A26" s="201" t="s">
        <v>2953</v>
      </c>
      <c r="B26" s="60">
        <v>79.16</v>
      </c>
      <c r="C26" s="60">
        <v>160.09</v>
      </c>
      <c r="D26" s="60">
        <v>151.83000000000001</v>
      </c>
      <c r="E26" s="60">
        <v>5.52</v>
      </c>
      <c r="F26" s="60">
        <v>0.62</v>
      </c>
      <c r="G26" s="60">
        <v>114.24</v>
      </c>
      <c r="H26" s="60">
        <v>47.62</v>
      </c>
      <c r="I26" s="60">
        <v>1.22</v>
      </c>
      <c r="J26" s="60">
        <v>0.16</v>
      </c>
      <c r="K26" s="60">
        <v>310.38</v>
      </c>
      <c r="L26" s="60">
        <v>15.05</v>
      </c>
      <c r="M26" s="60">
        <v>53</v>
      </c>
      <c r="N26" s="60">
        <v>0.7</v>
      </c>
      <c r="O26" s="60">
        <v>0</v>
      </c>
      <c r="P26" s="60">
        <v>2.67</v>
      </c>
      <c r="Q26" s="60">
        <v>343.07</v>
      </c>
      <c r="R26" s="198"/>
      <c r="S26" s="198"/>
      <c r="T26" s="198"/>
      <c r="U26" s="198"/>
    </row>
    <row r="27" spans="1:21" s="12" customFormat="1" x14ac:dyDescent="0.25">
      <c r="A27" s="201" t="s">
        <v>2954</v>
      </c>
      <c r="B27" s="60">
        <v>76.709999999999994</v>
      </c>
      <c r="C27" s="60">
        <v>157.1</v>
      </c>
      <c r="D27" s="60">
        <v>148.22</v>
      </c>
      <c r="E27" s="60">
        <v>5.26</v>
      </c>
      <c r="F27" s="60">
        <v>0.6</v>
      </c>
      <c r="G27" s="60">
        <v>114.24</v>
      </c>
      <c r="H27" s="60">
        <v>47.62</v>
      </c>
      <c r="I27" s="60">
        <v>1.2</v>
      </c>
      <c r="J27" s="60">
        <v>0.27</v>
      </c>
      <c r="K27" s="60">
        <v>308.27</v>
      </c>
      <c r="L27" s="60">
        <v>15.21</v>
      </c>
      <c r="M27" s="60">
        <v>61</v>
      </c>
      <c r="N27" s="60">
        <v>0.6</v>
      </c>
      <c r="O27" s="60">
        <v>0</v>
      </c>
      <c r="P27" s="60">
        <v>2.62</v>
      </c>
      <c r="Q27" s="60">
        <v>340.36</v>
      </c>
      <c r="R27" s="198"/>
      <c r="S27" s="198"/>
      <c r="T27" s="198"/>
      <c r="U27" s="198"/>
    </row>
    <row r="28" spans="1:21" s="12" customFormat="1" x14ac:dyDescent="0.25">
      <c r="A28" s="201" t="s">
        <v>2955</v>
      </c>
      <c r="B28" s="60">
        <v>75.88</v>
      </c>
      <c r="C28" s="60">
        <v>155.71</v>
      </c>
      <c r="D28" s="60">
        <v>146.78</v>
      </c>
      <c r="E28" s="60">
        <v>5.07</v>
      </c>
      <c r="F28" s="60">
        <v>0.56999999999999995</v>
      </c>
      <c r="G28" s="60">
        <v>114.24</v>
      </c>
      <c r="H28" s="60">
        <v>47.62</v>
      </c>
      <c r="I28" s="60">
        <v>1.1599999999999999</v>
      </c>
      <c r="J28" s="60">
        <v>0.28000000000000003</v>
      </c>
      <c r="K28" s="60">
        <v>281.62</v>
      </c>
      <c r="L28" s="60">
        <v>15.72</v>
      </c>
      <c r="M28" s="60">
        <v>34</v>
      </c>
      <c r="N28" s="60">
        <v>0.3</v>
      </c>
      <c r="O28" s="60">
        <v>0</v>
      </c>
      <c r="P28" s="60">
        <v>2.56</v>
      </c>
      <c r="Q28" s="60">
        <v>339.08</v>
      </c>
      <c r="R28" s="198"/>
      <c r="S28" s="198"/>
      <c r="T28" s="198"/>
      <c r="U28" s="198"/>
    </row>
    <row r="29" spans="1:21" s="12" customFormat="1" x14ac:dyDescent="0.25">
      <c r="A29" s="201" t="s">
        <v>2956</v>
      </c>
      <c r="B29" s="60">
        <v>73.39</v>
      </c>
      <c r="C29" s="60">
        <v>154.77000000000001</v>
      </c>
      <c r="D29" s="60">
        <v>144.27000000000001</v>
      </c>
      <c r="E29" s="60">
        <v>5.77</v>
      </c>
      <c r="F29" s="60">
        <v>0.59</v>
      </c>
      <c r="G29" s="60">
        <v>136.82</v>
      </c>
      <c r="H29" s="60">
        <v>46.63</v>
      </c>
      <c r="I29" s="60">
        <v>1.1399999999999999</v>
      </c>
      <c r="J29" s="60">
        <v>0.17</v>
      </c>
      <c r="K29" s="60">
        <v>277.61</v>
      </c>
      <c r="L29" s="60">
        <v>15.6</v>
      </c>
      <c r="M29" s="60">
        <v>22</v>
      </c>
      <c r="N29" s="60">
        <v>1</v>
      </c>
      <c r="O29" s="60">
        <v>0</v>
      </c>
      <c r="P29" s="60">
        <v>2.4700000000000002</v>
      </c>
      <c r="Q29" s="60">
        <v>335.08</v>
      </c>
      <c r="R29" s="198"/>
      <c r="S29" s="198"/>
      <c r="T29" s="198"/>
      <c r="U29" s="198"/>
    </row>
    <row r="30" spans="1:21" s="12" customFormat="1" x14ac:dyDescent="0.25">
      <c r="A30" s="201" t="s">
        <v>2957</v>
      </c>
      <c r="B30" s="60">
        <v>68.03</v>
      </c>
      <c r="C30" s="60">
        <v>151.21</v>
      </c>
      <c r="D30" s="60">
        <v>138</v>
      </c>
      <c r="E30" s="60">
        <v>5.4</v>
      </c>
      <c r="F30" s="60">
        <v>0.57999999999999996</v>
      </c>
      <c r="G30" s="60">
        <v>136.82</v>
      </c>
      <c r="H30" s="60">
        <v>46.45</v>
      </c>
      <c r="I30" s="60">
        <v>1.1100000000000001</v>
      </c>
      <c r="J30" s="60">
        <v>0.28000000000000003</v>
      </c>
      <c r="K30" s="60">
        <v>275.38</v>
      </c>
      <c r="L30" s="60">
        <v>15.77</v>
      </c>
      <c r="M30" s="60">
        <v>27</v>
      </c>
      <c r="N30" s="60">
        <v>0.4</v>
      </c>
      <c r="O30" s="60">
        <v>0</v>
      </c>
      <c r="P30" s="60">
        <v>2.38</v>
      </c>
      <c r="Q30" s="60">
        <v>327.27999999999997</v>
      </c>
      <c r="R30" s="198"/>
      <c r="S30" s="198"/>
      <c r="T30" s="198"/>
      <c r="U30" s="198"/>
    </row>
    <row r="31" spans="1:21" s="12" customFormat="1" x14ac:dyDescent="0.25">
      <c r="A31" s="201" t="s">
        <v>2958</v>
      </c>
      <c r="B31" s="60">
        <v>62.69</v>
      </c>
      <c r="C31" s="60">
        <v>147.72</v>
      </c>
      <c r="D31" s="60">
        <v>131.79</v>
      </c>
      <c r="E31" s="60">
        <v>5.18</v>
      </c>
      <c r="F31" s="60">
        <v>0.66</v>
      </c>
      <c r="G31" s="60">
        <v>136.82</v>
      </c>
      <c r="H31" s="60">
        <v>46.45</v>
      </c>
      <c r="I31" s="60">
        <v>1.08</v>
      </c>
      <c r="J31" s="60">
        <v>0.36</v>
      </c>
      <c r="K31" s="60">
        <v>272.79000000000002</v>
      </c>
      <c r="L31" s="60">
        <v>15.97</v>
      </c>
      <c r="M31" s="60">
        <v>30</v>
      </c>
      <c r="N31" s="60">
        <v>0.4</v>
      </c>
      <c r="O31" s="60">
        <v>0</v>
      </c>
      <c r="P31" s="60">
        <v>2.3199999999999998</v>
      </c>
      <c r="Q31" s="60">
        <v>320.61</v>
      </c>
      <c r="R31" s="198"/>
      <c r="S31" s="198"/>
      <c r="T31" s="198"/>
      <c r="U31" s="198"/>
    </row>
    <row r="32" spans="1:21" s="12" customFormat="1" x14ac:dyDescent="0.25">
      <c r="A32" s="201" t="s">
        <v>2959</v>
      </c>
      <c r="B32" s="60">
        <v>58.22</v>
      </c>
      <c r="C32" s="60">
        <v>145.09</v>
      </c>
      <c r="D32" s="60">
        <v>126.76</v>
      </c>
      <c r="E32" s="60">
        <v>5.26</v>
      </c>
      <c r="F32" s="60">
        <v>0.6</v>
      </c>
      <c r="G32" s="60">
        <v>136.82</v>
      </c>
      <c r="H32" s="60">
        <v>46.45</v>
      </c>
      <c r="I32" s="60">
        <v>1.03</v>
      </c>
      <c r="J32" s="60">
        <v>0.32</v>
      </c>
      <c r="K32" s="60">
        <v>275.52999999999997</v>
      </c>
      <c r="L32" s="60">
        <v>15.84</v>
      </c>
      <c r="M32" s="60">
        <v>44</v>
      </c>
      <c r="N32" s="60">
        <v>0.7</v>
      </c>
      <c r="O32" s="60">
        <v>0</v>
      </c>
      <c r="P32" s="60">
        <v>2.2599999999999998</v>
      </c>
      <c r="Q32" s="60">
        <v>314.26</v>
      </c>
      <c r="R32" s="198"/>
      <c r="S32" s="198"/>
      <c r="T32" s="198"/>
      <c r="U32" s="198"/>
    </row>
    <row r="33" spans="1:21" s="12" customFormat="1" x14ac:dyDescent="0.25">
      <c r="A33" s="201" t="s">
        <v>2960</v>
      </c>
      <c r="B33" s="60">
        <v>54.88</v>
      </c>
      <c r="C33" s="60">
        <v>142.97999999999999</v>
      </c>
      <c r="D33" s="60">
        <v>122.92</v>
      </c>
      <c r="E33" s="60">
        <v>5.24</v>
      </c>
      <c r="F33" s="60">
        <v>0.56000000000000005</v>
      </c>
      <c r="G33" s="60">
        <v>130.76</v>
      </c>
      <c r="H33" s="60">
        <v>47.4</v>
      </c>
      <c r="I33" s="60">
        <v>0.97</v>
      </c>
      <c r="J33" s="60">
        <v>0.39</v>
      </c>
      <c r="K33" s="60">
        <v>279.37</v>
      </c>
      <c r="L33" s="60">
        <v>15.58</v>
      </c>
      <c r="M33" s="60">
        <v>62</v>
      </c>
      <c r="N33" s="60">
        <v>1.9</v>
      </c>
      <c r="O33" s="60">
        <v>0</v>
      </c>
      <c r="P33" s="60">
        <v>2.25</v>
      </c>
      <c r="Q33" s="60">
        <v>308.36</v>
      </c>
      <c r="R33" s="198"/>
      <c r="S33" s="198"/>
      <c r="T33" s="198"/>
      <c r="U33" s="198"/>
    </row>
    <row r="34" spans="1:21" s="12" customFormat="1" x14ac:dyDescent="0.25">
      <c r="A34" s="201" t="s">
        <v>2961</v>
      </c>
      <c r="B34" s="60">
        <v>52.04</v>
      </c>
      <c r="C34" s="60">
        <v>142.06</v>
      </c>
      <c r="D34" s="60">
        <v>120.13</v>
      </c>
      <c r="E34" s="60">
        <v>5.47</v>
      </c>
      <c r="F34" s="60">
        <v>0.59</v>
      </c>
      <c r="G34" s="60">
        <v>130.76</v>
      </c>
      <c r="H34" s="60">
        <v>47.56</v>
      </c>
      <c r="I34" s="60">
        <v>0.93</v>
      </c>
      <c r="J34" s="60">
        <v>0.3</v>
      </c>
      <c r="K34" s="60">
        <v>279.85000000000002</v>
      </c>
      <c r="L34" s="60">
        <v>15.54</v>
      </c>
      <c r="M34" s="60">
        <v>42</v>
      </c>
      <c r="N34" s="60">
        <v>6.2</v>
      </c>
      <c r="O34" s="60">
        <v>0</v>
      </c>
      <c r="P34" s="60">
        <v>2.23</v>
      </c>
      <c r="Q34" s="60">
        <v>304.87</v>
      </c>
      <c r="R34" s="198"/>
      <c r="S34" s="198"/>
      <c r="T34" s="198"/>
      <c r="U34" s="198"/>
    </row>
    <row r="35" spans="1:21" s="12" customFormat="1" x14ac:dyDescent="0.25">
      <c r="A35" s="201" t="s">
        <v>2962</v>
      </c>
      <c r="B35" s="60">
        <v>48.84</v>
      </c>
      <c r="C35" s="60">
        <v>140.25</v>
      </c>
      <c r="D35" s="60">
        <v>116.57</v>
      </c>
      <c r="E35" s="60">
        <v>5.14</v>
      </c>
      <c r="F35" s="60">
        <v>0.51</v>
      </c>
      <c r="G35" s="60">
        <v>130.76</v>
      </c>
      <c r="H35" s="60">
        <v>47.56</v>
      </c>
      <c r="I35" s="60">
        <v>0.9</v>
      </c>
      <c r="J35" s="60">
        <v>0.47</v>
      </c>
      <c r="K35" s="60">
        <v>279.64999999999998</v>
      </c>
      <c r="L35" s="60">
        <v>15.63</v>
      </c>
      <c r="M35" s="60">
        <v>29</v>
      </c>
      <c r="N35" s="60">
        <v>17.899999999999999</v>
      </c>
      <c r="O35" s="60">
        <v>0</v>
      </c>
      <c r="P35" s="60">
        <v>2.1800000000000002</v>
      </c>
      <c r="Q35" s="60">
        <v>300.48</v>
      </c>
      <c r="R35" s="198"/>
      <c r="S35" s="198"/>
      <c r="T35" s="198"/>
      <c r="U35" s="198"/>
    </row>
    <row r="36" spans="1:21" s="12" customFormat="1" x14ac:dyDescent="0.25">
      <c r="A36" s="201" t="s">
        <v>2963</v>
      </c>
      <c r="B36" s="60">
        <v>45.11</v>
      </c>
      <c r="C36" s="60">
        <v>137.36000000000001</v>
      </c>
      <c r="D36" s="60">
        <v>111.98</v>
      </c>
      <c r="E36" s="60">
        <v>5.16</v>
      </c>
      <c r="F36" s="60">
        <v>0.55000000000000004</v>
      </c>
      <c r="G36" s="60">
        <v>130.76</v>
      </c>
      <c r="H36" s="60">
        <v>47.56</v>
      </c>
      <c r="I36" s="60">
        <v>0.86</v>
      </c>
      <c r="J36" s="60">
        <v>0.65</v>
      </c>
      <c r="K36" s="60">
        <v>276.14999999999998</v>
      </c>
      <c r="L36" s="60">
        <v>15.94</v>
      </c>
      <c r="M36" s="60">
        <v>27</v>
      </c>
      <c r="N36" s="60">
        <v>32.700000000000003</v>
      </c>
      <c r="O36" s="60">
        <v>0</v>
      </c>
      <c r="P36" s="60">
        <v>2.12</v>
      </c>
      <c r="Q36" s="60">
        <v>296.58</v>
      </c>
      <c r="R36" s="198"/>
      <c r="S36" s="198"/>
      <c r="T36" s="198"/>
      <c r="U36" s="198"/>
    </row>
    <row r="37" spans="1:21" s="12" customFormat="1" x14ac:dyDescent="0.25">
      <c r="A37" s="201" t="s">
        <v>2964</v>
      </c>
      <c r="B37" s="60">
        <v>42.11</v>
      </c>
      <c r="C37" s="60">
        <v>135.58000000000001</v>
      </c>
      <c r="D37" s="60">
        <v>108.59</v>
      </c>
      <c r="E37" s="60">
        <v>4.7</v>
      </c>
      <c r="F37" s="60">
        <v>0.73</v>
      </c>
      <c r="G37" s="60">
        <v>118.49</v>
      </c>
      <c r="H37" s="60">
        <v>47.58</v>
      </c>
      <c r="I37" s="60">
        <v>0.82</v>
      </c>
      <c r="J37" s="60">
        <v>0.47</v>
      </c>
      <c r="K37" s="60">
        <v>272.44</v>
      </c>
      <c r="L37" s="60">
        <v>16.350000000000001</v>
      </c>
      <c r="M37" s="60">
        <v>42</v>
      </c>
      <c r="N37" s="60">
        <v>44.6</v>
      </c>
      <c r="O37" s="60">
        <v>0</v>
      </c>
      <c r="P37" s="60">
        <v>2.0099999999999998</v>
      </c>
      <c r="Q37" s="60">
        <v>291.74</v>
      </c>
      <c r="R37" s="198"/>
      <c r="S37" s="198"/>
      <c r="T37" s="198"/>
      <c r="U37" s="198"/>
    </row>
    <row r="38" spans="1:21" s="12" customFormat="1" x14ac:dyDescent="0.25">
      <c r="A38" s="201" t="s">
        <v>2965</v>
      </c>
      <c r="B38" s="60">
        <v>40.409999999999997</v>
      </c>
      <c r="C38" s="60">
        <v>134.18</v>
      </c>
      <c r="D38" s="60">
        <v>106.46</v>
      </c>
      <c r="E38" s="60">
        <v>5.08</v>
      </c>
      <c r="F38" s="60">
        <v>0.67</v>
      </c>
      <c r="G38" s="60">
        <v>118.49</v>
      </c>
      <c r="H38" s="60">
        <v>47.58</v>
      </c>
      <c r="I38" s="60">
        <v>0.8</v>
      </c>
      <c r="J38" s="60">
        <v>0.51</v>
      </c>
      <c r="K38" s="60">
        <v>267.76</v>
      </c>
      <c r="L38" s="60">
        <v>16.739999999999998</v>
      </c>
      <c r="M38" s="60">
        <v>54</v>
      </c>
      <c r="N38" s="60">
        <v>75.8</v>
      </c>
      <c r="O38" s="60">
        <v>0</v>
      </c>
      <c r="P38" s="60">
        <v>2.04</v>
      </c>
      <c r="Q38" s="60">
        <v>288.66000000000003</v>
      </c>
      <c r="R38" s="198"/>
      <c r="S38" s="198"/>
      <c r="T38" s="198"/>
      <c r="U38" s="198"/>
    </row>
    <row r="39" spans="1:21" s="12" customFormat="1" x14ac:dyDescent="0.25">
      <c r="A39" s="201" t="s">
        <v>2966</v>
      </c>
      <c r="B39" s="60">
        <v>39.06</v>
      </c>
      <c r="C39" s="60">
        <v>134.29</v>
      </c>
      <c r="D39" s="60">
        <v>105.43</v>
      </c>
      <c r="E39" s="60">
        <v>4.8600000000000003</v>
      </c>
      <c r="F39" s="60">
        <v>0.73</v>
      </c>
      <c r="G39" s="60">
        <v>118.49</v>
      </c>
      <c r="H39" s="60">
        <v>47.58</v>
      </c>
      <c r="I39" s="60">
        <v>0.77</v>
      </c>
      <c r="J39" s="60">
        <v>0.42</v>
      </c>
      <c r="K39" s="60">
        <v>247.76</v>
      </c>
      <c r="L39" s="60">
        <v>18.02</v>
      </c>
      <c r="M39" s="60">
        <v>63</v>
      </c>
      <c r="N39" s="60">
        <v>139.9</v>
      </c>
      <c r="O39" s="60">
        <v>0</v>
      </c>
      <c r="P39" s="60">
        <v>2</v>
      </c>
      <c r="Q39" s="60">
        <v>289.27999999999997</v>
      </c>
      <c r="R39" s="198"/>
      <c r="S39" s="198"/>
      <c r="T39" s="198"/>
      <c r="U39" s="198"/>
    </row>
    <row r="40" spans="1:21" s="12" customFormat="1" x14ac:dyDescent="0.25">
      <c r="A40" s="201" t="s">
        <v>2967</v>
      </c>
      <c r="B40" s="60">
        <v>37.590000000000003</v>
      </c>
      <c r="C40" s="60">
        <v>134.80000000000001</v>
      </c>
      <c r="D40" s="60">
        <v>104.54</v>
      </c>
      <c r="E40" s="60">
        <v>2.4500000000000002</v>
      </c>
      <c r="F40" s="60">
        <v>0.74</v>
      </c>
      <c r="G40" s="60">
        <v>118.49</v>
      </c>
      <c r="H40" s="60">
        <v>47.58</v>
      </c>
      <c r="I40" s="60">
        <v>0.75</v>
      </c>
      <c r="J40" s="60">
        <v>0.75</v>
      </c>
      <c r="K40" s="60">
        <v>230.52</v>
      </c>
      <c r="L40" s="60">
        <v>19.09</v>
      </c>
      <c r="M40" s="60">
        <v>44</v>
      </c>
      <c r="N40" s="60">
        <v>200.9</v>
      </c>
      <c r="O40" s="60">
        <v>0</v>
      </c>
      <c r="P40" s="60">
        <v>1.98</v>
      </c>
      <c r="Q40" s="60">
        <v>289</v>
      </c>
      <c r="R40" s="198"/>
      <c r="S40" s="198"/>
      <c r="T40" s="198"/>
      <c r="U40" s="198"/>
    </row>
    <row r="41" spans="1:21" s="12" customFormat="1" x14ac:dyDescent="0.25">
      <c r="A41" s="201" t="s">
        <v>2968</v>
      </c>
      <c r="B41" s="60">
        <v>35.159999999999997</v>
      </c>
      <c r="C41" s="60">
        <v>130.55000000000001</v>
      </c>
      <c r="D41" s="60">
        <v>100.24</v>
      </c>
      <c r="E41" s="60">
        <v>4.99</v>
      </c>
      <c r="F41" s="60">
        <v>0.75</v>
      </c>
      <c r="G41" s="60">
        <v>97.84</v>
      </c>
      <c r="H41" s="60">
        <v>46.41</v>
      </c>
      <c r="I41" s="60">
        <v>0.73</v>
      </c>
      <c r="J41" s="60">
        <v>0.72</v>
      </c>
      <c r="K41" s="60">
        <v>224.57</v>
      </c>
      <c r="L41" s="60">
        <v>19.68</v>
      </c>
      <c r="M41" s="60">
        <v>41</v>
      </c>
      <c r="N41" s="60">
        <v>200.7</v>
      </c>
      <c r="O41" s="60">
        <v>0</v>
      </c>
      <c r="P41" s="60">
        <v>1.93</v>
      </c>
      <c r="Q41" s="60">
        <v>285.14</v>
      </c>
      <c r="R41" s="198"/>
      <c r="S41" s="198"/>
      <c r="T41" s="198"/>
      <c r="U41" s="198"/>
    </row>
    <row r="42" spans="1:21" s="12" customFormat="1" x14ac:dyDescent="0.25">
      <c r="A42" s="201" t="s">
        <v>2969</v>
      </c>
      <c r="B42" s="60">
        <v>32.99</v>
      </c>
      <c r="C42" s="60">
        <v>130.44</v>
      </c>
      <c r="D42" s="60">
        <v>98.44</v>
      </c>
      <c r="E42" s="60">
        <v>4.37</v>
      </c>
      <c r="F42" s="60">
        <v>0.76</v>
      </c>
      <c r="G42" s="60">
        <v>97.84</v>
      </c>
      <c r="H42" s="60">
        <v>46.22</v>
      </c>
      <c r="I42" s="60">
        <v>0.72</v>
      </c>
      <c r="J42" s="60">
        <v>0.7</v>
      </c>
      <c r="K42" s="60">
        <v>198.22</v>
      </c>
      <c r="L42" s="60">
        <v>21.78</v>
      </c>
      <c r="M42" s="60">
        <v>82</v>
      </c>
      <c r="N42" s="60">
        <v>267.89999999999998</v>
      </c>
      <c r="O42" s="60">
        <v>0</v>
      </c>
      <c r="P42" s="60">
        <v>1.9</v>
      </c>
      <c r="Q42" s="60">
        <v>285.67</v>
      </c>
      <c r="R42" s="198"/>
      <c r="S42" s="198"/>
      <c r="T42" s="198"/>
      <c r="U42" s="198"/>
    </row>
    <row r="43" spans="1:21" s="12" customFormat="1" x14ac:dyDescent="0.25">
      <c r="A43" s="201" t="s">
        <v>2970</v>
      </c>
      <c r="B43" s="60">
        <v>30.48</v>
      </c>
      <c r="C43" s="60">
        <v>133.51</v>
      </c>
      <c r="D43" s="60">
        <v>98.12</v>
      </c>
      <c r="E43" s="60">
        <v>4.8</v>
      </c>
      <c r="F43" s="60">
        <v>1.07</v>
      </c>
      <c r="G43" s="60">
        <v>97.84</v>
      </c>
      <c r="H43" s="60">
        <v>46.22</v>
      </c>
      <c r="I43" s="60">
        <v>0.71</v>
      </c>
      <c r="J43" s="60">
        <v>0.56999999999999995</v>
      </c>
      <c r="K43" s="60">
        <v>169.29</v>
      </c>
      <c r="L43" s="60">
        <v>24.52</v>
      </c>
      <c r="M43" s="60">
        <v>86</v>
      </c>
      <c r="N43" s="60">
        <v>308.39999999999998</v>
      </c>
      <c r="O43" s="60">
        <v>0</v>
      </c>
      <c r="P43" s="60">
        <v>1.88</v>
      </c>
      <c r="Q43" s="60">
        <v>286.02</v>
      </c>
      <c r="R43" s="198"/>
      <c r="S43" s="198"/>
      <c r="T43" s="198"/>
      <c r="U43" s="198"/>
    </row>
    <row r="44" spans="1:21" s="12" customFormat="1" x14ac:dyDescent="0.25">
      <c r="A44" s="201" t="s">
        <v>2971</v>
      </c>
      <c r="B44" s="60">
        <v>27.03</v>
      </c>
      <c r="C44" s="60">
        <v>135.21</v>
      </c>
      <c r="D44" s="60">
        <v>96.3</v>
      </c>
      <c r="E44" s="60">
        <v>5.68</v>
      </c>
      <c r="F44" s="60">
        <v>1.27</v>
      </c>
      <c r="G44" s="60">
        <v>97.84</v>
      </c>
      <c r="H44" s="60">
        <v>46.22</v>
      </c>
      <c r="I44" s="60">
        <v>0.7</v>
      </c>
      <c r="J44" s="60">
        <v>0.89</v>
      </c>
      <c r="K44" s="60">
        <v>150.83000000000001</v>
      </c>
      <c r="L44" s="60">
        <v>26.26</v>
      </c>
      <c r="M44" s="60">
        <v>91</v>
      </c>
      <c r="N44" s="60">
        <v>339.8</v>
      </c>
      <c r="O44" s="60">
        <v>0</v>
      </c>
      <c r="P44" s="60">
        <v>1.88</v>
      </c>
      <c r="Q44" s="60">
        <v>285.44</v>
      </c>
      <c r="R44" s="198"/>
      <c r="S44" s="198"/>
      <c r="T44" s="198"/>
      <c r="U44" s="198"/>
    </row>
    <row r="45" spans="1:21" s="12" customFormat="1" x14ac:dyDescent="0.25">
      <c r="A45" s="201" t="s">
        <v>2972</v>
      </c>
      <c r="B45" s="60">
        <v>23.96</v>
      </c>
      <c r="C45" s="60">
        <v>138.71</v>
      </c>
      <c r="D45" s="60">
        <v>95.76</v>
      </c>
      <c r="E45" s="60">
        <v>5.45</v>
      </c>
      <c r="F45" s="60">
        <v>1.1100000000000001</v>
      </c>
      <c r="G45" s="60">
        <v>101</v>
      </c>
      <c r="H45" s="60">
        <v>43.14</v>
      </c>
      <c r="I45" s="60">
        <v>0.69</v>
      </c>
      <c r="J45" s="60">
        <v>1</v>
      </c>
      <c r="K45" s="60">
        <v>140.91</v>
      </c>
      <c r="L45" s="60">
        <v>27.63</v>
      </c>
      <c r="M45" s="60">
        <v>99</v>
      </c>
      <c r="N45" s="60">
        <v>358.4</v>
      </c>
      <c r="O45" s="60">
        <v>0</v>
      </c>
      <c r="P45" s="60">
        <v>1.87</v>
      </c>
      <c r="Q45" s="60">
        <v>282.98</v>
      </c>
      <c r="R45" s="198"/>
      <c r="S45" s="198"/>
      <c r="T45" s="198"/>
      <c r="U45" s="198"/>
    </row>
    <row r="46" spans="1:21" s="12" customFormat="1" x14ac:dyDescent="0.25">
      <c r="A46" s="201" t="s">
        <v>2973</v>
      </c>
      <c r="B46" s="60">
        <v>21.27</v>
      </c>
      <c r="C46" s="60">
        <v>141.9</v>
      </c>
      <c r="D46" s="60">
        <v>95.37</v>
      </c>
      <c r="E46" s="60">
        <v>5.83</v>
      </c>
      <c r="F46" s="60">
        <v>1.03</v>
      </c>
      <c r="G46" s="60">
        <v>101</v>
      </c>
      <c r="H46" s="60">
        <v>42.62</v>
      </c>
      <c r="I46" s="60">
        <v>0.68</v>
      </c>
      <c r="J46" s="60">
        <v>0.57999999999999996</v>
      </c>
      <c r="K46" s="60">
        <v>141.68</v>
      </c>
      <c r="L46" s="60">
        <v>27.29</v>
      </c>
      <c r="M46" s="60">
        <v>73</v>
      </c>
      <c r="N46" s="60">
        <v>373.9</v>
      </c>
      <c r="O46" s="60">
        <v>0</v>
      </c>
      <c r="P46" s="60">
        <v>1.84</v>
      </c>
      <c r="Q46" s="60">
        <v>281.07</v>
      </c>
      <c r="R46" s="198"/>
      <c r="S46" s="198"/>
      <c r="T46" s="198"/>
      <c r="U46" s="198"/>
    </row>
    <row r="47" spans="1:21" s="12" customFormat="1" x14ac:dyDescent="0.25">
      <c r="A47" s="201" t="s">
        <v>2974</v>
      </c>
      <c r="B47" s="60">
        <v>18.3</v>
      </c>
      <c r="C47" s="60">
        <v>141.88999999999999</v>
      </c>
      <c r="D47" s="60">
        <v>92.99</v>
      </c>
      <c r="E47" s="60">
        <v>5.6</v>
      </c>
      <c r="F47" s="60">
        <v>1.04</v>
      </c>
      <c r="G47" s="60">
        <v>101</v>
      </c>
      <c r="H47" s="60">
        <v>42.62</v>
      </c>
      <c r="I47" s="60">
        <v>0.67</v>
      </c>
      <c r="J47" s="60">
        <v>0.71</v>
      </c>
      <c r="K47" s="60">
        <v>157.56</v>
      </c>
      <c r="L47" s="60">
        <v>25.38</v>
      </c>
      <c r="M47" s="60">
        <v>44</v>
      </c>
      <c r="N47" s="60">
        <v>391.2</v>
      </c>
      <c r="O47" s="60">
        <v>0</v>
      </c>
      <c r="P47" s="60">
        <v>1.82</v>
      </c>
      <c r="Q47" s="60">
        <v>281.52999999999997</v>
      </c>
      <c r="R47" s="198"/>
      <c r="S47" s="198"/>
      <c r="T47" s="198"/>
      <c r="U47" s="198"/>
    </row>
    <row r="48" spans="1:21" s="12" customFormat="1" x14ac:dyDescent="0.25">
      <c r="A48" s="201" t="s">
        <v>2975</v>
      </c>
      <c r="B48" s="60">
        <v>15.62</v>
      </c>
      <c r="C48" s="60">
        <v>138.68</v>
      </c>
      <c r="D48" s="60">
        <v>89.06</v>
      </c>
      <c r="E48" s="60">
        <v>5.22</v>
      </c>
      <c r="F48" s="60">
        <v>1.03</v>
      </c>
      <c r="G48" s="60">
        <v>101</v>
      </c>
      <c r="H48" s="60">
        <v>42.62</v>
      </c>
      <c r="I48" s="60">
        <v>0.67</v>
      </c>
      <c r="J48" s="60">
        <v>0.72</v>
      </c>
      <c r="K48" s="60">
        <v>161.05000000000001</v>
      </c>
      <c r="L48" s="60">
        <v>24.86</v>
      </c>
      <c r="M48" s="60">
        <v>46</v>
      </c>
      <c r="N48" s="60">
        <v>404.3</v>
      </c>
      <c r="O48" s="60">
        <v>0</v>
      </c>
      <c r="P48" s="60">
        <v>1.78</v>
      </c>
      <c r="Q48" s="60">
        <v>281.94</v>
      </c>
      <c r="R48" s="198"/>
      <c r="S48" s="198"/>
      <c r="T48" s="198"/>
      <c r="U48" s="198"/>
    </row>
    <row r="49" spans="1:21" s="12" customFormat="1" x14ac:dyDescent="0.25">
      <c r="A49" s="201" t="s">
        <v>2976</v>
      </c>
      <c r="B49" s="60">
        <v>13.56</v>
      </c>
      <c r="C49" s="60">
        <v>138.26</v>
      </c>
      <c r="D49" s="60">
        <v>87.17</v>
      </c>
      <c r="E49" s="60">
        <v>5.62</v>
      </c>
      <c r="F49" s="60">
        <v>2.29</v>
      </c>
      <c r="G49" s="60">
        <v>83.69</v>
      </c>
      <c r="H49" s="60">
        <v>42.45</v>
      </c>
      <c r="I49" s="60">
        <v>0.66</v>
      </c>
      <c r="J49" s="60">
        <v>0.63</v>
      </c>
      <c r="K49" s="60">
        <v>147.99</v>
      </c>
      <c r="L49" s="60">
        <v>26.98</v>
      </c>
      <c r="M49" s="60">
        <v>67</v>
      </c>
      <c r="N49" s="60">
        <v>413.6</v>
      </c>
      <c r="O49" s="60">
        <v>0</v>
      </c>
      <c r="P49" s="60">
        <v>1.74</v>
      </c>
      <c r="Q49" s="60">
        <v>281.38</v>
      </c>
      <c r="R49" s="198"/>
      <c r="S49" s="198"/>
      <c r="T49" s="198"/>
      <c r="U49" s="198"/>
    </row>
    <row r="50" spans="1:21" s="12" customFormat="1" x14ac:dyDescent="0.25">
      <c r="A50" s="201" t="s">
        <v>2977</v>
      </c>
      <c r="B50" s="60">
        <v>11.39</v>
      </c>
      <c r="C50" s="60">
        <v>133.91</v>
      </c>
      <c r="D50" s="60">
        <v>83.03</v>
      </c>
      <c r="E50" s="60">
        <v>5.74</v>
      </c>
      <c r="F50" s="60">
        <v>1.69</v>
      </c>
      <c r="G50" s="60">
        <v>83.69</v>
      </c>
      <c r="H50" s="60">
        <v>42.42</v>
      </c>
      <c r="I50" s="60">
        <v>0.66</v>
      </c>
      <c r="J50" s="60">
        <v>0.88</v>
      </c>
      <c r="K50" s="60">
        <v>134.69</v>
      </c>
      <c r="L50" s="60">
        <v>28.72</v>
      </c>
      <c r="M50" s="60">
        <v>93</v>
      </c>
      <c r="N50" s="60">
        <v>426.1</v>
      </c>
      <c r="O50" s="60">
        <v>0</v>
      </c>
      <c r="P50" s="60">
        <v>1.72</v>
      </c>
      <c r="Q50" s="60">
        <v>282.89999999999998</v>
      </c>
      <c r="R50" s="198"/>
      <c r="S50" s="198"/>
      <c r="T50" s="198"/>
      <c r="U50" s="198"/>
    </row>
    <row r="51" spans="1:21" s="12" customFormat="1" x14ac:dyDescent="0.25">
      <c r="A51" s="201" t="s">
        <v>2978</v>
      </c>
      <c r="B51" s="60">
        <v>9.52</v>
      </c>
      <c r="C51" s="60">
        <v>133.13</v>
      </c>
      <c r="D51" s="60">
        <v>81.11</v>
      </c>
      <c r="E51" s="60">
        <v>6.46</v>
      </c>
      <c r="F51" s="60">
        <v>2.74</v>
      </c>
      <c r="G51" s="60">
        <v>83.69</v>
      </c>
      <c r="H51" s="60">
        <v>42.42</v>
      </c>
      <c r="I51" s="60">
        <v>0.65</v>
      </c>
      <c r="J51" s="60">
        <v>0.63</v>
      </c>
      <c r="K51" s="60">
        <v>131.36000000000001</v>
      </c>
      <c r="L51" s="60">
        <v>29.33</v>
      </c>
      <c r="M51" s="60">
        <v>66</v>
      </c>
      <c r="N51" s="60">
        <v>436.8</v>
      </c>
      <c r="O51" s="60">
        <v>0</v>
      </c>
      <c r="P51" s="60">
        <v>1.68</v>
      </c>
      <c r="Q51" s="60">
        <v>285.29000000000002</v>
      </c>
      <c r="R51" s="198"/>
      <c r="S51" s="198"/>
      <c r="T51" s="198"/>
      <c r="U51" s="198"/>
    </row>
    <row r="52" spans="1:21" s="12" customFormat="1" x14ac:dyDescent="0.25">
      <c r="A52" s="201" t="s">
        <v>2979</v>
      </c>
      <c r="B52" s="60">
        <v>6.9</v>
      </c>
      <c r="C52" s="60">
        <v>130.11000000000001</v>
      </c>
      <c r="D52" s="60">
        <v>77.34</v>
      </c>
      <c r="E52" s="60">
        <v>6.13</v>
      </c>
      <c r="F52" s="60">
        <v>3.59</v>
      </c>
      <c r="G52" s="60">
        <v>83.69</v>
      </c>
      <c r="H52" s="60">
        <v>42.42</v>
      </c>
      <c r="I52" s="60">
        <v>0.65</v>
      </c>
      <c r="J52" s="60">
        <v>0.86</v>
      </c>
      <c r="K52" s="60">
        <v>134.07</v>
      </c>
      <c r="L52" s="60">
        <v>28.64</v>
      </c>
      <c r="M52" s="60">
        <v>82</v>
      </c>
      <c r="N52" s="60">
        <v>388.9</v>
      </c>
      <c r="O52" s="60">
        <v>0</v>
      </c>
      <c r="P52" s="60">
        <v>1.62</v>
      </c>
      <c r="Q52" s="60">
        <v>273.72000000000003</v>
      </c>
      <c r="R52" s="198"/>
      <c r="S52" s="198"/>
      <c r="T52" s="198"/>
      <c r="U52" s="198"/>
    </row>
    <row r="53" spans="1:21" s="12" customFormat="1" x14ac:dyDescent="0.25">
      <c r="A53" s="201" t="s">
        <v>2980</v>
      </c>
      <c r="B53" s="60">
        <v>4.5599999999999996</v>
      </c>
      <c r="C53" s="60">
        <v>126.02</v>
      </c>
      <c r="D53" s="60">
        <v>73.2</v>
      </c>
      <c r="E53" s="60">
        <v>6.25</v>
      </c>
      <c r="F53" s="60">
        <v>4.45</v>
      </c>
      <c r="G53" s="60">
        <v>79.209999999999994</v>
      </c>
      <c r="H53" s="60">
        <v>37.369999999999997</v>
      </c>
      <c r="I53" s="60">
        <v>0.62</v>
      </c>
      <c r="J53" s="60">
        <v>0.81</v>
      </c>
      <c r="K53" s="60">
        <v>142.82</v>
      </c>
      <c r="L53" s="60">
        <v>27.71</v>
      </c>
      <c r="M53" s="60">
        <v>40</v>
      </c>
      <c r="N53" s="60">
        <v>298</v>
      </c>
      <c r="O53" s="60">
        <v>0</v>
      </c>
      <c r="P53" s="60">
        <v>1.55</v>
      </c>
      <c r="Q53" s="60">
        <v>249.72</v>
      </c>
      <c r="R53" s="198"/>
      <c r="S53" s="198"/>
      <c r="T53" s="198"/>
      <c r="U53" s="198"/>
    </row>
    <row r="54" spans="1:21" s="12" customFormat="1" x14ac:dyDescent="0.25">
      <c r="A54" s="201" t="s">
        <v>2981</v>
      </c>
      <c r="B54" s="60">
        <v>2.85</v>
      </c>
      <c r="C54" s="60">
        <v>118.49</v>
      </c>
      <c r="D54" s="60">
        <v>67.680000000000007</v>
      </c>
      <c r="E54" s="60">
        <v>4.47</v>
      </c>
      <c r="F54" s="60">
        <v>2.92</v>
      </c>
      <c r="G54" s="60">
        <v>79.209999999999994</v>
      </c>
      <c r="H54" s="60">
        <v>36.51</v>
      </c>
      <c r="I54" s="60">
        <v>0.57999999999999996</v>
      </c>
      <c r="J54" s="60">
        <v>0.99</v>
      </c>
      <c r="K54" s="60">
        <v>150.83000000000001</v>
      </c>
      <c r="L54" s="60">
        <v>26.44</v>
      </c>
      <c r="M54" s="60">
        <v>43</v>
      </c>
      <c r="N54" s="60">
        <v>305.39999999999998</v>
      </c>
      <c r="O54" s="60">
        <v>0</v>
      </c>
      <c r="P54" s="60">
        <v>1.5</v>
      </c>
      <c r="Q54" s="60">
        <v>238.11</v>
      </c>
      <c r="R54" s="198"/>
      <c r="S54" s="198"/>
      <c r="T54" s="198"/>
      <c r="U54" s="198"/>
    </row>
    <row r="55" spans="1:21" s="12" customFormat="1" x14ac:dyDescent="0.25">
      <c r="A55" s="201" t="s">
        <v>2982</v>
      </c>
      <c r="B55" s="60">
        <v>2.59</v>
      </c>
      <c r="C55" s="60">
        <v>109.41</v>
      </c>
      <c r="D55" s="60">
        <v>62.46</v>
      </c>
      <c r="E55" s="60">
        <v>4.1500000000000004</v>
      </c>
      <c r="F55" s="60">
        <v>2.04</v>
      </c>
      <c r="G55" s="60">
        <v>79.209999999999994</v>
      </c>
      <c r="H55" s="60">
        <v>36.51</v>
      </c>
      <c r="I55" s="60">
        <v>0.54</v>
      </c>
      <c r="J55" s="60">
        <v>1.55</v>
      </c>
      <c r="K55" s="60">
        <v>150.76</v>
      </c>
      <c r="L55" s="60">
        <v>26.1</v>
      </c>
      <c r="M55" s="60">
        <v>42</v>
      </c>
      <c r="N55" s="60">
        <v>299.39999999999998</v>
      </c>
      <c r="O55" s="60">
        <v>0</v>
      </c>
      <c r="P55" s="60">
        <v>1.44</v>
      </c>
      <c r="Q55" s="60">
        <v>237.27</v>
      </c>
      <c r="R55" s="198"/>
      <c r="S55" s="198"/>
      <c r="T55" s="198"/>
      <c r="U55" s="198"/>
    </row>
    <row r="56" spans="1:21" s="12" customFormat="1" x14ac:dyDescent="0.25">
      <c r="A56" s="201" t="s">
        <v>2983</v>
      </c>
      <c r="B56" s="60">
        <v>2.95</v>
      </c>
      <c r="C56" s="60">
        <v>102.34</v>
      </c>
      <c r="D56" s="60">
        <v>58.84</v>
      </c>
      <c r="E56" s="60">
        <v>9.25</v>
      </c>
      <c r="F56" s="60">
        <v>8.39</v>
      </c>
      <c r="G56" s="60">
        <v>79.209999999999994</v>
      </c>
      <c r="H56" s="60">
        <v>36.51</v>
      </c>
      <c r="I56" s="60">
        <v>0.53</v>
      </c>
      <c r="J56" s="60">
        <v>1.1399999999999999</v>
      </c>
      <c r="K56" s="60">
        <v>142.88999999999999</v>
      </c>
      <c r="L56" s="60">
        <v>26.83</v>
      </c>
      <c r="M56" s="60">
        <v>54</v>
      </c>
      <c r="N56" s="60">
        <v>283.60000000000002</v>
      </c>
      <c r="O56" s="60">
        <v>0</v>
      </c>
      <c r="P56" s="60">
        <v>1.34</v>
      </c>
      <c r="Q56" s="60">
        <v>233.79</v>
      </c>
      <c r="R56" s="198"/>
      <c r="S56" s="198"/>
      <c r="T56" s="198"/>
      <c r="U56" s="198"/>
    </row>
    <row r="57" spans="1:21" s="12" customFormat="1" x14ac:dyDescent="0.25">
      <c r="A57" s="201" t="s">
        <v>2984</v>
      </c>
      <c r="B57" s="60">
        <v>2.99</v>
      </c>
      <c r="C57" s="60">
        <v>103.8</v>
      </c>
      <c r="D57" s="60">
        <v>59.68</v>
      </c>
      <c r="E57" s="60">
        <v>7.87</v>
      </c>
      <c r="F57" s="60">
        <v>7.33</v>
      </c>
      <c r="G57" s="60">
        <v>75.95</v>
      </c>
      <c r="H57" s="60">
        <v>40.25</v>
      </c>
      <c r="I57" s="60">
        <v>0.51</v>
      </c>
      <c r="J57" s="60">
        <v>0.99</v>
      </c>
      <c r="K57" s="60">
        <v>142.97</v>
      </c>
      <c r="L57" s="60">
        <v>26.79</v>
      </c>
      <c r="M57" s="60">
        <v>52</v>
      </c>
      <c r="N57" s="60">
        <v>237.1</v>
      </c>
      <c r="O57" s="60">
        <v>0</v>
      </c>
      <c r="P57" s="60">
        <v>1.23</v>
      </c>
      <c r="Q57" s="60">
        <v>191.08</v>
      </c>
      <c r="R57" s="198"/>
      <c r="S57" s="198"/>
      <c r="T57" s="198"/>
      <c r="U57" s="198"/>
    </row>
    <row r="58" spans="1:21" s="12" customFormat="1" x14ac:dyDescent="0.25">
      <c r="A58" s="201" t="s">
        <v>2985</v>
      </c>
      <c r="B58" s="60">
        <v>2.34</v>
      </c>
      <c r="C58" s="60">
        <v>101.32</v>
      </c>
      <c r="D58" s="60">
        <v>57.79</v>
      </c>
      <c r="E58" s="60">
        <v>7.79</v>
      </c>
      <c r="F58" s="60">
        <v>6.18</v>
      </c>
      <c r="G58" s="60">
        <v>75.95</v>
      </c>
      <c r="H58" s="60">
        <v>40.880000000000003</v>
      </c>
      <c r="I58" s="60">
        <v>0.46</v>
      </c>
      <c r="J58" s="60">
        <v>1.08</v>
      </c>
      <c r="K58" s="60">
        <v>138.56</v>
      </c>
      <c r="L58" s="60">
        <v>26.86</v>
      </c>
      <c r="M58" s="60">
        <v>41</v>
      </c>
      <c r="N58" s="60">
        <v>234.4</v>
      </c>
      <c r="O58" s="60">
        <v>0</v>
      </c>
      <c r="P58" s="60">
        <v>1.1599999999999999</v>
      </c>
      <c r="Q58" s="60">
        <v>93.04</v>
      </c>
      <c r="R58" s="198"/>
      <c r="S58" s="198"/>
      <c r="T58" s="198"/>
      <c r="U58" s="198"/>
    </row>
    <row r="59" spans="1:21" s="12" customFormat="1" x14ac:dyDescent="0.25">
      <c r="A59" s="201" t="s">
        <v>2986</v>
      </c>
      <c r="B59" s="60">
        <v>2.2400000000000002</v>
      </c>
      <c r="C59" s="60">
        <v>98.31</v>
      </c>
      <c r="D59" s="60">
        <v>56.06</v>
      </c>
      <c r="E59" s="60">
        <v>8.57</v>
      </c>
      <c r="F59" s="60">
        <v>8.57</v>
      </c>
      <c r="G59" s="60">
        <v>75.95</v>
      </c>
      <c r="H59" s="60">
        <v>40.880000000000003</v>
      </c>
      <c r="I59" s="60">
        <v>0.41</v>
      </c>
      <c r="J59" s="60">
        <v>1.1200000000000001</v>
      </c>
      <c r="K59" s="60">
        <v>134.63</v>
      </c>
      <c r="L59" s="60">
        <v>28.03</v>
      </c>
      <c r="M59" s="60">
        <v>60</v>
      </c>
      <c r="N59" s="60">
        <v>298.39999999999998</v>
      </c>
      <c r="O59" s="60">
        <v>0</v>
      </c>
      <c r="P59" s="60">
        <v>1.07</v>
      </c>
      <c r="Q59" s="60">
        <v>90.59</v>
      </c>
      <c r="R59" s="198"/>
      <c r="S59" s="198"/>
      <c r="T59" s="198"/>
      <c r="U59" s="198"/>
    </row>
    <row r="60" spans="1:21" s="12" customFormat="1" x14ac:dyDescent="0.25">
      <c r="A60" s="201" t="s">
        <v>2987</v>
      </c>
      <c r="B60" s="60">
        <v>2.4900000000000002</v>
      </c>
      <c r="C60" s="60">
        <v>99.02</v>
      </c>
      <c r="D60" s="60">
        <v>56.64</v>
      </c>
      <c r="E60" s="60">
        <v>9.11</v>
      </c>
      <c r="F60" s="60">
        <v>8.7200000000000006</v>
      </c>
      <c r="G60" s="60">
        <v>75.95</v>
      </c>
      <c r="H60" s="60">
        <v>40.880000000000003</v>
      </c>
      <c r="I60" s="60">
        <v>0.37</v>
      </c>
      <c r="J60" s="60">
        <v>1.41</v>
      </c>
      <c r="K60" s="60">
        <v>137.25</v>
      </c>
      <c r="L60" s="60">
        <v>27.01</v>
      </c>
      <c r="M60" s="60">
        <v>33</v>
      </c>
      <c r="N60" s="60">
        <v>229.5</v>
      </c>
      <c r="O60" s="60">
        <v>0</v>
      </c>
      <c r="P60" s="60">
        <v>1</v>
      </c>
      <c r="Q60" s="60">
        <v>89.34</v>
      </c>
      <c r="R60" s="198"/>
      <c r="S60" s="198"/>
      <c r="T60" s="198"/>
      <c r="U60" s="198"/>
    </row>
    <row r="61" spans="1:21" s="12" customFormat="1" x14ac:dyDescent="0.25">
      <c r="A61" s="201" t="s">
        <v>2988</v>
      </c>
      <c r="B61" s="60">
        <v>2.2400000000000002</v>
      </c>
      <c r="C61" s="60">
        <v>94.42</v>
      </c>
      <c r="D61" s="60">
        <v>53.91</v>
      </c>
      <c r="E61" s="60">
        <v>7.7</v>
      </c>
      <c r="F61" s="60">
        <v>6.95</v>
      </c>
      <c r="G61" s="60">
        <v>64.64</v>
      </c>
      <c r="H61" s="60">
        <v>37.25</v>
      </c>
      <c r="I61" s="60">
        <v>0.34</v>
      </c>
      <c r="J61" s="60">
        <v>1.23</v>
      </c>
      <c r="K61" s="60">
        <v>133.94999999999999</v>
      </c>
      <c r="L61" s="60">
        <v>27.05</v>
      </c>
      <c r="M61" s="60">
        <v>49</v>
      </c>
      <c r="N61" s="60">
        <v>228.8</v>
      </c>
      <c r="O61" s="60">
        <v>0</v>
      </c>
      <c r="P61" s="60">
        <v>0.91</v>
      </c>
      <c r="Q61" s="60">
        <v>86.98</v>
      </c>
      <c r="R61" s="198"/>
      <c r="S61" s="198"/>
      <c r="T61" s="198"/>
      <c r="U61" s="198"/>
    </row>
    <row r="62" spans="1:21" s="12" customFormat="1" x14ac:dyDescent="0.25">
      <c r="A62" s="201" t="s">
        <v>2989</v>
      </c>
      <c r="B62" s="60">
        <v>1.99</v>
      </c>
      <c r="C62" s="60">
        <v>93.67</v>
      </c>
      <c r="D62" s="60">
        <v>53.29</v>
      </c>
      <c r="E62" s="60">
        <v>5.68</v>
      </c>
      <c r="F62" s="60">
        <v>4.38</v>
      </c>
      <c r="G62" s="60">
        <v>64.64</v>
      </c>
      <c r="H62" s="60">
        <v>36.630000000000003</v>
      </c>
      <c r="I62" s="60">
        <v>0.32</v>
      </c>
      <c r="J62" s="60">
        <v>1.22</v>
      </c>
      <c r="K62" s="60">
        <v>134.51</v>
      </c>
      <c r="L62" s="60">
        <v>27.13</v>
      </c>
      <c r="M62" s="60">
        <v>42</v>
      </c>
      <c r="N62" s="60">
        <v>248.7</v>
      </c>
      <c r="O62" s="60">
        <v>0</v>
      </c>
      <c r="P62" s="60">
        <v>0.92</v>
      </c>
      <c r="Q62" s="60">
        <v>88.86</v>
      </c>
      <c r="R62" s="198"/>
      <c r="S62" s="198"/>
      <c r="T62" s="198"/>
      <c r="U62" s="198"/>
    </row>
    <row r="63" spans="1:21" s="12" customFormat="1" x14ac:dyDescent="0.25">
      <c r="A63" s="201" t="s">
        <v>2990</v>
      </c>
      <c r="B63" s="60">
        <v>1.87</v>
      </c>
      <c r="C63" s="60">
        <v>91.41</v>
      </c>
      <c r="D63" s="60">
        <v>51.94</v>
      </c>
      <c r="E63" s="60">
        <v>6.64</v>
      </c>
      <c r="F63" s="60">
        <v>5.65</v>
      </c>
      <c r="G63" s="60">
        <v>64.64</v>
      </c>
      <c r="H63" s="60">
        <v>36.630000000000003</v>
      </c>
      <c r="I63" s="60">
        <v>0.3</v>
      </c>
      <c r="J63" s="60">
        <v>1.31</v>
      </c>
      <c r="K63" s="60">
        <v>132.88</v>
      </c>
      <c r="L63" s="60">
        <v>26.9</v>
      </c>
      <c r="M63" s="60">
        <v>45</v>
      </c>
      <c r="N63" s="60">
        <v>208.6</v>
      </c>
      <c r="O63" s="60">
        <v>0</v>
      </c>
      <c r="P63" s="60">
        <v>0.88</v>
      </c>
      <c r="Q63" s="60">
        <v>92.12</v>
      </c>
      <c r="R63" s="198"/>
      <c r="S63" s="198"/>
      <c r="T63" s="198"/>
      <c r="U63" s="198"/>
    </row>
    <row r="64" spans="1:21" s="12" customFormat="1" x14ac:dyDescent="0.25">
      <c r="A64" s="201" t="s">
        <v>2991</v>
      </c>
      <c r="B64" s="60">
        <v>1.74</v>
      </c>
      <c r="C64" s="60">
        <v>89.47</v>
      </c>
      <c r="D64" s="60">
        <v>50.78</v>
      </c>
      <c r="E64" s="60">
        <v>6.44</v>
      </c>
      <c r="F64" s="60">
        <v>4.9400000000000004</v>
      </c>
      <c r="G64" s="60">
        <v>64.64</v>
      </c>
      <c r="H64" s="60">
        <v>36.630000000000003</v>
      </c>
      <c r="I64" s="60">
        <v>0.31</v>
      </c>
      <c r="J64" s="60">
        <v>0.98</v>
      </c>
      <c r="K64" s="60">
        <v>127.16</v>
      </c>
      <c r="L64" s="60">
        <v>28.03</v>
      </c>
      <c r="M64" s="60">
        <v>45</v>
      </c>
      <c r="N64" s="60">
        <v>219.7</v>
      </c>
      <c r="O64" s="60">
        <v>0</v>
      </c>
      <c r="P64" s="60">
        <v>0.86</v>
      </c>
      <c r="Q64" s="60">
        <v>93.98</v>
      </c>
      <c r="R64" s="198"/>
      <c r="S64" s="198"/>
      <c r="T64" s="198"/>
      <c r="U64" s="198"/>
    </row>
    <row r="65" spans="1:21" s="12" customFormat="1" x14ac:dyDescent="0.25">
      <c r="A65" s="201" t="s">
        <v>2992</v>
      </c>
      <c r="B65" s="60">
        <v>2.29</v>
      </c>
      <c r="C65" s="60">
        <v>88.29</v>
      </c>
      <c r="D65" s="60">
        <v>50.56</v>
      </c>
      <c r="E65" s="60">
        <v>5.33</v>
      </c>
      <c r="F65" s="60">
        <v>3.16</v>
      </c>
      <c r="G65" s="60">
        <v>62.88</v>
      </c>
      <c r="H65" s="60">
        <v>36.26</v>
      </c>
      <c r="I65" s="60">
        <v>0.3</v>
      </c>
      <c r="J65" s="60">
        <v>0.98</v>
      </c>
      <c r="K65" s="60">
        <v>122.69</v>
      </c>
      <c r="L65" s="60">
        <v>28.23</v>
      </c>
      <c r="M65" s="60">
        <v>66</v>
      </c>
      <c r="N65" s="60">
        <v>196.8</v>
      </c>
      <c r="O65" s="60">
        <v>0</v>
      </c>
      <c r="P65" s="60">
        <v>0.86</v>
      </c>
      <c r="Q65" s="60">
        <v>100.52</v>
      </c>
      <c r="R65" s="198"/>
      <c r="S65" s="198"/>
      <c r="T65" s="198"/>
      <c r="U65" s="198"/>
    </row>
    <row r="66" spans="1:21" s="12" customFormat="1" x14ac:dyDescent="0.25">
      <c r="A66" s="201" t="s">
        <v>2993</v>
      </c>
      <c r="B66" s="60">
        <v>2.84</v>
      </c>
      <c r="C66" s="60">
        <v>89.49</v>
      </c>
      <c r="D66" s="60">
        <v>51.66</v>
      </c>
      <c r="E66" s="60">
        <v>4.87</v>
      </c>
      <c r="F66" s="60">
        <v>2.84</v>
      </c>
      <c r="G66" s="60">
        <v>62.88</v>
      </c>
      <c r="H66" s="60">
        <v>36.19</v>
      </c>
      <c r="I66" s="60">
        <v>0.3</v>
      </c>
      <c r="J66" s="60">
        <v>0.78</v>
      </c>
      <c r="K66" s="60">
        <v>117.17</v>
      </c>
      <c r="L66" s="60">
        <v>29.08</v>
      </c>
      <c r="M66" s="60">
        <v>72</v>
      </c>
      <c r="N66" s="60">
        <v>130.5</v>
      </c>
      <c r="O66" s="60">
        <v>0</v>
      </c>
      <c r="P66" s="60">
        <v>0.86</v>
      </c>
      <c r="Q66" s="60">
        <v>101.66</v>
      </c>
      <c r="R66" s="198"/>
      <c r="S66" s="198"/>
      <c r="T66" s="198"/>
      <c r="U66" s="198"/>
    </row>
    <row r="67" spans="1:21" s="12" customFormat="1" x14ac:dyDescent="0.25">
      <c r="A67" s="201" t="s">
        <v>2994</v>
      </c>
      <c r="B67" s="60">
        <v>3.33</v>
      </c>
      <c r="C67" s="60">
        <v>89.64</v>
      </c>
      <c r="D67" s="60">
        <v>52.14</v>
      </c>
      <c r="E67" s="60">
        <v>4.8499999999999996</v>
      </c>
      <c r="F67" s="60">
        <v>3.8</v>
      </c>
      <c r="G67" s="60">
        <v>62.88</v>
      </c>
      <c r="H67" s="60">
        <v>36.19</v>
      </c>
      <c r="I67" s="60">
        <v>0.3</v>
      </c>
      <c r="J67" s="60">
        <v>0.89</v>
      </c>
      <c r="K67" s="60">
        <v>126.92</v>
      </c>
      <c r="L67" s="60">
        <v>27.83</v>
      </c>
      <c r="M67" s="60">
        <v>46</v>
      </c>
      <c r="N67" s="60">
        <v>64.900000000000006</v>
      </c>
      <c r="O67" s="60">
        <v>0</v>
      </c>
      <c r="P67" s="60">
        <v>0.86</v>
      </c>
      <c r="Q67" s="60">
        <v>101.11</v>
      </c>
      <c r="R67" s="198"/>
      <c r="S67" s="198"/>
      <c r="T67" s="198"/>
      <c r="U67" s="198"/>
    </row>
    <row r="68" spans="1:21" s="12" customFormat="1" x14ac:dyDescent="0.25">
      <c r="A68" s="201" t="s">
        <v>2995</v>
      </c>
      <c r="B68" s="60">
        <v>2.92</v>
      </c>
      <c r="C68" s="60">
        <v>89.62</v>
      </c>
      <c r="D68" s="60">
        <v>51.8</v>
      </c>
      <c r="E68" s="60">
        <v>6.11</v>
      </c>
      <c r="F68" s="60">
        <v>9.44</v>
      </c>
      <c r="G68" s="60">
        <v>62.88</v>
      </c>
      <c r="H68" s="60">
        <v>36.19</v>
      </c>
      <c r="I68" s="60">
        <v>0.31</v>
      </c>
      <c r="J68" s="60">
        <v>0.91</v>
      </c>
      <c r="K68" s="60">
        <v>128.03</v>
      </c>
      <c r="L68" s="60">
        <v>27.41</v>
      </c>
      <c r="M68" s="60">
        <v>38</v>
      </c>
      <c r="N68" s="60">
        <v>120.3</v>
      </c>
      <c r="O68" s="60">
        <v>0</v>
      </c>
      <c r="P68" s="60">
        <v>0.82</v>
      </c>
      <c r="Q68" s="60">
        <v>98.13</v>
      </c>
      <c r="R68" s="198"/>
      <c r="S68" s="198"/>
      <c r="T68" s="198"/>
      <c r="U68" s="198"/>
    </row>
    <row r="69" spans="1:21" s="12" customFormat="1" x14ac:dyDescent="0.25">
      <c r="A69" s="201" t="s">
        <v>2996</v>
      </c>
      <c r="B69" s="60">
        <v>1.89</v>
      </c>
      <c r="C69" s="60">
        <v>87.03</v>
      </c>
      <c r="D69" s="60">
        <v>49.55</v>
      </c>
      <c r="E69" s="60">
        <v>5.49</v>
      </c>
      <c r="F69" s="60">
        <v>5.56</v>
      </c>
      <c r="G69" s="60">
        <v>66.040000000000006</v>
      </c>
      <c r="H69" s="60">
        <v>35.24</v>
      </c>
      <c r="I69" s="60">
        <v>0.3</v>
      </c>
      <c r="J69" s="60">
        <v>1.03</v>
      </c>
      <c r="K69" s="60">
        <v>129.35</v>
      </c>
      <c r="L69" s="60">
        <v>27.06</v>
      </c>
      <c r="M69" s="60">
        <v>36</v>
      </c>
      <c r="N69" s="60">
        <v>82</v>
      </c>
      <c r="O69" s="60">
        <v>0</v>
      </c>
      <c r="P69" s="60">
        <v>0.8</v>
      </c>
      <c r="Q69" s="60">
        <v>94.89</v>
      </c>
      <c r="R69" s="198"/>
      <c r="S69" s="198"/>
      <c r="T69" s="198"/>
      <c r="U69" s="198"/>
    </row>
    <row r="70" spans="1:21" s="12" customFormat="1" x14ac:dyDescent="0.25">
      <c r="A70" s="201" t="s">
        <v>2997</v>
      </c>
      <c r="B70" s="60">
        <v>1.99</v>
      </c>
      <c r="C70" s="60">
        <v>85.37</v>
      </c>
      <c r="D70" s="60">
        <v>48.71</v>
      </c>
      <c r="E70" s="60">
        <v>4.3899999999999997</v>
      </c>
      <c r="F70" s="60">
        <v>4.08</v>
      </c>
      <c r="G70" s="60">
        <v>66.040000000000006</v>
      </c>
      <c r="H70" s="60">
        <v>35.07</v>
      </c>
      <c r="I70" s="60">
        <v>0.28000000000000003</v>
      </c>
      <c r="J70" s="60">
        <v>1.29</v>
      </c>
      <c r="K70" s="60">
        <v>132.28</v>
      </c>
      <c r="L70" s="60">
        <v>26.66</v>
      </c>
      <c r="M70" s="60">
        <v>40</v>
      </c>
      <c r="N70" s="60">
        <v>38.200000000000003</v>
      </c>
      <c r="O70" s="60">
        <v>0</v>
      </c>
      <c r="P70" s="60">
        <v>0.79</v>
      </c>
      <c r="Q70" s="60">
        <v>96.94</v>
      </c>
      <c r="R70" s="198"/>
      <c r="S70" s="198"/>
      <c r="T70" s="198"/>
      <c r="U70" s="198"/>
    </row>
    <row r="71" spans="1:21" s="12" customFormat="1" x14ac:dyDescent="0.25">
      <c r="A71" s="201" t="s">
        <v>2998</v>
      </c>
      <c r="B71" s="60">
        <v>2.94</v>
      </c>
      <c r="C71" s="60">
        <v>87.28</v>
      </c>
      <c r="D71" s="60">
        <v>50.53</v>
      </c>
      <c r="E71" s="60">
        <v>5.27</v>
      </c>
      <c r="F71" s="60">
        <v>4.41</v>
      </c>
      <c r="G71" s="60">
        <v>66.040000000000006</v>
      </c>
      <c r="H71" s="60">
        <v>35.07</v>
      </c>
      <c r="I71" s="60">
        <v>0.27</v>
      </c>
      <c r="J71" s="60">
        <v>0.68</v>
      </c>
      <c r="K71" s="60">
        <v>129.05000000000001</v>
      </c>
      <c r="L71" s="60">
        <v>26.91</v>
      </c>
      <c r="M71" s="60">
        <v>66</v>
      </c>
      <c r="N71" s="60">
        <v>6</v>
      </c>
      <c r="O71" s="60">
        <v>0</v>
      </c>
      <c r="P71" s="60">
        <v>0.78</v>
      </c>
      <c r="Q71" s="60">
        <v>99.59</v>
      </c>
      <c r="R71" s="198"/>
      <c r="S71" s="198"/>
      <c r="T71" s="198"/>
      <c r="U71" s="198"/>
    </row>
    <row r="72" spans="1:21" s="12" customFormat="1" x14ac:dyDescent="0.25">
      <c r="A72" s="201" t="s">
        <v>2999</v>
      </c>
      <c r="B72" s="60">
        <v>3.52</v>
      </c>
      <c r="C72" s="60">
        <v>90.5</v>
      </c>
      <c r="D72" s="60">
        <v>52.77</v>
      </c>
      <c r="E72" s="60">
        <v>2.65</v>
      </c>
      <c r="F72" s="60">
        <v>4.28</v>
      </c>
      <c r="G72" s="60">
        <v>66.040000000000006</v>
      </c>
      <c r="H72" s="60">
        <v>35.07</v>
      </c>
      <c r="I72" s="60">
        <v>0.28000000000000003</v>
      </c>
      <c r="J72" s="60">
        <v>1</v>
      </c>
      <c r="K72" s="60">
        <v>131.91</v>
      </c>
      <c r="L72" s="60">
        <v>26.51</v>
      </c>
      <c r="M72" s="60">
        <v>35</v>
      </c>
      <c r="N72" s="213" t="s">
        <v>35</v>
      </c>
      <c r="O72" s="60">
        <v>0</v>
      </c>
      <c r="P72" s="60">
        <v>0.78</v>
      </c>
      <c r="Q72" s="60">
        <v>103.13</v>
      </c>
      <c r="R72" s="198"/>
      <c r="S72" s="198"/>
      <c r="T72" s="198"/>
      <c r="U72" s="198"/>
    </row>
    <row r="73" spans="1:21" s="12" customFormat="1" x14ac:dyDescent="0.25">
      <c r="A73" s="201" t="s">
        <v>3000</v>
      </c>
      <c r="B73" s="60">
        <v>3.66</v>
      </c>
      <c r="C73" s="60">
        <v>90.93</v>
      </c>
      <c r="D73" s="60">
        <v>53.12</v>
      </c>
      <c r="E73" s="60">
        <v>7.14</v>
      </c>
      <c r="F73" s="60">
        <v>14.91</v>
      </c>
      <c r="G73" s="60">
        <v>55.41</v>
      </c>
      <c r="H73" s="60">
        <v>30.02</v>
      </c>
      <c r="I73" s="60">
        <v>0.28000000000000003</v>
      </c>
      <c r="J73" s="60">
        <v>0.79</v>
      </c>
      <c r="K73" s="60">
        <v>131.69</v>
      </c>
      <c r="L73" s="60">
        <v>26.3</v>
      </c>
      <c r="M73" s="60">
        <v>30</v>
      </c>
      <c r="N73" s="213" t="s">
        <v>35</v>
      </c>
      <c r="O73" s="60">
        <v>0</v>
      </c>
      <c r="P73" s="60">
        <v>0.77</v>
      </c>
      <c r="Q73" s="60">
        <v>108.18</v>
      </c>
      <c r="R73" s="198"/>
      <c r="S73" s="198"/>
      <c r="T73" s="198"/>
      <c r="U73" s="198"/>
    </row>
    <row r="74" spans="1:21" s="12" customFormat="1" x14ac:dyDescent="0.25">
      <c r="A74" s="201" t="s">
        <v>3001</v>
      </c>
      <c r="B74" s="60">
        <v>2.57</v>
      </c>
      <c r="C74" s="60">
        <v>82.09</v>
      </c>
      <c r="D74" s="60">
        <v>47.36</v>
      </c>
      <c r="E74" s="60">
        <v>11.39</v>
      </c>
      <c r="F74" s="60">
        <v>14.68</v>
      </c>
      <c r="G74" s="60">
        <v>55.41</v>
      </c>
      <c r="H74" s="60">
        <v>29.17</v>
      </c>
      <c r="I74" s="60">
        <v>0.28999999999999998</v>
      </c>
      <c r="J74" s="60">
        <v>0.34</v>
      </c>
      <c r="K74" s="60">
        <v>134.72</v>
      </c>
      <c r="L74" s="60">
        <v>26.09</v>
      </c>
      <c r="M74" s="60">
        <v>39</v>
      </c>
      <c r="N74" s="213" t="s">
        <v>35</v>
      </c>
      <c r="O74" s="60">
        <v>0</v>
      </c>
      <c r="P74" s="60">
        <v>0.91</v>
      </c>
      <c r="Q74" s="60">
        <v>101.06</v>
      </c>
      <c r="R74" s="198"/>
      <c r="S74" s="198"/>
      <c r="T74" s="198"/>
      <c r="U74" s="198"/>
    </row>
    <row r="75" spans="1:21" s="12" customFormat="1" x14ac:dyDescent="0.25">
      <c r="A75" s="201" t="s">
        <v>3002</v>
      </c>
      <c r="B75" s="60">
        <v>1.98</v>
      </c>
      <c r="C75" s="60">
        <v>78.83</v>
      </c>
      <c r="D75" s="60">
        <v>45.09</v>
      </c>
      <c r="E75" s="60">
        <v>12.23</v>
      </c>
      <c r="F75" s="60">
        <v>18.89</v>
      </c>
      <c r="G75" s="60">
        <v>55.41</v>
      </c>
      <c r="H75" s="60">
        <v>29.17</v>
      </c>
      <c r="I75" s="60">
        <v>0.27</v>
      </c>
      <c r="J75" s="60">
        <v>0.48</v>
      </c>
      <c r="K75" s="60">
        <v>138.97999999999999</v>
      </c>
      <c r="L75" s="60">
        <v>25.73</v>
      </c>
      <c r="M75" s="60">
        <v>33</v>
      </c>
      <c r="N75" s="213" t="s">
        <v>35</v>
      </c>
      <c r="O75" s="60">
        <v>0</v>
      </c>
      <c r="P75" s="60">
        <v>0.88</v>
      </c>
      <c r="Q75" s="60">
        <v>94.1</v>
      </c>
      <c r="R75" s="198"/>
      <c r="S75" s="198"/>
      <c r="T75" s="198"/>
      <c r="U75" s="198"/>
    </row>
    <row r="76" spans="1:21" s="12" customFormat="1" x14ac:dyDescent="0.25">
      <c r="A76" s="201" t="s">
        <v>3003</v>
      </c>
      <c r="B76" s="60">
        <v>1.48</v>
      </c>
      <c r="C76" s="60">
        <v>79.61</v>
      </c>
      <c r="D76" s="60">
        <v>45.13</v>
      </c>
      <c r="E76" s="60">
        <v>10.84</v>
      </c>
      <c r="F76" s="60">
        <v>18.86</v>
      </c>
      <c r="G76" s="60">
        <v>55.41</v>
      </c>
      <c r="H76" s="60">
        <v>29.17</v>
      </c>
      <c r="I76" s="60">
        <v>0.27</v>
      </c>
      <c r="J76" s="60">
        <v>0.26</v>
      </c>
      <c r="K76" s="60">
        <v>145.06</v>
      </c>
      <c r="L76" s="60">
        <v>25.21</v>
      </c>
      <c r="M76" s="60">
        <v>26</v>
      </c>
      <c r="N76" s="213" t="s">
        <v>35</v>
      </c>
      <c r="O76" s="60">
        <v>0</v>
      </c>
      <c r="P76" s="60">
        <v>0.87</v>
      </c>
      <c r="Q76" s="60">
        <v>91.19</v>
      </c>
      <c r="R76" s="198"/>
      <c r="S76" s="198"/>
      <c r="T76" s="198"/>
      <c r="U76" s="198"/>
    </row>
    <row r="77" spans="1:21" s="12" customFormat="1" x14ac:dyDescent="0.25">
      <c r="A77" s="201" t="s">
        <v>3004</v>
      </c>
      <c r="B77" s="60">
        <v>1.37</v>
      </c>
      <c r="C77" s="60">
        <v>77.63</v>
      </c>
      <c r="D77" s="60">
        <v>43.94</v>
      </c>
      <c r="E77" s="60">
        <v>11.62</v>
      </c>
      <c r="F77" s="60">
        <v>14.89</v>
      </c>
      <c r="G77" s="60">
        <v>60.23</v>
      </c>
      <c r="H77" s="60">
        <v>29.36</v>
      </c>
      <c r="I77" s="60">
        <v>0.26</v>
      </c>
      <c r="J77" s="60">
        <v>0.16</v>
      </c>
      <c r="K77" s="60">
        <v>154.32</v>
      </c>
      <c r="L77" s="60">
        <v>24.66</v>
      </c>
      <c r="M77" s="60">
        <v>32</v>
      </c>
      <c r="N77" s="213" t="s">
        <v>35</v>
      </c>
      <c r="O77" s="60">
        <v>0</v>
      </c>
      <c r="P77" s="60">
        <v>0.96</v>
      </c>
      <c r="Q77" s="60">
        <v>89.02</v>
      </c>
      <c r="R77" s="198"/>
      <c r="S77" s="198"/>
      <c r="T77" s="198"/>
      <c r="U77" s="198"/>
    </row>
    <row r="78" spans="1:21" s="12" customFormat="1" x14ac:dyDescent="0.25">
      <c r="A78" s="201" t="s">
        <v>3005</v>
      </c>
      <c r="B78" s="60">
        <v>2.11</v>
      </c>
      <c r="C78" s="60">
        <v>81.78</v>
      </c>
      <c r="D78" s="60">
        <v>46.83</v>
      </c>
      <c r="E78" s="60">
        <v>8.77</v>
      </c>
      <c r="F78" s="60">
        <v>4.0999999999999996</v>
      </c>
      <c r="G78" s="60">
        <v>60.23</v>
      </c>
      <c r="H78" s="60">
        <v>29.39</v>
      </c>
      <c r="I78" s="60">
        <v>0.27</v>
      </c>
      <c r="J78" s="60">
        <v>0.16</v>
      </c>
      <c r="K78" s="60">
        <v>171.56</v>
      </c>
      <c r="L78" s="60">
        <v>23.96</v>
      </c>
      <c r="M78" s="60">
        <v>37</v>
      </c>
      <c r="N78" s="213" t="s">
        <v>35</v>
      </c>
      <c r="O78" s="60">
        <v>0</v>
      </c>
      <c r="P78" s="60">
        <v>1.1399999999999999</v>
      </c>
      <c r="Q78" s="60">
        <v>89.24</v>
      </c>
      <c r="R78" s="198"/>
      <c r="S78" s="198"/>
      <c r="T78" s="198"/>
      <c r="U78" s="198"/>
    </row>
    <row r="79" spans="1:21" s="12" customFormat="1" x14ac:dyDescent="0.25">
      <c r="A79" s="201" t="s">
        <v>3006</v>
      </c>
      <c r="B79" s="60">
        <v>5.4</v>
      </c>
      <c r="C79" s="60">
        <v>94.04</v>
      </c>
      <c r="D79" s="60">
        <v>56.23</v>
      </c>
      <c r="E79" s="60">
        <v>4.55</v>
      </c>
      <c r="F79" s="60">
        <v>1.51</v>
      </c>
      <c r="G79" s="60">
        <v>60.23</v>
      </c>
      <c r="H79" s="60">
        <v>29.39</v>
      </c>
      <c r="I79" s="60">
        <v>0.31</v>
      </c>
      <c r="J79" s="60">
        <v>0.1</v>
      </c>
      <c r="K79" s="60">
        <v>189.61</v>
      </c>
      <c r="L79" s="60">
        <v>22.89</v>
      </c>
      <c r="M79" s="60">
        <v>13</v>
      </c>
      <c r="N79" s="213" t="s">
        <v>35</v>
      </c>
      <c r="O79" s="60">
        <v>0</v>
      </c>
      <c r="P79" s="60">
        <v>1.1499999999999999</v>
      </c>
      <c r="Q79" s="60">
        <v>94.06</v>
      </c>
      <c r="R79" s="198"/>
      <c r="S79" s="198"/>
      <c r="T79" s="198"/>
      <c r="U79" s="198"/>
    </row>
    <row r="80" spans="1:21" s="12" customFormat="1" x14ac:dyDescent="0.25">
      <c r="A80" s="201" t="s">
        <v>3007</v>
      </c>
      <c r="B80" s="60">
        <v>10.36</v>
      </c>
      <c r="C80" s="60">
        <v>100.97</v>
      </c>
      <c r="D80" s="60">
        <v>64.03</v>
      </c>
      <c r="E80" s="60">
        <v>3.55</v>
      </c>
      <c r="F80" s="60">
        <v>0.89</v>
      </c>
      <c r="G80" s="60">
        <v>60.23</v>
      </c>
      <c r="H80" s="60">
        <v>29.39</v>
      </c>
      <c r="I80" s="60">
        <v>0.38</v>
      </c>
      <c r="J80" s="60">
        <v>0.08</v>
      </c>
      <c r="K80" s="60">
        <v>205.92</v>
      </c>
      <c r="L80" s="60">
        <v>22.03</v>
      </c>
      <c r="M80" s="60">
        <v>47</v>
      </c>
      <c r="N80" s="213" t="s">
        <v>35</v>
      </c>
      <c r="O80" s="60">
        <v>0</v>
      </c>
      <c r="P80" s="60">
        <v>1.25</v>
      </c>
      <c r="Q80" s="60">
        <v>99.75</v>
      </c>
      <c r="R80" s="198"/>
      <c r="S80" s="198"/>
      <c r="T80" s="198"/>
      <c r="U80" s="198"/>
    </row>
    <row r="81" spans="1:26" s="12" customFormat="1" x14ac:dyDescent="0.25">
      <c r="A81" s="201" t="s">
        <v>3008</v>
      </c>
      <c r="B81" s="60">
        <v>14.7</v>
      </c>
      <c r="C81" s="60">
        <v>104.11</v>
      </c>
      <c r="D81" s="60">
        <v>69.25</v>
      </c>
      <c r="E81" s="60">
        <v>3.57</v>
      </c>
      <c r="F81" s="60">
        <v>0.76</v>
      </c>
      <c r="G81" s="60">
        <v>162.4</v>
      </c>
      <c r="H81" s="60">
        <v>34.83</v>
      </c>
      <c r="I81" s="60">
        <v>0.41</v>
      </c>
      <c r="J81" s="60">
        <v>0.08</v>
      </c>
      <c r="K81" s="60">
        <v>211.27</v>
      </c>
      <c r="L81" s="60">
        <v>21.48</v>
      </c>
      <c r="M81" s="60">
        <v>63</v>
      </c>
      <c r="N81" s="213" t="s">
        <v>35</v>
      </c>
      <c r="O81" s="60">
        <v>0</v>
      </c>
      <c r="P81" s="60">
        <v>1.37</v>
      </c>
      <c r="Q81" s="60">
        <v>101.11</v>
      </c>
      <c r="R81" s="198"/>
      <c r="S81" s="198"/>
      <c r="T81" s="198"/>
      <c r="U81" s="198"/>
    </row>
    <row r="82" spans="1:26" s="12" customFormat="1" x14ac:dyDescent="0.25">
      <c r="A82" s="201" t="s">
        <v>3009</v>
      </c>
      <c r="B82" s="60">
        <v>21.33</v>
      </c>
      <c r="C82" s="60">
        <v>108.55</v>
      </c>
      <c r="D82" s="60">
        <v>77.010000000000005</v>
      </c>
      <c r="E82" s="60">
        <v>3.88</v>
      </c>
      <c r="F82" s="60">
        <v>0.75</v>
      </c>
      <c r="G82" s="60">
        <v>162.4</v>
      </c>
      <c r="H82" s="60">
        <v>35.75</v>
      </c>
      <c r="I82" s="60">
        <v>0.45</v>
      </c>
      <c r="J82" s="60">
        <v>0.25</v>
      </c>
      <c r="K82" s="60">
        <v>229.67</v>
      </c>
      <c r="L82" s="60">
        <v>21.3</v>
      </c>
      <c r="M82" s="60">
        <v>79</v>
      </c>
      <c r="N82" s="213" t="s">
        <v>35</v>
      </c>
      <c r="O82" s="60">
        <v>0</v>
      </c>
      <c r="P82" s="60">
        <v>1.49</v>
      </c>
      <c r="Q82" s="60">
        <v>105.92</v>
      </c>
      <c r="R82" s="198"/>
      <c r="S82" s="198"/>
      <c r="T82" s="198"/>
      <c r="U82" s="198"/>
    </row>
    <row r="83" spans="1:26" s="12" customFormat="1" x14ac:dyDescent="0.25">
      <c r="A83" s="201" t="s">
        <v>3010</v>
      </c>
      <c r="B83" s="60">
        <v>28.89</v>
      </c>
      <c r="C83" s="60">
        <v>112.42</v>
      </c>
      <c r="D83" s="60">
        <v>85.2</v>
      </c>
      <c r="E83" s="60">
        <v>3.81</v>
      </c>
      <c r="F83" s="60">
        <v>0.75</v>
      </c>
      <c r="G83" s="60">
        <v>162.4</v>
      </c>
      <c r="H83" s="60">
        <v>35.75</v>
      </c>
      <c r="I83" s="60">
        <v>0.5</v>
      </c>
      <c r="J83" s="60">
        <v>0.26</v>
      </c>
      <c r="K83" s="60">
        <v>233.56</v>
      </c>
      <c r="L83" s="60">
        <v>21.04</v>
      </c>
      <c r="M83" s="60">
        <v>44</v>
      </c>
      <c r="N83" s="213" t="s">
        <v>35</v>
      </c>
      <c r="O83" s="60">
        <v>0</v>
      </c>
      <c r="P83" s="60">
        <v>1.7</v>
      </c>
      <c r="Q83" s="60">
        <v>111.35</v>
      </c>
      <c r="R83" s="198"/>
      <c r="S83" s="198"/>
      <c r="T83" s="198"/>
      <c r="U83" s="198"/>
    </row>
    <row r="84" spans="1:26" s="12" customFormat="1" x14ac:dyDescent="0.25">
      <c r="A84" s="201" t="s">
        <v>3011</v>
      </c>
      <c r="B84" s="60">
        <v>31.09</v>
      </c>
      <c r="C84" s="60">
        <v>113.26</v>
      </c>
      <c r="D84" s="60">
        <v>87.43</v>
      </c>
      <c r="E84" s="60">
        <v>3.99</v>
      </c>
      <c r="F84" s="60">
        <v>0.79</v>
      </c>
      <c r="G84" s="60">
        <v>162.4</v>
      </c>
      <c r="H84" s="60">
        <v>35.75</v>
      </c>
      <c r="I84" s="60">
        <v>0.56000000000000005</v>
      </c>
      <c r="J84" s="60">
        <v>0.3</v>
      </c>
      <c r="K84" s="60">
        <v>189.86</v>
      </c>
      <c r="L84" s="60">
        <v>22.06</v>
      </c>
      <c r="M84" s="60">
        <v>29</v>
      </c>
      <c r="N84" s="213" t="s">
        <v>35</v>
      </c>
      <c r="O84" s="60">
        <v>0</v>
      </c>
      <c r="P84" s="60">
        <v>1.82</v>
      </c>
      <c r="Q84" s="60">
        <v>114.49</v>
      </c>
      <c r="R84" s="198"/>
      <c r="S84" s="198"/>
      <c r="T84" s="198"/>
      <c r="U84" s="198"/>
    </row>
    <row r="85" spans="1:26" s="12" customFormat="1" x14ac:dyDescent="0.25">
      <c r="A85" s="201" t="s">
        <v>3012</v>
      </c>
      <c r="B85" s="60">
        <v>31.18</v>
      </c>
      <c r="C85" s="60">
        <v>113.01</v>
      </c>
      <c r="D85" s="60">
        <v>87.37</v>
      </c>
      <c r="E85" s="60">
        <v>4</v>
      </c>
      <c r="F85" s="60">
        <v>0.64</v>
      </c>
      <c r="G85" s="60">
        <v>160.72999999999999</v>
      </c>
      <c r="H85" s="60">
        <v>38.4</v>
      </c>
      <c r="I85" s="60">
        <v>0.62</v>
      </c>
      <c r="J85" s="60">
        <v>0.31</v>
      </c>
      <c r="K85" s="60">
        <v>187.45</v>
      </c>
      <c r="L85" s="60">
        <v>22.29</v>
      </c>
      <c r="M85" s="60">
        <v>27</v>
      </c>
      <c r="N85" s="213" t="s">
        <v>35</v>
      </c>
      <c r="O85" s="60">
        <v>0</v>
      </c>
      <c r="P85" s="60">
        <v>1.74</v>
      </c>
      <c r="Q85" s="60">
        <v>116.55</v>
      </c>
      <c r="R85" s="198"/>
      <c r="S85" s="198"/>
      <c r="T85" s="198"/>
      <c r="U85" s="198"/>
    </row>
    <row r="86" spans="1:26" s="12" customFormat="1" x14ac:dyDescent="0.25">
      <c r="A86" s="201" t="s">
        <v>3013</v>
      </c>
      <c r="B86" s="60">
        <v>32.090000000000003</v>
      </c>
      <c r="C86" s="60">
        <v>113.41</v>
      </c>
      <c r="D86" s="60">
        <v>88.32</v>
      </c>
      <c r="E86" s="60">
        <v>3.91</v>
      </c>
      <c r="F86" s="60">
        <v>0.55000000000000004</v>
      </c>
      <c r="G86" s="60">
        <v>160.72999999999999</v>
      </c>
      <c r="H86" s="60">
        <v>38.840000000000003</v>
      </c>
      <c r="I86" s="60">
        <v>0.67</v>
      </c>
      <c r="J86" s="60">
        <v>0.27</v>
      </c>
      <c r="K86" s="60">
        <v>190.64</v>
      </c>
      <c r="L86" s="60">
        <v>21.99</v>
      </c>
      <c r="M86" s="60">
        <v>26</v>
      </c>
      <c r="N86" s="213" t="s">
        <v>35</v>
      </c>
      <c r="O86" s="60">
        <v>0</v>
      </c>
      <c r="P86" s="60">
        <v>1.93</v>
      </c>
      <c r="Q86" s="60">
        <v>119.47</v>
      </c>
      <c r="R86" s="198"/>
      <c r="S86" s="198"/>
      <c r="T86" s="198"/>
      <c r="U86" s="198"/>
    </row>
    <row r="87" spans="1:26" s="12" customFormat="1" x14ac:dyDescent="0.25">
      <c r="A87" s="201" t="s">
        <v>3014</v>
      </c>
      <c r="B87" s="60">
        <v>32.26</v>
      </c>
      <c r="C87" s="60">
        <v>113.73</v>
      </c>
      <c r="D87" s="60">
        <v>88.64</v>
      </c>
      <c r="E87" s="60">
        <v>4.29</v>
      </c>
      <c r="F87" s="60">
        <v>0.89</v>
      </c>
      <c r="G87" s="60">
        <v>160.72999999999999</v>
      </c>
      <c r="H87" s="60">
        <v>38.840000000000003</v>
      </c>
      <c r="I87" s="60">
        <v>0.7</v>
      </c>
      <c r="J87" s="60">
        <v>0.37</v>
      </c>
      <c r="K87" s="60">
        <v>188.36</v>
      </c>
      <c r="L87" s="60">
        <v>21.96</v>
      </c>
      <c r="M87" s="60">
        <v>23</v>
      </c>
      <c r="N87" s="213" t="s">
        <v>35</v>
      </c>
      <c r="O87" s="60">
        <v>0</v>
      </c>
      <c r="P87" s="60">
        <v>2.0299999999999998</v>
      </c>
      <c r="Q87" s="60">
        <v>123.27</v>
      </c>
      <c r="R87" s="198"/>
      <c r="S87" s="198"/>
      <c r="T87" s="198"/>
      <c r="U87" s="198"/>
    </row>
    <row r="88" spans="1:26" s="12" customFormat="1" x14ac:dyDescent="0.25">
      <c r="A88" s="201" t="s">
        <v>3015</v>
      </c>
      <c r="B88" s="60">
        <v>31.32</v>
      </c>
      <c r="C88" s="60">
        <v>113.09</v>
      </c>
      <c r="D88" s="60">
        <v>87.52</v>
      </c>
      <c r="E88" s="60">
        <v>2.71</v>
      </c>
      <c r="F88" s="60">
        <v>0.95</v>
      </c>
      <c r="G88" s="60">
        <v>160.72999999999999</v>
      </c>
      <c r="H88" s="60">
        <v>38.840000000000003</v>
      </c>
      <c r="I88" s="60">
        <v>0.76</v>
      </c>
      <c r="J88" s="60">
        <v>0.28999999999999998</v>
      </c>
      <c r="K88" s="60">
        <v>192.91</v>
      </c>
      <c r="L88" s="60">
        <v>21.75</v>
      </c>
      <c r="M88" s="60">
        <v>24</v>
      </c>
      <c r="N88" s="213" t="s">
        <v>35</v>
      </c>
      <c r="O88" s="60">
        <v>0</v>
      </c>
      <c r="P88" s="60">
        <v>2.0699999999999998</v>
      </c>
      <c r="Q88" s="60">
        <v>127.04</v>
      </c>
      <c r="R88" s="198"/>
      <c r="S88" s="198"/>
      <c r="T88" s="198"/>
      <c r="U88" s="198"/>
    </row>
    <row r="89" spans="1:26" s="12" customFormat="1" x14ac:dyDescent="0.25">
      <c r="A89" s="201" t="s">
        <v>3016</v>
      </c>
      <c r="B89" s="60">
        <v>30.14</v>
      </c>
      <c r="C89" s="60">
        <v>112.58</v>
      </c>
      <c r="D89" s="60">
        <v>86.3</v>
      </c>
      <c r="E89" s="60">
        <v>4.54</v>
      </c>
      <c r="F89" s="60">
        <v>0.7</v>
      </c>
      <c r="G89" s="60">
        <v>129.74</v>
      </c>
      <c r="H89" s="60">
        <v>39.340000000000003</v>
      </c>
      <c r="I89" s="60">
        <v>0.81</v>
      </c>
      <c r="J89" s="60">
        <v>0.23</v>
      </c>
      <c r="K89" s="60">
        <v>200.71</v>
      </c>
      <c r="L89" s="60">
        <v>21.34</v>
      </c>
      <c r="M89" s="60">
        <v>27</v>
      </c>
      <c r="N89" s="213" t="s">
        <v>35</v>
      </c>
      <c r="O89" s="60">
        <v>0</v>
      </c>
      <c r="P89" s="60">
        <v>2.14</v>
      </c>
      <c r="Q89" s="60">
        <v>129.09</v>
      </c>
      <c r="R89" s="198"/>
      <c r="S89" s="198"/>
      <c r="T89" s="198"/>
      <c r="U89" s="198"/>
    </row>
    <row r="90" spans="1:26" s="12" customFormat="1" x14ac:dyDescent="0.25">
      <c r="A90" s="201" t="s">
        <v>3017</v>
      </c>
      <c r="B90" s="60">
        <v>29.4</v>
      </c>
      <c r="C90" s="60">
        <v>111.91</v>
      </c>
      <c r="D90" s="60">
        <v>85.34</v>
      </c>
      <c r="E90" s="60">
        <v>4.42</v>
      </c>
      <c r="F90" s="60">
        <v>0.48</v>
      </c>
      <c r="G90" s="60">
        <v>129.74</v>
      </c>
      <c r="H90" s="60">
        <v>39.42</v>
      </c>
      <c r="I90" s="60">
        <v>0.85</v>
      </c>
      <c r="J90" s="60">
        <v>0.14000000000000001</v>
      </c>
      <c r="K90" s="60">
        <v>212.03</v>
      </c>
      <c r="L90" s="60">
        <v>20.68</v>
      </c>
      <c r="M90" s="60">
        <v>54</v>
      </c>
      <c r="N90" s="213" t="s">
        <v>35</v>
      </c>
      <c r="O90" s="60">
        <v>0</v>
      </c>
      <c r="P90" s="60">
        <v>2.2000000000000002</v>
      </c>
      <c r="Q90" s="60">
        <v>130.97999999999999</v>
      </c>
      <c r="R90" s="198"/>
      <c r="S90" s="198"/>
      <c r="T90" s="198"/>
      <c r="U90" s="198"/>
    </row>
    <row r="91" spans="1:26" s="12" customFormat="1" x14ac:dyDescent="0.25">
      <c r="A91" s="201" t="s">
        <v>3018</v>
      </c>
      <c r="B91" s="60">
        <v>30.22</v>
      </c>
      <c r="C91" s="60">
        <v>112.29</v>
      </c>
      <c r="D91" s="60">
        <v>86.2</v>
      </c>
      <c r="E91" s="60">
        <v>4.5599999999999996</v>
      </c>
      <c r="F91" s="60">
        <v>0.69</v>
      </c>
      <c r="G91" s="60">
        <v>129.74</v>
      </c>
      <c r="H91" s="60">
        <v>39.42</v>
      </c>
      <c r="I91" s="60">
        <v>0.88</v>
      </c>
      <c r="J91" s="60">
        <v>0.2</v>
      </c>
      <c r="K91" s="60">
        <v>230.95</v>
      </c>
      <c r="L91" s="60">
        <v>20.05</v>
      </c>
      <c r="M91" s="60">
        <v>93</v>
      </c>
      <c r="N91" s="213" t="s">
        <v>35</v>
      </c>
      <c r="O91" s="60">
        <v>0</v>
      </c>
      <c r="P91" s="60">
        <v>2.29</v>
      </c>
      <c r="Q91" s="60">
        <v>132.93</v>
      </c>
      <c r="R91" s="198"/>
      <c r="S91" s="198"/>
      <c r="T91" s="198"/>
      <c r="U91" s="198"/>
    </row>
    <row r="92" spans="1:26" s="12" customFormat="1" x14ac:dyDescent="0.25">
      <c r="A92" s="201" t="s">
        <v>3019</v>
      </c>
      <c r="B92" s="60">
        <v>38.56</v>
      </c>
      <c r="C92" s="60">
        <v>116.35</v>
      </c>
      <c r="D92" s="60">
        <v>95.13</v>
      </c>
      <c r="E92" s="60">
        <v>4.84</v>
      </c>
      <c r="F92" s="60">
        <v>0.77</v>
      </c>
      <c r="G92" s="60">
        <v>129.74</v>
      </c>
      <c r="H92" s="60">
        <v>39.42</v>
      </c>
      <c r="I92" s="60">
        <v>0.93</v>
      </c>
      <c r="J92" s="60">
        <v>0.17</v>
      </c>
      <c r="K92" s="60">
        <v>235.27</v>
      </c>
      <c r="L92" s="60">
        <v>19.420000000000002</v>
      </c>
      <c r="M92" s="60">
        <v>82</v>
      </c>
      <c r="N92" s="213" t="s">
        <v>35</v>
      </c>
      <c r="O92" s="60">
        <v>0</v>
      </c>
      <c r="P92" s="60">
        <v>2.46</v>
      </c>
      <c r="Q92" s="60">
        <v>136.96</v>
      </c>
      <c r="R92" s="198"/>
      <c r="S92" s="198"/>
      <c r="T92" s="198"/>
      <c r="U92" s="198"/>
    </row>
    <row r="93" spans="1:26" s="12" customFormat="1" x14ac:dyDescent="0.25">
      <c r="A93" s="201" t="s">
        <v>3020</v>
      </c>
      <c r="B93" s="60">
        <v>47.58</v>
      </c>
      <c r="C93" s="60">
        <v>120.63</v>
      </c>
      <c r="D93" s="60">
        <v>104.73</v>
      </c>
      <c r="E93" s="60">
        <v>4.99</v>
      </c>
      <c r="F93" s="60">
        <v>0.75</v>
      </c>
      <c r="G93" s="60">
        <v>162.72</v>
      </c>
      <c r="H93" s="60">
        <v>44.23</v>
      </c>
      <c r="I93" s="60">
        <v>0.98</v>
      </c>
      <c r="J93" s="60">
        <v>0.14000000000000001</v>
      </c>
      <c r="K93" s="60">
        <v>242.89</v>
      </c>
      <c r="L93" s="60">
        <v>19.16</v>
      </c>
      <c r="M93" s="60">
        <v>90</v>
      </c>
      <c r="N93" s="213" t="s">
        <v>35</v>
      </c>
      <c r="O93" s="60">
        <v>0</v>
      </c>
      <c r="P93" s="60">
        <v>2.58</v>
      </c>
      <c r="Q93" s="60">
        <v>141</v>
      </c>
      <c r="R93" s="198"/>
      <c r="S93" s="198"/>
      <c r="T93" s="198"/>
      <c r="U93" s="198"/>
    </row>
    <row r="94" spans="1:26" s="12" customFormat="1" x14ac:dyDescent="0.25">
      <c r="A94" s="201" t="s">
        <v>3021</v>
      </c>
      <c r="B94" s="60">
        <v>56.67</v>
      </c>
      <c r="C94" s="60">
        <v>124.64</v>
      </c>
      <c r="D94" s="60">
        <v>114.23</v>
      </c>
      <c r="E94" s="60">
        <v>4.8499999999999996</v>
      </c>
      <c r="F94" s="60">
        <v>0.61</v>
      </c>
      <c r="G94" s="60">
        <v>162.72</v>
      </c>
      <c r="H94" s="60">
        <v>45.05</v>
      </c>
      <c r="I94" s="60">
        <v>1.06</v>
      </c>
      <c r="J94" s="60">
        <v>0.17</v>
      </c>
      <c r="K94" s="60">
        <v>238.49</v>
      </c>
      <c r="L94" s="60">
        <v>19.010000000000002</v>
      </c>
      <c r="M94" s="60">
        <v>41</v>
      </c>
      <c r="N94" s="213" t="s">
        <v>35</v>
      </c>
      <c r="O94" s="60">
        <v>0</v>
      </c>
      <c r="P94" s="60">
        <v>2.72</v>
      </c>
      <c r="Q94" s="60">
        <v>147.99</v>
      </c>
      <c r="R94" s="198"/>
      <c r="S94" s="198"/>
      <c r="T94" s="198"/>
      <c r="U94" s="198"/>
    </row>
    <row r="95" spans="1:26" s="12" customFormat="1" x14ac:dyDescent="0.25">
      <c r="A95" s="201" t="s">
        <v>3022</v>
      </c>
      <c r="B95" s="60">
        <v>63.49</v>
      </c>
      <c r="C95" s="60">
        <v>126.62</v>
      </c>
      <c r="D95" s="60">
        <v>120.79</v>
      </c>
      <c r="E95" s="60">
        <v>4.83</v>
      </c>
      <c r="F95" s="60">
        <v>0.72</v>
      </c>
      <c r="G95" s="60">
        <v>162.72</v>
      </c>
      <c r="H95" s="60">
        <v>45.05</v>
      </c>
      <c r="I95" s="60">
        <v>1.1200000000000001</v>
      </c>
      <c r="J95" s="60">
        <v>0.1</v>
      </c>
      <c r="K95" s="60">
        <v>236.24</v>
      </c>
      <c r="L95" s="60">
        <v>18.87</v>
      </c>
      <c r="M95" s="60">
        <v>83</v>
      </c>
      <c r="N95" s="213" t="s">
        <v>35</v>
      </c>
      <c r="O95" s="60">
        <v>0</v>
      </c>
      <c r="P95" s="60">
        <v>2.82</v>
      </c>
      <c r="Q95" s="60">
        <v>150.03</v>
      </c>
      <c r="R95" s="198"/>
      <c r="S95" s="198"/>
      <c r="T95" s="198"/>
      <c r="U95" s="198"/>
    </row>
    <row r="96" spans="1:26" s="12" customFormat="1" x14ac:dyDescent="0.25">
      <c r="A96" s="201" t="s">
        <v>3023</v>
      </c>
      <c r="B96" s="60">
        <v>66.510000000000005</v>
      </c>
      <c r="C96" s="60">
        <v>127.34</v>
      </c>
      <c r="D96" s="60">
        <v>123.61</v>
      </c>
      <c r="E96" s="60">
        <v>4.9000000000000004</v>
      </c>
      <c r="F96" s="60">
        <v>0.77</v>
      </c>
      <c r="G96" s="60">
        <v>162.72</v>
      </c>
      <c r="H96" s="60">
        <v>45.05</v>
      </c>
      <c r="I96" s="60">
        <v>1.17</v>
      </c>
      <c r="J96" s="60">
        <v>0.13</v>
      </c>
      <c r="K96" s="60">
        <v>232.72</v>
      </c>
      <c r="L96" s="60">
        <v>19.149999999999999</v>
      </c>
      <c r="M96" s="60">
        <v>73</v>
      </c>
      <c r="N96" s="213" t="s">
        <v>35</v>
      </c>
      <c r="O96" s="60">
        <v>0</v>
      </c>
      <c r="P96" s="60">
        <v>2.85</v>
      </c>
      <c r="Q96" s="60">
        <v>150.25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3024</v>
      </c>
      <c r="B97" s="60">
        <v>67.959999999999994</v>
      </c>
      <c r="C97" s="60">
        <v>127.32</v>
      </c>
      <c r="D97" s="60">
        <v>124.76</v>
      </c>
      <c r="E97" s="60">
        <v>4.68</v>
      </c>
      <c r="F97" s="60">
        <v>0.65</v>
      </c>
      <c r="G97" s="60">
        <v>187.76</v>
      </c>
      <c r="H97" s="60">
        <v>48.01</v>
      </c>
      <c r="I97" s="60">
        <v>1.2</v>
      </c>
      <c r="J97" s="60">
        <v>0.15</v>
      </c>
      <c r="K97" s="60">
        <v>240.25</v>
      </c>
      <c r="L97" s="60">
        <v>19.11</v>
      </c>
      <c r="M97" s="60">
        <v>82</v>
      </c>
      <c r="N97" s="213" t="s">
        <v>35</v>
      </c>
      <c r="O97" s="60">
        <v>0</v>
      </c>
      <c r="P97" s="60">
        <v>2.86</v>
      </c>
      <c r="Q97" s="60">
        <v>150.26</v>
      </c>
      <c r="R97" s="198"/>
      <c r="S97" s="198"/>
      <c r="T97" s="198"/>
      <c r="U97" s="198"/>
    </row>
    <row r="98" spans="1:33" s="12" customFormat="1" x14ac:dyDescent="0.25">
      <c r="A98" s="201" t="s">
        <v>3025</v>
      </c>
      <c r="B98" s="60">
        <v>70.92</v>
      </c>
      <c r="C98" s="60">
        <v>127.39</v>
      </c>
      <c r="D98" s="60">
        <v>127.17</v>
      </c>
      <c r="E98" s="60">
        <v>4.45</v>
      </c>
      <c r="F98" s="60">
        <v>0.72</v>
      </c>
      <c r="G98" s="60">
        <v>187.76</v>
      </c>
      <c r="H98" s="60">
        <v>48.51</v>
      </c>
      <c r="I98" s="60">
        <v>1.21</v>
      </c>
      <c r="J98" s="60">
        <v>0.17</v>
      </c>
      <c r="K98" s="60">
        <v>246.28</v>
      </c>
      <c r="L98" s="60">
        <v>18.62</v>
      </c>
      <c r="M98" s="60">
        <v>85</v>
      </c>
      <c r="N98" s="213" t="s">
        <v>35</v>
      </c>
      <c r="O98" s="60">
        <v>0</v>
      </c>
      <c r="P98" s="60">
        <v>2.93</v>
      </c>
      <c r="Q98" s="60">
        <v>151.41999999999999</v>
      </c>
      <c r="R98" s="198"/>
      <c r="S98" s="198"/>
      <c r="T98" s="198"/>
      <c r="U98" s="198"/>
    </row>
    <row r="99" spans="1:33" s="12" customFormat="1" x14ac:dyDescent="0.25">
      <c r="A99" s="201" t="s">
        <v>3026</v>
      </c>
      <c r="B99" s="60">
        <v>74.98</v>
      </c>
      <c r="C99" s="60">
        <v>128.08000000000001</v>
      </c>
      <c r="D99" s="60">
        <v>130.82</v>
      </c>
      <c r="E99" s="60">
        <v>5.22</v>
      </c>
      <c r="F99" s="60">
        <v>0.79</v>
      </c>
      <c r="G99" s="60">
        <v>187.76</v>
      </c>
      <c r="H99" s="60">
        <v>48.51</v>
      </c>
      <c r="I99" s="60">
        <v>1.22</v>
      </c>
      <c r="J99" s="60">
        <v>0.17</v>
      </c>
      <c r="K99" s="60">
        <v>256.36</v>
      </c>
      <c r="L99" s="60">
        <v>18.2</v>
      </c>
      <c r="M99" s="60">
        <v>76</v>
      </c>
      <c r="N99" s="213" t="s">
        <v>35</v>
      </c>
      <c r="O99" s="60">
        <v>0</v>
      </c>
      <c r="P99" s="60">
        <v>2.98</v>
      </c>
      <c r="Q99" s="60">
        <v>152.97999999999999</v>
      </c>
      <c r="R99" s="198"/>
      <c r="S99" s="198"/>
      <c r="T99" s="198"/>
      <c r="U99" s="198"/>
    </row>
    <row r="100" spans="1:33" s="12" customFormat="1" x14ac:dyDescent="0.25">
      <c r="A100" s="201" t="s">
        <v>3027</v>
      </c>
      <c r="B100" s="60">
        <v>76.45</v>
      </c>
      <c r="C100" s="60">
        <v>128.13999999999999</v>
      </c>
      <c r="D100" s="60">
        <v>132.03</v>
      </c>
      <c r="E100" s="60">
        <v>4.9400000000000004</v>
      </c>
      <c r="F100" s="60">
        <v>0.67</v>
      </c>
      <c r="G100" s="60">
        <v>187.76</v>
      </c>
      <c r="H100" s="60">
        <v>48.51</v>
      </c>
      <c r="I100" s="60">
        <v>1.23</v>
      </c>
      <c r="J100" s="60">
        <v>0.18</v>
      </c>
      <c r="K100" s="60">
        <v>252.94</v>
      </c>
      <c r="L100" s="60">
        <v>18.13</v>
      </c>
      <c r="M100" s="60">
        <v>78</v>
      </c>
      <c r="N100" s="213" t="s">
        <v>35</v>
      </c>
      <c r="O100" s="60">
        <v>0</v>
      </c>
      <c r="P100" s="60">
        <v>2.98</v>
      </c>
      <c r="Q100" s="60">
        <v>153.91999999999999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3028</v>
      </c>
      <c r="B101" s="60">
        <v>76.95</v>
      </c>
      <c r="C101" s="60">
        <v>128.35</v>
      </c>
      <c r="D101" s="60">
        <v>132.54</v>
      </c>
      <c r="E101" s="60">
        <v>4.8099999999999996</v>
      </c>
      <c r="F101" s="60">
        <v>0.63</v>
      </c>
      <c r="G101" s="60">
        <v>150.03</v>
      </c>
      <c r="H101" s="60">
        <v>48</v>
      </c>
      <c r="I101" s="60">
        <v>1.25</v>
      </c>
      <c r="J101" s="60">
        <v>0.21</v>
      </c>
      <c r="K101" s="60">
        <v>269.74</v>
      </c>
      <c r="L101" s="60">
        <v>17.91</v>
      </c>
      <c r="M101" s="60">
        <v>83</v>
      </c>
      <c r="N101" s="213" t="s">
        <v>35</v>
      </c>
      <c r="O101" s="60">
        <v>0</v>
      </c>
      <c r="P101" s="60">
        <v>2.99</v>
      </c>
      <c r="Q101" s="60">
        <v>154.31</v>
      </c>
      <c r="R101" s="198"/>
      <c r="S101" s="198"/>
      <c r="T101" s="198"/>
      <c r="U101" s="198"/>
    </row>
    <row r="102" spans="1:33" s="12" customFormat="1" x14ac:dyDescent="0.25">
      <c r="A102" s="201" t="s">
        <v>3029</v>
      </c>
      <c r="B102" s="60">
        <v>80.569999999999993</v>
      </c>
      <c r="C102" s="60">
        <v>128.96</v>
      </c>
      <c r="D102" s="60">
        <v>135.78</v>
      </c>
      <c r="E102" s="60">
        <v>5.0199999999999996</v>
      </c>
      <c r="F102" s="60">
        <v>0.64</v>
      </c>
      <c r="G102" s="60">
        <v>150.03</v>
      </c>
      <c r="H102" s="60">
        <v>47.91</v>
      </c>
      <c r="I102" s="60">
        <v>1.25</v>
      </c>
      <c r="J102" s="60">
        <v>0.16</v>
      </c>
      <c r="K102" s="60">
        <v>272.36</v>
      </c>
      <c r="L102" s="60">
        <v>17.559999999999999</v>
      </c>
      <c r="M102" s="60">
        <v>83</v>
      </c>
      <c r="N102" s="213" t="s">
        <v>35</v>
      </c>
      <c r="O102" s="60">
        <v>0</v>
      </c>
      <c r="P102" s="60">
        <v>3.07</v>
      </c>
      <c r="Q102" s="60">
        <v>156.85</v>
      </c>
      <c r="R102" s="198"/>
      <c r="S102" s="198"/>
      <c r="T102" s="198"/>
      <c r="U102" s="198"/>
    </row>
    <row r="103" spans="1:33" s="12" customFormat="1" x14ac:dyDescent="0.25">
      <c r="A103" s="201" t="s">
        <v>3030</v>
      </c>
      <c r="B103" s="60">
        <v>83.56</v>
      </c>
      <c r="C103" s="60">
        <v>129.41999999999999</v>
      </c>
      <c r="D103" s="60">
        <v>138.43</v>
      </c>
      <c r="E103" s="60">
        <v>5.31</v>
      </c>
      <c r="F103" s="60">
        <v>0.66</v>
      </c>
      <c r="G103" s="60">
        <v>150.03</v>
      </c>
      <c r="H103" s="60">
        <v>47.91</v>
      </c>
      <c r="I103" s="60">
        <v>1.26</v>
      </c>
      <c r="J103" s="60">
        <v>0.19</v>
      </c>
      <c r="K103" s="60">
        <v>268.45</v>
      </c>
      <c r="L103" s="60">
        <v>17.86</v>
      </c>
      <c r="M103" s="60">
        <v>73</v>
      </c>
      <c r="N103" s="213" t="s">
        <v>35</v>
      </c>
      <c r="O103" s="60">
        <v>0</v>
      </c>
      <c r="P103" s="60">
        <v>3.1</v>
      </c>
      <c r="Q103" s="60">
        <v>158.85</v>
      </c>
      <c r="R103" s="198"/>
      <c r="S103" s="198"/>
      <c r="T103" s="198"/>
      <c r="U103" s="198"/>
    </row>
    <row r="104" spans="1:33" s="12" customFormat="1" x14ac:dyDescent="0.25">
      <c r="A104" s="201" t="s">
        <v>3031</v>
      </c>
      <c r="B104" s="60">
        <v>86.56</v>
      </c>
      <c r="C104" s="60">
        <v>129.26</v>
      </c>
      <c r="D104" s="60">
        <v>140.75</v>
      </c>
      <c r="E104" s="60">
        <v>2.67</v>
      </c>
      <c r="F104" s="60">
        <v>0.61</v>
      </c>
      <c r="G104" s="60">
        <v>150.03</v>
      </c>
      <c r="H104" s="60">
        <v>47.91</v>
      </c>
      <c r="I104" s="60">
        <v>1.28</v>
      </c>
      <c r="J104" s="60">
        <v>0.2</v>
      </c>
      <c r="K104" s="60">
        <v>268.61</v>
      </c>
      <c r="L104" s="60">
        <v>17.809999999999999</v>
      </c>
      <c r="M104" s="60">
        <v>79</v>
      </c>
      <c r="N104" s="213" t="s">
        <v>35</v>
      </c>
      <c r="O104" s="60">
        <v>0</v>
      </c>
      <c r="P104" s="60">
        <v>3.1</v>
      </c>
      <c r="Q104" s="60">
        <v>160.21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1.37</v>
      </c>
      <c r="C106" s="67">
        <f>MIN(C9:C104)</f>
        <v>77.63</v>
      </c>
      <c r="D106" s="67">
        <f t="shared" ref="D106:Q106" si="0">MIN(D9:D104)</f>
        <v>43.94</v>
      </c>
      <c r="E106" s="67">
        <f t="shared" si="0"/>
        <v>2.4500000000000002</v>
      </c>
      <c r="F106" s="67">
        <f t="shared" si="0"/>
        <v>0.48</v>
      </c>
      <c r="G106" s="67">
        <f t="shared" si="0"/>
        <v>55.41</v>
      </c>
      <c r="H106" s="67">
        <f t="shared" si="0"/>
        <v>29.17</v>
      </c>
      <c r="I106" s="67">
        <f t="shared" si="0"/>
        <v>0.26</v>
      </c>
      <c r="J106" s="67">
        <f t="shared" si="0"/>
        <v>0.08</v>
      </c>
      <c r="K106" s="67">
        <f t="shared" si="0"/>
        <v>117.17</v>
      </c>
      <c r="L106" s="67">
        <f t="shared" si="0"/>
        <v>15.05</v>
      </c>
      <c r="M106" s="67">
        <f t="shared" si="0"/>
        <v>13</v>
      </c>
      <c r="N106" s="67">
        <f t="shared" si="0"/>
        <v>0.2</v>
      </c>
      <c r="O106" s="67">
        <f t="shared" si="0"/>
        <v>0</v>
      </c>
      <c r="P106" s="67">
        <f t="shared" si="0"/>
        <v>0.77</v>
      </c>
      <c r="Q106" s="67">
        <f t="shared" si="0"/>
        <v>86.98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137.99</v>
      </c>
      <c r="C107" s="66">
        <f t="shared" ref="C107:Q107" si="1">MAX(C9:C104)</f>
        <v>253.39</v>
      </c>
      <c r="D107" s="66">
        <f t="shared" si="1"/>
        <v>250.5</v>
      </c>
      <c r="E107" s="66">
        <f t="shared" si="1"/>
        <v>12.23</v>
      </c>
      <c r="F107" s="66">
        <f t="shared" si="1"/>
        <v>18.89</v>
      </c>
      <c r="G107" s="66">
        <f t="shared" si="1"/>
        <v>187.76</v>
      </c>
      <c r="H107" s="66">
        <f t="shared" si="1"/>
        <v>48.87</v>
      </c>
      <c r="I107" s="66">
        <f t="shared" si="1"/>
        <v>1.62</v>
      </c>
      <c r="J107" s="66">
        <f t="shared" si="1"/>
        <v>1.55</v>
      </c>
      <c r="K107" s="66">
        <f t="shared" si="1"/>
        <v>310.41000000000003</v>
      </c>
      <c r="L107" s="66">
        <f t="shared" si="1"/>
        <v>29.33</v>
      </c>
      <c r="M107" s="66">
        <f t="shared" si="1"/>
        <v>101</v>
      </c>
      <c r="N107" s="66">
        <f t="shared" si="1"/>
        <v>436.8</v>
      </c>
      <c r="O107" s="66">
        <f t="shared" si="1"/>
        <v>0</v>
      </c>
      <c r="P107" s="66">
        <f t="shared" si="1"/>
        <v>3.72</v>
      </c>
      <c r="Q107" s="66">
        <f t="shared" si="1"/>
        <v>399.06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45.074479166666656</v>
      </c>
      <c r="C108" s="67">
        <f t="shared" ref="C108:Q108" si="2">AVERAGE(C9:C104)</f>
        <v>134.06677083333338</v>
      </c>
      <c r="D108" s="67">
        <f t="shared" si="2"/>
        <v>110.13447916666671</v>
      </c>
      <c r="E108" s="67">
        <f t="shared" si="2"/>
        <v>5.5060416666666656</v>
      </c>
      <c r="F108" s="67">
        <f t="shared" si="2"/>
        <v>2.6271874999999993</v>
      </c>
      <c r="G108" s="67">
        <f t="shared" si="2"/>
        <v>113.76729166666661</v>
      </c>
      <c r="H108" s="67">
        <f t="shared" si="2"/>
        <v>41.946770833333368</v>
      </c>
      <c r="I108" s="67">
        <f t="shared" si="2"/>
        <v>0.82906250000000015</v>
      </c>
      <c r="J108" s="67">
        <f t="shared" si="2"/>
        <v>0.48041666666666655</v>
      </c>
      <c r="K108" s="67">
        <f t="shared" si="2"/>
        <v>214.13489583333333</v>
      </c>
      <c r="L108" s="67">
        <f t="shared" si="2"/>
        <v>21.286250000000003</v>
      </c>
      <c r="M108" s="67">
        <f t="shared" si="2"/>
        <v>57.052083333333336</v>
      </c>
      <c r="N108" s="67">
        <f t="shared" si="2"/>
        <v>136.16190476190474</v>
      </c>
      <c r="O108" s="67">
        <f t="shared" si="2"/>
        <v>0</v>
      </c>
      <c r="P108" s="67">
        <f t="shared" si="2"/>
        <v>2.0505208333333331</v>
      </c>
      <c r="Q108" s="67">
        <f t="shared" si="2"/>
        <v>204.96363636363628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41.559551663398871</v>
      </c>
      <c r="C109" s="67">
        <f t="shared" ref="C109:Q109" si="3">STDEV(C9:C104)</f>
        <v>42.670919827634428</v>
      </c>
      <c r="D109" s="67">
        <f t="shared" si="3"/>
        <v>55.627523646970715</v>
      </c>
      <c r="E109" s="67">
        <f t="shared" si="3"/>
        <v>1.7664352918663289</v>
      </c>
      <c r="F109" s="67">
        <f t="shared" si="3"/>
        <v>3.9285427064055995</v>
      </c>
      <c r="G109" s="67">
        <f t="shared" si="3"/>
        <v>38.269437922492635</v>
      </c>
      <c r="H109" s="67">
        <f t="shared" si="3"/>
        <v>5.9209635586378342</v>
      </c>
      <c r="I109" s="67">
        <f t="shared" si="3"/>
        <v>0.41250729658618407</v>
      </c>
      <c r="J109" s="67">
        <f t="shared" si="3"/>
        <v>0.38028774885581634</v>
      </c>
      <c r="K109" s="67">
        <f t="shared" si="3"/>
        <v>65.614082634667724</v>
      </c>
      <c r="L109" s="67">
        <f t="shared" si="3"/>
        <v>4.780781096718079</v>
      </c>
      <c r="M109" s="67">
        <f t="shared" si="3"/>
        <v>22.059903989706925</v>
      </c>
      <c r="N109" s="67">
        <f t="shared" si="3"/>
        <v>150.09615673720998</v>
      </c>
      <c r="O109" s="67">
        <f t="shared" si="3"/>
        <v>0</v>
      </c>
      <c r="P109" s="67">
        <f t="shared" si="3"/>
        <v>0.85147719293456081</v>
      </c>
      <c r="Q109" s="67">
        <f t="shared" si="3"/>
        <v>101.79601788817317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COUNT(N9:N104)+33</f>
        <v>96</v>
      </c>
      <c r="O110" s="66">
        <f t="shared" si="4"/>
        <v>96</v>
      </c>
      <c r="P110" s="66">
        <f t="shared" si="4"/>
        <v>96</v>
      </c>
      <c r="Q110" s="66">
        <f t="shared" si="4"/>
        <v>88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O2" s="104"/>
      <c r="P2" s="105" t="s">
        <v>34</v>
      </c>
      <c r="Q2" s="104"/>
      <c r="R2" s="9" t="s">
        <v>35</v>
      </c>
      <c r="S2" s="12"/>
      <c r="T2" s="12"/>
      <c r="U2" s="12"/>
    </row>
    <row r="3" spans="1:21" x14ac:dyDescent="0.25">
      <c r="A3" s="15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28"/>
      <c r="J3" s="28"/>
      <c r="K3" s="12"/>
      <c r="L3" s="11" t="s">
        <v>40</v>
      </c>
      <c r="M3" s="13"/>
      <c r="N3" s="6" t="s">
        <v>41</v>
      </c>
      <c r="O3" s="13"/>
      <c r="P3" s="105" t="s">
        <v>42</v>
      </c>
      <c r="Q3" s="13"/>
      <c r="R3" s="10" t="s">
        <v>42</v>
      </c>
      <c r="S3" s="12"/>
      <c r="T3" s="12"/>
      <c r="U3" s="12"/>
    </row>
    <row r="4" spans="1:21" x14ac:dyDescent="0.25">
      <c r="A4" s="15" t="s">
        <v>43</v>
      </c>
      <c r="B4" s="13" t="s">
        <v>44</v>
      </c>
      <c r="C4" s="12"/>
      <c r="D4" s="11" t="s">
        <v>45</v>
      </c>
      <c r="E4" s="11"/>
      <c r="F4" s="11"/>
      <c r="G4" s="5" t="s">
        <v>46</v>
      </c>
      <c r="H4" s="28"/>
      <c r="I4" s="28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212" t="s">
        <v>50</v>
      </c>
      <c r="R8" s="196"/>
      <c r="S8" s="197"/>
      <c r="T8" s="196"/>
      <c r="U8" s="196"/>
    </row>
    <row r="9" spans="1:21" s="12" customFormat="1" x14ac:dyDescent="0.25">
      <c r="A9" s="201" t="s">
        <v>3032</v>
      </c>
      <c r="B9" s="60">
        <v>88.18</v>
      </c>
      <c r="C9" s="60">
        <v>127.89</v>
      </c>
      <c r="D9" s="60">
        <v>141.29</v>
      </c>
      <c r="E9" s="60">
        <v>5.0199999999999996</v>
      </c>
      <c r="F9" s="60">
        <v>0.56000000000000005</v>
      </c>
      <c r="G9" s="60">
        <v>159.74</v>
      </c>
      <c r="H9" s="60">
        <v>48.57</v>
      </c>
      <c r="I9" s="60">
        <v>1.29</v>
      </c>
      <c r="J9" s="60">
        <v>0.2</v>
      </c>
      <c r="K9" s="60">
        <v>272.25</v>
      </c>
      <c r="L9" s="60">
        <v>17.47</v>
      </c>
      <c r="M9" s="60">
        <v>78</v>
      </c>
      <c r="N9" s="213" t="s">
        <v>35</v>
      </c>
      <c r="O9" s="60">
        <v>0</v>
      </c>
      <c r="P9" s="60">
        <v>3.05</v>
      </c>
      <c r="Q9" s="60">
        <v>160.54</v>
      </c>
      <c r="R9" s="198"/>
      <c r="S9" s="198"/>
      <c r="T9" s="198"/>
      <c r="U9" s="198"/>
    </row>
    <row r="10" spans="1:21" s="12" customFormat="1" x14ac:dyDescent="0.25">
      <c r="A10" s="201" t="s">
        <v>3033</v>
      </c>
      <c r="B10" s="60">
        <v>85.26</v>
      </c>
      <c r="C10" s="60">
        <v>123.31</v>
      </c>
      <c r="D10" s="60">
        <v>136.41999999999999</v>
      </c>
      <c r="E10" s="60">
        <v>4.96</v>
      </c>
      <c r="F10" s="60">
        <v>0.48</v>
      </c>
      <c r="G10" s="60">
        <v>159.74</v>
      </c>
      <c r="H10" s="60">
        <v>48.68</v>
      </c>
      <c r="I10" s="60">
        <v>1.3</v>
      </c>
      <c r="J10" s="60">
        <v>0.19</v>
      </c>
      <c r="K10" s="60">
        <v>283.02999999999997</v>
      </c>
      <c r="L10" s="60">
        <v>17.14</v>
      </c>
      <c r="M10" s="60">
        <v>83</v>
      </c>
      <c r="N10" s="213" t="s">
        <v>35</v>
      </c>
      <c r="O10" s="60">
        <v>0</v>
      </c>
      <c r="P10" s="60">
        <v>2.98</v>
      </c>
      <c r="Q10" s="60">
        <v>158.82</v>
      </c>
      <c r="R10" s="198"/>
      <c r="S10" s="198"/>
      <c r="T10" s="198"/>
      <c r="U10" s="198"/>
    </row>
    <row r="11" spans="1:21" s="12" customFormat="1" x14ac:dyDescent="0.25">
      <c r="A11" s="201" t="s">
        <v>3034</v>
      </c>
      <c r="B11" s="60">
        <v>82.43</v>
      </c>
      <c r="C11" s="60">
        <v>119.38</v>
      </c>
      <c r="D11" s="60">
        <v>131.99</v>
      </c>
      <c r="E11" s="60">
        <v>4.75</v>
      </c>
      <c r="F11" s="60">
        <v>0.51</v>
      </c>
      <c r="G11" s="60">
        <v>159.74</v>
      </c>
      <c r="H11" s="60">
        <v>48.68</v>
      </c>
      <c r="I11" s="60">
        <v>1.3</v>
      </c>
      <c r="J11" s="60">
        <v>0.16</v>
      </c>
      <c r="K11" s="60">
        <v>293.16000000000003</v>
      </c>
      <c r="L11" s="60">
        <v>16.739999999999998</v>
      </c>
      <c r="M11" s="60">
        <v>88</v>
      </c>
      <c r="N11" s="213" t="s">
        <v>35</v>
      </c>
      <c r="O11" s="60">
        <v>0</v>
      </c>
      <c r="P11" s="60">
        <v>2.93</v>
      </c>
      <c r="Q11" s="60">
        <v>156.71</v>
      </c>
      <c r="R11" s="198"/>
      <c r="S11" s="198"/>
      <c r="T11" s="198"/>
      <c r="U11" s="198"/>
    </row>
    <row r="12" spans="1:21" s="12" customFormat="1" x14ac:dyDescent="0.25">
      <c r="A12" s="201" t="s">
        <v>3035</v>
      </c>
      <c r="B12" s="60">
        <v>82.67</v>
      </c>
      <c r="C12" s="60">
        <v>116.62</v>
      </c>
      <c r="D12" s="60">
        <v>130.65</v>
      </c>
      <c r="E12" s="60">
        <v>4.97</v>
      </c>
      <c r="F12" s="60">
        <v>0.42</v>
      </c>
      <c r="G12" s="60">
        <v>159.74</v>
      </c>
      <c r="H12" s="60">
        <v>48.68</v>
      </c>
      <c r="I12" s="60">
        <v>1.27</v>
      </c>
      <c r="J12" s="60">
        <v>0.22</v>
      </c>
      <c r="K12" s="60">
        <v>296.81</v>
      </c>
      <c r="L12" s="60">
        <v>16.7</v>
      </c>
      <c r="M12" s="60">
        <v>63</v>
      </c>
      <c r="N12" s="213" t="s">
        <v>35</v>
      </c>
      <c r="O12" s="60">
        <v>0</v>
      </c>
      <c r="P12" s="60">
        <v>2.89</v>
      </c>
      <c r="Q12" s="60">
        <v>157.30000000000001</v>
      </c>
      <c r="R12" s="198"/>
      <c r="S12" s="198"/>
      <c r="T12" s="198"/>
      <c r="U12" s="198"/>
    </row>
    <row r="13" spans="1:21" s="12" customFormat="1" x14ac:dyDescent="0.25">
      <c r="A13" s="201" t="s">
        <v>3036</v>
      </c>
      <c r="B13" s="60">
        <v>82.59</v>
      </c>
      <c r="C13" s="60">
        <v>113.69</v>
      </c>
      <c r="D13" s="60">
        <v>128.97</v>
      </c>
      <c r="E13" s="60">
        <v>5.15</v>
      </c>
      <c r="F13" s="60">
        <v>0.69</v>
      </c>
      <c r="G13" s="60">
        <v>132.97999999999999</v>
      </c>
      <c r="H13" s="60">
        <v>47.84</v>
      </c>
      <c r="I13" s="60">
        <v>1.25</v>
      </c>
      <c r="J13" s="60">
        <v>0.22</v>
      </c>
      <c r="K13" s="60">
        <v>294.97000000000003</v>
      </c>
      <c r="L13" s="60">
        <v>16.809999999999999</v>
      </c>
      <c r="M13" s="60">
        <v>77</v>
      </c>
      <c r="N13" s="213" t="s">
        <v>35</v>
      </c>
      <c r="O13" s="60">
        <v>0</v>
      </c>
      <c r="P13" s="60">
        <v>2.77</v>
      </c>
      <c r="Q13" s="60">
        <v>155.63999999999999</v>
      </c>
      <c r="R13" s="198"/>
      <c r="S13" s="198"/>
      <c r="T13" s="198"/>
      <c r="U13" s="198"/>
    </row>
    <row r="14" spans="1:21" s="12" customFormat="1" x14ac:dyDescent="0.25">
      <c r="A14" s="201" t="s">
        <v>3037</v>
      </c>
      <c r="B14" s="60">
        <v>81.27</v>
      </c>
      <c r="C14" s="60">
        <v>111.16</v>
      </c>
      <c r="D14" s="60">
        <v>126.52</v>
      </c>
      <c r="E14" s="60">
        <v>4.9400000000000004</v>
      </c>
      <c r="F14" s="60">
        <v>0.84</v>
      </c>
      <c r="G14" s="60">
        <v>132.97999999999999</v>
      </c>
      <c r="H14" s="60">
        <v>47.69</v>
      </c>
      <c r="I14" s="60">
        <v>1.24</v>
      </c>
      <c r="J14" s="60">
        <v>0.22</v>
      </c>
      <c r="K14" s="60">
        <v>300.05</v>
      </c>
      <c r="L14" s="60">
        <v>16.600000000000001</v>
      </c>
      <c r="M14" s="60">
        <v>76</v>
      </c>
      <c r="N14" s="213" t="s">
        <v>35</v>
      </c>
      <c r="O14" s="60">
        <v>0</v>
      </c>
      <c r="P14" s="60">
        <v>2.82</v>
      </c>
      <c r="Q14" s="60">
        <v>154.1</v>
      </c>
      <c r="R14" s="198"/>
      <c r="S14" s="198"/>
      <c r="T14" s="198"/>
      <c r="U14" s="198"/>
    </row>
    <row r="15" spans="1:21" s="12" customFormat="1" x14ac:dyDescent="0.25">
      <c r="A15" s="201" t="s">
        <v>3038</v>
      </c>
      <c r="B15" s="60">
        <v>78.739999999999995</v>
      </c>
      <c r="C15" s="60">
        <v>108.45</v>
      </c>
      <c r="D15" s="60">
        <v>122.99</v>
      </c>
      <c r="E15" s="60">
        <v>4.63</v>
      </c>
      <c r="F15" s="60">
        <v>0.83</v>
      </c>
      <c r="G15" s="60">
        <v>132.97999999999999</v>
      </c>
      <c r="H15" s="60">
        <v>47.69</v>
      </c>
      <c r="I15" s="60">
        <v>1.23</v>
      </c>
      <c r="J15" s="60">
        <v>0.16</v>
      </c>
      <c r="K15" s="60">
        <v>296.87</v>
      </c>
      <c r="L15" s="60">
        <v>16.77</v>
      </c>
      <c r="M15" s="60">
        <v>67</v>
      </c>
      <c r="N15" s="213" t="s">
        <v>35</v>
      </c>
      <c r="O15" s="60">
        <v>0</v>
      </c>
      <c r="P15" s="60">
        <v>2.78</v>
      </c>
      <c r="Q15" s="60">
        <v>152.91</v>
      </c>
      <c r="R15" s="198"/>
      <c r="S15" s="198"/>
      <c r="T15" s="198"/>
      <c r="U15" s="198"/>
    </row>
    <row r="16" spans="1:21" s="12" customFormat="1" x14ac:dyDescent="0.25">
      <c r="A16" s="201" t="s">
        <v>3039</v>
      </c>
      <c r="B16" s="60">
        <v>75.27</v>
      </c>
      <c r="C16" s="60">
        <v>106.39</v>
      </c>
      <c r="D16" s="60">
        <v>119.07</v>
      </c>
      <c r="E16" s="60">
        <v>4.9000000000000004</v>
      </c>
      <c r="F16" s="60">
        <v>0.64</v>
      </c>
      <c r="G16" s="60">
        <v>132.97999999999999</v>
      </c>
      <c r="H16" s="60">
        <v>47.69</v>
      </c>
      <c r="I16" s="60">
        <v>1.21</v>
      </c>
      <c r="J16" s="60">
        <v>0.12</v>
      </c>
      <c r="K16" s="60">
        <v>284.56</v>
      </c>
      <c r="L16" s="60">
        <v>16.920000000000002</v>
      </c>
      <c r="M16" s="60">
        <v>76</v>
      </c>
      <c r="N16" s="213" t="s">
        <v>35</v>
      </c>
      <c r="O16" s="60">
        <v>0</v>
      </c>
      <c r="P16" s="60">
        <v>2.75</v>
      </c>
      <c r="Q16" s="60">
        <v>151.82</v>
      </c>
      <c r="R16" s="198"/>
      <c r="S16" s="198"/>
      <c r="T16" s="198"/>
      <c r="U16" s="198"/>
    </row>
    <row r="17" spans="1:21" s="12" customFormat="1" x14ac:dyDescent="0.25">
      <c r="A17" s="201" t="s">
        <v>3040</v>
      </c>
      <c r="B17" s="60">
        <v>71.739999999999995</v>
      </c>
      <c r="C17" s="60">
        <v>104.53</v>
      </c>
      <c r="D17" s="60">
        <v>115.22</v>
      </c>
      <c r="E17" s="60">
        <v>4.8899999999999997</v>
      </c>
      <c r="F17" s="60">
        <v>0.56999999999999995</v>
      </c>
      <c r="G17" s="60">
        <v>119.43</v>
      </c>
      <c r="H17" s="60">
        <v>48.8</v>
      </c>
      <c r="I17" s="60">
        <v>1.19</v>
      </c>
      <c r="J17" s="60">
        <v>0.15</v>
      </c>
      <c r="K17" s="60">
        <v>283.89999999999998</v>
      </c>
      <c r="L17" s="60">
        <v>16.78</v>
      </c>
      <c r="M17" s="60">
        <v>68</v>
      </c>
      <c r="N17" s="213" t="s">
        <v>35</v>
      </c>
      <c r="O17" s="60">
        <v>0</v>
      </c>
      <c r="P17" s="60">
        <v>2.72</v>
      </c>
      <c r="Q17" s="60">
        <v>150.13999999999999</v>
      </c>
      <c r="R17" s="198"/>
      <c r="S17" s="198"/>
      <c r="T17" s="198"/>
      <c r="U17" s="198"/>
    </row>
    <row r="18" spans="1:21" s="12" customFormat="1" x14ac:dyDescent="0.25">
      <c r="A18" s="201" t="s">
        <v>3041</v>
      </c>
      <c r="B18" s="60">
        <v>68.540000000000006</v>
      </c>
      <c r="C18" s="60">
        <v>102.86</v>
      </c>
      <c r="D18" s="60">
        <v>111.73</v>
      </c>
      <c r="E18" s="60">
        <v>4.8499999999999996</v>
      </c>
      <c r="F18" s="60">
        <v>0.6</v>
      </c>
      <c r="G18" s="60">
        <v>119.43</v>
      </c>
      <c r="H18" s="60">
        <v>49</v>
      </c>
      <c r="I18" s="60">
        <v>1.19</v>
      </c>
      <c r="J18" s="60">
        <v>0.15</v>
      </c>
      <c r="K18" s="60">
        <v>289.62</v>
      </c>
      <c r="L18" s="60">
        <v>16.57</v>
      </c>
      <c r="M18" s="60">
        <v>51</v>
      </c>
      <c r="N18" s="213" t="s">
        <v>35</v>
      </c>
      <c r="O18" s="60">
        <v>0</v>
      </c>
      <c r="P18" s="60">
        <v>2.69</v>
      </c>
      <c r="Q18" s="60">
        <v>148.91</v>
      </c>
      <c r="R18" s="198"/>
      <c r="S18" s="198"/>
      <c r="T18" s="198"/>
      <c r="U18" s="198"/>
    </row>
    <row r="19" spans="1:21" s="12" customFormat="1" x14ac:dyDescent="0.25">
      <c r="A19" s="201" t="s">
        <v>3042</v>
      </c>
      <c r="B19" s="60">
        <v>65.180000000000007</v>
      </c>
      <c r="C19" s="60">
        <v>100.91</v>
      </c>
      <c r="D19" s="60">
        <v>107.95</v>
      </c>
      <c r="E19" s="60">
        <v>4.71</v>
      </c>
      <c r="F19" s="60">
        <v>0.64</v>
      </c>
      <c r="G19" s="60">
        <v>119.43</v>
      </c>
      <c r="H19" s="60">
        <v>49</v>
      </c>
      <c r="I19" s="60">
        <v>1.18</v>
      </c>
      <c r="J19" s="60">
        <v>0.1</v>
      </c>
      <c r="K19" s="60">
        <v>283.67</v>
      </c>
      <c r="L19" s="60">
        <v>16.46</v>
      </c>
      <c r="M19" s="60">
        <v>51</v>
      </c>
      <c r="N19" s="213" t="s">
        <v>35</v>
      </c>
      <c r="O19" s="60">
        <v>0</v>
      </c>
      <c r="P19" s="60">
        <v>2.64</v>
      </c>
      <c r="Q19" s="60">
        <v>146.94</v>
      </c>
      <c r="R19" s="198"/>
      <c r="S19" s="198"/>
      <c r="T19" s="198"/>
      <c r="U19" s="198"/>
    </row>
    <row r="20" spans="1:21" s="12" customFormat="1" x14ac:dyDescent="0.25">
      <c r="A20" s="201" t="s">
        <v>3043</v>
      </c>
      <c r="B20" s="60">
        <v>61.21</v>
      </c>
      <c r="C20" s="60">
        <v>99.84</v>
      </c>
      <c r="D20" s="60">
        <v>104.19</v>
      </c>
      <c r="E20" s="60">
        <v>5.0599999999999996</v>
      </c>
      <c r="F20" s="60">
        <v>0.68</v>
      </c>
      <c r="G20" s="60">
        <v>119.43</v>
      </c>
      <c r="H20" s="60">
        <v>49</v>
      </c>
      <c r="I20" s="60">
        <v>1.17</v>
      </c>
      <c r="J20" s="60">
        <v>0.14000000000000001</v>
      </c>
      <c r="K20" s="60">
        <v>289.7</v>
      </c>
      <c r="L20" s="60">
        <v>16.350000000000001</v>
      </c>
      <c r="M20" s="60">
        <v>72</v>
      </c>
      <c r="N20" s="213" t="s">
        <v>35</v>
      </c>
      <c r="O20" s="60">
        <v>0</v>
      </c>
      <c r="P20" s="60">
        <v>2.59</v>
      </c>
      <c r="Q20" s="60">
        <v>146.43</v>
      </c>
      <c r="R20" s="198"/>
      <c r="S20" s="198"/>
      <c r="T20" s="198"/>
      <c r="U20" s="198"/>
    </row>
    <row r="21" spans="1:21" s="12" customFormat="1" x14ac:dyDescent="0.25">
      <c r="A21" s="201" t="s">
        <v>3044</v>
      </c>
      <c r="B21" s="60">
        <v>57.63</v>
      </c>
      <c r="C21" s="60">
        <v>98.66</v>
      </c>
      <c r="D21" s="60">
        <v>100.66</v>
      </c>
      <c r="E21" s="60">
        <v>4.78</v>
      </c>
      <c r="F21" s="60">
        <v>0.53</v>
      </c>
      <c r="G21" s="60">
        <v>132.25</v>
      </c>
      <c r="H21" s="60">
        <v>51.51</v>
      </c>
      <c r="I21" s="60">
        <v>1.1499999999999999</v>
      </c>
      <c r="J21" s="60">
        <v>0.15</v>
      </c>
      <c r="K21" s="60">
        <v>296.86</v>
      </c>
      <c r="L21" s="60">
        <v>16.13</v>
      </c>
      <c r="M21" s="60">
        <v>71</v>
      </c>
      <c r="N21" s="213" t="s">
        <v>35</v>
      </c>
      <c r="O21" s="60">
        <v>0</v>
      </c>
      <c r="P21" s="60">
        <v>2.54</v>
      </c>
      <c r="Q21" s="60">
        <v>145.49</v>
      </c>
      <c r="R21" s="198"/>
      <c r="S21" s="198"/>
      <c r="T21" s="198"/>
      <c r="U21" s="198"/>
    </row>
    <row r="22" spans="1:21" s="12" customFormat="1" x14ac:dyDescent="0.25">
      <c r="A22" s="201" t="s">
        <v>3045</v>
      </c>
      <c r="B22" s="60">
        <v>54.11</v>
      </c>
      <c r="C22" s="60">
        <v>96.42</v>
      </c>
      <c r="D22" s="60">
        <v>96.61</v>
      </c>
      <c r="E22" s="60">
        <v>5.03</v>
      </c>
      <c r="F22" s="60">
        <v>0.56000000000000005</v>
      </c>
      <c r="G22" s="60">
        <v>132.25</v>
      </c>
      <c r="H22" s="60">
        <v>51.98</v>
      </c>
      <c r="I22" s="60">
        <v>1.1299999999999999</v>
      </c>
      <c r="J22" s="60">
        <v>0.14000000000000001</v>
      </c>
      <c r="K22" s="60">
        <v>299.88</v>
      </c>
      <c r="L22" s="60">
        <v>15.9</v>
      </c>
      <c r="M22" s="60">
        <v>78</v>
      </c>
      <c r="N22" s="213" t="s">
        <v>35</v>
      </c>
      <c r="O22" s="60">
        <v>0</v>
      </c>
      <c r="P22" s="60">
        <v>2.5</v>
      </c>
      <c r="Q22" s="60">
        <v>144.47</v>
      </c>
      <c r="R22" s="198"/>
      <c r="S22" s="198"/>
      <c r="T22" s="198"/>
      <c r="U22" s="198"/>
    </row>
    <row r="23" spans="1:21" s="12" customFormat="1" x14ac:dyDescent="0.25">
      <c r="A23" s="201" t="s">
        <v>3046</v>
      </c>
      <c r="B23" s="60">
        <v>50.66</v>
      </c>
      <c r="C23" s="60">
        <v>94.31</v>
      </c>
      <c r="D23" s="60">
        <v>92.67</v>
      </c>
      <c r="E23" s="60">
        <v>4.9400000000000004</v>
      </c>
      <c r="F23" s="60">
        <v>0.41</v>
      </c>
      <c r="G23" s="60">
        <v>132.25</v>
      </c>
      <c r="H23" s="60">
        <v>51.98</v>
      </c>
      <c r="I23" s="60">
        <v>1.1200000000000001</v>
      </c>
      <c r="J23" s="60">
        <v>0.15</v>
      </c>
      <c r="K23" s="60">
        <v>304.83999999999997</v>
      </c>
      <c r="L23" s="60">
        <v>15.69</v>
      </c>
      <c r="M23" s="60">
        <v>79</v>
      </c>
      <c r="N23" s="213" t="s">
        <v>35</v>
      </c>
      <c r="O23" s="60">
        <v>0</v>
      </c>
      <c r="P23" s="60">
        <v>2.46</v>
      </c>
      <c r="Q23" s="60">
        <v>143.05000000000001</v>
      </c>
      <c r="R23" s="198"/>
      <c r="S23" s="198"/>
      <c r="T23" s="198"/>
      <c r="U23" s="198"/>
    </row>
    <row r="24" spans="1:21" s="12" customFormat="1" x14ac:dyDescent="0.25">
      <c r="A24" s="201" t="s">
        <v>3047</v>
      </c>
      <c r="B24" s="60">
        <v>47.84</v>
      </c>
      <c r="C24" s="60">
        <v>92.58</v>
      </c>
      <c r="D24" s="60">
        <v>89.46</v>
      </c>
      <c r="E24" s="60">
        <v>2.1800000000000002</v>
      </c>
      <c r="F24" s="60">
        <v>0.43</v>
      </c>
      <c r="G24" s="60">
        <v>132.25</v>
      </c>
      <c r="H24" s="60">
        <v>51.98</v>
      </c>
      <c r="I24" s="60">
        <v>1.1000000000000001</v>
      </c>
      <c r="J24" s="60">
        <v>0.16</v>
      </c>
      <c r="K24" s="60">
        <v>309.02</v>
      </c>
      <c r="L24" s="60">
        <v>15.59</v>
      </c>
      <c r="M24" s="60">
        <v>57</v>
      </c>
      <c r="N24" s="213" t="s">
        <v>35</v>
      </c>
      <c r="O24" s="60">
        <v>0</v>
      </c>
      <c r="P24" s="60">
        <v>2.4300000000000002</v>
      </c>
      <c r="Q24" s="60">
        <v>141.37</v>
      </c>
      <c r="R24" s="198"/>
      <c r="S24" s="198"/>
      <c r="T24" s="198"/>
      <c r="U24" s="198"/>
    </row>
    <row r="25" spans="1:21" s="12" customFormat="1" x14ac:dyDescent="0.25">
      <c r="A25" s="201" t="s">
        <v>3048</v>
      </c>
      <c r="B25" s="60">
        <v>45.73</v>
      </c>
      <c r="C25" s="60">
        <v>91.15</v>
      </c>
      <c r="D25" s="60">
        <v>86.97</v>
      </c>
      <c r="E25" s="60">
        <v>4.5599999999999996</v>
      </c>
      <c r="F25" s="60">
        <v>0.46</v>
      </c>
      <c r="G25" s="60">
        <v>146.53</v>
      </c>
      <c r="H25" s="60">
        <v>55.02</v>
      </c>
      <c r="I25" s="60">
        <v>1.07</v>
      </c>
      <c r="J25" s="60">
        <v>0.26</v>
      </c>
      <c r="K25" s="60">
        <v>295.04000000000002</v>
      </c>
      <c r="L25" s="60">
        <v>15.83</v>
      </c>
      <c r="M25" s="60">
        <v>40</v>
      </c>
      <c r="N25" s="213" t="s">
        <v>35</v>
      </c>
      <c r="O25" s="60">
        <v>0</v>
      </c>
      <c r="P25" s="60">
        <v>2.39</v>
      </c>
      <c r="Q25" s="60">
        <v>139.41999999999999</v>
      </c>
      <c r="R25" s="198"/>
      <c r="S25" s="198"/>
      <c r="T25" s="198"/>
      <c r="U25" s="198"/>
    </row>
    <row r="26" spans="1:21" s="12" customFormat="1" x14ac:dyDescent="0.25">
      <c r="A26" s="201" t="s">
        <v>3049</v>
      </c>
      <c r="B26" s="60">
        <v>43.93</v>
      </c>
      <c r="C26" s="60">
        <v>90.44</v>
      </c>
      <c r="D26" s="60">
        <v>85.14</v>
      </c>
      <c r="E26" s="60">
        <v>5.12</v>
      </c>
      <c r="F26" s="60">
        <v>0.47</v>
      </c>
      <c r="G26" s="60">
        <v>146.53</v>
      </c>
      <c r="H26" s="60">
        <v>55.58</v>
      </c>
      <c r="I26" s="60">
        <v>1.05</v>
      </c>
      <c r="J26" s="60">
        <v>0.41</v>
      </c>
      <c r="K26" s="60">
        <v>269.7</v>
      </c>
      <c r="L26" s="60">
        <v>16.64</v>
      </c>
      <c r="M26" s="60">
        <v>37</v>
      </c>
      <c r="N26" s="213" t="s">
        <v>35</v>
      </c>
      <c r="O26" s="60">
        <v>0</v>
      </c>
      <c r="P26" s="60">
        <v>2.35</v>
      </c>
      <c r="Q26" s="60">
        <v>138.96</v>
      </c>
      <c r="R26" s="198"/>
      <c r="S26" s="198"/>
      <c r="T26" s="198"/>
      <c r="U26" s="198"/>
    </row>
    <row r="27" spans="1:21" s="12" customFormat="1" x14ac:dyDescent="0.25">
      <c r="A27" s="201" t="s">
        <v>3050</v>
      </c>
      <c r="B27" s="60">
        <v>41.6</v>
      </c>
      <c r="C27" s="60">
        <v>88.74</v>
      </c>
      <c r="D27" s="60">
        <v>82.33</v>
      </c>
      <c r="E27" s="60">
        <v>5.13</v>
      </c>
      <c r="F27" s="60">
        <v>0.49</v>
      </c>
      <c r="G27" s="60">
        <v>146.53</v>
      </c>
      <c r="H27" s="60">
        <v>55.58</v>
      </c>
      <c r="I27" s="60">
        <v>1.04</v>
      </c>
      <c r="J27" s="60">
        <v>0.3</v>
      </c>
      <c r="K27" s="60">
        <v>271.13</v>
      </c>
      <c r="L27" s="60">
        <v>16.55</v>
      </c>
      <c r="M27" s="60">
        <v>32</v>
      </c>
      <c r="N27" s="213" t="s">
        <v>35</v>
      </c>
      <c r="O27" s="60">
        <v>0</v>
      </c>
      <c r="P27" s="60">
        <v>2.34</v>
      </c>
      <c r="Q27" s="60">
        <v>139.58000000000001</v>
      </c>
      <c r="R27" s="198"/>
      <c r="S27" s="198"/>
      <c r="T27" s="198"/>
      <c r="U27" s="198"/>
    </row>
    <row r="28" spans="1:21" s="12" customFormat="1" x14ac:dyDescent="0.25">
      <c r="A28" s="201" t="s">
        <v>3051</v>
      </c>
      <c r="B28" s="60">
        <v>39.06</v>
      </c>
      <c r="C28" s="60">
        <v>86.73</v>
      </c>
      <c r="D28" s="60">
        <v>79.19</v>
      </c>
      <c r="E28" s="60">
        <v>4.83</v>
      </c>
      <c r="F28" s="60">
        <v>0.67</v>
      </c>
      <c r="G28" s="60">
        <v>146.53</v>
      </c>
      <c r="H28" s="60">
        <v>55.58</v>
      </c>
      <c r="I28" s="60">
        <v>1.01</v>
      </c>
      <c r="J28" s="60">
        <v>0.34</v>
      </c>
      <c r="K28" s="60">
        <v>267.73</v>
      </c>
      <c r="L28" s="60">
        <v>16.55</v>
      </c>
      <c r="M28" s="60">
        <v>38</v>
      </c>
      <c r="N28" s="213" t="s">
        <v>35</v>
      </c>
      <c r="O28" s="60">
        <v>0</v>
      </c>
      <c r="P28" s="60">
        <v>2.31</v>
      </c>
      <c r="Q28" s="60">
        <v>137.25</v>
      </c>
      <c r="R28" s="198"/>
      <c r="S28" s="198"/>
      <c r="T28" s="198"/>
      <c r="U28" s="198"/>
    </row>
    <row r="29" spans="1:21" s="12" customFormat="1" x14ac:dyDescent="0.25">
      <c r="A29" s="201" t="s">
        <v>3052</v>
      </c>
      <c r="B29" s="60">
        <v>36.51</v>
      </c>
      <c r="C29" s="60">
        <v>85.37</v>
      </c>
      <c r="D29" s="60">
        <v>76.39</v>
      </c>
      <c r="E29" s="60">
        <v>4.4800000000000004</v>
      </c>
      <c r="F29" s="60">
        <v>0.75</v>
      </c>
      <c r="G29" s="60">
        <v>160.69</v>
      </c>
      <c r="H29" s="60">
        <v>57.4</v>
      </c>
      <c r="I29" s="60">
        <v>0.96</v>
      </c>
      <c r="J29" s="60">
        <v>0.26</v>
      </c>
      <c r="K29" s="60">
        <v>269.72000000000003</v>
      </c>
      <c r="L29" s="60">
        <v>16.489999999999998</v>
      </c>
      <c r="M29" s="60">
        <v>35</v>
      </c>
      <c r="N29" s="213" t="s">
        <v>35</v>
      </c>
      <c r="O29" s="60">
        <v>0</v>
      </c>
      <c r="P29" s="60">
        <v>2.27</v>
      </c>
      <c r="Q29" s="60">
        <v>134.44</v>
      </c>
      <c r="R29" s="198"/>
      <c r="S29" s="198"/>
      <c r="T29" s="198"/>
      <c r="U29" s="198"/>
    </row>
    <row r="30" spans="1:21" s="12" customFormat="1" x14ac:dyDescent="0.25">
      <c r="A30" s="201" t="s">
        <v>3053</v>
      </c>
      <c r="B30" s="60">
        <v>33.979999999999997</v>
      </c>
      <c r="C30" s="60">
        <v>83.74</v>
      </c>
      <c r="D30" s="60">
        <v>73.459999999999994</v>
      </c>
      <c r="E30" s="60">
        <v>4.6399999999999997</v>
      </c>
      <c r="F30" s="60">
        <v>0.68</v>
      </c>
      <c r="G30" s="60">
        <v>160.69</v>
      </c>
      <c r="H30" s="60">
        <v>57.74</v>
      </c>
      <c r="I30" s="60">
        <v>0.93</v>
      </c>
      <c r="J30" s="60">
        <v>0.26</v>
      </c>
      <c r="K30" s="60">
        <v>269.83</v>
      </c>
      <c r="L30" s="60">
        <v>16.440000000000001</v>
      </c>
      <c r="M30" s="60">
        <v>20</v>
      </c>
      <c r="N30" s="213" t="s">
        <v>35</v>
      </c>
      <c r="O30" s="60">
        <v>0</v>
      </c>
      <c r="P30" s="60">
        <v>2.2000000000000002</v>
      </c>
      <c r="Q30" s="60">
        <v>133.22</v>
      </c>
      <c r="R30" s="198"/>
      <c r="S30" s="198"/>
      <c r="T30" s="198"/>
      <c r="U30" s="198"/>
    </row>
    <row r="31" spans="1:21" s="12" customFormat="1" x14ac:dyDescent="0.25">
      <c r="A31" s="201" t="s">
        <v>3054</v>
      </c>
      <c r="B31" s="60">
        <v>31.95</v>
      </c>
      <c r="C31" s="60">
        <v>82.79</v>
      </c>
      <c r="D31" s="60">
        <v>71.319999999999993</v>
      </c>
      <c r="E31" s="60">
        <v>4.1100000000000003</v>
      </c>
      <c r="F31" s="60">
        <v>0.69</v>
      </c>
      <c r="G31" s="60">
        <v>160.69</v>
      </c>
      <c r="H31" s="60">
        <v>57.74</v>
      </c>
      <c r="I31" s="60">
        <v>0.89</v>
      </c>
      <c r="J31" s="60">
        <v>0.28999999999999998</v>
      </c>
      <c r="K31" s="60">
        <v>270.37</v>
      </c>
      <c r="L31" s="60">
        <v>16.34</v>
      </c>
      <c r="M31" s="60">
        <v>23</v>
      </c>
      <c r="N31" s="213" t="s">
        <v>35</v>
      </c>
      <c r="O31" s="60">
        <v>0</v>
      </c>
      <c r="P31" s="60">
        <v>2.14</v>
      </c>
      <c r="Q31" s="60">
        <v>132.27000000000001</v>
      </c>
      <c r="R31" s="198"/>
      <c r="S31" s="198"/>
      <c r="T31" s="198"/>
      <c r="U31" s="198"/>
    </row>
    <row r="32" spans="1:21" s="12" customFormat="1" x14ac:dyDescent="0.25">
      <c r="A32" s="201" t="s">
        <v>3055</v>
      </c>
      <c r="B32" s="60">
        <v>30.57</v>
      </c>
      <c r="C32" s="60">
        <v>82.39</v>
      </c>
      <c r="D32" s="60">
        <v>69.98</v>
      </c>
      <c r="E32" s="60">
        <v>4.16</v>
      </c>
      <c r="F32" s="60">
        <v>0.72</v>
      </c>
      <c r="G32" s="60">
        <v>160.69</v>
      </c>
      <c r="H32" s="60">
        <v>57.74</v>
      </c>
      <c r="I32" s="60">
        <v>0.84</v>
      </c>
      <c r="J32" s="60">
        <v>0.27</v>
      </c>
      <c r="K32" s="60">
        <v>271.76</v>
      </c>
      <c r="L32" s="60">
        <v>16.29</v>
      </c>
      <c r="M32" s="60">
        <v>41</v>
      </c>
      <c r="N32" s="213" t="s">
        <v>35</v>
      </c>
      <c r="O32" s="60">
        <v>0</v>
      </c>
      <c r="P32" s="60">
        <v>2.08</v>
      </c>
      <c r="Q32" s="60">
        <v>131.68</v>
      </c>
      <c r="R32" s="198"/>
      <c r="S32" s="198"/>
      <c r="T32" s="198"/>
      <c r="U32" s="198"/>
    </row>
    <row r="33" spans="1:21" s="12" customFormat="1" x14ac:dyDescent="0.25">
      <c r="A33" s="201" t="s">
        <v>3056</v>
      </c>
      <c r="B33" s="60">
        <v>29.7</v>
      </c>
      <c r="C33" s="60">
        <v>82.42</v>
      </c>
      <c r="D33" s="60">
        <v>69.3</v>
      </c>
      <c r="E33" s="60">
        <v>4.4400000000000004</v>
      </c>
      <c r="F33" s="60">
        <v>0.55000000000000004</v>
      </c>
      <c r="G33" s="60">
        <v>117.84</v>
      </c>
      <c r="H33" s="60">
        <v>51.73</v>
      </c>
      <c r="I33" s="60">
        <v>0.82</v>
      </c>
      <c r="J33" s="60">
        <v>0.27</v>
      </c>
      <c r="K33" s="60">
        <v>273.52</v>
      </c>
      <c r="L33" s="60">
        <v>16.14</v>
      </c>
      <c r="M33" s="60">
        <v>24</v>
      </c>
      <c r="N33" s="213" t="s">
        <v>35</v>
      </c>
      <c r="O33" s="60">
        <v>0</v>
      </c>
      <c r="P33" s="60">
        <v>2.04</v>
      </c>
      <c r="Q33" s="60">
        <v>130.34</v>
      </c>
      <c r="R33" s="198"/>
      <c r="S33" s="198"/>
      <c r="T33" s="198"/>
      <c r="U33" s="198"/>
    </row>
    <row r="34" spans="1:21" s="12" customFormat="1" x14ac:dyDescent="0.25">
      <c r="A34" s="201" t="s">
        <v>3057</v>
      </c>
      <c r="B34" s="60">
        <v>29.51</v>
      </c>
      <c r="C34" s="60">
        <v>83.24</v>
      </c>
      <c r="D34" s="60">
        <v>69.599999999999994</v>
      </c>
      <c r="E34" s="60">
        <v>4.5199999999999996</v>
      </c>
      <c r="F34" s="60">
        <v>0.65</v>
      </c>
      <c r="G34" s="60">
        <v>117.84</v>
      </c>
      <c r="H34" s="60">
        <v>50.62</v>
      </c>
      <c r="I34" s="60">
        <v>0.78</v>
      </c>
      <c r="J34" s="60">
        <v>0.14000000000000001</v>
      </c>
      <c r="K34" s="60">
        <v>273.91000000000003</v>
      </c>
      <c r="L34" s="60">
        <v>16.09</v>
      </c>
      <c r="M34" s="60">
        <v>46</v>
      </c>
      <c r="N34" s="213" t="s">
        <v>35</v>
      </c>
      <c r="O34" s="60">
        <v>0</v>
      </c>
      <c r="P34" s="60">
        <v>1.98</v>
      </c>
      <c r="Q34" s="60">
        <v>130.86000000000001</v>
      </c>
      <c r="R34" s="198"/>
      <c r="S34" s="198"/>
      <c r="T34" s="198"/>
      <c r="U34" s="198"/>
    </row>
    <row r="35" spans="1:21" s="12" customFormat="1" x14ac:dyDescent="0.25">
      <c r="A35" s="201" t="s">
        <v>3058</v>
      </c>
      <c r="B35" s="60">
        <v>28.8</v>
      </c>
      <c r="C35" s="60">
        <v>83.38</v>
      </c>
      <c r="D35" s="60">
        <v>69.11</v>
      </c>
      <c r="E35" s="60">
        <v>4.12</v>
      </c>
      <c r="F35" s="60">
        <v>0.82</v>
      </c>
      <c r="G35" s="60">
        <v>117.84</v>
      </c>
      <c r="H35" s="60">
        <v>50.62</v>
      </c>
      <c r="I35" s="60">
        <v>0.77</v>
      </c>
      <c r="J35" s="60">
        <v>0.17</v>
      </c>
      <c r="K35" s="60">
        <v>284.2</v>
      </c>
      <c r="L35" s="60">
        <v>15.86</v>
      </c>
      <c r="M35" s="60">
        <v>65</v>
      </c>
      <c r="N35" s="213" t="s">
        <v>35</v>
      </c>
      <c r="O35" s="60">
        <v>0</v>
      </c>
      <c r="P35" s="60">
        <v>1.93</v>
      </c>
      <c r="Q35" s="60">
        <v>131.32</v>
      </c>
      <c r="R35" s="198"/>
      <c r="S35" s="198"/>
      <c r="T35" s="198"/>
      <c r="U35" s="198"/>
    </row>
    <row r="36" spans="1:21" s="12" customFormat="1" x14ac:dyDescent="0.25">
      <c r="A36" s="201" t="s">
        <v>3059</v>
      </c>
      <c r="B36" s="60">
        <v>32.020000000000003</v>
      </c>
      <c r="C36" s="60">
        <v>85.52</v>
      </c>
      <c r="D36" s="60">
        <v>72.87</v>
      </c>
      <c r="E36" s="60">
        <v>4.63</v>
      </c>
      <c r="F36" s="60">
        <v>0.74</v>
      </c>
      <c r="G36" s="60">
        <v>117.84</v>
      </c>
      <c r="H36" s="60">
        <v>50.62</v>
      </c>
      <c r="I36" s="60">
        <v>0.75</v>
      </c>
      <c r="J36" s="60">
        <v>0.15</v>
      </c>
      <c r="K36" s="60">
        <v>289.33</v>
      </c>
      <c r="L36" s="60">
        <v>15.99</v>
      </c>
      <c r="M36" s="60">
        <v>68</v>
      </c>
      <c r="N36" s="213" t="s">
        <v>35</v>
      </c>
      <c r="O36" s="60">
        <v>0</v>
      </c>
      <c r="P36" s="60">
        <v>1.94</v>
      </c>
      <c r="Q36" s="60">
        <v>132.06</v>
      </c>
      <c r="R36" s="198"/>
      <c r="S36" s="198"/>
      <c r="T36" s="198"/>
      <c r="U36" s="198"/>
    </row>
    <row r="37" spans="1:21" s="12" customFormat="1" x14ac:dyDescent="0.25">
      <c r="A37" s="201" t="s">
        <v>3060</v>
      </c>
      <c r="B37" s="60">
        <v>38.03</v>
      </c>
      <c r="C37" s="60">
        <v>88.88</v>
      </c>
      <c r="D37" s="60">
        <v>79.55</v>
      </c>
      <c r="E37" s="60">
        <v>4.46</v>
      </c>
      <c r="F37" s="60">
        <v>0.53</v>
      </c>
      <c r="G37" s="60">
        <v>131</v>
      </c>
      <c r="H37" s="60">
        <v>51.05</v>
      </c>
      <c r="I37" s="60">
        <v>0.73</v>
      </c>
      <c r="J37" s="60">
        <v>0.33</v>
      </c>
      <c r="K37" s="60">
        <v>280.39</v>
      </c>
      <c r="L37" s="60">
        <v>16.559999999999999</v>
      </c>
      <c r="M37" s="60">
        <v>85</v>
      </c>
      <c r="N37" s="213" t="s">
        <v>35</v>
      </c>
      <c r="O37" s="60">
        <v>0</v>
      </c>
      <c r="P37" s="60">
        <v>1.81</v>
      </c>
      <c r="Q37" s="60">
        <v>133.28</v>
      </c>
      <c r="R37" s="198"/>
      <c r="S37" s="198"/>
      <c r="T37" s="198"/>
      <c r="U37" s="198"/>
    </row>
    <row r="38" spans="1:21" s="12" customFormat="1" x14ac:dyDescent="0.25">
      <c r="A38" s="201" t="s">
        <v>3061</v>
      </c>
      <c r="B38" s="60">
        <v>42.1</v>
      </c>
      <c r="C38" s="60">
        <v>91.2</v>
      </c>
      <c r="D38" s="60">
        <v>84.1</v>
      </c>
      <c r="E38" s="60">
        <v>4.92</v>
      </c>
      <c r="F38" s="60">
        <v>0.48</v>
      </c>
      <c r="G38" s="60">
        <v>131</v>
      </c>
      <c r="H38" s="60">
        <v>51.13</v>
      </c>
      <c r="I38" s="60">
        <v>0.73</v>
      </c>
      <c r="J38" s="60">
        <v>0.23</v>
      </c>
      <c r="K38" s="60">
        <v>259.14999999999998</v>
      </c>
      <c r="L38" s="60">
        <v>17.510000000000002</v>
      </c>
      <c r="M38" s="60">
        <v>62</v>
      </c>
      <c r="N38" s="60">
        <v>2.1</v>
      </c>
      <c r="O38" s="60">
        <v>0</v>
      </c>
      <c r="P38" s="60">
        <v>1.9</v>
      </c>
      <c r="Q38" s="60">
        <v>134.53</v>
      </c>
      <c r="R38" s="198"/>
      <c r="S38" s="198"/>
      <c r="T38" s="198"/>
      <c r="U38" s="198"/>
    </row>
    <row r="39" spans="1:21" s="12" customFormat="1" x14ac:dyDescent="0.25">
      <c r="A39" s="201" t="s">
        <v>3062</v>
      </c>
      <c r="B39" s="60">
        <v>43.46</v>
      </c>
      <c r="C39" s="60">
        <v>92.82</v>
      </c>
      <c r="D39" s="60">
        <v>86.08</v>
      </c>
      <c r="E39" s="60">
        <v>5.22</v>
      </c>
      <c r="F39" s="60">
        <v>0.62</v>
      </c>
      <c r="G39" s="60">
        <v>131</v>
      </c>
      <c r="H39" s="60">
        <v>51.13</v>
      </c>
      <c r="I39" s="60">
        <v>0.73</v>
      </c>
      <c r="J39" s="60">
        <v>0.46</v>
      </c>
      <c r="K39" s="60">
        <v>238.08</v>
      </c>
      <c r="L39" s="60">
        <v>19</v>
      </c>
      <c r="M39" s="60">
        <v>75</v>
      </c>
      <c r="N39" s="60">
        <v>36.1</v>
      </c>
      <c r="O39" s="60">
        <v>0</v>
      </c>
      <c r="P39" s="60">
        <v>1.88</v>
      </c>
      <c r="Q39" s="60">
        <v>135.36000000000001</v>
      </c>
      <c r="R39" s="198"/>
      <c r="S39" s="198"/>
      <c r="T39" s="198"/>
      <c r="U39" s="198"/>
    </row>
    <row r="40" spans="1:21" s="12" customFormat="1" x14ac:dyDescent="0.25">
      <c r="A40" s="201" t="s">
        <v>3063</v>
      </c>
      <c r="B40" s="60">
        <v>43.55</v>
      </c>
      <c r="C40" s="60">
        <v>94.27</v>
      </c>
      <c r="D40" s="60">
        <v>86.95</v>
      </c>
      <c r="E40" s="60">
        <v>2.44</v>
      </c>
      <c r="F40" s="60">
        <v>0.68</v>
      </c>
      <c r="G40" s="60">
        <v>131</v>
      </c>
      <c r="H40" s="60">
        <v>51.13</v>
      </c>
      <c r="I40" s="60">
        <v>0.73</v>
      </c>
      <c r="J40" s="60">
        <v>0.35</v>
      </c>
      <c r="K40" s="60">
        <v>222.17</v>
      </c>
      <c r="L40" s="60">
        <v>20.420000000000002</v>
      </c>
      <c r="M40" s="60">
        <v>77</v>
      </c>
      <c r="N40" s="60">
        <v>71.7</v>
      </c>
      <c r="O40" s="60">
        <v>0</v>
      </c>
      <c r="P40" s="60">
        <v>1.86</v>
      </c>
      <c r="Q40" s="60">
        <v>135.80000000000001</v>
      </c>
      <c r="R40" s="198"/>
      <c r="S40" s="198"/>
      <c r="T40" s="198"/>
      <c r="U40" s="198"/>
    </row>
    <row r="41" spans="1:21" s="12" customFormat="1" x14ac:dyDescent="0.25">
      <c r="A41" s="201" t="s">
        <v>3064</v>
      </c>
      <c r="B41" s="60">
        <v>44.08</v>
      </c>
      <c r="C41" s="60">
        <v>95.47</v>
      </c>
      <c r="D41" s="60">
        <v>88.03</v>
      </c>
      <c r="E41" s="60">
        <v>4.3099999999999996</v>
      </c>
      <c r="F41" s="60">
        <v>0.52</v>
      </c>
      <c r="G41" s="60">
        <v>118.03</v>
      </c>
      <c r="H41" s="60">
        <v>50.6</v>
      </c>
      <c r="I41" s="60">
        <v>0.72</v>
      </c>
      <c r="J41" s="60">
        <v>0.59</v>
      </c>
      <c r="K41" s="60">
        <v>218.19</v>
      </c>
      <c r="L41" s="60">
        <v>20.9</v>
      </c>
      <c r="M41" s="60">
        <v>60</v>
      </c>
      <c r="N41" s="60">
        <v>103.8</v>
      </c>
      <c r="O41" s="60">
        <v>0</v>
      </c>
      <c r="P41" s="60">
        <v>1.85</v>
      </c>
      <c r="Q41" s="60">
        <v>138.07</v>
      </c>
      <c r="R41" s="198"/>
      <c r="S41" s="198"/>
      <c r="T41" s="198"/>
      <c r="U41" s="198"/>
    </row>
    <row r="42" spans="1:21" s="12" customFormat="1" x14ac:dyDescent="0.25">
      <c r="A42" s="201" t="s">
        <v>3065</v>
      </c>
      <c r="B42" s="60">
        <v>43.36</v>
      </c>
      <c r="C42" s="60">
        <v>95.55</v>
      </c>
      <c r="D42" s="60">
        <v>87.5</v>
      </c>
      <c r="E42" s="60">
        <v>4.3600000000000003</v>
      </c>
      <c r="F42" s="60">
        <v>0.76</v>
      </c>
      <c r="G42" s="60">
        <v>118.03</v>
      </c>
      <c r="H42" s="60">
        <v>50.52</v>
      </c>
      <c r="I42" s="60">
        <v>0.71</v>
      </c>
      <c r="J42" s="60">
        <v>0.68</v>
      </c>
      <c r="K42" s="60">
        <v>205.28</v>
      </c>
      <c r="L42" s="60">
        <v>21.77</v>
      </c>
      <c r="M42" s="60">
        <v>65</v>
      </c>
      <c r="N42" s="60">
        <v>133.80000000000001</v>
      </c>
      <c r="O42" s="60">
        <v>0</v>
      </c>
      <c r="P42" s="60">
        <v>1.83</v>
      </c>
      <c r="Q42" s="60">
        <v>137.12</v>
      </c>
      <c r="R42" s="198"/>
      <c r="S42" s="198"/>
      <c r="T42" s="198"/>
      <c r="U42" s="198"/>
    </row>
    <row r="43" spans="1:21" s="12" customFormat="1" x14ac:dyDescent="0.25">
      <c r="A43" s="201" t="s">
        <v>3066</v>
      </c>
      <c r="B43" s="60">
        <v>41.78</v>
      </c>
      <c r="C43" s="60">
        <v>95.7</v>
      </c>
      <c r="D43" s="60">
        <v>86.32</v>
      </c>
      <c r="E43" s="60">
        <v>4.51</v>
      </c>
      <c r="F43" s="60">
        <v>0.81</v>
      </c>
      <c r="G43" s="60">
        <v>118.03</v>
      </c>
      <c r="H43" s="60">
        <v>50.52</v>
      </c>
      <c r="I43" s="60">
        <v>0.7</v>
      </c>
      <c r="J43" s="60">
        <v>0.68</v>
      </c>
      <c r="K43" s="60">
        <v>195.08</v>
      </c>
      <c r="L43" s="60">
        <v>22.56</v>
      </c>
      <c r="M43" s="60">
        <v>51</v>
      </c>
      <c r="N43" s="60">
        <v>162.19999999999999</v>
      </c>
      <c r="O43" s="60">
        <v>0</v>
      </c>
      <c r="P43" s="60">
        <v>1.8</v>
      </c>
      <c r="Q43" s="60">
        <v>135.93</v>
      </c>
      <c r="R43" s="198"/>
      <c r="S43" s="198"/>
      <c r="T43" s="198"/>
      <c r="U43" s="198"/>
    </row>
    <row r="44" spans="1:21" s="12" customFormat="1" x14ac:dyDescent="0.25">
      <c r="A44" s="201" t="s">
        <v>3067</v>
      </c>
      <c r="B44" s="60">
        <v>39.68</v>
      </c>
      <c r="C44" s="60">
        <v>95.6</v>
      </c>
      <c r="D44" s="60">
        <v>84.58</v>
      </c>
      <c r="E44" s="60">
        <v>4.3499999999999996</v>
      </c>
      <c r="F44" s="60">
        <v>0.8</v>
      </c>
      <c r="G44" s="60">
        <v>118.03</v>
      </c>
      <c r="H44" s="60">
        <v>50.52</v>
      </c>
      <c r="I44" s="60">
        <v>0.69</v>
      </c>
      <c r="J44" s="60">
        <v>0.64</v>
      </c>
      <c r="K44" s="60">
        <v>190.66</v>
      </c>
      <c r="L44" s="60">
        <v>22.95</v>
      </c>
      <c r="M44" s="60">
        <v>62</v>
      </c>
      <c r="N44" s="60">
        <v>189.8</v>
      </c>
      <c r="O44" s="60">
        <v>0</v>
      </c>
      <c r="P44" s="60">
        <v>1.77</v>
      </c>
      <c r="Q44" s="60">
        <v>135.01</v>
      </c>
      <c r="R44" s="198"/>
      <c r="S44" s="198"/>
      <c r="T44" s="198"/>
      <c r="U44" s="198"/>
    </row>
    <row r="45" spans="1:21" s="12" customFormat="1" x14ac:dyDescent="0.25">
      <c r="A45" s="201" t="s">
        <v>3068</v>
      </c>
      <c r="B45" s="60">
        <v>37.520000000000003</v>
      </c>
      <c r="C45" s="60">
        <v>95.89</v>
      </c>
      <c r="D45" s="60">
        <v>83.01</v>
      </c>
      <c r="E45" s="60">
        <v>4.4000000000000004</v>
      </c>
      <c r="F45" s="60">
        <v>0.79</v>
      </c>
      <c r="G45" s="60">
        <v>109.99</v>
      </c>
      <c r="H45" s="60">
        <v>49.92</v>
      </c>
      <c r="I45" s="60">
        <v>0.67</v>
      </c>
      <c r="J45" s="60">
        <v>0.97</v>
      </c>
      <c r="K45" s="60">
        <v>157.28</v>
      </c>
      <c r="L45" s="60">
        <v>26.15</v>
      </c>
      <c r="M45" s="60">
        <v>92</v>
      </c>
      <c r="N45" s="60">
        <v>209.1</v>
      </c>
      <c r="O45" s="60">
        <v>0</v>
      </c>
      <c r="P45" s="60">
        <v>1.74</v>
      </c>
      <c r="Q45" s="60">
        <v>133.77000000000001</v>
      </c>
      <c r="R45" s="198"/>
      <c r="S45" s="198"/>
      <c r="T45" s="198"/>
      <c r="U45" s="198"/>
    </row>
    <row r="46" spans="1:21" s="12" customFormat="1" x14ac:dyDescent="0.25">
      <c r="A46" s="201" t="s">
        <v>3069</v>
      </c>
      <c r="B46" s="60">
        <v>34.76</v>
      </c>
      <c r="C46" s="60">
        <v>97.38</v>
      </c>
      <c r="D46" s="60">
        <v>81.62</v>
      </c>
      <c r="E46" s="60">
        <v>4.57</v>
      </c>
      <c r="F46" s="60">
        <v>0.75</v>
      </c>
      <c r="G46" s="60">
        <v>109.99</v>
      </c>
      <c r="H46" s="60">
        <v>49.82</v>
      </c>
      <c r="I46" s="60">
        <v>0.66</v>
      </c>
      <c r="J46" s="60">
        <v>1.04</v>
      </c>
      <c r="K46" s="60">
        <v>150.16</v>
      </c>
      <c r="L46" s="60">
        <v>27.19</v>
      </c>
      <c r="M46" s="60">
        <v>94</v>
      </c>
      <c r="N46" s="60">
        <v>224</v>
      </c>
      <c r="O46" s="60">
        <v>0</v>
      </c>
      <c r="P46" s="60">
        <v>1.69</v>
      </c>
      <c r="Q46" s="60">
        <v>132.79</v>
      </c>
      <c r="R46" s="198"/>
      <c r="S46" s="198"/>
      <c r="T46" s="198"/>
      <c r="U46" s="198"/>
    </row>
    <row r="47" spans="1:21" s="12" customFormat="1" x14ac:dyDescent="0.25">
      <c r="A47" s="201" t="s">
        <v>3070</v>
      </c>
      <c r="B47" s="60">
        <v>32.46</v>
      </c>
      <c r="C47" s="60">
        <v>98.77</v>
      </c>
      <c r="D47" s="60">
        <v>80.540000000000006</v>
      </c>
      <c r="E47" s="60">
        <v>4.3499999999999996</v>
      </c>
      <c r="F47" s="60">
        <v>0.85</v>
      </c>
      <c r="G47" s="60">
        <v>109.99</v>
      </c>
      <c r="H47" s="60">
        <v>49.82</v>
      </c>
      <c r="I47" s="60">
        <v>0.64</v>
      </c>
      <c r="J47" s="60">
        <v>1.41</v>
      </c>
      <c r="K47" s="60">
        <v>180.65</v>
      </c>
      <c r="L47" s="60">
        <v>24.54</v>
      </c>
      <c r="M47" s="60">
        <v>41</v>
      </c>
      <c r="N47" s="60">
        <v>241.5</v>
      </c>
      <c r="O47" s="60">
        <v>0</v>
      </c>
      <c r="P47" s="60">
        <v>1.66</v>
      </c>
      <c r="Q47" s="60">
        <v>131.69</v>
      </c>
      <c r="R47" s="198"/>
      <c r="S47" s="198"/>
      <c r="T47" s="198"/>
      <c r="U47" s="198"/>
    </row>
    <row r="48" spans="1:21" s="12" customFormat="1" x14ac:dyDescent="0.25">
      <c r="A48" s="201" t="s">
        <v>3071</v>
      </c>
      <c r="B48" s="60">
        <v>30.11</v>
      </c>
      <c r="C48" s="60">
        <v>97.93</v>
      </c>
      <c r="D48" s="60">
        <v>78.19</v>
      </c>
      <c r="E48" s="60">
        <v>5.28</v>
      </c>
      <c r="F48" s="60">
        <v>0.92</v>
      </c>
      <c r="G48" s="60">
        <v>109.99</v>
      </c>
      <c r="H48" s="60">
        <v>49.82</v>
      </c>
      <c r="I48" s="60">
        <v>0.62</v>
      </c>
      <c r="J48" s="60">
        <v>1.1299999999999999</v>
      </c>
      <c r="K48" s="60">
        <v>188.98</v>
      </c>
      <c r="L48" s="60">
        <v>23.52</v>
      </c>
      <c r="M48" s="60">
        <v>47</v>
      </c>
      <c r="N48" s="60">
        <v>249</v>
      </c>
      <c r="O48" s="60">
        <v>0</v>
      </c>
      <c r="P48" s="60">
        <v>1.61</v>
      </c>
      <c r="Q48" s="60">
        <v>130.84</v>
      </c>
      <c r="R48" s="198"/>
      <c r="S48" s="198"/>
      <c r="T48" s="198"/>
      <c r="U48" s="198"/>
    </row>
    <row r="49" spans="1:21" s="12" customFormat="1" x14ac:dyDescent="0.25">
      <c r="A49" s="201" t="s">
        <v>3072</v>
      </c>
      <c r="B49" s="60">
        <v>27.77</v>
      </c>
      <c r="C49" s="60">
        <v>96.73</v>
      </c>
      <c r="D49" s="60">
        <v>75.66</v>
      </c>
      <c r="E49" s="60">
        <v>4.68</v>
      </c>
      <c r="F49" s="60">
        <v>0.86</v>
      </c>
      <c r="G49" s="60">
        <v>94.03</v>
      </c>
      <c r="H49" s="60">
        <v>46.74</v>
      </c>
      <c r="I49" s="60">
        <v>0.61</v>
      </c>
      <c r="J49" s="60">
        <v>0.75</v>
      </c>
      <c r="K49" s="60">
        <v>172.4</v>
      </c>
      <c r="L49" s="60">
        <v>25.56</v>
      </c>
      <c r="M49" s="60">
        <v>53</v>
      </c>
      <c r="N49" s="60">
        <v>256.10000000000002</v>
      </c>
      <c r="O49" s="60">
        <v>0</v>
      </c>
      <c r="P49" s="60">
        <v>1.59</v>
      </c>
      <c r="Q49" s="60">
        <v>131.69</v>
      </c>
      <c r="R49" s="198"/>
      <c r="S49" s="198"/>
      <c r="T49" s="198"/>
      <c r="U49" s="198"/>
    </row>
    <row r="50" spans="1:21" s="12" customFormat="1" x14ac:dyDescent="0.25">
      <c r="A50" s="201" t="s">
        <v>3073</v>
      </c>
      <c r="B50" s="60">
        <v>25.12</v>
      </c>
      <c r="C50" s="60">
        <v>95.1</v>
      </c>
      <c r="D50" s="60">
        <v>72.63</v>
      </c>
      <c r="E50" s="60">
        <v>5.08</v>
      </c>
      <c r="F50" s="60">
        <v>1</v>
      </c>
      <c r="G50" s="60">
        <v>94.03</v>
      </c>
      <c r="H50" s="60">
        <v>46.22</v>
      </c>
      <c r="I50" s="60">
        <v>0.61</v>
      </c>
      <c r="J50" s="60">
        <v>0.64</v>
      </c>
      <c r="K50" s="60">
        <v>166.13</v>
      </c>
      <c r="L50" s="60">
        <v>26.13</v>
      </c>
      <c r="M50" s="60">
        <v>55</v>
      </c>
      <c r="N50" s="60">
        <v>263.8</v>
      </c>
      <c r="O50" s="60">
        <v>0</v>
      </c>
      <c r="P50" s="60">
        <v>1.58</v>
      </c>
      <c r="Q50" s="60">
        <v>132.77000000000001</v>
      </c>
      <c r="R50" s="198"/>
      <c r="S50" s="198"/>
      <c r="T50" s="198"/>
      <c r="U50" s="198"/>
    </row>
    <row r="51" spans="1:21" s="12" customFormat="1" x14ac:dyDescent="0.25">
      <c r="A51" s="201" t="s">
        <v>3074</v>
      </c>
      <c r="B51" s="60">
        <v>21.29</v>
      </c>
      <c r="C51" s="60">
        <v>94.71</v>
      </c>
      <c r="D51" s="60">
        <v>69.34</v>
      </c>
      <c r="E51" s="60">
        <v>4.9800000000000004</v>
      </c>
      <c r="F51" s="60">
        <v>1.5</v>
      </c>
      <c r="G51" s="60">
        <v>94.03</v>
      </c>
      <c r="H51" s="60">
        <v>46.22</v>
      </c>
      <c r="I51" s="60">
        <v>0.61</v>
      </c>
      <c r="J51" s="60">
        <v>0.92</v>
      </c>
      <c r="K51" s="60">
        <v>165.1</v>
      </c>
      <c r="L51" s="60">
        <v>26.43</v>
      </c>
      <c r="M51" s="60">
        <v>52</v>
      </c>
      <c r="N51" s="60">
        <v>271</v>
      </c>
      <c r="O51" s="60">
        <v>0</v>
      </c>
      <c r="P51" s="60">
        <v>1.58</v>
      </c>
      <c r="Q51" s="60">
        <v>131.78</v>
      </c>
      <c r="R51" s="198"/>
      <c r="S51" s="198"/>
      <c r="T51" s="198"/>
      <c r="U51" s="198"/>
    </row>
    <row r="52" spans="1:21" s="12" customFormat="1" x14ac:dyDescent="0.25">
      <c r="A52" s="201" t="s">
        <v>3075</v>
      </c>
      <c r="B52" s="60">
        <v>12.85</v>
      </c>
      <c r="C52" s="60">
        <v>94.84</v>
      </c>
      <c r="D52" s="60">
        <v>62.64</v>
      </c>
      <c r="E52" s="60">
        <v>20.07</v>
      </c>
      <c r="F52" s="60">
        <v>4.09</v>
      </c>
      <c r="G52" s="60">
        <v>94.03</v>
      </c>
      <c r="H52" s="60">
        <v>46.22</v>
      </c>
      <c r="I52" s="60">
        <v>0.6</v>
      </c>
      <c r="J52" s="60">
        <v>1.35</v>
      </c>
      <c r="K52" s="60">
        <v>168.57</v>
      </c>
      <c r="L52" s="60">
        <v>25.62</v>
      </c>
      <c r="M52" s="60">
        <v>40</v>
      </c>
      <c r="N52" s="60">
        <v>289.8</v>
      </c>
      <c r="O52" s="60">
        <v>0</v>
      </c>
      <c r="P52" s="60">
        <v>1.37</v>
      </c>
      <c r="Q52" s="60">
        <v>119.72</v>
      </c>
      <c r="R52" s="198"/>
      <c r="S52" s="198"/>
      <c r="T52" s="198"/>
      <c r="U52" s="198"/>
    </row>
    <row r="53" spans="1:21" s="12" customFormat="1" x14ac:dyDescent="0.25">
      <c r="A53" s="201" t="s">
        <v>3076</v>
      </c>
      <c r="B53" s="60">
        <v>6.7</v>
      </c>
      <c r="C53" s="60">
        <v>92.89</v>
      </c>
      <c r="D53" s="60">
        <v>56.63</v>
      </c>
      <c r="E53" s="60">
        <v>126.13</v>
      </c>
      <c r="F53" s="60">
        <v>5.21</v>
      </c>
      <c r="G53" s="60">
        <v>94.03</v>
      </c>
      <c r="H53" s="60">
        <v>46.22</v>
      </c>
      <c r="I53" s="60">
        <v>0.56000000000000005</v>
      </c>
      <c r="J53" s="60">
        <v>0.87</v>
      </c>
      <c r="K53" s="60">
        <v>164.52</v>
      </c>
      <c r="L53" s="60">
        <v>26.23</v>
      </c>
      <c r="M53" s="60">
        <v>55</v>
      </c>
      <c r="N53" s="60">
        <v>298.8</v>
      </c>
      <c r="O53" s="60">
        <v>0</v>
      </c>
      <c r="P53" s="60">
        <v>1.29</v>
      </c>
      <c r="Q53" s="60">
        <v>112.25</v>
      </c>
      <c r="R53" s="198"/>
      <c r="S53" s="198"/>
      <c r="T53" s="198"/>
      <c r="U53" s="198"/>
    </row>
    <row r="54" spans="1:21" s="12" customFormat="1" x14ac:dyDescent="0.25">
      <c r="A54" s="201" t="s">
        <v>3077</v>
      </c>
      <c r="B54" s="60">
        <v>5.1100000000000003</v>
      </c>
      <c r="C54" s="60">
        <v>91.31</v>
      </c>
      <c r="D54" s="60">
        <v>54.49</v>
      </c>
      <c r="E54" s="60">
        <v>181.76</v>
      </c>
      <c r="F54" s="60">
        <v>5.29</v>
      </c>
      <c r="G54" s="60">
        <v>94.03</v>
      </c>
      <c r="H54" s="60">
        <v>46.22</v>
      </c>
      <c r="I54" s="60">
        <v>0.5</v>
      </c>
      <c r="J54" s="60">
        <v>1.26</v>
      </c>
      <c r="K54" s="60">
        <v>155.41</v>
      </c>
      <c r="L54" s="60">
        <v>26.62</v>
      </c>
      <c r="M54" s="60">
        <v>44</v>
      </c>
      <c r="N54" s="60">
        <v>304.89999999999998</v>
      </c>
      <c r="O54" s="60">
        <v>0</v>
      </c>
      <c r="P54" s="60">
        <v>1.2</v>
      </c>
      <c r="Q54" s="60">
        <v>106.01</v>
      </c>
      <c r="R54" s="198"/>
      <c r="S54" s="198"/>
      <c r="T54" s="198"/>
      <c r="U54" s="198"/>
    </row>
    <row r="55" spans="1:21" s="12" customFormat="1" x14ac:dyDescent="0.25">
      <c r="A55" s="201" t="s">
        <v>3078</v>
      </c>
      <c r="B55" s="60">
        <v>0.47</v>
      </c>
      <c r="C55" s="60">
        <v>6.27</v>
      </c>
      <c r="D55" s="60">
        <v>3.84</v>
      </c>
      <c r="E55" s="60">
        <v>193.78</v>
      </c>
      <c r="F55" s="60">
        <v>8.1199999999999992</v>
      </c>
      <c r="G55" s="217" t="s">
        <v>39</v>
      </c>
      <c r="H55" s="217" t="s">
        <v>39</v>
      </c>
      <c r="I55" s="60">
        <v>0.48</v>
      </c>
      <c r="J55" s="60">
        <v>1.07</v>
      </c>
      <c r="K55" s="60">
        <v>150.69</v>
      </c>
      <c r="L55" s="60">
        <v>27.03</v>
      </c>
      <c r="M55" s="60">
        <v>64</v>
      </c>
      <c r="N55" s="60">
        <v>302.2</v>
      </c>
      <c r="O55" s="60">
        <v>0</v>
      </c>
      <c r="P55" s="60">
        <v>1.08</v>
      </c>
      <c r="Q55" s="60">
        <v>100.7</v>
      </c>
      <c r="R55" s="198"/>
      <c r="S55" s="198"/>
      <c r="T55" s="198"/>
      <c r="U55" s="198"/>
    </row>
    <row r="56" spans="1:21" s="12" customFormat="1" x14ac:dyDescent="0.25">
      <c r="A56" s="201" t="s">
        <v>3079</v>
      </c>
      <c r="B56" s="60">
        <v>22.1</v>
      </c>
      <c r="C56" s="60">
        <v>16.07</v>
      </c>
      <c r="D56" s="60">
        <v>35.549999999999997</v>
      </c>
      <c r="E56" s="60">
        <v>10.1</v>
      </c>
      <c r="F56" s="60">
        <v>11.31</v>
      </c>
      <c r="G56" s="217" t="s">
        <v>39</v>
      </c>
      <c r="H56" s="217" t="s">
        <v>39</v>
      </c>
      <c r="I56" s="60">
        <v>0.42</v>
      </c>
      <c r="J56" s="60">
        <v>1.1599999999999999</v>
      </c>
      <c r="K56" s="60">
        <v>132.16</v>
      </c>
      <c r="L56" s="60">
        <v>29.87</v>
      </c>
      <c r="M56" s="60">
        <v>77</v>
      </c>
      <c r="N56" s="60">
        <v>292.5</v>
      </c>
      <c r="O56" s="60">
        <v>0</v>
      </c>
      <c r="P56" s="60">
        <v>1.06</v>
      </c>
      <c r="Q56" s="60">
        <v>92.98</v>
      </c>
      <c r="R56" s="198"/>
      <c r="S56" s="198"/>
      <c r="T56" s="198"/>
      <c r="U56" s="198"/>
    </row>
    <row r="57" spans="1:21" s="12" customFormat="1" x14ac:dyDescent="0.25">
      <c r="A57" s="201" t="s">
        <v>3080</v>
      </c>
      <c r="B57" s="60">
        <v>122.66</v>
      </c>
      <c r="C57" s="60">
        <v>53.1</v>
      </c>
      <c r="D57" s="60">
        <v>175.76</v>
      </c>
      <c r="E57" s="60">
        <v>5.79</v>
      </c>
      <c r="F57" s="60">
        <v>5.73</v>
      </c>
      <c r="G57" s="217" t="s">
        <v>39</v>
      </c>
      <c r="H57" s="217" t="s">
        <v>39</v>
      </c>
      <c r="I57" s="60">
        <v>0.4</v>
      </c>
      <c r="J57" s="60">
        <v>0.73</v>
      </c>
      <c r="K57" s="60">
        <v>147.43</v>
      </c>
      <c r="L57" s="60">
        <v>27.97</v>
      </c>
      <c r="M57" s="60">
        <v>50</v>
      </c>
      <c r="N57" s="60">
        <v>294</v>
      </c>
      <c r="O57" s="60">
        <v>0</v>
      </c>
      <c r="P57" s="60">
        <v>1.04</v>
      </c>
      <c r="Q57" s="60">
        <v>88.14</v>
      </c>
      <c r="R57" s="198"/>
      <c r="S57" s="198"/>
      <c r="T57" s="198"/>
      <c r="U57" s="198"/>
    </row>
    <row r="58" spans="1:21" s="12" customFormat="1" x14ac:dyDescent="0.25">
      <c r="A58" s="201" t="s">
        <v>3081</v>
      </c>
      <c r="B58" s="60">
        <v>1.86</v>
      </c>
      <c r="C58" s="60">
        <v>73.8</v>
      </c>
      <c r="D58" s="60">
        <v>43.9</v>
      </c>
      <c r="E58" s="60">
        <v>5.38</v>
      </c>
      <c r="F58" s="60">
        <v>10.26</v>
      </c>
      <c r="G58" s="217" t="s">
        <v>39</v>
      </c>
      <c r="H58" s="217" t="s">
        <v>39</v>
      </c>
      <c r="I58" s="60">
        <v>0.33</v>
      </c>
      <c r="J58" s="60">
        <v>0.75</v>
      </c>
      <c r="K58" s="60">
        <v>138.51</v>
      </c>
      <c r="L58" s="60">
        <v>28.65</v>
      </c>
      <c r="M58" s="60">
        <v>69</v>
      </c>
      <c r="N58" s="60">
        <v>299.2</v>
      </c>
      <c r="O58" s="60">
        <v>0</v>
      </c>
      <c r="P58" s="60">
        <v>1</v>
      </c>
      <c r="Q58" s="60">
        <v>87.62</v>
      </c>
      <c r="R58" s="198"/>
      <c r="S58" s="198"/>
      <c r="T58" s="198"/>
      <c r="U58" s="198"/>
    </row>
    <row r="59" spans="1:21" s="12" customFormat="1" x14ac:dyDescent="0.25">
      <c r="A59" s="201" t="s">
        <v>3082</v>
      </c>
      <c r="B59" s="60">
        <v>2.08</v>
      </c>
      <c r="C59" s="60">
        <v>75.56</v>
      </c>
      <c r="D59" s="60">
        <v>43.37</v>
      </c>
      <c r="E59" s="60">
        <v>6.27</v>
      </c>
      <c r="F59" s="60">
        <v>5.86</v>
      </c>
      <c r="G59" s="60">
        <v>17.14</v>
      </c>
      <c r="H59" s="60">
        <v>12.09</v>
      </c>
      <c r="I59" s="60">
        <v>0.32</v>
      </c>
      <c r="J59" s="60">
        <v>1.04</v>
      </c>
      <c r="K59" s="60">
        <v>138.88</v>
      </c>
      <c r="L59" s="60">
        <v>28.39</v>
      </c>
      <c r="M59" s="60">
        <v>44</v>
      </c>
      <c r="N59" s="60">
        <v>294</v>
      </c>
      <c r="O59" s="60">
        <v>0</v>
      </c>
      <c r="P59" s="60">
        <v>0.99</v>
      </c>
      <c r="Q59" s="60">
        <v>85.36</v>
      </c>
      <c r="R59" s="198"/>
      <c r="S59" s="198"/>
      <c r="T59" s="198"/>
      <c r="U59" s="198"/>
    </row>
    <row r="60" spans="1:21" s="12" customFormat="1" x14ac:dyDescent="0.25">
      <c r="A60" s="201" t="s">
        <v>3083</v>
      </c>
      <c r="B60" s="60">
        <v>1.66</v>
      </c>
      <c r="C60" s="60">
        <v>73.290000000000006</v>
      </c>
      <c r="D60" s="60">
        <v>41.77</v>
      </c>
      <c r="E60" s="60">
        <v>5.51</v>
      </c>
      <c r="F60" s="60">
        <v>7.09</v>
      </c>
      <c r="G60" s="60">
        <v>56.57</v>
      </c>
      <c r="H60" s="60">
        <v>51.81</v>
      </c>
      <c r="I60" s="60">
        <v>0.31</v>
      </c>
      <c r="J60" s="60">
        <v>1.1000000000000001</v>
      </c>
      <c r="K60" s="60">
        <v>142.07</v>
      </c>
      <c r="L60" s="60">
        <v>27.59</v>
      </c>
      <c r="M60" s="60">
        <v>35</v>
      </c>
      <c r="N60" s="60">
        <v>293.7</v>
      </c>
      <c r="O60" s="60">
        <v>0</v>
      </c>
      <c r="P60" s="60">
        <v>0.93</v>
      </c>
      <c r="Q60" s="60">
        <v>82.68</v>
      </c>
      <c r="R60" s="198"/>
      <c r="S60" s="198"/>
      <c r="T60" s="198"/>
      <c r="U60" s="198"/>
    </row>
    <row r="61" spans="1:21" s="12" customFormat="1" x14ac:dyDescent="0.25">
      <c r="A61" s="201" t="s">
        <v>3084</v>
      </c>
      <c r="B61" s="60">
        <v>1.44</v>
      </c>
      <c r="C61" s="60">
        <v>68.88</v>
      </c>
      <c r="D61" s="60">
        <v>39.17</v>
      </c>
      <c r="E61" s="60">
        <v>5.58</v>
      </c>
      <c r="F61" s="60">
        <v>10.71</v>
      </c>
      <c r="G61" s="60">
        <v>56.57</v>
      </c>
      <c r="H61" s="60">
        <v>51.81</v>
      </c>
      <c r="I61" s="60">
        <v>0.28000000000000003</v>
      </c>
      <c r="J61" s="60">
        <v>0.9</v>
      </c>
      <c r="K61" s="60">
        <v>142.08000000000001</v>
      </c>
      <c r="L61" s="60">
        <v>27.26</v>
      </c>
      <c r="M61" s="60">
        <v>38</v>
      </c>
      <c r="N61" s="60">
        <v>285.10000000000002</v>
      </c>
      <c r="O61" s="60">
        <v>0</v>
      </c>
      <c r="P61" s="60">
        <v>0.84</v>
      </c>
      <c r="Q61" s="60">
        <v>80.760000000000005</v>
      </c>
      <c r="R61" s="198"/>
      <c r="S61" s="198"/>
      <c r="T61" s="198"/>
      <c r="U61" s="198"/>
    </row>
    <row r="62" spans="1:21" s="12" customFormat="1" x14ac:dyDescent="0.25">
      <c r="A62" s="201" t="s">
        <v>3085</v>
      </c>
      <c r="B62" s="60">
        <v>1.3</v>
      </c>
      <c r="C62" s="60">
        <v>65.8</v>
      </c>
      <c r="D62" s="60">
        <v>37.35</v>
      </c>
      <c r="E62" s="60">
        <v>5.58</v>
      </c>
      <c r="F62" s="60">
        <v>6.07</v>
      </c>
      <c r="G62" s="60">
        <v>56.57</v>
      </c>
      <c r="H62" s="60">
        <v>51.81</v>
      </c>
      <c r="I62" s="60">
        <v>0.27</v>
      </c>
      <c r="J62" s="60">
        <v>1.39</v>
      </c>
      <c r="K62" s="60">
        <v>139.97</v>
      </c>
      <c r="L62" s="60">
        <v>28.15</v>
      </c>
      <c r="M62" s="60">
        <v>47</v>
      </c>
      <c r="N62" s="60">
        <v>274.5</v>
      </c>
      <c r="O62" s="60">
        <v>0</v>
      </c>
      <c r="P62" s="60">
        <v>0.87</v>
      </c>
      <c r="Q62" s="60">
        <v>78.95</v>
      </c>
      <c r="R62" s="198"/>
      <c r="S62" s="198"/>
      <c r="T62" s="198"/>
      <c r="U62" s="198"/>
    </row>
    <row r="63" spans="1:21" s="12" customFormat="1" x14ac:dyDescent="0.25">
      <c r="A63" s="201" t="s">
        <v>3086</v>
      </c>
      <c r="B63" s="60">
        <v>1.47</v>
      </c>
      <c r="C63" s="60">
        <v>65.95</v>
      </c>
      <c r="D63" s="60">
        <v>37.58</v>
      </c>
      <c r="E63" s="60">
        <v>6.79</v>
      </c>
      <c r="F63" s="60">
        <v>5.0199999999999996</v>
      </c>
      <c r="G63" s="60">
        <v>56.71</v>
      </c>
      <c r="H63" s="60">
        <v>49.63</v>
      </c>
      <c r="I63" s="60">
        <v>0.25</v>
      </c>
      <c r="J63" s="60">
        <v>0.82</v>
      </c>
      <c r="K63" s="60">
        <v>128.87</v>
      </c>
      <c r="L63" s="60">
        <v>29.43</v>
      </c>
      <c r="M63" s="60">
        <v>87</v>
      </c>
      <c r="N63" s="60">
        <v>246.7</v>
      </c>
      <c r="O63" s="60">
        <v>0</v>
      </c>
      <c r="P63" s="60">
        <v>0.86</v>
      </c>
      <c r="Q63" s="60">
        <v>83.33</v>
      </c>
      <c r="R63" s="198"/>
      <c r="S63" s="198"/>
      <c r="T63" s="198"/>
      <c r="U63" s="198"/>
    </row>
    <row r="64" spans="1:21" s="12" customFormat="1" x14ac:dyDescent="0.25">
      <c r="A64" s="201" t="s">
        <v>3087</v>
      </c>
      <c r="B64" s="60">
        <v>1.75</v>
      </c>
      <c r="C64" s="60">
        <v>68.06</v>
      </c>
      <c r="D64" s="60">
        <v>38.96</v>
      </c>
      <c r="E64" s="60">
        <v>5.04</v>
      </c>
      <c r="F64" s="60">
        <v>6.25</v>
      </c>
      <c r="G64" s="60">
        <v>57.03</v>
      </c>
      <c r="H64" s="60">
        <v>42.49</v>
      </c>
      <c r="I64" s="60">
        <v>0.26</v>
      </c>
      <c r="J64" s="60">
        <v>0.55000000000000004</v>
      </c>
      <c r="K64" s="60">
        <v>121.29</v>
      </c>
      <c r="L64" s="60">
        <v>30.2</v>
      </c>
      <c r="M64" s="60">
        <v>77</v>
      </c>
      <c r="N64" s="60">
        <v>234.7</v>
      </c>
      <c r="O64" s="60">
        <v>0</v>
      </c>
      <c r="P64" s="60">
        <v>0.87</v>
      </c>
      <c r="Q64" s="60">
        <v>88.29</v>
      </c>
      <c r="R64" s="198"/>
      <c r="S64" s="198"/>
      <c r="T64" s="198"/>
      <c r="U64" s="198"/>
    </row>
    <row r="65" spans="1:21" s="12" customFormat="1" x14ac:dyDescent="0.25">
      <c r="A65" s="201" t="s">
        <v>3088</v>
      </c>
      <c r="B65" s="60">
        <v>1.8</v>
      </c>
      <c r="C65" s="60">
        <v>70.61</v>
      </c>
      <c r="D65" s="60">
        <v>40.409999999999997</v>
      </c>
      <c r="E65" s="60">
        <v>6.49</v>
      </c>
      <c r="F65" s="60">
        <v>9.84</v>
      </c>
      <c r="G65" s="60">
        <v>57.03</v>
      </c>
      <c r="H65" s="60">
        <v>42.49</v>
      </c>
      <c r="I65" s="60">
        <v>0.26</v>
      </c>
      <c r="J65" s="60">
        <v>0.52</v>
      </c>
      <c r="K65" s="60">
        <v>114.74</v>
      </c>
      <c r="L65" s="60">
        <v>31.48</v>
      </c>
      <c r="M65" s="60">
        <v>86</v>
      </c>
      <c r="N65" s="60">
        <v>213.6</v>
      </c>
      <c r="O65" s="60">
        <v>0</v>
      </c>
      <c r="P65" s="60">
        <v>0.89</v>
      </c>
      <c r="Q65" s="60">
        <v>90.72</v>
      </c>
      <c r="R65" s="198"/>
      <c r="S65" s="198"/>
      <c r="T65" s="198"/>
      <c r="U65" s="198"/>
    </row>
    <row r="66" spans="1:21" s="12" customFormat="1" x14ac:dyDescent="0.25">
      <c r="A66" s="201" t="s">
        <v>3089</v>
      </c>
      <c r="B66" s="60">
        <v>1.72</v>
      </c>
      <c r="C66" s="60">
        <v>71.61</v>
      </c>
      <c r="D66" s="60">
        <v>40.9</v>
      </c>
      <c r="E66" s="60">
        <v>9.31</v>
      </c>
      <c r="F66" s="60">
        <v>17.010000000000002</v>
      </c>
      <c r="G66" s="60">
        <v>57.03</v>
      </c>
      <c r="H66" s="60">
        <v>42.49</v>
      </c>
      <c r="I66" s="60">
        <v>0.26</v>
      </c>
      <c r="J66" s="60">
        <v>0.4</v>
      </c>
      <c r="K66" s="60">
        <v>115.19</v>
      </c>
      <c r="L66" s="60">
        <v>31.37</v>
      </c>
      <c r="M66" s="60">
        <v>79</v>
      </c>
      <c r="N66" s="60">
        <v>97.4</v>
      </c>
      <c r="O66" s="60">
        <v>0</v>
      </c>
      <c r="P66" s="60">
        <v>0.89</v>
      </c>
      <c r="Q66" s="60">
        <v>92.51</v>
      </c>
      <c r="R66" s="198"/>
      <c r="S66" s="198"/>
      <c r="T66" s="198"/>
      <c r="U66" s="198"/>
    </row>
    <row r="67" spans="1:21" s="12" customFormat="1" x14ac:dyDescent="0.25">
      <c r="A67" s="201" t="s">
        <v>3090</v>
      </c>
      <c r="B67" s="60">
        <v>1.94</v>
      </c>
      <c r="C67" s="60">
        <v>73.16</v>
      </c>
      <c r="D67" s="60">
        <v>41.93</v>
      </c>
      <c r="E67" s="60">
        <v>8.2799999999999994</v>
      </c>
      <c r="F67" s="60">
        <v>9.9499999999999993</v>
      </c>
      <c r="G67" s="60">
        <v>58.11</v>
      </c>
      <c r="H67" s="60">
        <v>40.97</v>
      </c>
      <c r="I67" s="60">
        <v>0.25</v>
      </c>
      <c r="J67" s="60">
        <v>0.27</v>
      </c>
      <c r="K67" s="60">
        <v>115.15</v>
      </c>
      <c r="L67" s="60">
        <v>31.06</v>
      </c>
      <c r="M67" s="60">
        <v>76</v>
      </c>
      <c r="N67" s="60">
        <v>65.099999999999994</v>
      </c>
      <c r="O67" s="60">
        <v>0</v>
      </c>
      <c r="P67" s="60">
        <v>0.91</v>
      </c>
      <c r="Q67" s="60">
        <v>93.84</v>
      </c>
      <c r="R67" s="198"/>
      <c r="S67" s="198"/>
      <c r="T67" s="198"/>
      <c r="U67" s="198"/>
    </row>
    <row r="68" spans="1:21" s="12" customFormat="1" x14ac:dyDescent="0.25">
      <c r="A68" s="201" t="s">
        <v>3091</v>
      </c>
      <c r="B68" s="60">
        <v>2.12</v>
      </c>
      <c r="C68" s="60">
        <v>75.400000000000006</v>
      </c>
      <c r="D68" s="60">
        <v>43.31</v>
      </c>
      <c r="E68" s="60">
        <v>9.2200000000000006</v>
      </c>
      <c r="F68" s="60">
        <v>19.66</v>
      </c>
      <c r="G68" s="60">
        <v>60.61</v>
      </c>
      <c r="H68" s="60">
        <v>36.270000000000003</v>
      </c>
      <c r="I68" s="60">
        <v>0.24</v>
      </c>
      <c r="J68" s="60">
        <v>0.49</v>
      </c>
      <c r="K68" s="60">
        <v>116.67</v>
      </c>
      <c r="L68" s="60">
        <v>30.61</v>
      </c>
      <c r="M68" s="60">
        <v>85</v>
      </c>
      <c r="N68" s="60">
        <v>122.5</v>
      </c>
      <c r="O68" s="60">
        <v>0</v>
      </c>
      <c r="P68" s="60">
        <v>1.02</v>
      </c>
      <c r="Q68" s="60">
        <v>94.4</v>
      </c>
      <c r="R68" s="198"/>
      <c r="S68" s="198"/>
      <c r="T68" s="198"/>
      <c r="U68" s="198"/>
    </row>
    <row r="69" spans="1:21" s="12" customFormat="1" x14ac:dyDescent="0.25">
      <c r="A69" s="201" t="s">
        <v>3092</v>
      </c>
      <c r="B69" s="60">
        <v>2.11</v>
      </c>
      <c r="C69" s="60">
        <v>76.89</v>
      </c>
      <c r="D69" s="60">
        <v>44.12</v>
      </c>
      <c r="E69" s="60">
        <v>9.0399999999999991</v>
      </c>
      <c r="F69" s="60">
        <v>15.1</v>
      </c>
      <c r="G69" s="60">
        <v>60.61</v>
      </c>
      <c r="H69" s="60">
        <v>36.270000000000003</v>
      </c>
      <c r="I69" s="60">
        <v>0.27</v>
      </c>
      <c r="J69" s="60">
        <v>0.36</v>
      </c>
      <c r="K69" s="60">
        <v>117.2</v>
      </c>
      <c r="L69" s="60">
        <v>30.37</v>
      </c>
      <c r="M69" s="60">
        <v>70</v>
      </c>
      <c r="N69" s="60">
        <v>93.1</v>
      </c>
      <c r="O69" s="60">
        <v>0</v>
      </c>
      <c r="P69" s="60">
        <v>0.97</v>
      </c>
      <c r="Q69" s="60">
        <v>95.94</v>
      </c>
      <c r="R69" s="198"/>
      <c r="S69" s="198"/>
      <c r="T69" s="198"/>
      <c r="U69" s="198"/>
    </row>
    <row r="70" spans="1:21" s="12" customFormat="1" x14ac:dyDescent="0.25">
      <c r="A70" s="201" t="s">
        <v>3093</v>
      </c>
      <c r="B70" s="60">
        <v>2.0299999999999998</v>
      </c>
      <c r="C70" s="60">
        <v>76.72</v>
      </c>
      <c r="D70" s="60">
        <v>43.97</v>
      </c>
      <c r="E70" s="60">
        <v>8.48</v>
      </c>
      <c r="F70" s="60">
        <v>24.03</v>
      </c>
      <c r="G70" s="60">
        <v>60.61</v>
      </c>
      <c r="H70" s="60">
        <v>36.270000000000003</v>
      </c>
      <c r="I70" s="60">
        <v>0.28000000000000003</v>
      </c>
      <c r="J70" s="60">
        <v>0.52</v>
      </c>
      <c r="K70" s="60">
        <v>125.78</v>
      </c>
      <c r="L70" s="60">
        <v>28.38</v>
      </c>
      <c r="M70" s="60">
        <v>51</v>
      </c>
      <c r="N70" s="60">
        <v>44.6</v>
      </c>
      <c r="O70" s="60">
        <v>0</v>
      </c>
      <c r="P70" s="60">
        <v>0.95</v>
      </c>
      <c r="Q70" s="60">
        <v>95.05</v>
      </c>
      <c r="R70" s="198"/>
      <c r="S70" s="198"/>
      <c r="T70" s="198"/>
      <c r="U70" s="198"/>
    </row>
    <row r="71" spans="1:21" s="12" customFormat="1" x14ac:dyDescent="0.25">
      <c r="A71" s="201" t="s">
        <v>3094</v>
      </c>
      <c r="B71" s="60">
        <v>1.77</v>
      </c>
      <c r="C71" s="60">
        <v>78.36</v>
      </c>
      <c r="D71" s="60">
        <v>44.67</v>
      </c>
      <c r="E71" s="60">
        <v>12.92</v>
      </c>
      <c r="F71" s="60">
        <v>30.69</v>
      </c>
      <c r="G71" s="60">
        <v>60.54</v>
      </c>
      <c r="H71" s="60">
        <v>37.25</v>
      </c>
      <c r="I71" s="60">
        <v>0.27</v>
      </c>
      <c r="J71" s="60">
        <v>0.38</v>
      </c>
      <c r="K71" s="60">
        <v>129.72</v>
      </c>
      <c r="L71" s="60">
        <v>28.06</v>
      </c>
      <c r="M71" s="60">
        <v>75</v>
      </c>
      <c r="N71" s="60">
        <v>12.5</v>
      </c>
      <c r="O71" s="60">
        <v>0</v>
      </c>
      <c r="P71" s="60">
        <v>0.93</v>
      </c>
      <c r="Q71" s="60">
        <v>87.69</v>
      </c>
      <c r="R71" s="198"/>
      <c r="S71" s="198"/>
      <c r="T71" s="198"/>
      <c r="U71" s="198"/>
    </row>
    <row r="72" spans="1:21" s="12" customFormat="1" x14ac:dyDescent="0.25">
      <c r="A72" s="201" t="s">
        <v>3095</v>
      </c>
      <c r="B72" s="60">
        <v>1.66</v>
      </c>
      <c r="C72" s="60">
        <v>84.32</v>
      </c>
      <c r="D72" s="60">
        <v>47.87</v>
      </c>
      <c r="E72" s="60">
        <v>4.22</v>
      </c>
      <c r="F72" s="60">
        <v>10.54</v>
      </c>
      <c r="G72" s="60">
        <v>60.21</v>
      </c>
      <c r="H72" s="60">
        <v>40.47</v>
      </c>
      <c r="I72" s="60">
        <v>0.25</v>
      </c>
      <c r="J72" s="60">
        <v>0.34</v>
      </c>
      <c r="K72" s="60">
        <v>133.93</v>
      </c>
      <c r="L72" s="60">
        <v>27.94</v>
      </c>
      <c r="M72" s="60">
        <v>87</v>
      </c>
      <c r="N72" s="60">
        <v>0.3</v>
      </c>
      <c r="O72" s="60">
        <v>0</v>
      </c>
      <c r="P72" s="60">
        <v>1.02</v>
      </c>
      <c r="Q72" s="60">
        <v>81.09</v>
      </c>
      <c r="R72" s="198"/>
      <c r="S72" s="198"/>
      <c r="T72" s="198"/>
      <c r="U72" s="198"/>
    </row>
    <row r="73" spans="1:21" s="12" customFormat="1" x14ac:dyDescent="0.25">
      <c r="A73" s="201" t="s">
        <v>3096</v>
      </c>
      <c r="B73" s="60">
        <v>1.79</v>
      </c>
      <c r="C73" s="60">
        <v>87.66</v>
      </c>
      <c r="D73" s="60">
        <v>49.81</v>
      </c>
      <c r="E73" s="60">
        <v>6.72</v>
      </c>
      <c r="F73" s="60">
        <v>13.98</v>
      </c>
      <c r="G73" s="60">
        <v>60.21</v>
      </c>
      <c r="H73" s="60">
        <v>40.47</v>
      </c>
      <c r="I73" s="60">
        <v>0.23</v>
      </c>
      <c r="J73" s="60">
        <v>0.22</v>
      </c>
      <c r="K73" s="60">
        <v>133.52000000000001</v>
      </c>
      <c r="L73" s="60">
        <v>27.62</v>
      </c>
      <c r="M73" s="60">
        <v>80</v>
      </c>
      <c r="N73" s="213" t="s">
        <v>35</v>
      </c>
      <c r="O73" s="60">
        <v>0</v>
      </c>
      <c r="P73" s="60">
        <v>1.02</v>
      </c>
      <c r="Q73" s="60">
        <v>82.3</v>
      </c>
      <c r="R73" s="198"/>
      <c r="S73" s="198"/>
      <c r="T73" s="198"/>
      <c r="U73" s="198"/>
    </row>
    <row r="74" spans="1:21" s="12" customFormat="1" x14ac:dyDescent="0.25">
      <c r="A74" s="201" t="s">
        <v>3097</v>
      </c>
      <c r="B74" s="60">
        <v>1.76</v>
      </c>
      <c r="C74" s="60">
        <v>84.25</v>
      </c>
      <c r="D74" s="60">
        <v>47.91</v>
      </c>
      <c r="E74" s="60">
        <v>6.28</v>
      </c>
      <c r="F74" s="60">
        <v>12.71</v>
      </c>
      <c r="G74" s="60">
        <v>60.21</v>
      </c>
      <c r="H74" s="60">
        <v>40.47</v>
      </c>
      <c r="I74" s="60">
        <v>0.25</v>
      </c>
      <c r="J74" s="60">
        <v>0.31</v>
      </c>
      <c r="K74" s="60">
        <v>133.09</v>
      </c>
      <c r="L74" s="60">
        <v>27.01</v>
      </c>
      <c r="M74" s="60">
        <v>58</v>
      </c>
      <c r="N74" s="213" t="s">
        <v>35</v>
      </c>
      <c r="O74" s="60">
        <v>0</v>
      </c>
      <c r="P74" s="60">
        <v>0.98</v>
      </c>
      <c r="Q74" s="60">
        <v>84.3</v>
      </c>
      <c r="R74" s="198"/>
      <c r="S74" s="198"/>
      <c r="T74" s="198"/>
      <c r="U74" s="198"/>
    </row>
    <row r="75" spans="1:21" s="12" customFormat="1" x14ac:dyDescent="0.25">
      <c r="A75" s="201" t="s">
        <v>3098</v>
      </c>
      <c r="B75" s="60">
        <v>1.45</v>
      </c>
      <c r="C75" s="60">
        <v>77.989999999999995</v>
      </c>
      <c r="D75" s="60">
        <v>44.21</v>
      </c>
      <c r="E75" s="60">
        <v>6.22</v>
      </c>
      <c r="F75" s="60">
        <v>14.53</v>
      </c>
      <c r="G75" s="60">
        <v>58.85</v>
      </c>
      <c r="H75" s="60">
        <v>38.35</v>
      </c>
      <c r="I75" s="60">
        <v>0.26</v>
      </c>
      <c r="J75" s="60">
        <v>0.14000000000000001</v>
      </c>
      <c r="K75" s="60">
        <v>140.34</v>
      </c>
      <c r="L75" s="60">
        <v>26.49</v>
      </c>
      <c r="M75" s="60">
        <v>81</v>
      </c>
      <c r="N75" s="213" t="s">
        <v>35</v>
      </c>
      <c r="O75" s="60">
        <v>0</v>
      </c>
      <c r="P75" s="60">
        <v>0.93</v>
      </c>
      <c r="Q75" s="60">
        <v>82.25</v>
      </c>
      <c r="R75" s="198"/>
      <c r="S75" s="198"/>
      <c r="T75" s="198"/>
      <c r="U75" s="198"/>
    </row>
    <row r="76" spans="1:21" s="12" customFormat="1" x14ac:dyDescent="0.25">
      <c r="A76" s="201" t="s">
        <v>3099</v>
      </c>
      <c r="B76" s="60">
        <v>1.64</v>
      </c>
      <c r="C76" s="60">
        <v>74.510000000000005</v>
      </c>
      <c r="D76" s="60">
        <v>42.43</v>
      </c>
      <c r="E76" s="60">
        <v>5.03</v>
      </c>
      <c r="F76" s="60">
        <v>3.91</v>
      </c>
      <c r="G76" s="60">
        <v>55.71</v>
      </c>
      <c r="H76" s="60">
        <v>31.39</v>
      </c>
      <c r="I76" s="60">
        <v>0.27</v>
      </c>
      <c r="J76" s="60">
        <v>0.12</v>
      </c>
      <c r="K76" s="60">
        <v>172.37</v>
      </c>
      <c r="L76" s="60">
        <v>25.53</v>
      </c>
      <c r="M76" s="60">
        <v>74</v>
      </c>
      <c r="N76" s="213" t="s">
        <v>35</v>
      </c>
      <c r="O76" s="60">
        <v>0</v>
      </c>
      <c r="P76" s="60">
        <v>1.02</v>
      </c>
      <c r="Q76" s="60">
        <v>83.18</v>
      </c>
      <c r="R76" s="198"/>
      <c r="S76" s="198"/>
      <c r="T76" s="198"/>
      <c r="U76" s="198"/>
    </row>
    <row r="77" spans="1:21" s="12" customFormat="1" x14ac:dyDescent="0.25">
      <c r="A77" s="201" t="s">
        <v>3100</v>
      </c>
      <c r="B77" s="60">
        <v>3.3</v>
      </c>
      <c r="C77" s="60">
        <v>80.319999999999993</v>
      </c>
      <c r="D77" s="60">
        <v>46.98</v>
      </c>
      <c r="E77" s="60">
        <v>4.62</v>
      </c>
      <c r="F77" s="60">
        <v>3.08</v>
      </c>
      <c r="G77" s="60">
        <v>55.71</v>
      </c>
      <c r="H77" s="60">
        <v>31.39</v>
      </c>
      <c r="I77" s="60">
        <v>0.25</v>
      </c>
      <c r="J77" s="60">
        <v>0.24</v>
      </c>
      <c r="K77" s="60">
        <v>190.56</v>
      </c>
      <c r="L77" s="60">
        <v>24.54</v>
      </c>
      <c r="M77" s="60">
        <v>73</v>
      </c>
      <c r="N77" s="213" t="s">
        <v>35</v>
      </c>
      <c r="O77" s="60">
        <v>0</v>
      </c>
      <c r="P77" s="60">
        <v>1.21</v>
      </c>
      <c r="Q77" s="60">
        <v>86.2</v>
      </c>
      <c r="R77" s="198"/>
      <c r="S77" s="198"/>
      <c r="T77" s="198"/>
      <c r="U77" s="198"/>
    </row>
    <row r="78" spans="1:21" s="12" customFormat="1" x14ac:dyDescent="0.25">
      <c r="A78" s="201" t="s">
        <v>3101</v>
      </c>
      <c r="B78" s="60">
        <v>7.44</v>
      </c>
      <c r="C78" s="60">
        <v>90.35</v>
      </c>
      <c r="D78" s="60">
        <v>55.83</v>
      </c>
      <c r="E78" s="60">
        <v>4.5999999999999996</v>
      </c>
      <c r="F78" s="60">
        <v>2.34</v>
      </c>
      <c r="G78" s="60">
        <v>55.71</v>
      </c>
      <c r="H78" s="60">
        <v>31.39</v>
      </c>
      <c r="I78" s="60">
        <v>0.28000000000000003</v>
      </c>
      <c r="J78" s="60">
        <v>0.56000000000000005</v>
      </c>
      <c r="K78" s="60">
        <v>183.97</v>
      </c>
      <c r="L78" s="60">
        <v>23.95</v>
      </c>
      <c r="M78" s="60">
        <v>89</v>
      </c>
      <c r="N78" s="213" t="s">
        <v>35</v>
      </c>
      <c r="O78" s="60">
        <v>0</v>
      </c>
      <c r="P78" s="60">
        <v>1.26</v>
      </c>
      <c r="Q78" s="60">
        <v>90.24</v>
      </c>
      <c r="R78" s="198"/>
      <c r="S78" s="198"/>
      <c r="T78" s="198"/>
      <c r="U78" s="198"/>
    </row>
    <row r="79" spans="1:21" s="12" customFormat="1" x14ac:dyDescent="0.25">
      <c r="A79" s="201" t="s">
        <v>3102</v>
      </c>
      <c r="B79" s="60">
        <v>9.25</v>
      </c>
      <c r="C79" s="60">
        <v>94.83</v>
      </c>
      <c r="D79" s="60">
        <v>59.75</v>
      </c>
      <c r="E79" s="60">
        <v>4.8899999999999997</v>
      </c>
      <c r="F79" s="60">
        <v>2.25</v>
      </c>
      <c r="G79" s="60">
        <v>62.11</v>
      </c>
      <c r="H79" s="60">
        <v>33.82</v>
      </c>
      <c r="I79" s="60">
        <v>0.33</v>
      </c>
      <c r="J79" s="60">
        <v>0.46</v>
      </c>
      <c r="K79" s="60">
        <v>183.14</v>
      </c>
      <c r="L79" s="60">
        <v>23.94</v>
      </c>
      <c r="M79" s="60">
        <v>90</v>
      </c>
      <c r="N79" s="213" t="s">
        <v>35</v>
      </c>
      <c r="O79" s="60">
        <v>0</v>
      </c>
      <c r="P79" s="60">
        <v>1.36</v>
      </c>
      <c r="Q79" s="60">
        <v>95.17</v>
      </c>
      <c r="R79" s="198"/>
      <c r="S79" s="198"/>
      <c r="T79" s="198"/>
      <c r="U79" s="198"/>
    </row>
    <row r="80" spans="1:21" s="12" customFormat="1" x14ac:dyDescent="0.25">
      <c r="A80" s="201" t="s">
        <v>3103</v>
      </c>
      <c r="B80" s="60">
        <v>10.34</v>
      </c>
      <c r="C80" s="60">
        <v>97.07</v>
      </c>
      <c r="D80" s="60">
        <v>61.87</v>
      </c>
      <c r="E80" s="60">
        <v>4.55</v>
      </c>
      <c r="F80" s="60">
        <v>1.89</v>
      </c>
      <c r="G80" s="60">
        <v>76.83</v>
      </c>
      <c r="H80" s="60">
        <v>41.36</v>
      </c>
      <c r="I80" s="60">
        <v>0.35</v>
      </c>
      <c r="J80" s="60">
        <v>0.21</v>
      </c>
      <c r="K80" s="60">
        <v>196.78</v>
      </c>
      <c r="L80" s="60">
        <v>23.48</v>
      </c>
      <c r="M80" s="60">
        <v>81</v>
      </c>
      <c r="N80" s="213" t="s">
        <v>35</v>
      </c>
      <c r="O80" s="60">
        <v>0</v>
      </c>
      <c r="P80" s="60">
        <v>1.45</v>
      </c>
      <c r="Q80" s="60">
        <v>99.32</v>
      </c>
      <c r="R80" s="198"/>
      <c r="S80" s="198"/>
      <c r="T80" s="198"/>
      <c r="U80" s="198"/>
    </row>
    <row r="81" spans="1:26" s="12" customFormat="1" x14ac:dyDescent="0.25">
      <c r="A81" s="201" t="s">
        <v>3104</v>
      </c>
      <c r="B81" s="60">
        <v>11.56</v>
      </c>
      <c r="C81" s="60">
        <v>98.13</v>
      </c>
      <c r="D81" s="60">
        <v>63.43</v>
      </c>
      <c r="E81" s="60">
        <v>4.84</v>
      </c>
      <c r="F81" s="60">
        <v>1.1000000000000001</v>
      </c>
      <c r="G81" s="60">
        <v>76.83</v>
      </c>
      <c r="H81" s="60">
        <v>41.36</v>
      </c>
      <c r="I81" s="60">
        <v>0.4</v>
      </c>
      <c r="J81" s="60">
        <v>0.26</v>
      </c>
      <c r="K81" s="60">
        <v>210.32</v>
      </c>
      <c r="L81" s="60">
        <v>22.98</v>
      </c>
      <c r="M81" s="60">
        <v>90</v>
      </c>
      <c r="N81" s="213" t="s">
        <v>35</v>
      </c>
      <c r="O81" s="60">
        <v>0</v>
      </c>
      <c r="P81" s="60">
        <v>1.53</v>
      </c>
      <c r="Q81" s="60">
        <v>103.24</v>
      </c>
      <c r="R81" s="198"/>
      <c r="S81" s="198"/>
      <c r="T81" s="198"/>
      <c r="U81" s="198"/>
    </row>
    <row r="82" spans="1:26" s="12" customFormat="1" x14ac:dyDescent="0.25">
      <c r="A82" s="201" t="s">
        <v>3105</v>
      </c>
      <c r="B82" s="60">
        <v>13.6</v>
      </c>
      <c r="C82" s="60">
        <v>99.54</v>
      </c>
      <c r="D82" s="60">
        <v>65.84</v>
      </c>
      <c r="E82" s="60">
        <v>4.83</v>
      </c>
      <c r="F82" s="60">
        <v>0.87</v>
      </c>
      <c r="G82" s="60">
        <v>76.83</v>
      </c>
      <c r="H82" s="60">
        <v>41.36</v>
      </c>
      <c r="I82" s="60">
        <v>0.43</v>
      </c>
      <c r="J82" s="60">
        <v>0.12</v>
      </c>
      <c r="K82" s="60">
        <v>206.71</v>
      </c>
      <c r="L82" s="60">
        <v>22.87</v>
      </c>
      <c r="M82" s="60">
        <v>65</v>
      </c>
      <c r="N82" s="213" t="s">
        <v>35</v>
      </c>
      <c r="O82" s="60">
        <v>0</v>
      </c>
      <c r="P82" s="60">
        <v>1.64</v>
      </c>
      <c r="Q82" s="60">
        <v>107.13</v>
      </c>
      <c r="R82" s="198"/>
      <c r="S82" s="198"/>
      <c r="T82" s="198"/>
      <c r="U82" s="198"/>
    </row>
    <row r="83" spans="1:26" s="12" customFormat="1" x14ac:dyDescent="0.25">
      <c r="A83" s="201" t="s">
        <v>3106</v>
      </c>
      <c r="B83" s="60">
        <v>15.52</v>
      </c>
      <c r="C83" s="60">
        <v>100.97</v>
      </c>
      <c r="D83" s="60">
        <v>68.17</v>
      </c>
      <c r="E83" s="60">
        <v>4.4800000000000004</v>
      </c>
      <c r="F83" s="60">
        <v>0.89</v>
      </c>
      <c r="G83" s="60">
        <v>100.09</v>
      </c>
      <c r="H83" s="60">
        <v>42.08</v>
      </c>
      <c r="I83" s="60">
        <v>0.47</v>
      </c>
      <c r="J83" s="60">
        <v>0.14000000000000001</v>
      </c>
      <c r="K83" s="60">
        <v>211.24</v>
      </c>
      <c r="L83" s="60">
        <v>22.46</v>
      </c>
      <c r="M83" s="60">
        <v>66</v>
      </c>
      <c r="N83" s="213" t="s">
        <v>35</v>
      </c>
      <c r="O83" s="60">
        <v>0</v>
      </c>
      <c r="P83" s="60">
        <v>1.71</v>
      </c>
      <c r="Q83" s="60">
        <v>110.45</v>
      </c>
      <c r="R83" s="198"/>
      <c r="S83" s="198"/>
      <c r="T83" s="198"/>
      <c r="U83" s="198"/>
    </row>
    <row r="84" spans="1:26" s="12" customFormat="1" x14ac:dyDescent="0.25">
      <c r="A84" s="201" t="s">
        <v>3107</v>
      </c>
      <c r="B84" s="60">
        <v>18.350000000000001</v>
      </c>
      <c r="C84" s="60">
        <v>102.71</v>
      </c>
      <c r="D84" s="60">
        <v>71.400000000000006</v>
      </c>
      <c r="E84" s="60">
        <v>3.84</v>
      </c>
      <c r="F84" s="60">
        <v>0.86</v>
      </c>
      <c r="G84" s="60">
        <v>153.58000000000001</v>
      </c>
      <c r="H84" s="60">
        <v>44.31</v>
      </c>
      <c r="I84" s="60">
        <v>0.51</v>
      </c>
      <c r="J84" s="60">
        <v>0.26</v>
      </c>
      <c r="K84" s="60">
        <v>200.4</v>
      </c>
      <c r="L84" s="60">
        <v>22.67</v>
      </c>
      <c r="M84" s="60">
        <v>62</v>
      </c>
      <c r="N84" s="213" t="s">
        <v>35</v>
      </c>
      <c r="O84" s="60">
        <v>0</v>
      </c>
      <c r="P84" s="60">
        <v>1.83</v>
      </c>
      <c r="Q84" s="60">
        <v>114.07</v>
      </c>
      <c r="R84" s="198"/>
      <c r="S84" s="198"/>
      <c r="T84" s="198"/>
      <c r="U84" s="198"/>
    </row>
    <row r="85" spans="1:26" s="12" customFormat="1" x14ac:dyDescent="0.25">
      <c r="A85" s="201" t="s">
        <v>3108</v>
      </c>
      <c r="B85" s="60">
        <v>20.41</v>
      </c>
      <c r="C85" s="60">
        <v>104.37</v>
      </c>
      <c r="D85" s="60">
        <v>73.97</v>
      </c>
      <c r="E85" s="60">
        <v>4.2699999999999996</v>
      </c>
      <c r="F85" s="60">
        <v>0.9</v>
      </c>
      <c r="G85" s="60">
        <v>153.58000000000001</v>
      </c>
      <c r="H85" s="60">
        <v>44.31</v>
      </c>
      <c r="I85" s="60">
        <v>0.54</v>
      </c>
      <c r="J85" s="60">
        <v>0.31</v>
      </c>
      <c r="K85" s="60">
        <v>192.06</v>
      </c>
      <c r="L85" s="60">
        <v>22.95</v>
      </c>
      <c r="M85" s="60">
        <v>76</v>
      </c>
      <c r="N85" s="213" t="s">
        <v>35</v>
      </c>
      <c r="O85" s="60">
        <v>0</v>
      </c>
      <c r="P85" s="60">
        <v>1.86</v>
      </c>
      <c r="Q85" s="60">
        <v>113.82</v>
      </c>
      <c r="R85" s="198"/>
      <c r="S85" s="198"/>
      <c r="T85" s="198"/>
      <c r="U85" s="198"/>
    </row>
    <row r="86" spans="1:26" s="12" customFormat="1" x14ac:dyDescent="0.25">
      <c r="A86" s="201" t="s">
        <v>3109</v>
      </c>
      <c r="B86" s="60">
        <v>22.46</v>
      </c>
      <c r="C86" s="60">
        <v>107.23</v>
      </c>
      <c r="D86" s="60">
        <v>77.19</v>
      </c>
      <c r="E86" s="60">
        <v>4.72</v>
      </c>
      <c r="F86" s="60">
        <v>0.98</v>
      </c>
      <c r="G86" s="60">
        <v>153.58000000000001</v>
      </c>
      <c r="H86" s="60">
        <v>44.31</v>
      </c>
      <c r="I86" s="60">
        <v>0.57999999999999996</v>
      </c>
      <c r="J86" s="60">
        <v>0.18</v>
      </c>
      <c r="K86" s="60">
        <v>194.9</v>
      </c>
      <c r="L86" s="60">
        <v>22.82</v>
      </c>
      <c r="M86" s="60">
        <v>40</v>
      </c>
      <c r="N86" s="213" t="s">
        <v>35</v>
      </c>
      <c r="O86" s="60">
        <v>0</v>
      </c>
      <c r="P86" s="60">
        <v>2.06</v>
      </c>
      <c r="Q86" s="60">
        <v>114.16</v>
      </c>
      <c r="R86" s="198"/>
      <c r="S86" s="198"/>
      <c r="T86" s="198"/>
      <c r="U86" s="198"/>
    </row>
    <row r="87" spans="1:26" s="12" customFormat="1" x14ac:dyDescent="0.25">
      <c r="A87" s="201" t="s">
        <v>3110</v>
      </c>
      <c r="B87" s="60">
        <v>23.94</v>
      </c>
      <c r="C87" s="60">
        <v>109.34</v>
      </c>
      <c r="D87" s="60">
        <v>79.540000000000006</v>
      </c>
      <c r="E87" s="60">
        <v>4.25</v>
      </c>
      <c r="F87" s="60">
        <v>0.76</v>
      </c>
      <c r="G87" s="60">
        <v>158.96</v>
      </c>
      <c r="H87" s="60">
        <v>45.99</v>
      </c>
      <c r="I87" s="60">
        <v>0.63</v>
      </c>
      <c r="J87" s="60">
        <v>0.25</v>
      </c>
      <c r="K87" s="60">
        <v>203.19</v>
      </c>
      <c r="L87" s="60">
        <v>22.64</v>
      </c>
      <c r="M87" s="60">
        <v>20</v>
      </c>
      <c r="N87" s="213" t="s">
        <v>35</v>
      </c>
      <c r="O87" s="60">
        <v>0</v>
      </c>
      <c r="P87" s="60">
        <v>2.16</v>
      </c>
      <c r="Q87" s="60">
        <v>115.66</v>
      </c>
      <c r="R87" s="198"/>
      <c r="S87" s="198"/>
      <c r="T87" s="198"/>
      <c r="U87" s="198"/>
    </row>
    <row r="88" spans="1:26" s="12" customFormat="1" x14ac:dyDescent="0.25">
      <c r="A88" s="201" t="s">
        <v>3111</v>
      </c>
      <c r="B88" s="60">
        <v>23.82</v>
      </c>
      <c r="C88" s="60">
        <v>109.25</v>
      </c>
      <c r="D88" s="60">
        <v>79.39</v>
      </c>
      <c r="E88" s="60">
        <v>2.4500000000000002</v>
      </c>
      <c r="F88" s="60">
        <v>0.7</v>
      </c>
      <c r="G88" s="60">
        <v>183.72</v>
      </c>
      <c r="H88" s="60">
        <v>51.49</v>
      </c>
      <c r="I88" s="60">
        <v>0.66</v>
      </c>
      <c r="J88" s="60">
        <v>0.27</v>
      </c>
      <c r="K88" s="60">
        <v>211.18</v>
      </c>
      <c r="L88" s="60">
        <v>22.24</v>
      </c>
      <c r="M88" s="60">
        <v>28</v>
      </c>
      <c r="N88" s="213" t="s">
        <v>35</v>
      </c>
      <c r="O88" s="60">
        <v>0</v>
      </c>
      <c r="P88" s="60">
        <v>2.25</v>
      </c>
      <c r="Q88" s="60">
        <v>116.4</v>
      </c>
      <c r="R88" s="198"/>
      <c r="S88" s="198"/>
      <c r="T88" s="198"/>
      <c r="U88" s="198"/>
    </row>
    <row r="89" spans="1:26" s="12" customFormat="1" x14ac:dyDescent="0.25">
      <c r="A89" s="201" t="s">
        <v>3112</v>
      </c>
      <c r="B89" s="60">
        <v>26.59</v>
      </c>
      <c r="C89" s="60">
        <v>111.41</v>
      </c>
      <c r="D89" s="60">
        <v>82.81</v>
      </c>
      <c r="E89" s="60">
        <v>4.71</v>
      </c>
      <c r="F89" s="60">
        <v>0.79</v>
      </c>
      <c r="G89" s="60">
        <v>183.72</v>
      </c>
      <c r="H89" s="60">
        <v>51.49</v>
      </c>
      <c r="I89" s="60">
        <v>0.71</v>
      </c>
      <c r="J89" s="60">
        <v>0.2</v>
      </c>
      <c r="K89" s="60">
        <v>215</v>
      </c>
      <c r="L89" s="60">
        <v>22.08</v>
      </c>
      <c r="M89" s="60">
        <v>17</v>
      </c>
      <c r="N89" s="213" t="s">
        <v>35</v>
      </c>
      <c r="O89" s="60">
        <v>0</v>
      </c>
      <c r="P89" s="60">
        <v>2.42</v>
      </c>
      <c r="Q89" s="60">
        <v>119.19</v>
      </c>
      <c r="R89" s="198"/>
      <c r="S89" s="198"/>
      <c r="T89" s="198"/>
      <c r="U89" s="198"/>
    </row>
    <row r="90" spans="1:26" s="12" customFormat="1" x14ac:dyDescent="0.25">
      <c r="A90" s="201" t="s">
        <v>3113</v>
      </c>
      <c r="B90" s="60">
        <v>32.29</v>
      </c>
      <c r="C90" s="60">
        <v>115.44</v>
      </c>
      <c r="D90" s="60">
        <v>89.61</v>
      </c>
      <c r="E90" s="60">
        <v>4.59</v>
      </c>
      <c r="F90" s="60">
        <v>0.85</v>
      </c>
      <c r="G90" s="60">
        <v>183.72</v>
      </c>
      <c r="H90" s="60">
        <v>51.49</v>
      </c>
      <c r="I90" s="60">
        <v>0.76</v>
      </c>
      <c r="J90" s="60">
        <v>0.2</v>
      </c>
      <c r="K90" s="60">
        <v>215.59</v>
      </c>
      <c r="L90" s="60">
        <v>21.87</v>
      </c>
      <c r="M90" s="60">
        <v>22</v>
      </c>
      <c r="N90" s="213" t="s">
        <v>35</v>
      </c>
      <c r="O90" s="60">
        <v>0</v>
      </c>
      <c r="P90" s="60">
        <v>2.62</v>
      </c>
      <c r="Q90" s="60">
        <v>122.71</v>
      </c>
      <c r="R90" s="198"/>
      <c r="S90" s="198"/>
      <c r="T90" s="198"/>
      <c r="U90" s="198"/>
    </row>
    <row r="91" spans="1:26" s="12" customFormat="1" x14ac:dyDescent="0.25">
      <c r="A91" s="201" t="s">
        <v>3114</v>
      </c>
      <c r="B91" s="60">
        <v>34.659999999999997</v>
      </c>
      <c r="C91" s="60">
        <v>118.08</v>
      </c>
      <c r="D91" s="60">
        <v>92.96</v>
      </c>
      <c r="E91" s="60">
        <v>4.8499999999999996</v>
      </c>
      <c r="F91" s="60">
        <v>0.83</v>
      </c>
      <c r="G91" s="60">
        <v>189.64</v>
      </c>
      <c r="H91" s="60">
        <v>52.9</v>
      </c>
      <c r="I91" s="60">
        <v>0.83</v>
      </c>
      <c r="J91" s="60">
        <v>0.28000000000000003</v>
      </c>
      <c r="K91" s="60">
        <v>215.86</v>
      </c>
      <c r="L91" s="60">
        <v>21.76</v>
      </c>
      <c r="M91" s="60">
        <v>24</v>
      </c>
      <c r="N91" s="213" t="s">
        <v>35</v>
      </c>
      <c r="O91" s="60">
        <v>0</v>
      </c>
      <c r="P91" s="60">
        <v>2.78</v>
      </c>
      <c r="Q91" s="60">
        <v>125.54</v>
      </c>
      <c r="R91" s="198"/>
      <c r="S91" s="198"/>
      <c r="T91" s="198"/>
      <c r="U91" s="198"/>
    </row>
    <row r="92" spans="1:26" s="12" customFormat="1" x14ac:dyDescent="0.25">
      <c r="A92" s="201" t="s">
        <v>3115</v>
      </c>
      <c r="B92" s="60">
        <v>34.880000000000003</v>
      </c>
      <c r="C92" s="60">
        <v>118.79</v>
      </c>
      <c r="D92" s="60">
        <v>93.53</v>
      </c>
      <c r="E92" s="60">
        <v>5.1100000000000003</v>
      </c>
      <c r="F92" s="60">
        <v>0.95</v>
      </c>
      <c r="G92" s="60">
        <v>202.59</v>
      </c>
      <c r="H92" s="60">
        <v>57.53</v>
      </c>
      <c r="I92" s="60">
        <v>0.91</v>
      </c>
      <c r="J92" s="60">
        <v>0.3</v>
      </c>
      <c r="K92" s="60">
        <v>214.94</v>
      </c>
      <c r="L92" s="60">
        <v>21.76</v>
      </c>
      <c r="M92" s="60">
        <v>26</v>
      </c>
      <c r="N92" s="213" t="s">
        <v>35</v>
      </c>
      <c r="O92" s="60">
        <v>0</v>
      </c>
      <c r="P92" s="60">
        <v>2.89</v>
      </c>
      <c r="Q92" s="60">
        <v>128.41999999999999</v>
      </c>
      <c r="R92" s="198"/>
      <c r="S92" s="198"/>
      <c r="T92" s="198"/>
      <c r="U92" s="198"/>
    </row>
    <row r="93" spans="1:26" s="12" customFormat="1" x14ac:dyDescent="0.25">
      <c r="A93" s="201" t="s">
        <v>3116</v>
      </c>
      <c r="B93" s="60">
        <v>35.39</v>
      </c>
      <c r="C93" s="60">
        <v>119.04</v>
      </c>
      <c r="D93" s="60">
        <v>94.08</v>
      </c>
      <c r="E93" s="60">
        <v>5.13</v>
      </c>
      <c r="F93" s="60">
        <v>0.77</v>
      </c>
      <c r="G93" s="60">
        <v>202.59</v>
      </c>
      <c r="H93" s="60">
        <v>57.53</v>
      </c>
      <c r="I93" s="60">
        <v>1</v>
      </c>
      <c r="J93" s="60">
        <v>0.21</v>
      </c>
      <c r="K93" s="60">
        <v>212.8</v>
      </c>
      <c r="L93" s="60">
        <v>21.75</v>
      </c>
      <c r="M93" s="60">
        <v>32</v>
      </c>
      <c r="N93" s="213" t="s">
        <v>35</v>
      </c>
      <c r="O93" s="60">
        <v>0</v>
      </c>
      <c r="P93" s="60">
        <v>3.01</v>
      </c>
      <c r="Q93" s="60">
        <v>131.28</v>
      </c>
      <c r="R93" s="198"/>
      <c r="S93" s="198"/>
      <c r="T93" s="198"/>
      <c r="U93" s="198"/>
    </row>
    <row r="94" spans="1:26" s="12" customFormat="1" x14ac:dyDescent="0.25">
      <c r="A94" s="201" t="s">
        <v>3117</v>
      </c>
      <c r="B94" s="60">
        <v>35.619999999999997</v>
      </c>
      <c r="C94" s="60">
        <v>119.65</v>
      </c>
      <c r="D94" s="60">
        <v>94.6</v>
      </c>
      <c r="E94" s="60">
        <v>4.8</v>
      </c>
      <c r="F94" s="60">
        <v>0.64</v>
      </c>
      <c r="G94" s="60">
        <v>202.59</v>
      </c>
      <c r="H94" s="60">
        <v>57.53</v>
      </c>
      <c r="I94" s="60">
        <v>1.0900000000000001</v>
      </c>
      <c r="J94" s="60">
        <v>0.11</v>
      </c>
      <c r="K94" s="60">
        <v>232.53</v>
      </c>
      <c r="L94" s="60">
        <v>20.78</v>
      </c>
      <c r="M94" s="60">
        <v>80</v>
      </c>
      <c r="N94" s="213" t="s">
        <v>35</v>
      </c>
      <c r="O94" s="60">
        <v>0</v>
      </c>
      <c r="P94" s="60">
        <v>3.1</v>
      </c>
      <c r="Q94" s="60">
        <v>132.88</v>
      </c>
      <c r="R94" s="198"/>
      <c r="S94" s="198"/>
      <c r="T94" s="198"/>
      <c r="U94" s="198"/>
    </row>
    <row r="95" spans="1:26" s="12" customFormat="1" x14ac:dyDescent="0.25">
      <c r="A95" s="201" t="s">
        <v>3118</v>
      </c>
      <c r="B95" s="60">
        <v>36.299999999999997</v>
      </c>
      <c r="C95" s="60">
        <v>120.76</v>
      </c>
      <c r="D95" s="60">
        <v>95.75</v>
      </c>
      <c r="E95" s="60">
        <v>5.05</v>
      </c>
      <c r="F95" s="60">
        <v>0.77</v>
      </c>
      <c r="G95" s="60">
        <v>195.01</v>
      </c>
      <c r="H95" s="60">
        <v>58.61</v>
      </c>
      <c r="I95" s="60">
        <v>1.1599999999999999</v>
      </c>
      <c r="J95" s="60">
        <v>0.17</v>
      </c>
      <c r="K95" s="60">
        <v>239.55</v>
      </c>
      <c r="L95" s="60">
        <v>20.29</v>
      </c>
      <c r="M95" s="60">
        <v>70</v>
      </c>
      <c r="N95" s="213" t="s">
        <v>35</v>
      </c>
      <c r="O95" s="60">
        <v>0</v>
      </c>
      <c r="P95" s="60">
        <v>3.2</v>
      </c>
      <c r="Q95" s="60">
        <v>133.51</v>
      </c>
      <c r="R95" s="198"/>
      <c r="S95" s="198"/>
      <c r="T95" s="198"/>
      <c r="U95" s="198"/>
    </row>
    <row r="96" spans="1:26" s="12" customFormat="1" x14ac:dyDescent="0.25">
      <c r="A96" s="201" t="s">
        <v>3119</v>
      </c>
      <c r="B96" s="60">
        <v>36.65</v>
      </c>
      <c r="C96" s="60">
        <v>120.99</v>
      </c>
      <c r="D96" s="60">
        <v>96.16</v>
      </c>
      <c r="E96" s="60">
        <v>5.31</v>
      </c>
      <c r="F96" s="60">
        <v>0.8</v>
      </c>
      <c r="G96" s="60">
        <v>178.41</v>
      </c>
      <c r="H96" s="60">
        <v>62.17</v>
      </c>
      <c r="I96" s="60">
        <v>1.21</v>
      </c>
      <c r="J96" s="60">
        <v>0.23</v>
      </c>
      <c r="K96" s="60">
        <v>241.36</v>
      </c>
      <c r="L96" s="60">
        <v>20.3</v>
      </c>
      <c r="M96" s="60">
        <v>70</v>
      </c>
      <c r="N96" s="213" t="s">
        <v>35</v>
      </c>
      <c r="O96" s="60">
        <v>0</v>
      </c>
      <c r="P96" s="60">
        <v>3.26</v>
      </c>
      <c r="Q96" s="60">
        <v>133.88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3120</v>
      </c>
      <c r="B97" s="60">
        <v>36.33</v>
      </c>
      <c r="C97" s="60">
        <v>120.73</v>
      </c>
      <c r="D97" s="60">
        <v>95.76</v>
      </c>
      <c r="E97" s="60">
        <v>5.3</v>
      </c>
      <c r="F97" s="60">
        <v>0.64</v>
      </c>
      <c r="G97" s="60">
        <v>178.41</v>
      </c>
      <c r="H97" s="60">
        <v>62.17</v>
      </c>
      <c r="I97" s="60">
        <v>1.27</v>
      </c>
      <c r="J97" s="60">
        <v>0.19</v>
      </c>
      <c r="K97" s="60">
        <v>248.52</v>
      </c>
      <c r="L97" s="60">
        <v>20.03</v>
      </c>
      <c r="M97" s="60">
        <v>89</v>
      </c>
      <c r="N97" s="213" t="s">
        <v>35</v>
      </c>
      <c r="O97" s="60">
        <v>0</v>
      </c>
      <c r="P97" s="60">
        <v>3.29</v>
      </c>
      <c r="Q97" s="60">
        <v>134.53</v>
      </c>
      <c r="R97" s="198"/>
      <c r="S97" s="198"/>
      <c r="T97" s="198"/>
      <c r="U97" s="198"/>
    </row>
    <row r="98" spans="1:33" s="12" customFormat="1" x14ac:dyDescent="0.25">
      <c r="A98" s="201" t="s">
        <v>3121</v>
      </c>
      <c r="B98" s="60">
        <v>40.6</v>
      </c>
      <c r="C98" s="60">
        <v>121.2</v>
      </c>
      <c r="D98" s="60">
        <v>99.45</v>
      </c>
      <c r="E98" s="60">
        <v>5.26</v>
      </c>
      <c r="F98" s="60">
        <v>0.69</v>
      </c>
      <c r="G98" s="60">
        <v>178.41</v>
      </c>
      <c r="H98" s="60">
        <v>62.17</v>
      </c>
      <c r="I98" s="60">
        <v>1.32</v>
      </c>
      <c r="J98" s="60">
        <v>0.18</v>
      </c>
      <c r="K98" s="60">
        <v>269.29000000000002</v>
      </c>
      <c r="L98" s="60">
        <v>19.29</v>
      </c>
      <c r="M98" s="60">
        <v>85</v>
      </c>
      <c r="N98" s="213" t="s">
        <v>35</v>
      </c>
      <c r="O98" s="60">
        <v>0</v>
      </c>
      <c r="P98" s="60">
        <v>3.43</v>
      </c>
      <c r="Q98" s="60">
        <v>136.13</v>
      </c>
      <c r="R98" s="198"/>
      <c r="S98" s="198"/>
      <c r="T98" s="198"/>
      <c r="U98" s="198"/>
    </row>
    <row r="99" spans="1:33" s="12" customFormat="1" x14ac:dyDescent="0.25">
      <c r="A99" s="201" t="s">
        <v>3122</v>
      </c>
      <c r="B99" s="60">
        <v>48.76</v>
      </c>
      <c r="C99" s="60">
        <v>123.56</v>
      </c>
      <c r="D99" s="60">
        <v>107.29</v>
      </c>
      <c r="E99" s="60">
        <v>4.63</v>
      </c>
      <c r="F99" s="60">
        <v>0.66</v>
      </c>
      <c r="G99" s="60">
        <v>176.62</v>
      </c>
      <c r="H99" s="60">
        <v>62.72</v>
      </c>
      <c r="I99" s="60">
        <v>1.33</v>
      </c>
      <c r="J99" s="60">
        <v>0.14000000000000001</v>
      </c>
      <c r="K99" s="60">
        <v>264.2</v>
      </c>
      <c r="L99" s="60">
        <v>18.87</v>
      </c>
      <c r="M99" s="60">
        <v>72</v>
      </c>
      <c r="N99" s="213" t="s">
        <v>35</v>
      </c>
      <c r="O99" s="60">
        <v>0</v>
      </c>
      <c r="P99" s="60">
        <v>3.55</v>
      </c>
      <c r="Q99" s="60">
        <v>137.34</v>
      </c>
      <c r="R99" s="198"/>
      <c r="S99" s="198"/>
      <c r="T99" s="198"/>
      <c r="U99" s="198"/>
    </row>
    <row r="100" spans="1:33" s="12" customFormat="1" x14ac:dyDescent="0.25">
      <c r="A100" s="201" t="s">
        <v>3123</v>
      </c>
      <c r="B100" s="60">
        <v>52.34</v>
      </c>
      <c r="C100" s="60">
        <v>124.04</v>
      </c>
      <c r="D100" s="60">
        <v>110.43</v>
      </c>
      <c r="E100" s="60">
        <v>5.01</v>
      </c>
      <c r="F100" s="60">
        <v>0.72</v>
      </c>
      <c r="G100" s="60">
        <v>172.68</v>
      </c>
      <c r="H100" s="60">
        <v>64.5</v>
      </c>
      <c r="I100" s="60">
        <v>1.38</v>
      </c>
      <c r="J100" s="60">
        <v>0.15</v>
      </c>
      <c r="K100" s="60">
        <v>270.58</v>
      </c>
      <c r="L100" s="60">
        <v>18.7</v>
      </c>
      <c r="M100" s="60">
        <v>83</v>
      </c>
      <c r="N100" s="213" t="s">
        <v>35</v>
      </c>
      <c r="O100" s="60">
        <v>0</v>
      </c>
      <c r="P100" s="60">
        <v>3.59</v>
      </c>
      <c r="Q100" s="60">
        <v>137.29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3124</v>
      </c>
      <c r="B101" s="60">
        <v>57.3</v>
      </c>
      <c r="C101" s="60">
        <v>124.85</v>
      </c>
      <c r="D101" s="60">
        <v>114.85</v>
      </c>
      <c r="E101" s="60">
        <v>5.23</v>
      </c>
      <c r="F101" s="60">
        <v>0.77</v>
      </c>
      <c r="G101" s="60">
        <v>172.68</v>
      </c>
      <c r="H101" s="60">
        <v>64.5</v>
      </c>
      <c r="I101" s="60">
        <v>1.41</v>
      </c>
      <c r="J101" s="60">
        <v>0.16</v>
      </c>
      <c r="K101" s="60">
        <v>281.88</v>
      </c>
      <c r="L101" s="60">
        <v>18.399999999999999</v>
      </c>
      <c r="M101" s="60">
        <v>62</v>
      </c>
      <c r="N101" s="213" t="s">
        <v>35</v>
      </c>
      <c r="O101" s="60">
        <v>0</v>
      </c>
      <c r="P101" s="60">
        <v>3.63</v>
      </c>
      <c r="Q101" s="60">
        <v>138.41999999999999</v>
      </c>
      <c r="R101" s="198"/>
      <c r="S101" s="198"/>
      <c r="T101" s="198"/>
      <c r="U101" s="198"/>
    </row>
    <row r="102" spans="1:33" s="12" customFormat="1" x14ac:dyDescent="0.25">
      <c r="A102" s="201" t="s">
        <v>3125</v>
      </c>
      <c r="B102" s="60">
        <v>68.87</v>
      </c>
      <c r="C102" s="60">
        <v>128.30000000000001</v>
      </c>
      <c r="D102" s="60">
        <v>126.03</v>
      </c>
      <c r="E102" s="60">
        <v>4.95</v>
      </c>
      <c r="F102" s="60">
        <v>0.8</v>
      </c>
      <c r="G102" s="60">
        <v>172.68</v>
      </c>
      <c r="H102" s="60">
        <v>64.5</v>
      </c>
      <c r="I102" s="60">
        <v>1.42</v>
      </c>
      <c r="J102" s="60">
        <v>0.12</v>
      </c>
      <c r="K102" s="60">
        <v>284.93</v>
      </c>
      <c r="L102" s="60">
        <v>18.260000000000002</v>
      </c>
      <c r="M102" s="60">
        <v>71</v>
      </c>
      <c r="N102" s="213" t="s">
        <v>35</v>
      </c>
      <c r="O102" s="60">
        <v>0</v>
      </c>
      <c r="P102" s="60">
        <v>3.71</v>
      </c>
      <c r="Q102" s="60">
        <v>141.49</v>
      </c>
      <c r="R102" s="198"/>
      <c r="S102" s="198"/>
      <c r="T102" s="198"/>
      <c r="U102" s="198"/>
    </row>
    <row r="103" spans="1:33" s="12" customFormat="1" x14ac:dyDescent="0.25">
      <c r="A103" s="201" t="s">
        <v>3126</v>
      </c>
      <c r="B103" s="60">
        <v>84.29</v>
      </c>
      <c r="C103" s="60">
        <v>134.38999999999999</v>
      </c>
      <c r="D103" s="60">
        <v>141.76</v>
      </c>
      <c r="E103" s="60">
        <v>4.8899999999999997</v>
      </c>
      <c r="F103" s="60">
        <v>0.65</v>
      </c>
      <c r="G103" s="60">
        <v>181.84</v>
      </c>
      <c r="H103" s="60">
        <v>64.98</v>
      </c>
      <c r="I103" s="60">
        <v>1.43</v>
      </c>
      <c r="J103" s="60">
        <v>0.21</v>
      </c>
      <c r="K103" s="60">
        <v>282.94</v>
      </c>
      <c r="L103" s="60">
        <v>18.239999999999998</v>
      </c>
      <c r="M103" s="60">
        <v>81</v>
      </c>
      <c r="N103" s="213" t="s">
        <v>35</v>
      </c>
      <c r="O103" s="60">
        <v>0</v>
      </c>
      <c r="P103" s="60">
        <v>3.8</v>
      </c>
      <c r="Q103" s="60">
        <v>146.19999999999999</v>
      </c>
      <c r="R103" s="198"/>
      <c r="S103" s="198"/>
      <c r="T103" s="198"/>
      <c r="U103" s="198"/>
    </row>
    <row r="104" spans="1:33" s="12" customFormat="1" x14ac:dyDescent="0.25">
      <c r="A104" s="201" t="s">
        <v>3127</v>
      </c>
      <c r="B104" s="60">
        <v>91.04</v>
      </c>
      <c r="C104" s="60">
        <v>136.05000000000001</v>
      </c>
      <c r="D104" s="60">
        <v>148.1</v>
      </c>
      <c r="E104" s="60">
        <v>2.5299999999999998</v>
      </c>
      <c r="F104" s="60">
        <v>0.66</v>
      </c>
      <c r="G104" s="60">
        <v>223.96</v>
      </c>
      <c r="H104" s="60">
        <v>66.47</v>
      </c>
      <c r="I104" s="60">
        <v>1.46</v>
      </c>
      <c r="J104" s="60">
        <v>0.25</v>
      </c>
      <c r="K104" s="60">
        <v>277.91000000000003</v>
      </c>
      <c r="L104" s="60">
        <v>18.59</v>
      </c>
      <c r="M104" s="60">
        <v>87</v>
      </c>
      <c r="N104" s="213" t="s">
        <v>35</v>
      </c>
      <c r="O104" s="60">
        <v>0</v>
      </c>
      <c r="P104" s="60">
        <v>3.82</v>
      </c>
      <c r="Q104" s="60">
        <v>148.26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58</v>
      </c>
      <c r="B106" s="67">
        <f>MIN(B9:B104)</f>
        <v>0.47</v>
      </c>
      <c r="C106" s="67">
        <f>MIN(C9:C104)</f>
        <v>6.27</v>
      </c>
      <c r="D106" s="67">
        <f t="shared" ref="D106:Q106" si="0">MIN(D9:D104)</f>
        <v>3.84</v>
      </c>
      <c r="E106" s="67">
        <f t="shared" si="0"/>
        <v>2.1800000000000002</v>
      </c>
      <c r="F106" s="67">
        <f t="shared" si="0"/>
        <v>0.41</v>
      </c>
      <c r="G106" s="67">
        <f t="shared" si="0"/>
        <v>17.14</v>
      </c>
      <c r="H106" s="67">
        <f t="shared" si="0"/>
        <v>12.09</v>
      </c>
      <c r="I106" s="67">
        <f t="shared" si="0"/>
        <v>0.23</v>
      </c>
      <c r="J106" s="67">
        <f t="shared" si="0"/>
        <v>0.1</v>
      </c>
      <c r="K106" s="67">
        <f t="shared" si="0"/>
        <v>114.74</v>
      </c>
      <c r="L106" s="67">
        <f t="shared" si="0"/>
        <v>15.59</v>
      </c>
      <c r="M106" s="67">
        <f t="shared" si="0"/>
        <v>17</v>
      </c>
      <c r="N106" s="67">
        <f t="shared" si="0"/>
        <v>0.3</v>
      </c>
      <c r="O106" s="67">
        <f t="shared" si="0"/>
        <v>0</v>
      </c>
      <c r="P106" s="67">
        <f t="shared" si="0"/>
        <v>0.84</v>
      </c>
      <c r="Q106" s="67">
        <f t="shared" si="0"/>
        <v>78.95</v>
      </c>
      <c r="R106" s="199"/>
      <c r="S106" s="199"/>
      <c r="T106" s="199"/>
      <c r="U106" s="199"/>
    </row>
    <row r="107" spans="1:33" x14ac:dyDescent="0.25">
      <c r="A107" s="65" t="s">
        <v>59</v>
      </c>
      <c r="B107" s="66">
        <f>MAX(B9:B104)</f>
        <v>122.66</v>
      </c>
      <c r="C107" s="66">
        <f t="shared" ref="C107:Q107" si="1">MAX(C9:C104)</f>
        <v>136.05000000000001</v>
      </c>
      <c r="D107" s="66">
        <f t="shared" si="1"/>
        <v>175.76</v>
      </c>
      <c r="E107" s="66">
        <f t="shared" si="1"/>
        <v>193.78</v>
      </c>
      <c r="F107" s="66">
        <f t="shared" si="1"/>
        <v>30.69</v>
      </c>
      <c r="G107" s="66">
        <f t="shared" si="1"/>
        <v>223.96</v>
      </c>
      <c r="H107" s="66">
        <f t="shared" si="1"/>
        <v>66.47</v>
      </c>
      <c r="I107" s="66">
        <f t="shared" si="1"/>
        <v>1.46</v>
      </c>
      <c r="J107" s="66">
        <f t="shared" si="1"/>
        <v>1.41</v>
      </c>
      <c r="K107" s="66">
        <f t="shared" si="1"/>
        <v>309.02</v>
      </c>
      <c r="L107" s="66">
        <f t="shared" si="1"/>
        <v>31.48</v>
      </c>
      <c r="M107" s="66">
        <f t="shared" si="1"/>
        <v>94</v>
      </c>
      <c r="N107" s="66">
        <f t="shared" si="1"/>
        <v>304.89999999999998</v>
      </c>
      <c r="O107" s="66">
        <f t="shared" si="1"/>
        <v>0</v>
      </c>
      <c r="P107" s="66">
        <f t="shared" si="1"/>
        <v>3.82</v>
      </c>
      <c r="Q107" s="66">
        <f t="shared" si="1"/>
        <v>160.54</v>
      </c>
      <c r="R107" s="200"/>
      <c r="S107" s="200"/>
      <c r="T107" s="200"/>
      <c r="U107" s="200"/>
    </row>
    <row r="108" spans="1:33" x14ac:dyDescent="0.25">
      <c r="A108" s="65" t="s">
        <v>60</v>
      </c>
      <c r="B108" s="67">
        <f>AVERAGE(B9:B104)</f>
        <v>33.717604166666661</v>
      </c>
      <c r="C108" s="67">
        <f t="shared" ref="C108:Q108" si="2">AVERAGE(C9:C104)</f>
        <v>94.766666666666652</v>
      </c>
      <c r="D108" s="67">
        <f t="shared" si="2"/>
        <v>79.950312500000038</v>
      </c>
      <c r="E108" s="67">
        <f t="shared" si="2"/>
        <v>10.396770833333333</v>
      </c>
      <c r="F108" s="67">
        <f t="shared" si="2"/>
        <v>3.4429166666666657</v>
      </c>
      <c r="G108" s="67">
        <f t="shared" si="2"/>
        <v>121.64673913043472</v>
      </c>
      <c r="H108" s="67">
        <f t="shared" si="2"/>
        <v>48.975978260869532</v>
      </c>
      <c r="I108" s="67">
        <f t="shared" si="2"/>
        <v>0.7560416666666665</v>
      </c>
      <c r="J108" s="67">
        <f t="shared" si="2"/>
        <v>0.41656250000000011</v>
      </c>
      <c r="K108" s="67">
        <f t="shared" si="2"/>
        <v>216.10010416666668</v>
      </c>
      <c r="L108" s="67">
        <f t="shared" si="2"/>
        <v>21.963124999999994</v>
      </c>
      <c r="M108" s="67">
        <f t="shared" si="2"/>
        <v>62.03125</v>
      </c>
      <c r="N108" s="67">
        <f t="shared" si="2"/>
        <v>193.52000000000004</v>
      </c>
      <c r="O108" s="67">
        <f t="shared" si="2"/>
        <v>0</v>
      </c>
      <c r="P108" s="67">
        <f t="shared" si="2"/>
        <v>2.0105208333333335</v>
      </c>
      <c r="Q108" s="67">
        <f t="shared" si="2"/>
        <v>122.07770833333335</v>
      </c>
      <c r="R108" s="199"/>
      <c r="S108" s="199"/>
      <c r="T108" s="199"/>
      <c r="U108" s="199"/>
    </row>
    <row r="109" spans="1:33" x14ac:dyDescent="0.25">
      <c r="A109" s="65" t="s">
        <v>76</v>
      </c>
      <c r="B109" s="67">
        <f>STDEV(B9:B104)</f>
        <v>27.062609931505612</v>
      </c>
      <c r="C109" s="67">
        <f t="shared" ref="C109:Q109" si="3">STDEV(C9:C104)</f>
        <v>21.314399761498951</v>
      </c>
      <c r="D109" s="67">
        <f t="shared" si="3"/>
        <v>30.679213242266634</v>
      </c>
      <c r="E109" s="67">
        <f t="shared" si="3"/>
        <v>28.87425513260418</v>
      </c>
      <c r="F109" s="67">
        <f t="shared" si="3"/>
        <v>5.5629465718631081</v>
      </c>
      <c r="G109" s="67">
        <f t="shared" si="3"/>
        <v>46.747768192803981</v>
      </c>
      <c r="H109" s="67">
        <f t="shared" si="3"/>
        <v>8.7216700008610903</v>
      </c>
      <c r="I109" s="67">
        <f t="shared" si="3"/>
        <v>0.38174524204574173</v>
      </c>
      <c r="J109" s="67">
        <f t="shared" si="3"/>
        <v>0.34031201820805851</v>
      </c>
      <c r="K109" s="67">
        <f t="shared" si="3"/>
        <v>61.484602394160007</v>
      </c>
      <c r="L109" s="67">
        <f t="shared" si="3"/>
        <v>4.8561655465798994</v>
      </c>
      <c r="M109" s="67">
        <f t="shared" si="3"/>
        <v>20.542870770018592</v>
      </c>
      <c r="N109" s="67">
        <f t="shared" si="3"/>
        <v>102.76451607780702</v>
      </c>
      <c r="O109" s="67">
        <f t="shared" si="3"/>
        <v>0</v>
      </c>
      <c r="P109" s="67">
        <f t="shared" si="3"/>
        <v>0.83755831821044513</v>
      </c>
      <c r="Q109" s="67">
        <f t="shared" si="3"/>
        <v>23.547280789673447</v>
      </c>
      <c r="R109" s="199"/>
      <c r="S109" s="199"/>
      <c r="T109" s="199"/>
      <c r="U109" s="199"/>
    </row>
    <row r="110" spans="1:33" x14ac:dyDescent="0.25">
      <c r="A110" s="65" t="s">
        <v>61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COUNT(N9:N104)+61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62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63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64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50" sqref="B50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29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01-11-2022 00:15</v>
      </c>
      <c r="C2" s="12"/>
      <c r="D2" s="11" t="s">
        <v>30</v>
      </c>
      <c r="E2" s="11"/>
      <c r="F2" s="11"/>
      <c r="G2" s="4" t="s">
        <v>31</v>
      </c>
      <c r="H2" s="28"/>
      <c r="I2" s="28"/>
      <c r="J2" s="28"/>
      <c r="K2" s="13"/>
      <c r="L2" s="11" t="s">
        <v>32</v>
      </c>
      <c r="M2" s="13"/>
      <c r="N2" s="8" t="s">
        <v>33</v>
      </c>
      <c r="P2" s="104" t="s">
        <v>34</v>
      </c>
      <c r="Q2" s="13"/>
      <c r="R2" s="9" t="s">
        <v>35</v>
      </c>
      <c r="S2" s="12"/>
      <c r="T2" s="12"/>
      <c r="U2" s="12"/>
    </row>
    <row r="3" spans="1:21" s="54" customFormat="1" x14ac:dyDescent="0.25">
      <c r="A3" s="94" t="s">
        <v>36</v>
      </c>
      <c r="B3" s="13" t="s">
        <v>37</v>
      </c>
      <c r="C3" s="12"/>
      <c r="D3" s="11" t="s">
        <v>38</v>
      </c>
      <c r="E3" s="11"/>
      <c r="F3" s="11"/>
      <c r="G3" s="26" t="s">
        <v>39</v>
      </c>
      <c r="H3" s="28"/>
      <c r="I3" s="94"/>
      <c r="J3" s="28"/>
      <c r="K3" s="12"/>
      <c r="L3" s="11" t="s">
        <v>40</v>
      </c>
      <c r="M3" s="13"/>
      <c r="N3" s="6" t="s">
        <v>41</v>
      </c>
      <c r="O3" s="13"/>
      <c r="P3" s="106" t="s">
        <v>42</v>
      </c>
      <c r="Q3" s="13"/>
      <c r="R3" s="10" t="s">
        <v>42</v>
      </c>
      <c r="S3" s="12"/>
      <c r="T3" s="12"/>
      <c r="U3" s="12"/>
    </row>
    <row r="4" spans="1:21" s="54" customFormat="1" x14ac:dyDescent="0.25">
      <c r="A4" s="94" t="s">
        <v>43</v>
      </c>
      <c r="B4" s="13" t="s">
        <v>65</v>
      </c>
      <c r="C4" s="12"/>
      <c r="D4" s="11" t="s">
        <v>45</v>
      </c>
      <c r="E4" s="11"/>
      <c r="F4" s="11"/>
      <c r="G4" s="5" t="s">
        <v>46</v>
      </c>
      <c r="H4" s="28"/>
      <c r="I4" s="94"/>
      <c r="J4" s="28"/>
      <c r="K4" s="3"/>
      <c r="L4" s="11" t="s">
        <v>47</v>
      </c>
      <c r="M4" s="13"/>
      <c r="N4" s="7" t="s">
        <v>48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49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s="54" customFormat="1" x14ac:dyDescent="0.25">
      <c r="A8" s="95"/>
      <c r="B8" s="13" t="s">
        <v>50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52</v>
      </c>
      <c r="K8" s="13" t="s">
        <v>53</v>
      </c>
      <c r="L8" s="15" t="s">
        <v>55</v>
      </c>
      <c r="M8" s="13" t="s">
        <v>54</v>
      </c>
      <c r="N8" s="13" t="s">
        <v>56</v>
      </c>
      <c r="O8" s="15" t="s">
        <v>57</v>
      </c>
      <c r="P8" s="13" t="s">
        <v>51</v>
      </c>
      <c r="Q8" s="38" t="s">
        <v>50</v>
      </c>
      <c r="R8" s="196"/>
      <c r="S8" s="197"/>
      <c r="T8" s="196"/>
      <c r="U8" s="196"/>
    </row>
    <row r="9" spans="1:21" x14ac:dyDescent="0.25">
      <c r="A9" s="94" t="str">
        <f>'01'!$B$2</f>
        <v>01-11-2022 00:15</v>
      </c>
      <c r="B9" s="61">
        <f>'01'!B108</f>
        <v>26.571875000000002</v>
      </c>
      <c r="C9" s="61">
        <f>'01'!C108</f>
        <v>135.09114583333334</v>
      </c>
      <c r="D9" s="61">
        <f>'01'!D108</f>
        <v>95.860624999999985</v>
      </c>
      <c r="E9" s="61">
        <f>'01'!E108</f>
        <v>57.691354166666706</v>
      </c>
      <c r="F9" s="61">
        <f>'01'!F108</f>
        <v>50.876874999999991</v>
      </c>
      <c r="G9" s="61">
        <f>'01'!G108</f>
        <v>183.16916666666668</v>
      </c>
      <c r="H9" s="61">
        <f>'01'!H108</f>
        <v>73.481979166666662</v>
      </c>
      <c r="I9" s="61">
        <f>'01'!I108</f>
        <v>0.40593750000000006</v>
      </c>
      <c r="J9" s="61">
        <f>'01'!J108</f>
        <v>0.43177083333333344</v>
      </c>
      <c r="K9" s="61">
        <f>'01'!K108</f>
        <v>101.76020833333332</v>
      </c>
      <c r="L9" s="9" t="s">
        <v>35</v>
      </c>
      <c r="M9" s="9" t="s">
        <v>35</v>
      </c>
      <c r="N9" s="61">
        <f>'01'!N108</f>
        <v>178.44479166666665</v>
      </c>
      <c r="O9" s="61">
        <f>'01'!O108</f>
        <v>0</v>
      </c>
      <c r="P9" s="61">
        <f>'01'!P108</f>
        <v>1.5544791666666666</v>
      </c>
      <c r="Q9" s="61">
        <f>'01'!Q108</f>
        <v>91.972812499999989</v>
      </c>
      <c r="R9" s="118"/>
      <c r="S9" s="118"/>
      <c r="T9" s="118"/>
      <c r="U9" s="118"/>
    </row>
    <row r="10" spans="1:21" x14ac:dyDescent="0.25">
      <c r="A10" s="94" t="str">
        <f>'02'!$B$2</f>
        <v>02-11-2022 00:15</v>
      </c>
      <c r="B10" s="61">
        <f>'02'!B108</f>
        <v>21.412500000000001</v>
      </c>
      <c r="C10" s="61">
        <f>'02'!C108</f>
        <v>124.08750000000002</v>
      </c>
      <c r="D10" s="61">
        <f>'02'!D108</f>
        <v>85.652250000000009</v>
      </c>
      <c r="E10" s="61">
        <f>'02'!E108</f>
        <v>85.174499999999981</v>
      </c>
      <c r="F10" s="61">
        <f>'02'!F108</f>
        <v>20.059500000000003</v>
      </c>
      <c r="G10" s="61">
        <f>'02'!G108</f>
        <v>247.15700000000007</v>
      </c>
      <c r="H10" s="61">
        <f>'02'!H108</f>
        <v>101.43250000000003</v>
      </c>
      <c r="I10" s="61">
        <f>'02'!I108</f>
        <v>0.26314285714285712</v>
      </c>
      <c r="J10" s="61">
        <f>'02'!J108</f>
        <v>0.61125000000000007</v>
      </c>
      <c r="K10" s="61">
        <f>'02'!K108</f>
        <v>89.177499999999966</v>
      </c>
      <c r="L10" s="9" t="s">
        <v>35</v>
      </c>
      <c r="M10" s="9" t="s">
        <v>35</v>
      </c>
      <c r="N10" s="61">
        <f>'02'!N108</f>
        <v>76.72</v>
      </c>
      <c r="O10" s="61">
        <f>'02'!O108</f>
        <v>0</v>
      </c>
      <c r="P10" s="202">
        <f>'02'!P108</f>
        <v>1.4564999999999999</v>
      </c>
      <c r="Q10" s="61">
        <f>'02'!Q108</f>
        <v>119.86200000000004</v>
      </c>
      <c r="R10" s="118"/>
      <c r="S10" s="118"/>
      <c r="T10" s="118"/>
      <c r="U10" s="118"/>
    </row>
    <row r="11" spans="1:21" x14ac:dyDescent="0.25">
      <c r="A11" s="94" t="str">
        <f>'03'!$B$2</f>
        <v>03-11-2022 00:15</v>
      </c>
      <c r="B11" s="215" t="s">
        <v>31</v>
      </c>
      <c r="C11" s="215" t="s">
        <v>31</v>
      </c>
      <c r="D11" s="215" t="s">
        <v>31</v>
      </c>
      <c r="E11" s="215" t="s">
        <v>31</v>
      </c>
      <c r="F11" s="215" t="s">
        <v>31</v>
      </c>
      <c r="G11" s="215" t="s">
        <v>31</v>
      </c>
      <c r="H11" s="215" t="s">
        <v>31</v>
      </c>
      <c r="I11" s="215" t="s">
        <v>31</v>
      </c>
      <c r="J11" s="215" t="s">
        <v>31</v>
      </c>
      <c r="K11" s="215" t="s">
        <v>31</v>
      </c>
      <c r="L11" s="215" t="s">
        <v>31</v>
      </c>
      <c r="M11" s="215" t="s">
        <v>31</v>
      </c>
      <c r="N11" s="215" t="s">
        <v>31</v>
      </c>
      <c r="O11" s="215" t="s">
        <v>31</v>
      </c>
      <c r="P11" s="215" t="s">
        <v>31</v>
      </c>
      <c r="Q11" s="215" t="s">
        <v>31</v>
      </c>
      <c r="R11" s="118"/>
      <c r="S11" s="118"/>
      <c r="T11" s="118"/>
      <c r="U11" s="118"/>
    </row>
    <row r="12" spans="1:21" x14ac:dyDescent="0.25">
      <c r="A12" s="94" t="str">
        <f>'04'!$B$2</f>
        <v>04-11-2022 00:15</v>
      </c>
      <c r="B12" s="215" t="s">
        <v>31</v>
      </c>
      <c r="C12" s="215" t="s">
        <v>31</v>
      </c>
      <c r="D12" s="215" t="s">
        <v>31</v>
      </c>
      <c r="E12" s="215" t="s">
        <v>31</v>
      </c>
      <c r="F12" s="215" t="s">
        <v>31</v>
      </c>
      <c r="G12" s="215" t="s">
        <v>31</v>
      </c>
      <c r="H12" s="215" t="s">
        <v>31</v>
      </c>
      <c r="I12" s="215" t="s">
        <v>31</v>
      </c>
      <c r="J12" s="215" t="s">
        <v>31</v>
      </c>
      <c r="K12" s="215" t="s">
        <v>31</v>
      </c>
      <c r="L12" s="215" t="s">
        <v>31</v>
      </c>
      <c r="M12" s="215" t="s">
        <v>31</v>
      </c>
      <c r="N12" s="215" t="s">
        <v>31</v>
      </c>
      <c r="O12" s="215" t="s">
        <v>31</v>
      </c>
      <c r="P12" s="215" t="s">
        <v>31</v>
      </c>
      <c r="Q12" s="215" t="s">
        <v>31</v>
      </c>
      <c r="R12" s="118"/>
      <c r="S12" s="118"/>
      <c r="T12" s="118"/>
      <c r="U12" s="118"/>
    </row>
    <row r="13" spans="1:21" x14ac:dyDescent="0.25">
      <c r="A13" s="94" t="str">
        <f>'05'!$B$2</f>
        <v>05-11-2022 00:15</v>
      </c>
      <c r="B13" s="215" t="s">
        <v>31</v>
      </c>
      <c r="C13" s="215" t="s">
        <v>31</v>
      </c>
      <c r="D13" s="215" t="s">
        <v>31</v>
      </c>
      <c r="E13" s="215" t="s">
        <v>31</v>
      </c>
      <c r="F13" s="215" t="s">
        <v>31</v>
      </c>
      <c r="G13" s="215" t="s">
        <v>31</v>
      </c>
      <c r="H13" s="215" t="s">
        <v>31</v>
      </c>
      <c r="I13" s="215" t="s">
        <v>31</v>
      </c>
      <c r="J13" s="215" t="s">
        <v>31</v>
      </c>
      <c r="K13" s="215" t="s">
        <v>31</v>
      </c>
      <c r="L13" s="215" t="s">
        <v>31</v>
      </c>
      <c r="M13" s="215" t="s">
        <v>31</v>
      </c>
      <c r="N13" s="215" t="s">
        <v>31</v>
      </c>
      <c r="O13" s="215" t="s">
        <v>31</v>
      </c>
      <c r="P13" s="215" t="s">
        <v>31</v>
      </c>
      <c r="Q13" s="215" t="s">
        <v>31</v>
      </c>
      <c r="R13" s="118"/>
      <c r="S13" s="118"/>
      <c r="T13" s="118"/>
      <c r="U13" s="118"/>
    </row>
    <row r="14" spans="1:21" x14ac:dyDescent="0.25">
      <c r="A14" s="94" t="str">
        <f>'06'!$B$2</f>
        <v>06-11-2022 00:15</v>
      </c>
      <c r="B14" s="215" t="s">
        <v>31</v>
      </c>
      <c r="C14" s="215" t="s">
        <v>31</v>
      </c>
      <c r="D14" s="215" t="s">
        <v>31</v>
      </c>
      <c r="E14" s="215" t="s">
        <v>31</v>
      </c>
      <c r="F14" s="215" t="s">
        <v>31</v>
      </c>
      <c r="G14" s="215" t="s">
        <v>31</v>
      </c>
      <c r="H14" s="215" t="s">
        <v>31</v>
      </c>
      <c r="I14" s="215" t="s">
        <v>31</v>
      </c>
      <c r="J14" s="215" t="s">
        <v>31</v>
      </c>
      <c r="K14" s="215" t="s">
        <v>31</v>
      </c>
      <c r="L14" s="215" t="s">
        <v>31</v>
      </c>
      <c r="M14" s="215" t="s">
        <v>31</v>
      </c>
      <c r="N14" s="215" t="s">
        <v>31</v>
      </c>
      <c r="O14" s="215" t="s">
        <v>31</v>
      </c>
      <c r="P14" s="215" t="s">
        <v>31</v>
      </c>
      <c r="Q14" s="215" t="s">
        <v>31</v>
      </c>
      <c r="R14" s="118"/>
      <c r="S14" s="118"/>
      <c r="T14" s="118"/>
      <c r="U14" s="118"/>
    </row>
    <row r="15" spans="1:21" x14ac:dyDescent="0.25">
      <c r="A15" s="94" t="str">
        <f>'07'!$B$2</f>
        <v>07-11-2022 00:15</v>
      </c>
      <c r="B15" s="215" t="s">
        <v>31</v>
      </c>
      <c r="C15" s="215" t="s">
        <v>31</v>
      </c>
      <c r="D15" s="215" t="s">
        <v>31</v>
      </c>
      <c r="E15" s="215" t="s">
        <v>31</v>
      </c>
      <c r="F15" s="215" t="s">
        <v>31</v>
      </c>
      <c r="G15" s="215" t="s">
        <v>31</v>
      </c>
      <c r="H15" s="215" t="s">
        <v>31</v>
      </c>
      <c r="I15" s="215" t="s">
        <v>31</v>
      </c>
      <c r="J15" s="215" t="s">
        <v>31</v>
      </c>
      <c r="K15" s="215" t="s">
        <v>31</v>
      </c>
      <c r="L15" s="215" t="s">
        <v>31</v>
      </c>
      <c r="M15" s="215" t="s">
        <v>31</v>
      </c>
      <c r="N15" s="215" t="s">
        <v>31</v>
      </c>
      <c r="O15" s="215" t="s">
        <v>31</v>
      </c>
      <c r="P15" s="215" t="s">
        <v>31</v>
      </c>
      <c r="Q15" s="215" t="s">
        <v>31</v>
      </c>
      <c r="R15" s="118"/>
      <c r="S15" s="118"/>
      <c r="T15" s="118"/>
      <c r="U15" s="118"/>
    </row>
    <row r="16" spans="1:21" x14ac:dyDescent="0.25">
      <c r="A16" s="94" t="str">
        <f>'08'!$B$2</f>
        <v>08-11-2022 00:15</v>
      </c>
      <c r="B16" s="215" t="s">
        <v>31</v>
      </c>
      <c r="C16" s="215" t="s">
        <v>31</v>
      </c>
      <c r="D16" s="215" t="s">
        <v>31</v>
      </c>
      <c r="E16" s="215" t="s">
        <v>31</v>
      </c>
      <c r="F16" s="215" t="s">
        <v>31</v>
      </c>
      <c r="G16" s="215" t="s">
        <v>31</v>
      </c>
      <c r="H16" s="215" t="s">
        <v>31</v>
      </c>
      <c r="I16" s="215" t="s">
        <v>31</v>
      </c>
      <c r="J16" s="215" t="s">
        <v>31</v>
      </c>
      <c r="K16" s="215" t="s">
        <v>31</v>
      </c>
      <c r="L16" s="215" t="s">
        <v>31</v>
      </c>
      <c r="M16" s="215" t="s">
        <v>31</v>
      </c>
      <c r="N16" s="215" t="s">
        <v>31</v>
      </c>
      <c r="O16" s="215" t="s">
        <v>31</v>
      </c>
      <c r="P16" s="215" t="s">
        <v>31</v>
      </c>
      <c r="Q16" s="215" t="s">
        <v>31</v>
      </c>
      <c r="R16" s="118"/>
      <c r="S16" s="118"/>
      <c r="T16" s="118"/>
      <c r="U16" s="118"/>
    </row>
    <row r="17" spans="1:21" x14ac:dyDescent="0.25">
      <c r="A17" s="94" t="str">
        <f>'09'!$B$2</f>
        <v>09-11-2022 00:15</v>
      </c>
      <c r="B17" s="215" t="s">
        <v>31</v>
      </c>
      <c r="C17" s="215" t="s">
        <v>31</v>
      </c>
      <c r="D17" s="215" t="s">
        <v>31</v>
      </c>
      <c r="E17" s="215" t="s">
        <v>31</v>
      </c>
      <c r="F17" s="215" t="s">
        <v>31</v>
      </c>
      <c r="G17" s="215" t="s">
        <v>31</v>
      </c>
      <c r="H17" s="215" t="s">
        <v>31</v>
      </c>
      <c r="I17" s="215" t="s">
        <v>31</v>
      </c>
      <c r="J17" s="215" t="s">
        <v>31</v>
      </c>
      <c r="K17" s="215" t="s">
        <v>31</v>
      </c>
      <c r="L17" s="215" t="s">
        <v>31</v>
      </c>
      <c r="M17" s="215" t="s">
        <v>31</v>
      </c>
      <c r="N17" s="215" t="s">
        <v>31</v>
      </c>
      <c r="O17" s="215" t="s">
        <v>31</v>
      </c>
      <c r="P17" s="215" t="s">
        <v>31</v>
      </c>
      <c r="Q17" s="215" t="s">
        <v>31</v>
      </c>
      <c r="R17" s="118"/>
      <c r="S17" s="118"/>
      <c r="T17" s="118"/>
      <c r="U17" s="118"/>
    </row>
    <row r="18" spans="1:21" x14ac:dyDescent="0.25">
      <c r="A18" s="94" t="str">
        <f>'10'!$B$2</f>
        <v>10-11-2022 00:15</v>
      </c>
      <c r="B18" s="61">
        <f>'10'!B108</f>
        <v>18.5821875</v>
      </c>
      <c r="C18" s="61">
        <f>'10'!C108</f>
        <v>83.202499999999986</v>
      </c>
      <c r="D18" s="61">
        <f>'10'!D108</f>
        <v>60.819375000000008</v>
      </c>
      <c r="E18" s="61">
        <f>'10'!E108</f>
        <v>10.070000000000002</v>
      </c>
      <c r="F18" s="61">
        <f>'10'!F108</f>
        <v>12.314270833333333</v>
      </c>
      <c r="G18" s="101">
        <f>'10'!$G$108</f>
        <v>210.76344086021518</v>
      </c>
      <c r="H18" s="61">
        <f>'10'!H108</f>
        <v>83.633333333333326</v>
      </c>
      <c r="I18" s="61">
        <f>'10'!I108</f>
        <v>0.73270833333333318</v>
      </c>
      <c r="J18" s="61">
        <f>'10'!J108</f>
        <v>0.98291666666666666</v>
      </c>
      <c r="K18" s="61">
        <f>'10'!K108</f>
        <v>118.54135416666666</v>
      </c>
      <c r="L18" s="9" t="s">
        <v>35</v>
      </c>
      <c r="M18" s="9" t="s">
        <v>35</v>
      </c>
      <c r="N18" s="61">
        <f>'10'!N108</f>
        <v>167.24583333333337</v>
      </c>
      <c r="O18" s="61">
        <f>'10'!O108</f>
        <v>0</v>
      </c>
      <c r="P18" s="202">
        <f>'10'!P108</f>
        <v>1.3827173913043478</v>
      </c>
      <c r="Q18" s="61">
        <f>'10'!Q108</f>
        <v>178.74063157894733</v>
      </c>
      <c r="R18" s="118"/>
      <c r="S18" s="118"/>
      <c r="T18" s="118"/>
      <c r="U18" s="118"/>
    </row>
    <row r="19" spans="1:21" x14ac:dyDescent="0.25">
      <c r="A19" s="94" t="str">
        <f>'11'!$B$2</f>
        <v>11-11-2022 00:15</v>
      </c>
      <c r="B19" s="61">
        <f>'11'!B108</f>
        <v>26.274062499999999</v>
      </c>
      <c r="C19" s="61">
        <f>'11'!C108</f>
        <v>90.399166666666659</v>
      </c>
      <c r="D19" s="61">
        <f>'11'!D108</f>
        <v>70.958854166666669</v>
      </c>
      <c r="E19" s="61">
        <f>'11'!E108</f>
        <v>5.9345833333333333</v>
      </c>
      <c r="F19" s="61">
        <f>'11'!F108</f>
        <v>2.2977083333333339</v>
      </c>
      <c r="G19" s="99">
        <f>'11'!$G$108</f>
        <v>187.00177083333335</v>
      </c>
      <c r="H19" s="61">
        <f>'11'!H108</f>
        <v>70.60708333333335</v>
      </c>
      <c r="I19" s="61">
        <f>'11'!I108</f>
        <v>0.78364583333333349</v>
      </c>
      <c r="J19" s="61">
        <f>'11'!J108</f>
        <v>0.51958333333333306</v>
      </c>
      <c r="K19" s="61">
        <f>'11'!K108</f>
        <v>121.36333333333334</v>
      </c>
      <c r="L19" s="10" t="s">
        <v>42</v>
      </c>
      <c r="M19" s="10" t="s">
        <v>42</v>
      </c>
      <c r="N19" s="61">
        <f>'11'!N108</f>
        <v>194.24895833333326</v>
      </c>
      <c r="O19" s="61">
        <f>'11'!O108</f>
        <v>0</v>
      </c>
      <c r="P19" s="202">
        <f>'11'!P108</f>
        <v>1.3394791666666668</v>
      </c>
      <c r="Q19" s="61">
        <f>'11'!Q108</f>
        <v>184.31416666666669</v>
      </c>
      <c r="R19" s="118"/>
      <c r="S19" s="118"/>
      <c r="T19" s="118"/>
      <c r="U19" s="118"/>
    </row>
    <row r="20" spans="1:21" x14ac:dyDescent="0.25">
      <c r="A20" s="94" t="str">
        <f>'12'!$B$2</f>
        <v>12-11-2022 00:15</v>
      </c>
      <c r="B20" s="61">
        <f>'12'!B108</f>
        <v>17.742500000000003</v>
      </c>
      <c r="C20" s="61">
        <f>'12'!C108</f>
        <v>93.103645833333346</v>
      </c>
      <c r="D20" s="61">
        <f>'12'!D108</f>
        <v>65.610416666666666</v>
      </c>
      <c r="E20" s="61">
        <f>'12'!E108</f>
        <v>5.4676041666666686</v>
      </c>
      <c r="F20" s="61">
        <f>'12'!F108</f>
        <v>2.592083333333334</v>
      </c>
      <c r="G20" s="101">
        <f>'12'!$G$108</f>
        <v>205.31468750000013</v>
      </c>
      <c r="H20" s="61">
        <f>'12'!H108</f>
        <v>74.624270833333313</v>
      </c>
      <c r="I20" s="61">
        <f>'12'!I108</f>
        <v>0.69291666666666663</v>
      </c>
      <c r="J20" s="61">
        <f>'12'!J108</f>
        <v>0.55291666666666661</v>
      </c>
      <c r="K20" s="61">
        <f>'12'!K108</f>
        <v>72.805416666666659</v>
      </c>
      <c r="L20" s="10" t="s">
        <v>42</v>
      </c>
      <c r="M20" s="10" t="s">
        <v>42</v>
      </c>
      <c r="N20" s="61">
        <f>'12'!N108</f>
        <v>166.96666666666664</v>
      </c>
      <c r="O20" s="61">
        <f>'12'!O108</f>
        <v>0</v>
      </c>
      <c r="P20" s="202">
        <f>'12'!P108</f>
        <v>1.5193749999999999</v>
      </c>
      <c r="Q20" s="61">
        <f>'12'!Q108</f>
        <v>159.01729166666667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13-11-2022 00:15</v>
      </c>
      <c r="B21" s="91">
        <f>'13'!B108</f>
        <v>15.950312500000001</v>
      </c>
      <c r="C21" s="91">
        <f>'13'!C108</f>
        <v>88.190520833333323</v>
      </c>
      <c r="D21" s="91">
        <f>'13'!D108</f>
        <v>61.460833333333312</v>
      </c>
      <c r="E21" s="91">
        <f>'13'!E108</f>
        <v>4.7462499999999999</v>
      </c>
      <c r="F21" s="91">
        <f>'13'!F108</f>
        <v>1.9858333333333338</v>
      </c>
      <c r="G21" s="100">
        <f>'13'!$G$108</f>
        <v>181.35312499999998</v>
      </c>
      <c r="H21" s="91">
        <f>'13'!H108</f>
        <v>71.460937500000057</v>
      </c>
      <c r="I21" s="91">
        <f>'13'!I108</f>
        <v>0.72687500000000016</v>
      </c>
      <c r="J21" s="91">
        <f>'13'!J108</f>
        <v>0.4895833333333332</v>
      </c>
      <c r="K21" s="91">
        <f>'13'!K108</f>
        <v>97.866145833333306</v>
      </c>
      <c r="L21" s="10" t="s">
        <v>42</v>
      </c>
      <c r="M21" s="10" t="s">
        <v>42</v>
      </c>
      <c r="N21" s="91">
        <f>'13'!N108</f>
        <v>184.25624999999999</v>
      </c>
      <c r="O21" s="91">
        <f>'13'!O108</f>
        <v>0</v>
      </c>
      <c r="P21" s="203">
        <f>'13'!P108</f>
        <v>1.5612499999999996</v>
      </c>
      <c r="Q21" s="91">
        <f>'13'!Q108</f>
        <v>148.48291666666668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14-11-2022 00:15</v>
      </c>
      <c r="B22" s="90">
        <f>'14'!B108</f>
        <v>40.472395833333337</v>
      </c>
      <c r="C22" s="90">
        <f>'14'!C108</f>
        <v>123.86697916666672</v>
      </c>
      <c r="D22" s="90">
        <f>'14'!D108</f>
        <v>100.81562500000001</v>
      </c>
      <c r="E22" s="90">
        <f>'14'!E108</f>
        <v>8.3645833333333357</v>
      </c>
      <c r="F22" s="90">
        <f>'14'!F108</f>
        <v>3.2782291666666663</v>
      </c>
      <c r="G22" s="100">
        <f>'14'!$G$108</f>
        <v>157.21338235294112</v>
      </c>
      <c r="H22" s="100">
        <f>'14'!$G$108</f>
        <v>157.21338235294112</v>
      </c>
      <c r="I22" s="90">
        <f>'14'!I108</f>
        <v>0.69947916666666643</v>
      </c>
      <c r="J22" s="90">
        <f>'14'!J108</f>
        <v>0.41833333333333322</v>
      </c>
      <c r="K22" s="90">
        <f>'14'!K108</f>
        <v>149.35791666666668</v>
      </c>
      <c r="L22" s="10" t="s">
        <v>42</v>
      </c>
      <c r="M22" s="10" t="s">
        <v>42</v>
      </c>
      <c r="N22" s="90">
        <f>'14'!N108</f>
        <v>197.18750000000011</v>
      </c>
      <c r="O22" s="90">
        <f>'14'!O108</f>
        <v>0</v>
      </c>
      <c r="P22" s="204">
        <f>'14'!P108</f>
        <v>1.5021875</v>
      </c>
      <c r="Q22" s="90">
        <f>'14'!Q108</f>
        <v>139.02093750000003</v>
      </c>
      <c r="R22" s="206"/>
      <c r="S22" s="206"/>
      <c r="T22" s="206"/>
      <c r="U22" s="206"/>
    </row>
    <row r="23" spans="1:21" x14ac:dyDescent="0.25">
      <c r="A23" s="94" t="str">
        <f>'15'!$B$2</f>
        <v>15-11-2022 00:15</v>
      </c>
      <c r="B23" s="61">
        <f>'15'!B108</f>
        <v>47.336744186046488</v>
      </c>
      <c r="C23" s="61">
        <f>'15'!C108</f>
        <v>129.52081395348841</v>
      </c>
      <c r="D23" s="61">
        <f>'15'!D108</f>
        <v>109.44034883720933</v>
      </c>
      <c r="E23" s="61">
        <f>'15'!E108</f>
        <v>5.017500000000001</v>
      </c>
      <c r="F23" s="61">
        <f>'15'!F108</f>
        <v>3.0811458333333319</v>
      </c>
      <c r="G23" s="100">
        <f>'15'!$G$108</f>
        <v>135.7895</v>
      </c>
      <c r="H23" s="61">
        <f>'15'!H108</f>
        <v>70.494166666666686</v>
      </c>
      <c r="I23" s="61">
        <f>'15'!I108</f>
        <v>0.82354166666666684</v>
      </c>
      <c r="J23" s="61">
        <f>'15'!J108</f>
        <v>0.36427083333333354</v>
      </c>
      <c r="K23" s="61">
        <f>'15'!K108</f>
        <v>139.24197916666668</v>
      </c>
      <c r="L23" s="10" t="s">
        <v>42</v>
      </c>
      <c r="M23" s="10" t="s">
        <v>42</v>
      </c>
      <c r="N23" s="61">
        <f>'15'!N108</f>
        <v>181.00833333333333</v>
      </c>
      <c r="O23" s="61">
        <f>'15'!O108</f>
        <v>0</v>
      </c>
      <c r="P23" s="202">
        <f>'15'!P108</f>
        <v>1.7868750000000002</v>
      </c>
      <c r="Q23" s="61">
        <f>'15'!Q108</f>
        <v>164.60541666666671</v>
      </c>
      <c r="R23" s="118"/>
      <c r="S23" s="118"/>
      <c r="T23" s="118"/>
      <c r="U23" s="118"/>
    </row>
    <row r="24" spans="1:21" x14ac:dyDescent="0.25">
      <c r="A24" s="94" t="str">
        <f>'16'!$B$2</f>
        <v>16-11-2022 00:15</v>
      </c>
      <c r="B24" s="61">
        <f>'16'!B108</f>
        <v>77.592812499999994</v>
      </c>
      <c r="C24" s="61">
        <f>'16'!C108</f>
        <v>153.50874999999996</v>
      </c>
      <c r="D24" s="61">
        <f>'16'!D108</f>
        <v>146.94125</v>
      </c>
      <c r="E24" s="61">
        <f>'16'!E108</f>
        <v>5.0513541666666679</v>
      </c>
      <c r="F24" s="61">
        <f>'16'!F108</f>
        <v>2.4372916666666664</v>
      </c>
      <c r="G24" s="100">
        <f>'16'!$G$108</f>
        <v>170.6137499999999</v>
      </c>
      <c r="H24" s="61">
        <f>'16'!H108</f>
        <v>74.440833333333345</v>
      </c>
      <c r="I24" s="61">
        <f>'16'!I108</f>
        <v>1.0365624999999994</v>
      </c>
      <c r="J24" s="61">
        <f>'16'!J108</f>
        <v>0.36156250000000006</v>
      </c>
      <c r="K24" s="61">
        <f>'16'!K108</f>
        <v>215.1898958333334</v>
      </c>
      <c r="L24" s="61">
        <f>'16'!L108</f>
        <v>21.300606060606057</v>
      </c>
      <c r="M24" s="61">
        <f>'16'!M108</f>
        <v>67.647878787878781</v>
      </c>
      <c r="N24" s="61">
        <f>'16'!N108</f>
        <v>168.33958333333337</v>
      </c>
      <c r="O24" s="61">
        <f>'16'!O108</f>
        <v>0</v>
      </c>
      <c r="P24" s="202">
        <f>'16'!P108</f>
        <v>2.0622916666666664</v>
      </c>
      <c r="Q24" s="61">
        <f>'16'!Q108</f>
        <v>194.27021505376337</v>
      </c>
      <c r="R24" s="118"/>
      <c r="S24" s="118"/>
      <c r="T24" s="118"/>
      <c r="U24" s="118"/>
    </row>
    <row r="25" spans="1:21" x14ac:dyDescent="0.25">
      <c r="A25" s="94" t="str">
        <f>'17'!$B$2</f>
        <v>17-11-2022 00:15</v>
      </c>
      <c r="B25" s="61">
        <f>'17'!B108</f>
        <v>64.285416666666677</v>
      </c>
      <c r="C25" s="61">
        <f>'17'!C108</f>
        <v>143.01927083333334</v>
      </c>
      <c r="D25" s="61">
        <f>'17'!D108</f>
        <v>130.48156250000002</v>
      </c>
      <c r="E25" s="61">
        <f>'17'!E108</f>
        <v>5.1196874999999977</v>
      </c>
      <c r="F25" s="61">
        <f>'17'!F108</f>
        <v>1.8616666666666664</v>
      </c>
      <c r="G25" s="101">
        <f>'17'!$G$108</f>
        <v>196.48939759036139</v>
      </c>
      <c r="H25" s="61">
        <f>'17'!H108</f>
        <v>77.310326086956579</v>
      </c>
      <c r="I25" s="61">
        <f>'17'!I108</f>
        <v>1.0860416666666661</v>
      </c>
      <c r="J25" s="61">
        <f>'17'!J108</f>
        <v>0.51875000000000016</v>
      </c>
      <c r="K25" s="61">
        <f>'17'!K108</f>
        <v>229.43145833333313</v>
      </c>
      <c r="L25" s="61">
        <f>'17'!L108</f>
        <v>22.898333333333341</v>
      </c>
      <c r="M25" s="61">
        <f>'17'!M108</f>
        <v>62.345937499999998</v>
      </c>
      <c r="N25" s="61">
        <f>'17'!N108</f>
        <v>148.72916666666669</v>
      </c>
      <c r="O25" s="61">
        <f>'17'!O108</f>
        <v>0</v>
      </c>
      <c r="P25" s="202">
        <f>'17'!P108</f>
        <v>2.0436458333333327</v>
      </c>
      <c r="Q25" s="61">
        <f>'17'!Q108</f>
        <v>197.91947916666675</v>
      </c>
      <c r="R25" s="118"/>
      <c r="S25" s="118"/>
      <c r="T25" s="118"/>
      <c r="U25" s="118"/>
    </row>
    <row r="26" spans="1:21" x14ac:dyDescent="0.25">
      <c r="A26" s="94" t="str">
        <f>'18'!$B$2</f>
        <v>18-11-2022 00:15</v>
      </c>
      <c r="B26" s="61">
        <f>'18'!B108</f>
        <v>38.462395833333346</v>
      </c>
      <c r="C26" s="61">
        <f>'18'!C108</f>
        <v>123.92677083333332</v>
      </c>
      <c r="D26" s="61">
        <f>'18'!D108</f>
        <v>99.235937499999991</v>
      </c>
      <c r="E26" s="61">
        <f>'18'!E108</f>
        <v>17.413750000000004</v>
      </c>
      <c r="F26" s="61">
        <f>'18'!F108</f>
        <v>3.3804166666666666</v>
      </c>
      <c r="G26" s="99">
        <f>'18'!$G$108</f>
        <v>154.07489583333344</v>
      </c>
      <c r="H26" s="61">
        <f>'18'!H108</f>
        <v>52.657916666666637</v>
      </c>
      <c r="I26" s="61">
        <f>'18'!I108</f>
        <v>0.58156250000000009</v>
      </c>
      <c r="J26" s="61">
        <f>'18'!J108</f>
        <v>0.86541666666666661</v>
      </c>
      <c r="K26" s="61">
        <f>'18'!K108</f>
        <v>229.29031249999991</v>
      </c>
      <c r="L26" s="61">
        <f>'18'!L108</f>
        <v>22.967708333333338</v>
      </c>
      <c r="M26" s="61">
        <f>'18'!M108</f>
        <v>56.62572916666668</v>
      </c>
      <c r="N26" s="61">
        <f>'18'!N108</f>
        <v>135.86354166666663</v>
      </c>
      <c r="O26" s="61">
        <f>'18'!O108</f>
        <v>0</v>
      </c>
      <c r="P26" s="202">
        <f>'18'!P108</f>
        <v>1.4203124999999999</v>
      </c>
      <c r="Q26" s="61">
        <f>'18'!Q108</f>
        <v>182.04175824175832</v>
      </c>
      <c r="R26" s="118"/>
      <c r="S26" s="118"/>
      <c r="T26" s="118"/>
      <c r="U26" s="118"/>
    </row>
    <row r="27" spans="1:21" x14ac:dyDescent="0.25">
      <c r="A27" s="94" t="str">
        <f>'19'!$B$2</f>
        <v>19-11-2022 00:15</v>
      </c>
      <c r="B27" s="61">
        <f>'19'!B108</f>
        <v>46.527499999999975</v>
      </c>
      <c r="C27" s="61">
        <f>'19'!C108</f>
        <v>133.38427083333337</v>
      </c>
      <c r="D27" s="61">
        <f>'19'!D108</f>
        <v>110.92364583333331</v>
      </c>
      <c r="E27" s="61">
        <f>'19'!E108</f>
        <v>10.325625000000004</v>
      </c>
      <c r="F27" s="61">
        <f>'19'!F108</f>
        <v>2.4033333333333342</v>
      </c>
      <c r="G27" s="61">
        <f>'19'!G108</f>
        <v>131.75279569892473</v>
      </c>
      <c r="H27" s="61">
        <f>'19'!H108</f>
        <v>36.466145833333343</v>
      </c>
      <c r="I27" s="61">
        <f>'19'!I108</f>
        <v>0.62562499999999976</v>
      </c>
      <c r="J27" s="61">
        <f>'19'!J108</f>
        <v>0.73729166666666679</v>
      </c>
      <c r="K27" s="61">
        <f>'19'!K108</f>
        <v>228.84583333333339</v>
      </c>
      <c r="L27" s="61">
        <f>'19'!L108</f>
        <v>21.759375000000006</v>
      </c>
      <c r="M27" s="61">
        <f>'19'!M108</f>
        <v>54.691458333333351</v>
      </c>
      <c r="N27" s="61">
        <f>'19'!N108</f>
        <v>138.27708333333337</v>
      </c>
      <c r="O27" s="61">
        <f>'19'!O108</f>
        <v>0</v>
      </c>
      <c r="P27" s="202">
        <f>'19'!P108</f>
        <v>1.5037499999999999</v>
      </c>
      <c r="Q27" s="61">
        <f>'19'!Q108</f>
        <v>156.88499999999999</v>
      </c>
      <c r="R27" s="118"/>
      <c r="S27" s="118"/>
      <c r="T27" s="118"/>
      <c r="U27" s="118"/>
    </row>
    <row r="28" spans="1:21" x14ac:dyDescent="0.25">
      <c r="A28" s="94" t="str">
        <f>'20'!$B$2</f>
        <v>20-11-2022 00:15</v>
      </c>
      <c r="B28" s="61">
        <f>'20'!B108</f>
        <v>29.064583333333331</v>
      </c>
      <c r="C28" s="61">
        <f>'20'!C108</f>
        <v>115.92989583333338</v>
      </c>
      <c r="D28" s="61">
        <f>'20'!D108</f>
        <v>87.287187499999973</v>
      </c>
      <c r="E28" s="61">
        <f>'20'!E108</f>
        <v>7.5991666666666662</v>
      </c>
      <c r="F28" s="61">
        <f>'20'!F108</f>
        <v>1.6267708333333326</v>
      </c>
      <c r="G28" s="61">
        <f>'20'!G108</f>
        <v>127.30093749999999</v>
      </c>
      <c r="H28" s="61">
        <f>'20'!H108</f>
        <v>42.908541666666686</v>
      </c>
      <c r="I28" s="61">
        <f>'20'!I108</f>
        <v>0.59041666666666626</v>
      </c>
      <c r="J28" s="61">
        <f>'20'!J108</f>
        <v>0.6926041666666668</v>
      </c>
      <c r="K28" s="61">
        <f>'20'!K108</f>
        <v>228.8926041666667</v>
      </c>
      <c r="L28" s="61">
        <f>'20'!L108</f>
        <v>21.4178125</v>
      </c>
      <c r="M28" s="61">
        <f>'20'!M108</f>
        <v>54.785104166666649</v>
      </c>
      <c r="N28" s="61">
        <f>'20'!N108</f>
        <v>152.06354166666668</v>
      </c>
      <c r="O28" s="61">
        <f>'20'!O108</f>
        <v>0</v>
      </c>
      <c r="P28" s="202">
        <f>'20'!P108</f>
        <v>1.5157291666666663</v>
      </c>
      <c r="Q28" s="61">
        <f>'20'!Q108</f>
        <v>233.45604166666666</v>
      </c>
      <c r="R28" s="118"/>
      <c r="S28" s="118"/>
      <c r="T28" s="118"/>
      <c r="U28" s="118"/>
    </row>
    <row r="29" spans="1:21" x14ac:dyDescent="0.25">
      <c r="A29" s="94" t="str">
        <f>'21'!$B$2</f>
        <v>21-11-2022 00:15</v>
      </c>
      <c r="B29" s="61">
        <f>'21'!B108</f>
        <v>43.705227272727257</v>
      </c>
      <c r="C29" s="61">
        <f>'21'!C108</f>
        <v>139.79568181818183</v>
      </c>
      <c r="D29" s="61">
        <f>'21'!D108</f>
        <v>112.19727272727272</v>
      </c>
      <c r="E29" s="61">
        <f>'21'!E108</f>
        <v>8.4053124999999991</v>
      </c>
      <c r="F29" s="61">
        <f>'21'!F108</f>
        <v>1.4647916666666658</v>
      </c>
      <c r="G29" s="61">
        <f>'21'!G108</f>
        <v>179.18703296703296</v>
      </c>
      <c r="H29" s="61">
        <f>'21'!H108</f>
        <v>56.905104166666632</v>
      </c>
      <c r="I29" s="61">
        <f>'21'!I108</f>
        <v>0.84114583333333304</v>
      </c>
      <c r="J29" s="61">
        <f>'21'!J108</f>
        <v>0.84729166666666655</v>
      </c>
      <c r="K29" s="61">
        <f>'21'!K108</f>
        <v>232.75218750000008</v>
      </c>
      <c r="L29" s="61">
        <f>'21'!L108</f>
        <v>21.590105263157888</v>
      </c>
      <c r="M29" s="61">
        <f>'21'!M108</f>
        <v>60.650781250000001</v>
      </c>
      <c r="N29" s="61">
        <f>'21'!N108</f>
        <v>130.33437500000005</v>
      </c>
      <c r="O29" s="61">
        <f>'21'!O108</f>
        <v>0</v>
      </c>
      <c r="P29" s="202">
        <f>'21'!P108</f>
        <v>2.2062500000000003</v>
      </c>
      <c r="Q29" s="61">
        <f>'21'!Q108</f>
        <v>245.88222222222225</v>
      </c>
      <c r="R29" s="118"/>
      <c r="S29" s="118"/>
      <c r="T29" s="118"/>
      <c r="U29" s="118"/>
    </row>
    <row r="30" spans="1:21" x14ac:dyDescent="0.25">
      <c r="A30" s="94" t="str">
        <f>'22'!$B$2</f>
        <v>22-11-2022 00:15</v>
      </c>
      <c r="B30" s="61">
        <f>'22'!B108</f>
        <v>60.349895833333363</v>
      </c>
      <c r="C30" s="61">
        <f>'22'!C108</f>
        <v>152.82885416666667</v>
      </c>
      <c r="D30" s="61">
        <f>'22'!D108</f>
        <v>132.73833333333332</v>
      </c>
      <c r="E30" s="61">
        <f>'22'!E108</f>
        <v>8.9426041666666656</v>
      </c>
      <c r="F30" s="61">
        <f>'22'!F108</f>
        <v>12.586354166666665</v>
      </c>
      <c r="G30" s="61">
        <f>'22'!G108</f>
        <v>160.26934782608703</v>
      </c>
      <c r="H30" s="61">
        <f>'22'!H108</f>
        <v>55.626521739130439</v>
      </c>
      <c r="I30" s="61">
        <f>'22'!I108</f>
        <v>0.95656249999999998</v>
      </c>
      <c r="J30" s="61">
        <f>'22'!J108</f>
        <v>0.79875000000000007</v>
      </c>
      <c r="K30" s="61">
        <f>'22'!K108</f>
        <v>192.05395833333338</v>
      </c>
      <c r="L30" s="61">
        <f>'22'!L108</f>
        <v>22.813958333333332</v>
      </c>
      <c r="M30" s="61">
        <f>'22'!M108</f>
        <v>52.88862068965517</v>
      </c>
      <c r="N30" s="61">
        <f>'22'!N108</f>
        <v>155.42291666666662</v>
      </c>
      <c r="O30" s="61">
        <f>'22'!O108</f>
        <v>0</v>
      </c>
      <c r="P30" s="202">
        <f>'22'!P108</f>
        <v>2.3499999999999996</v>
      </c>
      <c r="Q30" s="61">
        <f>'22'!Q108</f>
        <v>238.32943820224719</v>
      </c>
      <c r="R30" s="118"/>
      <c r="S30" s="118"/>
      <c r="T30" s="118"/>
      <c r="U30" s="118"/>
    </row>
    <row r="31" spans="1:21" x14ac:dyDescent="0.25">
      <c r="A31" s="94" t="str">
        <f>'23'!$B$2</f>
        <v>23-11-2022 00:15</v>
      </c>
      <c r="B31" s="61">
        <f>'23'!B108</f>
        <v>32.146562499999995</v>
      </c>
      <c r="C31" s="61">
        <f>'23'!C108</f>
        <v>127.34354166666668</v>
      </c>
      <c r="D31" s="61">
        <f>'23'!D108</f>
        <v>96.057187499999998</v>
      </c>
      <c r="E31" s="61">
        <f>'23'!E108</f>
        <v>5.9195833333333328</v>
      </c>
      <c r="F31" s="61">
        <f>'23'!F108</f>
        <v>1.9091666666666667</v>
      </c>
      <c r="G31" s="61">
        <f>'23'!G108</f>
        <v>137.13093749999996</v>
      </c>
      <c r="H31" s="61">
        <f>'23'!H108</f>
        <v>47.071979166666658</v>
      </c>
      <c r="I31" s="61">
        <f>'23'!I108</f>
        <v>0.72395833333333348</v>
      </c>
      <c r="J31" s="61">
        <f>'23'!J108</f>
        <v>0.55687500000000012</v>
      </c>
      <c r="K31" s="61">
        <f>'23'!K108</f>
        <v>180.54104166666662</v>
      </c>
      <c r="L31" s="61">
        <f>'23'!L108</f>
        <v>23.027604166666674</v>
      </c>
      <c r="M31" s="61">
        <f>'23'!M108</f>
        <v>57.529895833333342</v>
      </c>
      <c r="N31" s="61">
        <f>'23'!N108</f>
        <v>141.3989583333333</v>
      </c>
      <c r="O31" s="61">
        <f>'23'!O108</f>
        <v>0</v>
      </c>
      <c r="P31" s="202">
        <f>'23'!P108</f>
        <v>1.8451041666666665</v>
      </c>
      <c r="Q31" s="61">
        <f>'23'!Q108</f>
        <v>261.98552083333328</v>
      </c>
      <c r="R31" s="118"/>
      <c r="S31" s="207"/>
      <c r="T31" s="118"/>
      <c r="U31" s="118"/>
    </row>
    <row r="32" spans="1:21" x14ac:dyDescent="0.25">
      <c r="A32" s="94" t="str">
        <f>'24'!$B$2</f>
        <v>24-11-2022 00:15</v>
      </c>
      <c r="B32" s="61">
        <f>'24'!B108</f>
        <v>42.825208333333343</v>
      </c>
      <c r="C32" s="61">
        <f>'24'!C108</f>
        <v>143.26468749999995</v>
      </c>
      <c r="D32" s="61">
        <f>'24'!D108</f>
        <v>113.40697916666663</v>
      </c>
      <c r="E32" s="61">
        <f>'24'!E108</f>
        <v>5.6754166666666679</v>
      </c>
      <c r="F32" s="61">
        <f>'24'!F108</f>
        <v>2.260520833333334</v>
      </c>
      <c r="G32" s="61">
        <f>'24'!G108</f>
        <v>159.07166666666672</v>
      </c>
      <c r="H32" s="61">
        <f>'24'!H108</f>
        <v>47.174479166666693</v>
      </c>
      <c r="I32" s="61">
        <f>'24'!I108</f>
        <v>0.70583333333333353</v>
      </c>
      <c r="J32" s="61">
        <f>'24'!J108</f>
        <v>0.43927083333333328</v>
      </c>
      <c r="K32" s="61">
        <f>'24'!K108</f>
        <v>182.54906249999996</v>
      </c>
      <c r="L32" s="61">
        <f>'24'!L108</f>
        <v>22.125520833333329</v>
      </c>
      <c r="M32" s="61">
        <f>'24'!M108</f>
        <v>58.088229166666679</v>
      </c>
      <c r="N32" s="61">
        <f>'24'!N108</f>
        <v>138.98541666666668</v>
      </c>
      <c r="O32" s="61">
        <f>'24'!O108</f>
        <v>0</v>
      </c>
      <c r="P32" s="202">
        <f>'24'!P108</f>
        <v>1.9664583333333336</v>
      </c>
      <c r="Q32" s="61">
        <f>'24'!Q108</f>
        <v>237.26784090909089</v>
      </c>
      <c r="R32" s="118"/>
      <c r="S32" s="118"/>
      <c r="T32" s="118"/>
      <c r="U32" s="118"/>
    </row>
    <row r="33" spans="1:21" x14ac:dyDescent="0.25">
      <c r="A33" s="94" t="str">
        <f>'25'!$B$2</f>
        <v>25-11-2022 00:15</v>
      </c>
      <c r="B33" s="61">
        <f>'25'!B108</f>
        <v>46.983020833333335</v>
      </c>
      <c r="C33" s="61">
        <f>'25'!C108</f>
        <v>144.90166666666667</v>
      </c>
      <c r="D33" s="61">
        <f>'25'!D108</f>
        <v>117.64489583333329</v>
      </c>
      <c r="E33" s="61">
        <f>'25'!E108</f>
        <v>5.4426041666666665</v>
      </c>
      <c r="F33" s="61">
        <f>'25'!F108</f>
        <v>1.586354166666667</v>
      </c>
      <c r="G33" s="61">
        <f>'25'!G108</f>
        <v>100.85124999999995</v>
      </c>
      <c r="H33" s="61">
        <f>'25'!H108</f>
        <v>34.075624999999988</v>
      </c>
      <c r="I33" s="61">
        <f>'25'!I108</f>
        <v>0.79562500000000014</v>
      </c>
      <c r="J33" s="61">
        <f>'25'!J108</f>
        <v>0.57156250000000008</v>
      </c>
      <c r="K33" s="61">
        <f>'25'!K108</f>
        <v>176.0909375</v>
      </c>
      <c r="L33" s="61">
        <f>'25'!L108</f>
        <v>21.755312500000006</v>
      </c>
      <c r="M33" s="61">
        <f>'25'!M108</f>
        <v>57.21687499999998</v>
      </c>
      <c r="N33" s="61">
        <f>'25'!N108</f>
        <v>136.08750000000001</v>
      </c>
      <c r="O33" s="61">
        <f>'25'!O108</f>
        <v>0</v>
      </c>
      <c r="P33" s="202">
        <f>'25'!P108</f>
        <v>1.7637499999999997</v>
      </c>
      <c r="Q33" s="61">
        <f>'25'!Q108</f>
        <v>277.29347826086951</v>
      </c>
      <c r="R33" s="118"/>
      <c r="S33" s="207"/>
      <c r="T33" s="118"/>
      <c r="U33" s="118"/>
    </row>
    <row r="34" spans="1:21" x14ac:dyDescent="0.25">
      <c r="A34" s="94" t="str">
        <f>'26'!$B$2</f>
        <v>26-11-2022 00:15</v>
      </c>
      <c r="B34" s="61">
        <f>'26'!B108</f>
        <v>62.517916666666672</v>
      </c>
      <c r="C34" s="61">
        <f>'26'!C108</f>
        <v>170.51770833333325</v>
      </c>
      <c r="D34" s="61">
        <f>'26'!D108</f>
        <v>144.23843749999992</v>
      </c>
      <c r="E34" s="61">
        <f>'26'!E108</f>
        <v>6.5965625000000001</v>
      </c>
      <c r="F34" s="61">
        <f>'26'!F108</f>
        <v>1.5637499999999998</v>
      </c>
      <c r="G34" s="61">
        <f>'26'!G108</f>
        <v>117.04791666666669</v>
      </c>
      <c r="H34" s="61">
        <f>'26'!H108</f>
        <v>38.376145833333339</v>
      </c>
      <c r="I34" s="61">
        <f>'26'!I108</f>
        <v>0.72729166666666656</v>
      </c>
      <c r="J34" s="61">
        <f>'26'!J108</f>
        <v>0.46791666666666676</v>
      </c>
      <c r="K34" s="61">
        <f>'26'!K108</f>
        <v>185.84958333333338</v>
      </c>
      <c r="L34" s="61">
        <f>'26'!L108</f>
        <v>20.726041666666671</v>
      </c>
      <c r="M34" s="61">
        <f>'26'!M108</f>
        <v>69.910729166666655</v>
      </c>
      <c r="N34" s="61">
        <f>'26'!N108</f>
        <v>135.1614583333334</v>
      </c>
      <c r="O34" s="61">
        <f>'26'!O108</f>
        <v>0</v>
      </c>
      <c r="P34" s="202">
        <f>'26'!P108</f>
        <v>1.8926041666666666</v>
      </c>
      <c r="Q34" s="61">
        <f>'26'!Q108</f>
        <v>243.30535714285708</v>
      </c>
      <c r="R34" s="118"/>
      <c r="S34" s="118"/>
      <c r="T34" s="118"/>
      <c r="U34" s="118"/>
    </row>
    <row r="35" spans="1:21" x14ac:dyDescent="0.25">
      <c r="A35" s="94" t="str">
        <f>'27'!$B$2</f>
        <v>27-11-2022 00:15</v>
      </c>
      <c r="B35" s="61">
        <f>'26'!B108</f>
        <v>62.517916666666672</v>
      </c>
      <c r="C35" s="61">
        <f>'26'!C108</f>
        <v>170.51770833333325</v>
      </c>
      <c r="D35" s="61">
        <f>'26'!D108</f>
        <v>144.23843749999992</v>
      </c>
      <c r="E35" s="61">
        <f>'26'!E108</f>
        <v>6.5965625000000001</v>
      </c>
      <c r="F35" s="61">
        <f>'26'!F108</f>
        <v>1.5637499999999998</v>
      </c>
      <c r="G35" s="61">
        <f>'26'!G108</f>
        <v>117.04791666666669</v>
      </c>
      <c r="H35" s="61">
        <f>'26'!H108</f>
        <v>38.376145833333339</v>
      </c>
      <c r="I35" s="61">
        <f>'26'!I108</f>
        <v>0.72729166666666656</v>
      </c>
      <c r="J35" s="61">
        <f>'26'!J108</f>
        <v>0.46791666666666676</v>
      </c>
      <c r="K35" s="61">
        <f>'26'!K108</f>
        <v>185.84958333333338</v>
      </c>
      <c r="L35" s="61">
        <f>'26'!L108</f>
        <v>20.726041666666671</v>
      </c>
      <c r="M35" s="61">
        <f>'26'!M108</f>
        <v>69.910729166666655</v>
      </c>
      <c r="N35" s="61">
        <f>'26'!N108</f>
        <v>135.1614583333334</v>
      </c>
      <c r="O35" s="61">
        <f>'26'!O108</f>
        <v>0</v>
      </c>
      <c r="P35" s="61">
        <f>'26'!P108</f>
        <v>1.8926041666666666</v>
      </c>
      <c r="Q35" s="61">
        <f>'26'!Q108</f>
        <v>243.30535714285708</v>
      </c>
      <c r="R35" s="118"/>
      <c r="S35" s="118"/>
      <c r="T35" s="118"/>
      <c r="U35" s="118"/>
    </row>
    <row r="36" spans="1:21" x14ac:dyDescent="0.25">
      <c r="A36" s="94" t="str">
        <f>'28'!$B$2</f>
        <v>28-11-2022 00:15</v>
      </c>
      <c r="B36" s="61">
        <f>'28'!B108</f>
        <v>48.529374999999995</v>
      </c>
      <c r="C36" s="61">
        <f>'28'!C108</f>
        <v>154.54375000000002</v>
      </c>
      <c r="D36" s="61">
        <f>'28'!D108</f>
        <v>124.20541666666666</v>
      </c>
      <c r="E36" s="61">
        <f>'28'!E108</f>
        <v>5.1613541666666665</v>
      </c>
      <c r="F36" s="61">
        <f>'28'!F108</f>
        <v>2.9614583333333329</v>
      </c>
      <c r="G36" s="61">
        <f>'28'!G108</f>
        <v>109.82708333333335</v>
      </c>
      <c r="H36" s="61">
        <f>'28'!H108</f>
        <v>37.658645833333352</v>
      </c>
      <c r="I36" s="61">
        <f>'28'!I108</f>
        <v>0.79833333333333367</v>
      </c>
      <c r="J36" s="61">
        <f>'28'!J108</f>
        <v>0.33781250000000007</v>
      </c>
      <c r="K36" s="61">
        <f>'28'!K108</f>
        <v>212.61708333333328</v>
      </c>
      <c r="L36" s="61">
        <f>'28'!L108</f>
        <v>20.833854166666665</v>
      </c>
      <c r="M36" s="61">
        <f>'28'!M108</f>
        <v>63.622499999999981</v>
      </c>
      <c r="N36" s="61">
        <f>'28'!N108</f>
        <v>119.72291666666665</v>
      </c>
      <c r="O36" s="61">
        <f>'28'!O108</f>
        <v>0</v>
      </c>
      <c r="P36" s="202">
        <f>'28'!P108</f>
        <v>2.0388541666666664</v>
      </c>
      <c r="Q36" s="61">
        <f>'28'!Q108</f>
        <v>279.88931034482761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29-11-2022 00:15</v>
      </c>
      <c r="B37" s="61">
        <f>'29'!B108</f>
        <v>45.074479166666656</v>
      </c>
      <c r="C37" s="61">
        <f>'29'!C108</f>
        <v>134.06677083333338</v>
      </c>
      <c r="D37" s="61">
        <f>'29'!D108</f>
        <v>110.13447916666671</v>
      </c>
      <c r="E37" s="61">
        <f>'29'!E108</f>
        <v>5.5060416666666656</v>
      </c>
      <c r="F37" s="61">
        <f>'29'!F108</f>
        <v>2.6271874999999993</v>
      </c>
      <c r="G37" s="61">
        <f>'29'!G108</f>
        <v>113.76729166666661</v>
      </c>
      <c r="H37" s="61">
        <f>'29'!H108</f>
        <v>41.946770833333368</v>
      </c>
      <c r="I37" s="61">
        <f>'29'!I108</f>
        <v>0.82906250000000015</v>
      </c>
      <c r="J37" s="61">
        <f>'29'!J108</f>
        <v>0.48041666666666655</v>
      </c>
      <c r="K37" s="61">
        <f>'29'!K108</f>
        <v>214.13489583333333</v>
      </c>
      <c r="L37" s="61">
        <f>'29'!L108</f>
        <v>21.286250000000003</v>
      </c>
      <c r="M37" s="61">
        <f>'29'!M108</f>
        <v>57.052083333333336</v>
      </c>
      <c r="N37" s="61">
        <f>'29'!N108</f>
        <v>136.16190476190474</v>
      </c>
      <c r="O37" s="61">
        <f>'29'!O108</f>
        <v>0</v>
      </c>
      <c r="P37" s="202">
        <f>'29'!P108</f>
        <v>2.0505208333333331</v>
      </c>
      <c r="Q37" s="61">
        <f>'29'!Q108</f>
        <v>204.96363636363628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30-11-2022 00:15</v>
      </c>
      <c r="B38" s="61">
        <f>'30'!B108</f>
        <v>33.717604166666661</v>
      </c>
      <c r="C38" s="61">
        <f>'30'!C108</f>
        <v>94.766666666666652</v>
      </c>
      <c r="D38" s="61">
        <f>'30'!D108</f>
        <v>79.950312500000038</v>
      </c>
      <c r="E38" s="61">
        <f>'30'!E108</f>
        <v>10.396770833333333</v>
      </c>
      <c r="F38" s="61">
        <f>'30'!F108</f>
        <v>3.4429166666666657</v>
      </c>
      <c r="G38" s="61">
        <f>'30'!G108</f>
        <v>121.64673913043472</v>
      </c>
      <c r="H38" s="61">
        <f>'30'!H108</f>
        <v>48.975978260869532</v>
      </c>
      <c r="I38" s="61">
        <f>'30'!I108</f>
        <v>0.7560416666666665</v>
      </c>
      <c r="J38" s="61">
        <f>'30'!J108</f>
        <v>0.41656250000000011</v>
      </c>
      <c r="K38" s="61">
        <f>'30'!K108</f>
        <v>216.10010416666668</v>
      </c>
      <c r="L38" s="61">
        <f>'30'!L108</f>
        <v>21.963124999999994</v>
      </c>
      <c r="M38" s="61">
        <f>'30'!M108</f>
        <v>62.03125</v>
      </c>
      <c r="N38" s="61">
        <f>'30'!N108</f>
        <v>193.52000000000004</v>
      </c>
      <c r="O38" s="61">
        <f>'30'!O108</f>
        <v>0</v>
      </c>
      <c r="P38" s="202">
        <f>'30'!P108</f>
        <v>2.0105208333333335</v>
      </c>
      <c r="Q38" s="61">
        <f>'30'!Q108</f>
        <v>122.07770833333335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58</v>
      </c>
      <c r="B40" s="16">
        <f t="shared" ref="B40:Q40" si="0">MIN(B9:B38)</f>
        <v>15.950312500000001</v>
      </c>
      <c r="C40" s="16">
        <f t="shared" si="0"/>
        <v>83.202499999999986</v>
      </c>
      <c r="D40" s="16">
        <f t="shared" si="0"/>
        <v>60.819375000000008</v>
      </c>
      <c r="E40" s="16">
        <f t="shared" si="0"/>
        <v>4.7462499999999999</v>
      </c>
      <c r="F40" s="16">
        <f t="shared" si="0"/>
        <v>1.4647916666666658</v>
      </c>
      <c r="G40" s="16">
        <f t="shared" si="0"/>
        <v>100.85124999999995</v>
      </c>
      <c r="H40" s="16">
        <f t="shared" si="0"/>
        <v>34.075624999999988</v>
      </c>
      <c r="I40" s="16">
        <f t="shared" si="0"/>
        <v>0.26314285714285712</v>
      </c>
      <c r="J40" s="16">
        <f t="shared" si="0"/>
        <v>0.33781250000000007</v>
      </c>
      <c r="K40" s="16">
        <f t="shared" si="0"/>
        <v>72.805416666666659</v>
      </c>
      <c r="L40" s="16">
        <f t="shared" si="0"/>
        <v>20.726041666666671</v>
      </c>
      <c r="M40" s="16">
        <f t="shared" si="0"/>
        <v>52.88862068965517</v>
      </c>
      <c r="N40" s="16">
        <f t="shared" si="0"/>
        <v>76.72</v>
      </c>
      <c r="O40" s="16">
        <f t="shared" si="0"/>
        <v>0</v>
      </c>
      <c r="P40" s="16">
        <f t="shared" si="0"/>
        <v>1.3394791666666668</v>
      </c>
      <c r="Q40" s="16">
        <f t="shared" si="0"/>
        <v>91.972812499999989</v>
      </c>
      <c r="R40" s="16"/>
      <c r="S40" s="16"/>
      <c r="T40" s="16"/>
      <c r="U40" s="16"/>
    </row>
    <row r="41" spans="1:21" s="54" customFormat="1" x14ac:dyDescent="0.25">
      <c r="A41" s="94" t="s">
        <v>59</v>
      </c>
      <c r="B41" s="16">
        <f t="shared" ref="B41:Q41" si="1">MAX(B9:B38)</f>
        <v>77.592812499999994</v>
      </c>
      <c r="C41" s="16">
        <f t="shared" si="1"/>
        <v>170.51770833333325</v>
      </c>
      <c r="D41" s="16">
        <f t="shared" si="1"/>
        <v>146.94125</v>
      </c>
      <c r="E41" s="16">
        <f t="shared" si="1"/>
        <v>85.174499999999981</v>
      </c>
      <c r="F41" s="16">
        <f t="shared" si="1"/>
        <v>50.876874999999991</v>
      </c>
      <c r="G41" s="16">
        <f t="shared" si="1"/>
        <v>247.15700000000007</v>
      </c>
      <c r="H41" s="16">
        <f t="shared" si="1"/>
        <v>157.21338235294112</v>
      </c>
      <c r="I41" s="16">
        <f t="shared" si="1"/>
        <v>1.0860416666666661</v>
      </c>
      <c r="J41" s="16">
        <f t="shared" si="1"/>
        <v>0.98291666666666666</v>
      </c>
      <c r="K41" s="16">
        <f t="shared" si="1"/>
        <v>232.75218750000008</v>
      </c>
      <c r="L41" s="16">
        <f t="shared" si="1"/>
        <v>23.027604166666674</v>
      </c>
      <c r="M41" s="16">
        <f t="shared" si="1"/>
        <v>69.910729166666655</v>
      </c>
      <c r="N41" s="16">
        <f t="shared" si="1"/>
        <v>197.18750000000011</v>
      </c>
      <c r="O41" s="16">
        <f t="shared" si="1"/>
        <v>0</v>
      </c>
      <c r="P41" s="16">
        <f t="shared" si="1"/>
        <v>2.3499999999999996</v>
      </c>
      <c r="Q41" s="16">
        <f t="shared" si="1"/>
        <v>279.88931034482761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2">AVERAGE(B9:B38)</f>
        <v>41.245325751830727</v>
      </c>
      <c r="C42" s="16">
        <f t="shared" si="2"/>
        <v>129.12079420021755</v>
      </c>
      <c r="D42" s="16">
        <f t="shared" si="2"/>
        <v>104.3608549230934</v>
      </c>
      <c r="E42" s="16">
        <f t="shared" si="2"/>
        <v>12.896468297101451</v>
      </c>
      <c r="F42" s="16">
        <f t="shared" si="2"/>
        <v>6.0939728260869561</v>
      </c>
      <c r="G42" s="16">
        <f t="shared" si="2"/>
        <v>156.6887405330144</v>
      </c>
      <c r="H42" s="16">
        <f t="shared" si="2"/>
        <v>62.300817939415843</v>
      </c>
      <c r="I42" s="16">
        <f t="shared" si="2"/>
        <v>0.73520005175983427</v>
      </c>
      <c r="J42" s="16">
        <f t="shared" si="2"/>
        <v>0.56220108695652182</v>
      </c>
      <c r="K42" s="16">
        <f t="shared" si="2"/>
        <v>173.92619112318837</v>
      </c>
      <c r="L42" s="16">
        <f t="shared" si="2"/>
        <v>21.812776588250927</v>
      </c>
      <c r="M42" s="16">
        <f t="shared" si="2"/>
        <v>60.333186770724488</v>
      </c>
      <c r="N42" s="16">
        <f t="shared" si="2"/>
        <v>152.66557194616979</v>
      </c>
      <c r="O42" s="16">
        <f t="shared" si="2"/>
        <v>0</v>
      </c>
      <c r="P42" s="16">
        <f t="shared" si="2"/>
        <v>1.7680547416509136</v>
      </c>
      <c r="Q42" s="16">
        <f t="shared" si="2"/>
        <v>195.86471900564104</v>
      </c>
      <c r="R42" s="16"/>
      <c r="S42" s="16"/>
      <c r="T42" s="16"/>
      <c r="U42" s="16"/>
    </row>
    <row r="43" spans="1:21" s="54" customFormat="1" x14ac:dyDescent="0.25">
      <c r="A43" s="94" t="s">
        <v>76</v>
      </c>
      <c r="B43" s="16">
        <f t="shared" ref="B43:Q43" si="3">STDEV(B9:B38)</f>
        <v>16.693774217716467</v>
      </c>
      <c r="C43" s="16">
        <f t="shared" si="3"/>
        <v>25.300814919230895</v>
      </c>
      <c r="D43" s="16">
        <f t="shared" si="3"/>
        <v>26.170614641617089</v>
      </c>
      <c r="E43" s="16">
        <f t="shared" si="3"/>
        <v>19.141511146507259</v>
      </c>
      <c r="F43" s="16">
        <f t="shared" si="3"/>
        <v>10.783045446499049</v>
      </c>
      <c r="G43" s="16">
        <f t="shared" si="3"/>
        <v>38.044720916589121</v>
      </c>
      <c r="H43" s="16">
        <f t="shared" si="3"/>
        <v>27.531568690532197</v>
      </c>
      <c r="I43" s="16">
        <f t="shared" si="3"/>
        <v>0.17751392343102634</v>
      </c>
      <c r="J43" s="16">
        <f t="shared" si="3"/>
        <v>0.17757242869453849</v>
      </c>
      <c r="K43" s="16">
        <f t="shared" si="3"/>
        <v>51.791775566865887</v>
      </c>
      <c r="L43" s="16">
        <f t="shared" si="3"/>
        <v>0.80986956215995665</v>
      </c>
      <c r="M43" s="16">
        <f t="shared" si="3"/>
        <v>5.4770353549240562</v>
      </c>
      <c r="N43" s="16">
        <f t="shared" si="3"/>
        <v>28.4825294162932</v>
      </c>
      <c r="O43" s="16">
        <f t="shared" si="3"/>
        <v>0</v>
      </c>
      <c r="P43" s="16">
        <f t="shared" si="3"/>
        <v>0.29282299246706661</v>
      </c>
      <c r="Q43" s="16">
        <f t="shared" si="3"/>
        <v>53.10734487647786</v>
      </c>
      <c r="R43" s="16"/>
      <c r="S43" s="16"/>
      <c r="T43" s="16"/>
      <c r="U43" s="16"/>
    </row>
    <row r="44" spans="1:21" s="54" customFormat="1" x14ac:dyDescent="0.25">
      <c r="A44" s="94" t="s">
        <v>61</v>
      </c>
      <c r="B44" s="13">
        <f t="shared" ref="B44:Q44" si="4">COUNT(B9:B38)</f>
        <v>23</v>
      </c>
      <c r="C44" s="13">
        <f t="shared" si="4"/>
        <v>23</v>
      </c>
      <c r="D44" s="13">
        <f t="shared" si="4"/>
        <v>23</v>
      </c>
      <c r="E44" s="13">
        <f t="shared" si="4"/>
        <v>23</v>
      </c>
      <c r="F44" s="13">
        <f t="shared" si="4"/>
        <v>23</v>
      </c>
      <c r="G44" s="13">
        <f t="shared" si="4"/>
        <v>23</v>
      </c>
      <c r="H44" s="13">
        <f t="shared" si="4"/>
        <v>23</v>
      </c>
      <c r="I44" s="13">
        <f t="shared" si="4"/>
        <v>23</v>
      </c>
      <c r="J44" s="13">
        <f t="shared" si="4"/>
        <v>23</v>
      </c>
      <c r="K44" s="13">
        <f t="shared" si="4"/>
        <v>23</v>
      </c>
      <c r="L44" s="13">
        <f t="shared" si="4"/>
        <v>15</v>
      </c>
      <c r="M44" s="13">
        <f t="shared" si="4"/>
        <v>15</v>
      </c>
      <c r="N44" s="13">
        <f t="shared" si="4"/>
        <v>23</v>
      </c>
      <c r="O44" s="13">
        <f t="shared" si="4"/>
        <v>23</v>
      </c>
      <c r="P44" s="13">
        <f t="shared" si="4"/>
        <v>23</v>
      </c>
      <c r="Q44" s="13">
        <f t="shared" si="4"/>
        <v>23</v>
      </c>
      <c r="R44" s="13"/>
      <c r="S44" s="13"/>
      <c r="T44" s="13"/>
      <c r="U44" s="13"/>
    </row>
    <row r="45" spans="1:21" s="54" customFormat="1" x14ac:dyDescent="0.25">
      <c r="A45" s="94" t="s">
        <v>62</v>
      </c>
      <c r="B45" s="13" t="str">
        <f>IF(B44&gt;=28,"&gt;90%",IF(B44&lt;=28,"&lt;90%"))</f>
        <v>&lt;90%</v>
      </c>
      <c r="C45" s="13" t="str">
        <f t="shared" ref="C45:Q45" si="5">IF(C44&gt;=28,"&gt;90%",IF(C44&lt;=28,"&lt;90%"))</f>
        <v>&lt;90%</v>
      </c>
      <c r="D45" s="13" t="str">
        <f t="shared" si="5"/>
        <v>&lt;90%</v>
      </c>
      <c r="E45" s="13" t="str">
        <f t="shared" si="5"/>
        <v>&lt;90%</v>
      </c>
      <c r="F45" s="13" t="str">
        <f t="shared" si="5"/>
        <v>&lt;90%</v>
      </c>
      <c r="G45" s="13" t="str">
        <f t="shared" si="5"/>
        <v>&lt;90%</v>
      </c>
      <c r="H45" s="13" t="str">
        <f t="shared" si="5"/>
        <v>&lt;90%</v>
      </c>
      <c r="I45" s="13" t="str">
        <f t="shared" si="5"/>
        <v>&lt;90%</v>
      </c>
      <c r="J45" s="13" t="str">
        <f t="shared" si="5"/>
        <v>&lt;90%</v>
      </c>
      <c r="K45" s="13" t="str">
        <f t="shared" si="5"/>
        <v>&lt;90%</v>
      </c>
      <c r="L45" s="13" t="str">
        <f t="shared" si="5"/>
        <v>&lt;90%</v>
      </c>
      <c r="M45" s="13" t="str">
        <f t="shared" si="5"/>
        <v>&lt;90%</v>
      </c>
      <c r="N45" s="13" t="str">
        <f t="shared" si="5"/>
        <v>&lt;90%</v>
      </c>
      <c r="O45" s="13" t="str">
        <f t="shared" si="5"/>
        <v>&lt;90%</v>
      </c>
      <c r="P45" s="13" t="str">
        <f t="shared" si="5"/>
        <v>&lt;90%</v>
      </c>
      <c r="Q45" s="13" t="str">
        <f t="shared" si="5"/>
        <v>&lt;90%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LESS</v>
      </c>
      <c r="C46" s="13" t="str">
        <f t="shared" ref="C46:Q46" si="6">IF(C44&gt;=28,"OK",IF(C44&lt;=28,"LESS"))</f>
        <v>LESS</v>
      </c>
      <c r="D46" s="13" t="str">
        <f t="shared" si="6"/>
        <v>LESS</v>
      </c>
      <c r="E46" s="13" t="str">
        <f t="shared" si="6"/>
        <v>LESS</v>
      </c>
      <c r="F46" s="13" t="str">
        <f t="shared" si="6"/>
        <v>LESS</v>
      </c>
      <c r="G46" s="13" t="str">
        <f t="shared" si="6"/>
        <v>LESS</v>
      </c>
      <c r="H46" s="13" t="str">
        <f t="shared" si="6"/>
        <v>LESS</v>
      </c>
      <c r="I46" s="13" t="str">
        <f t="shared" si="6"/>
        <v>LESS</v>
      </c>
      <c r="J46" s="13" t="str">
        <f t="shared" si="6"/>
        <v>LESS</v>
      </c>
      <c r="K46" s="13" t="str">
        <f t="shared" si="6"/>
        <v>LESS</v>
      </c>
      <c r="L46" s="13" t="str">
        <f t="shared" si="6"/>
        <v>LESS</v>
      </c>
      <c r="M46" s="13" t="str">
        <f t="shared" si="6"/>
        <v>LESS</v>
      </c>
      <c r="N46" s="13" t="str">
        <f t="shared" si="6"/>
        <v>LESS</v>
      </c>
      <c r="O46" s="13" t="str">
        <f t="shared" si="6"/>
        <v>LESS</v>
      </c>
      <c r="P46" s="13" t="str">
        <f t="shared" si="6"/>
        <v>LESS</v>
      </c>
      <c r="Q46" s="13" t="str">
        <f t="shared" si="6"/>
        <v>LESS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63</v>
      </c>
      <c r="B49" s="107" t="s">
        <v>1203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64</v>
      </c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opLeftCell="A19" zoomScale="85" zoomScaleNormal="85" workbookViewId="0">
      <selection activeCell="M109" sqref="M109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5" t="s">
        <v>214</v>
      </c>
      <c r="E1" s="225"/>
      <c r="F1" s="225"/>
      <c r="G1" s="225"/>
      <c r="H1" s="225"/>
      <c r="I1" s="225"/>
      <c r="J1" s="226"/>
    </row>
    <row r="2" spans="2:24" ht="22.5" customHeight="1" thickBot="1" x14ac:dyDescent="0.3">
      <c r="B2" s="54"/>
      <c r="C2" s="111" t="s">
        <v>0</v>
      </c>
      <c r="D2" s="112" t="s">
        <v>222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7" t="s">
        <v>1</v>
      </c>
      <c r="H5" s="227"/>
      <c r="I5" s="40"/>
      <c r="J5" s="40"/>
      <c r="K5" s="40"/>
      <c r="L5" s="40"/>
      <c r="M5" s="41"/>
      <c r="O5" s="68"/>
      <c r="P5" s="69"/>
      <c r="Q5" s="69"/>
      <c r="R5" s="69"/>
      <c r="S5" s="208" t="s">
        <v>183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75</v>
      </c>
      <c r="R7" s="74" t="s">
        <v>38</v>
      </c>
      <c r="S7" s="74" t="s">
        <v>71</v>
      </c>
      <c r="T7" s="74" t="s">
        <v>72</v>
      </c>
      <c r="U7" s="87" t="s">
        <v>73</v>
      </c>
      <c r="V7" s="87" t="s">
        <v>74</v>
      </c>
      <c r="W7" s="74" t="s">
        <v>5</v>
      </c>
      <c r="X7" s="75" t="s">
        <v>20</v>
      </c>
    </row>
    <row r="8" spans="2:24" ht="15.75" x14ac:dyDescent="0.25">
      <c r="B8" s="63">
        <v>44875.4375</v>
      </c>
      <c r="C8" s="60" t="s">
        <v>1</v>
      </c>
      <c r="D8" s="60" t="s">
        <v>50</v>
      </c>
      <c r="E8" s="60">
        <v>0</v>
      </c>
      <c r="F8" s="60">
        <v>200</v>
      </c>
      <c r="G8" s="60">
        <v>0</v>
      </c>
      <c r="H8" s="61">
        <v>200.25</v>
      </c>
      <c r="I8" s="60">
        <v>0</v>
      </c>
      <c r="J8" s="61">
        <f>F8/H8</f>
        <v>0.99875156054931336</v>
      </c>
      <c r="K8" s="61">
        <f>(H8-F8)*100/F8</f>
        <v>0.125</v>
      </c>
      <c r="L8" s="60" t="s">
        <v>66</v>
      </c>
      <c r="M8" s="78" t="s">
        <v>1203</v>
      </c>
      <c r="O8" s="63">
        <v>44875.456250000003</v>
      </c>
      <c r="P8" s="64" t="s">
        <v>69</v>
      </c>
      <c r="Q8" s="64">
        <v>4972.6099999999997</v>
      </c>
      <c r="R8" s="64">
        <v>3784.1</v>
      </c>
      <c r="S8" s="77" t="s">
        <v>1493</v>
      </c>
      <c r="T8" s="210">
        <v>841.44</v>
      </c>
      <c r="U8" s="86">
        <v>0.91210000000000002</v>
      </c>
      <c r="V8" s="86">
        <v>0.90210000000000001</v>
      </c>
      <c r="W8" s="60" t="s">
        <v>66</v>
      </c>
      <c r="X8" s="78" t="s">
        <v>1203</v>
      </c>
    </row>
    <row r="9" spans="2:24" ht="15.75" x14ac:dyDescent="0.25">
      <c r="B9" s="63">
        <v>44887.472222222219</v>
      </c>
      <c r="C9" s="60" t="s">
        <v>1</v>
      </c>
      <c r="D9" s="60" t="s">
        <v>50</v>
      </c>
      <c r="E9" s="60">
        <v>0</v>
      </c>
      <c r="F9" s="60">
        <v>200</v>
      </c>
      <c r="G9" s="60">
        <v>0</v>
      </c>
      <c r="H9" s="61">
        <v>200.7</v>
      </c>
      <c r="I9" s="60">
        <v>0</v>
      </c>
      <c r="J9" s="61">
        <f t="shared" ref="J9:J14" si="0">F9/H9</f>
        <v>0.99651220727453915</v>
      </c>
      <c r="K9" s="61">
        <f t="shared" ref="K9:K14" si="1">(H9-F9)*100/F9</f>
        <v>0.34999999999999432</v>
      </c>
      <c r="L9" s="60" t="s">
        <v>66</v>
      </c>
      <c r="M9" s="62" t="s">
        <v>1203</v>
      </c>
      <c r="O9" s="63">
        <v>44887.459027777775</v>
      </c>
      <c r="P9" s="64" t="s">
        <v>69</v>
      </c>
      <c r="Q9" s="64">
        <v>4801.97</v>
      </c>
      <c r="R9" s="64">
        <v>3663.8</v>
      </c>
      <c r="S9" s="77" t="s">
        <v>1493</v>
      </c>
      <c r="T9" s="77">
        <v>836.49</v>
      </c>
      <c r="U9" s="86">
        <v>0.90510000000000002</v>
      </c>
      <c r="V9" s="86">
        <v>0.90349999999999997</v>
      </c>
      <c r="W9" s="60" t="s">
        <v>66</v>
      </c>
      <c r="X9" s="62" t="s">
        <v>1203</v>
      </c>
    </row>
    <row r="10" spans="2:24" ht="15.75" x14ac:dyDescent="0.25">
      <c r="B10" s="63">
        <v>44895.486111111109</v>
      </c>
      <c r="C10" s="60" t="s">
        <v>1</v>
      </c>
      <c r="D10" s="60" t="s">
        <v>50</v>
      </c>
      <c r="E10" s="60">
        <v>0</v>
      </c>
      <c r="F10" s="60">
        <v>200</v>
      </c>
      <c r="G10" s="60">
        <v>0</v>
      </c>
      <c r="H10" s="61">
        <v>203.9</v>
      </c>
      <c r="I10" s="60">
        <v>0</v>
      </c>
      <c r="J10" s="61">
        <f t="shared" si="0"/>
        <v>0.98087297694948505</v>
      </c>
      <c r="K10" s="61">
        <f t="shared" si="1"/>
        <v>1.9500000000000028</v>
      </c>
      <c r="L10" s="60" t="s">
        <v>66</v>
      </c>
      <c r="M10" s="62" t="s">
        <v>1203</v>
      </c>
      <c r="O10" s="63">
        <v>44895.493055555555</v>
      </c>
      <c r="P10" s="64" t="s">
        <v>69</v>
      </c>
      <c r="Q10" s="64">
        <v>4564.7299999999996</v>
      </c>
      <c r="R10" s="64">
        <v>3555.93</v>
      </c>
      <c r="S10" s="77" t="s">
        <v>1493</v>
      </c>
      <c r="T10" s="77">
        <v>818.88</v>
      </c>
      <c r="U10" s="86">
        <v>0.96330000000000005</v>
      </c>
      <c r="V10" s="86">
        <v>0.99629999999999996</v>
      </c>
      <c r="W10" s="60" t="s">
        <v>66</v>
      </c>
      <c r="X10" s="62" t="s">
        <v>1203</v>
      </c>
    </row>
    <row r="11" spans="2:24" ht="15.75" x14ac:dyDescent="0.25">
      <c r="B11" s="63"/>
      <c r="C11" s="60" t="s">
        <v>1</v>
      </c>
      <c r="D11" s="60" t="s">
        <v>50</v>
      </c>
      <c r="E11" s="60">
        <v>0</v>
      </c>
      <c r="F11" s="60">
        <v>300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66</v>
      </c>
      <c r="M11" s="62"/>
      <c r="O11" s="63"/>
      <c r="P11" s="64" t="s">
        <v>69</v>
      </c>
      <c r="Q11" s="64"/>
      <c r="R11" s="64"/>
      <c r="S11" s="77" t="s">
        <v>1493</v>
      </c>
      <c r="T11" s="77"/>
      <c r="U11" s="86"/>
      <c r="V11" s="86"/>
      <c r="W11" s="60" t="s">
        <v>66</v>
      </c>
      <c r="X11" s="62"/>
    </row>
    <row r="12" spans="2:24" ht="15.75" x14ac:dyDescent="0.25">
      <c r="B12" s="63"/>
      <c r="C12" s="60" t="s">
        <v>1</v>
      </c>
      <c r="D12" s="60" t="s">
        <v>50</v>
      </c>
      <c r="E12" s="60">
        <v>0</v>
      </c>
      <c r="F12" s="60">
        <v>300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66</v>
      </c>
      <c r="M12" s="62"/>
      <c r="O12" s="63"/>
      <c r="P12" s="64" t="s">
        <v>69</v>
      </c>
      <c r="Q12" s="64"/>
      <c r="R12" s="64"/>
      <c r="S12" s="77" t="s">
        <v>1493</v>
      </c>
      <c r="T12" s="77"/>
      <c r="U12" s="86"/>
      <c r="V12" s="86"/>
      <c r="W12" s="60" t="s">
        <v>66</v>
      </c>
      <c r="X12" s="62"/>
    </row>
    <row r="13" spans="2:24" ht="15.75" x14ac:dyDescent="0.25">
      <c r="B13" s="63"/>
      <c r="C13" s="60" t="s">
        <v>1</v>
      </c>
      <c r="D13" s="60" t="s">
        <v>50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66</v>
      </c>
      <c r="M13" s="62"/>
      <c r="O13" s="63"/>
      <c r="P13" s="64" t="s">
        <v>69</v>
      </c>
      <c r="Q13" s="64"/>
      <c r="R13" s="64"/>
      <c r="S13" s="77" t="s">
        <v>1493</v>
      </c>
      <c r="T13" s="77"/>
      <c r="U13" s="86"/>
      <c r="V13" s="86"/>
      <c r="W13" s="60" t="s">
        <v>66</v>
      </c>
      <c r="X13" s="62"/>
    </row>
    <row r="14" spans="2:24" ht="15.75" x14ac:dyDescent="0.25">
      <c r="B14" s="63"/>
      <c r="C14" s="60" t="s">
        <v>1</v>
      </c>
      <c r="D14" s="60" t="s">
        <v>50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66</v>
      </c>
      <c r="M14" s="62"/>
      <c r="O14" s="63"/>
      <c r="P14" s="64" t="s">
        <v>69</v>
      </c>
      <c r="Q14" s="64"/>
      <c r="R14" s="64"/>
      <c r="S14" s="77" t="s">
        <v>1493</v>
      </c>
      <c r="T14" s="77"/>
      <c r="U14" s="86"/>
      <c r="V14" s="86"/>
      <c r="W14" s="60" t="s">
        <v>66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69</v>
      </c>
      <c r="Q15" s="64"/>
      <c r="R15" s="64"/>
      <c r="S15" s="77" t="s">
        <v>1493</v>
      </c>
      <c r="T15" s="77"/>
      <c r="U15" s="86"/>
      <c r="V15" s="86"/>
      <c r="W15" s="60" t="s">
        <v>66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69</v>
      </c>
      <c r="Q16" s="64"/>
      <c r="R16" s="64"/>
      <c r="S16" s="77" t="s">
        <v>1493</v>
      </c>
      <c r="T16" s="77"/>
      <c r="U16" s="86"/>
      <c r="V16" s="86"/>
      <c r="W16" s="60" t="s">
        <v>66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69</v>
      </c>
      <c r="Q17" s="64"/>
      <c r="R17" s="64"/>
      <c r="S17" s="77" t="s">
        <v>1493</v>
      </c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 t="s">
        <v>1493</v>
      </c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3" t="s">
        <v>24</v>
      </c>
      <c r="D21" s="223"/>
      <c r="E21" s="223"/>
      <c r="F21" s="223"/>
      <c r="G21" s="223"/>
      <c r="H21" s="223"/>
      <c r="I21" s="45">
        <f>COUNT(B8:B20)</f>
        <v>3</v>
      </c>
      <c r="J21" s="46"/>
      <c r="K21" s="46"/>
      <c r="L21" s="47"/>
      <c r="M21" s="48"/>
      <c r="O21" s="80"/>
      <c r="P21" s="222" t="s">
        <v>83</v>
      </c>
      <c r="Q21" s="222"/>
      <c r="R21" s="222"/>
      <c r="S21" s="222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4" t="s">
        <v>2</v>
      </c>
      <c r="H24" s="224"/>
      <c r="I24" s="40"/>
      <c r="J24" s="51"/>
      <c r="K24" s="51"/>
      <c r="L24" s="40"/>
      <c r="M24" s="41"/>
      <c r="O24" s="68"/>
      <c r="P24" s="69"/>
      <c r="Q24" s="69"/>
      <c r="R24" s="69"/>
      <c r="S24" s="208" t="s">
        <v>70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75</v>
      </c>
      <c r="R26" s="74" t="s">
        <v>38</v>
      </c>
      <c r="S26" s="74" t="s">
        <v>71</v>
      </c>
      <c r="T26" s="74" t="s">
        <v>72</v>
      </c>
      <c r="U26" s="87" t="s">
        <v>73</v>
      </c>
      <c r="V26" s="87" t="s">
        <v>74</v>
      </c>
      <c r="W26" s="74" t="s">
        <v>5</v>
      </c>
      <c r="X26" s="75" t="s">
        <v>20</v>
      </c>
    </row>
    <row r="27" spans="2:24" s="24" customFormat="1" ht="15.75" x14ac:dyDescent="0.25">
      <c r="B27" s="63">
        <v>44875.447916666664</v>
      </c>
      <c r="C27" s="60" t="s">
        <v>67</v>
      </c>
      <c r="D27" s="60" t="s">
        <v>50</v>
      </c>
      <c r="E27" s="60">
        <v>0</v>
      </c>
      <c r="F27" s="60">
        <v>200</v>
      </c>
      <c r="G27" s="60">
        <v>0</v>
      </c>
      <c r="H27" s="61">
        <v>198.31</v>
      </c>
      <c r="I27" s="60">
        <v>0</v>
      </c>
      <c r="J27" s="61">
        <f>F27/H27</f>
        <v>1.0085220109928899</v>
      </c>
      <c r="K27" s="61">
        <f>(H27-F27)*100/F27</f>
        <v>-0.84499999999999886</v>
      </c>
      <c r="L27" s="60" t="s">
        <v>66</v>
      </c>
      <c r="M27" s="78" t="s">
        <v>1203</v>
      </c>
      <c r="O27" s="63">
        <v>44875.456250000003</v>
      </c>
      <c r="P27" s="64" t="s">
        <v>70</v>
      </c>
      <c r="Q27" s="64">
        <v>4460.3999999999996</v>
      </c>
      <c r="R27" s="64">
        <v>3451.23</v>
      </c>
      <c r="S27" s="77" t="s">
        <v>1494</v>
      </c>
      <c r="T27" s="77">
        <v>858.41</v>
      </c>
      <c r="U27" s="86">
        <v>0.99119999999999997</v>
      </c>
      <c r="V27" s="86">
        <v>0.97809999999999997</v>
      </c>
      <c r="W27" s="60" t="s">
        <v>66</v>
      </c>
      <c r="X27" s="78" t="s">
        <v>1203</v>
      </c>
    </row>
    <row r="28" spans="2:24" s="24" customFormat="1" ht="15.75" x14ac:dyDescent="0.25">
      <c r="B28" s="63">
        <v>44887.486111111109</v>
      </c>
      <c r="C28" s="60" t="s">
        <v>67</v>
      </c>
      <c r="D28" s="60" t="s">
        <v>50</v>
      </c>
      <c r="E28" s="60">
        <v>0</v>
      </c>
      <c r="F28" s="60">
        <v>200</v>
      </c>
      <c r="G28" s="60">
        <v>0.5</v>
      </c>
      <c r="H28" s="61">
        <v>211.5</v>
      </c>
      <c r="I28" s="60">
        <v>0</v>
      </c>
      <c r="J28" s="61">
        <f t="shared" ref="J28:J33" si="2">F28/H28</f>
        <v>0.94562647754137119</v>
      </c>
      <c r="K28" s="61">
        <f t="shared" ref="K28:K33" si="3">(H28-F28)*100/F28</f>
        <v>5.75</v>
      </c>
      <c r="L28" s="60" t="s">
        <v>66</v>
      </c>
      <c r="M28" s="62" t="s">
        <v>1203</v>
      </c>
      <c r="O28" s="63">
        <v>44887.459027777775</v>
      </c>
      <c r="P28" s="64" t="s">
        <v>70</v>
      </c>
      <c r="Q28" s="64">
        <v>4408.28</v>
      </c>
      <c r="R28" s="64">
        <v>3407.5</v>
      </c>
      <c r="S28" s="77" t="s">
        <v>1494</v>
      </c>
      <c r="T28" s="77">
        <v>860.02</v>
      </c>
      <c r="U28" s="86">
        <v>0.97809999999999997</v>
      </c>
      <c r="V28" s="86">
        <v>0.96330000000000005</v>
      </c>
      <c r="W28" s="60" t="s">
        <v>66</v>
      </c>
      <c r="X28" s="62" t="s">
        <v>1203</v>
      </c>
    </row>
    <row r="29" spans="2:24" s="24" customFormat="1" ht="15.75" x14ac:dyDescent="0.25">
      <c r="B29" s="63">
        <v>44895.510416666664</v>
      </c>
      <c r="C29" s="60" t="s">
        <v>67</v>
      </c>
      <c r="D29" s="60" t="s">
        <v>50</v>
      </c>
      <c r="E29" s="60">
        <v>0</v>
      </c>
      <c r="F29" s="60">
        <v>200</v>
      </c>
      <c r="G29" s="60">
        <v>1.4</v>
      </c>
      <c r="H29" s="61">
        <v>206.1</v>
      </c>
      <c r="I29" s="60">
        <v>0</v>
      </c>
      <c r="J29" s="61">
        <f t="shared" si="2"/>
        <v>0.97040271712760795</v>
      </c>
      <c r="K29" s="61">
        <f t="shared" si="3"/>
        <v>3.0499999999999972</v>
      </c>
      <c r="L29" s="60" t="s">
        <v>66</v>
      </c>
      <c r="M29" s="62" t="s">
        <v>1203</v>
      </c>
      <c r="O29" s="63">
        <v>44895.493055555555</v>
      </c>
      <c r="P29" s="64" t="s">
        <v>70</v>
      </c>
      <c r="Q29" s="64">
        <v>5002.92</v>
      </c>
      <c r="R29" s="64">
        <v>3820.58</v>
      </c>
      <c r="S29" s="77" t="s">
        <v>1494</v>
      </c>
      <c r="T29" s="77">
        <v>830.08</v>
      </c>
      <c r="U29" s="86">
        <v>0.90349999999999997</v>
      </c>
      <c r="V29" s="86">
        <v>0.90880000000000005</v>
      </c>
      <c r="W29" s="60" t="s">
        <v>66</v>
      </c>
      <c r="X29" s="62" t="s">
        <v>1203</v>
      </c>
    </row>
    <row r="30" spans="2:24" s="24" customFormat="1" ht="15.75" x14ac:dyDescent="0.25">
      <c r="B30" s="63"/>
      <c r="C30" s="60" t="s">
        <v>67</v>
      </c>
      <c r="D30" s="60" t="s">
        <v>50</v>
      </c>
      <c r="E30" s="60">
        <v>0</v>
      </c>
      <c r="F30" s="60">
        <v>200</v>
      </c>
      <c r="G30" s="60">
        <v>1</v>
      </c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66</v>
      </c>
      <c r="M30" s="62"/>
      <c r="O30" s="63"/>
      <c r="P30" s="64" t="s">
        <v>70</v>
      </c>
      <c r="Q30" s="64"/>
      <c r="R30" s="64"/>
      <c r="S30" s="77" t="s">
        <v>1494</v>
      </c>
      <c r="T30" s="77"/>
      <c r="U30" s="86"/>
      <c r="V30" s="86"/>
      <c r="W30" s="60" t="s">
        <v>66</v>
      </c>
      <c r="X30" s="62"/>
    </row>
    <row r="31" spans="2:24" s="24" customFormat="1" ht="15.75" x14ac:dyDescent="0.25">
      <c r="B31" s="63"/>
      <c r="C31" s="60" t="s">
        <v>67</v>
      </c>
      <c r="D31" s="60" t="s">
        <v>50</v>
      </c>
      <c r="E31" s="60">
        <v>0</v>
      </c>
      <c r="F31" s="60">
        <v>200</v>
      </c>
      <c r="G31" s="60">
        <v>1.2</v>
      </c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66</v>
      </c>
      <c r="M31" s="62"/>
      <c r="O31" s="63"/>
      <c r="P31" s="64" t="s">
        <v>70</v>
      </c>
      <c r="Q31" s="64"/>
      <c r="R31" s="64"/>
      <c r="S31" s="77" t="s">
        <v>1494</v>
      </c>
      <c r="T31" s="77"/>
      <c r="U31" s="86"/>
      <c r="V31" s="86"/>
      <c r="W31" s="60" t="s">
        <v>66</v>
      </c>
      <c r="X31" s="62"/>
    </row>
    <row r="32" spans="2:24" s="24" customFormat="1" ht="15.75" x14ac:dyDescent="0.25">
      <c r="B32" s="63"/>
      <c r="C32" s="60" t="s">
        <v>67</v>
      </c>
      <c r="D32" s="60" t="s">
        <v>50</v>
      </c>
      <c r="E32" s="60">
        <v>0</v>
      </c>
      <c r="F32" s="60">
        <v>200</v>
      </c>
      <c r="G32" s="60">
        <v>1</v>
      </c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66</v>
      </c>
      <c r="M32" s="62"/>
      <c r="O32" s="63"/>
      <c r="P32" s="64" t="s">
        <v>70</v>
      </c>
      <c r="Q32" s="64"/>
      <c r="R32" s="64"/>
      <c r="S32" s="77" t="s">
        <v>1494</v>
      </c>
      <c r="T32" s="77"/>
      <c r="U32" s="86"/>
      <c r="V32" s="86"/>
      <c r="W32" s="60" t="s">
        <v>66</v>
      </c>
      <c r="X32" s="62"/>
    </row>
    <row r="33" spans="2:24" s="24" customFormat="1" ht="15.75" x14ac:dyDescent="0.25">
      <c r="B33" s="63"/>
      <c r="C33" s="60" t="s">
        <v>67</v>
      </c>
      <c r="D33" s="60" t="s">
        <v>50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66</v>
      </c>
      <c r="M33" s="62"/>
      <c r="O33" s="63"/>
      <c r="P33" s="64" t="s">
        <v>70</v>
      </c>
      <c r="Q33" s="64"/>
      <c r="R33" s="64"/>
      <c r="S33" s="77" t="s">
        <v>1494</v>
      </c>
      <c r="T33" s="77"/>
      <c r="U33" s="86"/>
      <c r="V33" s="86"/>
      <c r="W33" s="60" t="s">
        <v>66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70</v>
      </c>
      <c r="Q34" s="64"/>
      <c r="R34" s="64"/>
      <c r="S34" s="77" t="s">
        <v>1494</v>
      </c>
      <c r="T34" s="77"/>
      <c r="U34" s="86"/>
      <c r="V34" s="86"/>
      <c r="W34" s="60" t="s">
        <v>66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70</v>
      </c>
      <c r="Q35" s="64"/>
      <c r="R35" s="64"/>
      <c r="S35" s="77" t="s">
        <v>1494</v>
      </c>
      <c r="T35" s="77"/>
      <c r="U35" s="86"/>
      <c r="V35" s="86"/>
      <c r="W35" s="60" t="s">
        <v>66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70</v>
      </c>
      <c r="Q36" s="64"/>
      <c r="R36" s="64"/>
      <c r="S36" s="77" t="s">
        <v>1494</v>
      </c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70</v>
      </c>
      <c r="Q37" s="64"/>
      <c r="R37" s="64"/>
      <c r="S37" s="77" t="s">
        <v>1494</v>
      </c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2" t="s">
        <v>84</v>
      </c>
      <c r="Q40" s="222"/>
      <c r="R40" s="222"/>
      <c r="S40" s="222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3" t="s">
        <v>25</v>
      </c>
      <c r="E41" s="223"/>
      <c r="F41" s="223"/>
      <c r="G41" s="223"/>
      <c r="H41" s="223"/>
      <c r="I41" s="223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4" t="s">
        <v>22</v>
      </c>
      <c r="H44" s="224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22</v>
      </c>
      <c r="D47" s="60" t="s">
        <v>50</v>
      </c>
      <c r="E47" s="60">
        <v>0</v>
      </c>
      <c r="F47" s="60"/>
      <c r="G47" s="60">
        <v>0</v>
      </c>
      <c r="H47" s="61"/>
      <c r="I47" s="60">
        <v>0</v>
      </c>
      <c r="J47" s="61" t="e">
        <f>F47/H47</f>
        <v>#DIV/0!</v>
      </c>
      <c r="K47" s="61" t="e">
        <f>(H47-F47)*100/F47</f>
        <v>#DIV/0!</v>
      </c>
      <c r="L47" s="60" t="s">
        <v>66</v>
      </c>
      <c r="M47" s="62"/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22</v>
      </c>
      <c r="D48" s="60" t="s">
        <v>50</v>
      </c>
      <c r="E48" s="60">
        <v>0</v>
      </c>
      <c r="F48" s="60"/>
      <c r="G48" s="60">
        <v>1.2</v>
      </c>
      <c r="H48" s="61"/>
      <c r="I48" s="60">
        <v>0</v>
      </c>
      <c r="J48" s="61" t="e">
        <f>F48/H48</f>
        <v>#DIV/0!</v>
      </c>
      <c r="K48" s="61" t="e">
        <f>(H48-F48)*100/F48</f>
        <v>#DIV/0!</v>
      </c>
      <c r="L48" s="60" t="s">
        <v>66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22</v>
      </c>
      <c r="D49" s="60" t="s">
        <v>50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66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22</v>
      </c>
      <c r="D50" s="60" t="s">
        <v>50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66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22</v>
      </c>
      <c r="D51" s="60" t="s">
        <v>50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66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3" t="s">
        <v>26</v>
      </c>
      <c r="E61" s="223"/>
      <c r="F61" s="223"/>
      <c r="G61" s="223"/>
      <c r="H61" s="223"/>
      <c r="I61" s="223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4" t="s">
        <v>3</v>
      </c>
      <c r="H64" s="224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44875.458333333336</v>
      </c>
      <c r="C67" s="60" t="s">
        <v>3</v>
      </c>
      <c r="D67" s="60" t="s">
        <v>51</v>
      </c>
      <c r="E67" s="60">
        <v>0</v>
      </c>
      <c r="F67" s="60">
        <v>5</v>
      </c>
      <c r="G67" s="60">
        <v>0</v>
      </c>
      <c r="H67" s="61">
        <v>5.01</v>
      </c>
      <c r="I67" s="60">
        <v>0</v>
      </c>
      <c r="J67" s="61">
        <f>F67/H67</f>
        <v>0.99800399201596812</v>
      </c>
      <c r="K67" s="61">
        <f>(H67-F67)*100/F67</f>
        <v>0.19999999999999574</v>
      </c>
      <c r="L67" s="60" t="s">
        <v>66</v>
      </c>
      <c r="M67" s="78" t="s">
        <v>1203</v>
      </c>
    </row>
    <row r="68" spans="2:13" ht="15.75" x14ac:dyDescent="0.25">
      <c r="B68" s="63">
        <v>44887.46875</v>
      </c>
      <c r="C68" s="60" t="s">
        <v>3</v>
      </c>
      <c r="D68" s="60" t="s">
        <v>51</v>
      </c>
      <c r="E68" s="60">
        <v>0</v>
      </c>
      <c r="F68" s="60">
        <v>5</v>
      </c>
      <c r="G68" s="60">
        <v>0</v>
      </c>
      <c r="H68" s="61">
        <v>5.1100000000000003</v>
      </c>
      <c r="I68" s="60">
        <v>0</v>
      </c>
      <c r="J68" s="61">
        <f t="shared" ref="J68:J73" si="4">F68/H68</f>
        <v>0.97847358121330719</v>
      </c>
      <c r="K68" s="61">
        <f t="shared" ref="K68:K73" si="5">(H68-F68)*100/F68</f>
        <v>2.2000000000000064</v>
      </c>
      <c r="L68" s="60" t="s">
        <v>66</v>
      </c>
      <c r="M68" s="62" t="s">
        <v>2071</v>
      </c>
    </row>
    <row r="69" spans="2:13" ht="15.75" x14ac:dyDescent="0.25">
      <c r="B69" s="63">
        <v>44895.447916666664</v>
      </c>
      <c r="C69" s="60" t="s">
        <v>3</v>
      </c>
      <c r="D69" s="60" t="s">
        <v>51</v>
      </c>
      <c r="E69" s="60">
        <v>0</v>
      </c>
      <c r="F69" s="60">
        <v>6</v>
      </c>
      <c r="G69" s="60">
        <v>0</v>
      </c>
      <c r="H69" s="61">
        <v>5.13</v>
      </c>
      <c r="I69" s="60">
        <v>0</v>
      </c>
      <c r="J69" s="61">
        <f t="shared" si="4"/>
        <v>1.1695906432748537</v>
      </c>
      <c r="K69" s="61">
        <f t="shared" si="5"/>
        <v>-14.500000000000002</v>
      </c>
      <c r="L69" s="60" t="s">
        <v>66</v>
      </c>
      <c r="M69" s="62" t="s">
        <v>1203</v>
      </c>
    </row>
    <row r="70" spans="2:13" ht="15.75" x14ac:dyDescent="0.25">
      <c r="B70" s="63"/>
      <c r="C70" s="60" t="s">
        <v>3</v>
      </c>
      <c r="D70" s="60" t="s">
        <v>51</v>
      </c>
      <c r="E70" s="60">
        <v>0</v>
      </c>
      <c r="F70" s="60">
        <v>6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66</v>
      </c>
      <c r="M70" s="62"/>
    </row>
    <row r="71" spans="2:13" ht="15.75" x14ac:dyDescent="0.25">
      <c r="B71" s="63"/>
      <c r="C71" s="60" t="s">
        <v>3</v>
      </c>
      <c r="D71" s="60" t="s">
        <v>51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66</v>
      </c>
      <c r="M71" s="62"/>
    </row>
    <row r="72" spans="2:13" ht="15.75" x14ac:dyDescent="0.25">
      <c r="B72" s="63"/>
      <c r="C72" s="60" t="s">
        <v>3</v>
      </c>
      <c r="D72" s="60" t="s">
        <v>51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66</v>
      </c>
      <c r="M72" s="62"/>
    </row>
    <row r="73" spans="2:13" ht="15.75" x14ac:dyDescent="0.25">
      <c r="B73" s="63"/>
      <c r="C73" s="60" t="s">
        <v>3</v>
      </c>
      <c r="D73" s="60" t="s">
        <v>51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66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3" t="s">
        <v>27</v>
      </c>
      <c r="E81" s="223"/>
      <c r="F81" s="223"/>
      <c r="G81" s="223"/>
      <c r="H81" s="223"/>
      <c r="I81" s="223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4" t="s">
        <v>23</v>
      </c>
      <c r="H84" s="224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23</v>
      </c>
      <c r="D87" s="60" t="s">
        <v>50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66</v>
      </c>
      <c r="M87" s="62"/>
    </row>
    <row r="88" spans="2:13" ht="15.75" x14ac:dyDescent="0.25">
      <c r="B88" s="63"/>
      <c r="C88" s="60" t="s">
        <v>23</v>
      </c>
      <c r="D88" s="60" t="s">
        <v>50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66</v>
      </c>
      <c r="M88" s="62"/>
    </row>
    <row r="89" spans="2:13" ht="15.75" x14ac:dyDescent="0.25">
      <c r="B89" s="63"/>
      <c r="C89" s="60" t="s">
        <v>23</v>
      </c>
      <c r="D89" s="60" t="s">
        <v>50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66</v>
      </c>
      <c r="M89" s="62"/>
    </row>
    <row r="90" spans="2:13" ht="15.75" x14ac:dyDescent="0.25">
      <c r="B90" s="63"/>
      <c r="C90" s="60" t="s">
        <v>23</v>
      </c>
      <c r="D90" s="60" t="s">
        <v>50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66</v>
      </c>
      <c r="M90" s="62"/>
    </row>
    <row r="91" spans="2:13" ht="15.75" x14ac:dyDescent="0.25">
      <c r="B91" s="63"/>
      <c r="C91" s="60" t="s">
        <v>23</v>
      </c>
      <c r="D91" s="60" t="s">
        <v>50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66</v>
      </c>
      <c r="M91" s="62"/>
    </row>
    <row r="92" spans="2:13" ht="15.75" x14ac:dyDescent="0.25">
      <c r="B92" s="63"/>
      <c r="C92" s="60" t="s">
        <v>23</v>
      </c>
      <c r="D92" s="60" t="s">
        <v>50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66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3" t="s">
        <v>28</v>
      </c>
      <c r="E101" s="223"/>
      <c r="F101" s="223"/>
      <c r="G101" s="223"/>
      <c r="H101" s="223"/>
      <c r="I101" s="223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7" t="s">
        <v>4</v>
      </c>
      <c r="H104" s="227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44875.510416666664</v>
      </c>
      <c r="C107" s="60" t="s">
        <v>4</v>
      </c>
      <c r="D107" s="60" t="s">
        <v>50</v>
      </c>
      <c r="E107" s="60">
        <v>0</v>
      </c>
      <c r="F107" s="60">
        <v>320</v>
      </c>
      <c r="G107" s="60">
        <v>0</v>
      </c>
      <c r="H107" s="61">
        <v>319.14</v>
      </c>
      <c r="I107" s="60">
        <f>G107-E107</f>
        <v>0</v>
      </c>
      <c r="J107" s="61">
        <f>F107/H107</f>
        <v>1.0026947421194461</v>
      </c>
      <c r="K107" s="61">
        <f>(H107-F107)*100/F107</f>
        <v>-0.26875000000000426</v>
      </c>
      <c r="L107" s="60" t="s">
        <v>66</v>
      </c>
      <c r="M107" s="62" t="s">
        <v>1203</v>
      </c>
    </row>
    <row r="108" spans="2:13" ht="15.75" x14ac:dyDescent="0.25">
      <c r="B108" s="63">
        <v>44887.493055555555</v>
      </c>
      <c r="C108" s="60" t="s">
        <v>4</v>
      </c>
      <c r="D108" s="60" t="s">
        <v>50</v>
      </c>
      <c r="E108" s="60">
        <v>0</v>
      </c>
      <c r="F108" s="60">
        <v>320</v>
      </c>
      <c r="G108" s="60">
        <v>0</v>
      </c>
      <c r="H108" s="61">
        <v>320.7</v>
      </c>
      <c r="I108" s="60">
        <f>G108-E108</f>
        <v>0</v>
      </c>
      <c r="J108" s="61">
        <f>F108/H108</f>
        <v>0.99781727471156845</v>
      </c>
      <c r="K108" s="61">
        <f>(H108-F108)*100/F108</f>
        <v>0.21874999999999645</v>
      </c>
      <c r="L108" s="60" t="s">
        <v>66</v>
      </c>
      <c r="M108" s="62" t="s">
        <v>2071</v>
      </c>
    </row>
    <row r="109" spans="2:13" ht="15.75" x14ac:dyDescent="0.25">
      <c r="B109" s="63">
        <v>44895.447916666664</v>
      </c>
      <c r="C109" s="60" t="s">
        <v>4</v>
      </c>
      <c r="D109" s="60" t="s">
        <v>50</v>
      </c>
      <c r="E109" s="60">
        <v>0</v>
      </c>
      <c r="F109" s="60">
        <v>320</v>
      </c>
      <c r="G109" s="60">
        <v>0</v>
      </c>
      <c r="H109" s="61">
        <v>320.04000000000002</v>
      </c>
      <c r="I109" s="60">
        <f t="shared" ref="I109:I114" si="8">G109-E109</f>
        <v>0</v>
      </c>
      <c r="J109" s="61">
        <f t="shared" ref="J109:J114" si="9">F109/H109</f>
        <v>0.99987501562304704</v>
      </c>
      <c r="K109" s="61">
        <f t="shared" ref="K109:K114" si="10">(H109-F109)*100/F109</f>
        <v>1.2500000000006395E-2</v>
      </c>
      <c r="L109" s="60" t="s">
        <v>66</v>
      </c>
      <c r="M109" s="62" t="s">
        <v>1203</v>
      </c>
    </row>
    <row r="110" spans="2:13" ht="15.75" x14ac:dyDescent="0.25">
      <c r="B110" s="63"/>
      <c r="C110" s="60" t="s">
        <v>4</v>
      </c>
      <c r="D110" s="60" t="s">
        <v>50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66</v>
      </c>
      <c r="M110" s="62"/>
    </row>
    <row r="111" spans="2:13" ht="15.75" x14ac:dyDescent="0.25">
      <c r="B111" s="63"/>
      <c r="C111" s="60" t="s">
        <v>4</v>
      </c>
      <c r="D111" s="60" t="s">
        <v>50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66</v>
      </c>
      <c r="M111" s="62"/>
    </row>
    <row r="112" spans="2:13" ht="15.75" x14ac:dyDescent="0.25">
      <c r="B112" s="63"/>
      <c r="C112" s="60" t="s">
        <v>4</v>
      </c>
      <c r="D112" s="60" t="s">
        <v>50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66</v>
      </c>
      <c r="M112" s="62"/>
    </row>
    <row r="113" spans="2:13" ht="15.75" x14ac:dyDescent="0.25">
      <c r="B113" s="63"/>
      <c r="C113" s="60" t="s">
        <v>4</v>
      </c>
      <c r="D113" s="60" t="s">
        <v>50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66</v>
      </c>
      <c r="M113" s="62"/>
    </row>
    <row r="114" spans="2:13" ht="15.75" x14ac:dyDescent="0.25">
      <c r="B114" s="63"/>
      <c r="C114" s="60" t="s">
        <v>4</v>
      </c>
      <c r="D114" s="60" t="s">
        <v>50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66</v>
      </c>
      <c r="M114" s="62"/>
    </row>
    <row r="115" spans="2:13" ht="15.75" x14ac:dyDescent="0.25">
      <c r="B115" s="63"/>
      <c r="C115" s="60" t="s">
        <v>4</v>
      </c>
      <c r="D115" s="60" t="s">
        <v>50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66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3" t="s">
        <v>68</v>
      </c>
      <c r="D119" s="223"/>
      <c r="E119" s="223"/>
      <c r="F119" s="223"/>
      <c r="G119" s="223"/>
      <c r="H119" s="223"/>
      <c r="I119" s="52">
        <f>COUNT(B107:B118)</f>
        <v>3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C9" sqref="C9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8" t="s">
        <v>215</v>
      </c>
      <c r="C2" s="228"/>
      <c r="D2" s="229" t="str">
        <f>'MONTHLY 30'!$B$2</f>
        <v>01-11-2022 00:15</v>
      </c>
      <c r="E2" s="229"/>
    </row>
    <row r="3" spans="1:5" x14ac:dyDescent="0.25">
      <c r="B3" s="228" t="s">
        <v>221</v>
      </c>
      <c r="C3" s="228"/>
      <c r="D3" s="229"/>
      <c r="E3" s="229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 t="s">
        <v>1105</v>
      </c>
      <c r="C8" s="201" t="s">
        <v>1106</v>
      </c>
      <c r="D8" s="33">
        <f t="shared" ref="D8:D13" si="0">C8-B8</f>
        <v>6.7083333333284827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21</v>
      </c>
      <c r="C24" s="32"/>
      <c r="D24" s="35">
        <f>SUM(D7:D23)</f>
        <v>6.7083333333284827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0" t="s">
        <v>21</v>
      </c>
      <c r="C44" s="230"/>
      <c r="D44" s="20">
        <f>SUM(D11:D42)</f>
        <v>6.7083333333284827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="90" zoomScaleNormal="90" workbookViewId="0">
      <selection activeCell="F4" sqref="F4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6" t="s">
        <v>216</v>
      </c>
      <c r="C2" s="246"/>
      <c r="D2" s="246"/>
      <c r="E2" s="246"/>
      <c r="F2" s="247">
        <v>44866</v>
      </c>
      <c r="G2" s="248"/>
      <c r="H2" s="248"/>
    </row>
    <row r="3" spans="2:24" s="12" customFormat="1" ht="15" customHeight="1" x14ac:dyDescent="0.25">
      <c r="B3" s="246"/>
      <c r="C3" s="246"/>
      <c r="D3" s="246"/>
      <c r="E3" s="246"/>
      <c r="F3" s="248"/>
      <c r="G3" s="248"/>
      <c r="H3" s="248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9" t="s">
        <v>4</v>
      </c>
      <c r="C12" s="251" t="s">
        <v>132</v>
      </c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127"/>
      <c r="U12" s="125"/>
    </row>
    <row r="13" spans="2:24" ht="15" customHeight="1" x14ac:dyDescent="0.25">
      <c r="B13" s="250"/>
      <c r="C13" s="128" t="s">
        <v>77</v>
      </c>
      <c r="D13" s="129" t="s">
        <v>82</v>
      </c>
      <c r="E13" s="129" t="s">
        <v>133</v>
      </c>
      <c r="F13" s="129" t="s">
        <v>218</v>
      </c>
      <c r="G13" s="129" t="s">
        <v>135</v>
      </c>
      <c r="H13" s="129" t="s">
        <v>136</v>
      </c>
      <c r="I13" s="129" t="s">
        <v>137</v>
      </c>
      <c r="J13" s="129" t="s">
        <v>138</v>
      </c>
      <c r="K13" s="129" t="s">
        <v>139</v>
      </c>
      <c r="L13" s="129" t="s">
        <v>140</v>
      </c>
      <c r="M13" s="129" t="s">
        <v>141</v>
      </c>
      <c r="N13" s="129" t="s">
        <v>142</v>
      </c>
      <c r="O13" s="129" t="s">
        <v>143</v>
      </c>
      <c r="P13" s="130" t="s">
        <v>144</v>
      </c>
      <c r="Q13" s="129" t="s">
        <v>145</v>
      </c>
      <c r="R13" s="131"/>
      <c r="U13" s="125"/>
    </row>
    <row r="14" spans="2:24" ht="15" customHeight="1" x14ac:dyDescent="0.25">
      <c r="B14" s="250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50"/>
      <c r="C15" s="132" t="s">
        <v>146</v>
      </c>
      <c r="D15" s="133" t="s">
        <v>147</v>
      </c>
      <c r="E15" s="133" t="s">
        <v>148</v>
      </c>
      <c r="F15" s="133" t="s">
        <v>149</v>
      </c>
      <c r="G15" s="133" t="s">
        <v>150</v>
      </c>
      <c r="H15" s="133" t="s">
        <v>151</v>
      </c>
      <c r="I15" s="133" t="s">
        <v>152</v>
      </c>
      <c r="J15" s="133" t="s">
        <v>153</v>
      </c>
      <c r="K15" s="133" t="s">
        <v>154</v>
      </c>
      <c r="L15" s="133" t="s">
        <v>155</v>
      </c>
      <c r="M15" s="133" t="s">
        <v>156</v>
      </c>
      <c r="N15" s="133" t="s">
        <v>157</v>
      </c>
      <c r="O15" s="133" t="s">
        <v>158</v>
      </c>
      <c r="P15" s="134" t="s">
        <v>159</v>
      </c>
      <c r="Q15" s="133" t="s">
        <v>160</v>
      </c>
      <c r="R15" s="135" t="s">
        <v>20</v>
      </c>
      <c r="X15" s="11"/>
    </row>
    <row r="16" spans="2:24" ht="15.75" customHeight="1" x14ac:dyDescent="0.25">
      <c r="B16" s="250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50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50"/>
      <c r="C18" s="142" t="s">
        <v>77</v>
      </c>
      <c r="D18" s="142" t="s">
        <v>82</v>
      </c>
      <c r="E18" s="142" t="s">
        <v>133</v>
      </c>
      <c r="F18" s="142" t="s">
        <v>134</v>
      </c>
      <c r="G18" s="142" t="s">
        <v>135</v>
      </c>
      <c r="H18" s="142" t="s">
        <v>136</v>
      </c>
      <c r="I18" s="142" t="s">
        <v>137</v>
      </c>
      <c r="J18" s="142" t="s">
        <v>138</v>
      </c>
      <c r="K18" s="142" t="s">
        <v>139</v>
      </c>
      <c r="L18" s="142" t="s">
        <v>140</v>
      </c>
      <c r="M18" s="142" t="s">
        <v>141</v>
      </c>
      <c r="N18" s="142" t="s">
        <v>142</v>
      </c>
      <c r="O18" s="142" t="s">
        <v>143</v>
      </c>
      <c r="P18" s="143" t="s">
        <v>144</v>
      </c>
      <c r="Q18" s="142" t="s">
        <v>145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146</v>
      </c>
      <c r="D20" s="133" t="s">
        <v>147</v>
      </c>
      <c r="E20" s="133" t="s">
        <v>148</v>
      </c>
      <c r="F20" s="133" t="s">
        <v>149</v>
      </c>
      <c r="G20" s="133" t="s">
        <v>150</v>
      </c>
      <c r="H20" s="133" t="s">
        <v>151</v>
      </c>
      <c r="I20" s="133" t="s">
        <v>152</v>
      </c>
      <c r="J20" s="133" t="s">
        <v>153</v>
      </c>
      <c r="K20" s="133" t="s">
        <v>154</v>
      </c>
      <c r="L20" s="133" t="s">
        <v>155</v>
      </c>
      <c r="M20" s="133" t="s">
        <v>156</v>
      </c>
      <c r="N20" s="133" t="s">
        <v>157</v>
      </c>
      <c r="O20" s="133" t="s">
        <v>158</v>
      </c>
      <c r="P20" s="134" t="s">
        <v>159</v>
      </c>
      <c r="Q20" s="133" t="s">
        <v>160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41" t="s">
        <v>2</v>
      </c>
      <c r="C25" s="244" t="s">
        <v>132</v>
      </c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33"/>
      <c r="S25" s="188"/>
      <c r="T25" s="189"/>
    </row>
    <row r="26" spans="2:28" ht="15" customHeight="1" x14ac:dyDescent="0.3">
      <c r="B26" s="241"/>
      <c r="C26" s="190" t="s">
        <v>77</v>
      </c>
      <c r="D26" s="179" t="s">
        <v>86</v>
      </c>
      <c r="E26" s="179" t="s">
        <v>85</v>
      </c>
      <c r="F26" s="179" t="s">
        <v>120</v>
      </c>
      <c r="G26" s="179" t="s">
        <v>121</v>
      </c>
      <c r="H26" s="179" t="s">
        <v>122</v>
      </c>
      <c r="I26" s="179" t="s">
        <v>123</v>
      </c>
      <c r="J26" s="179" t="s">
        <v>124</v>
      </c>
      <c r="K26" s="179" t="s">
        <v>125</v>
      </c>
      <c r="L26" s="179" t="s">
        <v>126</v>
      </c>
      <c r="M26" s="179" t="s">
        <v>127</v>
      </c>
      <c r="N26" s="179" t="s">
        <v>128</v>
      </c>
      <c r="O26" s="179" t="s">
        <v>129</v>
      </c>
      <c r="P26" s="179" t="s">
        <v>130</v>
      </c>
      <c r="Q26" s="179" t="s">
        <v>131</v>
      </c>
      <c r="R26" s="179" t="s">
        <v>212</v>
      </c>
      <c r="S26" s="179" t="s">
        <v>213</v>
      </c>
      <c r="T26" s="170" t="s">
        <v>20</v>
      </c>
      <c r="Z26" s="149"/>
      <c r="AA26" s="149"/>
      <c r="AB26" s="149"/>
    </row>
    <row r="27" spans="2:28" ht="15.75" customHeight="1" x14ac:dyDescent="0.25">
      <c r="B27" s="241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41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3"/>
      <c r="C29" s="194" t="s">
        <v>77</v>
      </c>
      <c r="D29" s="184" t="s">
        <v>86</v>
      </c>
      <c r="E29" s="184" t="s">
        <v>85</v>
      </c>
      <c r="F29" s="184" t="s">
        <v>120</v>
      </c>
      <c r="G29" s="184" t="s">
        <v>121</v>
      </c>
      <c r="H29" s="184" t="s">
        <v>122</v>
      </c>
      <c r="I29" s="184" t="s">
        <v>123</v>
      </c>
      <c r="J29" s="184" t="s">
        <v>124</v>
      </c>
      <c r="K29" s="184" t="s">
        <v>125</v>
      </c>
      <c r="L29" s="184" t="s">
        <v>126</v>
      </c>
      <c r="M29" s="184" t="s">
        <v>127</v>
      </c>
      <c r="N29" s="184" t="s">
        <v>128</v>
      </c>
      <c r="O29" s="184" t="s">
        <v>129</v>
      </c>
      <c r="P29" s="184" t="s">
        <v>130</v>
      </c>
      <c r="Q29" s="184" t="s">
        <v>131</v>
      </c>
      <c r="R29" s="184" t="s">
        <v>212</v>
      </c>
      <c r="S29" s="184" t="s">
        <v>213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5" t="s">
        <v>3</v>
      </c>
      <c r="C36" s="237" t="s">
        <v>132</v>
      </c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8"/>
    </row>
    <row r="37" spans="2:25" ht="15.75" customHeight="1" x14ac:dyDescent="0.25">
      <c r="B37" s="236"/>
      <c r="C37" s="152" t="s">
        <v>77</v>
      </c>
      <c r="D37" s="142" t="s">
        <v>86</v>
      </c>
      <c r="E37" s="142" t="s">
        <v>85</v>
      </c>
      <c r="F37" s="142" t="s">
        <v>87</v>
      </c>
      <c r="G37" s="142" t="s">
        <v>88</v>
      </c>
      <c r="H37" s="142" t="s">
        <v>89</v>
      </c>
      <c r="I37" s="142" t="s">
        <v>90</v>
      </c>
      <c r="J37" s="142" t="s">
        <v>91</v>
      </c>
      <c r="K37" s="142" t="s">
        <v>92</v>
      </c>
      <c r="L37" s="142" t="s">
        <v>93</v>
      </c>
      <c r="M37" s="142" t="s">
        <v>94</v>
      </c>
      <c r="N37" s="142" t="s">
        <v>95</v>
      </c>
      <c r="O37" s="153" t="s">
        <v>96</v>
      </c>
    </row>
    <row r="38" spans="2:25" x14ac:dyDescent="0.25">
      <c r="B38" s="236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6"/>
      <c r="C39" s="152" t="s">
        <v>97</v>
      </c>
      <c r="D39" s="142" t="s">
        <v>98</v>
      </c>
      <c r="E39" s="142" t="s">
        <v>99</v>
      </c>
      <c r="F39" s="142" t="s">
        <v>100</v>
      </c>
      <c r="G39" s="133" t="s">
        <v>101</v>
      </c>
      <c r="H39" s="133" t="s">
        <v>102</v>
      </c>
      <c r="I39" s="133" t="s">
        <v>103</v>
      </c>
      <c r="J39" s="133" t="s">
        <v>104</v>
      </c>
      <c r="K39" s="133" t="s">
        <v>105</v>
      </c>
      <c r="L39" s="133" t="s">
        <v>106</v>
      </c>
      <c r="M39" s="133" t="s">
        <v>107</v>
      </c>
      <c r="N39" s="133" t="s">
        <v>81</v>
      </c>
      <c r="O39" s="29" t="s">
        <v>20</v>
      </c>
      <c r="W39" s="149"/>
      <c r="X39" s="149"/>
      <c r="Y39" s="149"/>
    </row>
    <row r="40" spans="2:25" x14ac:dyDescent="0.25">
      <c r="B40" s="236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77</v>
      </c>
      <c r="D42" s="142" t="s">
        <v>86</v>
      </c>
      <c r="E42" s="142" t="s">
        <v>85</v>
      </c>
      <c r="F42" s="142" t="s">
        <v>87</v>
      </c>
      <c r="G42" s="142" t="s">
        <v>88</v>
      </c>
      <c r="H42" s="142" t="s">
        <v>89</v>
      </c>
      <c r="I42" s="142" t="s">
        <v>90</v>
      </c>
      <c r="J42" s="142" t="s">
        <v>91</v>
      </c>
      <c r="K42" s="142" t="s">
        <v>92</v>
      </c>
      <c r="L42" s="142" t="s">
        <v>93</v>
      </c>
      <c r="M42" s="142" t="s">
        <v>94</v>
      </c>
      <c r="N42" s="142" t="s">
        <v>95</v>
      </c>
      <c r="O42" s="153" t="s">
        <v>96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97</v>
      </c>
      <c r="D44" s="142" t="s">
        <v>98</v>
      </c>
      <c r="E44" s="142" t="s">
        <v>99</v>
      </c>
      <c r="F44" s="142" t="s">
        <v>100</v>
      </c>
      <c r="G44" s="133" t="s">
        <v>101</v>
      </c>
      <c r="H44" s="133" t="s">
        <v>102</v>
      </c>
      <c r="I44" s="133" t="s">
        <v>103</v>
      </c>
      <c r="J44" s="133" t="s">
        <v>104</v>
      </c>
      <c r="K44" s="133" t="s">
        <v>105</v>
      </c>
      <c r="L44" s="133" t="s">
        <v>106</v>
      </c>
      <c r="M44" s="133" t="s">
        <v>107</v>
      </c>
      <c r="N44" s="133" t="s">
        <v>81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9" t="s">
        <v>1</v>
      </c>
      <c r="C48" s="163" t="s">
        <v>132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0"/>
      <c r="C49" s="152" t="s">
        <v>77</v>
      </c>
      <c r="D49" s="142" t="s">
        <v>153</v>
      </c>
      <c r="E49" s="142" t="s">
        <v>162</v>
      </c>
      <c r="F49" s="142" t="s">
        <v>163</v>
      </c>
      <c r="G49" s="142" t="s">
        <v>164</v>
      </c>
      <c r="H49" s="142" t="s">
        <v>165</v>
      </c>
      <c r="I49" s="142" t="s">
        <v>166</v>
      </c>
      <c r="J49" s="142" t="s">
        <v>138</v>
      </c>
      <c r="K49" s="142" t="s">
        <v>167</v>
      </c>
      <c r="L49" s="142" t="s">
        <v>168</v>
      </c>
      <c r="M49" s="142" t="s">
        <v>169</v>
      </c>
      <c r="N49" s="142" t="s">
        <v>170</v>
      </c>
      <c r="O49" s="142" t="s">
        <v>171</v>
      </c>
      <c r="P49" s="142" t="s">
        <v>78</v>
      </c>
      <c r="Q49" s="153" t="s">
        <v>172</v>
      </c>
    </row>
    <row r="50" spans="2:20" x14ac:dyDescent="0.25">
      <c r="B50" s="240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0"/>
      <c r="C51" s="152" t="s">
        <v>79</v>
      </c>
      <c r="D51" s="142" t="s">
        <v>173</v>
      </c>
      <c r="E51" s="142" t="s">
        <v>174</v>
      </c>
      <c r="F51" s="142" t="s">
        <v>175</v>
      </c>
      <c r="G51" s="142" t="s">
        <v>176</v>
      </c>
      <c r="H51" s="142" t="s">
        <v>177</v>
      </c>
      <c r="I51" s="133" t="s">
        <v>80</v>
      </c>
      <c r="J51" s="133" t="s">
        <v>178</v>
      </c>
      <c r="K51" s="133" t="s">
        <v>179</v>
      </c>
      <c r="L51" s="133" t="s">
        <v>85</v>
      </c>
      <c r="M51" s="133" t="s">
        <v>180</v>
      </c>
      <c r="N51" s="133" t="s">
        <v>159</v>
      </c>
      <c r="O51" s="133" t="s">
        <v>181</v>
      </c>
      <c r="P51" s="133" t="s">
        <v>182</v>
      </c>
      <c r="Q51" s="29" t="s">
        <v>20</v>
      </c>
    </row>
    <row r="52" spans="2:20" ht="15.75" x14ac:dyDescent="0.25">
      <c r="B52" s="24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77</v>
      </c>
      <c r="D54" s="142" t="s">
        <v>153</v>
      </c>
      <c r="E54" s="142" t="s">
        <v>162</v>
      </c>
      <c r="F54" s="142" t="s">
        <v>163</v>
      </c>
      <c r="G54" s="142" t="s">
        <v>164</v>
      </c>
      <c r="H54" s="142" t="s">
        <v>165</v>
      </c>
      <c r="I54" s="142" t="s">
        <v>166</v>
      </c>
      <c r="J54" s="142" t="s">
        <v>138</v>
      </c>
      <c r="K54" s="142" t="s">
        <v>167</v>
      </c>
      <c r="L54" s="142" t="s">
        <v>168</v>
      </c>
      <c r="M54" s="142" t="s">
        <v>169</v>
      </c>
      <c r="N54" s="142" t="s">
        <v>170</v>
      </c>
      <c r="O54" s="142" t="s">
        <v>171</v>
      </c>
      <c r="P54" s="142" t="s">
        <v>78</v>
      </c>
      <c r="Q54" s="153" t="s">
        <v>172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79</v>
      </c>
      <c r="D56" s="142" t="s">
        <v>173</v>
      </c>
      <c r="E56" s="142" t="s">
        <v>174</v>
      </c>
      <c r="F56" s="142" t="s">
        <v>175</v>
      </c>
      <c r="G56" s="142" t="s">
        <v>176</v>
      </c>
      <c r="H56" s="142" t="s">
        <v>177</v>
      </c>
      <c r="I56" s="133" t="s">
        <v>80</v>
      </c>
      <c r="J56" s="133" t="s">
        <v>178</v>
      </c>
      <c r="K56" s="133" t="s">
        <v>179</v>
      </c>
      <c r="L56" s="133" t="s">
        <v>85</v>
      </c>
      <c r="M56" s="133" t="s">
        <v>180</v>
      </c>
      <c r="N56" s="133" t="s">
        <v>159</v>
      </c>
      <c r="O56" s="133" t="s">
        <v>181</v>
      </c>
      <c r="P56" s="133" t="s">
        <v>182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41" t="s">
        <v>183</v>
      </c>
      <c r="C61" s="244" t="s">
        <v>132</v>
      </c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33"/>
      <c r="S61" s="166"/>
      <c r="T61" s="167"/>
    </row>
    <row r="62" spans="2:20" ht="15.75" x14ac:dyDescent="0.3">
      <c r="B62" s="241"/>
      <c r="C62" s="168" t="s">
        <v>77</v>
      </c>
      <c r="D62" s="168" t="s">
        <v>184</v>
      </c>
      <c r="E62" s="168" t="s">
        <v>185</v>
      </c>
      <c r="F62" s="168" t="s">
        <v>186</v>
      </c>
      <c r="G62" s="168" t="s">
        <v>187</v>
      </c>
      <c r="H62" s="168" t="s">
        <v>188</v>
      </c>
      <c r="I62" s="168" t="s">
        <v>189</v>
      </c>
      <c r="J62" s="168" t="s">
        <v>190</v>
      </c>
      <c r="K62" s="168" t="s">
        <v>191</v>
      </c>
      <c r="L62" s="168" t="s">
        <v>192</v>
      </c>
      <c r="M62" s="168" t="s">
        <v>193</v>
      </c>
      <c r="N62" s="168" t="s">
        <v>194</v>
      </c>
      <c r="O62" s="168" t="s">
        <v>195</v>
      </c>
      <c r="P62" s="168" t="s">
        <v>196</v>
      </c>
      <c r="Q62" s="168" t="s">
        <v>197</v>
      </c>
      <c r="R62" s="168" t="s">
        <v>198</v>
      </c>
      <c r="S62" s="169" t="s">
        <v>199</v>
      </c>
      <c r="T62" s="170" t="s">
        <v>20</v>
      </c>
    </row>
    <row r="63" spans="2:20" ht="15.75" x14ac:dyDescent="0.25">
      <c r="B63" s="242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2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3"/>
      <c r="C65" s="173" t="s">
        <v>77</v>
      </c>
      <c r="D65" s="173" t="s">
        <v>184</v>
      </c>
      <c r="E65" s="173" t="s">
        <v>185</v>
      </c>
      <c r="F65" s="173" t="s">
        <v>186</v>
      </c>
      <c r="G65" s="173" t="s">
        <v>187</v>
      </c>
      <c r="H65" s="173" t="s">
        <v>188</v>
      </c>
      <c r="I65" s="173" t="s">
        <v>189</v>
      </c>
      <c r="J65" s="173" t="s">
        <v>190</v>
      </c>
      <c r="K65" s="173" t="s">
        <v>191</v>
      </c>
      <c r="L65" s="173" t="s">
        <v>192</v>
      </c>
      <c r="M65" s="173" t="s">
        <v>193</v>
      </c>
      <c r="N65" s="173" t="s">
        <v>194</v>
      </c>
      <c r="O65" s="173" t="s">
        <v>195</v>
      </c>
      <c r="P65" s="173" t="s">
        <v>196</v>
      </c>
      <c r="Q65" s="173" t="s">
        <v>197</v>
      </c>
      <c r="R65" s="173" t="s">
        <v>198</v>
      </c>
      <c r="S65" s="174" t="s">
        <v>199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41" t="s">
        <v>200</v>
      </c>
      <c r="C69" s="244" t="s">
        <v>132</v>
      </c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33"/>
      <c r="S69" s="166"/>
      <c r="T69" s="167"/>
    </row>
    <row r="70" spans="2:20" ht="15.75" x14ac:dyDescent="0.3">
      <c r="B70" s="241"/>
      <c r="C70" s="173" t="s">
        <v>77</v>
      </c>
      <c r="D70" s="173" t="s">
        <v>184</v>
      </c>
      <c r="E70" s="173" t="s">
        <v>185</v>
      </c>
      <c r="F70" s="173" t="s">
        <v>186</v>
      </c>
      <c r="G70" s="173" t="s">
        <v>187</v>
      </c>
      <c r="H70" s="173" t="s">
        <v>188</v>
      </c>
      <c r="I70" s="173" t="s">
        <v>189</v>
      </c>
      <c r="J70" s="173" t="s">
        <v>190</v>
      </c>
      <c r="K70" s="173" t="s">
        <v>191</v>
      </c>
      <c r="L70" s="173" t="s">
        <v>192</v>
      </c>
      <c r="M70" s="173" t="s">
        <v>193</v>
      </c>
      <c r="N70" s="173" t="s">
        <v>194</v>
      </c>
      <c r="O70" s="173" t="s">
        <v>195</v>
      </c>
      <c r="P70" s="173" t="s">
        <v>196</v>
      </c>
      <c r="Q70" s="173" t="s">
        <v>197</v>
      </c>
      <c r="R70" s="173" t="s">
        <v>198</v>
      </c>
      <c r="S70" s="174" t="s">
        <v>199</v>
      </c>
      <c r="T70" s="175" t="s">
        <v>20</v>
      </c>
    </row>
    <row r="71" spans="2:20" ht="15.75" x14ac:dyDescent="0.25">
      <c r="B71" s="241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2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3"/>
      <c r="C73" s="173" t="s">
        <v>77</v>
      </c>
      <c r="D73" s="173" t="s">
        <v>184</v>
      </c>
      <c r="E73" s="173" t="s">
        <v>185</v>
      </c>
      <c r="F73" s="173" t="s">
        <v>186</v>
      </c>
      <c r="G73" s="173" t="s">
        <v>187</v>
      </c>
      <c r="H73" s="173" t="s">
        <v>188</v>
      </c>
      <c r="I73" s="173" t="s">
        <v>189</v>
      </c>
      <c r="J73" s="173" t="s">
        <v>190</v>
      </c>
      <c r="K73" s="173" t="s">
        <v>191</v>
      </c>
      <c r="L73" s="173" t="s">
        <v>192</v>
      </c>
      <c r="M73" s="173" t="s">
        <v>193</v>
      </c>
      <c r="N73" s="173" t="s">
        <v>194</v>
      </c>
      <c r="O73" s="173" t="s">
        <v>195</v>
      </c>
      <c r="P73" s="173" t="s">
        <v>196</v>
      </c>
      <c r="Q73" s="173" t="s">
        <v>197</v>
      </c>
      <c r="R73" s="173" t="s">
        <v>198</v>
      </c>
      <c r="S73" s="174" t="s">
        <v>199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1" t="s">
        <v>23</v>
      </c>
      <c r="C77" s="233" t="s">
        <v>132</v>
      </c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177"/>
      <c r="S77" s="177"/>
      <c r="T77" s="178"/>
    </row>
    <row r="78" spans="2:20" x14ac:dyDescent="0.25">
      <c r="B78" s="232"/>
      <c r="C78" s="179" t="s">
        <v>77</v>
      </c>
      <c r="D78" s="179" t="s">
        <v>201</v>
      </c>
      <c r="E78" s="179" t="s">
        <v>202</v>
      </c>
      <c r="F78" s="179" t="s">
        <v>108</v>
      </c>
      <c r="G78" s="179" t="s">
        <v>109</v>
      </c>
      <c r="H78" s="180" t="s">
        <v>110</v>
      </c>
      <c r="I78" s="180" t="s">
        <v>111</v>
      </c>
      <c r="J78" s="180" t="s">
        <v>112</v>
      </c>
      <c r="K78" s="180" t="s">
        <v>113</v>
      </c>
      <c r="L78" s="180" t="s">
        <v>86</v>
      </c>
      <c r="M78" s="179" t="s">
        <v>114</v>
      </c>
      <c r="N78" s="180" t="s">
        <v>203</v>
      </c>
      <c r="O78" s="180" t="s">
        <v>202</v>
      </c>
      <c r="P78" s="180" t="s">
        <v>115</v>
      </c>
      <c r="Q78" s="180" t="s">
        <v>204</v>
      </c>
      <c r="R78" s="180" t="s">
        <v>202</v>
      </c>
      <c r="S78" s="180" t="s">
        <v>205</v>
      </c>
      <c r="T78" s="173" t="s">
        <v>202</v>
      </c>
    </row>
    <row r="79" spans="2:20" x14ac:dyDescent="0.25">
      <c r="B79" s="232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32"/>
      <c r="C80" s="173" t="s">
        <v>116</v>
      </c>
      <c r="D80" s="173" t="s">
        <v>117</v>
      </c>
      <c r="E80" s="173" t="s">
        <v>206</v>
      </c>
      <c r="F80" s="173" t="s">
        <v>202</v>
      </c>
      <c r="G80" s="173" t="s">
        <v>115</v>
      </c>
      <c r="H80" s="173" t="s">
        <v>207</v>
      </c>
      <c r="I80" s="173" t="s">
        <v>202</v>
      </c>
      <c r="J80" s="173" t="s">
        <v>118</v>
      </c>
      <c r="K80" s="173" t="s">
        <v>119</v>
      </c>
      <c r="L80" s="173" t="s">
        <v>208</v>
      </c>
      <c r="M80" s="173" t="s">
        <v>202</v>
      </c>
      <c r="N80" s="173" t="s">
        <v>209</v>
      </c>
      <c r="O80" s="174" t="s">
        <v>202</v>
      </c>
      <c r="P80" s="174" t="s">
        <v>210</v>
      </c>
      <c r="Q80" s="174" t="s">
        <v>202</v>
      </c>
      <c r="R80" s="174" t="s">
        <v>211</v>
      </c>
      <c r="S80" s="174" t="s">
        <v>202</v>
      </c>
      <c r="T80" s="175" t="s">
        <v>20</v>
      </c>
    </row>
    <row r="81" spans="2:20" ht="15.75" x14ac:dyDescent="0.25">
      <c r="B81" s="23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161</v>
      </c>
    </row>
    <row r="82" spans="2:20" x14ac:dyDescent="0.25">
      <c r="B82" s="232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32"/>
      <c r="C83" s="184" t="s">
        <v>77</v>
      </c>
      <c r="D83" s="184" t="s">
        <v>201</v>
      </c>
      <c r="E83" s="184" t="s">
        <v>202</v>
      </c>
      <c r="F83" s="184" t="s">
        <v>108</v>
      </c>
      <c r="G83" s="184" t="s">
        <v>109</v>
      </c>
      <c r="H83" s="173" t="s">
        <v>110</v>
      </c>
      <c r="I83" s="173" t="s">
        <v>111</v>
      </c>
      <c r="J83" s="173" t="s">
        <v>112</v>
      </c>
      <c r="K83" s="173" t="s">
        <v>113</v>
      </c>
      <c r="L83" s="173" t="s">
        <v>86</v>
      </c>
      <c r="M83" s="184" t="s">
        <v>114</v>
      </c>
      <c r="N83" s="173" t="s">
        <v>203</v>
      </c>
      <c r="O83" s="173" t="s">
        <v>202</v>
      </c>
      <c r="P83" s="173" t="s">
        <v>115</v>
      </c>
      <c r="Q83" s="173" t="s">
        <v>204</v>
      </c>
      <c r="R83" s="173" t="s">
        <v>202</v>
      </c>
      <c r="S83" s="173" t="s">
        <v>205</v>
      </c>
      <c r="T83" s="173" t="s">
        <v>202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116</v>
      </c>
      <c r="D85" s="173" t="s">
        <v>117</v>
      </c>
      <c r="E85" s="173" t="s">
        <v>206</v>
      </c>
      <c r="F85" s="173" t="s">
        <v>202</v>
      </c>
      <c r="G85" s="173" t="s">
        <v>115</v>
      </c>
      <c r="H85" s="173" t="s">
        <v>207</v>
      </c>
      <c r="I85" s="173" t="s">
        <v>202</v>
      </c>
      <c r="J85" s="173" t="s">
        <v>118</v>
      </c>
      <c r="K85" s="173" t="s">
        <v>119</v>
      </c>
      <c r="L85" s="173" t="s">
        <v>208</v>
      </c>
      <c r="M85" s="173" t="s">
        <v>202</v>
      </c>
      <c r="N85" s="173" t="s">
        <v>209</v>
      </c>
      <c r="O85" s="174" t="s">
        <v>202</v>
      </c>
      <c r="P85" s="174" t="s">
        <v>210</v>
      </c>
      <c r="Q85" s="174" t="s">
        <v>202</v>
      </c>
      <c r="R85" s="174" t="s">
        <v>211</v>
      </c>
      <c r="S85" s="174" t="s">
        <v>202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2024-08-30T15:33:51Z</dcterms:modified>
</cp:coreProperties>
</file>