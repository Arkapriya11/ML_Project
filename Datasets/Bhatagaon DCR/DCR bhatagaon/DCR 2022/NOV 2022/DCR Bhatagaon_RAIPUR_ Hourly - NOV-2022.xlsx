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155" yWindow="510" windowWidth="20730" windowHeight="11760" tabRatio="913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MONTHLY 30" sheetId="39" r:id="rId31"/>
  </sheets>
  <calcPr calcId="144525"/>
</workbook>
</file>

<file path=xl/calcChain.xml><?xml version="1.0" encoding="utf-8"?>
<calcChain xmlns="http://schemas.openxmlformats.org/spreadsheetml/2006/main">
  <c r="N38" i="40" l="1"/>
  <c r="N40" i="40"/>
  <c r="C38" i="32"/>
  <c r="C40" i="32" s="1"/>
  <c r="D38" i="32"/>
  <c r="D40" i="32"/>
  <c r="E38" i="32"/>
  <c r="F38" i="32"/>
  <c r="G38" i="32"/>
  <c r="G39" i="32"/>
  <c r="H38" i="32"/>
  <c r="I38" i="32"/>
  <c r="J38" i="32"/>
  <c r="K38" i="32"/>
  <c r="L38" i="32"/>
  <c r="L40" i="32" s="1"/>
  <c r="M38" i="32"/>
  <c r="N38" i="32"/>
  <c r="O38" i="32"/>
  <c r="P38" i="32"/>
  <c r="P39" i="32" s="1"/>
  <c r="Q38" i="32"/>
  <c r="B38" i="32"/>
  <c r="B39" i="32"/>
  <c r="Q38" i="31"/>
  <c r="Q40" i="31" s="1"/>
  <c r="G38" i="31"/>
  <c r="G40" i="31"/>
  <c r="H38" i="31"/>
  <c r="H40" i="31" s="1"/>
  <c r="E38" i="30"/>
  <c r="E40" i="30"/>
  <c r="G38" i="29"/>
  <c r="G39" i="29" s="1"/>
  <c r="E38" i="29"/>
  <c r="E39" i="29"/>
  <c r="M38" i="27"/>
  <c r="M39" i="27" s="1"/>
  <c r="I38" i="27"/>
  <c r="I39" i="27"/>
  <c r="H38" i="27"/>
  <c r="H39" i="27" s="1"/>
  <c r="G38" i="27"/>
  <c r="G39" i="27"/>
  <c r="Q38" i="26"/>
  <c r="Q39" i="26" s="1"/>
  <c r="P38" i="26"/>
  <c r="P40" i="26"/>
  <c r="O38" i="26"/>
  <c r="N38" i="26"/>
  <c r="M38" i="26"/>
  <c r="M40" i="26"/>
  <c r="L38" i="26"/>
  <c r="K38" i="26"/>
  <c r="J38" i="26"/>
  <c r="I38" i="26"/>
  <c r="I40" i="26" s="1"/>
  <c r="H38" i="26"/>
  <c r="G38" i="26"/>
  <c r="F38" i="26"/>
  <c r="E38" i="26"/>
  <c r="E40" i="26" s="1"/>
  <c r="D38" i="26"/>
  <c r="C38" i="26"/>
  <c r="B38" i="26"/>
  <c r="B40" i="26"/>
  <c r="Q38" i="25"/>
  <c r="Q39" i="25" s="1"/>
  <c r="P38" i="25"/>
  <c r="P39" i="25"/>
  <c r="O38" i="25"/>
  <c r="N38" i="25"/>
  <c r="M38" i="25"/>
  <c r="M39" i="25"/>
  <c r="L38" i="25"/>
  <c r="K38" i="25"/>
  <c r="J38" i="25"/>
  <c r="I38" i="25"/>
  <c r="I40" i="25" s="1"/>
  <c r="H38" i="25"/>
  <c r="G38" i="25"/>
  <c r="F38" i="25"/>
  <c r="E38" i="25"/>
  <c r="E40" i="25" s="1"/>
  <c r="D38" i="25"/>
  <c r="C38" i="25"/>
  <c r="B38" i="25"/>
  <c r="B40" i="25"/>
  <c r="D38" i="24"/>
  <c r="D40" i="24" s="1"/>
  <c r="C38" i="24"/>
  <c r="C40" i="24"/>
  <c r="B38" i="24"/>
  <c r="B39" i="24" s="1"/>
  <c r="H38" i="24"/>
  <c r="H39" i="24"/>
  <c r="G38" i="24"/>
  <c r="G39" i="24" s="1"/>
  <c r="E38" i="22"/>
  <c r="E39" i="22"/>
  <c r="D38" i="21"/>
  <c r="D39" i="21" s="1"/>
  <c r="M38" i="21"/>
  <c r="M40" i="21"/>
  <c r="L38" i="21"/>
  <c r="L40" i="21" s="1"/>
  <c r="F38" i="20"/>
  <c r="F40" i="20"/>
  <c r="M38" i="20"/>
  <c r="M40" i="20" s="1"/>
  <c r="L38" i="20"/>
  <c r="L40" i="20"/>
  <c r="Q38" i="20"/>
  <c r="Q40" i="20" s="1"/>
  <c r="Q38" i="19"/>
  <c r="Q39" i="19"/>
  <c r="M38" i="19"/>
  <c r="M39" i="19" s="1"/>
  <c r="L38" i="19"/>
  <c r="L40" i="19"/>
  <c r="M38" i="18"/>
  <c r="M39" i="18" s="1"/>
  <c r="L38" i="18"/>
  <c r="L39" i="18"/>
  <c r="G38" i="17"/>
  <c r="G39" i="17" s="1"/>
  <c r="H38" i="17"/>
  <c r="H40" i="17"/>
  <c r="M38" i="17"/>
  <c r="M40" i="17" s="1"/>
  <c r="L38" i="17"/>
  <c r="L40" i="17"/>
  <c r="M38" i="16"/>
  <c r="M40" i="16" s="1"/>
  <c r="L38" i="16"/>
  <c r="L40" i="16"/>
  <c r="Q38" i="15"/>
  <c r="Q40" i="15" s="1"/>
  <c r="M38" i="15"/>
  <c r="M39" i="15"/>
  <c r="L38" i="15"/>
  <c r="L40" i="15" s="1"/>
  <c r="Q38" i="14"/>
  <c r="Q39" i="14"/>
  <c r="P38" i="14"/>
  <c r="P39" i="14" s="1"/>
  <c r="O38" i="14"/>
  <c r="O40" i="14"/>
  <c r="N38" i="14"/>
  <c r="M38" i="14"/>
  <c r="L38" i="14"/>
  <c r="L39" i="14"/>
  <c r="K38" i="14"/>
  <c r="J38" i="14"/>
  <c r="I38" i="14"/>
  <c r="H38" i="14"/>
  <c r="G38" i="14"/>
  <c r="F38" i="14"/>
  <c r="E38" i="14"/>
  <c r="D38" i="14"/>
  <c r="C38" i="14"/>
  <c r="B38" i="14"/>
  <c r="B39" i="14"/>
  <c r="Q38" i="13"/>
  <c r="Q40" i="13" s="1"/>
  <c r="P38" i="13"/>
  <c r="P39" i="13"/>
  <c r="O38" i="13"/>
  <c r="N38" i="13"/>
  <c r="M38" i="13"/>
  <c r="M40" i="13" s="1"/>
  <c r="L38" i="13"/>
  <c r="K38" i="13"/>
  <c r="J38" i="13"/>
  <c r="I38" i="13"/>
  <c r="H38" i="13"/>
  <c r="H40" i="13" s="1"/>
  <c r="G38" i="13"/>
  <c r="G39" i="13" s="1"/>
  <c r="F38" i="13"/>
  <c r="E38" i="13"/>
  <c r="D38" i="13"/>
  <c r="C38" i="13"/>
  <c r="C40" i="13" s="1"/>
  <c r="B38" i="13"/>
  <c r="B39" i="13"/>
  <c r="I39" i="13"/>
  <c r="Q38" i="12"/>
  <c r="Q40" i="12" s="1"/>
  <c r="P38" i="12"/>
  <c r="P39" i="12"/>
  <c r="O38" i="12"/>
  <c r="O40" i="12" s="1"/>
  <c r="N38" i="12"/>
  <c r="N39" i="12"/>
  <c r="M38" i="12"/>
  <c r="M39" i="12" s="1"/>
  <c r="L38" i="12"/>
  <c r="L39" i="12"/>
  <c r="K38" i="12"/>
  <c r="K39" i="12" s="1"/>
  <c r="J38" i="12"/>
  <c r="I38" i="12"/>
  <c r="H38" i="12"/>
  <c r="H40" i="12" s="1"/>
  <c r="G38" i="12"/>
  <c r="F38" i="12"/>
  <c r="E38" i="12"/>
  <c r="D38" i="12"/>
  <c r="C38" i="12"/>
  <c r="C40" i="12" s="1"/>
  <c r="B38" i="12"/>
  <c r="B40" i="12"/>
  <c r="Q38" i="11"/>
  <c r="Q39" i="11" s="1"/>
  <c r="P38" i="11"/>
  <c r="P39" i="11"/>
  <c r="O38" i="11"/>
  <c r="N38" i="11"/>
  <c r="M38" i="11"/>
  <c r="M39" i="11" s="1"/>
  <c r="L38" i="11"/>
  <c r="L40" i="11" s="1"/>
  <c r="K38" i="11"/>
  <c r="K40" i="11"/>
  <c r="J38" i="11"/>
  <c r="I38" i="11"/>
  <c r="H38" i="11"/>
  <c r="G38" i="11"/>
  <c r="G39" i="11" s="1"/>
  <c r="F38" i="11"/>
  <c r="E38" i="11"/>
  <c r="D38" i="11"/>
  <c r="C38" i="11"/>
  <c r="B38" i="11"/>
  <c r="B39" i="11" s="1"/>
  <c r="Q38" i="10"/>
  <c r="Q39" i="10" s="1"/>
  <c r="P38" i="10"/>
  <c r="O38" i="10"/>
  <c r="N38" i="10"/>
  <c r="N39" i="10"/>
  <c r="M38" i="10"/>
  <c r="M40" i="10" s="1"/>
  <c r="L38" i="10"/>
  <c r="K38" i="10"/>
  <c r="K40" i="10"/>
  <c r="J38" i="10"/>
  <c r="J40" i="10" s="1"/>
  <c r="I38" i="10"/>
  <c r="H38" i="10"/>
  <c r="H39" i="10" s="1"/>
  <c r="G38" i="10"/>
  <c r="G40" i="10" s="1"/>
  <c r="F38" i="10"/>
  <c r="E38" i="10"/>
  <c r="D38" i="10"/>
  <c r="C38" i="10"/>
  <c r="B38" i="10"/>
  <c r="B39" i="10"/>
  <c r="Q38" i="9"/>
  <c r="Q40" i="9" s="1"/>
  <c r="P38" i="9"/>
  <c r="O38" i="9"/>
  <c r="N38" i="9"/>
  <c r="N40" i="9" s="1"/>
  <c r="M38" i="9"/>
  <c r="M39" i="9" s="1"/>
  <c r="L38" i="9"/>
  <c r="L39" i="9" s="1"/>
  <c r="K38" i="9"/>
  <c r="K40" i="9" s="1"/>
  <c r="J38" i="9"/>
  <c r="I38" i="9"/>
  <c r="H38" i="9"/>
  <c r="G38" i="9"/>
  <c r="G40" i="9" s="1"/>
  <c r="F38" i="9"/>
  <c r="E38" i="9"/>
  <c r="D38" i="9"/>
  <c r="D39" i="9" s="1"/>
  <c r="C38" i="9"/>
  <c r="C40" i="9" s="1"/>
  <c r="B38" i="9"/>
  <c r="B40" i="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P40" i="9"/>
  <c r="O39" i="9"/>
  <c r="J40" i="9"/>
  <c r="I40" i="9"/>
  <c r="H40" i="9"/>
  <c r="F39" i="9"/>
  <c r="E40" i="9"/>
  <c r="Q38" i="8"/>
  <c r="Q40" i="8" s="1"/>
  <c r="P38" i="8"/>
  <c r="P39" i="8"/>
  <c r="O38" i="8"/>
  <c r="N38" i="8"/>
  <c r="M38" i="8"/>
  <c r="M39" i="8"/>
  <c r="L38" i="8"/>
  <c r="K38" i="8"/>
  <c r="J38" i="8"/>
  <c r="I38" i="8"/>
  <c r="H38" i="8"/>
  <c r="G38" i="8"/>
  <c r="F38" i="8"/>
  <c r="E38" i="8"/>
  <c r="D38" i="8"/>
  <c r="C38" i="8"/>
  <c r="B38" i="8"/>
  <c r="B40" i="8"/>
  <c r="C39" i="8"/>
  <c r="I38" i="3"/>
  <c r="I39" i="3" s="1"/>
  <c r="L38" i="3"/>
  <c r="L40" i="3"/>
  <c r="M38" i="3"/>
  <c r="M39" i="3" s="1"/>
  <c r="Q38" i="3"/>
  <c r="Q40" i="3"/>
  <c r="P38" i="3"/>
  <c r="P39" i="3" s="1"/>
  <c r="O38" i="3"/>
  <c r="N38" i="3"/>
  <c r="K38" i="3"/>
  <c r="K39" i="3" s="1"/>
  <c r="J38" i="3"/>
  <c r="J39" i="3"/>
  <c r="H38" i="3"/>
  <c r="H39" i="3" s="1"/>
  <c r="G38" i="3"/>
  <c r="G39" i="3"/>
  <c r="F38" i="3"/>
  <c r="E38" i="3"/>
  <c r="D38" i="3"/>
  <c r="D39" i="3"/>
  <c r="C38" i="3"/>
  <c r="C40" i="3" s="1"/>
  <c r="B38" i="3"/>
  <c r="B39" i="3"/>
  <c r="C38" i="2"/>
  <c r="C39" i="2" s="1"/>
  <c r="E38" i="2"/>
  <c r="E39" i="2"/>
  <c r="F38" i="2"/>
  <c r="F40" i="2" s="1"/>
  <c r="G38" i="2"/>
  <c r="G39" i="2"/>
  <c r="H38" i="2"/>
  <c r="H39" i="2" s="1"/>
  <c r="M38" i="2"/>
  <c r="M40" i="2"/>
  <c r="L38" i="2"/>
  <c r="L40" i="2" s="1"/>
  <c r="G40" i="12"/>
  <c r="H39" i="11"/>
  <c r="J39" i="11"/>
  <c r="C40" i="10"/>
  <c r="C38" i="41"/>
  <c r="C40" i="41" s="1"/>
  <c r="G38" i="41"/>
  <c r="G40" i="41"/>
  <c r="H38" i="41"/>
  <c r="H40" i="41" s="1"/>
  <c r="F38" i="41"/>
  <c r="F40" i="41"/>
  <c r="E38" i="41"/>
  <c r="E40" i="41" s="1"/>
  <c r="D38" i="41"/>
  <c r="D40" i="41"/>
  <c r="I38" i="41"/>
  <c r="I39" i="41" s="1"/>
  <c r="J38" i="41"/>
  <c r="J40" i="41"/>
  <c r="K38" i="41"/>
  <c r="K40" i="41" s="1"/>
  <c r="L38" i="41"/>
  <c r="L40" i="41" s="1"/>
  <c r="M38" i="41"/>
  <c r="M39" i="41"/>
  <c r="N38" i="41"/>
  <c r="N40" i="41" s="1"/>
  <c r="O38" i="41"/>
  <c r="P38" i="41"/>
  <c r="P39" i="41"/>
  <c r="Q38" i="41"/>
  <c r="Q39" i="41" s="1"/>
  <c r="O40" i="32"/>
  <c r="N40" i="32"/>
  <c r="M40" i="32"/>
  <c r="K39" i="32"/>
  <c r="J40" i="32"/>
  <c r="H39" i="32"/>
  <c r="C38" i="31"/>
  <c r="C39" i="31"/>
  <c r="D38" i="31"/>
  <c r="D39" i="31" s="1"/>
  <c r="E38" i="31"/>
  <c r="F38" i="31"/>
  <c r="F40" i="31"/>
  <c r="I38" i="31"/>
  <c r="I39" i="31" s="1"/>
  <c r="J38" i="31"/>
  <c r="K38" i="31"/>
  <c r="L38" i="31"/>
  <c r="M38" i="31"/>
  <c r="N38" i="31"/>
  <c r="N40" i="31"/>
  <c r="O38" i="31"/>
  <c r="P38" i="31"/>
  <c r="P40" i="31"/>
  <c r="C38" i="30"/>
  <c r="C39" i="30" s="1"/>
  <c r="D38" i="30"/>
  <c r="F38" i="30"/>
  <c r="F40" i="30"/>
  <c r="G38" i="30"/>
  <c r="G40" i="30" s="1"/>
  <c r="H38" i="30"/>
  <c r="I38" i="30"/>
  <c r="J38" i="30"/>
  <c r="K38" i="30"/>
  <c r="L38" i="30"/>
  <c r="M38" i="30"/>
  <c r="N38" i="30"/>
  <c r="N40" i="30" s="1"/>
  <c r="O38" i="30"/>
  <c r="O40" i="30"/>
  <c r="P38" i="30"/>
  <c r="P39" i="30" s="1"/>
  <c r="Q38" i="30"/>
  <c r="Q39" i="30"/>
  <c r="C38" i="29"/>
  <c r="D38" i="29"/>
  <c r="D40" i="29"/>
  <c r="F38" i="29"/>
  <c r="H38" i="29"/>
  <c r="I38" i="29"/>
  <c r="J38" i="29"/>
  <c r="K38" i="29"/>
  <c r="L38" i="29"/>
  <c r="M38" i="29"/>
  <c r="N38" i="29"/>
  <c r="N40" i="29"/>
  <c r="O38" i="29"/>
  <c r="O40" i="29" s="1"/>
  <c r="P38" i="29"/>
  <c r="Q38" i="29"/>
  <c r="Q39" i="29" s="1"/>
  <c r="C38" i="28"/>
  <c r="D38" i="28"/>
  <c r="E38" i="28"/>
  <c r="F38" i="28"/>
  <c r="F40" i="28" s="1"/>
  <c r="G38" i="28"/>
  <c r="G40" i="28"/>
  <c r="H38" i="28"/>
  <c r="I38" i="28"/>
  <c r="J38" i="28"/>
  <c r="J40" i="28"/>
  <c r="K38" i="28"/>
  <c r="L38" i="28"/>
  <c r="L40" i="28"/>
  <c r="M38" i="28"/>
  <c r="M40" i="28" s="1"/>
  <c r="N38" i="28"/>
  <c r="O38" i="28"/>
  <c r="O40" i="28"/>
  <c r="P38" i="28"/>
  <c r="P40" i="28" s="1"/>
  <c r="Q38" i="28"/>
  <c r="Q40" i="28"/>
  <c r="C38" i="27"/>
  <c r="C39" i="27" s="1"/>
  <c r="D38" i="27"/>
  <c r="D40" i="27"/>
  <c r="E38" i="27"/>
  <c r="E39" i="27" s="1"/>
  <c r="F38" i="27"/>
  <c r="J38" i="27"/>
  <c r="K38" i="27"/>
  <c r="L38" i="27"/>
  <c r="N38" i="27"/>
  <c r="O38" i="27"/>
  <c r="P38" i="27"/>
  <c r="P39" i="27" s="1"/>
  <c r="Q38" i="27"/>
  <c r="Q39" i="27"/>
  <c r="O40" i="26"/>
  <c r="N40" i="26"/>
  <c r="L39" i="26"/>
  <c r="K39" i="26"/>
  <c r="J39" i="26"/>
  <c r="H39" i="26"/>
  <c r="G40" i="26"/>
  <c r="F39" i="26"/>
  <c r="D40" i="26"/>
  <c r="C40" i="26"/>
  <c r="O40" i="25"/>
  <c r="N39" i="25"/>
  <c r="L40" i="25"/>
  <c r="K40" i="25"/>
  <c r="J40" i="25"/>
  <c r="H40" i="25"/>
  <c r="G40" i="25"/>
  <c r="F39" i="25"/>
  <c r="D39" i="25"/>
  <c r="C39" i="25"/>
  <c r="C38" i="23"/>
  <c r="C40" i="23" s="1"/>
  <c r="D38" i="23"/>
  <c r="D40" i="23"/>
  <c r="E38" i="23"/>
  <c r="F38" i="23"/>
  <c r="G38" i="23"/>
  <c r="G39" i="23"/>
  <c r="H38" i="23"/>
  <c r="H39" i="23" s="1"/>
  <c r="I38" i="23"/>
  <c r="J38" i="23"/>
  <c r="K38" i="23"/>
  <c r="K40" i="23" s="1"/>
  <c r="L38" i="23"/>
  <c r="M38" i="23"/>
  <c r="M39" i="23" s="1"/>
  <c r="N38" i="23"/>
  <c r="N39" i="23"/>
  <c r="O38" i="23"/>
  <c r="P38" i="23"/>
  <c r="Q38" i="23"/>
  <c r="Q39" i="23"/>
  <c r="C38" i="22"/>
  <c r="C39" i="22" s="1"/>
  <c r="D38" i="22"/>
  <c r="D40" i="22"/>
  <c r="F38" i="22"/>
  <c r="G38" i="22"/>
  <c r="G40" i="22" s="1"/>
  <c r="H38" i="22"/>
  <c r="H40" i="22"/>
  <c r="I38" i="22"/>
  <c r="J38" i="22"/>
  <c r="K38" i="22"/>
  <c r="K39" i="22"/>
  <c r="L38" i="22"/>
  <c r="M38" i="22"/>
  <c r="N38" i="22"/>
  <c r="O38" i="22"/>
  <c r="O40" i="22" s="1"/>
  <c r="P38" i="22"/>
  <c r="Q38" i="22"/>
  <c r="I40" i="14"/>
  <c r="D40" i="13"/>
  <c r="F40" i="12"/>
  <c r="E39" i="8"/>
  <c r="O39" i="41"/>
  <c r="B38" i="41"/>
  <c r="B40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Q38" i="39"/>
  <c r="P36" i="41"/>
  <c r="P38" i="39" s="1"/>
  <c r="O36" i="41"/>
  <c r="N36" i="41"/>
  <c r="N38" i="39" s="1"/>
  <c r="M36" i="41"/>
  <c r="M38" i="39"/>
  <c r="L36" i="41"/>
  <c r="L38" i="39" s="1"/>
  <c r="K36" i="41"/>
  <c r="K38" i="39"/>
  <c r="J36" i="41"/>
  <c r="J38" i="39" s="1"/>
  <c r="I36" i="41"/>
  <c r="I38" i="39"/>
  <c r="H36" i="41"/>
  <c r="H38" i="39" s="1"/>
  <c r="G36" i="41"/>
  <c r="F36" i="41"/>
  <c r="E36" i="41"/>
  <c r="D36" i="41"/>
  <c r="D38" i="39" s="1"/>
  <c r="C36" i="41"/>
  <c r="C38" i="39"/>
  <c r="B36" i="41"/>
  <c r="B38" i="39" s="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A38" i="39"/>
  <c r="Q38" i="40"/>
  <c r="Q40" i="40" s="1"/>
  <c r="P38" i="40"/>
  <c r="P39" i="40"/>
  <c r="O38" i="40"/>
  <c r="O40" i="40" s="1"/>
  <c r="M38" i="40"/>
  <c r="M39" i="40"/>
  <c r="L38" i="40"/>
  <c r="L40" i="40" s="1"/>
  <c r="K38" i="40"/>
  <c r="K40" i="40"/>
  <c r="J38" i="40"/>
  <c r="J39" i="40" s="1"/>
  <c r="I38" i="40"/>
  <c r="I40" i="40"/>
  <c r="H38" i="40"/>
  <c r="H40" i="40" s="1"/>
  <c r="G38" i="40"/>
  <c r="G40" i="40"/>
  <c r="F38" i="40"/>
  <c r="F40" i="40" s="1"/>
  <c r="E38" i="40"/>
  <c r="E40" i="40"/>
  <c r="D38" i="40"/>
  <c r="D40" i="40" s="1"/>
  <c r="C38" i="40"/>
  <c r="C40" i="40"/>
  <c r="B38" i="40"/>
  <c r="B39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7" i="39"/>
  <c r="P36" i="40"/>
  <c r="P37" i="39" s="1"/>
  <c r="O36" i="40"/>
  <c r="O37" i="39"/>
  <c r="N36" i="40"/>
  <c r="N37" i="39" s="1"/>
  <c r="M36" i="40"/>
  <c r="M37" i="39"/>
  <c r="L36" i="40"/>
  <c r="L37" i="39" s="1"/>
  <c r="K36" i="40"/>
  <c r="J36" i="40"/>
  <c r="I36" i="40"/>
  <c r="I37" i="39" s="1"/>
  <c r="H36" i="40"/>
  <c r="G36" i="40"/>
  <c r="F36" i="40"/>
  <c r="E36" i="40"/>
  <c r="E37" i="39"/>
  <c r="D36" i="40"/>
  <c r="D37" i="39" s="1"/>
  <c r="C36" i="40"/>
  <c r="B36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7" i="39" s="1"/>
  <c r="Q38" i="33"/>
  <c r="Q39" i="33"/>
  <c r="P38" i="33"/>
  <c r="P40" i="33" s="1"/>
  <c r="O38" i="33"/>
  <c r="O39" i="33"/>
  <c r="N38" i="33"/>
  <c r="N40" i="33" s="1"/>
  <c r="M38" i="33"/>
  <c r="M40" i="33"/>
  <c r="L38" i="33"/>
  <c r="L40" i="33" s="1"/>
  <c r="K38" i="33"/>
  <c r="K40" i="33"/>
  <c r="J38" i="33"/>
  <c r="J40" i="33" s="1"/>
  <c r="I38" i="33"/>
  <c r="I39" i="33"/>
  <c r="H38" i="33"/>
  <c r="H40" i="33" s="1"/>
  <c r="G38" i="33"/>
  <c r="G39" i="33"/>
  <c r="F38" i="33"/>
  <c r="F40" i="33" s="1"/>
  <c r="E38" i="33"/>
  <c r="E40" i="33"/>
  <c r="D38" i="33"/>
  <c r="D39" i="33" s="1"/>
  <c r="C38" i="33"/>
  <c r="C40" i="33"/>
  <c r="B38" i="33"/>
  <c r="B39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/>
  <c r="P36" i="33"/>
  <c r="P36" i="39" s="1"/>
  <c r="O36" i="33"/>
  <c r="N36" i="33"/>
  <c r="M36" i="33"/>
  <c r="M36" i="39" s="1"/>
  <c r="L36" i="33"/>
  <c r="K36" i="33"/>
  <c r="J36" i="33"/>
  <c r="I36" i="33"/>
  <c r="H36" i="33"/>
  <c r="G36" i="33"/>
  <c r="G36" i="39"/>
  <c r="F36" i="33"/>
  <c r="F36" i="39" s="1"/>
  <c r="E36" i="33"/>
  <c r="D36" i="33"/>
  <c r="C36" i="33"/>
  <c r="C36" i="39" s="1"/>
  <c r="B36" i="33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Q40" i="32"/>
  <c r="P40" i="32"/>
  <c r="K40" i="32"/>
  <c r="I40" i="32"/>
  <c r="H40" i="32"/>
  <c r="F40" i="32"/>
  <c r="E40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O36" i="32"/>
  <c r="N36" i="32"/>
  <c r="M36" i="32"/>
  <c r="L36" i="32"/>
  <c r="K36" i="32"/>
  <c r="J36" i="32"/>
  <c r="I36" i="32"/>
  <c r="H36" i="32"/>
  <c r="H35" i="39"/>
  <c r="G36" i="32"/>
  <c r="G35" i="39" s="1"/>
  <c r="F36" i="32"/>
  <c r="E36" i="32"/>
  <c r="D36" i="32"/>
  <c r="C36" i="32"/>
  <c r="C35" i="39" s="1"/>
  <c r="B36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O40" i="31"/>
  <c r="M40" i="31"/>
  <c r="L40" i="31"/>
  <c r="K39" i="31"/>
  <c r="J39" i="31"/>
  <c r="J40" i="31"/>
  <c r="I40" i="31"/>
  <c r="E40" i="3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/>
  <c r="P36" i="31"/>
  <c r="P34" i="39" s="1"/>
  <c r="O36" i="31"/>
  <c r="O34" i="39"/>
  <c r="N36" i="31"/>
  <c r="N34" i="39" s="1"/>
  <c r="M36" i="31"/>
  <c r="M34" i="39"/>
  <c r="L36" i="31"/>
  <c r="L34" i="39" s="1"/>
  <c r="K36" i="31"/>
  <c r="K34" i="39"/>
  <c r="J36" i="31"/>
  <c r="I36" i="31"/>
  <c r="H36" i="31"/>
  <c r="G36" i="31"/>
  <c r="F36" i="31"/>
  <c r="E36" i="31"/>
  <c r="E34" i="39"/>
  <c r="D36" i="31"/>
  <c r="C36" i="31"/>
  <c r="C34" i="39" s="1"/>
  <c r="B36" i="31"/>
  <c r="B34" i="39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M40" i="30"/>
  <c r="L40" i="30"/>
  <c r="K40" i="30"/>
  <c r="J40" i="30"/>
  <c r="I40" i="30"/>
  <c r="H40" i="30"/>
  <c r="D40" i="30"/>
  <c r="C40" i="30"/>
  <c r="B38" i="30"/>
  <c r="B40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O36" i="30"/>
  <c r="N36" i="30"/>
  <c r="M36" i="30"/>
  <c r="L36" i="30"/>
  <c r="K36" i="30"/>
  <c r="K33" i="39"/>
  <c r="J36" i="30"/>
  <c r="J33" i="39" s="1"/>
  <c r="I36" i="30"/>
  <c r="H36" i="30"/>
  <c r="H33" i="39" s="1"/>
  <c r="G36" i="30"/>
  <c r="G33" i="39"/>
  <c r="F36" i="30"/>
  <c r="E36" i="30"/>
  <c r="E33" i="39" s="1"/>
  <c r="D36" i="30"/>
  <c r="C36" i="30"/>
  <c r="B36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/>
  <c r="P40" i="29"/>
  <c r="M40" i="29"/>
  <c r="L40" i="29"/>
  <c r="K40" i="29"/>
  <c r="J40" i="29"/>
  <c r="I40" i="29"/>
  <c r="H40" i="29"/>
  <c r="F40" i="29"/>
  <c r="C40" i="29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P36" i="29"/>
  <c r="O36" i="29"/>
  <c r="O32" i="39" s="1"/>
  <c r="N36" i="29"/>
  <c r="M36" i="29"/>
  <c r="L36" i="29"/>
  <c r="K36" i="29"/>
  <c r="K32" i="39"/>
  <c r="J36" i="29"/>
  <c r="I36" i="29"/>
  <c r="H36" i="29"/>
  <c r="G36" i="29"/>
  <c r="F36" i="29"/>
  <c r="E36" i="29"/>
  <c r="D36" i="29"/>
  <c r="C36" i="29"/>
  <c r="B36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N40" i="28"/>
  <c r="K40" i="28"/>
  <c r="I40" i="28"/>
  <c r="H40" i="28"/>
  <c r="E40" i="28"/>
  <c r="D40" i="28"/>
  <c r="C40" i="28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P36" i="28"/>
  <c r="O36" i="28"/>
  <c r="O31" i="39" s="1"/>
  <c r="N36" i="28"/>
  <c r="M36" i="28"/>
  <c r="L36" i="28"/>
  <c r="L31" i="39" s="1"/>
  <c r="K36" i="28"/>
  <c r="J36" i="28"/>
  <c r="I36" i="28"/>
  <c r="H36" i="28"/>
  <c r="H31" i="39"/>
  <c r="G36" i="28"/>
  <c r="G31" i="39" s="1"/>
  <c r="F36" i="28"/>
  <c r="E36" i="28"/>
  <c r="D36" i="28"/>
  <c r="D31" i="39"/>
  <c r="C36" i="28"/>
  <c r="B36" i="28"/>
  <c r="B31" i="39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O40" i="27"/>
  <c r="N40" i="27"/>
  <c r="L40" i="27"/>
  <c r="K40" i="27"/>
  <c r="J40" i="27"/>
  <c r="F40" i="27"/>
  <c r="E40" i="27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P36" i="27"/>
  <c r="O36" i="27"/>
  <c r="N36" i="27"/>
  <c r="M36" i="27"/>
  <c r="L36" i="27"/>
  <c r="K36" i="27"/>
  <c r="J36" i="27"/>
  <c r="J30" i="39"/>
  <c r="I36" i="27"/>
  <c r="I30" i="39" s="1"/>
  <c r="H36" i="27"/>
  <c r="G36" i="27"/>
  <c r="G30" i="39"/>
  <c r="F36" i="27"/>
  <c r="F30" i="39" s="1"/>
  <c r="E36" i="27"/>
  <c r="D36" i="27"/>
  <c r="D30" i="39"/>
  <c r="C36" i="27"/>
  <c r="B36" i="27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P36" i="26"/>
  <c r="P29" i="39"/>
  <c r="O36" i="26"/>
  <c r="O29" i="39" s="1"/>
  <c r="N36" i="26"/>
  <c r="M36" i="26"/>
  <c r="L36" i="26"/>
  <c r="L29" i="39" s="1"/>
  <c r="K36" i="26"/>
  <c r="K29" i="39"/>
  <c r="J36" i="26"/>
  <c r="J29" i="39"/>
  <c r="I36" i="26"/>
  <c r="H36" i="26"/>
  <c r="G36" i="26"/>
  <c r="G29" i="39" s="1"/>
  <c r="F36" i="26"/>
  <c r="E36" i="26"/>
  <c r="D36" i="26"/>
  <c r="C36" i="26"/>
  <c r="C29" i="39" s="1"/>
  <c r="B36" i="26"/>
  <c r="B29" i="39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P36" i="25"/>
  <c r="O36" i="25"/>
  <c r="N36" i="25"/>
  <c r="M36" i="25"/>
  <c r="L36" i="25"/>
  <c r="L28" i="39"/>
  <c r="K36" i="25"/>
  <c r="K28" i="39" s="1"/>
  <c r="J36" i="25"/>
  <c r="J28" i="39"/>
  <c r="I36" i="25"/>
  <c r="I28" i="39" s="1"/>
  <c r="H36" i="25"/>
  <c r="H28" i="39"/>
  <c r="G36" i="25"/>
  <c r="G28" i="39" s="1"/>
  <c r="F36" i="25"/>
  <c r="E36" i="25"/>
  <c r="D36" i="25"/>
  <c r="D28" i="39" s="1"/>
  <c r="C36" i="25"/>
  <c r="C28" i="39"/>
  <c r="B36" i="25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Q38" i="24"/>
  <c r="Q40" i="24"/>
  <c r="P38" i="24"/>
  <c r="P40" i="24" s="1"/>
  <c r="O38" i="24"/>
  <c r="O40" i="24"/>
  <c r="N38" i="24"/>
  <c r="N40" i="24" s="1"/>
  <c r="M38" i="24"/>
  <c r="M40" i="24"/>
  <c r="L38" i="24"/>
  <c r="L40" i="24" s="1"/>
  <c r="K38" i="24"/>
  <c r="K40" i="24"/>
  <c r="J38" i="24"/>
  <c r="J39" i="24" s="1"/>
  <c r="I38" i="24"/>
  <c r="I40" i="24"/>
  <c r="F38" i="24"/>
  <c r="F40" i="24" s="1"/>
  <c r="E38" i="24"/>
  <c r="E40" i="24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P36" i="24"/>
  <c r="O36" i="24"/>
  <c r="N36" i="24"/>
  <c r="M36" i="24"/>
  <c r="L36" i="24"/>
  <c r="K36" i="24"/>
  <c r="K27" i="39"/>
  <c r="J36" i="24"/>
  <c r="J27" i="39" s="1"/>
  <c r="I36" i="24"/>
  <c r="H36" i="24"/>
  <c r="H27" i="39" s="1"/>
  <c r="G36" i="24"/>
  <c r="G27" i="39"/>
  <c r="F36" i="24"/>
  <c r="E36" i="24"/>
  <c r="D36" i="24"/>
  <c r="C36" i="24"/>
  <c r="B36" i="24"/>
  <c r="B27" i="39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Q40" i="23"/>
  <c r="P40" i="23"/>
  <c r="O40" i="23"/>
  <c r="L40" i="23"/>
  <c r="J40" i="23"/>
  <c r="I40" i="23"/>
  <c r="F40" i="23"/>
  <c r="E40" i="23"/>
  <c r="B38" i="23"/>
  <c r="B40" i="23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P36" i="23"/>
  <c r="P26" i="39"/>
  <c r="O36" i="23"/>
  <c r="O26" i="39"/>
  <c r="N36" i="23"/>
  <c r="M36" i="23"/>
  <c r="L36" i="23"/>
  <c r="K36" i="23"/>
  <c r="K26" i="39" s="1"/>
  <c r="J36" i="23"/>
  <c r="J26" i="39"/>
  <c r="I36" i="23"/>
  <c r="H36" i="23"/>
  <c r="G36" i="23"/>
  <c r="G26" i="39"/>
  <c r="F36" i="23"/>
  <c r="E36" i="23"/>
  <c r="D36" i="23"/>
  <c r="C36" i="23"/>
  <c r="B36" i="23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Q40" i="22"/>
  <c r="P40" i="22"/>
  <c r="N40" i="22"/>
  <c r="M40" i="22"/>
  <c r="L40" i="22"/>
  <c r="J40" i="22"/>
  <c r="I39" i="22"/>
  <c r="F40" i="22"/>
  <c r="B38" i="22"/>
  <c r="B39" i="22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P36" i="22"/>
  <c r="O36" i="22"/>
  <c r="O25" i="39" s="1"/>
  <c r="N36" i="22"/>
  <c r="N25" i="39" s="1"/>
  <c r="M36" i="22"/>
  <c r="L36" i="22"/>
  <c r="L25" i="39" s="1"/>
  <c r="K36" i="22"/>
  <c r="K25" i="39"/>
  <c r="J36" i="22"/>
  <c r="J25" i="39" s="1"/>
  <c r="I36" i="22"/>
  <c r="I25" i="39"/>
  <c r="H36" i="22"/>
  <c r="H25" i="39" s="1"/>
  <c r="G36" i="22"/>
  <c r="F36" i="22"/>
  <c r="E36" i="22"/>
  <c r="E25" i="39"/>
  <c r="D36" i="22"/>
  <c r="D25" i="39"/>
  <c r="C36" i="22"/>
  <c r="C25" i="39" s="1"/>
  <c r="B36" i="22"/>
  <c r="B25" i="39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Q38" i="21"/>
  <c r="Q40" i="21" s="1"/>
  <c r="P38" i="21"/>
  <c r="P40" i="21"/>
  <c r="O38" i="21"/>
  <c r="O40" i="21" s="1"/>
  <c r="N38" i="21"/>
  <c r="N40" i="21" s="1"/>
  <c r="K38" i="21"/>
  <c r="K40" i="21" s="1"/>
  <c r="J38" i="21"/>
  <c r="J40" i="21"/>
  <c r="I38" i="21"/>
  <c r="I40" i="21" s="1"/>
  <c r="H38" i="21"/>
  <c r="H40" i="21" s="1"/>
  <c r="G38" i="21"/>
  <c r="G40" i="21" s="1"/>
  <c r="F38" i="21"/>
  <c r="F40" i="21"/>
  <c r="E38" i="21"/>
  <c r="E40" i="21" s="1"/>
  <c r="C38" i="21"/>
  <c r="C39" i="21" s="1"/>
  <c r="B38" i="21"/>
  <c r="B40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Q24" i="39"/>
  <c r="P36" i="21"/>
  <c r="O36" i="21"/>
  <c r="N36" i="21"/>
  <c r="N24" i="39" s="1"/>
  <c r="M36" i="21"/>
  <c r="L36" i="21"/>
  <c r="K36" i="21"/>
  <c r="K24" i="39"/>
  <c r="J36" i="21"/>
  <c r="J24" i="39" s="1"/>
  <c r="I36" i="21"/>
  <c r="H36" i="21"/>
  <c r="H24" i="39" s="1"/>
  <c r="G36" i="21"/>
  <c r="G24" i="39" s="1"/>
  <c r="F36" i="21"/>
  <c r="F24" i="39"/>
  <c r="E36" i="21"/>
  <c r="D36" i="21"/>
  <c r="D24" i="39"/>
  <c r="C36" i="2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A24" i="39"/>
  <c r="P38" i="20"/>
  <c r="P39" i="20" s="1"/>
  <c r="O38" i="20"/>
  <c r="O40" i="20" s="1"/>
  <c r="N38" i="20"/>
  <c r="N39" i="20" s="1"/>
  <c r="K38" i="20"/>
  <c r="K40" i="20"/>
  <c r="J38" i="20"/>
  <c r="J40" i="20" s="1"/>
  <c r="I38" i="20"/>
  <c r="I40" i="20" s="1"/>
  <c r="H38" i="20"/>
  <c r="H39" i="20" s="1"/>
  <c r="G38" i="20"/>
  <c r="G40" i="20"/>
  <c r="E38" i="20"/>
  <c r="E39" i="20" s="1"/>
  <c r="D38" i="20"/>
  <c r="D40" i="20" s="1"/>
  <c r="C38" i="20"/>
  <c r="C39" i="20" s="1"/>
  <c r="B38" i="20"/>
  <c r="B39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/>
  <c r="M36" i="20"/>
  <c r="L36" i="20"/>
  <c r="K36" i="20"/>
  <c r="K23" i="39" s="1"/>
  <c r="J36" i="20"/>
  <c r="J23" i="39" s="1"/>
  <c r="I36" i="20"/>
  <c r="I23" i="39"/>
  <c r="H36" i="20"/>
  <c r="H23" i="39" s="1"/>
  <c r="G36" i="20"/>
  <c r="G23" i="39" s="1"/>
  <c r="F36" i="20"/>
  <c r="F23" i="39" s="1"/>
  <c r="E36" i="20"/>
  <c r="E23" i="39"/>
  <c r="D36" i="20"/>
  <c r="D23" i="39" s="1"/>
  <c r="C36" i="20"/>
  <c r="C23" i="39" s="1"/>
  <c r="B36" i="20"/>
  <c r="B23" i="39" s="1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2" i="20"/>
  <c r="A23" i="39"/>
  <c r="P38" i="19"/>
  <c r="P40" i="19" s="1"/>
  <c r="O38" i="19"/>
  <c r="O40" i="19" s="1"/>
  <c r="N38" i="19"/>
  <c r="N40" i="19" s="1"/>
  <c r="K38" i="19"/>
  <c r="K40" i="19"/>
  <c r="J38" i="19"/>
  <c r="J40" i="19" s="1"/>
  <c r="I38" i="19"/>
  <c r="I40" i="19" s="1"/>
  <c r="H38" i="19"/>
  <c r="H40" i="19" s="1"/>
  <c r="G38" i="19"/>
  <c r="G40" i="19"/>
  <c r="F38" i="19"/>
  <c r="F40" i="19" s="1"/>
  <c r="E38" i="19"/>
  <c r="E40" i="19" s="1"/>
  <c r="D38" i="19"/>
  <c r="D39" i="19" s="1"/>
  <c r="C38" i="19"/>
  <c r="C40" i="19"/>
  <c r="B38" i="19"/>
  <c r="B39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P36" i="19"/>
  <c r="O36" i="19"/>
  <c r="N36" i="19"/>
  <c r="M36" i="19"/>
  <c r="L36" i="19"/>
  <c r="K36" i="19"/>
  <c r="J36" i="19"/>
  <c r="I36" i="19"/>
  <c r="I22" i="39" s="1"/>
  <c r="H36" i="19"/>
  <c r="H22" i="39" s="1"/>
  <c r="G36" i="19"/>
  <c r="G22" i="39"/>
  <c r="F36" i="19"/>
  <c r="F22" i="39" s="1"/>
  <c r="E36" i="19"/>
  <c r="D36" i="19"/>
  <c r="D22" i="39" s="1"/>
  <c r="C36" i="19"/>
  <c r="C22" i="39"/>
  <c r="B36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Q38" i="18"/>
  <c r="Q39" i="18" s="1"/>
  <c r="P38" i="18"/>
  <c r="P40" i="18"/>
  <c r="O38" i="18"/>
  <c r="O39" i="18" s="1"/>
  <c r="N38" i="18"/>
  <c r="N40" i="18"/>
  <c r="K38" i="18"/>
  <c r="K39" i="18" s="1"/>
  <c r="J38" i="18"/>
  <c r="J40" i="18"/>
  <c r="I38" i="18"/>
  <c r="I40" i="18"/>
  <c r="H38" i="18"/>
  <c r="H40" i="18"/>
  <c r="G38" i="18"/>
  <c r="G39" i="18" s="1"/>
  <c r="F38" i="18"/>
  <c r="F40" i="18"/>
  <c r="E38" i="18"/>
  <c r="E39" i="18" s="1"/>
  <c r="D38" i="18"/>
  <c r="D39" i="18"/>
  <c r="C38" i="18"/>
  <c r="C39" i="18" s="1"/>
  <c r="B38" i="18"/>
  <c r="B40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/>
  <c r="P36" i="18"/>
  <c r="O36" i="18"/>
  <c r="N36" i="18"/>
  <c r="N21" i="39" s="1"/>
  <c r="M36" i="18"/>
  <c r="L36" i="18"/>
  <c r="K36" i="18"/>
  <c r="J36" i="18"/>
  <c r="I36" i="18"/>
  <c r="H36" i="18"/>
  <c r="H21" i="39"/>
  <c r="G36" i="18"/>
  <c r="F36" i="18"/>
  <c r="F21" i="39"/>
  <c r="E36" i="18"/>
  <c r="D36" i="18"/>
  <c r="C36" i="18"/>
  <c r="C21" i="39"/>
  <c r="B36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Q38" i="17"/>
  <c r="Q39" i="17" s="1"/>
  <c r="P38" i="17"/>
  <c r="P40" i="17" s="1"/>
  <c r="O38" i="17"/>
  <c r="O40" i="17"/>
  <c r="N38" i="17"/>
  <c r="N40" i="17" s="1"/>
  <c r="K38" i="17"/>
  <c r="K39" i="17" s="1"/>
  <c r="J38" i="17"/>
  <c r="J40" i="17" s="1"/>
  <c r="I38" i="17"/>
  <c r="I40" i="17"/>
  <c r="F38" i="17"/>
  <c r="F40" i="17" s="1"/>
  <c r="E38" i="17"/>
  <c r="E39" i="17" s="1"/>
  <c r="D38" i="17"/>
  <c r="D40" i="17" s="1"/>
  <c r="C38" i="17"/>
  <c r="C40" i="17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/>
  <c r="N36" i="17"/>
  <c r="N20" i="39" s="1"/>
  <c r="M36" i="17"/>
  <c r="L36" i="17"/>
  <c r="K36" i="17"/>
  <c r="K20" i="39" s="1"/>
  <c r="J36" i="17"/>
  <c r="I36" i="17"/>
  <c r="H36" i="17"/>
  <c r="H20" i="39" s="1"/>
  <c r="G36" i="17"/>
  <c r="G20" i="39" s="1"/>
  <c r="F36" i="17"/>
  <c r="F20" i="39" s="1"/>
  <c r="E36" i="17"/>
  <c r="E20" i="39"/>
  <c r="D36" i="17"/>
  <c r="C36" i="17"/>
  <c r="C20" i="39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Q38" i="16"/>
  <c r="Q40" i="16" s="1"/>
  <c r="P38" i="16"/>
  <c r="P40" i="16"/>
  <c r="O38" i="16"/>
  <c r="O40" i="16"/>
  <c r="N38" i="16"/>
  <c r="N40" i="16"/>
  <c r="K38" i="16"/>
  <c r="K39" i="16" s="1"/>
  <c r="J38" i="16"/>
  <c r="J40" i="16"/>
  <c r="I38" i="16"/>
  <c r="I40" i="16" s="1"/>
  <c r="H38" i="16"/>
  <c r="H40" i="16" s="1"/>
  <c r="G38" i="16"/>
  <c r="G40" i="16" s="1"/>
  <c r="F38" i="16"/>
  <c r="F39" i="16"/>
  <c r="E38" i="16"/>
  <c r="E40" i="16"/>
  <c r="D38" i="16"/>
  <c r="D40" i="16"/>
  <c r="C38" i="16"/>
  <c r="C40" i="16" s="1"/>
  <c r="B38" i="16"/>
  <c r="B40" i="16"/>
  <c r="B39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P36" i="16"/>
  <c r="P19" i="39"/>
  <c r="O36" i="16"/>
  <c r="O19" i="39" s="1"/>
  <c r="N36" i="16"/>
  <c r="N19" i="39"/>
  <c r="M36" i="16"/>
  <c r="L36" i="16"/>
  <c r="K36" i="16"/>
  <c r="K19" i="39"/>
  <c r="J36" i="16"/>
  <c r="J19" i="39" s="1"/>
  <c r="I36" i="16"/>
  <c r="I19" i="39"/>
  <c r="H36" i="16"/>
  <c r="H19" i="39" s="1"/>
  <c r="G36" i="16"/>
  <c r="F36" i="16"/>
  <c r="E36" i="16"/>
  <c r="D36" i="16"/>
  <c r="C36" i="16"/>
  <c r="C19" i="39"/>
  <c r="B36" i="16"/>
  <c r="B19" i="39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P38" i="15"/>
  <c r="P40" i="15"/>
  <c r="O38" i="15"/>
  <c r="O40" i="15" s="1"/>
  <c r="N38" i="15"/>
  <c r="N40" i="15" s="1"/>
  <c r="K38" i="15"/>
  <c r="K40" i="15" s="1"/>
  <c r="J38" i="15"/>
  <c r="J39" i="15"/>
  <c r="I38" i="15"/>
  <c r="I39" i="15" s="1"/>
  <c r="H38" i="15"/>
  <c r="H40" i="15" s="1"/>
  <c r="G38" i="15"/>
  <c r="G39" i="15" s="1"/>
  <c r="F38" i="15"/>
  <c r="F40" i="15"/>
  <c r="E38" i="15"/>
  <c r="E40" i="15" s="1"/>
  <c r="D38" i="15"/>
  <c r="D40" i="15" s="1"/>
  <c r="C38" i="15"/>
  <c r="C40" i="15" s="1"/>
  <c r="B38" i="15"/>
  <c r="B39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N36" i="15"/>
  <c r="N18" i="39"/>
  <c r="M36" i="15"/>
  <c r="L36" i="15"/>
  <c r="K36" i="15"/>
  <c r="K18" i="39"/>
  <c r="J36" i="15"/>
  <c r="I36" i="15"/>
  <c r="H36" i="15"/>
  <c r="G36" i="15"/>
  <c r="F36" i="15"/>
  <c r="E36" i="15"/>
  <c r="E18" i="39" s="1"/>
  <c r="D36" i="15"/>
  <c r="D18" i="39" s="1"/>
  <c r="C36" i="15"/>
  <c r="C18" i="39" s="1"/>
  <c r="B36" i="15"/>
  <c r="B18" i="39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N40" i="14"/>
  <c r="M40" i="14"/>
  <c r="K39" i="14"/>
  <c r="J40" i="14"/>
  <c r="H39" i="14"/>
  <c r="G40" i="14"/>
  <c r="F40" i="14"/>
  <c r="E40" i="14"/>
  <c r="D39" i="14"/>
  <c r="C39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O40" i="13"/>
  <c r="N40" i="13"/>
  <c r="L40" i="13"/>
  <c r="K40" i="13"/>
  <c r="J40" i="13"/>
  <c r="F39" i="13"/>
  <c r="E40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J39" i="12"/>
  <c r="I40" i="12"/>
  <c r="E40" i="12"/>
  <c r="D40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/>
  <c r="O40" i="11"/>
  <c r="N40" i="11"/>
  <c r="I40" i="11"/>
  <c r="F40" i="11"/>
  <c r="E39" i="11"/>
  <c r="D40" i="11"/>
  <c r="C40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P40" i="10"/>
  <c r="O40" i="10"/>
  <c r="L40" i="10"/>
  <c r="I39" i="10"/>
  <c r="F40" i="10"/>
  <c r="E40" i="10"/>
  <c r="D39" i="10"/>
  <c r="B40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/>
  <c r="O40" i="8"/>
  <c r="N40" i="8"/>
  <c r="L40" i="8"/>
  <c r="K39" i="8"/>
  <c r="J39" i="8"/>
  <c r="I40" i="8"/>
  <c r="H39" i="8"/>
  <c r="G40" i="8"/>
  <c r="F40" i="8"/>
  <c r="D40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/>
  <c r="O39" i="3"/>
  <c r="N40" i="3"/>
  <c r="F40" i="3"/>
  <c r="E39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/>
  <c r="O36" i="3"/>
  <c r="O10" i="39" s="1"/>
  <c r="N36" i="3"/>
  <c r="N10" i="39"/>
  <c r="M36" i="3"/>
  <c r="L36" i="3"/>
  <c r="K36" i="3"/>
  <c r="K10" i="39"/>
  <c r="J36" i="3"/>
  <c r="J10" i="39"/>
  <c r="I36" i="3"/>
  <c r="I10" i="39"/>
  <c r="H36" i="3"/>
  <c r="H10" i="39" s="1"/>
  <c r="G36" i="3"/>
  <c r="G10" i="39"/>
  <c r="F36" i="3"/>
  <c r="F10" i="39" s="1"/>
  <c r="E36" i="3"/>
  <c r="E10" i="39" s="1"/>
  <c r="D36" i="3"/>
  <c r="D10" i="39"/>
  <c r="C36" i="3"/>
  <c r="C10" i="39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N37" i="2"/>
  <c r="O37" i="2"/>
  <c r="P37" i="2"/>
  <c r="N36" i="2"/>
  <c r="N9" i="39"/>
  <c r="O36" i="2"/>
  <c r="P36" i="2"/>
  <c r="P9" i="39" s="1"/>
  <c r="N35" i="2"/>
  <c r="O35" i="2"/>
  <c r="P35" i="2"/>
  <c r="N34" i="2"/>
  <c r="O34" i="2"/>
  <c r="P34" i="2"/>
  <c r="D38" i="2"/>
  <c r="D39" i="2" s="1"/>
  <c r="I38" i="2"/>
  <c r="I40" i="2" s="1"/>
  <c r="J38" i="2"/>
  <c r="J40" i="2" s="1"/>
  <c r="K38" i="2"/>
  <c r="K39" i="2"/>
  <c r="N38" i="2"/>
  <c r="N40" i="2" s="1"/>
  <c r="O38" i="2"/>
  <c r="P38" i="2"/>
  <c r="Q38" i="2"/>
  <c r="Q40" i="2" s="1"/>
  <c r="N35" i="39"/>
  <c r="B38" i="2"/>
  <c r="B40" i="2" s="1"/>
  <c r="O38" i="39"/>
  <c r="G38" i="39"/>
  <c r="F38" i="39"/>
  <c r="E38" i="39"/>
  <c r="K37" i="39"/>
  <c r="J37" i="39"/>
  <c r="H37" i="39"/>
  <c r="G37" i="39"/>
  <c r="F37" i="39"/>
  <c r="C37" i="39"/>
  <c r="B37" i="39"/>
  <c r="Q25" i="39"/>
  <c r="P25" i="39"/>
  <c r="M25" i="39"/>
  <c r="F25" i="39"/>
  <c r="A25" i="39"/>
  <c r="O24" i="39"/>
  <c r="M24" i="39"/>
  <c r="M44" i="39" s="1"/>
  <c r="L24" i="39"/>
  <c r="I24" i="39"/>
  <c r="E24" i="39"/>
  <c r="C24" i="39"/>
  <c r="Q22" i="39"/>
  <c r="K22" i="39"/>
  <c r="J22" i="39"/>
  <c r="A22" i="39"/>
  <c r="K21" i="39"/>
  <c r="J21" i="39"/>
  <c r="I21" i="39"/>
  <c r="G21" i="39"/>
  <c r="B21" i="39"/>
  <c r="J20" i="39"/>
  <c r="I20" i="39"/>
  <c r="D20" i="39"/>
  <c r="Q19" i="39"/>
  <c r="F19" i="39"/>
  <c r="E19" i="39"/>
  <c r="D19" i="39"/>
  <c r="A19" i="39"/>
  <c r="I18" i="39"/>
  <c r="H18" i="39"/>
  <c r="F18" i="39"/>
  <c r="A18" i="39"/>
  <c r="A17" i="39"/>
  <c r="N36" i="39"/>
  <c r="L36" i="39"/>
  <c r="K36" i="39"/>
  <c r="I36" i="39"/>
  <c r="H36" i="39"/>
  <c r="E36" i="39"/>
  <c r="A36" i="39"/>
  <c r="P35" i="39"/>
  <c r="M35" i="39"/>
  <c r="L35" i="39"/>
  <c r="K35" i="39"/>
  <c r="J35" i="39"/>
  <c r="I35" i="39"/>
  <c r="F35" i="39"/>
  <c r="D35" i="39"/>
  <c r="B35" i="39"/>
  <c r="A35" i="39"/>
  <c r="J34" i="39"/>
  <c r="I34" i="39"/>
  <c r="F34" i="39"/>
  <c r="D34" i="39"/>
  <c r="A34" i="39"/>
  <c r="O33" i="39"/>
  <c r="N33" i="39"/>
  <c r="M33" i="39"/>
  <c r="L33" i="39"/>
  <c r="I33" i="39"/>
  <c r="F33" i="39"/>
  <c r="D33" i="39"/>
  <c r="C33" i="39"/>
  <c r="B33" i="39"/>
  <c r="Q32" i="39"/>
  <c r="N32" i="39"/>
  <c r="M32" i="39"/>
  <c r="L32" i="39"/>
  <c r="I32" i="39"/>
  <c r="H32" i="39"/>
  <c r="G32" i="39"/>
  <c r="F32" i="39"/>
  <c r="E32" i="39"/>
  <c r="D32" i="39"/>
  <c r="C32" i="39"/>
  <c r="B32" i="39"/>
  <c r="A32" i="39"/>
  <c r="Q31" i="39"/>
  <c r="P31" i="39"/>
  <c r="N31" i="39"/>
  <c r="K31" i="39"/>
  <c r="I31" i="39"/>
  <c r="F31" i="39"/>
  <c r="E31" i="39"/>
  <c r="C31" i="39"/>
  <c r="A31" i="39"/>
  <c r="Q30" i="39"/>
  <c r="O30" i="39"/>
  <c r="N30" i="39"/>
  <c r="M30" i="39"/>
  <c r="M42" i="39" s="1"/>
  <c r="L30" i="39"/>
  <c r="K30" i="39"/>
  <c r="H30" i="39"/>
  <c r="E30" i="39"/>
  <c r="C30" i="39"/>
  <c r="B30" i="39"/>
  <c r="A30" i="39"/>
  <c r="Q29" i="39"/>
  <c r="N29" i="39"/>
  <c r="M29" i="39"/>
  <c r="I29" i="39"/>
  <c r="H29" i="39"/>
  <c r="F29" i="39"/>
  <c r="E29" i="39"/>
  <c r="D29" i="39"/>
  <c r="A29" i="39"/>
  <c r="Q28" i="39"/>
  <c r="P28" i="39"/>
  <c r="O28" i="39"/>
  <c r="N28" i="39"/>
  <c r="M28" i="39"/>
  <c r="F28" i="39"/>
  <c r="E28" i="39"/>
  <c r="A28" i="39"/>
  <c r="Q27" i="39"/>
  <c r="P27" i="39"/>
  <c r="N27" i="39"/>
  <c r="M27" i="39"/>
  <c r="L27" i="39"/>
  <c r="I27" i="39"/>
  <c r="F27" i="39"/>
  <c r="E27" i="39"/>
  <c r="D27" i="39"/>
  <c r="C27" i="39"/>
  <c r="A27" i="39"/>
  <c r="Q26" i="39"/>
  <c r="M26" i="39"/>
  <c r="L26" i="39"/>
  <c r="I26" i="39"/>
  <c r="H26" i="39"/>
  <c r="E26" i="39"/>
  <c r="D26" i="39"/>
  <c r="C26" i="39"/>
  <c r="B26" i="39"/>
  <c r="A26" i="39"/>
  <c r="P22" i="39"/>
  <c r="O22" i="39"/>
  <c r="N22" i="39"/>
  <c r="E22" i="39"/>
  <c r="P21" i="39"/>
  <c r="O21" i="39"/>
  <c r="E21" i="39"/>
  <c r="D21" i="39"/>
  <c r="O18" i="39"/>
  <c r="G18" i="39"/>
  <c r="B2" i="2"/>
  <c r="A9" i="39"/>
  <c r="B2" i="39" s="1"/>
  <c r="P40" i="2"/>
  <c r="O40" i="2"/>
  <c r="M39" i="2"/>
  <c r="Q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/>
  <c r="O9" i="39"/>
  <c r="O44" i="39" s="1"/>
  <c r="M36" i="2"/>
  <c r="L36" i="2"/>
  <c r="K36" i="2"/>
  <c r="K9" i="39"/>
  <c r="J36" i="2"/>
  <c r="J9" i="39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/>
  <c r="B36" i="2"/>
  <c r="B9" i="39" s="1"/>
  <c r="Q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M34" i="2"/>
  <c r="L34" i="2"/>
  <c r="K34" i="2"/>
  <c r="J34" i="2"/>
  <c r="I34" i="2"/>
  <c r="H34" i="2"/>
  <c r="G34" i="2"/>
  <c r="F34" i="2"/>
  <c r="E34" i="2"/>
  <c r="D34" i="2"/>
  <c r="C34" i="2"/>
  <c r="B34" i="2"/>
  <c r="O35" i="39"/>
  <c r="E35" i="39"/>
  <c r="H34" i="39"/>
  <c r="G34" i="39"/>
  <c r="P32" i="39"/>
  <c r="J32" i="39"/>
  <c r="B36" i="39"/>
  <c r="D36" i="39"/>
  <c r="J36" i="39"/>
  <c r="O36" i="39"/>
  <c r="P33" i="39"/>
  <c r="J31" i="39"/>
  <c r="M31" i="39"/>
  <c r="P30" i="39"/>
  <c r="B28" i="39"/>
  <c r="O27" i="39"/>
  <c r="F26" i="39"/>
  <c r="N26" i="39"/>
  <c r="G25" i="39"/>
  <c r="P24" i="39"/>
  <c r="B22" i="39"/>
  <c r="G19" i="39"/>
  <c r="J18" i="39"/>
  <c r="P39" i="2"/>
  <c r="O39" i="2"/>
  <c r="J39" i="2"/>
  <c r="J39" i="41"/>
  <c r="Q39" i="40"/>
  <c r="O39" i="40"/>
  <c r="L39" i="40"/>
  <c r="K39" i="40"/>
  <c r="I39" i="40"/>
  <c r="H39" i="40"/>
  <c r="G39" i="40"/>
  <c r="F39" i="40"/>
  <c r="D39" i="40"/>
  <c r="C39" i="40"/>
  <c r="P39" i="33"/>
  <c r="N39" i="33"/>
  <c r="M39" i="33"/>
  <c r="L39" i="33"/>
  <c r="K39" i="33"/>
  <c r="H39" i="33"/>
  <c r="F39" i="33"/>
  <c r="E39" i="33"/>
  <c r="C39" i="33"/>
  <c r="Q39" i="32"/>
  <c r="O39" i="32"/>
  <c r="N39" i="32"/>
  <c r="M39" i="32"/>
  <c r="L39" i="32"/>
  <c r="I39" i="32"/>
  <c r="F39" i="32"/>
  <c r="E39" i="32"/>
  <c r="D39" i="32"/>
  <c r="P39" i="31"/>
  <c r="O39" i="31"/>
  <c r="N39" i="31"/>
  <c r="M39" i="31"/>
  <c r="L39" i="31"/>
  <c r="E39" i="31"/>
  <c r="B39" i="31"/>
  <c r="O39" i="30"/>
  <c r="N39" i="30"/>
  <c r="M39" i="30"/>
  <c r="L39" i="30"/>
  <c r="K39" i="30"/>
  <c r="J39" i="30"/>
  <c r="I39" i="30"/>
  <c r="H39" i="30"/>
  <c r="G39" i="30"/>
  <c r="E39" i="30"/>
  <c r="D39" i="30"/>
  <c r="B39" i="30"/>
  <c r="P39" i="29"/>
  <c r="O39" i="29"/>
  <c r="N39" i="29"/>
  <c r="M39" i="29"/>
  <c r="L39" i="29"/>
  <c r="K39" i="29"/>
  <c r="J39" i="29"/>
  <c r="I39" i="29"/>
  <c r="H39" i="29"/>
  <c r="F39" i="29"/>
  <c r="D39" i="29"/>
  <c r="C39" i="29"/>
  <c r="B39" i="29"/>
  <c r="Q39" i="28"/>
  <c r="P39" i="28"/>
  <c r="O39" i="28"/>
  <c r="N39" i="28"/>
  <c r="L39" i="28"/>
  <c r="K39" i="28"/>
  <c r="J39" i="28"/>
  <c r="I39" i="28"/>
  <c r="H39" i="28"/>
  <c r="G39" i="28"/>
  <c r="F39" i="28"/>
  <c r="E39" i="28"/>
  <c r="D39" i="28"/>
  <c r="C39" i="28"/>
  <c r="B39" i="28"/>
  <c r="O39" i="27"/>
  <c r="N39" i="27"/>
  <c r="L39" i="27"/>
  <c r="K39" i="27"/>
  <c r="J39" i="27"/>
  <c r="F39" i="27"/>
  <c r="D39" i="27"/>
  <c r="B39" i="27"/>
  <c r="J39" i="25"/>
  <c r="Q39" i="24"/>
  <c r="P39" i="24"/>
  <c r="O39" i="24"/>
  <c r="N39" i="24"/>
  <c r="M39" i="24"/>
  <c r="L39" i="24"/>
  <c r="I39" i="24"/>
  <c r="F39" i="24"/>
  <c r="E39" i="24"/>
  <c r="P39" i="23"/>
  <c r="O39" i="23"/>
  <c r="L39" i="23"/>
  <c r="J39" i="23"/>
  <c r="I39" i="23"/>
  <c r="F39" i="23"/>
  <c r="E39" i="23"/>
  <c r="D39" i="23"/>
  <c r="B39" i="23"/>
  <c r="Q39" i="22"/>
  <c r="P39" i="22"/>
  <c r="N39" i="22"/>
  <c r="M39" i="22"/>
  <c r="L39" i="22"/>
  <c r="J39" i="22"/>
  <c r="F39" i="22"/>
  <c r="D39" i="22"/>
  <c r="P39" i="21"/>
  <c r="O39" i="21"/>
  <c r="N39" i="21"/>
  <c r="K39" i="21"/>
  <c r="J39" i="21"/>
  <c r="I39" i="21"/>
  <c r="G39" i="21"/>
  <c r="B39" i="21"/>
  <c r="O39" i="20"/>
  <c r="J39" i="20"/>
  <c r="G39" i="20"/>
  <c r="D39" i="20"/>
  <c r="P39" i="19"/>
  <c r="N39" i="19"/>
  <c r="K39" i="19"/>
  <c r="I39" i="19"/>
  <c r="H39" i="19"/>
  <c r="G39" i="19"/>
  <c r="F39" i="19"/>
  <c r="C39" i="19"/>
  <c r="Q40" i="18"/>
  <c r="P39" i="18"/>
  <c r="N39" i="18"/>
  <c r="J39" i="18"/>
  <c r="I39" i="18"/>
  <c r="H39" i="18"/>
  <c r="B39" i="18"/>
  <c r="O39" i="17"/>
  <c r="N39" i="17"/>
  <c r="J39" i="17"/>
  <c r="F39" i="17"/>
  <c r="D39" i="17"/>
  <c r="C39" i="17"/>
  <c r="B39" i="17"/>
  <c r="Q39" i="16"/>
  <c r="P39" i="16"/>
  <c r="O39" i="16"/>
  <c r="J39" i="16"/>
  <c r="I39" i="16"/>
  <c r="H39" i="16"/>
  <c r="G39" i="16"/>
  <c r="E39" i="16"/>
  <c r="D39" i="16"/>
  <c r="K39" i="15"/>
  <c r="N39" i="14"/>
  <c r="M39" i="14"/>
  <c r="J39" i="14"/>
  <c r="G39" i="14"/>
  <c r="F39" i="14"/>
  <c r="E39" i="14"/>
  <c r="O39" i="13"/>
  <c r="K39" i="13"/>
  <c r="J39" i="13"/>
  <c r="E39" i="13"/>
  <c r="I39" i="12"/>
  <c r="N39" i="11"/>
  <c r="F39" i="11"/>
  <c r="D39" i="11"/>
  <c r="P39" i="10"/>
  <c r="O39" i="10"/>
  <c r="E39" i="10"/>
  <c r="C39" i="10"/>
  <c r="N39" i="8"/>
  <c r="L39" i="8"/>
  <c r="I39" i="8"/>
  <c r="G39" i="8"/>
  <c r="F39" i="8"/>
  <c r="N39" i="3"/>
  <c r="L39" i="3"/>
  <c r="O39" i="11"/>
  <c r="I39" i="11"/>
  <c r="C39" i="11"/>
  <c r="N39" i="16"/>
  <c r="F40" i="16"/>
  <c r="D40" i="14"/>
  <c r="E40" i="11"/>
  <c r="L39" i="10"/>
  <c r="D40" i="10"/>
  <c r="B40" i="15"/>
  <c r="J40" i="15"/>
  <c r="F39" i="15"/>
  <c r="E40" i="8"/>
  <c r="P40" i="8"/>
  <c r="F39" i="3"/>
  <c r="D39" i="12"/>
  <c r="H40" i="11"/>
  <c r="E39" i="12"/>
  <c r="F39" i="12"/>
  <c r="N39" i="13"/>
  <c r="F40" i="13"/>
  <c r="C39" i="15"/>
  <c r="E39" i="15"/>
  <c r="D40" i="18"/>
  <c r="C40" i="18"/>
  <c r="K40" i="18"/>
  <c r="P39" i="17"/>
  <c r="Q39" i="21"/>
  <c r="K39" i="20"/>
  <c r="B40" i="20"/>
  <c r="C40" i="22"/>
  <c r="I40" i="22"/>
  <c r="O39" i="25"/>
  <c r="I39" i="25"/>
  <c r="H39" i="25"/>
  <c r="G39" i="25"/>
  <c r="E39" i="25"/>
  <c r="O39" i="26"/>
  <c r="N39" i="26"/>
  <c r="J40" i="26"/>
  <c r="H40" i="26"/>
  <c r="E39" i="26"/>
  <c r="I39" i="26"/>
  <c r="D40" i="31"/>
  <c r="C40" i="31"/>
  <c r="K40" i="31"/>
  <c r="J40" i="8"/>
  <c r="H40" i="8"/>
  <c r="C39" i="3"/>
  <c r="E39" i="41"/>
  <c r="G39" i="41"/>
  <c r="C39" i="41"/>
  <c r="D39" i="41"/>
  <c r="B39" i="41"/>
  <c r="N39" i="41"/>
  <c r="K39" i="41"/>
  <c r="L39" i="41"/>
  <c r="B40" i="40"/>
  <c r="J40" i="40"/>
  <c r="P40" i="40"/>
  <c r="D40" i="33"/>
  <c r="J39" i="33"/>
  <c r="B40" i="33"/>
  <c r="Q40" i="30"/>
  <c r="P40" i="30"/>
  <c r="F39" i="30"/>
  <c r="M39" i="28"/>
  <c r="F40" i="26"/>
  <c r="L40" i="26"/>
  <c r="D39" i="26"/>
  <c r="F40" i="25"/>
  <c r="N40" i="25"/>
  <c r="L39" i="25"/>
  <c r="D40" i="25"/>
  <c r="K39" i="24"/>
  <c r="N40" i="23"/>
  <c r="C39" i="23"/>
  <c r="M40" i="23"/>
  <c r="O39" i="22"/>
  <c r="C40" i="21"/>
  <c r="P40" i="20"/>
  <c r="N40" i="20"/>
  <c r="E40" i="20"/>
  <c r="D40" i="19"/>
  <c r="F39" i="18"/>
  <c r="I39" i="17"/>
  <c r="C39" i="16"/>
  <c r="K40" i="16"/>
  <c r="I40" i="15"/>
  <c r="G40" i="15"/>
  <c r="O39" i="15"/>
  <c r="C40" i="14"/>
  <c r="I39" i="14"/>
  <c r="C39" i="13"/>
  <c r="F39" i="10"/>
  <c r="N40" i="10"/>
  <c r="K40" i="8"/>
  <c r="O40" i="3"/>
  <c r="E40" i="3"/>
  <c r="N39" i="2"/>
  <c r="Q39" i="2"/>
  <c r="I40" i="41"/>
  <c r="Q40" i="41"/>
  <c r="O40" i="41"/>
  <c r="G39" i="12"/>
  <c r="H39" i="12"/>
  <c r="C39" i="12"/>
  <c r="J40" i="12"/>
  <c r="G40" i="11"/>
  <c r="G39" i="10"/>
  <c r="I40" i="10"/>
  <c r="E39" i="9"/>
  <c r="P40" i="14"/>
  <c r="L40" i="14"/>
  <c r="O39" i="14"/>
  <c r="B40" i="14"/>
  <c r="K40" i="14"/>
  <c r="Q40" i="14"/>
  <c r="H40" i="14"/>
  <c r="Q39" i="13"/>
  <c r="I40" i="13"/>
  <c r="B40" i="13"/>
  <c r="G40" i="13"/>
  <c r="M39" i="13"/>
  <c r="L39" i="13"/>
  <c r="H39" i="13"/>
  <c r="P40" i="13"/>
  <c r="D39" i="13"/>
  <c r="P40" i="12"/>
  <c r="M40" i="12"/>
  <c r="Q39" i="12"/>
  <c r="B39" i="12"/>
  <c r="O39" i="12"/>
  <c r="N40" i="12"/>
  <c r="L40" i="12"/>
  <c r="K40" i="12"/>
  <c r="Q40" i="11"/>
  <c r="L39" i="11"/>
  <c r="B40" i="11"/>
  <c r="P40" i="11"/>
  <c r="M40" i="11"/>
  <c r="K39" i="11"/>
  <c r="J40" i="11"/>
  <c r="M39" i="10"/>
  <c r="Q40" i="10"/>
  <c r="J39" i="10"/>
  <c r="H40" i="10"/>
  <c r="K39" i="10"/>
  <c r="Q39" i="9"/>
  <c r="O40" i="9"/>
  <c r="M40" i="9"/>
  <c r="L40" i="9"/>
  <c r="I39" i="9"/>
  <c r="H39" i="9"/>
  <c r="G39" i="9"/>
  <c r="F40" i="9"/>
  <c r="D40" i="9"/>
  <c r="C39" i="9"/>
  <c r="J39" i="9"/>
  <c r="N39" i="9"/>
  <c r="B39" i="9"/>
  <c r="P39" i="9"/>
  <c r="K39" i="9"/>
  <c r="M40" i="8"/>
  <c r="C40" i="8"/>
  <c r="O39" i="8"/>
  <c r="Q39" i="8"/>
  <c r="D39" i="8"/>
  <c r="B39" i="8"/>
  <c r="M40" i="3"/>
  <c r="Q39" i="3"/>
  <c r="P40" i="3"/>
  <c r="J40" i="3"/>
  <c r="D40" i="3"/>
  <c r="G40" i="3"/>
  <c r="H40" i="3"/>
  <c r="B40" i="3"/>
  <c r="K40" i="3"/>
  <c r="I40" i="3"/>
  <c r="C40" i="2"/>
  <c r="E40" i="2"/>
  <c r="G40" i="2"/>
  <c r="H40" i="2"/>
  <c r="L39" i="2"/>
  <c r="B39" i="2"/>
  <c r="K40" i="2"/>
  <c r="F39" i="2"/>
  <c r="D40" i="2"/>
  <c r="L40" i="18"/>
  <c r="G40" i="18"/>
  <c r="O40" i="18"/>
  <c r="E40" i="18"/>
  <c r="M40" i="18"/>
  <c r="G40" i="17"/>
  <c r="H39" i="17"/>
  <c r="M39" i="17"/>
  <c r="L39" i="17"/>
  <c r="K40" i="17"/>
  <c r="M39" i="16"/>
  <c r="L39" i="16"/>
  <c r="Q39" i="15"/>
  <c r="M40" i="15"/>
  <c r="L39" i="15"/>
  <c r="H39" i="15"/>
  <c r="P39" i="15"/>
  <c r="F39" i="20"/>
  <c r="M39" i="20"/>
  <c r="L39" i="20"/>
  <c r="H40" i="20"/>
  <c r="Q39" i="20"/>
  <c r="C40" i="20"/>
  <c r="Q40" i="19"/>
  <c r="M40" i="19"/>
  <c r="L39" i="19"/>
  <c r="B40" i="19"/>
  <c r="J39" i="19"/>
  <c r="E40" i="22"/>
  <c r="B40" i="22"/>
  <c r="K40" i="22"/>
  <c r="H39" i="22"/>
  <c r="G39" i="22"/>
  <c r="D40" i="21"/>
  <c r="L39" i="21"/>
  <c r="M39" i="21"/>
  <c r="F39" i="21"/>
  <c r="E39" i="21"/>
  <c r="H40" i="23"/>
  <c r="G40" i="23"/>
  <c r="K39" i="23"/>
  <c r="Q40" i="26"/>
  <c r="P39" i="26"/>
  <c r="M39" i="26"/>
  <c r="B39" i="26"/>
  <c r="G39" i="26"/>
  <c r="K40" i="26"/>
  <c r="C39" i="26"/>
  <c r="Q40" i="25"/>
  <c r="P40" i="25"/>
  <c r="M40" i="25"/>
  <c r="B39" i="25"/>
  <c r="C40" i="25"/>
  <c r="K39" i="25"/>
  <c r="C39" i="24"/>
  <c r="B40" i="24"/>
  <c r="G40" i="24"/>
  <c r="J40" i="24"/>
  <c r="H40" i="24"/>
  <c r="D39" i="24"/>
  <c r="I40" i="27"/>
  <c r="G40" i="27"/>
  <c r="H40" i="27"/>
  <c r="C40" i="27"/>
  <c r="Q40" i="27"/>
  <c r="P40" i="27"/>
  <c r="M40" i="27"/>
  <c r="E40" i="29"/>
  <c r="Q40" i="29"/>
  <c r="G40" i="29"/>
  <c r="C39" i="32"/>
  <c r="B40" i="32"/>
  <c r="J39" i="32"/>
  <c r="G40" i="32"/>
  <c r="Q39" i="31"/>
  <c r="G39" i="31"/>
  <c r="H39" i="31"/>
  <c r="F39" i="31"/>
  <c r="I40" i="33"/>
  <c r="Q40" i="33"/>
  <c r="G40" i="33"/>
  <c r="O40" i="33"/>
  <c r="H39" i="41"/>
  <c r="F39" i="41"/>
  <c r="M40" i="41"/>
  <c r="P40" i="41"/>
  <c r="N39" i="40"/>
  <c r="E39" i="40"/>
  <c r="M40" i="40"/>
  <c r="L44" i="39" l="1"/>
  <c r="O41" i="39"/>
  <c r="O42" i="39"/>
  <c r="O43" i="39"/>
  <c r="O40" i="39"/>
  <c r="M45" i="39"/>
  <c r="M46" i="39"/>
  <c r="J43" i="39"/>
  <c r="J40" i="39"/>
  <c r="J41" i="39"/>
  <c r="J42" i="39"/>
  <c r="B43" i="39"/>
  <c r="B41" i="39"/>
  <c r="B40" i="39"/>
  <c r="B42" i="39"/>
  <c r="B44" i="39"/>
  <c r="C41" i="39"/>
  <c r="C43" i="39"/>
  <c r="C42" i="39"/>
  <c r="C40" i="39"/>
  <c r="C44" i="39"/>
  <c r="P41" i="39"/>
  <c r="P42" i="39"/>
  <c r="P43" i="39"/>
  <c r="P40" i="39"/>
  <c r="P44" i="39"/>
  <c r="Q43" i="39"/>
  <c r="N41" i="39"/>
  <c r="E44" i="39"/>
  <c r="E40" i="39"/>
  <c r="E43" i="39"/>
  <c r="E41" i="39"/>
  <c r="E42" i="39"/>
  <c r="O46" i="39"/>
  <c r="O45" i="39"/>
  <c r="D44" i="39"/>
  <c r="D40" i="39"/>
  <c r="D41" i="39"/>
  <c r="D42" i="39"/>
  <c r="D43" i="39"/>
  <c r="F40" i="39"/>
  <c r="F44" i="39"/>
  <c r="F43" i="39"/>
  <c r="F42" i="39"/>
  <c r="F41" i="39"/>
  <c r="G43" i="39"/>
  <c r="G40" i="39"/>
  <c r="G44" i="39"/>
  <c r="G41" i="39"/>
  <c r="G42" i="39"/>
  <c r="H41" i="39"/>
  <c r="H42" i="39"/>
  <c r="H43" i="39"/>
  <c r="H40" i="39"/>
  <c r="H44" i="39"/>
  <c r="K42" i="39"/>
  <c r="I42" i="39"/>
  <c r="I43" i="39"/>
  <c r="I41" i="39"/>
  <c r="I44" i="39"/>
  <c r="I40" i="39"/>
  <c r="J44" i="39"/>
  <c r="K44" i="39"/>
  <c r="L41" i="39"/>
  <c r="L43" i="39"/>
  <c r="L40" i="39"/>
  <c r="L42" i="39"/>
  <c r="Q40" i="39"/>
  <c r="Q40" i="17"/>
  <c r="Q44" i="39"/>
  <c r="Q42" i="39"/>
  <c r="D39" i="15"/>
  <c r="O39" i="19"/>
  <c r="N44" i="39"/>
  <c r="Q41" i="39"/>
  <c r="M41" i="39"/>
  <c r="I39" i="2"/>
  <c r="M43" i="39"/>
  <c r="K41" i="39"/>
  <c r="M40" i="39"/>
  <c r="N40" i="39"/>
  <c r="K40" i="39"/>
  <c r="N39" i="15"/>
  <c r="K43" i="39"/>
  <c r="N43" i="39"/>
  <c r="E40" i="17"/>
  <c r="N42" i="39"/>
  <c r="I39" i="20"/>
  <c r="H39" i="21"/>
  <c r="E39" i="19"/>
  <c r="L45" i="39" l="1"/>
  <c r="L46" i="39"/>
  <c r="G45" i="39"/>
  <c r="G46" i="39"/>
  <c r="B45" i="39"/>
  <c r="B46" i="39"/>
  <c r="K45" i="39"/>
  <c r="K46" i="39"/>
  <c r="J45" i="39"/>
  <c r="J46" i="39"/>
  <c r="E45" i="39"/>
  <c r="E46" i="39"/>
  <c r="I46" i="39"/>
  <c r="I45" i="39"/>
  <c r="N45" i="39"/>
  <c r="N46" i="39"/>
  <c r="F46" i="39"/>
  <c r="F45" i="39"/>
  <c r="P46" i="39"/>
  <c r="P45" i="39"/>
  <c r="H45" i="39"/>
  <c r="H46" i="39"/>
  <c r="Q46" i="39"/>
  <c r="Q45" i="39"/>
  <c r="C45" i="39"/>
  <c r="C46" i="39"/>
  <c r="D46" i="39"/>
  <c r="D45" i="39"/>
</calcChain>
</file>

<file path=xl/sharedStrings.xml><?xml version="1.0" encoding="utf-8"?>
<sst xmlns="http://schemas.openxmlformats.org/spreadsheetml/2006/main" count="6351" uniqueCount="782">
  <si>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</si>
  <si>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</si>
  <si>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</si>
  <si>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</si>
  <si>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</si>
  <si>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</si>
  <si>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</si>
  <si>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</si>
  <si>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</si>
  <si>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</si>
  <si>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</si>
  <si>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</si>
  <si>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</si>
  <si>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</si>
  <si>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</si>
  <si>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</si>
  <si>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</si>
  <si>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</si>
  <si>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</si>
  <si>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</si>
  <si>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</si>
  <si>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</si>
  <si>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</si>
  <si>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</si>
  <si>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</si>
  <si>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</si>
  <si>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</si>
  <si>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</si>
  <si>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</si>
  <si>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</si>
  <si>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</si>
  <si>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</si>
  <si>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</si>
  <si>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</si>
  <si>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</si>
  <si>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</si>
  <si>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</si>
  <si>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</si>
  <si>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</si>
  <si>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</si>
  <si>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RK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</si>
  <si>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</si>
  <si>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</si>
  <si>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</si>
  <si>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</si>
  <si>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</si>
  <si>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</si>
  <si>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</si>
  <si>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</si>
  <si>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</si>
  <si>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</si>
  <si>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</si>
  <si>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</si>
  <si>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</si>
  <si>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</si>
  <si>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</si>
  <si>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</si>
  <si>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Bhatagaon, RAIPUR</t>
  </si>
  <si>
    <t>01-11-2022 01:00</t>
  </si>
  <si>
    <t>01-11-2022 02:00</t>
  </si>
  <si>
    <t>01-11-2022 03:00</t>
  </si>
  <si>
    <t>01-11-2022 04:00</t>
  </si>
  <si>
    <t>01-11-2022 05:00</t>
  </si>
  <si>
    <t>01-11-2022 06:00</t>
  </si>
  <si>
    <t>01-11-2022 07:00</t>
  </si>
  <si>
    <t>01-11-2022 08:00</t>
  </si>
  <si>
    <t>01-11-2022 09:00</t>
  </si>
  <si>
    <t>01-11-2022 10:00</t>
  </si>
  <si>
    <t>01-11-2022 11:00</t>
  </si>
  <si>
    <t>01-11-2022 12:00</t>
  </si>
  <si>
    <t>01-11-2022 13:00</t>
  </si>
  <si>
    <t>01-11-2022 14:00</t>
  </si>
  <si>
    <t>01-11-2022 15:00</t>
  </si>
  <si>
    <t>01-11-2022 16:00</t>
  </si>
  <si>
    <t>01-11-2022 17:00</t>
  </si>
  <si>
    <t>01-11-2022 18:00</t>
  </si>
  <si>
    <t>01-11-2022 19:00</t>
  </si>
  <si>
    <t>01-11-2022 20:00</t>
  </si>
  <si>
    <t>01-11-2022 21:00</t>
  </si>
  <si>
    <t>01-11-2022 22:00</t>
  </si>
  <si>
    <t>01-11-2022 23:00</t>
  </si>
  <si>
    <t>01-11-2022 24:00</t>
  </si>
  <si>
    <t>02-11-2022 01:00</t>
  </si>
  <si>
    <t>02-11-2022 02:00</t>
  </si>
  <si>
    <t>02-11-2022 03:00</t>
  </si>
  <si>
    <t>02-11-2022 04:00</t>
  </si>
  <si>
    <t>02-11-2022 05:00</t>
  </si>
  <si>
    <t>02-11-2022 06:00</t>
  </si>
  <si>
    <t>02-11-2022 07:00</t>
  </si>
  <si>
    <t>02-11-2022 08:00</t>
  </si>
  <si>
    <t>02-11-2022 09:00</t>
  </si>
  <si>
    <t>02-11-2022 10:00</t>
  </si>
  <si>
    <t>02-11-2022 11:00</t>
  </si>
  <si>
    <t>02-11-2022 12:00</t>
  </si>
  <si>
    <t>02-11-2022 13:00</t>
  </si>
  <si>
    <t>02-11-2022 14:00</t>
  </si>
  <si>
    <t>02-11-2022 15:00</t>
  </si>
  <si>
    <t>02-11-2022 16:00</t>
  </si>
  <si>
    <t>02-11-2022 17:00</t>
  </si>
  <si>
    <t>02-11-2022 18:00</t>
  </si>
  <si>
    <t>02-11-2022 19:00</t>
  </si>
  <si>
    <t>02-11-2022 20:00</t>
  </si>
  <si>
    <t>02-11-2022 21:00</t>
  </si>
  <si>
    <t>02-11-2022 22:00</t>
  </si>
  <si>
    <t>02-11-2022 23:00</t>
  </si>
  <si>
    <t>02-11-2022 24:00</t>
  </si>
  <si>
    <t>03-11-2022 01:00</t>
  </si>
  <si>
    <t>03-11-2022 02:00</t>
  </si>
  <si>
    <t>03-11-2022 03:00</t>
  </si>
  <si>
    <t>03-11-2022 04:00</t>
  </si>
  <si>
    <t>03-11-2022 05:00</t>
  </si>
  <si>
    <t>03-11-2022 06:00</t>
  </si>
  <si>
    <t>03-11-2022 07:00</t>
  </si>
  <si>
    <t>03-11-2022 08:00</t>
  </si>
  <si>
    <t>03-11-2022 09:00</t>
  </si>
  <si>
    <t>03-11-2022 10:00</t>
  </si>
  <si>
    <t>03-11-2022 11:00</t>
  </si>
  <si>
    <t>03-11-2022 12:00</t>
  </si>
  <si>
    <t>03-11-2022 13:00</t>
  </si>
  <si>
    <t>03-11-2022 14:00</t>
  </si>
  <si>
    <t>03-11-2022 15:00</t>
  </si>
  <si>
    <t>03-11-2022 16:00</t>
  </si>
  <si>
    <t>03-11-2022 17:00</t>
  </si>
  <si>
    <t>03-11-2022 18:00</t>
  </si>
  <si>
    <t>03-11-2022 19:00</t>
  </si>
  <si>
    <t>03-11-2022 20:00</t>
  </si>
  <si>
    <t>03-11-2022 21:00</t>
  </si>
  <si>
    <t>03-11-2022 22:00</t>
  </si>
  <si>
    <t>03-11-2022 23:00</t>
  </si>
  <si>
    <t>03-11-2022 24:00</t>
  </si>
  <si>
    <t>04-11-2022 01:00</t>
  </si>
  <si>
    <t>04-11-2022 02:00</t>
  </si>
  <si>
    <t>04-11-2022 03:00</t>
  </si>
  <si>
    <t>04-11-2022 04:00</t>
  </si>
  <si>
    <t>04-11-2022 05:00</t>
  </si>
  <si>
    <t>04-11-2022 06:00</t>
  </si>
  <si>
    <t>04-11-2022 07:00</t>
  </si>
  <si>
    <t>04-11-2022 08:00</t>
  </si>
  <si>
    <t>04-11-2022 09:00</t>
  </si>
  <si>
    <t>04-11-2022 10:00</t>
  </si>
  <si>
    <t>04-11-2022 11:00</t>
  </si>
  <si>
    <t>04-11-2022 12:00</t>
  </si>
  <si>
    <t>04-11-2022 13:00</t>
  </si>
  <si>
    <t>04-11-2022 14:00</t>
  </si>
  <si>
    <t>04-11-2022 15:00</t>
  </si>
  <si>
    <t>04-11-2022 16:00</t>
  </si>
  <si>
    <t>04-11-2022 17:00</t>
  </si>
  <si>
    <t>04-11-2022 18:00</t>
  </si>
  <si>
    <t>04-11-2022 19:00</t>
  </si>
  <si>
    <t>04-11-2022 20:00</t>
  </si>
  <si>
    <t>04-11-2022 21:00</t>
  </si>
  <si>
    <t>04-11-2022 22:00</t>
  </si>
  <si>
    <t>04-11-2022 23:00</t>
  </si>
  <si>
    <t>04-11-2022 24:00</t>
  </si>
  <si>
    <t>05-11-2022 01:00</t>
  </si>
  <si>
    <t>05-11-2022 02:00</t>
  </si>
  <si>
    <t>05-11-2022 03:00</t>
  </si>
  <si>
    <t>05-11-2022 04:00</t>
  </si>
  <si>
    <t>05-11-2022 05:00</t>
  </si>
  <si>
    <t>05-11-2022 06:00</t>
  </si>
  <si>
    <t>05-11-2022 07:00</t>
  </si>
  <si>
    <t>05-11-2022 08:00</t>
  </si>
  <si>
    <t>05-11-2022 09:00</t>
  </si>
  <si>
    <t>05-11-2022 10:00</t>
  </si>
  <si>
    <t>05-11-2022 11:00</t>
  </si>
  <si>
    <t>05-11-2022 12:00</t>
  </si>
  <si>
    <t>05-11-2022 13:00</t>
  </si>
  <si>
    <t>05-11-2022 14:00</t>
  </si>
  <si>
    <t>05-11-2022 15:00</t>
  </si>
  <si>
    <t>05-11-2022 16:00</t>
  </si>
  <si>
    <t>05-11-2022 17:00</t>
  </si>
  <si>
    <t>05-11-2022 18:00</t>
  </si>
  <si>
    <t>05-11-2022 19:00</t>
  </si>
  <si>
    <t>05-11-2022 20:00</t>
  </si>
  <si>
    <t>05-11-2022 21:00</t>
  </si>
  <si>
    <t>05-11-2022 22:00</t>
  </si>
  <si>
    <t>05-11-2022 23:00</t>
  </si>
  <si>
    <t>05-11-2022 24:00</t>
  </si>
  <si>
    <t>06-11-2022 01:00</t>
  </si>
  <si>
    <t>06-11-2022 02:00</t>
  </si>
  <si>
    <t>06-11-2022 03:00</t>
  </si>
  <si>
    <t>06-11-2022 04:00</t>
  </si>
  <si>
    <t>06-11-2022 05:00</t>
  </si>
  <si>
    <t>06-11-2022 06:00</t>
  </si>
  <si>
    <t>06-11-2022 07:00</t>
  </si>
  <si>
    <t>06-11-2022 08:00</t>
  </si>
  <si>
    <t>06-11-2022 09:00</t>
  </si>
  <si>
    <t>06-11-2022 10:00</t>
  </si>
  <si>
    <t>06-11-2022 11:00</t>
  </si>
  <si>
    <t>06-11-2022 12:00</t>
  </si>
  <si>
    <t>06-11-2022 13:00</t>
  </si>
  <si>
    <t>06-11-2022 14:00</t>
  </si>
  <si>
    <t>06-11-2022 15:00</t>
  </si>
  <si>
    <t>06-11-2022 16:00</t>
  </si>
  <si>
    <t>06-11-2022 17:00</t>
  </si>
  <si>
    <t>06-11-2022 18:00</t>
  </si>
  <si>
    <t>06-11-2022 19:00</t>
  </si>
  <si>
    <t>06-11-2022 20:00</t>
  </si>
  <si>
    <t>06-11-2022 21:00</t>
  </si>
  <si>
    <t>06-11-2022 22:00</t>
  </si>
  <si>
    <t>06-11-2022 23:00</t>
  </si>
  <si>
    <t>06-11-2022 24:00</t>
  </si>
  <si>
    <t>07-11-2022 01:00</t>
  </si>
  <si>
    <t>07-11-2022 02:00</t>
  </si>
  <si>
    <t>07-11-2022 03:00</t>
  </si>
  <si>
    <t>07-11-2022 04:00</t>
  </si>
  <si>
    <t>07-11-2022 05:00</t>
  </si>
  <si>
    <t>07-11-2022 06:00</t>
  </si>
  <si>
    <t>07-11-2022 07:00</t>
  </si>
  <si>
    <t>07-11-2022 08:00</t>
  </si>
  <si>
    <t>07-11-2022 09:00</t>
  </si>
  <si>
    <t>07-11-2022 10:00</t>
  </si>
  <si>
    <t>07-11-2022 11:00</t>
  </si>
  <si>
    <t>07-11-2022 12:00</t>
  </si>
  <si>
    <t>07-11-2022 13:00</t>
  </si>
  <si>
    <t>07-11-2022 14:00</t>
  </si>
  <si>
    <t>07-11-2022 15:00</t>
  </si>
  <si>
    <t>07-11-2022 16:00</t>
  </si>
  <si>
    <t>07-11-2022 17:00</t>
  </si>
  <si>
    <t>07-11-2022 18:00</t>
  </si>
  <si>
    <t>07-11-2022 19:00</t>
  </si>
  <si>
    <t>07-11-2022 20:00</t>
  </si>
  <si>
    <t>07-11-2022 21:00</t>
  </si>
  <si>
    <t>07-11-2022 22:00</t>
  </si>
  <si>
    <t>07-11-2022 23:00</t>
  </si>
  <si>
    <t>07-11-2022 24:00</t>
  </si>
  <si>
    <t>08-11-2022 01:00</t>
  </si>
  <si>
    <t>08-11-2022 02:00</t>
  </si>
  <si>
    <t>08-11-2022 03:00</t>
  </si>
  <si>
    <t>08-11-2022 04:00</t>
  </si>
  <si>
    <t>08-11-2022 05:00</t>
  </si>
  <si>
    <t>08-11-2022 06:00</t>
  </si>
  <si>
    <t>08-11-2022 07:00</t>
  </si>
  <si>
    <t>08-11-2022 08:00</t>
  </si>
  <si>
    <t>08-11-2022 09:00</t>
  </si>
  <si>
    <t>08-11-2022 10:00</t>
  </si>
  <si>
    <t>08-11-2022 11:00</t>
  </si>
  <si>
    <t>08-11-2022 12:00</t>
  </si>
  <si>
    <t>08-11-2022 13:00</t>
  </si>
  <si>
    <t>08-11-2022 14:00</t>
  </si>
  <si>
    <t>08-11-2022 15:00</t>
  </si>
  <si>
    <t>08-11-2022 16:00</t>
  </si>
  <si>
    <t>08-11-2022 17:00</t>
  </si>
  <si>
    <t>08-11-2022 18:00</t>
  </si>
  <si>
    <t>08-11-2022 19:00</t>
  </si>
  <si>
    <t>08-11-2022 20:00</t>
  </si>
  <si>
    <t>08-11-2022 21:00</t>
  </si>
  <si>
    <t>08-11-2022 22:00</t>
  </si>
  <si>
    <t>08-11-2022 23:00</t>
  </si>
  <si>
    <t>08-11-2022 24:00</t>
  </si>
  <si>
    <t>09-11-2022 01:00</t>
  </si>
  <si>
    <t>09-11-2022 02:00</t>
  </si>
  <si>
    <t>09-11-2022 03:00</t>
  </si>
  <si>
    <t>09-11-2022 04:00</t>
  </si>
  <si>
    <t>09-11-2022 05:00</t>
  </si>
  <si>
    <t>09-11-2022 06:00</t>
  </si>
  <si>
    <t>09-11-2022 07:00</t>
  </si>
  <si>
    <t>09-11-2022 08:00</t>
  </si>
  <si>
    <t>09-11-2022 09:00</t>
  </si>
  <si>
    <t>09-11-2022 10:00</t>
  </si>
  <si>
    <t>09-11-2022 11:00</t>
  </si>
  <si>
    <t>09-11-2022 12:00</t>
  </si>
  <si>
    <t>09-11-2022 13:00</t>
  </si>
  <si>
    <t>09-11-2022 14:00</t>
  </si>
  <si>
    <t>09-11-2022 15:00</t>
  </si>
  <si>
    <t>09-11-2022 16:00</t>
  </si>
  <si>
    <t>09-11-2022 17:00</t>
  </si>
  <si>
    <t>09-11-2022 18:00</t>
  </si>
  <si>
    <t>09-11-2022 19:00</t>
  </si>
  <si>
    <t>09-11-2022 20:00</t>
  </si>
  <si>
    <t>09-11-2022 21:00</t>
  </si>
  <si>
    <t>09-11-2022 22:00</t>
  </si>
  <si>
    <t>09-11-2022 23:00</t>
  </si>
  <si>
    <t>09-11-2022 24:00</t>
  </si>
  <si>
    <t>10-11-2022 01:00</t>
  </si>
  <si>
    <t>10-11-2022 02:00</t>
  </si>
  <si>
    <t>10-11-2022 03:00</t>
  </si>
  <si>
    <t>10-11-2022 04:00</t>
  </si>
  <si>
    <t>10-11-2022 05:00</t>
  </si>
  <si>
    <t>10-11-2022 06:00</t>
  </si>
  <si>
    <t>10-11-2022 07:00</t>
  </si>
  <si>
    <t>10-11-2022 08:00</t>
  </si>
  <si>
    <t>10-11-2022 09:00</t>
  </si>
  <si>
    <t>10-11-2022 10:00</t>
  </si>
  <si>
    <t>10-11-2022 11:00</t>
  </si>
  <si>
    <t>10-11-2022 12:00</t>
  </si>
  <si>
    <t>10-11-2022 13:00</t>
  </si>
  <si>
    <t>10-11-2022 14:00</t>
  </si>
  <si>
    <t>10-11-2022 15:00</t>
  </si>
  <si>
    <t>10-11-2022 16:00</t>
  </si>
  <si>
    <t>10-11-2022 17:00</t>
  </si>
  <si>
    <t>10-11-2022 18:00</t>
  </si>
  <si>
    <t>10-11-2022 19:00</t>
  </si>
  <si>
    <t>10-11-2022 20:00</t>
  </si>
  <si>
    <t>10-11-2022 21:00</t>
  </si>
  <si>
    <t>10-11-2022 22:00</t>
  </si>
  <si>
    <t>10-11-2022 23:00</t>
  </si>
  <si>
    <t>10-11-2022 24:00</t>
  </si>
  <si>
    <t>T&amp;H SENSOR WAS FAULTY</t>
  </si>
  <si>
    <t>RAHUL</t>
  </si>
  <si>
    <t>11-11-2022 01:00</t>
  </si>
  <si>
    <t>11-11-2022 02:00</t>
  </si>
  <si>
    <t>11-11-2022 03:00</t>
  </si>
  <si>
    <t>11-11-2022 04:00</t>
  </si>
  <si>
    <t>11-11-2022 05:00</t>
  </si>
  <si>
    <t>11-11-2022 06:00</t>
  </si>
  <si>
    <t>11-11-2022 07:00</t>
  </si>
  <si>
    <t>11-11-2022 08:00</t>
  </si>
  <si>
    <t>11-11-2022 09:00</t>
  </si>
  <si>
    <t>11-11-2022 10:00</t>
  </si>
  <si>
    <t>11-11-2022 11:00</t>
  </si>
  <si>
    <t>11-11-2022 12:00</t>
  </si>
  <si>
    <t>11-11-2022 13:00</t>
  </si>
  <si>
    <t>11-11-2022 14:00</t>
  </si>
  <si>
    <t>11-11-2022 15:00</t>
  </si>
  <si>
    <t>11-11-2022 16:00</t>
  </si>
  <si>
    <t>11-11-2022 17:00</t>
  </si>
  <si>
    <t>11-11-2022 18:00</t>
  </si>
  <si>
    <t>11-11-2022 19:00</t>
  </si>
  <si>
    <t>11-11-2022 20:00</t>
  </si>
  <si>
    <t>11-11-2022 21:00</t>
  </si>
  <si>
    <t>11-11-2022 22:00</t>
  </si>
  <si>
    <t>11-11-2022 23:00</t>
  </si>
  <si>
    <t>11-11-2022 24:00</t>
  </si>
  <si>
    <t>T&amp;H SENOR WAS FAULTY</t>
  </si>
  <si>
    <t>12-11-2022 01:00</t>
  </si>
  <si>
    <t>12-11-2022 02:00</t>
  </si>
  <si>
    <t>12-11-2022 03:00</t>
  </si>
  <si>
    <t>12-11-2022 04:00</t>
  </si>
  <si>
    <t>12-11-2022 05:00</t>
  </si>
  <si>
    <t>12-11-2022 06:00</t>
  </si>
  <si>
    <t>12-11-2022 07:00</t>
  </si>
  <si>
    <t>12-11-2022 08:00</t>
  </si>
  <si>
    <t>12-11-2022 09:00</t>
  </si>
  <si>
    <t>12-11-2022 10:00</t>
  </si>
  <si>
    <t>12-11-2022 11:00</t>
  </si>
  <si>
    <t>12-11-2022 12:00</t>
  </si>
  <si>
    <t>12-11-2022 13:00</t>
  </si>
  <si>
    <t>12-11-2022 14:00</t>
  </si>
  <si>
    <t>12-11-2022 15:00</t>
  </si>
  <si>
    <t>12-11-2022 16:00</t>
  </si>
  <si>
    <t>12-11-2022 17:00</t>
  </si>
  <si>
    <t>12-11-2022 18:00</t>
  </si>
  <si>
    <t>12-11-2022 19:00</t>
  </si>
  <si>
    <t>12-11-2022 20:00</t>
  </si>
  <si>
    <t>12-11-2022 21:00</t>
  </si>
  <si>
    <t>12-11-2022 22:00</t>
  </si>
  <si>
    <t>12-11-2022 23:00</t>
  </si>
  <si>
    <t>12-11-2022 24:00</t>
  </si>
  <si>
    <t>T7H SENSOR WAS FAULTY</t>
  </si>
  <si>
    <t>13-11-2022 01:00</t>
  </si>
  <si>
    <t>13-11-2022 02:00</t>
  </si>
  <si>
    <t>13-11-2022 03:00</t>
  </si>
  <si>
    <t>13-11-2022 04:00</t>
  </si>
  <si>
    <t>13-11-2022 05:00</t>
  </si>
  <si>
    <t>13-11-2022 06:00</t>
  </si>
  <si>
    <t>13-11-2022 07:00</t>
  </si>
  <si>
    <t>13-11-2022 08:00</t>
  </si>
  <si>
    <t>13-11-2022 09:00</t>
  </si>
  <si>
    <t>13-11-2022 10:00</t>
  </si>
  <si>
    <t>13-11-2022 11:00</t>
  </si>
  <si>
    <t>13-11-2022 12:00</t>
  </si>
  <si>
    <t>13-11-2022 13:00</t>
  </si>
  <si>
    <t>13-11-2022 14:00</t>
  </si>
  <si>
    <t>13-11-2022 15:00</t>
  </si>
  <si>
    <t>13-11-2022 16:00</t>
  </si>
  <si>
    <t>13-11-2022 17:00</t>
  </si>
  <si>
    <t>13-11-2022 18:00</t>
  </si>
  <si>
    <t>13-11-2022 19:00</t>
  </si>
  <si>
    <t>13-11-2022 20:00</t>
  </si>
  <si>
    <t>13-11-2022 21:00</t>
  </si>
  <si>
    <t>13-11-2022 22:00</t>
  </si>
  <si>
    <t>13-11-2022 23:00</t>
  </si>
  <si>
    <t>13-11-2022 24:00</t>
  </si>
  <si>
    <t>14-11-2022 01:00</t>
  </si>
  <si>
    <t>14-11-2022 02:00</t>
  </si>
  <si>
    <t>14-11-2022 03:00</t>
  </si>
  <si>
    <t>14-11-2022 04:00</t>
  </si>
  <si>
    <t>14-11-2022 05:00</t>
  </si>
  <si>
    <t>14-11-2022 06:00</t>
  </si>
  <si>
    <t>14-11-2022 07:00</t>
  </si>
  <si>
    <t>14-11-2022 08:00</t>
  </si>
  <si>
    <t>14-11-2022 09:00</t>
  </si>
  <si>
    <t>14-11-2022 10:00</t>
  </si>
  <si>
    <t>14-11-2022 11:00</t>
  </si>
  <si>
    <t>14-11-2022 12:00</t>
  </si>
  <si>
    <t>14-11-2022 13:00</t>
  </si>
  <si>
    <t>14-11-2022 14:00</t>
  </si>
  <si>
    <t>14-11-2022 15:00</t>
  </si>
  <si>
    <t>14-11-2022 16:00</t>
  </si>
  <si>
    <t>14-11-2022 17:00</t>
  </si>
  <si>
    <t>14-11-2022 18:00</t>
  </si>
  <si>
    <t>14-11-2022 19:00</t>
  </si>
  <si>
    <t>14-11-2022 20:00</t>
  </si>
  <si>
    <t>14-11-2022 21:00</t>
  </si>
  <si>
    <t>14-11-2022 22:00</t>
  </si>
  <si>
    <t>14-11-2022 23:00</t>
  </si>
  <si>
    <t>14-11-2022 24:00</t>
  </si>
  <si>
    <t>15-11-2022 01:00</t>
  </si>
  <si>
    <t>15-11-2022 02:00</t>
  </si>
  <si>
    <t>15-11-2022 03:00</t>
  </si>
  <si>
    <t>15-11-2022 04:00</t>
  </si>
  <si>
    <t>15-11-2022 05:00</t>
  </si>
  <si>
    <t>15-11-2022 06:00</t>
  </si>
  <si>
    <t>15-11-2022 07:00</t>
  </si>
  <si>
    <t>15-11-2022 08:00</t>
  </si>
  <si>
    <t>15-11-2022 09:00</t>
  </si>
  <si>
    <t>15-11-2022 10:00</t>
  </si>
  <si>
    <t>15-11-2022 11:00</t>
  </si>
  <si>
    <t>15-11-2022 12:00</t>
  </si>
  <si>
    <t>15-11-2022 13:00</t>
  </si>
  <si>
    <t>15-11-2022 14:00</t>
  </si>
  <si>
    <t>15-11-2022 15:00</t>
  </si>
  <si>
    <t>15-11-2022 16:00</t>
  </si>
  <si>
    <t>15-11-2022 17:00</t>
  </si>
  <si>
    <t>15-11-2022 18:00</t>
  </si>
  <si>
    <t>15-11-2022 19:00</t>
  </si>
  <si>
    <t>15-11-2022 20:00</t>
  </si>
  <si>
    <t>15-11-2022 21:00</t>
  </si>
  <si>
    <t>15-11-2022 22:00</t>
  </si>
  <si>
    <t>15-11-2022 23:00</t>
  </si>
  <si>
    <t>15-11-2022 24:00</t>
  </si>
  <si>
    <t>16-11-2022 01:00</t>
  </si>
  <si>
    <t>16-11-2022 02:00</t>
  </si>
  <si>
    <t>16-11-2022 03:00</t>
  </si>
  <si>
    <t>16-11-2022 04:00</t>
  </si>
  <si>
    <t>16-11-2022 05:00</t>
  </si>
  <si>
    <t>16-11-2022 06:00</t>
  </si>
  <si>
    <t>16-11-2022 07:00</t>
  </si>
  <si>
    <t>16-11-2022 08:00</t>
  </si>
  <si>
    <t>16-11-2022 09:00</t>
  </si>
  <si>
    <t>16-11-2022 10:00</t>
  </si>
  <si>
    <t>16-11-2022 11:00</t>
  </si>
  <si>
    <t>16-11-2022 12:00</t>
  </si>
  <si>
    <t>16-11-2022 13:00</t>
  </si>
  <si>
    <t>16-11-2022 14:00</t>
  </si>
  <si>
    <t>16-11-2022 15:00</t>
  </si>
  <si>
    <t>16-11-2022 16:00</t>
  </si>
  <si>
    <t>16-11-2022 17:00</t>
  </si>
  <si>
    <t>16-11-2022 18:00</t>
  </si>
  <si>
    <t>16-11-2022 19:00</t>
  </si>
  <si>
    <t>16-11-2022 20:00</t>
  </si>
  <si>
    <t>16-11-2022 21:00</t>
  </si>
  <si>
    <t>16-11-2022 22:00</t>
  </si>
  <si>
    <t>16-11-2022 23:00</t>
  </si>
  <si>
    <t>16-11-2022 24:00</t>
  </si>
  <si>
    <t>17-11-2022 01:00</t>
  </si>
  <si>
    <t>17-11-2022 02:00</t>
  </si>
  <si>
    <t>17-11-2022 03:00</t>
  </si>
  <si>
    <t>17-11-2022 04:00</t>
  </si>
  <si>
    <t>17-11-2022 05:00</t>
  </si>
  <si>
    <t>17-11-2022 06:00</t>
  </si>
  <si>
    <t>17-11-2022 07:00</t>
  </si>
  <si>
    <t>17-11-2022 08:00</t>
  </si>
  <si>
    <t>17-11-2022 09:00</t>
  </si>
  <si>
    <t>17-11-2022 10:00</t>
  </si>
  <si>
    <t>17-11-2022 11:00</t>
  </si>
  <si>
    <t>17-11-2022 12:00</t>
  </si>
  <si>
    <t>17-11-2022 13:00</t>
  </si>
  <si>
    <t>17-11-2022 14:00</t>
  </si>
  <si>
    <t>17-11-2022 15:00</t>
  </si>
  <si>
    <t>17-11-2022 16:00</t>
  </si>
  <si>
    <t>17-11-2022 17:00</t>
  </si>
  <si>
    <t>17-11-2022 18:00</t>
  </si>
  <si>
    <t>17-11-2022 19:00</t>
  </si>
  <si>
    <t>17-11-2022 20:00</t>
  </si>
  <si>
    <t>17-11-2022 21:00</t>
  </si>
  <si>
    <t>17-11-2022 22:00</t>
  </si>
  <si>
    <t>17-11-2022 23:00</t>
  </si>
  <si>
    <t>17-11-2022 24:00</t>
  </si>
  <si>
    <t>18-11-2022 01:00</t>
  </si>
  <si>
    <t>18-11-2022 02:00</t>
  </si>
  <si>
    <t>18-11-2022 03:00</t>
  </si>
  <si>
    <t>18-11-2022 04:00</t>
  </si>
  <si>
    <t>18-11-2022 05:00</t>
  </si>
  <si>
    <t>18-11-2022 06:00</t>
  </si>
  <si>
    <t>18-11-2022 07:00</t>
  </si>
  <si>
    <t>18-11-2022 08:00</t>
  </si>
  <si>
    <t>18-11-2022 09:00</t>
  </si>
  <si>
    <t>18-11-2022 10:00</t>
  </si>
  <si>
    <t>18-11-2022 11:00</t>
  </si>
  <si>
    <t>18-11-2022 12:00</t>
  </si>
  <si>
    <t>18-11-2022 13:00</t>
  </si>
  <si>
    <t>18-11-2022 14:00</t>
  </si>
  <si>
    <t>18-11-2022 15:00</t>
  </si>
  <si>
    <t>18-11-2022 16:00</t>
  </si>
  <si>
    <t>18-11-2022 17:00</t>
  </si>
  <si>
    <t>18-11-2022 18:00</t>
  </si>
  <si>
    <t>18-11-2022 19:00</t>
  </si>
  <si>
    <t>18-11-2022 20:00</t>
  </si>
  <si>
    <t>18-11-2022 21:00</t>
  </si>
  <si>
    <t>18-11-2022 22:00</t>
  </si>
  <si>
    <t>18-11-2022 23:00</t>
  </si>
  <si>
    <t>18-11-2022 24:00</t>
  </si>
  <si>
    <t>19-11-2022 01:00</t>
  </si>
  <si>
    <t>19-11-2022 02:00</t>
  </si>
  <si>
    <t>19-11-2022 03:00</t>
  </si>
  <si>
    <t>19-11-2022 04:00</t>
  </si>
  <si>
    <t>19-11-2022 05:00</t>
  </si>
  <si>
    <t>19-11-2022 06:00</t>
  </si>
  <si>
    <t>19-11-2022 07:00</t>
  </si>
  <si>
    <t>19-11-2022 08:00</t>
  </si>
  <si>
    <t>19-11-2022 09:00</t>
  </si>
  <si>
    <t>19-11-2022 10:00</t>
  </si>
  <si>
    <t>19-11-2022 11:00</t>
  </si>
  <si>
    <t>19-11-2022 12:00</t>
  </si>
  <si>
    <t>19-11-2022 13:00</t>
  </si>
  <si>
    <t>19-11-2022 14:00</t>
  </si>
  <si>
    <t>19-11-2022 15:00</t>
  </si>
  <si>
    <t>19-11-2022 16:00</t>
  </si>
  <si>
    <t>19-11-2022 17:00</t>
  </si>
  <si>
    <t>19-11-2022 18:00</t>
  </si>
  <si>
    <t>19-11-2022 19:00</t>
  </si>
  <si>
    <t>19-11-2022 20:00</t>
  </si>
  <si>
    <t>19-11-2022 21:00</t>
  </si>
  <si>
    <t>19-11-2022 22:00</t>
  </si>
  <si>
    <t>19-11-2022 23:00</t>
  </si>
  <si>
    <t>19-11-2022 24:00</t>
  </si>
  <si>
    <t>20-11-2022 01:00</t>
  </si>
  <si>
    <t>20-11-2022 02:00</t>
  </si>
  <si>
    <t>20-11-2022 03:00</t>
  </si>
  <si>
    <t>20-11-2022 04:00</t>
  </si>
  <si>
    <t>20-11-2022 05:00</t>
  </si>
  <si>
    <t>20-11-2022 06:00</t>
  </si>
  <si>
    <t>20-11-2022 07:00</t>
  </si>
  <si>
    <t>20-11-2022 08:00</t>
  </si>
  <si>
    <t>20-11-2022 09:00</t>
  </si>
  <si>
    <t>20-11-2022 10:00</t>
  </si>
  <si>
    <t>20-11-2022 11:00</t>
  </si>
  <si>
    <t>20-11-2022 12:00</t>
  </si>
  <si>
    <t>20-11-2022 13:00</t>
  </si>
  <si>
    <t>20-11-2022 14:00</t>
  </si>
  <si>
    <t>20-11-2022 15:00</t>
  </si>
  <si>
    <t>20-11-2022 16:00</t>
  </si>
  <si>
    <t>20-11-2022 17:00</t>
  </si>
  <si>
    <t>20-11-2022 18:00</t>
  </si>
  <si>
    <t>20-11-2022 19:00</t>
  </si>
  <si>
    <t>20-11-2022 20:00</t>
  </si>
  <si>
    <t>20-11-2022 21:00</t>
  </si>
  <si>
    <t>20-11-2022 22:00</t>
  </si>
  <si>
    <t>20-11-2022 23:00</t>
  </si>
  <si>
    <t>20-11-2022 24:00</t>
  </si>
  <si>
    <t>21-11-2022 01:00</t>
  </si>
  <si>
    <t>21-11-2022 02:00</t>
  </si>
  <si>
    <t>21-11-2022 03:00</t>
  </si>
  <si>
    <t>21-11-2022 04:00</t>
  </si>
  <si>
    <t>21-11-2022 05:00</t>
  </si>
  <si>
    <t>21-11-2022 06:00</t>
  </si>
  <si>
    <t>21-11-2022 07:00</t>
  </si>
  <si>
    <t>21-11-2022 08:00</t>
  </si>
  <si>
    <t>21-11-2022 09:00</t>
  </si>
  <si>
    <t>21-11-2022 10:00</t>
  </si>
  <si>
    <t>21-11-2022 11:00</t>
  </si>
  <si>
    <t>21-11-2022 12:00</t>
  </si>
  <si>
    <t>21-11-2022 13:00</t>
  </si>
  <si>
    <t>21-11-2022 14:00</t>
  </si>
  <si>
    <t>21-11-2022 15:00</t>
  </si>
  <si>
    <t>21-11-2022 16:00</t>
  </si>
  <si>
    <t>21-11-2022 17:00</t>
  </si>
  <si>
    <t>21-11-2022 18:00</t>
  </si>
  <si>
    <t>21-11-2022 19:00</t>
  </si>
  <si>
    <t>21-11-2022 20:00</t>
  </si>
  <si>
    <t>21-11-2022 21:00</t>
  </si>
  <si>
    <t>21-11-2022 22:00</t>
  </si>
  <si>
    <t>21-11-2022 23:00</t>
  </si>
  <si>
    <t>21-11-2022 24:00</t>
  </si>
  <si>
    <t>22-11-2022 01:00</t>
  </si>
  <si>
    <t>22-11-2022 02:00</t>
  </si>
  <si>
    <t>22-11-2022 03:00</t>
  </si>
  <si>
    <t>22-11-2022 04:00</t>
  </si>
  <si>
    <t>22-11-2022 05:00</t>
  </si>
  <si>
    <t>22-11-2022 06:00</t>
  </si>
  <si>
    <t>22-11-2022 07:00</t>
  </si>
  <si>
    <t>22-11-2022 08:00</t>
  </si>
  <si>
    <t>22-11-2022 09:00</t>
  </si>
  <si>
    <t>22-11-2022 10:00</t>
  </si>
  <si>
    <t>22-11-2022 11:00</t>
  </si>
  <si>
    <t>22-11-2022 12:00</t>
  </si>
  <si>
    <t>22-11-2022 13:00</t>
  </si>
  <si>
    <t>22-11-2022 14:00</t>
  </si>
  <si>
    <t>22-11-2022 15:00</t>
  </si>
  <si>
    <t>22-11-2022 16:00</t>
  </si>
  <si>
    <t>22-11-2022 17:00</t>
  </si>
  <si>
    <t>22-11-2022 18:00</t>
  </si>
  <si>
    <t>22-11-2022 19:00</t>
  </si>
  <si>
    <t>22-11-2022 20:00</t>
  </si>
  <si>
    <t>22-11-2022 21:00</t>
  </si>
  <si>
    <t>22-11-2022 22:00</t>
  </si>
  <si>
    <t>22-11-2022 23:00</t>
  </si>
  <si>
    <t>22-11-2022 24:00</t>
  </si>
  <si>
    <t>23-11-2022 01:00</t>
  </si>
  <si>
    <t>23-11-2022 02:00</t>
  </si>
  <si>
    <t>23-11-2022 03:00</t>
  </si>
  <si>
    <t>23-11-2022 04:00</t>
  </si>
  <si>
    <t>23-11-2022 05:00</t>
  </si>
  <si>
    <t>23-11-2022 06:00</t>
  </si>
  <si>
    <t>23-11-2022 07:00</t>
  </si>
  <si>
    <t>23-11-2022 08:00</t>
  </si>
  <si>
    <t>23-11-2022 09:00</t>
  </si>
  <si>
    <t>23-11-2022 10:00</t>
  </si>
  <si>
    <t>23-11-2022 11:00</t>
  </si>
  <si>
    <t>23-11-2022 12:00</t>
  </si>
  <si>
    <t>23-11-2022 13:00</t>
  </si>
  <si>
    <t>23-11-2022 14:00</t>
  </si>
  <si>
    <t>23-11-2022 15:00</t>
  </si>
  <si>
    <t>23-11-2022 16:00</t>
  </si>
  <si>
    <t>23-11-2022 17:00</t>
  </si>
  <si>
    <t>23-11-2022 18:00</t>
  </si>
  <si>
    <t>23-11-2022 19:00</t>
  </si>
  <si>
    <t>23-11-2022 20:00</t>
  </si>
  <si>
    <t>23-11-2022 21:00</t>
  </si>
  <si>
    <t>23-11-2022 22:00</t>
  </si>
  <si>
    <t>23-11-2022 23:00</t>
  </si>
  <si>
    <t>23-11-2022 24:00</t>
  </si>
  <si>
    <t>24-11-2022 01:00</t>
  </si>
  <si>
    <t>24-11-2022 02:00</t>
  </si>
  <si>
    <t>24-11-2022 03:00</t>
  </si>
  <si>
    <t>24-11-2022 04:00</t>
  </si>
  <si>
    <t>24-11-2022 05:00</t>
  </si>
  <si>
    <t>24-11-2022 06:00</t>
  </si>
  <si>
    <t>24-11-2022 07:00</t>
  </si>
  <si>
    <t>24-11-2022 08:00</t>
  </si>
  <si>
    <t>24-11-2022 09:00</t>
  </si>
  <si>
    <t>24-11-2022 10:00</t>
  </si>
  <si>
    <t>24-11-2022 11:00</t>
  </si>
  <si>
    <t>24-11-2022 12:00</t>
  </si>
  <si>
    <t>24-11-2022 13:00</t>
  </si>
  <si>
    <t>24-11-2022 14:00</t>
  </si>
  <si>
    <t>24-11-2022 15:00</t>
  </si>
  <si>
    <t>24-11-2022 16:00</t>
  </si>
  <si>
    <t>24-11-2022 17:00</t>
  </si>
  <si>
    <t>24-11-2022 18:00</t>
  </si>
  <si>
    <t>24-11-2022 19:00</t>
  </si>
  <si>
    <t>24-11-2022 20:00</t>
  </si>
  <si>
    <t>24-11-2022 21:00</t>
  </si>
  <si>
    <t>24-11-2022 22:00</t>
  </si>
  <si>
    <t>24-11-2022 23:00</t>
  </si>
  <si>
    <t>24-11-2022 24:00</t>
  </si>
  <si>
    <t>25-11-2022 01:00</t>
  </si>
  <si>
    <t>25-11-2022 02:00</t>
  </si>
  <si>
    <t>25-11-2022 03:00</t>
  </si>
  <si>
    <t>25-11-2022 04:00</t>
  </si>
  <si>
    <t>25-11-2022 05:00</t>
  </si>
  <si>
    <t>25-11-2022 06:00</t>
  </si>
  <si>
    <t>25-11-2022 07:00</t>
  </si>
  <si>
    <t>25-11-2022 08:00</t>
  </si>
  <si>
    <t>25-11-2022 09:00</t>
  </si>
  <si>
    <t>25-11-2022 10:00</t>
  </si>
  <si>
    <t>25-11-2022 11:00</t>
  </si>
  <si>
    <t>25-11-2022 12:00</t>
  </si>
  <si>
    <t>25-11-2022 13:00</t>
  </si>
  <si>
    <t>25-11-2022 14:00</t>
  </si>
  <si>
    <t>25-11-2022 15:00</t>
  </si>
  <si>
    <t>25-11-2022 16:00</t>
  </si>
  <si>
    <t>25-11-2022 17:00</t>
  </si>
  <si>
    <t>25-11-2022 18:00</t>
  </si>
  <si>
    <t>25-11-2022 19:00</t>
  </si>
  <si>
    <t>25-11-2022 20:00</t>
  </si>
  <si>
    <t>25-11-2022 21:00</t>
  </si>
  <si>
    <t>25-11-2022 22:00</t>
  </si>
  <si>
    <t>25-11-2022 23:00</t>
  </si>
  <si>
    <t>25-11-2022 24:00</t>
  </si>
  <si>
    <t>26-11-2022 01:00</t>
  </si>
  <si>
    <t>26-11-2022 02:00</t>
  </si>
  <si>
    <t>26-11-2022 03:00</t>
  </si>
  <si>
    <t>26-11-2022 04:00</t>
  </si>
  <si>
    <t>26-11-2022 05:00</t>
  </si>
  <si>
    <t>26-11-2022 06:00</t>
  </si>
  <si>
    <t>26-11-2022 07:00</t>
  </si>
  <si>
    <t>26-11-2022 08:00</t>
  </si>
  <si>
    <t>26-11-2022 09:00</t>
  </si>
  <si>
    <t>26-11-2022 10:00</t>
  </si>
  <si>
    <t>26-11-2022 11:00</t>
  </si>
  <si>
    <t>26-11-2022 12:00</t>
  </si>
  <si>
    <t>26-11-2022 13:00</t>
  </si>
  <si>
    <t>26-11-2022 14:00</t>
  </si>
  <si>
    <t>26-11-2022 15:00</t>
  </si>
  <si>
    <t>26-11-2022 16:00</t>
  </si>
  <si>
    <t>26-11-2022 17:00</t>
  </si>
  <si>
    <t>26-11-2022 18:00</t>
  </si>
  <si>
    <t>26-11-2022 19:00</t>
  </si>
  <si>
    <t>26-11-2022 20:00</t>
  </si>
  <si>
    <t>26-11-2022 21:00</t>
  </si>
  <si>
    <t>26-11-2022 22:00</t>
  </si>
  <si>
    <t>26-11-2022 23:00</t>
  </si>
  <si>
    <t>26-11-2022 24:00</t>
  </si>
  <si>
    <t>27-11-2022 01:00</t>
  </si>
  <si>
    <t>27-11-2022 02:00</t>
  </si>
  <si>
    <t>27-11-2022 03:00</t>
  </si>
  <si>
    <t>27-11-2022 04:00</t>
  </si>
  <si>
    <t>27-11-2022 05:00</t>
  </si>
  <si>
    <t>27-11-2022 06:00</t>
  </si>
  <si>
    <t>27-11-2022 07:00</t>
  </si>
  <si>
    <t>27-11-2022 08:00</t>
  </si>
  <si>
    <t>27-11-2022 09:00</t>
  </si>
  <si>
    <t>27-11-2022 10:00</t>
  </si>
  <si>
    <t>27-11-2022 11:00</t>
  </si>
  <si>
    <t>27-11-2022 12:00</t>
  </si>
  <si>
    <t>27-11-2022 13:00</t>
  </si>
  <si>
    <t>27-11-2022 14:00</t>
  </si>
  <si>
    <t>27-11-2022 15:00</t>
  </si>
  <si>
    <t>27-11-2022 16:00</t>
  </si>
  <si>
    <t>27-11-2022 17:00</t>
  </si>
  <si>
    <t>27-11-2022 18:00</t>
  </si>
  <si>
    <t>27-11-2022 19:00</t>
  </si>
  <si>
    <t>27-11-2022 20:00</t>
  </si>
  <si>
    <t>27-11-2022 21:00</t>
  </si>
  <si>
    <t>27-11-2022 22:00</t>
  </si>
  <si>
    <t>27-11-2022 23:00</t>
  </si>
  <si>
    <t>27-11-2022 24:00</t>
  </si>
  <si>
    <t>28-11-2022 01:00</t>
  </si>
  <si>
    <t>28-11-2022 02:00</t>
  </si>
  <si>
    <t>28-11-2022 03:00</t>
  </si>
  <si>
    <t>28-11-2022 04:00</t>
  </si>
  <si>
    <t>28-11-2022 05:00</t>
  </si>
  <si>
    <t>28-11-2022 06:00</t>
  </si>
  <si>
    <t>28-11-2022 07:00</t>
  </si>
  <si>
    <t>28-11-2022 08:00</t>
  </si>
  <si>
    <t>28-11-2022 09:00</t>
  </si>
  <si>
    <t>28-11-2022 10:00</t>
  </si>
  <si>
    <t>28-11-2022 11:00</t>
  </si>
  <si>
    <t>28-11-2022 12:00</t>
  </si>
  <si>
    <t>28-11-2022 13:00</t>
  </si>
  <si>
    <t>28-11-2022 14:00</t>
  </si>
  <si>
    <t>28-11-2022 15:00</t>
  </si>
  <si>
    <t>28-11-2022 16:00</t>
  </si>
  <si>
    <t>28-11-2022 17:00</t>
  </si>
  <si>
    <t>28-11-2022 18:00</t>
  </si>
  <si>
    <t>28-11-2022 19:00</t>
  </si>
  <si>
    <t>28-11-2022 20:00</t>
  </si>
  <si>
    <t>28-11-2022 21:00</t>
  </si>
  <si>
    <t>28-11-2022 22:00</t>
  </si>
  <si>
    <t>28-11-2022 23:00</t>
  </si>
  <si>
    <t>28-11-2022 24:00</t>
  </si>
  <si>
    <t>29-11-2022 01:00</t>
  </si>
  <si>
    <t>29-11-2022 02:00</t>
  </si>
  <si>
    <t>29-11-2022 03:00</t>
  </si>
  <si>
    <t>29-11-2022 04:00</t>
  </si>
  <si>
    <t>29-11-2022 05:00</t>
  </si>
  <si>
    <t>29-11-2022 06:00</t>
  </si>
  <si>
    <t>29-11-2022 07:00</t>
  </si>
  <si>
    <t>29-11-2022 08:00</t>
  </si>
  <si>
    <t>29-11-2022 09:00</t>
  </si>
  <si>
    <t>29-11-2022 10:00</t>
  </si>
  <si>
    <t>29-11-2022 11:00</t>
  </si>
  <si>
    <t>29-11-2022 12:00</t>
  </si>
  <si>
    <t>29-11-2022 13:00</t>
  </si>
  <si>
    <t>29-11-2022 14:00</t>
  </si>
  <si>
    <t>29-11-2022 15:00</t>
  </si>
  <si>
    <t>29-11-2022 16:00</t>
  </si>
  <si>
    <t>29-11-2022 17:00</t>
  </si>
  <si>
    <t>29-11-2022 18:00</t>
  </si>
  <si>
    <t>29-11-2022 19:00</t>
  </si>
  <si>
    <t>29-11-2022 20:00</t>
  </si>
  <si>
    <t>29-11-2022 21:00</t>
  </si>
  <si>
    <t>29-11-2022 22:00</t>
  </si>
  <si>
    <t>29-11-2022 23:00</t>
  </si>
  <si>
    <t>29-11-2022 24:00</t>
  </si>
  <si>
    <t>30-11-2022 01:00</t>
  </si>
  <si>
    <t>30-11-2022 02:00</t>
  </si>
  <si>
    <t>30-11-2022 03:00</t>
  </si>
  <si>
    <t>30-11-2022 04:00</t>
  </si>
  <si>
    <t>30-11-2022 05:00</t>
  </si>
  <si>
    <t>30-11-2022 06:00</t>
  </si>
  <si>
    <t>30-11-2022 07:00</t>
  </si>
  <si>
    <t>30-11-2022 08:00</t>
  </si>
  <si>
    <t>30-11-2022 09:00</t>
  </si>
  <si>
    <t>30-11-2022 10:00</t>
  </si>
  <si>
    <t>30-11-2022 11:00</t>
  </si>
  <si>
    <t>30-11-2022 12:00</t>
  </si>
  <si>
    <t>30-11-2022 13:00</t>
  </si>
  <si>
    <t>30-11-2022 14:00</t>
  </si>
  <si>
    <t>30-11-2022 15:00</t>
  </si>
  <si>
    <t>30-11-2022 16:00</t>
  </si>
  <si>
    <t>30-11-2022 17:00</t>
  </si>
  <si>
    <t>30-11-2022 18:00</t>
  </si>
  <si>
    <t>30-11-2022 19:00</t>
  </si>
  <si>
    <t>30-11-2022 20:00</t>
  </si>
  <si>
    <t>30-11-2022 21:00</t>
  </si>
  <si>
    <t>30-11-2022 22:00</t>
  </si>
  <si>
    <t>30-11-2022 23:00</t>
  </si>
  <si>
    <t>30-11-2022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</si>
</sst>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2" fontId="12" fillId="0" borderId="0" xfId="0" applyNumberFormat="1" applyFont="1" applyFill="1"/>
    <xf numFmtId="14" fontId="4" fillId="0" borderId="1" xfId="0" applyNumberFormat="1" applyFont="1" applyFill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0" fillId="0" borderId="0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49" fontId="0" fillId="0" borderId="1" xfId="0" applyNumberFormat="1" applyBorder="1"/>
    <xf numFmtId="0" fontId="0" fillId="0" borderId="1" xfId="0" applyBorder="1"/>
    <xf numFmtId="0" fontId="9" fillId="8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14" fillId="9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2" ySplit="8" topLeftCell="C9" activePane="bottomRight" state="frozen"/>
      <selection activeCell="U32" sqref="A9:U32"/>
      <selection pane="topRight" activeCell="U32" sqref="A9:U32"/>
      <selection pane="bottomLeft" activeCell="U32" sqref="A9:U32"/>
      <selection pane="bottomRight" activeCell="A9" sqref="A9:Q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58</v>
      </c>
      <c r="B9" s="52">
        <v>6.67</v>
      </c>
      <c r="C9" s="52">
        <v>97</v>
      </c>
      <c r="D9" s="52">
        <v>58.88</v>
      </c>
      <c r="E9" s="52">
        <v>52.14</v>
      </c>
      <c r="F9" s="52">
        <v>65.66</v>
      </c>
      <c r="G9" s="52">
        <v>186.07</v>
      </c>
      <c r="H9" s="52">
        <v>68.91</v>
      </c>
      <c r="I9" s="52">
        <v>0.24</v>
      </c>
      <c r="J9" s="52">
        <v>0.4</v>
      </c>
      <c r="K9" s="52">
        <v>70.67</v>
      </c>
      <c r="L9" s="55" t="s">
        <v>8</v>
      </c>
      <c r="M9" s="55" t="s">
        <v>8</v>
      </c>
      <c r="N9" s="52">
        <v>4.9000000000000004</v>
      </c>
      <c r="O9" s="52">
        <v>0</v>
      </c>
      <c r="P9" s="52">
        <v>0.9</v>
      </c>
      <c r="Q9" s="52">
        <v>59.91</v>
      </c>
      <c r="R9" s="44"/>
      <c r="S9" s="44"/>
      <c r="T9" s="44"/>
      <c r="U9" s="44"/>
    </row>
    <row r="10" spans="1:21" s="11" customFormat="1" x14ac:dyDescent="0.25">
      <c r="A10" s="51" t="s">
        <v>59</v>
      </c>
      <c r="B10" s="52">
        <v>1.08</v>
      </c>
      <c r="C10" s="52">
        <v>63.47</v>
      </c>
      <c r="D10" s="52">
        <v>35.89</v>
      </c>
      <c r="E10" s="52">
        <v>62.44</v>
      </c>
      <c r="F10" s="52">
        <v>73.040000000000006</v>
      </c>
      <c r="G10" s="52">
        <v>184.79</v>
      </c>
      <c r="H10" s="52">
        <v>72.930000000000007</v>
      </c>
      <c r="I10" s="52">
        <v>0.21</v>
      </c>
      <c r="J10" s="52">
        <v>0.41</v>
      </c>
      <c r="K10" s="52">
        <v>72.72</v>
      </c>
      <c r="L10" s="55" t="s">
        <v>8</v>
      </c>
      <c r="M10" s="55" t="s">
        <v>8</v>
      </c>
      <c r="N10" s="52">
        <v>4.8</v>
      </c>
      <c r="O10" s="52">
        <v>0</v>
      </c>
      <c r="P10" s="52">
        <v>0.59</v>
      </c>
      <c r="Q10" s="52">
        <v>49.06</v>
      </c>
      <c r="R10" s="44"/>
      <c r="S10" s="44"/>
      <c r="T10" s="44"/>
      <c r="U10" s="44"/>
    </row>
    <row r="11" spans="1:21" s="11" customFormat="1" x14ac:dyDescent="0.25">
      <c r="A11" s="51" t="s">
        <v>60</v>
      </c>
      <c r="B11" s="52">
        <v>0.94</v>
      </c>
      <c r="C11" s="52">
        <v>103.01</v>
      </c>
      <c r="D11" s="52">
        <v>57.58</v>
      </c>
      <c r="E11" s="52">
        <v>136.99</v>
      </c>
      <c r="F11" s="52">
        <v>56.26</v>
      </c>
      <c r="G11" s="52">
        <v>161.08000000000001</v>
      </c>
      <c r="H11" s="52">
        <v>72.930000000000007</v>
      </c>
      <c r="I11" s="52">
        <v>0.13</v>
      </c>
      <c r="J11" s="52">
        <v>0.67</v>
      </c>
      <c r="K11" s="52">
        <v>34.729999999999997</v>
      </c>
      <c r="L11" s="55" t="s">
        <v>8</v>
      </c>
      <c r="M11" s="55" t="s">
        <v>8</v>
      </c>
      <c r="N11" s="52">
        <v>4.8</v>
      </c>
      <c r="O11" s="52">
        <v>0</v>
      </c>
      <c r="P11" s="52">
        <v>1.37</v>
      </c>
      <c r="Q11" s="52">
        <v>59.81</v>
      </c>
      <c r="R11" s="44"/>
      <c r="S11" s="44"/>
      <c r="T11" s="44"/>
      <c r="U11" s="44"/>
    </row>
    <row r="12" spans="1:21" s="11" customFormat="1" x14ac:dyDescent="0.25">
      <c r="A12" s="51" t="s">
        <v>61</v>
      </c>
      <c r="B12" s="52">
        <v>1.81</v>
      </c>
      <c r="C12" s="52">
        <v>106.27</v>
      </c>
      <c r="D12" s="52">
        <v>59.13</v>
      </c>
      <c r="E12" s="52">
        <v>125.87</v>
      </c>
      <c r="F12" s="52">
        <v>30.45</v>
      </c>
      <c r="G12" s="52">
        <v>197.9</v>
      </c>
      <c r="H12" s="52">
        <v>86.32</v>
      </c>
      <c r="I12" s="52">
        <v>0.12</v>
      </c>
      <c r="J12" s="52">
        <v>0.65</v>
      </c>
      <c r="K12" s="52">
        <v>30.58</v>
      </c>
      <c r="L12" s="55" t="s">
        <v>8</v>
      </c>
      <c r="M12" s="55" t="s">
        <v>8</v>
      </c>
      <c r="N12" s="52">
        <v>4.7</v>
      </c>
      <c r="O12" s="52">
        <v>0</v>
      </c>
      <c r="P12" s="52">
        <v>1.57</v>
      </c>
      <c r="Q12" s="52">
        <v>67.569999999999993</v>
      </c>
      <c r="R12" s="44"/>
      <c r="S12" s="44"/>
      <c r="T12" s="44"/>
      <c r="U12" s="44"/>
    </row>
    <row r="13" spans="1:21" s="11" customFormat="1" x14ac:dyDescent="0.25">
      <c r="A13" s="51" t="s">
        <v>62</v>
      </c>
      <c r="B13" s="52">
        <v>9.52</v>
      </c>
      <c r="C13" s="52">
        <v>92.54</v>
      </c>
      <c r="D13" s="52">
        <v>58.71</v>
      </c>
      <c r="E13" s="52">
        <v>69</v>
      </c>
      <c r="F13" s="52">
        <v>29.14</v>
      </c>
      <c r="G13" s="52">
        <v>206.96</v>
      </c>
      <c r="H13" s="52">
        <v>86.32</v>
      </c>
      <c r="I13" s="52">
        <v>0.11</v>
      </c>
      <c r="J13" s="52">
        <v>0.61</v>
      </c>
      <c r="K13" s="52">
        <v>68.41</v>
      </c>
      <c r="L13" s="55" t="s">
        <v>8</v>
      </c>
      <c r="M13" s="55" t="s">
        <v>8</v>
      </c>
      <c r="N13" s="52">
        <v>4.5999999999999996</v>
      </c>
      <c r="O13" s="52">
        <v>0</v>
      </c>
      <c r="P13" s="52">
        <v>1.39</v>
      </c>
      <c r="Q13" s="52">
        <v>61.32</v>
      </c>
      <c r="R13" s="44"/>
      <c r="S13" s="44"/>
      <c r="T13" s="44"/>
      <c r="U13" s="44"/>
    </row>
    <row r="14" spans="1:21" s="11" customFormat="1" x14ac:dyDescent="0.25">
      <c r="A14" s="51" t="s">
        <v>63</v>
      </c>
      <c r="B14" s="52">
        <v>18.12</v>
      </c>
      <c r="C14" s="52">
        <v>118.26</v>
      </c>
      <c r="D14" s="52">
        <v>79.8</v>
      </c>
      <c r="E14" s="52">
        <v>52.52</v>
      </c>
      <c r="F14" s="52">
        <v>27.75</v>
      </c>
      <c r="G14" s="52">
        <v>206.96</v>
      </c>
      <c r="H14" s="52">
        <v>85.83</v>
      </c>
      <c r="I14" s="52">
        <v>0.12</v>
      </c>
      <c r="J14" s="52">
        <v>0.33</v>
      </c>
      <c r="K14" s="52">
        <v>86.46</v>
      </c>
      <c r="L14" s="55" t="s">
        <v>8</v>
      </c>
      <c r="M14" s="55" t="s">
        <v>8</v>
      </c>
      <c r="N14" s="52">
        <v>5.6</v>
      </c>
      <c r="O14" s="52">
        <v>0</v>
      </c>
      <c r="P14" s="52">
        <v>0.95</v>
      </c>
      <c r="Q14" s="52">
        <v>64.7</v>
      </c>
      <c r="R14" s="44"/>
      <c r="S14" s="44"/>
      <c r="T14" s="44"/>
      <c r="U14" s="44"/>
    </row>
    <row r="15" spans="1:21" s="11" customFormat="1" x14ac:dyDescent="0.25">
      <c r="A15" s="51" t="s">
        <v>64</v>
      </c>
      <c r="B15" s="52">
        <v>89.73</v>
      </c>
      <c r="C15" s="52">
        <v>208.23</v>
      </c>
      <c r="D15" s="52">
        <v>186.87</v>
      </c>
      <c r="E15" s="52">
        <v>20.77</v>
      </c>
      <c r="F15" s="52">
        <v>16.36</v>
      </c>
      <c r="G15" s="52">
        <v>206.45</v>
      </c>
      <c r="H15" s="52">
        <v>84.05</v>
      </c>
      <c r="I15" s="52">
        <v>0.25</v>
      </c>
      <c r="J15" s="52">
        <v>0.14000000000000001</v>
      </c>
      <c r="K15" s="52">
        <v>323.86</v>
      </c>
      <c r="L15" s="55" t="s">
        <v>8</v>
      </c>
      <c r="M15" s="55" t="s">
        <v>8</v>
      </c>
      <c r="N15" s="52">
        <v>64.7</v>
      </c>
      <c r="O15" s="52">
        <v>0</v>
      </c>
      <c r="P15" s="52">
        <v>1.46</v>
      </c>
      <c r="Q15" s="52">
        <v>125.97</v>
      </c>
      <c r="R15" s="44"/>
      <c r="S15" s="44"/>
      <c r="T15" s="44"/>
      <c r="U15" s="44"/>
    </row>
    <row r="16" spans="1:21" s="11" customFormat="1" x14ac:dyDescent="0.25">
      <c r="A16" s="51" t="s">
        <v>65</v>
      </c>
      <c r="B16" s="52">
        <v>58.41</v>
      </c>
      <c r="C16" s="52">
        <v>171.6</v>
      </c>
      <c r="D16" s="52">
        <v>141.54</v>
      </c>
      <c r="E16" s="52">
        <v>46.88</v>
      </c>
      <c r="F16" s="52">
        <v>39.4</v>
      </c>
      <c r="G16" s="52">
        <v>186.44</v>
      </c>
      <c r="H16" s="52">
        <v>80.39</v>
      </c>
      <c r="I16" s="52">
        <v>0.37</v>
      </c>
      <c r="J16" s="52">
        <v>0.48</v>
      </c>
      <c r="K16" s="52">
        <v>54.87</v>
      </c>
      <c r="L16" s="55" t="s">
        <v>8</v>
      </c>
      <c r="M16" s="55" t="s">
        <v>8</v>
      </c>
      <c r="N16" s="52">
        <v>281.7</v>
      </c>
      <c r="O16" s="52">
        <v>0</v>
      </c>
      <c r="P16" s="52">
        <v>1.26</v>
      </c>
      <c r="Q16" s="52">
        <v>139.44</v>
      </c>
      <c r="R16" s="44"/>
      <c r="S16" s="44"/>
      <c r="T16" s="44"/>
      <c r="U16" s="44"/>
    </row>
    <row r="17" spans="1:21" s="11" customFormat="1" x14ac:dyDescent="0.25">
      <c r="A17" s="51" t="s">
        <v>66</v>
      </c>
      <c r="B17" s="52">
        <v>11.63</v>
      </c>
      <c r="C17" s="52">
        <v>74.489999999999995</v>
      </c>
      <c r="D17" s="52">
        <v>50.44</v>
      </c>
      <c r="E17" s="52">
        <v>49.15</v>
      </c>
      <c r="F17" s="52">
        <v>59.37</v>
      </c>
      <c r="G17" s="52">
        <v>186.44</v>
      </c>
      <c r="H17" s="52">
        <v>80.39</v>
      </c>
      <c r="I17" s="52">
        <v>0.36</v>
      </c>
      <c r="J17" s="52">
        <v>1.36</v>
      </c>
      <c r="K17" s="52">
        <v>128.26</v>
      </c>
      <c r="L17" s="55" t="s">
        <v>8</v>
      </c>
      <c r="M17" s="55" t="s">
        <v>8</v>
      </c>
      <c r="N17" s="52">
        <v>456.5</v>
      </c>
      <c r="O17" s="52">
        <v>0</v>
      </c>
      <c r="P17" s="52">
        <v>0.78</v>
      </c>
      <c r="Q17" s="52">
        <v>84.18</v>
      </c>
      <c r="R17" s="44"/>
      <c r="S17" s="44"/>
      <c r="T17" s="44"/>
      <c r="U17" s="44"/>
    </row>
    <row r="18" spans="1:21" s="11" customFormat="1" x14ac:dyDescent="0.25">
      <c r="A18" s="51" t="s">
        <v>67</v>
      </c>
      <c r="B18" s="52">
        <v>15.07</v>
      </c>
      <c r="C18" s="52">
        <v>84.08</v>
      </c>
      <c r="D18" s="52">
        <v>58.49</v>
      </c>
      <c r="E18" s="52">
        <v>32.979999999999997</v>
      </c>
      <c r="F18" s="52">
        <v>73.47</v>
      </c>
      <c r="G18" s="52">
        <v>178.1</v>
      </c>
      <c r="H18" s="52">
        <v>72.84</v>
      </c>
      <c r="I18" s="52">
        <v>0.16</v>
      </c>
      <c r="J18" s="52">
        <v>0.74</v>
      </c>
      <c r="K18" s="52">
        <v>111.95</v>
      </c>
      <c r="L18" s="55" t="s">
        <v>8</v>
      </c>
      <c r="M18" s="55" t="s">
        <v>8</v>
      </c>
      <c r="N18" s="52">
        <v>596.9</v>
      </c>
      <c r="O18" s="52">
        <v>0</v>
      </c>
      <c r="P18" s="52">
        <v>1</v>
      </c>
      <c r="Q18" s="52">
        <v>66.040000000000006</v>
      </c>
      <c r="R18" s="44"/>
      <c r="S18" s="44"/>
      <c r="T18" s="44"/>
      <c r="U18" s="44"/>
    </row>
    <row r="19" spans="1:21" s="11" customFormat="1" x14ac:dyDescent="0.25">
      <c r="A19" s="51" t="s">
        <v>68</v>
      </c>
      <c r="B19" s="52">
        <v>7.14</v>
      </c>
      <c r="C19" s="52">
        <v>64.31</v>
      </c>
      <c r="D19" s="52">
        <v>40.43</v>
      </c>
      <c r="E19" s="52">
        <v>71.03</v>
      </c>
      <c r="F19" s="52">
        <v>81.92</v>
      </c>
      <c r="G19" s="52">
        <v>156</v>
      </c>
      <c r="H19" s="52">
        <v>69.27</v>
      </c>
      <c r="I19" s="52">
        <v>0.13</v>
      </c>
      <c r="J19" s="52">
        <v>0.79</v>
      </c>
      <c r="K19" s="52">
        <v>130.38999999999999</v>
      </c>
      <c r="L19" s="55" t="s">
        <v>8</v>
      </c>
      <c r="M19" s="55" t="s">
        <v>8</v>
      </c>
      <c r="N19" s="52">
        <v>661.7</v>
      </c>
      <c r="O19" s="52">
        <v>0</v>
      </c>
      <c r="P19" s="52">
        <v>0.76</v>
      </c>
      <c r="Q19" s="52">
        <v>53.86</v>
      </c>
      <c r="R19" s="44"/>
      <c r="S19" s="44"/>
      <c r="T19" s="44"/>
      <c r="U19" s="44"/>
    </row>
    <row r="20" spans="1:21" s="11" customFormat="1" x14ac:dyDescent="0.25">
      <c r="A20" s="51" t="s">
        <v>69</v>
      </c>
      <c r="B20" s="52">
        <v>6.32</v>
      </c>
      <c r="C20" s="52">
        <v>64.05</v>
      </c>
      <c r="D20" s="52">
        <v>40.42</v>
      </c>
      <c r="E20" s="52">
        <v>82.87</v>
      </c>
      <c r="F20" s="52">
        <v>101.9</v>
      </c>
      <c r="G20" s="52">
        <v>136.72</v>
      </c>
      <c r="H20" s="52">
        <v>66.510000000000005</v>
      </c>
      <c r="I20" s="52">
        <v>0.12</v>
      </c>
      <c r="J20" s="52">
        <v>0.91</v>
      </c>
      <c r="K20" s="52">
        <v>140.04</v>
      </c>
      <c r="L20" s="55" t="s">
        <v>8</v>
      </c>
      <c r="M20" s="55" t="s">
        <v>8</v>
      </c>
      <c r="N20" s="52">
        <v>675</v>
      </c>
      <c r="O20" s="52">
        <v>0</v>
      </c>
      <c r="P20" s="52">
        <v>0.68</v>
      </c>
      <c r="Q20" s="52">
        <v>38.25</v>
      </c>
      <c r="R20" s="44"/>
      <c r="S20" s="44"/>
      <c r="T20" s="44"/>
      <c r="U20" s="44"/>
    </row>
    <row r="21" spans="1:21" s="11" customFormat="1" x14ac:dyDescent="0.25">
      <c r="A21" s="51" t="s">
        <v>70</v>
      </c>
      <c r="B21" s="52">
        <v>8.6</v>
      </c>
      <c r="C21" s="52">
        <v>74.63</v>
      </c>
      <c r="D21" s="52">
        <v>47.47</v>
      </c>
      <c r="E21" s="52">
        <v>78.58</v>
      </c>
      <c r="F21" s="52">
        <v>117.33</v>
      </c>
      <c r="G21" s="52">
        <v>132.76</v>
      </c>
      <c r="H21" s="52">
        <v>55.36</v>
      </c>
      <c r="I21" s="52">
        <v>0.17</v>
      </c>
      <c r="J21" s="52">
        <v>0.94</v>
      </c>
      <c r="K21" s="52">
        <v>152.99</v>
      </c>
      <c r="L21" s="55" t="s">
        <v>8</v>
      </c>
      <c r="M21" s="55" t="s">
        <v>8</v>
      </c>
      <c r="N21" s="52">
        <v>655.8</v>
      </c>
      <c r="O21" s="52">
        <v>0</v>
      </c>
      <c r="P21" s="52">
        <v>0.85</v>
      </c>
      <c r="Q21" s="52">
        <v>56.96</v>
      </c>
      <c r="R21" s="44"/>
      <c r="S21" s="44"/>
      <c r="T21" s="44"/>
      <c r="U21" s="44"/>
    </row>
    <row r="22" spans="1:21" s="11" customFormat="1" x14ac:dyDescent="0.25">
      <c r="A22" s="51" t="s">
        <v>71</v>
      </c>
      <c r="B22" s="52">
        <v>8.39</v>
      </c>
      <c r="C22" s="52">
        <v>79.959999999999994</v>
      </c>
      <c r="D22" s="52">
        <v>47.8</v>
      </c>
      <c r="E22" s="52">
        <v>67.34</v>
      </c>
      <c r="F22" s="52">
        <v>125.11</v>
      </c>
      <c r="G22" s="52">
        <v>122.14</v>
      </c>
      <c r="H22" s="52">
        <v>56.01</v>
      </c>
      <c r="I22" s="52">
        <v>0.15</v>
      </c>
      <c r="J22" s="52">
        <v>0.7</v>
      </c>
      <c r="K22" s="52">
        <v>349.1</v>
      </c>
      <c r="L22" s="55" t="s">
        <v>8</v>
      </c>
      <c r="M22" s="55" t="s">
        <v>8</v>
      </c>
      <c r="N22" s="52">
        <v>599.79999999999995</v>
      </c>
      <c r="O22" s="52">
        <v>0</v>
      </c>
      <c r="P22" s="52">
        <v>0.86</v>
      </c>
      <c r="Q22" s="52">
        <v>51.62</v>
      </c>
      <c r="R22" s="44"/>
      <c r="S22" s="44"/>
      <c r="T22" s="44"/>
      <c r="U22" s="44"/>
    </row>
    <row r="23" spans="1:21" s="11" customFormat="1" x14ac:dyDescent="0.25">
      <c r="A23" s="51" t="s">
        <v>72</v>
      </c>
      <c r="B23" s="52">
        <v>10.33</v>
      </c>
      <c r="C23" s="52">
        <v>102.45</v>
      </c>
      <c r="D23" s="52">
        <v>64.83</v>
      </c>
      <c r="E23" s="52">
        <v>56.53</v>
      </c>
      <c r="F23" s="52">
        <v>128.46</v>
      </c>
      <c r="G23" s="52">
        <v>111.73</v>
      </c>
      <c r="H23" s="52">
        <v>56.01</v>
      </c>
      <c r="I23" s="52">
        <v>0.17</v>
      </c>
      <c r="J23" s="52">
        <v>0.72</v>
      </c>
      <c r="K23" s="52">
        <v>195.86</v>
      </c>
      <c r="L23" s="55" t="s">
        <v>8</v>
      </c>
      <c r="M23" s="55" t="s">
        <v>8</v>
      </c>
      <c r="N23" s="52">
        <v>478.6</v>
      </c>
      <c r="O23" s="52">
        <v>0</v>
      </c>
      <c r="P23" s="52">
        <v>0.93</v>
      </c>
      <c r="Q23" s="52">
        <v>50.49</v>
      </c>
      <c r="R23" s="44"/>
      <c r="S23" s="44"/>
      <c r="T23" s="44"/>
      <c r="U23" s="44"/>
    </row>
    <row r="24" spans="1:21" s="11" customFormat="1" x14ac:dyDescent="0.25">
      <c r="A24" s="51" t="s">
        <v>73</v>
      </c>
      <c r="B24" s="52">
        <v>1.69</v>
      </c>
      <c r="C24" s="52">
        <v>67.650000000000006</v>
      </c>
      <c r="D24" s="52">
        <v>38.69</v>
      </c>
      <c r="E24" s="52">
        <v>59.83</v>
      </c>
      <c r="F24" s="52">
        <v>127.72</v>
      </c>
      <c r="G24" s="52">
        <v>111.73</v>
      </c>
      <c r="H24" s="52">
        <v>54.02</v>
      </c>
      <c r="I24" s="52">
        <v>0.12</v>
      </c>
      <c r="J24" s="52">
        <v>0.87</v>
      </c>
      <c r="K24" s="52">
        <v>174.64</v>
      </c>
      <c r="L24" s="55" t="s">
        <v>8</v>
      </c>
      <c r="M24" s="55" t="s">
        <v>8</v>
      </c>
      <c r="N24" s="52">
        <v>135.5</v>
      </c>
      <c r="O24" s="52">
        <v>0</v>
      </c>
      <c r="P24" s="52">
        <v>0.68</v>
      </c>
      <c r="Q24" s="52">
        <v>34.94</v>
      </c>
      <c r="R24" s="44"/>
      <c r="S24" s="44"/>
      <c r="T24" s="44"/>
      <c r="U24" s="44"/>
    </row>
    <row r="25" spans="1:21" s="11" customFormat="1" x14ac:dyDescent="0.25">
      <c r="A25" s="51" t="s">
        <v>74</v>
      </c>
      <c r="B25" s="52">
        <v>22.18</v>
      </c>
      <c r="C25" s="52">
        <v>176.32</v>
      </c>
      <c r="D25" s="52">
        <v>115.09</v>
      </c>
      <c r="E25" s="52">
        <v>144.94</v>
      </c>
      <c r="F25" s="52">
        <v>86.94</v>
      </c>
      <c r="G25" s="52">
        <v>110.03</v>
      </c>
      <c r="H25" s="52">
        <v>53.65</v>
      </c>
      <c r="I25" s="52">
        <v>0.18</v>
      </c>
      <c r="J25" s="52">
        <v>0.62</v>
      </c>
      <c r="K25" s="52">
        <v>343.51</v>
      </c>
      <c r="L25" s="55" t="s">
        <v>8</v>
      </c>
      <c r="M25" s="55" t="s">
        <v>8</v>
      </c>
      <c r="N25" s="52">
        <v>72.2</v>
      </c>
      <c r="O25" s="52">
        <v>0</v>
      </c>
      <c r="P25" s="52">
        <v>1.65</v>
      </c>
      <c r="Q25" s="52">
        <v>96.28</v>
      </c>
      <c r="R25" s="44"/>
      <c r="S25" s="44"/>
      <c r="T25" s="44"/>
      <c r="U25" s="44"/>
    </row>
    <row r="26" spans="1:21" s="11" customFormat="1" x14ac:dyDescent="0.25">
      <c r="A26" s="51" t="s">
        <v>75</v>
      </c>
      <c r="B26" s="52">
        <v>39.39</v>
      </c>
      <c r="C26" s="52">
        <v>205.48</v>
      </c>
      <c r="D26" s="52">
        <v>144.97999999999999</v>
      </c>
      <c r="E26" s="52">
        <v>106.89</v>
      </c>
      <c r="F26" s="52">
        <v>55.51</v>
      </c>
      <c r="G26" s="52">
        <v>143.6</v>
      </c>
      <c r="H26" s="52">
        <v>64.23</v>
      </c>
      <c r="I26" s="52">
        <v>0.41</v>
      </c>
      <c r="J26" s="52">
        <v>0.69</v>
      </c>
      <c r="K26" s="52">
        <v>20.13</v>
      </c>
      <c r="L26" s="55" t="s">
        <v>8</v>
      </c>
      <c r="M26" s="55" t="s">
        <v>8</v>
      </c>
      <c r="N26" s="52">
        <v>12.2</v>
      </c>
      <c r="O26" s="52">
        <v>0</v>
      </c>
      <c r="P26" s="52">
        <v>2.27</v>
      </c>
      <c r="Q26" s="52">
        <v>117.99</v>
      </c>
      <c r="R26" s="44"/>
      <c r="S26" s="44"/>
      <c r="T26" s="44"/>
      <c r="U26" s="44"/>
    </row>
    <row r="27" spans="1:21" s="11" customFormat="1" x14ac:dyDescent="0.25">
      <c r="A27" s="51" t="s">
        <v>76</v>
      </c>
      <c r="B27" s="52">
        <v>60.94</v>
      </c>
      <c r="C27" s="52">
        <v>249.64</v>
      </c>
      <c r="D27" s="52">
        <v>180.2</v>
      </c>
      <c r="E27" s="52">
        <v>85.78</v>
      </c>
      <c r="F27" s="52">
        <v>44.56</v>
      </c>
      <c r="G27" s="52">
        <v>173.68</v>
      </c>
      <c r="H27" s="52">
        <v>70.86</v>
      </c>
      <c r="I27" s="52">
        <v>0.63</v>
      </c>
      <c r="J27" s="52">
        <v>0.78</v>
      </c>
      <c r="K27" s="52">
        <v>21.68</v>
      </c>
      <c r="L27" s="55" t="s">
        <v>8</v>
      </c>
      <c r="M27" s="55" t="s">
        <v>8</v>
      </c>
      <c r="N27" s="52">
        <v>4.8</v>
      </c>
      <c r="O27" s="52">
        <v>0</v>
      </c>
      <c r="P27" s="52">
        <v>2.94</v>
      </c>
      <c r="Q27" s="52">
        <v>145.77000000000001</v>
      </c>
      <c r="R27" s="44"/>
      <c r="S27" s="44"/>
      <c r="T27" s="44"/>
      <c r="U27" s="44"/>
    </row>
    <row r="28" spans="1:21" s="11" customFormat="1" x14ac:dyDescent="0.25">
      <c r="A28" s="51" t="s">
        <v>77</v>
      </c>
      <c r="B28" s="52">
        <v>22.91</v>
      </c>
      <c r="C28" s="52">
        <v>251.53</v>
      </c>
      <c r="D28" s="52">
        <v>155.59</v>
      </c>
      <c r="E28" s="52">
        <v>76.12</v>
      </c>
      <c r="F28" s="52">
        <v>21.74</v>
      </c>
      <c r="G28" s="52">
        <v>222.63</v>
      </c>
      <c r="H28" s="52">
        <v>86.18</v>
      </c>
      <c r="I28" s="52">
        <v>0.83</v>
      </c>
      <c r="J28" s="52">
        <v>0.24</v>
      </c>
      <c r="K28" s="52">
        <v>101.67</v>
      </c>
      <c r="L28" s="55" t="s">
        <v>8</v>
      </c>
      <c r="M28" s="55" t="s">
        <v>8</v>
      </c>
      <c r="N28" s="52">
        <v>5</v>
      </c>
      <c r="O28" s="52">
        <v>0</v>
      </c>
      <c r="P28" s="52">
        <v>3.18</v>
      </c>
      <c r="Q28" s="52">
        <v>151.96</v>
      </c>
      <c r="R28" s="44"/>
      <c r="S28" s="44"/>
      <c r="T28" s="44"/>
      <c r="U28" s="44"/>
    </row>
    <row r="29" spans="1:21" s="11" customFormat="1" x14ac:dyDescent="0.25">
      <c r="A29" s="51" t="s">
        <v>78</v>
      </c>
      <c r="B29" s="52">
        <v>123.83</v>
      </c>
      <c r="C29" s="52">
        <v>344.05</v>
      </c>
      <c r="D29" s="52">
        <v>284.49</v>
      </c>
      <c r="E29" s="52">
        <v>84.51</v>
      </c>
      <c r="F29" s="52">
        <v>7.62</v>
      </c>
      <c r="G29" s="52">
        <v>256.27999999999997</v>
      </c>
      <c r="H29" s="52">
        <v>92.47</v>
      </c>
      <c r="I29" s="52">
        <v>1.85</v>
      </c>
      <c r="J29" s="52">
        <v>0.27</v>
      </c>
      <c r="K29" s="52">
        <v>83.38</v>
      </c>
      <c r="L29" s="55" t="s">
        <v>8</v>
      </c>
      <c r="M29" s="55" t="s">
        <v>8</v>
      </c>
      <c r="N29" s="52">
        <v>4.9000000000000004</v>
      </c>
      <c r="O29" s="52">
        <v>0</v>
      </c>
      <c r="P29" s="52">
        <v>5.65</v>
      </c>
      <c r="Q29" s="52">
        <v>220.91</v>
      </c>
      <c r="R29" s="44"/>
      <c r="S29" s="44"/>
      <c r="T29" s="44"/>
      <c r="U29" s="44"/>
    </row>
    <row r="30" spans="1:21" s="11" customFormat="1" x14ac:dyDescent="0.25">
      <c r="A30" s="51" t="s">
        <v>79</v>
      </c>
      <c r="B30" s="52">
        <v>177.14</v>
      </c>
      <c r="C30" s="52">
        <v>396.01</v>
      </c>
      <c r="D30" s="52">
        <v>360.6</v>
      </c>
      <c r="E30" s="52">
        <v>63.6</v>
      </c>
      <c r="F30" s="52">
        <v>9.5399999999999991</v>
      </c>
      <c r="G30" s="52">
        <v>317.83</v>
      </c>
      <c r="H30" s="52">
        <v>99.44</v>
      </c>
      <c r="I30" s="52">
        <v>1.64</v>
      </c>
      <c r="J30" s="52">
        <v>0.12</v>
      </c>
      <c r="K30" s="52">
        <v>333.84</v>
      </c>
      <c r="L30" s="55" t="s">
        <v>8</v>
      </c>
      <c r="M30" s="55" t="s">
        <v>8</v>
      </c>
      <c r="N30" s="52">
        <v>5</v>
      </c>
      <c r="O30" s="52">
        <v>0</v>
      </c>
      <c r="P30" s="52">
        <v>3.99</v>
      </c>
      <c r="Q30" s="52">
        <v>242.72</v>
      </c>
      <c r="R30" s="44"/>
      <c r="S30" s="44"/>
      <c r="T30" s="44"/>
      <c r="U30" s="44"/>
    </row>
    <row r="31" spans="1:21" s="11" customFormat="1" x14ac:dyDescent="0.25">
      <c r="A31" s="51" t="s">
        <v>80</v>
      </c>
      <c r="B31" s="52">
        <v>169.53</v>
      </c>
      <c r="C31" s="52">
        <v>378.2</v>
      </c>
      <c r="D31" s="52">
        <v>344.67</v>
      </c>
      <c r="E31" s="52">
        <v>34.07</v>
      </c>
      <c r="F31" s="52">
        <v>3.83</v>
      </c>
      <c r="G31" s="52">
        <v>327.27</v>
      </c>
      <c r="H31" s="52">
        <v>103.21</v>
      </c>
      <c r="I31" s="52">
        <v>1.83</v>
      </c>
      <c r="J31" s="52">
        <v>0.18</v>
      </c>
      <c r="K31" s="52">
        <v>355.76</v>
      </c>
      <c r="L31" s="55" t="s">
        <v>8</v>
      </c>
      <c r="M31" s="55" t="s">
        <v>8</v>
      </c>
      <c r="N31" s="52">
        <v>4.8</v>
      </c>
      <c r="O31" s="52">
        <v>0</v>
      </c>
      <c r="P31" s="52">
        <v>4.3499999999999996</v>
      </c>
      <c r="Q31" s="52">
        <v>272.25</v>
      </c>
      <c r="R31" s="44"/>
      <c r="S31" s="44"/>
      <c r="T31" s="44"/>
      <c r="U31" s="44"/>
    </row>
    <row r="32" spans="1:21" s="11" customFormat="1" x14ac:dyDescent="0.25">
      <c r="A32" s="51" t="s">
        <v>81</v>
      </c>
      <c r="B32" s="52">
        <v>84.09</v>
      </c>
      <c r="C32" s="52">
        <v>243.44</v>
      </c>
      <c r="D32" s="52">
        <v>201.78</v>
      </c>
      <c r="E32" s="52">
        <v>26.29</v>
      </c>
      <c r="F32" s="52">
        <v>5.48</v>
      </c>
      <c r="G32" s="52">
        <v>364.59</v>
      </c>
      <c r="H32" s="52">
        <v>103.21</v>
      </c>
      <c r="I32" s="52">
        <v>1.71</v>
      </c>
      <c r="J32" s="52">
        <v>0.17</v>
      </c>
      <c r="K32" s="52">
        <v>308.58999999999997</v>
      </c>
      <c r="L32" s="55" t="s">
        <v>8</v>
      </c>
      <c r="M32" s="55" t="s">
        <v>8</v>
      </c>
      <c r="N32" s="52">
        <v>4.8</v>
      </c>
      <c r="O32" s="52">
        <v>0</v>
      </c>
      <c r="P32" s="52">
        <v>2.93</v>
      </c>
      <c r="Q32" s="52">
        <v>220.61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0.94</v>
      </c>
      <c r="C34" s="28">
        <f t="shared" si="0"/>
        <v>63.47</v>
      </c>
      <c r="D34" s="28">
        <f t="shared" si="0"/>
        <v>35.89</v>
      </c>
      <c r="E34" s="28">
        <f t="shared" si="0"/>
        <v>20.77</v>
      </c>
      <c r="F34" s="28">
        <f t="shared" si="0"/>
        <v>3.83</v>
      </c>
      <c r="G34" s="28">
        <f t="shared" si="0"/>
        <v>110.03</v>
      </c>
      <c r="H34" s="28">
        <f t="shared" si="0"/>
        <v>53.65</v>
      </c>
      <c r="I34" s="28">
        <f t="shared" si="0"/>
        <v>0.11</v>
      </c>
      <c r="J34" s="28">
        <f t="shared" si="0"/>
        <v>0.12</v>
      </c>
      <c r="K34" s="28">
        <f t="shared" si="0"/>
        <v>20.13</v>
      </c>
      <c r="L34" s="28">
        <f t="shared" si="0"/>
        <v>0</v>
      </c>
      <c r="M34" s="28">
        <f t="shared" si="0"/>
        <v>0</v>
      </c>
      <c r="N34" s="28">
        <f t="shared" si="0"/>
        <v>4.5999999999999996</v>
      </c>
      <c r="O34" s="28">
        <f t="shared" si="0"/>
        <v>0</v>
      </c>
      <c r="P34" s="28">
        <f t="shared" si="0"/>
        <v>0.59</v>
      </c>
      <c r="Q34" s="28">
        <f t="shared" si="0"/>
        <v>34.94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177.14</v>
      </c>
      <c r="C35" s="29">
        <f t="shared" si="1"/>
        <v>396.01</v>
      </c>
      <c r="D35" s="29">
        <f t="shared" si="1"/>
        <v>360.6</v>
      </c>
      <c r="E35" s="29">
        <f t="shared" si="1"/>
        <v>144.94</v>
      </c>
      <c r="F35" s="29">
        <f t="shared" si="1"/>
        <v>128.46</v>
      </c>
      <c r="G35" s="29">
        <f t="shared" si="1"/>
        <v>364.59</v>
      </c>
      <c r="H35" s="29">
        <f t="shared" si="1"/>
        <v>103.21</v>
      </c>
      <c r="I35" s="29">
        <f t="shared" si="1"/>
        <v>1.85</v>
      </c>
      <c r="J35" s="29">
        <f t="shared" si="1"/>
        <v>1.36</v>
      </c>
      <c r="K35" s="29">
        <f t="shared" si="1"/>
        <v>355.76</v>
      </c>
      <c r="L35" s="29">
        <f t="shared" si="1"/>
        <v>0</v>
      </c>
      <c r="M35" s="29">
        <f t="shared" si="1"/>
        <v>0</v>
      </c>
      <c r="N35" s="29">
        <f t="shared" si="1"/>
        <v>675</v>
      </c>
      <c r="O35" s="29">
        <f t="shared" si="1"/>
        <v>0</v>
      </c>
      <c r="P35" s="29">
        <f t="shared" si="1"/>
        <v>5.65</v>
      </c>
      <c r="Q35" s="29">
        <f t="shared" si="1"/>
        <v>272.25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39.810833333333328</v>
      </c>
      <c r="C36" s="28">
        <f t="shared" si="2"/>
        <v>159.0279166666667</v>
      </c>
      <c r="D36" s="28">
        <f t="shared" si="2"/>
        <v>118.93208333333332</v>
      </c>
      <c r="E36" s="28">
        <f t="shared" si="2"/>
        <v>70.296666666666667</v>
      </c>
      <c r="F36" s="28">
        <f t="shared" si="2"/>
        <v>57.856666666666655</v>
      </c>
      <c r="G36" s="28">
        <f t="shared" si="2"/>
        <v>191.17416666666668</v>
      </c>
      <c r="H36" s="28">
        <f t="shared" si="2"/>
        <v>75.889166666666668</v>
      </c>
      <c r="I36" s="28">
        <f t="shared" si="2"/>
        <v>0.50041666666666673</v>
      </c>
      <c r="J36" s="28">
        <f t="shared" si="2"/>
        <v>0.57458333333333311</v>
      </c>
      <c r="K36" s="28">
        <f t="shared" si="2"/>
        <v>153.92041666666668</v>
      </c>
      <c r="L36" s="28" t="e">
        <f t="shared" si="2"/>
        <v>#DIV/0!</v>
      </c>
      <c r="M36" s="28" t="e">
        <f t="shared" si="2"/>
        <v>#DIV/0!</v>
      </c>
      <c r="N36" s="28">
        <f t="shared" si="2"/>
        <v>197.88750000000002</v>
      </c>
      <c r="O36" s="28">
        <f t="shared" si="2"/>
        <v>0</v>
      </c>
      <c r="P36" s="28">
        <f t="shared" si="2"/>
        <v>1.79125</v>
      </c>
      <c r="Q36" s="28">
        <f t="shared" si="2"/>
        <v>105.52541666666667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52.505733261828837</v>
      </c>
      <c r="C37" s="28">
        <f t="shared" ref="C37:Q37" si="3">STDEV(C9:C32)</f>
        <v>103.84417577937191</v>
      </c>
      <c r="D37" s="28">
        <f t="shared" si="3"/>
        <v>97.301833531103071</v>
      </c>
      <c r="E37" s="28">
        <f t="shared" si="3"/>
        <v>32.505280997918241</v>
      </c>
      <c r="F37" s="28">
        <f t="shared" si="3"/>
        <v>40.850997185068763</v>
      </c>
      <c r="G37" s="28">
        <f t="shared" si="3"/>
        <v>67.883259825178897</v>
      </c>
      <c r="H37" s="28">
        <f t="shared" si="3"/>
        <v>15.329769820634052</v>
      </c>
      <c r="I37" s="28">
        <f t="shared" si="3"/>
        <v>0.60077832971011469</v>
      </c>
      <c r="J37" s="28">
        <f t="shared" si="3"/>
        <v>0.30789579217745094</v>
      </c>
      <c r="K37" s="28">
        <f t="shared" si="3"/>
        <v>116.65964018307673</v>
      </c>
      <c r="L37" s="28" t="e">
        <f t="shared" si="3"/>
        <v>#DIV/0!</v>
      </c>
      <c r="M37" s="28" t="e">
        <f t="shared" si="3"/>
        <v>#DIV/0!</v>
      </c>
      <c r="N37" s="28">
        <f t="shared" si="3"/>
        <v>267.41671001169362</v>
      </c>
      <c r="O37" s="28">
        <f t="shared" si="3"/>
        <v>0</v>
      </c>
      <c r="P37" s="28">
        <f t="shared" si="3"/>
        <v>1.3588208203214767</v>
      </c>
      <c r="Q37" s="28">
        <f t="shared" si="3"/>
        <v>70.300100190365043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</f>
        <v>24</v>
      </c>
      <c r="D38" s="32">
        <f t="shared" si="4"/>
        <v>24</v>
      </c>
      <c r="E38" s="32">
        <f>COUNT(E9:E32)</f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>COUNT(L9:L32)+24</f>
        <v>24</v>
      </c>
      <c r="M38" s="32">
        <f>COUNT(M9:M32)+24</f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2" ySplit="8" topLeftCell="C18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3" width="11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02-11-2022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53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82</v>
      </c>
      <c r="B9" s="52">
        <v>52.92</v>
      </c>
      <c r="C9" s="52">
        <v>188.81</v>
      </c>
      <c r="D9" s="52">
        <v>146.63</v>
      </c>
      <c r="E9" s="52">
        <v>50.66</v>
      </c>
      <c r="F9" s="52">
        <v>16.41</v>
      </c>
      <c r="G9" s="52">
        <v>364.59</v>
      </c>
      <c r="H9" s="52">
        <v>102.49</v>
      </c>
      <c r="I9" s="52">
        <v>0.94</v>
      </c>
      <c r="J9" s="52">
        <v>0.86</v>
      </c>
      <c r="K9" s="52">
        <v>356.69</v>
      </c>
      <c r="L9" s="55" t="s">
        <v>8</v>
      </c>
      <c r="M9" s="55" t="s">
        <v>8</v>
      </c>
      <c r="N9" s="52">
        <v>4.5</v>
      </c>
      <c r="O9" s="52">
        <v>0</v>
      </c>
      <c r="P9" s="52">
        <v>2.6</v>
      </c>
      <c r="Q9" s="52">
        <v>168.48</v>
      </c>
      <c r="R9" s="44"/>
      <c r="S9" s="44"/>
      <c r="T9" s="44"/>
      <c r="U9" s="44"/>
    </row>
    <row r="10" spans="1:21" s="11" customFormat="1" x14ac:dyDescent="0.25">
      <c r="A10" s="51" t="s">
        <v>83</v>
      </c>
      <c r="B10" s="52">
        <v>2.23</v>
      </c>
      <c r="C10" s="52">
        <v>89.12</v>
      </c>
      <c r="D10" s="52">
        <v>50.43</v>
      </c>
      <c r="E10" s="52">
        <v>66.81</v>
      </c>
      <c r="F10" s="52">
        <v>38.409999999999997</v>
      </c>
      <c r="G10" s="52">
        <v>319.60000000000002</v>
      </c>
      <c r="H10" s="52">
        <v>110.1</v>
      </c>
      <c r="I10" s="52">
        <v>0.78</v>
      </c>
      <c r="J10" s="52">
        <v>0.69</v>
      </c>
      <c r="K10" s="52">
        <v>348.35</v>
      </c>
      <c r="L10" s="55" t="s">
        <v>8</v>
      </c>
      <c r="M10" s="55" t="s">
        <v>8</v>
      </c>
      <c r="N10" s="52">
        <v>5.2</v>
      </c>
      <c r="O10" s="52">
        <v>0</v>
      </c>
      <c r="P10" s="52">
        <v>0.93</v>
      </c>
      <c r="Q10" s="52">
        <v>87.28</v>
      </c>
      <c r="R10" s="44"/>
      <c r="S10" s="44"/>
      <c r="T10" s="44"/>
      <c r="U10" s="44"/>
    </row>
    <row r="11" spans="1:21" s="11" customFormat="1" x14ac:dyDescent="0.25">
      <c r="A11" s="51" t="s">
        <v>84</v>
      </c>
      <c r="B11" s="52">
        <v>1.43</v>
      </c>
      <c r="C11" s="52">
        <v>84.29</v>
      </c>
      <c r="D11" s="52">
        <v>47.66</v>
      </c>
      <c r="E11" s="52">
        <v>98.27</v>
      </c>
      <c r="F11" s="52">
        <v>56.45</v>
      </c>
      <c r="G11" s="52">
        <v>270.31</v>
      </c>
      <c r="H11" s="52">
        <v>111.8</v>
      </c>
      <c r="I11" s="52">
        <v>0.14000000000000001</v>
      </c>
      <c r="J11" s="52">
        <v>1.1499999999999999</v>
      </c>
      <c r="K11" s="52">
        <v>318.76</v>
      </c>
      <c r="L11" s="55" t="s">
        <v>8</v>
      </c>
      <c r="M11" s="55" t="s">
        <v>8</v>
      </c>
      <c r="N11" s="52">
        <v>4.9000000000000004</v>
      </c>
      <c r="O11" s="52">
        <v>0</v>
      </c>
      <c r="P11" s="52">
        <v>1.19</v>
      </c>
      <c r="Q11" s="52">
        <v>66.510000000000005</v>
      </c>
      <c r="R11" s="44"/>
      <c r="S11" s="44"/>
      <c r="T11" s="44"/>
      <c r="U11" s="44"/>
    </row>
    <row r="12" spans="1:21" s="11" customFormat="1" x14ac:dyDescent="0.25">
      <c r="A12" s="51" t="s">
        <v>85</v>
      </c>
      <c r="B12" s="52">
        <v>2.61</v>
      </c>
      <c r="C12" s="52">
        <v>85.18</v>
      </c>
      <c r="D12" s="52">
        <v>48.36</v>
      </c>
      <c r="E12" s="52">
        <v>109.49</v>
      </c>
      <c r="F12" s="52">
        <v>43.86</v>
      </c>
      <c r="G12" s="52">
        <v>251.68</v>
      </c>
      <c r="H12" s="52">
        <v>111.8</v>
      </c>
      <c r="I12" s="52">
        <v>0.11</v>
      </c>
      <c r="J12" s="52">
        <v>0.5</v>
      </c>
      <c r="K12" s="52">
        <v>15.22</v>
      </c>
      <c r="L12" s="55" t="s">
        <v>8</v>
      </c>
      <c r="M12" s="55" t="s">
        <v>8</v>
      </c>
      <c r="N12" s="52">
        <v>4.7</v>
      </c>
      <c r="O12" s="52">
        <v>0</v>
      </c>
      <c r="P12" s="52">
        <v>0.75</v>
      </c>
      <c r="Q12" s="52">
        <v>64.150000000000006</v>
      </c>
      <c r="R12" s="44"/>
      <c r="S12" s="44"/>
      <c r="T12" s="44"/>
      <c r="U12" s="44"/>
    </row>
    <row r="13" spans="1:21" s="11" customFormat="1" x14ac:dyDescent="0.25">
      <c r="A13" s="51" t="s">
        <v>86</v>
      </c>
      <c r="B13" s="52">
        <v>10.42</v>
      </c>
      <c r="C13" s="52">
        <v>107.93</v>
      </c>
      <c r="D13" s="52">
        <v>67.92</v>
      </c>
      <c r="E13" s="52">
        <v>163.85</v>
      </c>
      <c r="F13" s="52">
        <v>41.33</v>
      </c>
      <c r="G13" s="52">
        <v>209.66</v>
      </c>
      <c r="H13" s="52">
        <v>103.23</v>
      </c>
      <c r="I13" s="52">
        <v>0.12</v>
      </c>
      <c r="J13" s="52">
        <v>1.17</v>
      </c>
      <c r="K13" s="52">
        <v>23.34</v>
      </c>
      <c r="L13" s="55" t="s">
        <v>8</v>
      </c>
      <c r="M13" s="55" t="s">
        <v>8</v>
      </c>
      <c r="N13" s="52">
        <v>5</v>
      </c>
      <c r="O13" s="52">
        <v>0</v>
      </c>
      <c r="P13" s="52">
        <v>1.45</v>
      </c>
      <c r="Q13" s="52">
        <v>66.66</v>
      </c>
      <c r="R13" s="44"/>
      <c r="S13" s="44"/>
      <c r="T13" s="44"/>
      <c r="U13" s="44"/>
    </row>
    <row r="14" spans="1:21" s="11" customFormat="1" x14ac:dyDescent="0.25">
      <c r="A14" s="51" t="s">
        <v>87</v>
      </c>
      <c r="B14" s="52">
        <v>38.54</v>
      </c>
      <c r="C14" s="52">
        <v>167.85</v>
      </c>
      <c r="D14" s="52">
        <v>123.54</v>
      </c>
      <c r="E14" s="52">
        <v>150.47999999999999</v>
      </c>
      <c r="F14" s="52">
        <v>16.07</v>
      </c>
      <c r="G14" s="52">
        <v>253.59</v>
      </c>
      <c r="H14" s="52">
        <v>102.59</v>
      </c>
      <c r="I14" s="52">
        <v>0.11</v>
      </c>
      <c r="J14" s="52">
        <v>0.5</v>
      </c>
      <c r="K14" s="52">
        <v>85.14</v>
      </c>
      <c r="L14" s="55" t="s">
        <v>8</v>
      </c>
      <c r="M14" s="55" t="s">
        <v>8</v>
      </c>
      <c r="N14" s="52">
        <v>5.5</v>
      </c>
      <c r="O14" s="52">
        <v>0</v>
      </c>
      <c r="P14" s="52">
        <v>2.02</v>
      </c>
      <c r="Q14" s="52">
        <v>102.76</v>
      </c>
      <c r="R14" s="44"/>
      <c r="S14" s="44"/>
      <c r="T14" s="44"/>
      <c r="U14" s="44"/>
    </row>
    <row r="15" spans="1:21" s="11" customFormat="1" x14ac:dyDescent="0.25">
      <c r="A15" s="51" t="s">
        <v>88</v>
      </c>
      <c r="B15" s="52">
        <v>28.73</v>
      </c>
      <c r="C15" s="52">
        <v>140.13</v>
      </c>
      <c r="D15" s="52">
        <v>100.37</v>
      </c>
      <c r="E15" s="52">
        <v>145.51</v>
      </c>
      <c r="F15" s="52">
        <v>17.559999999999999</v>
      </c>
      <c r="G15" s="52">
        <v>261.82</v>
      </c>
      <c r="H15" s="52">
        <v>104.13</v>
      </c>
      <c r="I15" s="52">
        <v>0.16</v>
      </c>
      <c r="J15" s="52">
        <v>1.21</v>
      </c>
      <c r="K15" s="52">
        <v>23.85</v>
      </c>
      <c r="L15" s="55" t="s">
        <v>8</v>
      </c>
      <c r="M15" s="55" t="s">
        <v>8</v>
      </c>
      <c r="N15" s="52">
        <v>47</v>
      </c>
      <c r="O15" s="52">
        <v>0</v>
      </c>
      <c r="P15" s="52">
        <v>1.63</v>
      </c>
      <c r="Q15" s="52">
        <v>119.99</v>
      </c>
      <c r="R15" s="44"/>
      <c r="S15" s="44"/>
      <c r="T15" s="44"/>
      <c r="U15" s="44"/>
    </row>
    <row r="16" spans="1:21" s="11" customFormat="1" x14ac:dyDescent="0.25">
      <c r="A16" s="51" t="s">
        <v>89</v>
      </c>
      <c r="B16" s="52">
        <v>55.3</v>
      </c>
      <c r="C16" s="52">
        <v>181.56</v>
      </c>
      <c r="D16" s="52">
        <v>144.55000000000001</v>
      </c>
      <c r="E16" s="52">
        <v>125.74</v>
      </c>
      <c r="F16" s="52">
        <v>13.69</v>
      </c>
      <c r="G16" s="52">
        <v>261.82</v>
      </c>
      <c r="H16" s="52">
        <v>104.13</v>
      </c>
      <c r="I16" s="52">
        <v>0.19</v>
      </c>
      <c r="J16" s="52">
        <v>0.8</v>
      </c>
      <c r="K16" s="52">
        <v>40.97</v>
      </c>
      <c r="L16" s="55" t="s">
        <v>8</v>
      </c>
      <c r="M16" s="55" t="s">
        <v>8</v>
      </c>
      <c r="N16" s="52">
        <v>98.3</v>
      </c>
      <c r="O16" s="52">
        <v>0</v>
      </c>
      <c r="P16" s="52">
        <v>2.0699999999999998</v>
      </c>
      <c r="Q16" s="52">
        <v>195.56</v>
      </c>
      <c r="R16" s="44"/>
      <c r="S16" s="44"/>
      <c r="T16" s="44"/>
      <c r="U16" s="44"/>
    </row>
    <row r="17" spans="1:21" s="11" customFormat="1" x14ac:dyDescent="0.25">
      <c r="A17" s="51" t="s">
        <v>90</v>
      </c>
      <c r="B17" s="52">
        <v>50.74</v>
      </c>
      <c r="C17" s="52">
        <v>172.7</v>
      </c>
      <c r="D17" s="52">
        <v>134.66</v>
      </c>
      <c r="E17" s="52">
        <v>54.48</v>
      </c>
      <c r="F17" s="52">
        <v>3.95</v>
      </c>
      <c r="G17" s="52">
        <v>241.61</v>
      </c>
      <c r="H17" s="52">
        <v>103.97</v>
      </c>
      <c r="I17" s="52">
        <v>0.28999999999999998</v>
      </c>
      <c r="J17" s="52">
        <v>0.73</v>
      </c>
      <c r="K17" s="52">
        <v>53.46</v>
      </c>
      <c r="L17" s="55" t="s">
        <v>8</v>
      </c>
      <c r="M17" s="55" t="s">
        <v>8</v>
      </c>
      <c r="N17" s="52">
        <v>233.9</v>
      </c>
      <c r="O17" s="52">
        <v>0</v>
      </c>
      <c r="P17" s="52">
        <v>2.0699999999999998</v>
      </c>
      <c r="Q17" s="52">
        <v>243.96</v>
      </c>
      <c r="R17" s="44"/>
      <c r="S17" s="44"/>
      <c r="T17" s="44"/>
      <c r="U17" s="44"/>
    </row>
    <row r="18" spans="1:21" s="11" customFormat="1" x14ac:dyDescent="0.25">
      <c r="A18" s="51" t="s">
        <v>91</v>
      </c>
      <c r="B18" s="52">
        <v>49.07</v>
      </c>
      <c r="C18" s="52">
        <v>161.36000000000001</v>
      </c>
      <c r="D18" s="52">
        <v>128.4</v>
      </c>
      <c r="E18" s="52">
        <v>53.98</v>
      </c>
      <c r="F18" s="52">
        <v>4.46</v>
      </c>
      <c r="G18" s="52">
        <v>241.61</v>
      </c>
      <c r="H18" s="52">
        <v>94.82</v>
      </c>
      <c r="I18" s="55" t="s">
        <v>8</v>
      </c>
      <c r="J18" s="52">
        <v>1.47</v>
      </c>
      <c r="K18" s="52">
        <v>124.99</v>
      </c>
      <c r="L18" s="55" t="s">
        <v>8</v>
      </c>
      <c r="M18" s="55" t="s">
        <v>8</v>
      </c>
      <c r="N18" s="52">
        <v>600</v>
      </c>
      <c r="O18" s="52">
        <v>0</v>
      </c>
      <c r="P18" s="52">
        <v>1.81</v>
      </c>
      <c r="Q18" s="52">
        <v>244.13</v>
      </c>
      <c r="R18" s="44"/>
      <c r="S18" s="44"/>
      <c r="T18" s="44"/>
      <c r="U18" s="44"/>
    </row>
    <row r="19" spans="1:21" s="11" customFormat="1" x14ac:dyDescent="0.25">
      <c r="A19" s="51" t="s">
        <v>92</v>
      </c>
      <c r="B19" s="56" t="s">
        <v>4</v>
      </c>
      <c r="C19" s="56" t="s">
        <v>4</v>
      </c>
      <c r="D19" s="56" t="s">
        <v>4</v>
      </c>
      <c r="E19" s="56" t="s">
        <v>4</v>
      </c>
      <c r="F19" s="56" t="s">
        <v>4</v>
      </c>
      <c r="G19" s="56" t="s">
        <v>4</v>
      </c>
      <c r="H19" s="56" t="s">
        <v>4</v>
      </c>
      <c r="I19" s="56" t="s">
        <v>4</v>
      </c>
      <c r="J19" s="56" t="s">
        <v>4</v>
      </c>
      <c r="K19" s="56" t="s">
        <v>4</v>
      </c>
      <c r="L19" s="56" t="s">
        <v>4</v>
      </c>
      <c r="M19" s="56" t="s">
        <v>4</v>
      </c>
      <c r="N19" s="56" t="s">
        <v>4</v>
      </c>
      <c r="O19" s="56" t="s">
        <v>4</v>
      </c>
      <c r="P19" s="56" t="s">
        <v>4</v>
      </c>
      <c r="Q19" s="56" t="s">
        <v>4</v>
      </c>
      <c r="R19" s="44"/>
      <c r="S19" s="44"/>
      <c r="T19" s="44"/>
      <c r="U19" s="44"/>
    </row>
    <row r="20" spans="1:21" s="11" customFormat="1" x14ac:dyDescent="0.25">
      <c r="A20" s="51" t="s">
        <v>93</v>
      </c>
      <c r="B20" s="56" t="s">
        <v>4</v>
      </c>
      <c r="C20" s="56" t="s">
        <v>4</v>
      </c>
      <c r="D20" s="56" t="s">
        <v>4</v>
      </c>
      <c r="E20" s="56" t="s">
        <v>4</v>
      </c>
      <c r="F20" s="56" t="s">
        <v>4</v>
      </c>
      <c r="G20" s="56" t="s">
        <v>4</v>
      </c>
      <c r="H20" s="56" t="s">
        <v>4</v>
      </c>
      <c r="I20" s="56" t="s">
        <v>4</v>
      </c>
      <c r="J20" s="56" t="s">
        <v>4</v>
      </c>
      <c r="K20" s="56" t="s">
        <v>4</v>
      </c>
      <c r="L20" s="56" t="s">
        <v>4</v>
      </c>
      <c r="M20" s="56" t="s">
        <v>4</v>
      </c>
      <c r="N20" s="56" t="s">
        <v>4</v>
      </c>
      <c r="O20" s="56" t="s">
        <v>4</v>
      </c>
      <c r="P20" s="56" t="s">
        <v>4</v>
      </c>
      <c r="Q20" s="56" t="s">
        <v>4</v>
      </c>
      <c r="R20" s="44"/>
      <c r="S20" s="44"/>
      <c r="T20" s="44"/>
      <c r="U20" s="44"/>
    </row>
    <row r="21" spans="1:21" s="11" customFormat="1" x14ac:dyDescent="0.25">
      <c r="A21" s="51" t="s">
        <v>94</v>
      </c>
      <c r="B21" s="56" t="s">
        <v>4</v>
      </c>
      <c r="C21" s="56" t="s">
        <v>4</v>
      </c>
      <c r="D21" s="56" t="s">
        <v>4</v>
      </c>
      <c r="E21" s="56" t="s">
        <v>4</v>
      </c>
      <c r="F21" s="56" t="s">
        <v>4</v>
      </c>
      <c r="G21" s="56" t="s">
        <v>4</v>
      </c>
      <c r="H21" s="56" t="s">
        <v>4</v>
      </c>
      <c r="I21" s="56" t="s">
        <v>4</v>
      </c>
      <c r="J21" s="56" t="s">
        <v>4</v>
      </c>
      <c r="K21" s="56" t="s">
        <v>4</v>
      </c>
      <c r="L21" s="56" t="s">
        <v>4</v>
      </c>
      <c r="M21" s="56" t="s">
        <v>4</v>
      </c>
      <c r="N21" s="56" t="s">
        <v>4</v>
      </c>
      <c r="O21" s="56" t="s">
        <v>4</v>
      </c>
      <c r="P21" s="56" t="s">
        <v>4</v>
      </c>
      <c r="Q21" s="56" t="s">
        <v>4</v>
      </c>
      <c r="R21" s="44"/>
      <c r="S21" s="44"/>
      <c r="T21" s="44"/>
      <c r="U21" s="44"/>
    </row>
    <row r="22" spans="1:21" s="11" customFormat="1" x14ac:dyDescent="0.25">
      <c r="A22" s="51" t="s">
        <v>95</v>
      </c>
      <c r="B22" s="56" t="s">
        <v>4</v>
      </c>
      <c r="C22" s="56" t="s">
        <v>4</v>
      </c>
      <c r="D22" s="56" t="s">
        <v>4</v>
      </c>
      <c r="E22" s="56" t="s">
        <v>4</v>
      </c>
      <c r="F22" s="56" t="s">
        <v>4</v>
      </c>
      <c r="G22" s="56" t="s">
        <v>4</v>
      </c>
      <c r="H22" s="56" t="s">
        <v>4</v>
      </c>
      <c r="I22" s="56" t="s">
        <v>4</v>
      </c>
      <c r="J22" s="56" t="s">
        <v>4</v>
      </c>
      <c r="K22" s="56" t="s">
        <v>4</v>
      </c>
      <c r="L22" s="56" t="s">
        <v>4</v>
      </c>
      <c r="M22" s="56" t="s">
        <v>4</v>
      </c>
      <c r="N22" s="56" t="s">
        <v>4</v>
      </c>
      <c r="O22" s="56" t="s">
        <v>4</v>
      </c>
      <c r="P22" s="56" t="s">
        <v>4</v>
      </c>
      <c r="Q22" s="56" t="s">
        <v>4</v>
      </c>
      <c r="R22" s="44"/>
      <c r="S22" s="44"/>
      <c r="T22" s="44"/>
      <c r="U22" s="44"/>
    </row>
    <row r="23" spans="1:21" s="11" customFormat="1" x14ac:dyDescent="0.25">
      <c r="A23" s="51" t="s">
        <v>96</v>
      </c>
      <c r="B23" s="56" t="s">
        <v>4</v>
      </c>
      <c r="C23" s="56" t="s">
        <v>4</v>
      </c>
      <c r="D23" s="56" t="s">
        <v>4</v>
      </c>
      <c r="E23" s="56" t="s">
        <v>4</v>
      </c>
      <c r="F23" s="56" t="s">
        <v>4</v>
      </c>
      <c r="G23" s="56" t="s">
        <v>4</v>
      </c>
      <c r="H23" s="56" t="s">
        <v>4</v>
      </c>
      <c r="I23" s="56" t="s">
        <v>4</v>
      </c>
      <c r="J23" s="56" t="s">
        <v>4</v>
      </c>
      <c r="K23" s="56" t="s">
        <v>4</v>
      </c>
      <c r="L23" s="56" t="s">
        <v>4</v>
      </c>
      <c r="M23" s="56" t="s">
        <v>4</v>
      </c>
      <c r="N23" s="56" t="s">
        <v>4</v>
      </c>
      <c r="O23" s="56" t="s">
        <v>4</v>
      </c>
      <c r="P23" s="56" t="s">
        <v>4</v>
      </c>
      <c r="Q23" s="56" t="s">
        <v>4</v>
      </c>
      <c r="R23" s="44"/>
      <c r="S23" s="44"/>
      <c r="T23" s="44"/>
      <c r="U23" s="44"/>
    </row>
    <row r="24" spans="1:21" s="11" customFormat="1" x14ac:dyDescent="0.25">
      <c r="A24" s="51" t="s">
        <v>97</v>
      </c>
      <c r="B24" s="56" t="s">
        <v>4</v>
      </c>
      <c r="C24" s="56" t="s">
        <v>4</v>
      </c>
      <c r="D24" s="56" t="s">
        <v>4</v>
      </c>
      <c r="E24" s="56" t="s">
        <v>4</v>
      </c>
      <c r="F24" s="56" t="s">
        <v>4</v>
      </c>
      <c r="G24" s="56" t="s">
        <v>4</v>
      </c>
      <c r="H24" s="56" t="s">
        <v>4</v>
      </c>
      <c r="I24" s="56" t="s">
        <v>4</v>
      </c>
      <c r="J24" s="56" t="s">
        <v>4</v>
      </c>
      <c r="K24" s="56" t="s">
        <v>4</v>
      </c>
      <c r="L24" s="56" t="s">
        <v>4</v>
      </c>
      <c r="M24" s="56" t="s">
        <v>4</v>
      </c>
      <c r="N24" s="56" t="s">
        <v>4</v>
      </c>
      <c r="O24" s="56" t="s">
        <v>4</v>
      </c>
      <c r="P24" s="56" t="s">
        <v>4</v>
      </c>
      <c r="Q24" s="56" t="s">
        <v>4</v>
      </c>
      <c r="R24" s="44"/>
      <c r="S24" s="44"/>
      <c r="T24" s="44"/>
      <c r="U24" s="44"/>
    </row>
    <row r="25" spans="1:21" s="11" customFormat="1" x14ac:dyDescent="0.25">
      <c r="A25" s="51" t="s">
        <v>98</v>
      </c>
      <c r="B25" s="56" t="s">
        <v>4</v>
      </c>
      <c r="C25" s="56" t="s">
        <v>4</v>
      </c>
      <c r="D25" s="56" t="s">
        <v>4</v>
      </c>
      <c r="E25" s="56" t="s">
        <v>4</v>
      </c>
      <c r="F25" s="56" t="s">
        <v>4</v>
      </c>
      <c r="G25" s="56" t="s">
        <v>4</v>
      </c>
      <c r="H25" s="56" t="s">
        <v>4</v>
      </c>
      <c r="I25" s="56" t="s">
        <v>4</v>
      </c>
      <c r="J25" s="56" t="s">
        <v>4</v>
      </c>
      <c r="K25" s="56" t="s">
        <v>4</v>
      </c>
      <c r="L25" s="56" t="s">
        <v>4</v>
      </c>
      <c r="M25" s="56" t="s">
        <v>4</v>
      </c>
      <c r="N25" s="56" t="s">
        <v>4</v>
      </c>
      <c r="O25" s="56" t="s">
        <v>4</v>
      </c>
      <c r="P25" s="56" t="s">
        <v>4</v>
      </c>
      <c r="Q25" s="56" t="s">
        <v>4</v>
      </c>
      <c r="R25" s="44"/>
      <c r="S25" s="44"/>
      <c r="T25" s="44"/>
      <c r="U25" s="44"/>
    </row>
    <row r="26" spans="1:21" s="11" customFormat="1" x14ac:dyDescent="0.25">
      <c r="A26" s="51" t="s">
        <v>99</v>
      </c>
      <c r="B26" s="56" t="s">
        <v>4</v>
      </c>
      <c r="C26" s="56" t="s">
        <v>4</v>
      </c>
      <c r="D26" s="56" t="s">
        <v>4</v>
      </c>
      <c r="E26" s="56" t="s">
        <v>4</v>
      </c>
      <c r="F26" s="56" t="s">
        <v>4</v>
      </c>
      <c r="G26" s="56" t="s">
        <v>4</v>
      </c>
      <c r="H26" s="56" t="s">
        <v>4</v>
      </c>
      <c r="I26" s="56" t="s">
        <v>4</v>
      </c>
      <c r="J26" s="56" t="s">
        <v>4</v>
      </c>
      <c r="K26" s="56" t="s">
        <v>4</v>
      </c>
      <c r="L26" s="56" t="s">
        <v>4</v>
      </c>
      <c r="M26" s="56" t="s">
        <v>4</v>
      </c>
      <c r="N26" s="56" t="s">
        <v>4</v>
      </c>
      <c r="O26" s="56" t="s">
        <v>4</v>
      </c>
      <c r="P26" s="56" t="s">
        <v>4</v>
      </c>
      <c r="Q26" s="56" t="s">
        <v>4</v>
      </c>
      <c r="R26" s="44"/>
      <c r="S26" s="44"/>
      <c r="T26" s="44"/>
      <c r="U26" s="44"/>
    </row>
    <row r="27" spans="1:21" s="11" customFormat="1" x14ac:dyDescent="0.25">
      <c r="A27" s="51" t="s">
        <v>100</v>
      </c>
      <c r="B27" s="56" t="s">
        <v>4</v>
      </c>
      <c r="C27" s="56" t="s">
        <v>4</v>
      </c>
      <c r="D27" s="56" t="s">
        <v>4</v>
      </c>
      <c r="E27" s="56" t="s">
        <v>4</v>
      </c>
      <c r="F27" s="56" t="s">
        <v>4</v>
      </c>
      <c r="G27" s="56" t="s">
        <v>4</v>
      </c>
      <c r="H27" s="56" t="s">
        <v>4</v>
      </c>
      <c r="I27" s="56" t="s">
        <v>4</v>
      </c>
      <c r="J27" s="56" t="s">
        <v>4</v>
      </c>
      <c r="K27" s="56" t="s">
        <v>4</v>
      </c>
      <c r="L27" s="56" t="s">
        <v>4</v>
      </c>
      <c r="M27" s="56" t="s">
        <v>4</v>
      </c>
      <c r="N27" s="56" t="s">
        <v>4</v>
      </c>
      <c r="O27" s="56" t="s">
        <v>4</v>
      </c>
      <c r="P27" s="56" t="s">
        <v>4</v>
      </c>
      <c r="Q27" s="56" t="s">
        <v>4</v>
      </c>
      <c r="R27" s="44"/>
      <c r="S27" s="44"/>
      <c r="T27" s="44"/>
      <c r="U27" s="44"/>
    </row>
    <row r="28" spans="1:21" s="11" customFormat="1" x14ac:dyDescent="0.25">
      <c r="A28" s="51" t="s">
        <v>101</v>
      </c>
      <c r="B28" s="56" t="s">
        <v>4</v>
      </c>
      <c r="C28" s="56" t="s">
        <v>4</v>
      </c>
      <c r="D28" s="56" t="s">
        <v>4</v>
      </c>
      <c r="E28" s="56" t="s">
        <v>4</v>
      </c>
      <c r="F28" s="56" t="s">
        <v>4</v>
      </c>
      <c r="G28" s="56" t="s">
        <v>4</v>
      </c>
      <c r="H28" s="56" t="s">
        <v>4</v>
      </c>
      <c r="I28" s="56" t="s">
        <v>4</v>
      </c>
      <c r="J28" s="56" t="s">
        <v>4</v>
      </c>
      <c r="K28" s="56" t="s">
        <v>4</v>
      </c>
      <c r="L28" s="56" t="s">
        <v>4</v>
      </c>
      <c r="M28" s="56" t="s">
        <v>4</v>
      </c>
      <c r="N28" s="56" t="s">
        <v>4</v>
      </c>
      <c r="O28" s="56" t="s">
        <v>4</v>
      </c>
      <c r="P28" s="56" t="s">
        <v>4</v>
      </c>
      <c r="Q28" s="56" t="s">
        <v>4</v>
      </c>
      <c r="R28" s="44"/>
      <c r="S28" s="44"/>
      <c r="T28" s="44"/>
      <c r="U28" s="44"/>
    </row>
    <row r="29" spans="1:21" s="11" customFormat="1" x14ac:dyDescent="0.25">
      <c r="A29" s="51" t="s">
        <v>102</v>
      </c>
      <c r="B29" s="56" t="s">
        <v>4</v>
      </c>
      <c r="C29" s="56" t="s">
        <v>4</v>
      </c>
      <c r="D29" s="56" t="s">
        <v>4</v>
      </c>
      <c r="E29" s="56" t="s">
        <v>4</v>
      </c>
      <c r="F29" s="56" t="s">
        <v>4</v>
      </c>
      <c r="G29" s="56" t="s">
        <v>4</v>
      </c>
      <c r="H29" s="56" t="s">
        <v>4</v>
      </c>
      <c r="I29" s="56" t="s">
        <v>4</v>
      </c>
      <c r="J29" s="56" t="s">
        <v>4</v>
      </c>
      <c r="K29" s="56" t="s">
        <v>4</v>
      </c>
      <c r="L29" s="56" t="s">
        <v>4</v>
      </c>
      <c r="M29" s="56" t="s">
        <v>4</v>
      </c>
      <c r="N29" s="56" t="s">
        <v>4</v>
      </c>
      <c r="O29" s="56" t="s">
        <v>4</v>
      </c>
      <c r="P29" s="56" t="s">
        <v>4</v>
      </c>
      <c r="Q29" s="56" t="s">
        <v>4</v>
      </c>
      <c r="R29" s="44"/>
      <c r="S29" s="44"/>
      <c r="T29" s="44"/>
      <c r="U29" s="44"/>
    </row>
    <row r="30" spans="1:21" s="11" customFormat="1" x14ac:dyDescent="0.25">
      <c r="A30" s="51" t="s">
        <v>103</v>
      </c>
      <c r="B30" s="56" t="s">
        <v>4</v>
      </c>
      <c r="C30" s="56" t="s">
        <v>4</v>
      </c>
      <c r="D30" s="56" t="s">
        <v>4</v>
      </c>
      <c r="E30" s="56" t="s">
        <v>4</v>
      </c>
      <c r="F30" s="56" t="s">
        <v>4</v>
      </c>
      <c r="G30" s="56" t="s">
        <v>4</v>
      </c>
      <c r="H30" s="56" t="s">
        <v>4</v>
      </c>
      <c r="I30" s="56" t="s">
        <v>4</v>
      </c>
      <c r="J30" s="56" t="s">
        <v>4</v>
      </c>
      <c r="K30" s="56" t="s">
        <v>4</v>
      </c>
      <c r="L30" s="56" t="s">
        <v>4</v>
      </c>
      <c r="M30" s="56" t="s">
        <v>4</v>
      </c>
      <c r="N30" s="56" t="s">
        <v>4</v>
      </c>
      <c r="O30" s="56" t="s">
        <v>4</v>
      </c>
      <c r="P30" s="56" t="s">
        <v>4</v>
      </c>
      <c r="Q30" s="56" t="s">
        <v>4</v>
      </c>
      <c r="R30" s="44"/>
      <c r="S30" s="44"/>
      <c r="T30" s="44"/>
      <c r="U30" s="44"/>
    </row>
    <row r="31" spans="1:21" s="11" customFormat="1" x14ac:dyDescent="0.25">
      <c r="A31" s="51" t="s">
        <v>104</v>
      </c>
      <c r="B31" s="56" t="s">
        <v>4</v>
      </c>
      <c r="C31" s="56" t="s">
        <v>4</v>
      </c>
      <c r="D31" s="56" t="s">
        <v>4</v>
      </c>
      <c r="E31" s="56" t="s">
        <v>4</v>
      </c>
      <c r="F31" s="56" t="s">
        <v>4</v>
      </c>
      <c r="G31" s="56" t="s">
        <v>4</v>
      </c>
      <c r="H31" s="56" t="s">
        <v>4</v>
      </c>
      <c r="I31" s="56" t="s">
        <v>4</v>
      </c>
      <c r="J31" s="56" t="s">
        <v>4</v>
      </c>
      <c r="K31" s="56" t="s">
        <v>4</v>
      </c>
      <c r="L31" s="56" t="s">
        <v>4</v>
      </c>
      <c r="M31" s="56" t="s">
        <v>4</v>
      </c>
      <c r="N31" s="56" t="s">
        <v>4</v>
      </c>
      <c r="O31" s="56" t="s">
        <v>4</v>
      </c>
      <c r="P31" s="56" t="s">
        <v>4</v>
      </c>
      <c r="Q31" s="56" t="s">
        <v>4</v>
      </c>
      <c r="R31" s="44"/>
      <c r="S31" s="44"/>
      <c r="T31" s="44"/>
      <c r="U31" s="44"/>
    </row>
    <row r="32" spans="1:21" s="11" customFormat="1" x14ac:dyDescent="0.25">
      <c r="A32" s="51" t="s">
        <v>105</v>
      </c>
      <c r="B32" s="56" t="s">
        <v>4</v>
      </c>
      <c r="C32" s="56" t="s">
        <v>4</v>
      </c>
      <c r="D32" s="56" t="s">
        <v>4</v>
      </c>
      <c r="E32" s="56" t="s">
        <v>4</v>
      </c>
      <c r="F32" s="56" t="s">
        <v>4</v>
      </c>
      <c r="G32" s="56" t="s">
        <v>4</v>
      </c>
      <c r="H32" s="56" t="s">
        <v>4</v>
      </c>
      <c r="I32" s="56" t="s">
        <v>4</v>
      </c>
      <c r="J32" s="56" t="s">
        <v>4</v>
      </c>
      <c r="K32" s="56" t="s">
        <v>4</v>
      </c>
      <c r="L32" s="56" t="s">
        <v>4</v>
      </c>
      <c r="M32" s="56" t="s">
        <v>4</v>
      </c>
      <c r="N32" s="56" t="s">
        <v>4</v>
      </c>
      <c r="O32" s="56" t="s">
        <v>4</v>
      </c>
      <c r="P32" s="56" t="s">
        <v>4</v>
      </c>
      <c r="Q32" s="56" t="s">
        <v>4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1.43</v>
      </c>
      <c r="C34" s="28">
        <f t="shared" si="0"/>
        <v>84.29</v>
      </c>
      <c r="D34" s="28">
        <f t="shared" si="0"/>
        <v>47.66</v>
      </c>
      <c r="E34" s="28">
        <f t="shared" si="0"/>
        <v>50.66</v>
      </c>
      <c r="F34" s="28">
        <f t="shared" si="0"/>
        <v>3.95</v>
      </c>
      <c r="G34" s="28">
        <f t="shared" si="0"/>
        <v>209.66</v>
      </c>
      <c r="H34" s="28">
        <f t="shared" si="0"/>
        <v>94.82</v>
      </c>
      <c r="I34" s="28">
        <f t="shared" si="0"/>
        <v>0.11</v>
      </c>
      <c r="J34" s="28">
        <f t="shared" si="0"/>
        <v>0.5</v>
      </c>
      <c r="K34" s="28">
        <f t="shared" si="0"/>
        <v>15.22</v>
      </c>
      <c r="L34" s="28">
        <f t="shared" si="0"/>
        <v>0</v>
      </c>
      <c r="M34" s="28">
        <f t="shared" si="0"/>
        <v>0</v>
      </c>
      <c r="N34" s="28">
        <f t="shared" si="0"/>
        <v>4.5</v>
      </c>
      <c r="O34" s="28">
        <f t="shared" si="0"/>
        <v>0</v>
      </c>
      <c r="P34" s="28">
        <f t="shared" si="0"/>
        <v>0.75</v>
      </c>
      <c r="Q34" s="28">
        <f t="shared" si="0"/>
        <v>64.150000000000006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55.3</v>
      </c>
      <c r="C35" s="29">
        <f t="shared" si="1"/>
        <v>188.81</v>
      </c>
      <c r="D35" s="29">
        <f t="shared" si="1"/>
        <v>146.63</v>
      </c>
      <c r="E35" s="29">
        <f t="shared" si="1"/>
        <v>163.85</v>
      </c>
      <c r="F35" s="29">
        <f t="shared" si="1"/>
        <v>56.45</v>
      </c>
      <c r="G35" s="29">
        <f t="shared" si="1"/>
        <v>364.59</v>
      </c>
      <c r="H35" s="29">
        <f t="shared" si="1"/>
        <v>111.8</v>
      </c>
      <c r="I35" s="29">
        <f t="shared" si="1"/>
        <v>0.94</v>
      </c>
      <c r="J35" s="29">
        <f t="shared" si="1"/>
        <v>1.47</v>
      </c>
      <c r="K35" s="29">
        <f t="shared" si="1"/>
        <v>356.69</v>
      </c>
      <c r="L35" s="29">
        <f t="shared" si="1"/>
        <v>0</v>
      </c>
      <c r="M35" s="29">
        <f t="shared" si="1"/>
        <v>0</v>
      </c>
      <c r="N35" s="29">
        <f t="shared" si="1"/>
        <v>600</v>
      </c>
      <c r="O35" s="29">
        <f t="shared" si="1"/>
        <v>0</v>
      </c>
      <c r="P35" s="29">
        <f t="shared" si="1"/>
        <v>2.6</v>
      </c>
      <c r="Q35" s="29">
        <f t="shared" si="1"/>
        <v>244.13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29.199000000000002</v>
      </c>
      <c r="C36" s="28">
        <f t="shared" si="2"/>
        <v>137.89300000000003</v>
      </c>
      <c r="D36" s="28">
        <f t="shared" si="2"/>
        <v>99.251999999999995</v>
      </c>
      <c r="E36" s="28">
        <f t="shared" si="2"/>
        <v>101.92700000000001</v>
      </c>
      <c r="F36" s="28">
        <f t="shared" si="2"/>
        <v>25.218999999999998</v>
      </c>
      <c r="G36" s="28">
        <f t="shared" si="2"/>
        <v>267.62900000000002</v>
      </c>
      <c r="H36" s="28">
        <f t="shared" si="2"/>
        <v>104.90599999999999</v>
      </c>
      <c r="I36" s="28">
        <f t="shared" si="2"/>
        <v>0.31555555555555553</v>
      </c>
      <c r="J36" s="28">
        <f t="shared" si="2"/>
        <v>0.90800000000000003</v>
      </c>
      <c r="K36" s="28">
        <f t="shared" si="2"/>
        <v>139.077</v>
      </c>
      <c r="L36" s="28" t="e">
        <f t="shared" si="2"/>
        <v>#DIV/0!</v>
      </c>
      <c r="M36" s="28" t="e">
        <f t="shared" si="2"/>
        <v>#DIV/0!</v>
      </c>
      <c r="N36" s="28">
        <f t="shared" si="2"/>
        <v>100.9</v>
      </c>
      <c r="O36" s="28">
        <f t="shared" si="2"/>
        <v>0</v>
      </c>
      <c r="P36" s="28">
        <f t="shared" si="2"/>
        <v>1.6519999999999999</v>
      </c>
      <c r="Q36" s="28">
        <f t="shared" si="2"/>
        <v>135.94800000000001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22.969457232498019</v>
      </c>
      <c r="C37" s="28">
        <f t="shared" ref="C37:Q37" si="3">STDEV(C9:C32)</f>
        <v>42.285445368353344</v>
      </c>
      <c r="D37" s="28">
        <f t="shared" si="3"/>
        <v>41.644107172830843</v>
      </c>
      <c r="E37" s="28">
        <f t="shared" si="3"/>
        <v>43.640708327584825</v>
      </c>
      <c r="F37" s="28">
        <f t="shared" si="3"/>
        <v>18.234936827724727</v>
      </c>
      <c r="G37" s="28">
        <f t="shared" si="3"/>
        <v>43.897535858455946</v>
      </c>
      <c r="H37" s="28">
        <f t="shared" si="3"/>
        <v>5.1623620777917374</v>
      </c>
      <c r="I37" s="28">
        <f t="shared" si="3"/>
        <v>0.31619262764615147</v>
      </c>
      <c r="J37" s="28">
        <f t="shared" si="3"/>
        <v>0.32665986387474455</v>
      </c>
      <c r="K37" s="28">
        <f t="shared" si="3"/>
        <v>143.57048428095055</v>
      </c>
      <c r="L37" s="28" t="e">
        <f t="shared" si="3"/>
        <v>#DIV/0!</v>
      </c>
      <c r="M37" s="28" t="e">
        <f t="shared" si="3"/>
        <v>#DIV/0!</v>
      </c>
      <c r="N37" s="28">
        <f t="shared" si="3"/>
        <v>190.00632738002292</v>
      </c>
      <c r="O37" s="28">
        <f t="shared" si="3"/>
        <v>0</v>
      </c>
      <c r="P37" s="28">
        <f t="shared" si="3"/>
        <v>0.57717318795045314</v>
      </c>
      <c r="Q37" s="28">
        <f t="shared" si="3"/>
        <v>71.867122571219355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COUNT(B9:B32)+14</f>
        <v>24</v>
      </c>
      <c r="C38" s="32">
        <f t="shared" ref="C38:H38" si="4">COUNT(C9:C32)+14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COUNT(I9:I32)+15</f>
        <v>24</v>
      </c>
      <c r="J38" s="32">
        <f>COUNT(J9:J32)+14</f>
        <v>24</v>
      </c>
      <c r="K38" s="32">
        <f>COUNT(K9:K32)+14</f>
        <v>24</v>
      </c>
      <c r="L38" s="32">
        <f>COUNT(L9:L32)+24</f>
        <v>24</v>
      </c>
      <c r="M38" s="32">
        <f>COUNT(M9:M32)+24</f>
        <v>24</v>
      </c>
      <c r="N38" s="32">
        <f>COUNT(N9:N32)+14</f>
        <v>24</v>
      </c>
      <c r="O38" s="32">
        <f>COUNT(O9:O32)+14</f>
        <v>24</v>
      </c>
      <c r="P38" s="32">
        <f>COUNT(P9:P32)+14</f>
        <v>24</v>
      </c>
      <c r="Q38" s="32">
        <f>COUNT(Q9:Q32)+14</f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2" ySplit="8" topLeftCell="C13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03-11-2022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106</v>
      </c>
      <c r="B9" s="56" t="s">
        <v>4</v>
      </c>
      <c r="C9" s="56" t="s">
        <v>4</v>
      </c>
      <c r="D9" s="56" t="s">
        <v>4</v>
      </c>
      <c r="E9" s="56" t="s">
        <v>4</v>
      </c>
      <c r="F9" s="56" t="s">
        <v>4</v>
      </c>
      <c r="G9" s="56" t="s">
        <v>4</v>
      </c>
      <c r="H9" s="56" t="s">
        <v>4</v>
      </c>
      <c r="I9" s="56" t="s">
        <v>4</v>
      </c>
      <c r="J9" s="56" t="s">
        <v>4</v>
      </c>
      <c r="K9" s="56" t="s">
        <v>4</v>
      </c>
      <c r="L9" s="56" t="s">
        <v>4</v>
      </c>
      <c r="M9" s="56" t="s">
        <v>4</v>
      </c>
      <c r="N9" s="56" t="s">
        <v>4</v>
      </c>
      <c r="O9" s="56" t="s">
        <v>4</v>
      </c>
      <c r="P9" s="56" t="s">
        <v>4</v>
      </c>
      <c r="Q9" s="56" t="s">
        <v>4</v>
      </c>
      <c r="R9" s="44"/>
      <c r="S9" s="44"/>
      <c r="T9" s="44"/>
      <c r="U9" s="44"/>
    </row>
    <row r="10" spans="1:21" s="11" customFormat="1" x14ac:dyDescent="0.25">
      <c r="A10" s="51" t="s">
        <v>107</v>
      </c>
      <c r="B10" s="56" t="s">
        <v>4</v>
      </c>
      <c r="C10" s="56" t="s">
        <v>4</v>
      </c>
      <c r="D10" s="56" t="s">
        <v>4</v>
      </c>
      <c r="E10" s="56" t="s">
        <v>4</v>
      </c>
      <c r="F10" s="56" t="s">
        <v>4</v>
      </c>
      <c r="G10" s="56" t="s">
        <v>4</v>
      </c>
      <c r="H10" s="56" t="s">
        <v>4</v>
      </c>
      <c r="I10" s="56" t="s">
        <v>4</v>
      </c>
      <c r="J10" s="56" t="s">
        <v>4</v>
      </c>
      <c r="K10" s="56" t="s">
        <v>4</v>
      </c>
      <c r="L10" s="56" t="s">
        <v>4</v>
      </c>
      <c r="M10" s="56" t="s">
        <v>4</v>
      </c>
      <c r="N10" s="56" t="s">
        <v>4</v>
      </c>
      <c r="O10" s="56" t="s">
        <v>4</v>
      </c>
      <c r="P10" s="56" t="s">
        <v>4</v>
      </c>
      <c r="Q10" s="56" t="s">
        <v>4</v>
      </c>
      <c r="R10" s="44"/>
      <c r="S10" s="44"/>
      <c r="T10" s="44"/>
      <c r="U10" s="44"/>
    </row>
    <row r="11" spans="1:21" s="11" customFormat="1" x14ac:dyDescent="0.25">
      <c r="A11" s="51" t="s">
        <v>108</v>
      </c>
      <c r="B11" s="56" t="s">
        <v>4</v>
      </c>
      <c r="C11" s="56" t="s">
        <v>4</v>
      </c>
      <c r="D11" s="56" t="s">
        <v>4</v>
      </c>
      <c r="E11" s="56" t="s">
        <v>4</v>
      </c>
      <c r="F11" s="56" t="s">
        <v>4</v>
      </c>
      <c r="G11" s="56" t="s">
        <v>4</v>
      </c>
      <c r="H11" s="56" t="s">
        <v>4</v>
      </c>
      <c r="I11" s="56" t="s">
        <v>4</v>
      </c>
      <c r="J11" s="56" t="s">
        <v>4</v>
      </c>
      <c r="K11" s="56" t="s">
        <v>4</v>
      </c>
      <c r="L11" s="56" t="s">
        <v>4</v>
      </c>
      <c r="M11" s="56" t="s">
        <v>4</v>
      </c>
      <c r="N11" s="56" t="s">
        <v>4</v>
      </c>
      <c r="O11" s="56" t="s">
        <v>4</v>
      </c>
      <c r="P11" s="56" t="s">
        <v>4</v>
      </c>
      <c r="Q11" s="56" t="s">
        <v>4</v>
      </c>
      <c r="R11" s="44"/>
      <c r="S11" s="44"/>
      <c r="T11" s="44"/>
      <c r="U11" s="44"/>
    </row>
    <row r="12" spans="1:21" s="11" customFormat="1" x14ac:dyDescent="0.25">
      <c r="A12" s="51" t="s">
        <v>109</v>
      </c>
      <c r="B12" s="56" t="s">
        <v>4</v>
      </c>
      <c r="C12" s="56" t="s">
        <v>4</v>
      </c>
      <c r="D12" s="56" t="s">
        <v>4</v>
      </c>
      <c r="E12" s="56" t="s">
        <v>4</v>
      </c>
      <c r="F12" s="56" t="s">
        <v>4</v>
      </c>
      <c r="G12" s="56" t="s">
        <v>4</v>
      </c>
      <c r="H12" s="56" t="s">
        <v>4</v>
      </c>
      <c r="I12" s="56" t="s">
        <v>4</v>
      </c>
      <c r="J12" s="56" t="s">
        <v>4</v>
      </c>
      <c r="K12" s="56" t="s">
        <v>4</v>
      </c>
      <c r="L12" s="56" t="s">
        <v>4</v>
      </c>
      <c r="M12" s="56" t="s">
        <v>4</v>
      </c>
      <c r="N12" s="56" t="s">
        <v>4</v>
      </c>
      <c r="O12" s="56" t="s">
        <v>4</v>
      </c>
      <c r="P12" s="56" t="s">
        <v>4</v>
      </c>
      <c r="Q12" s="56" t="s">
        <v>4</v>
      </c>
      <c r="R12" s="44"/>
      <c r="S12" s="44"/>
      <c r="T12" s="44"/>
      <c r="U12" s="44"/>
    </row>
    <row r="13" spans="1:21" s="11" customFormat="1" x14ac:dyDescent="0.25">
      <c r="A13" s="51" t="s">
        <v>110</v>
      </c>
      <c r="B13" s="56" t="s">
        <v>4</v>
      </c>
      <c r="C13" s="56" t="s">
        <v>4</v>
      </c>
      <c r="D13" s="56" t="s">
        <v>4</v>
      </c>
      <c r="E13" s="56" t="s">
        <v>4</v>
      </c>
      <c r="F13" s="56" t="s">
        <v>4</v>
      </c>
      <c r="G13" s="56" t="s">
        <v>4</v>
      </c>
      <c r="H13" s="56" t="s">
        <v>4</v>
      </c>
      <c r="I13" s="56" t="s">
        <v>4</v>
      </c>
      <c r="J13" s="56" t="s">
        <v>4</v>
      </c>
      <c r="K13" s="56" t="s">
        <v>4</v>
      </c>
      <c r="L13" s="56" t="s">
        <v>4</v>
      </c>
      <c r="M13" s="56" t="s">
        <v>4</v>
      </c>
      <c r="N13" s="56" t="s">
        <v>4</v>
      </c>
      <c r="O13" s="56" t="s">
        <v>4</v>
      </c>
      <c r="P13" s="56" t="s">
        <v>4</v>
      </c>
      <c r="Q13" s="56" t="s">
        <v>4</v>
      </c>
      <c r="R13" s="44"/>
      <c r="S13" s="44"/>
      <c r="T13" s="44"/>
      <c r="U13" s="44"/>
    </row>
    <row r="14" spans="1:21" s="11" customFormat="1" x14ac:dyDescent="0.25">
      <c r="A14" s="51" t="s">
        <v>111</v>
      </c>
      <c r="B14" s="56" t="s">
        <v>4</v>
      </c>
      <c r="C14" s="56" t="s">
        <v>4</v>
      </c>
      <c r="D14" s="56" t="s">
        <v>4</v>
      </c>
      <c r="E14" s="56" t="s">
        <v>4</v>
      </c>
      <c r="F14" s="56" t="s">
        <v>4</v>
      </c>
      <c r="G14" s="56" t="s">
        <v>4</v>
      </c>
      <c r="H14" s="56" t="s">
        <v>4</v>
      </c>
      <c r="I14" s="56" t="s">
        <v>4</v>
      </c>
      <c r="J14" s="56" t="s">
        <v>4</v>
      </c>
      <c r="K14" s="56" t="s">
        <v>4</v>
      </c>
      <c r="L14" s="56" t="s">
        <v>4</v>
      </c>
      <c r="M14" s="56" t="s">
        <v>4</v>
      </c>
      <c r="N14" s="56" t="s">
        <v>4</v>
      </c>
      <c r="O14" s="56" t="s">
        <v>4</v>
      </c>
      <c r="P14" s="56" t="s">
        <v>4</v>
      </c>
      <c r="Q14" s="56" t="s">
        <v>4</v>
      </c>
      <c r="R14" s="44"/>
      <c r="S14" s="44"/>
      <c r="T14" s="44"/>
      <c r="U14" s="44"/>
    </row>
    <row r="15" spans="1:21" s="11" customFormat="1" x14ac:dyDescent="0.25">
      <c r="A15" s="51" t="s">
        <v>112</v>
      </c>
      <c r="B15" s="56" t="s">
        <v>4</v>
      </c>
      <c r="C15" s="56" t="s">
        <v>4</v>
      </c>
      <c r="D15" s="56" t="s">
        <v>4</v>
      </c>
      <c r="E15" s="56" t="s">
        <v>4</v>
      </c>
      <c r="F15" s="56" t="s">
        <v>4</v>
      </c>
      <c r="G15" s="56" t="s">
        <v>4</v>
      </c>
      <c r="H15" s="56" t="s">
        <v>4</v>
      </c>
      <c r="I15" s="56" t="s">
        <v>4</v>
      </c>
      <c r="J15" s="56" t="s">
        <v>4</v>
      </c>
      <c r="K15" s="56" t="s">
        <v>4</v>
      </c>
      <c r="L15" s="56" t="s">
        <v>4</v>
      </c>
      <c r="M15" s="56" t="s">
        <v>4</v>
      </c>
      <c r="N15" s="56" t="s">
        <v>4</v>
      </c>
      <c r="O15" s="56" t="s">
        <v>4</v>
      </c>
      <c r="P15" s="56" t="s">
        <v>4</v>
      </c>
      <c r="Q15" s="56" t="s">
        <v>4</v>
      </c>
      <c r="R15" s="44"/>
      <c r="S15" s="44"/>
      <c r="T15" s="44"/>
      <c r="U15" s="44"/>
    </row>
    <row r="16" spans="1:21" s="11" customFormat="1" x14ac:dyDescent="0.25">
      <c r="A16" s="51" t="s">
        <v>113</v>
      </c>
      <c r="B16" s="56" t="s">
        <v>4</v>
      </c>
      <c r="C16" s="56" t="s">
        <v>4</v>
      </c>
      <c r="D16" s="56" t="s">
        <v>4</v>
      </c>
      <c r="E16" s="56" t="s">
        <v>4</v>
      </c>
      <c r="F16" s="56" t="s">
        <v>4</v>
      </c>
      <c r="G16" s="56" t="s">
        <v>4</v>
      </c>
      <c r="H16" s="56" t="s">
        <v>4</v>
      </c>
      <c r="I16" s="56" t="s">
        <v>4</v>
      </c>
      <c r="J16" s="56" t="s">
        <v>4</v>
      </c>
      <c r="K16" s="56" t="s">
        <v>4</v>
      </c>
      <c r="L16" s="56" t="s">
        <v>4</v>
      </c>
      <c r="M16" s="56" t="s">
        <v>4</v>
      </c>
      <c r="N16" s="56" t="s">
        <v>4</v>
      </c>
      <c r="O16" s="56" t="s">
        <v>4</v>
      </c>
      <c r="P16" s="56" t="s">
        <v>4</v>
      </c>
      <c r="Q16" s="56" t="s">
        <v>4</v>
      </c>
      <c r="R16" s="44"/>
      <c r="S16" s="44"/>
      <c r="T16" s="44"/>
      <c r="U16" s="44"/>
    </row>
    <row r="17" spans="1:21" s="11" customFormat="1" x14ac:dyDescent="0.25">
      <c r="A17" s="51" t="s">
        <v>114</v>
      </c>
      <c r="B17" s="56" t="s">
        <v>4</v>
      </c>
      <c r="C17" s="56" t="s">
        <v>4</v>
      </c>
      <c r="D17" s="56" t="s">
        <v>4</v>
      </c>
      <c r="E17" s="56" t="s">
        <v>4</v>
      </c>
      <c r="F17" s="56" t="s">
        <v>4</v>
      </c>
      <c r="G17" s="56" t="s">
        <v>4</v>
      </c>
      <c r="H17" s="56" t="s">
        <v>4</v>
      </c>
      <c r="I17" s="56" t="s">
        <v>4</v>
      </c>
      <c r="J17" s="56" t="s">
        <v>4</v>
      </c>
      <c r="K17" s="56" t="s">
        <v>4</v>
      </c>
      <c r="L17" s="56" t="s">
        <v>4</v>
      </c>
      <c r="M17" s="56" t="s">
        <v>4</v>
      </c>
      <c r="N17" s="56" t="s">
        <v>4</v>
      </c>
      <c r="O17" s="56" t="s">
        <v>4</v>
      </c>
      <c r="P17" s="56" t="s">
        <v>4</v>
      </c>
      <c r="Q17" s="56" t="s">
        <v>4</v>
      </c>
      <c r="R17" s="44"/>
      <c r="S17" s="44"/>
      <c r="T17" s="44"/>
      <c r="U17" s="44"/>
    </row>
    <row r="18" spans="1:21" s="11" customFormat="1" x14ac:dyDescent="0.25">
      <c r="A18" s="51" t="s">
        <v>115</v>
      </c>
      <c r="B18" s="56" t="s">
        <v>4</v>
      </c>
      <c r="C18" s="56" t="s">
        <v>4</v>
      </c>
      <c r="D18" s="56" t="s">
        <v>4</v>
      </c>
      <c r="E18" s="56" t="s">
        <v>4</v>
      </c>
      <c r="F18" s="56" t="s">
        <v>4</v>
      </c>
      <c r="G18" s="56" t="s">
        <v>4</v>
      </c>
      <c r="H18" s="56" t="s">
        <v>4</v>
      </c>
      <c r="I18" s="56" t="s">
        <v>4</v>
      </c>
      <c r="J18" s="56" t="s">
        <v>4</v>
      </c>
      <c r="K18" s="56" t="s">
        <v>4</v>
      </c>
      <c r="L18" s="56" t="s">
        <v>4</v>
      </c>
      <c r="M18" s="56" t="s">
        <v>4</v>
      </c>
      <c r="N18" s="56" t="s">
        <v>4</v>
      </c>
      <c r="O18" s="56" t="s">
        <v>4</v>
      </c>
      <c r="P18" s="56" t="s">
        <v>4</v>
      </c>
      <c r="Q18" s="56" t="s">
        <v>4</v>
      </c>
      <c r="R18" s="44"/>
      <c r="S18" s="44"/>
      <c r="T18" s="44"/>
      <c r="U18" s="44"/>
    </row>
    <row r="19" spans="1:21" s="11" customFormat="1" x14ac:dyDescent="0.25">
      <c r="A19" s="51" t="s">
        <v>116</v>
      </c>
      <c r="B19" s="56" t="s">
        <v>4</v>
      </c>
      <c r="C19" s="56" t="s">
        <v>4</v>
      </c>
      <c r="D19" s="56" t="s">
        <v>4</v>
      </c>
      <c r="E19" s="56" t="s">
        <v>4</v>
      </c>
      <c r="F19" s="56" t="s">
        <v>4</v>
      </c>
      <c r="G19" s="56" t="s">
        <v>4</v>
      </c>
      <c r="H19" s="56" t="s">
        <v>4</v>
      </c>
      <c r="I19" s="56" t="s">
        <v>4</v>
      </c>
      <c r="J19" s="56" t="s">
        <v>4</v>
      </c>
      <c r="K19" s="56" t="s">
        <v>4</v>
      </c>
      <c r="L19" s="56" t="s">
        <v>4</v>
      </c>
      <c r="M19" s="56" t="s">
        <v>4</v>
      </c>
      <c r="N19" s="56" t="s">
        <v>4</v>
      </c>
      <c r="O19" s="56" t="s">
        <v>4</v>
      </c>
      <c r="P19" s="56" t="s">
        <v>4</v>
      </c>
      <c r="Q19" s="56" t="s">
        <v>4</v>
      </c>
      <c r="R19" s="44"/>
      <c r="S19" s="44"/>
      <c r="T19" s="44"/>
      <c r="U19" s="44"/>
    </row>
    <row r="20" spans="1:21" s="11" customFormat="1" x14ac:dyDescent="0.25">
      <c r="A20" s="51" t="s">
        <v>117</v>
      </c>
      <c r="B20" s="56" t="s">
        <v>4</v>
      </c>
      <c r="C20" s="56" t="s">
        <v>4</v>
      </c>
      <c r="D20" s="56" t="s">
        <v>4</v>
      </c>
      <c r="E20" s="56" t="s">
        <v>4</v>
      </c>
      <c r="F20" s="56" t="s">
        <v>4</v>
      </c>
      <c r="G20" s="56" t="s">
        <v>4</v>
      </c>
      <c r="H20" s="56" t="s">
        <v>4</v>
      </c>
      <c r="I20" s="56" t="s">
        <v>4</v>
      </c>
      <c r="J20" s="56" t="s">
        <v>4</v>
      </c>
      <c r="K20" s="56" t="s">
        <v>4</v>
      </c>
      <c r="L20" s="56" t="s">
        <v>4</v>
      </c>
      <c r="M20" s="56" t="s">
        <v>4</v>
      </c>
      <c r="N20" s="56" t="s">
        <v>4</v>
      </c>
      <c r="O20" s="56" t="s">
        <v>4</v>
      </c>
      <c r="P20" s="56" t="s">
        <v>4</v>
      </c>
      <c r="Q20" s="56" t="s">
        <v>4</v>
      </c>
      <c r="R20" s="44"/>
      <c r="S20" s="44"/>
      <c r="T20" s="44"/>
      <c r="U20" s="44"/>
    </row>
    <row r="21" spans="1:21" s="11" customFormat="1" x14ac:dyDescent="0.25">
      <c r="A21" s="51" t="s">
        <v>118</v>
      </c>
      <c r="B21" s="56" t="s">
        <v>4</v>
      </c>
      <c r="C21" s="56" t="s">
        <v>4</v>
      </c>
      <c r="D21" s="56" t="s">
        <v>4</v>
      </c>
      <c r="E21" s="56" t="s">
        <v>4</v>
      </c>
      <c r="F21" s="56" t="s">
        <v>4</v>
      </c>
      <c r="G21" s="56" t="s">
        <v>4</v>
      </c>
      <c r="H21" s="56" t="s">
        <v>4</v>
      </c>
      <c r="I21" s="56" t="s">
        <v>4</v>
      </c>
      <c r="J21" s="56" t="s">
        <v>4</v>
      </c>
      <c r="K21" s="56" t="s">
        <v>4</v>
      </c>
      <c r="L21" s="56" t="s">
        <v>4</v>
      </c>
      <c r="M21" s="56" t="s">
        <v>4</v>
      </c>
      <c r="N21" s="56" t="s">
        <v>4</v>
      </c>
      <c r="O21" s="56" t="s">
        <v>4</v>
      </c>
      <c r="P21" s="56" t="s">
        <v>4</v>
      </c>
      <c r="Q21" s="56" t="s">
        <v>4</v>
      </c>
      <c r="R21" s="44"/>
      <c r="S21" s="44"/>
      <c r="T21" s="44"/>
      <c r="U21" s="44"/>
    </row>
    <row r="22" spans="1:21" s="11" customFormat="1" x14ac:dyDescent="0.25">
      <c r="A22" s="51" t="s">
        <v>119</v>
      </c>
      <c r="B22" s="56" t="s">
        <v>4</v>
      </c>
      <c r="C22" s="56" t="s">
        <v>4</v>
      </c>
      <c r="D22" s="56" t="s">
        <v>4</v>
      </c>
      <c r="E22" s="56" t="s">
        <v>4</v>
      </c>
      <c r="F22" s="56" t="s">
        <v>4</v>
      </c>
      <c r="G22" s="56" t="s">
        <v>4</v>
      </c>
      <c r="H22" s="56" t="s">
        <v>4</v>
      </c>
      <c r="I22" s="56" t="s">
        <v>4</v>
      </c>
      <c r="J22" s="56" t="s">
        <v>4</v>
      </c>
      <c r="K22" s="56" t="s">
        <v>4</v>
      </c>
      <c r="L22" s="56" t="s">
        <v>4</v>
      </c>
      <c r="M22" s="56" t="s">
        <v>4</v>
      </c>
      <c r="N22" s="56" t="s">
        <v>4</v>
      </c>
      <c r="O22" s="56" t="s">
        <v>4</v>
      </c>
      <c r="P22" s="56" t="s">
        <v>4</v>
      </c>
      <c r="Q22" s="56" t="s">
        <v>4</v>
      </c>
      <c r="R22" s="44"/>
      <c r="S22" s="44"/>
      <c r="T22" s="44"/>
      <c r="U22" s="44"/>
    </row>
    <row r="23" spans="1:21" s="11" customFormat="1" x14ac:dyDescent="0.25">
      <c r="A23" s="51" t="s">
        <v>120</v>
      </c>
      <c r="B23" s="56" t="s">
        <v>4</v>
      </c>
      <c r="C23" s="56" t="s">
        <v>4</v>
      </c>
      <c r="D23" s="56" t="s">
        <v>4</v>
      </c>
      <c r="E23" s="56" t="s">
        <v>4</v>
      </c>
      <c r="F23" s="56" t="s">
        <v>4</v>
      </c>
      <c r="G23" s="56" t="s">
        <v>4</v>
      </c>
      <c r="H23" s="56" t="s">
        <v>4</v>
      </c>
      <c r="I23" s="56" t="s">
        <v>4</v>
      </c>
      <c r="J23" s="56" t="s">
        <v>4</v>
      </c>
      <c r="K23" s="56" t="s">
        <v>4</v>
      </c>
      <c r="L23" s="56" t="s">
        <v>4</v>
      </c>
      <c r="M23" s="56" t="s">
        <v>4</v>
      </c>
      <c r="N23" s="56" t="s">
        <v>4</v>
      </c>
      <c r="O23" s="56" t="s">
        <v>4</v>
      </c>
      <c r="P23" s="56" t="s">
        <v>4</v>
      </c>
      <c r="Q23" s="56" t="s">
        <v>4</v>
      </c>
      <c r="R23" s="44"/>
      <c r="S23" s="44"/>
      <c r="T23" s="44"/>
      <c r="U23" s="44"/>
    </row>
    <row r="24" spans="1:21" s="11" customFormat="1" x14ac:dyDescent="0.25">
      <c r="A24" s="51" t="s">
        <v>121</v>
      </c>
      <c r="B24" s="56" t="s">
        <v>4</v>
      </c>
      <c r="C24" s="56" t="s">
        <v>4</v>
      </c>
      <c r="D24" s="56" t="s">
        <v>4</v>
      </c>
      <c r="E24" s="56" t="s">
        <v>4</v>
      </c>
      <c r="F24" s="56" t="s">
        <v>4</v>
      </c>
      <c r="G24" s="56" t="s">
        <v>4</v>
      </c>
      <c r="H24" s="56" t="s">
        <v>4</v>
      </c>
      <c r="I24" s="56" t="s">
        <v>4</v>
      </c>
      <c r="J24" s="56" t="s">
        <v>4</v>
      </c>
      <c r="K24" s="56" t="s">
        <v>4</v>
      </c>
      <c r="L24" s="56" t="s">
        <v>4</v>
      </c>
      <c r="M24" s="56" t="s">
        <v>4</v>
      </c>
      <c r="N24" s="56" t="s">
        <v>4</v>
      </c>
      <c r="O24" s="56" t="s">
        <v>4</v>
      </c>
      <c r="P24" s="56" t="s">
        <v>4</v>
      </c>
      <c r="Q24" s="56" t="s">
        <v>4</v>
      </c>
      <c r="R24" s="44"/>
      <c r="S24" s="44"/>
      <c r="T24" s="44"/>
      <c r="U24" s="44"/>
    </row>
    <row r="25" spans="1:21" s="11" customFormat="1" x14ac:dyDescent="0.25">
      <c r="A25" s="51" t="s">
        <v>122</v>
      </c>
      <c r="B25" s="56" t="s">
        <v>4</v>
      </c>
      <c r="C25" s="56" t="s">
        <v>4</v>
      </c>
      <c r="D25" s="56" t="s">
        <v>4</v>
      </c>
      <c r="E25" s="56" t="s">
        <v>4</v>
      </c>
      <c r="F25" s="56" t="s">
        <v>4</v>
      </c>
      <c r="G25" s="56" t="s">
        <v>4</v>
      </c>
      <c r="H25" s="56" t="s">
        <v>4</v>
      </c>
      <c r="I25" s="56" t="s">
        <v>4</v>
      </c>
      <c r="J25" s="56" t="s">
        <v>4</v>
      </c>
      <c r="K25" s="56" t="s">
        <v>4</v>
      </c>
      <c r="L25" s="56" t="s">
        <v>4</v>
      </c>
      <c r="M25" s="56" t="s">
        <v>4</v>
      </c>
      <c r="N25" s="56" t="s">
        <v>4</v>
      </c>
      <c r="O25" s="56" t="s">
        <v>4</v>
      </c>
      <c r="P25" s="56" t="s">
        <v>4</v>
      </c>
      <c r="Q25" s="56" t="s">
        <v>4</v>
      </c>
      <c r="R25" s="44"/>
      <c r="S25" s="44"/>
      <c r="T25" s="44"/>
      <c r="U25" s="44"/>
    </row>
    <row r="26" spans="1:21" s="11" customFormat="1" x14ac:dyDescent="0.25">
      <c r="A26" s="51" t="s">
        <v>123</v>
      </c>
      <c r="B26" s="56" t="s">
        <v>4</v>
      </c>
      <c r="C26" s="56" t="s">
        <v>4</v>
      </c>
      <c r="D26" s="56" t="s">
        <v>4</v>
      </c>
      <c r="E26" s="56" t="s">
        <v>4</v>
      </c>
      <c r="F26" s="56" t="s">
        <v>4</v>
      </c>
      <c r="G26" s="56" t="s">
        <v>4</v>
      </c>
      <c r="H26" s="56" t="s">
        <v>4</v>
      </c>
      <c r="I26" s="56" t="s">
        <v>4</v>
      </c>
      <c r="J26" s="56" t="s">
        <v>4</v>
      </c>
      <c r="K26" s="56" t="s">
        <v>4</v>
      </c>
      <c r="L26" s="56" t="s">
        <v>4</v>
      </c>
      <c r="M26" s="56" t="s">
        <v>4</v>
      </c>
      <c r="N26" s="56" t="s">
        <v>4</v>
      </c>
      <c r="O26" s="56" t="s">
        <v>4</v>
      </c>
      <c r="P26" s="56" t="s">
        <v>4</v>
      </c>
      <c r="Q26" s="56" t="s">
        <v>4</v>
      </c>
      <c r="R26" s="44"/>
      <c r="S26" s="44"/>
      <c r="T26" s="44"/>
      <c r="U26" s="44"/>
    </row>
    <row r="27" spans="1:21" s="11" customFormat="1" x14ac:dyDescent="0.25">
      <c r="A27" s="51" t="s">
        <v>124</v>
      </c>
      <c r="B27" s="56" t="s">
        <v>4</v>
      </c>
      <c r="C27" s="56" t="s">
        <v>4</v>
      </c>
      <c r="D27" s="56" t="s">
        <v>4</v>
      </c>
      <c r="E27" s="56" t="s">
        <v>4</v>
      </c>
      <c r="F27" s="56" t="s">
        <v>4</v>
      </c>
      <c r="G27" s="56" t="s">
        <v>4</v>
      </c>
      <c r="H27" s="56" t="s">
        <v>4</v>
      </c>
      <c r="I27" s="56" t="s">
        <v>4</v>
      </c>
      <c r="J27" s="56" t="s">
        <v>4</v>
      </c>
      <c r="K27" s="56" t="s">
        <v>4</v>
      </c>
      <c r="L27" s="56" t="s">
        <v>4</v>
      </c>
      <c r="M27" s="56" t="s">
        <v>4</v>
      </c>
      <c r="N27" s="56" t="s">
        <v>4</v>
      </c>
      <c r="O27" s="56" t="s">
        <v>4</v>
      </c>
      <c r="P27" s="56" t="s">
        <v>4</v>
      </c>
      <c r="Q27" s="56" t="s">
        <v>4</v>
      </c>
      <c r="R27" s="44"/>
      <c r="S27" s="44"/>
      <c r="T27" s="44"/>
      <c r="U27" s="44"/>
    </row>
    <row r="28" spans="1:21" s="11" customFormat="1" x14ac:dyDescent="0.25">
      <c r="A28" s="51" t="s">
        <v>125</v>
      </c>
      <c r="B28" s="56" t="s">
        <v>4</v>
      </c>
      <c r="C28" s="56" t="s">
        <v>4</v>
      </c>
      <c r="D28" s="56" t="s">
        <v>4</v>
      </c>
      <c r="E28" s="56" t="s">
        <v>4</v>
      </c>
      <c r="F28" s="56" t="s">
        <v>4</v>
      </c>
      <c r="G28" s="56" t="s">
        <v>4</v>
      </c>
      <c r="H28" s="56" t="s">
        <v>4</v>
      </c>
      <c r="I28" s="56" t="s">
        <v>4</v>
      </c>
      <c r="J28" s="56" t="s">
        <v>4</v>
      </c>
      <c r="K28" s="56" t="s">
        <v>4</v>
      </c>
      <c r="L28" s="56" t="s">
        <v>4</v>
      </c>
      <c r="M28" s="56" t="s">
        <v>4</v>
      </c>
      <c r="N28" s="56" t="s">
        <v>4</v>
      </c>
      <c r="O28" s="56" t="s">
        <v>4</v>
      </c>
      <c r="P28" s="56" t="s">
        <v>4</v>
      </c>
      <c r="Q28" s="56" t="s">
        <v>4</v>
      </c>
      <c r="R28" s="44"/>
      <c r="S28" s="44"/>
      <c r="T28" s="44"/>
      <c r="U28" s="44"/>
    </row>
    <row r="29" spans="1:21" s="11" customFormat="1" x14ac:dyDescent="0.25">
      <c r="A29" s="51" t="s">
        <v>126</v>
      </c>
      <c r="B29" s="56" t="s">
        <v>4</v>
      </c>
      <c r="C29" s="56" t="s">
        <v>4</v>
      </c>
      <c r="D29" s="56" t="s">
        <v>4</v>
      </c>
      <c r="E29" s="56" t="s">
        <v>4</v>
      </c>
      <c r="F29" s="56" t="s">
        <v>4</v>
      </c>
      <c r="G29" s="56" t="s">
        <v>4</v>
      </c>
      <c r="H29" s="56" t="s">
        <v>4</v>
      </c>
      <c r="I29" s="56" t="s">
        <v>4</v>
      </c>
      <c r="J29" s="56" t="s">
        <v>4</v>
      </c>
      <c r="K29" s="56" t="s">
        <v>4</v>
      </c>
      <c r="L29" s="56" t="s">
        <v>4</v>
      </c>
      <c r="M29" s="56" t="s">
        <v>4</v>
      </c>
      <c r="N29" s="56" t="s">
        <v>4</v>
      </c>
      <c r="O29" s="56" t="s">
        <v>4</v>
      </c>
      <c r="P29" s="56" t="s">
        <v>4</v>
      </c>
      <c r="Q29" s="56" t="s">
        <v>4</v>
      </c>
      <c r="R29" s="44"/>
      <c r="S29" s="44"/>
      <c r="T29" s="44"/>
      <c r="U29" s="44"/>
    </row>
    <row r="30" spans="1:21" s="11" customFormat="1" x14ac:dyDescent="0.25">
      <c r="A30" s="51" t="s">
        <v>127</v>
      </c>
      <c r="B30" s="56" t="s">
        <v>4</v>
      </c>
      <c r="C30" s="56" t="s">
        <v>4</v>
      </c>
      <c r="D30" s="56" t="s">
        <v>4</v>
      </c>
      <c r="E30" s="56" t="s">
        <v>4</v>
      </c>
      <c r="F30" s="56" t="s">
        <v>4</v>
      </c>
      <c r="G30" s="56" t="s">
        <v>4</v>
      </c>
      <c r="H30" s="56" t="s">
        <v>4</v>
      </c>
      <c r="I30" s="56" t="s">
        <v>4</v>
      </c>
      <c r="J30" s="56" t="s">
        <v>4</v>
      </c>
      <c r="K30" s="56" t="s">
        <v>4</v>
      </c>
      <c r="L30" s="56" t="s">
        <v>4</v>
      </c>
      <c r="M30" s="56" t="s">
        <v>4</v>
      </c>
      <c r="N30" s="56" t="s">
        <v>4</v>
      </c>
      <c r="O30" s="56" t="s">
        <v>4</v>
      </c>
      <c r="P30" s="56" t="s">
        <v>4</v>
      </c>
      <c r="Q30" s="56" t="s">
        <v>4</v>
      </c>
      <c r="R30" s="44"/>
      <c r="S30" s="44"/>
      <c r="T30" s="44"/>
      <c r="U30" s="44"/>
    </row>
    <row r="31" spans="1:21" s="11" customFormat="1" x14ac:dyDescent="0.25">
      <c r="A31" s="51" t="s">
        <v>128</v>
      </c>
      <c r="B31" s="56" t="s">
        <v>4</v>
      </c>
      <c r="C31" s="56" t="s">
        <v>4</v>
      </c>
      <c r="D31" s="56" t="s">
        <v>4</v>
      </c>
      <c r="E31" s="56" t="s">
        <v>4</v>
      </c>
      <c r="F31" s="56" t="s">
        <v>4</v>
      </c>
      <c r="G31" s="56" t="s">
        <v>4</v>
      </c>
      <c r="H31" s="56" t="s">
        <v>4</v>
      </c>
      <c r="I31" s="56" t="s">
        <v>4</v>
      </c>
      <c r="J31" s="56" t="s">
        <v>4</v>
      </c>
      <c r="K31" s="56" t="s">
        <v>4</v>
      </c>
      <c r="L31" s="56" t="s">
        <v>4</v>
      </c>
      <c r="M31" s="56" t="s">
        <v>4</v>
      </c>
      <c r="N31" s="56" t="s">
        <v>4</v>
      </c>
      <c r="O31" s="56" t="s">
        <v>4</v>
      </c>
      <c r="P31" s="56" t="s">
        <v>4</v>
      </c>
      <c r="Q31" s="56" t="s">
        <v>4</v>
      </c>
      <c r="R31" s="44"/>
      <c r="S31" s="44"/>
      <c r="T31" s="44"/>
      <c r="U31" s="44"/>
    </row>
    <row r="32" spans="1:21" s="11" customFormat="1" x14ac:dyDescent="0.25">
      <c r="A32" s="51" t="s">
        <v>129</v>
      </c>
      <c r="B32" s="56" t="s">
        <v>4</v>
      </c>
      <c r="C32" s="56" t="s">
        <v>4</v>
      </c>
      <c r="D32" s="56" t="s">
        <v>4</v>
      </c>
      <c r="E32" s="56" t="s">
        <v>4</v>
      </c>
      <c r="F32" s="56" t="s">
        <v>4</v>
      </c>
      <c r="G32" s="56" t="s">
        <v>4</v>
      </c>
      <c r="H32" s="56" t="s">
        <v>4</v>
      </c>
      <c r="I32" s="56" t="s">
        <v>4</v>
      </c>
      <c r="J32" s="56" t="s">
        <v>4</v>
      </c>
      <c r="K32" s="56" t="s">
        <v>4</v>
      </c>
      <c r="L32" s="56" t="s">
        <v>4</v>
      </c>
      <c r="M32" s="56" t="s">
        <v>4</v>
      </c>
      <c r="N32" s="56" t="s">
        <v>4</v>
      </c>
      <c r="O32" s="56" t="s">
        <v>4</v>
      </c>
      <c r="P32" s="56" t="s">
        <v>4</v>
      </c>
      <c r="Q32" s="56" t="s">
        <v>4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COUNT(B9:B32)+24</f>
        <v>24</v>
      </c>
      <c r="C38" s="32">
        <f t="shared" ref="C38:Q38" si="4">COUNT(C9:C32)+24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2" ySplit="8" topLeftCell="C25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04-11-2022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130</v>
      </c>
      <c r="B9" s="56" t="s">
        <v>4</v>
      </c>
      <c r="C9" s="56" t="s">
        <v>4</v>
      </c>
      <c r="D9" s="56" t="s">
        <v>4</v>
      </c>
      <c r="E9" s="56" t="s">
        <v>4</v>
      </c>
      <c r="F9" s="56" t="s">
        <v>4</v>
      </c>
      <c r="G9" s="56" t="s">
        <v>4</v>
      </c>
      <c r="H9" s="56" t="s">
        <v>4</v>
      </c>
      <c r="I9" s="56" t="s">
        <v>4</v>
      </c>
      <c r="J9" s="56" t="s">
        <v>4</v>
      </c>
      <c r="K9" s="56" t="s">
        <v>4</v>
      </c>
      <c r="L9" s="56" t="s">
        <v>4</v>
      </c>
      <c r="M9" s="56" t="s">
        <v>4</v>
      </c>
      <c r="N9" s="56" t="s">
        <v>4</v>
      </c>
      <c r="O9" s="56" t="s">
        <v>4</v>
      </c>
      <c r="P9" s="56" t="s">
        <v>4</v>
      </c>
      <c r="Q9" s="56" t="s">
        <v>4</v>
      </c>
      <c r="R9" s="44"/>
      <c r="S9" s="44"/>
      <c r="T9" s="44"/>
      <c r="U9" s="44"/>
    </row>
    <row r="10" spans="1:21" s="11" customFormat="1" x14ac:dyDescent="0.25">
      <c r="A10" s="51" t="s">
        <v>131</v>
      </c>
      <c r="B10" s="56" t="s">
        <v>4</v>
      </c>
      <c r="C10" s="56" t="s">
        <v>4</v>
      </c>
      <c r="D10" s="56" t="s">
        <v>4</v>
      </c>
      <c r="E10" s="56" t="s">
        <v>4</v>
      </c>
      <c r="F10" s="56" t="s">
        <v>4</v>
      </c>
      <c r="G10" s="56" t="s">
        <v>4</v>
      </c>
      <c r="H10" s="56" t="s">
        <v>4</v>
      </c>
      <c r="I10" s="56" t="s">
        <v>4</v>
      </c>
      <c r="J10" s="56" t="s">
        <v>4</v>
      </c>
      <c r="K10" s="56" t="s">
        <v>4</v>
      </c>
      <c r="L10" s="56" t="s">
        <v>4</v>
      </c>
      <c r="M10" s="56" t="s">
        <v>4</v>
      </c>
      <c r="N10" s="56" t="s">
        <v>4</v>
      </c>
      <c r="O10" s="56" t="s">
        <v>4</v>
      </c>
      <c r="P10" s="56" t="s">
        <v>4</v>
      </c>
      <c r="Q10" s="56" t="s">
        <v>4</v>
      </c>
      <c r="R10" s="44"/>
      <c r="S10" s="44"/>
      <c r="T10" s="44"/>
      <c r="U10" s="44"/>
    </row>
    <row r="11" spans="1:21" s="11" customFormat="1" x14ac:dyDescent="0.25">
      <c r="A11" s="51" t="s">
        <v>132</v>
      </c>
      <c r="B11" s="56" t="s">
        <v>4</v>
      </c>
      <c r="C11" s="56" t="s">
        <v>4</v>
      </c>
      <c r="D11" s="56" t="s">
        <v>4</v>
      </c>
      <c r="E11" s="56" t="s">
        <v>4</v>
      </c>
      <c r="F11" s="56" t="s">
        <v>4</v>
      </c>
      <c r="G11" s="56" t="s">
        <v>4</v>
      </c>
      <c r="H11" s="56" t="s">
        <v>4</v>
      </c>
      <c r="I11" s="56" t="s">
        <v>4</v>
      </c>
      <c r="J11" s="56" t="s">
        <v>4</v>
      </c>
      <c r="K11" s="56" t="s">
        <v>4</v>
      </c>
      <c r="L11" s="56" t="s">
        <v>4</v>
      </c>
      <c r="M11" s="56" t="s">
        <v>4</v>
      </c>
      <c r="N11" s="56" t="s">
        <v>4</v>
      </c>
      <c r="O11" s="56" t="s">
        <v>4</v>
      </c>
      <c r="P11" s="56" t="s">
        <v>4</v>
      </c>
      <c r="Q11" s="56" t="s">
        <v>4</v>
      </c>
      <c r="R11" s="44"/>
      <c r="S11" s="44"/>
      <c r="T11" s="44"/>
      <c r="U11" s="44"/>
    </row>
    <row r="12" spans="1:21" s="11" customFormat="1" x14ac:dyDescent="0.25">
      <c r="A12" s="51" t="s">
        <v>133</v>
      </c>
      <c r="B12" s="56" t="s">
        <v>4</v>
      </c>
      <c r="C12" s="56" t="s">
        <v>4</v>
      </c>
      <c r="D12" s="56" t="s">
        <v>4</v>
      </c>
      <c r="E12" s="56" t="s">
        <v>4</v>
      </c>
      <c r="F12" s="56" t="s">
        <v>4</v>
      </c>
      <c r="G12" s="56" t="s">
        <v>4</v>
      </c>
      <c r="H12" s="56" t="s">
        <v>4</v>
      </c>
      <c r="I12" s="56" t="s">
        <v>4</v>
      </c>
      <c r="J12" s="56" t="s">
        <v>4</v>
      </c>
      <c r="K12" s="56" t="s">
        <v>4</v>
      </c>
      <c r="L12" s="56" t="s">
        <v>4</v>
      </c>
      <c r="M12" s="56" t="s">
        <v>4</v>
      </c>
      <c r="N12" s="56" t="s">
        <v>4</v>
      </c>
      <c r="O12" s="56" t="s">
        <v>4</v>
      </c>
      <c r="P12" s="56" t="s">
        <v>4</v>
      </c>
      <c r="Q12" s="56" t="s">
        <v>4</v>
      </c>
      <c r="R12" s="44"/>
      <c r="S12" s="44"/>
      <c r="T12" s="44"/>
      <c r="U12" s="44"/>
    </row>
    <row r="13" spans="1:21" s="11" customFormat="1" x14ac:dyDescent="0.25">
      <c r="A13" s="51" t="s">
        <v>134</v>
      </c>
      <c r="B13" s="56" t="s">
        <v>4</v>
      </c>
      <c r="C13" s="56" t="s">
        <v>4</v>
      </c>
      <c r="D13" s="56" t="s">
        <v>4</v>
      </c>
      <c r="E13" s="56" t="s">
        <v>4</v>
      </c>
      <c r="F13" s="56" t="s">
        <v>4</v>
      </c>
      <c r="G13" s="56" t="s">
        <v>4</v>
      </c>
      <c r="H13" s="56" t="s">
        <v>4</v>
      </c>
      <c r="I13" s="56" t="s">
        <v>4</v>
      </c>
      <c r="J13" s="56" t="s">
        <v>4</v>
      </c>
      <c r="K13" s="56" t="s">
        <v>4</v>
      </c>
      <c r="L13" s="56" t="s">
        <v>4</v>
      </c>
      <c r="M13" s="56" t="s">
        <v>4</v>
      </c>
      <c r="N13" s="56" t="s">
        <v>4</v>
      </c>
      <c r="O13" s="56" t="s">
        <v>4</v>
      </c>
      <c r="P13" s="56" t="s">
        <v>4</v>
      </c>
      <c r="Q13" s="56" t="s">
        <v>4</v>
      </c>
      <c r="R13" s="44"/>
      <c r="S13" s="44"/>
      <c r="T13" s="44"/>
      <c r="U13" s="44"/>
    </row>
    <row r="14" spans="1:21" s="11" customFormat="1" x14ac:dyDescent="0.25">
      <c r="A14" s="51" t="s">
        <v>135</v>
      </c>
      <c r="B14" s="56" t="s">
        <v>4</v>
      </c>
      <c r="C14" s="56" t="s">
        <v>4</v>
      </c>
      <c r="D14" s="56" t="s">
        <v>4</v>
      </c>
      <c r="E14" s="56" t="s">
        <v>4</v>
      </c>
      <c r="F14" s="56" t="s">
        <v>4</v>
      </c>
      <c r="G14" s="56" t="s">
        <v>4</v>
      </c>
      <c r="H14" s="56" t="s">
        <v>4</v>
      </c>
      <c r="I14" s="56" t="s">
        <v>4</v>
      </c>
      <c r="J14" s="56" t="s">
        <v>4</v>
      </c>
      <c r="K14" s="56" t="s">
        <v>4</v>
      </c>
      <c r="L14" s="56" t="s">
        <v>4</v>
      </c>
      <c r="M14" s="56" t="s">
        <v>4</v>
      </c>
      <c r="N14" s="56" t="s">
        <v>4</v>
      </c>
      <c r="O14" s="56" t="s">
        <v>4</v>
      </c>
      <c r="P14" s="56" t="s">
        <v>4</v>
      </c>
      <c r="Q14" s="56" t="s">
        <v>4</v>
      </c>
      <c r="R14" s="44"/>
      <c r="S14" s="44"/>
      <c r="T14" s="44"/>
      <c r="U14" s="44"/>
    </row>
    <row r="15" spans="1:21" s="11" customFormat="1" x14ac:dyDescent="0.25">
      <c r="A15" s="51" t="s">
        <v>136</v>
      </c>
      <c r="B15" s="56" t="s">
        <v>4</v>
      </c>
      <c r="C15" s="56" t="s">
        <v>4</v>
      </c>
      <c r="D15" s="56" t="s">
        <v>4</v>
      </c>
      <c r="E15" s="56" t="s">
        <v>4</v>
      </c>
      <c r="F15" s="56" t="s">
        <v>4</v>
      </c>
      <c r="G15" s="56" t="s">
        <v>4</v>
      </c>
      <c r="H15" s="56" t="s">
        <v>4</v>
      </c>
      <c r="I15" s="56" t="s">
        <v>4</v>
      </c>
      <c r="J15" s="56" t="s">
        <v>4</v>
      </c>
      <c r="K15" s="56" t="s">
        <v>4</v>
      </c>
      <c r="L15" s="56" t="s">
        <v>4</v>
      </c>
      <c r="M15" s="56" t="s">
        <v>4</v>
      </c>
      <c r="N15" s="56" t="s">
        <v>4</v>
      </c>
      <c r="O15" s="56" t="s">
        <v>4</v>
      </c>
      <c r="P15" s="56" t="s">
        <v>4</v>
      </c>
      <c r="Q15" s="56" t="s">
        <v>4</v>
      </c>
      <c r="R15" s="44"/>
      <c r="S15" s="44"/>
      <c r="T15" s="44"/>
      <c r="U15" s="44"/>
    </row>
    <row r="16" spans="1:21" s="11" customFormat="1" x14ac:dyDescent="0.25">
      <c r="A16" s="51" t="s">
        <v>137</v>
      </c>
      <c r="B16" s="56" t="s">
        <v>4</v>
      </c>
      <c r="C16" s="56" t="s">
        <v>4</v>
      </c>
      <c r="D16" s="56" t="s">
        <v>4</v>
      </c>
      <c r="E16" s="56" t="s">
        <v>4</v>
      </c>
      <c r="F16" s="56" t="s">
        <v>4</v>
      </c>
      <c r="G16" s="56" t="s">
        <v>4</v>
      </c>
      <c r="H16" s="56" t="s">
        <v>4</v>
      </c>
      <c r="I16" s="56" t="s">
        <v>4</v>
      </c>
      <c r="J16" s="56" t="s">
        <v>4</v>
      </c>
      <c r="K16" s="56" t="s">
        <v>4</v>
      </c>
      <c r="L16" s="56" t="s">
        <v>4</v>
      </c>
      <c r="M16" s="56" t="s">
        <v>4</v>
      </c>
      <c r="N16" s="56" t="s">
        <v>4</v>
      </c>
      <c r="O16" s="56" t="s">
        <v>4</v>
      </c>
      <c r="P16" s="56" t="s">
        <v>4</v>
      </c>
      <c r="Q16" s="56" t="s">
        <v>4</v>
      </c>
      <c r="R16" s="44"/>
      <c r="S16" s="44"/>
      <c r="T16" s="44"/>
      <c r="U16" s="44"/>
    </row>
    <row r="17" spans="1:21" s="11" customFormat="1" x14ac:dyDescent="0.25">
      <c r="A17" s="51" t="s">
        <v>138</v>
      </c>
      <c r="B17" s="56" t="s">
        <v>4</v>
      </c>
      <c r="C17" s="56" t="s">
        <v>4</v>
      </c>
      <c r="D17" s="56" t="s">
        <v>4</v>
      </c>
      <c r="E17" s="56" t="s">
        <v>4</v>
      </c>
      <c r="F17" s="56" t="s">
        <v>4</v>
      </c>
      <c r="G17" s="56" t="s">
        <v>4</v>
      </c>
      <c r="H17" s="56" t="s">
        <v>4</v>
      </c>
      <c r="I17" s="56" t="s">
        <v>4</v>
      </c>
      <c r="J17" s="56" t="s">
        <v>4</v>
      </c>
      <c r="K17" s="56" t="s">
        <v>4</v>
      </c>
      <c r="L17" s="56" t="s">
        <v>4</v>
      </c>
      <c r="M17" s="56" t="s">
        <v>4</v>
      </c>
      <c r="N17" s="56" t="s">
        <v>4</v>
      </c>
      <c r="O17" s="56" t="s">
        <v>4</v>
      </c>
      <c r="P17" s="56" t="s">
        <v>4</v>
      </c>
      <c r="Q17" s="56" t="s">
        <v>4</v>
      </c>
      <c r="R17" s="44"/>
      <c r="S17" s="44"/>
      <c r="T17" s="44"/>
      <c r="U17" s="44"/>
    </row>
    <row r="18" spans="1:21" s="11" customFormat="1" x14ac:dyDescent="0.25">
      <c r="A18" s="51" t="s">
        <v>139</v>
      </c>
      <c r="B18" s="56" t="s">
        <v>4</v>
      </c>
      <c r="C18" s="56" t="s">
        <v>4</v>
      </c>
      <c r="D18" s="56" t="s">
        <v>4</v>
      </c>
      <c r="E18" s="56" t="s">
        <v>4</v>
      </c>
      <c r="F18" s="56" t="s">
        <v>4</v>
      </c>
      <c r="G18" s="56" t="s">
        <v>4</v>
      </c>
      <c r="H18" s="56" t="s">
        <v>4</v>
      </c>
      <c r="I18" s="56" t="s">
        <v>4</v>
      </c>
      <c r="J18" s="56" t="s">
        <v>4</v>
      </c>
      <c r="K18" s="56" t="s">
        <v>4</v>
      </c>
      <c r="L18" s="56" t="s">
        <v>4</v>
      </c>
      <c r="M18" s="56" t="s">
        <v>4</v>
      </c>
      <c r="N18" s="56" t="s">
        <v>4</v>
      </c>
      <c r="O18" s="56" t="s">
        <v>4</v>
      </c>
      <c r="P18" s="56" t="s">
        <v>4</v>
      </c>
      <c r="Q18" s="56" t="s">
        <v>4</v>
      </c>
      <c r="R18" s="44"/>
      <c r="S18" s="44"/>
      <c r="T18" s="44"/>
      <c r="U18" s="44"/>
    </row>
    <row r="19" spans="1:21" s="11" customFormat="1" x14ac:dyDescent="0.25">
      <c r="A19" s="51" t="s">
        <v>140</v>
      </c>
      <c r="B19" s="56" t="s">
        <v>4</v>
      </c>
      <c r="C19" s="56" t="s">
        <v>4</v>
      </c>
      <c r="D19" s="56" t="s">
        <v>4</v>
      </c>
      <c r="E19" s="56" t="s">
        <v>4</v>
      </c>
      <c r="F19" s="56" t="s">
        <v>4</v>
      </c>
      <c r="G19" s="56" t="s">
        <v>4</v>
      </c>
      <c r="H19" s="56" t="s">
        <v>4</v>
      </c>
      <c r="I19" s="56" t="s">
        <v>4</v>
      </c>
      <c r="J19" s="56" t="s">
        <v>4</v>
      </c>
      <c r="K19" s="56" t="s">
        <v>4</v>
      </c>
      <c r="L19" s="56" t="s">
        <v>4</v>
      </c>
      <c r="M19" s="56" t="s">
        <v>4</v>
      </c>
      <c r="N19" s="56" t="s">
        <v>4</v>
      </c>
      <c r="O19" s="56" t="s">
        <v>4</v>
      </c>
      <c r="P19" s="56" t="s">
        <v>4</v>
      </c>
      <c r="Q19" s="56" t="s">
        <v>4</v>
      </c>
      <c r="R19" s="44"/>
      <c r="S19" s="44"/>
      <c r="T19" s="44"/>
      <c r="U19" s="44"/>
    </row>
    <row r="20" spans="1:21" s="11" customFormat="1" x14ac:dyDescent="0.25">
      <c r="A20" s="51" t="s">
        <v>141</v>
      </c>
      <c r="B20" s="56" t="s">
        <v>4</v>
      </c>
      <c r="C20" s="56" t="s">
        <v>4</v>
      </c>
      <c r="D20" s="56" t="s">
        <v>4</v>
      </c>
      <c r="E20" s="56" t="s">
        <v>4</v>
      </c>
      <c r="F20" s="56" t="s">
        <v>4</v>
      </c>
      <c r="G20" s="56" t="s">
        <v>4</v>
      </c>
      <c r="H20" s="56" t="s">
        <v>4</v>
      </c>
      <c r="I20" s="56" t="s">
        <v>4</v>
      </c>
      <c r="J20" s="56" t="s">
        <v>4</v>
      </c>
      <c r="K20" s="56" t="s">
        <v>4</v>
      </c>
      <c r="L20" s="56" t="s">
        <v>4</v>
      </c>
      <c r="M20" s="56" t="s">
        <v>4</v>
      </c>
      <c r="N20" s="56" t="s">
        <v>4</v>
      </c>
      <c r="O20" s="56" t="s">
        <v>4</v>
      </c>
      <c r="P20" s="56" t="s">
        <v>4</v>
      </c>
      <c r="Q20" s="56" t="s">
        <v>4</v>
      </c>
      <c r="R20" s="44"/>
      <c r="S20" s="44"/>
      <c r="T20" s="44"/>
      <c r="U20" s="44"/>
    </row>
    <row r="21" spans="1:21" s="11" customFormat="1" x14ac:dyDescent="0.25">
      <c r="A21" s="51" t="s">
        <v>142</v>
      </c>
      <c r="B21" s="56" t="s">
        <v>4</v>
      </c>
      <c r="C21" s="56" t="s">
        <v>4</v>
      </c>
      <c r="D21" s="56" t="s">
        <v>4</v>
      </c>
      <c r="E21" s="56" t="s">
        <v>4</v>
      </c>
      <c r="F21" s="56" t="s">
        <v>4</v>
      </c>
      <c r="G21" s="56" t="s">
        <v>4</v>
      </c>
      <c r="H21" s="56" t="s">
        <v>4</v>
      </c>
      <c r="I21" s="56" t="s">
        <v>4</v>
      </c>
      <c r="J21" s="56" t="s">
        <v>4</v>
      </c>
      <c r="K21" s="56" t="s">
        <v>4</v>
      </c>
      <c r="L21" s="56" t="s">
        <v>4</v>
      </c>
      <c r="M21" s="56" t="s">
        <v>4</v>
      </c>
      <c r="N21" s="56" t="s">
        <v>4</v>
      </c>
      <c r="O21" s="56" t="s">
        <v>4</v>
      </c>
      <c r="P21" s="56" t="s">
        <v>4</v>
      </c>
      <c r="Q21" s="56" t="s">
        <v>4</v>
      </c>
      <c r="R21" s="44"/>
      <c r="S21" s="44"/>
      <c r="T21" s="44"/>
      <c r="U21" s="44"/>
    </row>
    <row r="22" spans="1:21" s="11" customFormat="1" x14ac:dyDescent="0.25">
      <c r="A22" s="51" t="s">
        <v>143</v>
      </c>
      <c r="B22" s="56" t="s">
        <v>4</v>
      </c>
      <c r="C22" s="56" t="s">
        <v>4</v>
      </c>
      <c r="D22" s="56" t="s">
        <v>4</v>
      </c>
      <c r="E22" s="56" t="s">
        <v>4</v>
      </c>
      <c r="F22" s="56" t="s">
        <v>4</v>
      </c>
      <c r="G22" s="56" t="s">
        <v>4</v>
      </c>
      <c r="H22" s="56" t="s">
        <v>4</v>
      </c>
      <c r="I22" s="56" t="s">
        <v>4</v>
      </c>
      <c r="J22" s="56" t="s">
        <v>4</v>
      </c>
      <c r="K22" s="56" t="s">
        <v>4</v>
      </c>
      <c r="L22" s="56" t="s">
        <v>4</v>
      </c>
      <c r="M22" s="56" t="s">
        <v>4</v>
      </c>
      <c r="N22" s="56" t="s">
        <v>4</v>
      </c>
      <c r="O22" s="56" t="s">
        <v>4</v>
      </c>
      <c r="P22" s="56" t="s">
        <v>4</v>
      </c>
      <c r="Q22" s="56" t="s">
        <v>4</v>
      </c>
      <c r="R22" s="44"/>
      <c r="S22" s="44"/>
      <c r="T22" s="44"/>
      <c r="U22" s="44"/>
    </row>
    <row r="23" spans="1:21" s="11" customFormat="1" x14ac:dyDescent="0.25">
      <c r="A23" s="51" t="s">
        <v>144</v>
      </c>
      <c r="B23" s="56" t="s">
        <v>4</v>
      </c>
      <c r="C23" s="56" t="s">
        <v>4</v>
      </c>
      <c r="D23" s="56" t="s">
        <v>4</v>
      </c>
      <c r="E23" s="56" t="s">
        <v>4</v>
      </c>
      <c r="F23" s="56" t="s">
        <v>4</v>
      </c>
      <c r="G23" s="56" t="s">
        <v>4</v>
      </c>
      <c r="H23" s="56" t="s">
        <v>4</v>
      </c>
      <c r="I23" s="56" t="s">
        <v>4</v>
      </c>
      <c r="J23" s="56" t="s">
        <v>4</v>
      </c>
      <c r="K23" s="56" t="s">
        <v>4</v>
      </c>
      <c r="L23" s="56" t="s">
        <v>4</v>
      </c>
      <c r="M23" s="56" t="s">
        <v>4</v>
      </c>
      <c r="N23" s="56" t="s">
        <v>4</v>
      </c>
      <c r="O23" s="56" t="s">
        <v>4</v>
      </c>
      <c r="P23" s="56" t="s">
        <v>4</v>
      </c>
      <c r="Q23" s="56" t="s">
        <v>4</v>
      </c>
      <c r="R23" s="44"/>
      <c r="S23" s="44"/>
      <c r="T23" s="44"/>
      <c r="U23" s="44"/>
    </row>
    <row r="24" spans="1:21" s="11" customFormat="1" x14ac:dyDescent="0.25">
      <c r="A24" s="51" t="s">
        <v>145</v>
      </c>
      <c r="B24" s="56" t="s">
        <v>4</v>
      </c>
      <c r="C24" s="56" t="s">
        <v>4</v>
      </c>
      <c r="D24" s="56" t="s">
        <v>4</v>
      </c>
      <c r="E24" s="56" t="s">
        <v>4</v>
      </c>
      <c r="F24" s="56" t="s">
        <v>4</v>
      </c>
      <c r="G24" s="56" t="s">
        <v>4</v>
      </c>
      <c r="H24" s="56" t="s">
        <v>4</v>
      </c>
      <c r="I24" s="56" t="s">
        <v>4</v>
      </c>
      <c r="J24" s="56" t="s">
        <v>4</v>
      </c>
      <c r="K24" s="56" t="s">
        <v>4</v>
      </c>
      <c r="L24" s="56" t="s">
        <v>4</v>
      </c>
      <c r="M24" s="56" t="s">
        <v>4</v>
      </c>
      <c r="N24" s="56" t="s">
        <v>4</v>
      </c>
      <c r="O24" s="56" t="s">
        <v>4</v>
      </c>
      <c r="P24" s="56" t="s">
        <v>4</v>
      </c>
      <c r="Q24" s="56" t="s">
        <v>4</v>
      </c>
      <c r="R24" s="44"/>
      <c r="S24" s="44"/>
      <c r="T24" s="44"/>
      <c r="U24" s="44"/>
    </row>
    <row r="25" spans="1:21" s="11" customFormat="1" x14ac:dyDescent="0.25">
      <c r="A25" s="51" t="s">
        <v>146</v>
      </c>
      <c r="B25" s="56" t="s">
        <v>4</v>
      </c>
      <c r="C25" s="56" t="s">
        <v>4</v>
      </c>
      <c r="D25" s="56" t="s">
        <v>4</v>
      </c>
      <c r="E25" s="56" t="s">
        <v>4</v>
      </c>
      <c r="F25" s="56" t="s">
        <v>4</v>
      </c>
      <c r="G25" s="56" t="s">
        <v>4</v>
      </c>
      <c r="H25" s="56" t="s">
        <v>4</v>
      </c>
      <c r="I25" s="56" t="s">
        <v>4</v>
      </c>
      <c r="J25" s="56" t="s">
        <v>4</v>
      </c>
      <c r="K25" s="56" t="s">
        <v>4</v>
      </c>
      <c r="L25" s="56" t="s">
        <v>4</v>
      </c>
      <c r="M25" s="56" t="s">
        <v>4</v>
      </c>
      <c r="N25" s="56" t="s">
        <v>4</v>
      </c>
      <c r="O25" s="56" t="s">
        <v>4</v>
      </c>
      <c r="P25" s="56" t="s">
        <v>4</v>
      </c>
      <c r="Q25" s="56" t="s">
        <v>4</v>
      </c>
      <c r="R25" s="44"/>
      <c r="S25" s="44"/>
      <c r="T25" s="44"/>
      <c r="U25" s="44"/>
    </row>
    <row r="26" spans="1:21" s="11" customFormat="1" x14ac:dyDescent="0.25">
      <c r="A26" s="51" t="s">
        <v>147</v>
      </c>
      <c r="B26" s="56" t="s">
        <v>4</v>
      </c>
      <c r="C26" s="56" t="s">
        <v>4</v>
      </c>
      <c r="D26" s="56" t="s">
        <v>4</v>
      </c>
      <c r="E26" s="56" t="s">
        <v>4</v>
      </c>
      <c r="F26" s="56" t="s">
        <v>4</v>
      </c>
      <c r="G26" s="56" t="s">
        <v>4</v>
      </c>
      <c r="H26" s="56" t="s">
        <v>4</v>
      </c>
      <c r="I26" s="56" t="s">
        <v>4</v>
      </c>
      <c r="J26" s="56" t="s">
        <v>4</v>
      </c>
      <c r="K26" s="56" t="s">
        <v>4</v>
      </c>
      <c r="L26" s="56" t="s">
        <v>4</v>
      </c>
      <c r="M26" s="56" t="s">
        <v>4</v>
      </c>
      <c r="N26" s="56" t="s">
        <v>4</v>
      </c>
      <c r="O26" s="56" t="s">
        <v>4</v>
      </c>
      <c r="P26" s="56" t="s">
        <v>4</v>
      </c>
      <c r="Q26" s="56" t="s">
        <v>4</v>
      </c>
      <c r="R26" s="44"/>
      <c r="S26" s="44"/>
      <c r="T26" s="44"/>
      <c r="U26" s="44"/>
    </row>
    <row r="27" spans="1:21" s="11" customFormat="1" x14ac:dyDescent="0.25">
      <c r="A27" s="51" t="s">
        <v>148</v>
      </c>
      <c r="B27" s="56" t="s">
        <v>4</v>
      </c>
      <c r="C27" s="56" t="s">
        <v>4</v>
      </c>
      <c r="D27" s="56" t="s">
        <v>4</v>
      </c>
      <c r="E27" s="56" t="s">
        <v>4</v>
      </c>
      <c r="F27" s="56" t="s">
        <v>4</v>
      </c>
      <c r="G27" s="56" t="s">
        <v>4</v>
      </c>
      <c r="H27" s="56" t="s">
        <v>4</v>
      </c>
      <c r="I27" s="56" t="s">
        <v>4</v>
      </c>
      <c r="J27" s="56" t="s">
        <v>4</v>
      </c>
      <c r="K27" s="56" t="s">
        <v>4</v>
      </c>
      <c r="L27" s="56" t="s">
        <v>4</v>
      </c>
      <c r="M27" s="56" t="s">
        <v>4</v>
      </c>
      <c r="N27" s="56" t="s">
        <v>4</v>
      </c>
      <c r="O27" s="56" t="s">
        <v>4</v>
      </c>
      <c r="P27" s="56" t="s">
        <v>4</v>
      </c>
      <c r="Q27" s="56" t="s">
        <v>4</v>
      </c>
      <c r="R27" s="44"/>
      <c r="S27" s="44"/>
      <c r="T27" s="44"/>
      <c r="U27" s="44"/>
    </row>
    <row r="28" spans="1:21" s="11" customFormat="1" x14ac:dyDescent="0.25">
      <c r="A28" s="51" t="s">
        <v>149</v>
      </c>
      <c r="B28" s="56" t="s">
        <v>4</v>
      </c>
      <c r="C28" s="56" t="s">
        <v>4</v>
      </c>
      <c r="D28" s="56" t="s">
        <v>4</v>
      </c>
      <c r="E28" s="56" t="s">
        <v>4</v>
      </c>
      <c r="F28" s="56" t="s">
        <v>4</v>
      </c>
      <c r="G28" s="56" t="s">
        <v>4</v>
      </c>
      <c r="H28" s="56" t="s">
        <v>4</v>
      </c>
      <c r="I28" s="56" t="s">
        <v>4</v>
      </c>
      <c r="J28" s="56" t="s">
        <v>4</v>
      </c>
      <c r="K28" s="56" t="s">
        <v>4</v>
      </c>
      <c r="L28" s="56" t="s">
        <v>4</v>
      </c>
      <c r="M28" s="56" t="s">
        <v>4</v>
      </c>
      <c r="N28" s="56" t="s">
        <v>4</v>
      </c>
      <c r="O28" s="56" t="s">
        <v>4</v>
      </c>
      <c r="P28" s="56" t="s">
        <v>4</v>
      </c>
      <c r="Q28" s="56" t="s">
        <v>4</v>
      </c>
      <c r="R28" s="44"/>
      <c r="S28" s="44"/>
      <c r="T28" s="44"/>
      <c r="U28" s="44"/>
    </row>
    <row r="29" spans="1:21" s="11" customFormat="1" x14ac:dyDescent="0.25">
      <c r="A29" s="51" t="s">
        <v>150</v>
      </c>
      <c r="B29" s="56" t="s">
        <v>4</v>
      </c>
      <c r="C29" s="56" t="s">
        <v>4</v>
      </c>
      <c r="D29" s="56" t="s">
        <v>4</v>
      </c>
      <c r="E29" s="56" t="s">
        <v>4</v>
      </c>
      <c r="F29" s="56" t="s">
        <v>4</v>
      </c>
      <c r="G29" s="56" t="s">
        <v>4</v>
      </c>
      <c r="H29" s="56" t="s">
        <v>4</v>
      </c>
      <c r="I29" s="56" t="s">
        <v>4</v>
      </c>
      <c r="J29" s="56" t="s">
        <v>4</v>
      </c>
      <c r="K29" s="56" t="s">
        <v>4</v>
      </c>
      <c r="L29" s="56" t="s">
        <v>4</v>
      </c>
      <c r="M29" s="56" t="s">
        <v>4</v>
      </c>
      <c r="N29" s="56" t="s">
        <v>4</v>
      </c>
      <c r="O29" s="56" t="s">
        <v>4</v>
      </c>
      <c r="P29" s="56" t="s">
        <v>4</v>
      </c>
      <c r="Q29" s="56" t="s">
        <v>4</v>
      </c>
      <c r="R29" s="44"/>
      <c r="S29" s="44"/>
      <c r="T29" s="44"/>
      <c r="U29" s="44"/>
    </row>
    <row r="30" spans="1:21" s="11" customFormat="1" x14ac:dyDescent="0.25">
      <c r="A30" s="51" t="s">
        <v>151</v>
      </c>
      <c r="B30" s="56" t="s">
        <v>4</v>
      </c>
      <c r="C30" s="56" t="s">
        <v>4</v>
      </c>
      <c r="D30" s="56" t="s">
        <v>4</v>
      </c>
      <c r="E30" s="56" t="s">
        <v>4</v>
      </c>
      <c r="F30" s="56" t="s">
        <v>4</v>
      </c>
      <c r="G30" s="56" t="s">
        <v>4</v>
      </c>
      <c r="H30" s="56" t="s">
        <v>4</v>
      </c>
      <c r="I30" s="56" t="s">
        <v>4</v>
      </c>
      <c r="J30" s="56" t="s">
        <v>4</v>
      </c>
      <c r="K30" s="56" t="s">
        <v>4</v>
      </c>
      <c r="L30" s="56" t="s">
        <v>4</v>
      </c>
      <c r="M30" s="56" t="s">
        <v>4</v>
      </c>
      <c r="N30" s="56" t="s">
        <v>4</v>
      </c>
      <c r="O30" s="56" t="s">
        <v>4</v>
      </c>
      <c r="P30" s="56" t="s">
        <v>4</v>
      </c>
      <c r="Q30" s="56" t="s">
        <v>4</v>
      </c>
      <c r="R30" s="44"/>
      <c r="S30" s="44"/>
      <c r="T30" s="44"/>
      <c r="U30" s="44"/>
    </row>
    <row r="31" spans="1:21" s="11" customFormat="1" x14ac:dyDescent="0.25">
      <c r="A31" s="51" t="s">
        <v>152</v>
      </c>
      <c r="B31" s="56" t="s">
        <v>4</v>
      </c>
      <c r="C31" s="56" t="s">
        <v>4</v>
      </c>
      <c r="D31" s="56" t="s">
        <v>4</v>
      </c>
      <c r="E31" s="56" t="s">
        <v>4</v>
      </c>
      <c r="F31" s="56" t="s">
        <v>4</v>
      </c>
      <c r="G31" s="56" t="s">
        <v>4</v>
      </c>
      <c r="H31" s="56" t="s">
        <v>4</v>
      </c>
      <c r="I31" s="56" t="s">
        <v>4</v>
      </c>
      <c r="J31" s="56" t="s">
        <v>4</v>
      </c>
      <c r="K31" s="56" t="s">
        <v>4</v>
      </c>
      <c r="L31" s="56" t="s">
        <v>4</v>
      </c>
      <c r="M31" s="56" t="s">
        <v>4</v>
      </c>
      <c r="N31" s="56" t="s">
        <v>4</v>
      </c>
      <c r="O31" s="56" t="s">
        <v>4</v>
      </c>
      <c r="P31" s="56" t="s">
        <v>4</v>
      </c>
      <c r="Q31" s="56" t="s">
        <v>4</v>
      </c>
      <c r="R31" s="44"/>
      <c r="S31" s="44"/>
      <c r="T31" s="44"/>
      <c r="U31" s="44"/>
    </row>
    <row r="32" spans="1:21" s="11" customFormat="1" x14ac:dyDescent="0.25">
      <c r="A32" s="51" t="s">
        <v>153</v>
      </c>
      <c r="B32" s="56" t="s">
        <v>4</v>
      </c>
      <c r="C32" s="56" t="s">
        <v>4</v>
      </c>
      <c r="D32" s="56" t="s">
        <v>4</v>
      </c>
      <c r="E32" s="56" t="s">
        <v>4</v>
      </c>
      <c r="F32" s="56" t="s">
        <v>4</v>
      </c>
      <c r="G32" s="56" t="s">
        <v>4</v>
      </c>
      <c r="H32" s="56" t="s">
        <v>4</v>
      </c>
      <c r="I32" s="56" t="s">
        <v>4</v>
      </c>
      <c r="J32" s="56" t="s">
        <v>4</v>
      </c>
      <c r="K32" s="56" t="s">
        <v>4</v>
      </c>
      <c r="L32" s="56" t="s">
        <v>4</v>
      </c>
      <c r="M32" s="56" t="s">
        <v>4</v>
      </c>
      <c r="N32" s="56" t="s">
        <v>4</v>
      </c>
      <c r="O32" s="56" t="s">
        <v>4</v>
      </c>
      <c r="P32" s="56" t="s">
        <v>4</v>
      </c>
      <c r="Q32" s="56" t="s">
        <v>4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>MAX(B9:B32)+24</f>
        <v>24</v>
      </c>
      <c r="C35" s="29">
        <f t="shared" ref="C35:Q35" si="1">MAX(C9:C32)+24</f>
        <v>24</v>
      </c>
      <c r="D35" s="29">
        <f t="shared" si="1"/>
        <v>24</v>
      </c>
      <c r="E35" s="29">
        <f t="shared" si="1"/>
        <v>24</v>
      </c>
      <c r="F35" s="29">
        <f t="shared" si="1"/>
        <v>24</v>
      </c>
      <c r="G35" s="29">
        <f t="shared" si="1"/>
        <v>24</v>
      </c>
      <c r="H35" s="29">
        <f t="shared" si="1"/>
        <v>24</v>
      </c>
      <c r="I35" s="29">
        <f t="shared" si="1"/>
        <v>24</v>
      </c>
      <c r="J35" s="29">
        <f t="shared" si="1"/>
        <v>24</v>
      </c>
      <c r="K35" s="29">
        <f t="shared" si="1"/>
        <v>24</v>
      </c>
      <c r="L35" s="29">
        <f t="shared" si="1"/>
        <v>24</v>
      </c>
      <c r="M35" s="29">
        <f t="shared" si="1"/>
        <v>24</v>
      </c>
      <c r="N35" s="29">
        <f t="shared" si="1"/>
        <v>24</v>
      </c>
      <c r="O35" s="29">
        <f t="shared" si="1"/>
        <v>24</v>
      </c>
      <c r="P35" s="29">
        <f t="shared" si="1"/>
        <v>24</v>
      </c>
      <c r="Q35" s="29">
        <f t="shared" si="1"/>
        <v>24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COUNT(B9:B32)+24</f>
        <v>24</v>
      </c>
      <c r="C38" s="32">
        <f t="shared" ref="C38:Q38" si="4">COUNT(C9:C32)+24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05-11-2022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154</v>
      </c>
      <c r="B9" s="56" t="s">
        <v>4</v>
      </c>
      <c r="C9" s="56" t="s">
        <v>4</v>
      </c>
      <c r="D9" s="56" t="s">
        <v>4</v>
      </c>
      <c r="E9" s="56" t="s">
        <v>4</v>
      </c>
      <c r="F9" s="56" t="s">
        <v>4</v>
      </c>
      <c r="G9" s="56" t="s">
        <v>4</v>
      </c>
      <c r="H9" s="56" t="s">
        <v>4</v>
      </c>
      <c r="I9" s="56" t="s">
        <v>4</v>
      </c>
      <c r="J9" s="56" t="s">
        <v>4</v>
      </c>
      <c r="K9" s="56" t="s">
        <v>4</v>
      </c>
      <c r="L9" s="56" t="s">
        <v>4</v>
      </c>
      <c r="M9" s="56" t="s">
        <v>4</v>
      </c>
      <c r="N9" s="56" t="s">
        <v>4</v>
      </c>
      <c r="O9" s="56" t="s">
        <v>4</v>
      </c>
      <c r="P9" s="56" t="s">
        <v>4</v>
      </c>
      <c r="Q9" s="56" t="s">
        <v>4</v>
      </c>
      <c r="R9" s="44"/>
      <c r="S9" s="44"/>
      <c r="T9" s="44"/>
      <c r="U9" s="44"/>
    </row>
    <row r="10" spans="1:21" s="11" customFormat="1" x14ac:dyDescent="0.25">
      <c r="A10" s="51" t="s">
        <v>155</v>
      </c>
      <c r="B10" s="56" t="s">
        <v>4</v>
      </c>
      <c r="C10" s="56" t="s">
        <v>4</v>
      </c>
      <c r="D10" s="56" t="s">
        <v>4</v>
      </c>
      <c r="E10" s="56" t="s">
        <v>4</v>
      </c>
      <c r="F10" s="56" t="s">
        <v>4</v>
      </c>
      <c r="G10" s="56" t="s">
        <v>4</v>
      </c>
      <c r="H10" s="56" t="s">
        <v>4</v>
      </c>
      <c r="I10" s="56" t="s">
        <v>4</v>
      </c>
      <c r="J10" s="56" t="s">
        <v>4</v>
      </c>
      <c r="K10" s="56" t="s">
        <v>4</v>
      </c>
      <c r="L10" s="56" t="s">
        <v>4</v>
      </c>
      <c r="M10" s="56" t="s">
        <v>4</v>
      </c>
      <c r="N10" s="56" t="s">
        <v>4</v>
      </c>
      <c r="O10" s="56" t="s">
        <v>4</v>
      </c>
      <c r="P10" s="56" t="s">
        <v>4</v>
      </c>
      <c r="Q10" s="56" t="s">
        <v>4</v>
      </c>
      <c r="R10" s="44"/>
      <c r="S10" s="44"/>
      <c r="T10" s="44"/>
      <c r="U10" s="44"/>
    </row>
    <row r="11" spans="1:21" s="11" customFormat="1" x14ac:dyDescent="0.25">
      <c r="A11" s="51" t="s">
        <v>156</v>
      </c>
      <c r="B11" s="56" t="s">
        <v>4</v>
      </c>
      <c r="C11" s="56" t="s">
        <v>4</v>
      </c>
      <c r="D11" s="56" t="s">
        <v>4</v>
      </c>
      <c r="E11" s="56" t="s">
        <v>4</v>
      </c>
      <c r="F11" s="56" t="s">
        <v>4</v>
      </c>
      <c r="G11" s="56" t="s">
        <v>4</v>
      </c>
      <c r="H11" s="56" t="s">
        <v>4</v>
      </c>
      <c r="I11" s="56" t="s">
        <v>4</v>
      </c>
      <c r="J11" s="56" t="s">
        <v>4</v>
      </c>
      <c r="K11" s="56" t="s">
        <v>4</v>
      </c>
      <c r="L11" s="56" t="s">
        <v>4</v>
      </c>
      <c r="M11" s="56" t="s">
        <v>4</v>
      </c>
      <c r="N11" s="56" t="s">
        <v>4</v>
      </c>
      <c r="O11" s="56" t="s">
        <v>4</v>
      </c>
      <c r="P11" s="56" t="s">
        <v>4</v>
      </c>
      <c r="Q11" s="56" t="s">
        <v>4</v>
      </c>
      <c r="R11" s="44"/>
      <c r="S11" s="44"/>
      <c r="T11" s="44"/>
      <c r="U11" s="44"/>
    </row>
    <row r="12" spans="1:21" s="11" customFormat="1" x14ac:dyDescent="0.25">
      <c r="A12" s="51" t="s">
        <v>157</v>
      </c>
      <c r="B12" s="56" t="s">
        <v>4</v>
      </c>
      <c r="C12" s="56" t="s">
        <v>4</v>
      </c>
      <c r="D12" s="56" t="s">
        <v>4</v>
      </c>
      <c r="E12" s="56" t="s">
        <v>4</v>
      </c>
      <c r="F12" s="56" t="s">
        <v>4</v>
      </c>
      <c r="G12" s="56" t="s">
        <v>4</v>
      </c>
      <c r="H12" s="56" t="s">
        <v>4</v>
      </c>
      <c r="I12" s="56" t="s">
        <v>4</v>
      </c>
      <c r="J12" s="56" t="s">
        <v>4</v>
      </c>
      <c r="K12" s="56" t="s">
        <v>4</v>
      </c>
      <c r="L12" s="56" t="s">
        <v>4</v>
      </c>
      <c r="M12" s="56" t="s">
        <v>4</v>
      </c>
      <c r="N12" s="56" t="s">
        <v>4</v>
      </c>
      <c r="O12" s="56" t="s">
        <v>4</v>
      </c>
      <c r="P12" s="56" t="s">
        <v>4</v>
      </c>
      <c r="Q12" s="56" t="s">
        <v>4</v>
      </c>
      <c r="R12" s="44"/>
      <c r="S12" s="44"/>
      <c r="T12" s="44"/>
      <c r="U12" s="44"/>
    </row>
    <row r="13" spans="1:21" s="11" customFormat="1" x14ac:dyDescent="0.25">
      <c r="A13" s="51" t="s">
        <v>158</v>
      </c>
      <c r="B13" s="56" t="s">
        <v>4</v>
      </c>
      <c r="C13" s="56" t="s">
        <v>4</v>
      </c>
      <c r="D13" s="56" t="s">
        <v>4</v>
      </c>
      <c r="E13" s="56" t="s">
        <v>4</v>
      </c>
      <c r="F13" s="56" t="s">
        <v>4</v>
      </c>
      <c r="G13" s="56" t="s">
        <v>4</v>
      </c>
      <c r="H13" s="56" t="s">
        <v>4</v>
      </c>
      <c r="I13" s="56" t="s">
        <v>4</v>
      </c>
      <c r="J13" s="56" t="s">
        <v>4</v>
      </c>
      <c r="K13" s="56" t="s">
        <v>4</v>
      </c>
      <c r="L13" s="56" t="s">
        <v>4</v>
      </c>
      <c r="M13" s="56" t="s">
        <v>4</v>
      </c>
      <c r="N13" s="56" t="s">
        <v>4</v>
      </c>
      <c r="O13" s="56" t="s">
        <v>4</v>
      </c>
      <c r="P13" s="56" t="s">
        <v>4</v>
      </c>
      <c r="Q13" s="56" t="s">
        <v>4</v>
      </c>
      <c r="R13" s="44"/>
      <c r="S13" s="44"/>
      <c r="T13" s="44"/>
      <c r="U13" s="44"/>
    </row>
    <row r="14" spans="1:21" s="11" customFormat="1" x14ac:dyDescent="0.25">
      <c r="A14" s="51" t="s">
        <v>159</v>
      </c>
      <c r="B14" s="56" t="s">
        <v>4</v>
      </c>
      <c r="C14" s="56" t="s">
        <v>4</v>
      </c>
      <c r="D14" s="56" t="s">
        <v>4</v>
      </c>
      <c r="E14" s="56" t="s">
        <v>4</v>
      </c>
      <c r="F14" s="56" t="s">
        <v>4</v>
      </c>
      <c r="G14" s="56" t="s">
        <v>4</v>
      </c>
      <c r="H14" s="56" t="s">
        <v>4</v>
      </c>
      <c r="I14" s="56" t="s">
        <v>4</v>
      </c>
      <c r="J14" s="56" t="s">
        <v>4</v>
      </c>
      <c r="K14" s="56" t="s">
        <v>4</v>
      </c>
      <c r="L14" s="56" t="s">
        <v>4</v>
      </c>
      <c r="M14" s="56" t="s">
        <v>4</v>
      </c>
      <c r="N14" s="56" t="s">
        <v>4</v>
      </c>
      <c r="O14" s="56" t="s">
        <v>4</v>
      </c>
      <c r="P14" s="56" t="s">
        <v>4</v>
      </c>
      <c r="Q14" s="56" t="s">
        <v>4</v>
      </c>
      <c r="R14" s="44"/>
      <c r="S14" s="44"/>
      <c r="T14" s="44"/>
      <c r="U14" s="44"/>
    </row>
    <row r="15" spans="1:21" s="11" customFormat="1" x14ac:dyDescent="0.25">
      <c r="A15" s="51" t="s">
        <v>160</v>
      </c>
      <c r="B15" s="56" t="s">
        <v>4</v>
      </c>
      <c r="C15" s="56" t="s">
        <v>4</v>
      </c>
      <c r="D15" s="56" t="s">
        <v>4</v>
      </c>
      <c r="E15" s="56" t="s">
        <v>4</v>
      </c>
      <c r="F15" s="56" t="s">
        <v>4</v>
      </c>
      <c r="G15" s="56" t="s">
        <v>4</v>
      </c>
      <c r="H15" s="56" t="s">
        <v>4</v>
      </c>
      <c r="I15" s="56" t="s">
        <v>4</v>
      </c>
      <c r="J15" s="56" t="s">
        <v>4</v>
      </c>
      <c r="K15" s="56" t="s">
        <v>4</v>
      </c>
      <c r="L15" s="56" t="s">
        <v>4</v>
      </c>
      <c r="M15" s="56" t="s">
        <v>4</v>
      </c>
      <c r="N15" s="56" t="s">
        <v>4</v>
      </c>
      <c r="O15" s="56" t="s">
        <v>4</v>
      </c>
      <c r="P15" s="56" t="s">
        <v>4</v>
      </c>
      <c r="Q15" s="56" t="s">
        <v>4</v>
      </c>
      <c r="R15" s="44"/>
      <c r="S15" s="44"/>
      <c r="T15" s="44"/>
      <c r="U15" s="44"/>
    </row>
    <row r="16" spans="1:21" s="11" customFormat="1" x14ac:dyDescent="0.25">
      <c r="A16" s="51" t="s">
        <v>161</v>
      </c>
      <c r="B16" s="56" t="s">
        <v>4</v>
      </c>
      <c r="C16" s="56" t="s">
        <v>4</v>
      </c>
      <c r="D16" s="56" t="s">
        <v>4</v>
      </c>
      <c r="E16" s="56" t="s">
        <v>4</v>
      </c>
      <c r="F16" s="56" t="s">
        <v>4</v>
      </c>
      <c r="G16" s="56" t="s">
        <v>4</v>
      </c>
      <c r="H16" s="56" t="s">
        <v>4</v>
      </c>
      <c r="I16" s="56" t="s">
        <v>4</v>
      </c>
      <c r="J16" s="56" t="s">
        <v>4</v>
      </c>
      <c r="K16" s="56" t="s">
        <v>4</v>
      </c>
      <c r="L16" s="56" t="s">
        <v>4</v>
      </c>
      <c r="M16" s="56" t="s">
        <v>4</v>
      </c>
      <c r="N16" s="56" t="s">
        <v>4</v>
      </c>
      <c r="O16" s="56" t="s">
        <v>4</v>
      </c>
      <c r="P16" s="56" t="s">
        <v>4</v>
      </c>
      <c r="Q16" s="56" t="s">
        <v>4</v>
      </c>
      <c r="R16" s="44"/>
      <c r="S16" s="44"/>
      <c r="T16" s="44"/>
      <c r="U16" s="44"/>
    </row>
    <row r="17" spans="1:21" s="11" customFormat="1" x14ac:dyDescent="0.25">
      <c r="A17" s="51" t="s">
        <v>162</v>
      </c>
      <c r="B17" s="56" t="s">
        <v>4</v>
      </c>
      <c r="C17" s="56" t="s">
        <v>4</v>
      </c>
      <c r="D17" s="56" t="s">
        <v>4</v>
      </c>
      <c r="E17" s="56" t="s">
        <v>4</v>
      </c>
      <c r="F17" s="56" t="s">
        <v>4</v>
      </c>
      <c r="G17" s="56" t="s">
        <v>4</v>
      </c>
      <c r="H17" s="56" t="s">
        <v>4</v>
      </c>
      <c r="I17" s="56" t="s">
        <v>4</v>
      </c>
      <c r="J17" s="56" t="s">
        <v>4</v>
      </c>
      <c r="K17" s="56" t="s">
        <v>4</v>
      </c>
      <c r="L17" s="56" t="s">
        <v>4</v>
      </c>
      <c r="M17" s="56" t="s">
        <v>4</v>
      </c>
      <c r="N17" s="56" t="s">
        <v>4</v>
      </c>
      <c r="O17" s="56" t="s">
        <v>4</v>
      </c>
      <c r="P17" s="56" t="s">
        <v>4</v>
      </c>
      <c r="Q17" s="56" t="s">
        <v>4</v>
      </c>
      <c r="R17" s="44"/>
      <c r="S17" s="44"/>
      <c r="T17" s="44"/>
      <c r="U17" s="44"/>
    </row>
    <row r="18" spans="1:21" s="11" customFormat="1" x14ac:dyDescent="0.25">
      <c r="A18" s="51" t="s">
        <v>163</v>
      </c>
      <c r="B18" s="56" t="s">
        <v>4</v>
      </c>
      <c r="C18" s="56" t="s">
        <v>4</v>
      </c>
      <c r="D18" s="56" t="s">
        <v>4</v>
      </c>
      <c r="E18" s="56" t="s">
        <v>4</v>
      </c>
      <c r="F18" s="56" t="s">
        <v>4</v>
      </c>
      <c r="G18" s="56" t="s">
        <v>4</v>
      </c>
      <c r="H18" s="56" t="s">
        <v>4</v>
      </c>
      <c r="I18" s="56" t="s">
        <v>4</v>
      </c>
      <c r="J18" s="56" t="s">
        <v>4</v>
      </c>
      <c r="K18" s="56" t="s">
        <v>4</v>
      </c>
      <c r="L18" s="56" t="s">
        <v>4</v>
      </c>
      <c r="M18" s="56" t="s">
        <v>4</v>
      </c>
      <c r="N18" s="56" t="s">
        <v>4</v>
      </c>
      <c r="O18" s="56" t="s">
        <v>4</v>
      </c>
      <c r="P18" s="56" t="s">
        <v>4</v>
      </c>
      <c r="Q18" s="56" t="s">
        <v>4</v>
      </c>
      <c r="R18" s="44"/>
      <c r="S18" s="44"/>
      <c r="T18" s="44"/>
      <c r="U18" s="44"/>
    </row>
    <row r="19" spans="1:21" s="11" customFormat="1" x14ac:dyDescent="0.25">
      <c r="A19" s="51" t="s">
        <v>164</v>
      </c>
      <c r="B19" s="56" t="s">
        <v>4</v>
      </c>
      <c r="C19" s="56" t="s">
        <v>4</v>
      </c>
      <c r="D19" s="56" t="s">
        <v>4</v>
      </c>
      <c r="E19" s="56" t="s">
        <v>4</v>
      </c>
      <c r="F19" s="56" t="s">
        <v>4</v>
      </c>
      <c r="G19" s="56" t="s">
        <v>4</v>
      </c>
      <c r="H19" s="56" t="s">
        <v>4</v>
      </c>
      <c r="I19" s="56" t="s">
        <v>4</v>
      </c>
      <c r="J19" s="56" t="s">
        <v>4</v>
      </c>
      <c r="K19" s="56" t="s">
        <v>4</v>
      </c>
      <c r="L19" s="56" t="s">
        <v>4</v>
      </c>
      <c r="M19" s="56" t="s">
        <v>4</v>
      </c>
      <c r="N19" s="56" t="s">
        <v>4</v>
      </c>
      <c r="O19" s="56" t="s">
        <v>4</v>
      </c>
      <c r="P19" s="56" t="s">
        <v>4</v>
      </c>
      <c r="Q19" s="56" t="s">
        <v>4</v>
      </c>
      <c r="R19" s="44"/>
      <c r="S19" s="44"/>
      <c r="T19" s="44"/>
      <c r="U19" s="44"/>
    </row>
    <row r="20" spans="1:21" s="11" customFormat="1" x14ac:dyDescent="0.25">
      <c r="A20" s="51" t="s">
        <v>165</v>
      </c>
      <c r="B20" s="56" t="s">
        <v>4</v>
      </c>
      <c r="C20" s="56" t="s">
        <v>4</v>
      </c>
      <c r="D20" s="56" t="s">
        <v>4</v>
      </c>
      <c r="E20" s="56" t="s">
        <v>4</v>
      </c>
      <c r="F20" s="56" t="s">
        <v>4</v>
      </c>
      <c r="G20" s="56" t="s">
        <v>4</v>
      </c>
      <c r="H20" s="56" t="s">
        <v>4</v>
      </c>
      <c r="I20" s="56" t="s">
        <v>4</v>
      </c>
      <c r="J20" s="56" t="s">
        <v>4</v>
      </c>
      <c r="K20" s="56" t="s">
        <v>4</v>
      </c>
      <c r="L20" s="56" t="s">
        <v>4</v>
      </c>
      <c r="M20" s="56" t="s">
        <v>4</v>
      </c>
      <c r="N20" s="56" t="s">
        <v>4</v>
      </c>
      <c r="O20" s="56" t="s">
        <v>4</v>
      </c>
      <c r="P20" s="56" t="s">
        <v>4</v>
      </c>
      <c r="Q20" s="56" t="s">
        <v>4</v>
      </c>
      <c r="R20" s="44"/>
      <c r="S20" s="44"/>
      <c r="T20" s="44"/>
      <c r="U20" s="44"/>
    </row>
    <row r="21" spans="1:21" s="11" customFormat="1" x14ac:dyDescent="0.25">
      <c r="A21" s="51" t="s">
        <v>166</v>
      </c>
      <c r="B21" s="56" t="s">
        <v>4</v>
      </c>
      <c r="C21" s="56" t="s">
        <v>4</v>
      </c>
      <c r="D21" s="56" t="s">
        <v>4</v>
      </c>
      <c r="E21" s="56" t="s">
        <v>4</v>
      </c>
      <c r="F21" s="56" t="s">
        <v>4</v>
      </c>
      <c r="G21" s="56" t="s">
        <v>4</v>
      </c>
      <c r="H21" s="56" t="s">
        <v>4</v>
      </c>
      <c r="I21" s="56" t="s">
        <v>4</v>
      </c>
      <c r="J21" s="56" t="s">
        <v>4</v>
      </c>
      <c r="K21" s="56" t="s">
        <v>4</v>
      </c>
      <c r="L21" s="56" t="s">
        <v>4</v>
      </c>
      <c r="M21" s="56" t="s">
        <v>4</v>
      </c>
      <c r="N21" s="56" t="s">
        <v>4</v>
      </c>
      <c r="O21" s="56" t="s">
        <v>4</v>
      </c>
      <c r="P21" s="56" t="s">
        <v>4</v>
      </c>
      <c r="Q21" s="56" t="s">
        <v>4</v>
      </c>
      <c r="R21" s="44"/>
      <c r="S21" s="44"/>
      <c r="T21" s="44"/>
      <c r="U21" s="44"/>
    </row>
    <row r="22" spans="1:21" s="11" customFormat="1" x14ac:dyDescent="0.25">
      <c r="A22" s="51" t="s">
        <v>167</v>
      </c>
      <c r="B22" s="56" t="s">
        <v>4</v>
      </c>
      <c r="C22" s="56" t="s">
        <v>4</v>
      </c>
      <c r="D22" s="56" t="s">
        <v>4</v>
      </c>
      <c r="E22" s="56" t="s">
        <v>4</v>
      </c>
      <c r="F22" s="56" t="s">
        <v>4</v>
      </c>
      <c r="G22" s="56" t="s">
        <v>4</v>
      </c>
      <c r="H22" s="56" t="s">
        <v>4</v>
      </c>
      <c r="I22" s="56" t="s">
        <v>4</v>
      </c>
      <c r="J22" s="56" t="s">
        <v>4</v>
      </c>
      <c r="K22" s="56" t="s">
        <v>4</v>
      </c>
      <c r="L22" s="56" t="s">
        <v>4</v>
      </c>
      <c r="M22" s="56" t="s">
        <v>4</v>
      </c>
      <c r="N22" s="56" t="s">
        <v>4</v>
      </c>
      <c r="O22" s="56" t="s">
        <v>4</v>
      </c>
      <c r="P22" s="56" t="s">
        <v>4</v>
      </c>
      <c r="Q22" s="56" t="s">
        <v>4</v>
      </c>
      <c r="R22" s="44"/>
      <c r="S22" s="44"/>
      <c r="T22" s="44"/>
      <c r="U22" s="44"/>
    </row>
    <row r="23" spans="1:21" s="11" customFormat="1" x14ac:dyDescent="0.25">
      <c r="A23" s="51" t="s">
        <v>168</v>
      </c>
      <c r="B23" s="56" t="s">
        <v>4</v>
      </c>
      <c r="C23" s="56" t="s">
        <v>4</v>
      </c>
      <c r="D23" s="56" t="s">
        <v>4</v>
      </c>
      <c r="E23" s="56" t="s">
        <v>4</v>
      </c>
      <c r="F23" s="56" t="s">
        <v>4</v>
      </c>
      <c r="G23" s="56" t="s">
        <v>4</v>
      </c>
      <c r="H23" s="56" t="s">
        <v>4</v>
      </c>
      <c r="I23" s="56" t="s">
        <v>4</v>
      </c>
      <c r="J23" s="56" t="s">
        <v>4</v>
      </c>
      <c r="K23" s="56" t="s">
        <v>4</v>
      </c>
      <c r="L23" s="56" t="s">
        <v>4</v>
      </c>
      <c r="M23" s="56" t="s">
        <v>4</v>
      </c>
      <c r="N23" s="56" t="s">
        <v>4</v>
      </c>
      <c r="O23" s="56" t="s">
        <v>4</v>
      </c>
      <c r="P23" s="56" t="s">
        <v>4</v>
      </c>
      <c r="Q23" s="56" t="s">
        <v>4</v>
      </c>
      <c r="R23" s="44"/>
      <c r="S23" s="44"/>
      <c r="T23" s="44"/>
      <c r="U23" s="44"/>
    </row>
    <row r="24" spans="1:21" s="11" customFormat="1" x14ac:dyDescent="0.25">
      <c r="A24" s="51" t="s">
        <v>169</v>
      </c>
      <c r="B24" s="56" t="s">
        <v>4</v>
      </c>
      <c r="C24" s="56" t="s">
        <v>4</v>
      </c>
      <c r="D24" s="56" t="s">
        <v>4</v>
      </c>
      <c r="E24" s="56" t="s">
        <v>4</v>
      </c>
      <c r="F24" s="56" t="s">
        <v>4</v>
      </c>
      <c r="G24" s="56" t="s">
        <v>4</v>
      </c>
      <c r="H24" s="56" t="s">
        <v>4</v>
      </c>
      <c r="I24" s="56" t="s">
        <v>4</v>
      </c>
      <c r="J24" s="56" t="s">
        <v>4</v>
      </c>
      <c r="K24" s="56" t="s">
        <v>4</v>
      </c>
      <c r="L24" s="56" t="s">
        <v>4</v>
      </c>
      <c r="M24" s="56" t="s">
        <v>4</v>
      </c>
      <c r="N24" s="56" t="s">
        <v>4</v>
      </c>
      <c r="O24" s="56" t="s">
        <v>4</v>
      </c>
      <c r="P24" s="56" t="s">
        <v>4</v>
      </c>
      <c r="Q24" s="56" t="s">
        <v>4</v>
      </c>
      <c r="R24" s="44"/>
      <c r="S24" s="44"/>
      <c r="T24" s="44"/>
      <c r="U24" s="44"/>
    </row>
    <row r="25" spans="1:21" s="11" customFormat="1" x14ac:dyDescent="0.25">
      <c r="A25" s="51" t="s">
        <v>170</v>
      </c>
      <c r="B25" s="56" t="s">
        <v>4</v>
      </c>
      <c r="C25" s="56" t="s">
        <v>4</v>
      </c>
      <c r="D25" s="56" t="s">
        <v>4</v>
      </c>
      <c r="E25" s="56" t="s">
        <v>4</v>
      </c>
      <c r="F25" s="56" t="s">
        <v>4</v>
      </c>
      <c r="G25" s="56" t="s">
        <v>4</v>
      </c>
      <c r="H25" s="56" t="s">
        <v>4</v>
      </c>
      <c r="I25" s="56" t="s">
        <v>4</v>
      </c>
      <c r="J25" s="56" t="s">
        <v>4</v>
      </c>
      <c r="K25" s="56" t="s">
        <v>4</v>
      </c>
      <c r="L25" s="56" t="s">
        <v>4</v>
      </c>
      <c r="M25" s="56" t="s">
        <v>4</v>
      </c>
      <c r="N25" s="56" t="s">
        <v>4</v>
      </c>
      <c r="O25" s="56" t="s">
        <v>4</v>
      </c>
      <c r="P25" s="56" t="s">
        <v>4</v>
      </c>
      <c r="Q25" s="56" t="s">
        <v>4</v>
      </c>
      <c r="R25" s="44"/>
      <c r="S25" s="44"/>
      <c r="T25" s="44"/>
      <c r="U25" s="44"/>
    </row>
    <row r="26" spans="1:21" s="11" customFormat="1" x14ac:dyDescent="0.25">
      <c r="A26" s="51" t="s">
        <v>171</v>
      </c>
      <c r="B26" s="56" t="s">
        <v>4</v>
      </c>
      <c r="C26" s="56" t="s">
        <v>4</v>
      </c>
      <c r="D26" s="56" t="s">
        <v>4</v>
      </c>
      <c r="E26" s="56" t="s">
        <v>4</v>
      </c>
      <c r="F26" s="56" t="s">
        <v>4</v>
      </c>
      <c r="G26" s="56" t="s">
        <v>4</v>
      </c>
      <c r="H26" s="56" t="s">
        <v>4</v>
      </c>
      <c r="I26" s="56" t="s">
        <v>4</v>
      </c>
      <c r="J26" s="56" t="s">
        <v>4</v>
      </c>
      <c r="K26" s="56" t="s">
        <v>4</v>
      </c>
      <c r="L26" s="56" t="s">
        <v>4</v>
      </c>
      <c r="M26" s="56" t="s">
        <v>4</v>
      </c>
      <c r="N26" s="56" t="s">
        <v>4</v>
      </c>
      <c r="O26" s="56" t="s">
        <v>4</v>
      </c>
      <c r="P26" s="56" t="s">
        <v>4</v>
      </c>
      <c r="Q26" s="56" t="s">
        <v>4</v>
      </c>
      <c r="R26" s="44"/>
      <c r="S26" s="44"/>
      <c r="T26" s="44"/>
      <c r="U26" s="44"/>
    </row>
    <row r="27" spans="1:21" s="11" customFormat="1" x14ac:dyDescent="0.25">
      <c r="A27" s="51" t="s">
        <v>172</v>
      </c>
      <c r="B27" s="56" t="s">
        <v>4</v>
      </c>
      <c r="C27" s="56" t="s">
        <v>4</v>
      </c>
      <c r="D27" s="56" t="s">
        <v>4</v>
      </c>
      <c r="E27" s="56" t="s">
        <v>4</v>
      </c>
      <c r="F27" s="56" t="s">
        <v>4</v>
      </c>
      <c r="G27" s="56" t="s">
        <v>4</v>
      </c>
      <c r="H27" s="56" t="s">
        <v>4</v>
      </c>
      <c r="I27" s="56" t="s">
        <v>4</v>
      </c>
      <c r="J27" s="56" t="s">
        <v>4</v>
      </c>
      <c r="K27" s="56" t="s">
        <v>4</v>
      </c>
      <c r="L27" s="56" t="s">
        <v>4</v>
      </c>
      <c r="M27" s="56" t="s">
        <v>4</v>
      </c>
      <c r="N27" s="56" t="s">
        <v>4</v>
      </c>
      <c r="O27" s="56" t="s">
        <v>4</v>
      </c>
      <c r="P27" s="56" t="s">
        <v>4</v>
      </c>
      <c r="Q27" s="56" t="s">
        <v>4</v>
      </c>
      <c r="R27" s="44"/>
      <c r="S27" s="44"/>
      <c r="T27" s="44"/>
      <c r="U27" s="44"/>
    </row>
    <row r="28" spans="1:21" s="11" customFormat="1" x14ac:dyDescent="0.25">
      <c r="A28" s="51" t="s">
        <v>173</v>
      </c>
      <c r="B28" s="56" t="s">
        <v>4</v>
      </c>
      <c r="C28" s="56" t="s">
        <v>4</v>
      </c>
      <c r="D28" s="56" t="s">
        <v>4</v>
      </c>
      <c r="E28" s="56" t="s">
        <v>4</v>
      </c>
      <c r="F28" s="56" t="s">
        <v>4</v>
      </c>
      <c r="G28" s="56" t="s">
        <v>4</v>
      </c>
      <c r="H28" s="56" t="s">
        <v>4</v>
      </c>
      <c r="I28" s="56" t="s">
        <v>4</v>
      </c>
      <c r="J28" s="56" t="s">
        <v>4</v>
      </c>
      <c r="K28" s="56" t="s">
        <v>4</v>
      </c>
      <c r="L28" s="56" t="s">
        <v>4</v>
      </c>
      <c r="M28" s="56" t="s">
        <v>4</v>
      </c>
      <c r="N28" s="56" t="s">
        <v>4</v>
      </c>
      <c r="O28" s="56" t="s">
        <v>4</v>
      </c>
      <c r="P28" s="56" t="s">
        <v>4</v>
      </c>
      <c r="Q28" s="56" t="s">
        <v>4</v>
      </c>
      <c r="R28" s="44"/>
      <c r="S28" s="44"/>
      <c r="T28" s="44"/>
      <c r="U28" s="44"/>
    </row>
    <row r="29" spans="1:21" s="11" customFormat="1" x14ac:dyDescent="0.25">
      <c r="A29" s="51" t="s">
        <v>174</v>
      </c>
      <c r="B29" s="56" t="s">
        <v>4</v>
      </c>
      <c r="C29" s="56" t="s">
        <v>4</v>
      </c>
      <c r="D29" s="56" t="s">
        <v>4</v>
      </c>
      <c r="E29" s="56" t="s">
        <v>4</v>
      </c>
      <c r="F29" s="56" t="s">
        <v>4</v>
      </c>
      <c r="G29" s="56" t="s">
        <v>4</v>
      </c>
      <c r="H29" s="56" t="s">
        <v>4</v>
      </c>
      <c r="I29" s="56" t="s">
        <v>4</v>
      </c>
      <c r="J29" s="56" t="s">
        <v>4</v>
      </c>
      <c r="K29" s="56" t="s">
        <v>4</v>
      </c>
      <c r="L29" s="56" t="s">
        <v>4</v>
      </c>
      <c r="M29" s="56" t="s">
        <v>4</v>
      </c>
      <c r="N29" s="56" t="s">
        <v>4</v>
      </c>
      <c r="O29" s="56" t="s">
        <v>4</v>
      </c>
      <c r="P29" s="56" t="s">
        <v>4</v>
      </c>
      <c r="Q29" s="56" t="s">
        <v>4</v>
      </c>
      <c r="R29" s="44"/>
      <c r="S29" s="44"/>
      <c r="T29" s="44"/>
      <c r="U29" s="44"/>
    </row>
    <row r="30" spans="1:21" s="11" customFormat="1" x14ac:dyDescent="0.25">
      <c r="A30" s="51" t="s">
        <v>175</v>
      </c>
      <c r="B30" s="56" t="s">
        <v>4</v>
      </c>
      <c r="C30" s="56" t="s">
        <v>4</v>
      </c>
      <c r="D30" s="56" t="s">
        <v>4</v>
      </c>
      <c r="E30" s="56" t="s">
        <v>4</v>
      </c>
      <c r="F30" s="56" t="s">
        <v>4</v>
      </c>
      <c r="G30" s="56" t="s">
        <v>4</v>
      </c>
      <c r="H30" s="56" t="s">
        <v>4</v>
      </c>
      <c r="I30" s="56" t="s">
        <v>4</v>
      </c>
      <c r="J30" s="56" t="s">
        <v>4</v>
      </c>
      <c r="K30" s="56" t="s">
        <v>4</v>
      </c>
      <c r="L30" s="56" t="s">
        <v>4</v>
      </c>
      <c r="M30" s="56" t="s">
        <v>4</v>
      </c>
      <c r="N30" s="56" t="s">
        <v>4</v>
      </c>
      <c r="O30" s="56" t="s">
        <v>4</v>
      </c>
      <c r="P30" s="56" t="s">
        <v>4</v>
      </c>
      <c r="Q30" s="56" t="s">
        <v>4</v>
      </c>
      <c r="R30" s="44"/>
      <c r="S30" s="44"/>
      <c r="T30" s="44"/>
      <c r="U30" s="44"/>
    </row>
    <row r="31" spans="1:21" s="11" customFormat="1" x14ac:dyDescent="0.25">
      <c r="A31" s="51" t="s">
        <v>176</v>
      </c>
      <c r="B31" s="56" t="s">
        <v>4</v>
      </c>
      <c r="C31" s="56" t="s">
        <v>4</v>
      </c>
      <c r="D31" s="56" t="s">
        <v>4</v>
      </c>
      <c r="E31" s="56" t="s">
        <v>4</v>
      </c>
      <c r="F31" s="56" t="s">
        <v>4</v>
      </c>
      <c r="G31" s="56" t="s">
        <v>4</v>
      </c>
      <c r="H31" s="56" t="s">
        <v>4</v>
      </c>
      <c r="I31" s="56" t="s">
        <v>4</v>
      </c>
      <c r="J31" s="56" t="s">
        <v>4</v>
      </c>
      <c r="K31" s="56" t="s">
        <v>4</v>
      </c>
      <c r="L31" s="56" t="s">
        <v>4</v>
      </c>
      <c r="M31" s="56" t="s">
        <v>4</v>
      </c>
      <c r="N31" s="56" t="s">
        <v>4</v>
      </c>
      <c r="O31" s="56" t="s">
        <v>4</v>
      </c>
      <c r="P31" s="56" t="s">
        <v>4</v>
      </c>
      <c r="Q31" s="56" t="s">
        <v>4</v>
      </c>
      <c r="R31" s="44"/>
      <c r="S31" s="44"/>
      <c r="T31" s="44"/>
      <c r="U31" s="44"/>
    </row>
    <row r="32" spans="1:21" s="11" customFormat="1" x14ac:dyDescent="0.25">
      <c r="A32" s="51" t="s">
        <v>177</v>
      </c>
      <c r="B32" s="56" t="s">
        <v>4</v>
      </c>
      <c r="C32" s="56" t="s">
        <v>4</v>
      </c>
      <c r="D32" s="56" t="s">
        <v>4</v>
      </c>
      <c r="E32" s="56" t="s">
        <v>4</v>
      </c>
      <c r="F32" s="56" t="s">
        <v>4</v>
      </c>
      <c r="G32" s="56" t="s">
        <v>4</v>
      </c>
      <c r="H32" s="56" t="s">
        <v>4</v>
      </c>
      <c r="I32" s="56" t="s">
        <v>4</v>
      </c>
      <c r="J32" s="56" t="s">
        <v>4</v>
      </c>
      <c r="K32" s="56" t="s">
        <v>4</v>
      </c>
      <c r="L32" s="56" t="s">
        <v>4</v>
      </c>
      <c r="M32" s="56" t="s">
        <v>4</v>
      </c>
      <c r="N32" s="56" t="s">
        <v>4</v>
      </c>
      <c r="O32" s="56" t="s">
        <v>4</v>
      </c>
      <c r="P32" s="56" t="s">
        <v>4</v>
      </c>
      <c r="Q32" s="56" t="s">
        <v>4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COUNT(B9:B32)+24</f>
        <v>24</v>
      </c>
      <c r="C38" s="32">
        <f t="shared" ref="C38:Q38" si="4">COUNT(C9:C32)+24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06-11-2022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178</v>
      </c>
      <c r="B9" s="56" t="s">
        <v>4</v>
      </c>
      <c r="C9" s="56" t="s">
        <v>4</v>
      </c>
      <c r="D9" s="56" t="s">
        <v>4</v>
      </c>
      <c r="E9" s="56" t="s">
        <v>4</v>
      </c>
      <c r="F9" s="56" t="s">
        <v>4</v>
      </c>
      <c r="G9" s="56" t="s">
        <v>4</v>
      </c>
      <c r="H9" s="56" t="s">
        <v>4</v>
      </c>
      <c r="I9" s="56" t="s">
        <v>4</v>
      </c>
      <c r="J9" s="56" t="s">
        <v>4</v>
      </c>
      <c r="K9" s="56" t="s">
        <v>4</v>
      </c>
      <c r="L9" s="56" t="s">
        <v>4</v>
      </c>
      <c r="M9" s="56" t="s">
        <v>4</v>
      </c>
      <c r="N9" s="56" t="s">
        <v>4</v>
      </c>
      <c r="O9" s="56" t="s">
        <v>4</v>
      </c>
      <c r="P9" s="56" t="s">
        <v>4</v>
      </c>
      <c r="Q9" s="56" t="s">
        <v>4</v>
      </c>
      <c r="R9" s="44"/>
      <c r="S9" s="44"/>
      <c r="T9" s="44"/>
      <c r="U9" s="44"/>
    </row>
    <row r="10" spans="1:21" s="11" customFormat="1" x14ac:dyDescent="0.25">
      <c r="A10" s="51" t="s">
        <v>179</v>
      </c>
      <c r="B10" s="56" t="s">
        <v>4</v>
      </c>
      <c r="C10" s="56" t="s">
        <v>4</v>
      </c>
      <c r="D10" s="56" t="s">
        <v>4</v>
      </c>
      <c r="E10" s="56" t="s">
        <v>4</v>
      </c>
      <c r="F10" s="56" t="s">
        <v>4</v>
      </c>
      <c r="G10" s="56" t="s">
        <v>4</v>
      </c>
      <c r="H10" s="56" t="s">
        <v>4</v>
      </c>
      <c r="I10" s="56" t="s">
        <v>4</v>
      </c>
      <c r="J10" s="56" t="s">
        <v>4</v>
      </c>
      <c r="K10" s="56" t="s">
        <v>4</v>
      </c>
      <c r="L10" s="56" t="s">
        <v>4</v>
      </c>
      <c r="M10" s="56" t="s">
        <v>4</v>
      </c>
      <c r="N10" s="56" t="s">
        <v>4</v>
      </c>
      <c r="O10" s="56" t="s">
        <v>4</v>
      </c>
      <c r="P10" s="56" t="s">
        <v>4</v>
      </c>
      <c r="Q10" s="56" t="s">
        <v>4</v>
      </c>
      <c r="R10" s="44"/>
      <c r="S10" s="44"/>
      <c r="T10" s="44"/>
      <c r="U10" s="44"/>
    </row>
    <row r="11" spans="1:21" s="11" customFormat="1" x14ac:dyDescent="0.25">
      <c r="A11" s="51" t="s">
        <v>180</v>
      </c>
      <c r="B11" s="56" t="s">
        <v>4</v>
      </c>
      <c r="C11" s="56" t="s">
        <v>4</v>
      </c>
      <c r="D11" s="56" t="s">
        <v>4</v>
      </c>
      <c r="E11" s="56" t="s">
        <v>4</v>
      </c>
      <c r="F11" s="56" t="s">
        <v>4</v>
      </c>
      <c r="G11" s="56" t="s">
        <v>4</v>
      </c>
      <c r="H11" s="56" t="s">
        <v>4</v>
      </c>
      <c r="I11" s="56" t="s">
        <v>4</v>
      </c>
      <c r="J11" s="56" t="s">
        <v>4</v>
      </c>
      <c r="K11" s="56" t="s">
        <v>4</v>
      </c>
      <c r="L11" s="56" t="s">
        <v>4</v>
      </c>
      <c r="M11" s="56" t="s">
        <v>4</v>
      </c>
      <c r="N11" s="56" t="s">
        <v>4</v>
      </c>
      <c r="O11" s="56" t="s">
        <v>4</v>
      </c>
      <c r="P11" s="56" t="s">
        <v>4</v>
      </c>
      <c r="Q11" s="56" t="s">
        <v>4</v>
      </c>
      <c r="R11" s="44"/>
      <c r="S11" s="44"/>
      <c r="T11" s="44"/>
      <c r="U11" s="44"/>
    </row>
    <row r="12" spans="1:21" s="11" customFormat="1" x14ac:dyDescent="0.25">
      <c r="A12" s="51" t="s">
        <v>181</v>
      </c>
      <c r="B12" s="56" t="s">
        <v>4</v>
      </c>
      <c r="C12" s="56" t="s">
        <v>4</v>
      </c>
      <c r="D12" s="56" t="s">
        <v>4</v>
      </c>
      <c r="E12" s="56" t="s">
        <v>4</v>
      </c>
      <c r="F12" s="56" t="s">
        <v>4</v>
      </c>
      <c r="G12" s="56" t="s">
        <v>4</v>
      </c>
      <c r="H12" s="56" t="s">
        <v>4</v>
      </c>
      <c r="I12" s="56" t="s">
        <v>4</v>
      </c>
      <c r="J12" s="56" t="s">
        <v>4</v>
      </c>
      <c r="K12" s="56" t="s">
        <v>4</v>
      </c>
      <c r="L12" s="56" t="s">
        <v>4</v>
      </c>
      <c r="M12" s="56" t="s">
        <v>4</v>
      </c>
      <c r="N12" s="56" t="s">
        <v>4</v>
      </c>
      <c r="O12" s="56" t="s">
        <v>4</v>
      </c>
      <c r="P12" s="56" t="s">
        <v>4</v>
      </c>
      <c r="Q12" s="56" t="s">
        <v>4</v>
      </c>
      <c r="R12" s="44"/>
      <c r="S12" s="44"/>
      <c r="T12" s="44"/>
      <c r="U12" s="44"/>
    </row>
    <row r="13" spans="1:21" s="11" customFormat="1" x14ac:dyDescent="0.25">
      <c r="A13" s="51" t="s">
        <v>182</v>
      </c>
      <c r="B13" s="56" t="s">
        <v>4</v>
      </c>
      <c r="C13" s="56" t="s">
        <v>4</v>
      </c>
      <c r="D13" s="56" t="s">
        <v>4</v>
      </c>
      <c r="E13" s="56" t="s">
        <v>4</v>
      </c>
      <c r="F13" s="56" t="s">
        <v>4</v>
      </c>
      <c r="G13" s="56" t="s">
        <v>4</v>
      </c>
      <c r="H13" s="56" t="s">
        <v>4</v>
      </c>
      <c r="I13" s="56" t="s">
        <v>4</v>
      </c>
      <c r="J13" s="56" t="s">
        <v>4</v>
      </c>
      <c r="K13" s="56" t="s">
        <v>4</v>
      </c>
      <c r="L13" s="56" t="s">
        <v>4</v>
      </c>
      <c r="M13" s="56" t="s">
        <v>4</v>
      </c>
      <c r="N13" s="56" t="s">
        <v>4</v>
      </c>
      <c r="O13" s="56" t="s">
        <v>4</v>
      </c>
      <c r="P13" s="56" t="s">
        <v>4</v>
      </c>
      <c r="Q13" s="56" t="s">
        <v>4</v>
      </c>
      <c r="R13" s="44"/>
      <c r="S13" s="44"/>
      <c r="T13" s="44"/>
      <c r="U13" s="44"/>
    </row>
    <row r="14" spans="1:21" s="11" customFormat="1" x14ac:dyDescent="0.25">
      <c r="A14" s="51" t="s">
        <v>183</v>
      </c>
      <c r="B14" s="56" t="s">
        <v>4</v>
      </c>
      <c r="C14" s="56" t="s">
        <v>4</v>
      </c>
      <c r="D14" s="56" t="s">
        <v>4</v>
      </c>
      <c r="E14" s="56" t="s">
        <v>4</v>
      </c>
      <c r="F14" s="56" t="s">
        <v>4</v>
      </c>
      <c r="G14" s="56" t="s">
        <v>4</v>
      </c>
      <c r="H14" s="56" t="s">
        <v>4</v>
      </c>
      <c r="I14" s="56" t="s">
        <v>4</v>
      </c>
      <c r="J14" s="56" t="s">
        <v>4</v>
      </c>
      <c r="K14" s="56" t="s">
        <v>4</v>
      </c>
      <c r="L14" s="56" t="s">
        <v>4</v>
      </c>
      <c r="M14" s="56" t="s">
        <v>4</v>
      </c>
      <c r="N14" s="56" t="s">
        <v>4</v>
      </c>
      <c r="O14" s="56" t="s">
        <v>4</v>
      </c>
      <c r="P14" s="56" t="s">
        <v>4</v>
      </c>
      <c r="Q14" s="56" t="s">
        <v>4</v>
      </c>
      <c r="R14" s="44"/>
      <c r="S14" s="44"/>
      <c r="T14" s="44"/>
      <c r="U14" s="44"/>
    </row>
    <row r="15" spans="1:21" s="11" customFormat="1" x14ac:dyDescent="0.25">
      <c r="A15" s="51" t="s">
        <v>184</v>
      </c>
      <c r="B15" s="56" t="s">
        <v>4</v>
      </c>
      <c r="C15" s="56" t="s">
        <v>4</v>
      </c>
      <c r="D15" s="56" t="s">
        <v>4</v>
      </c>
      <c r="E15" s="56" t="s">
        <v>4</v>
      </c>
      <c r="F15" s="56" t="s">
        <v>4</v>
      </c>
      <c r="G15" s="56" t="s">
        <v>4</v>
      </c>
      <c r="H15" s="56" t="s">
        <v>4</v>
      </c>
      <c r="I15" s="56" t="s">
        <v>4</v>
      </c>
      <c r="J15" s="56" t="s">
        <v>4</v>
      </c>
      <c r="K15" s="56" t="s">
        <v>4</v>
      </c>
      <c r="L15" s="56" t="s">
        <v>4</v>
      </c>
      <c r="M15" s="56" t="s">
        <v>4</v>
      </c>
      <c r="N15" s="56" t="s">
        <v>4</v>
      </c>
      <c r="O15" s="56" t="s">
        <v>4</v>
      </c>
      <c r="P15" s="56" t="s">
        <v>4</v>
      </c>
      <c r="Q15" s="56" t="s">
        <v>4</v>
      </c>
      <c r="R15" s="44"/>
      <c r="S15" s="44"/>
      <c r="T15" s="44"/>
      <c r="U15" s="44"/>
    </row>
    <row r="16" spans="1:21" s="11" customFormat="1" x14ac:dyDescent="0.25">
      <c r="A16" s="51" t="s">
        <v>185</v>
      </c>
      <c r="B16" s="56" t="s">
        <v>4</v>
      </c>
      <c r="C16" s="56" t="s">
        <v>4</v>
      </c>
      <c r="D16" s="56" t="s">
        <v>4</v>
      </c>
      <c r="E16" s="56" t="s">
        <v>4</v>
      </c>
      <c r="F16" s="56" t="s">
        <v>4</v>
      </c>
      <c r="G16" s="56" t="s">
        <v>4</v>
      </c>
      <c r="H16" s="56" t="s">
        <v>4</v>
      </c>
      <c r="I16" s="56" t="s">
        <v>4</v>
      </c>
      <c r="J16" s="56" t="s">
        <v>4</v>
      </c>
      <c r="K16" s="56" t="s">
        <v>4</v>
      </c>
      <c r="L16" s="56" t="s">
        <v>4</v>
      </c>
      <c r="M16" s="56" t="s">
        <v>4</v>
      </c>
      <c r="N16" s="56" t="s">
        <v>4</v>
      </c>
      <c r="O16" s="56" t="s">
        <v>4</v>
      </c>
      <c r="P16" s="56" t="s">
        <v>4</v>
      </c>
      <c r="Q16" s="56" t="s">
        <v>4</v>
      </c>
      <c r="R16" s="44"/>
      <c r="S16" s="44"/>
      <c r="T16" s="44"/>
      <c r="U16" s="44"/>
    </row>
    <row r="17" spans="1:21" s="11" customFormat="1" x14ac:dyDescent="0.25">
      <c r="A17" s="51" t="s">
        <v>186</v>
      </c>
      <c r="B17" s="56" t="s">
        <v>4</v>
      </c>
      <c r="C17" s="56" t="s">
        <v>4</v>
      </c>
      <c r="D17" s="56" t="s">
        <v>4</v>
      </c>
      <c r="E17" s="56" t="s">
        <v>4</v>
      </c>
      <c r="F17" s="56" t="s">
        <v>4</v>
      </c>
      <c r="G17" s="56" t="s">
        <v>4</v>
      </c>
      <c r="H17" s="56" t="s">
        <v>4</v>
      </c>
      <c r="I17" s="56" t="s">
        <v>4</v>
      </c>
      <c r="J17" s="56" t="s">
        <v>4</v>
      </c>
      <c r="K17" s="56" t="s">
        <v>4</v>
      </c>
      <c r="L17" s="56" t="s">
        <v>4</v>
      </c>
      <c r="M17" s="56" t="s">
        <v>4</v>
      </c>
      <c r="N17" s="56" t="s">
        <v>4</v>
      </c>
      <c r="O17" s="56" t="s">
        <v>4</v>
      </c>
      <c r="P17" s="56" t="s">
        <v>4</v>
      </c>
      <c r="Q17" s="56" t="s">
        <v>4</v>
      </c>
      <c r="R17" s="44"/>
      <c r="S17" s="44"/>
      <c r="T17" s="44"/>
      <c r="U17" s="44"/>
    </row>
    <row r="18" spans="1:21" s="11" customFormat="1" x14ac:dyDescent="0.25">
      <c r="A18" s="51" t="s">
        <v>187</v>
      </c>
      <c r="B18" s="56" t="s">
        <v>4</v>
      </c>
      <c r="C18" s="56" t="s">
        <v>4</v>
      </c>
      <c r="D18" s="56" t="s">
        <v>4</v>
      </c>
      <c r="E18" s="56" t="s">
        <v>4</v>
      </c>
      <c r="F18" s="56" t="s">
        <v>4</v>
      </c>
      <c r="G18" s="56" t="s">
        <v>4</v>
      </c>
      <c r="H18" s="56" t="s">
        <v>4</v>
      </c>
      <c r="I18" s="56" t="s">
        <v>4</v>
      </c>
      <c r="J18" s="56" t="s">
        <v>4</v>
      </c>
      <c r="K18" s="56" t="s">
        <v>4</v>
      </c>
      <c r="L18" s="56" t="s">
        <v>4</v>
      </c>
      <c r="M18" s="56" t="s">
        <v>4</v>
      </c>
      <c r="N18" s="56" t="s">
        <v>4</v>
      </c>
      <c r="O18" s="56" t="s">
        <v>4</v>
      </c>
      <c r="P18" s="56" t="s">
        <v>4</v>
      </c>
      <c r="Q18" s="56" t="s">
        <v>4</v>
      </c>
      <c r="R18" s="44"/>
      <c r="S18" s="44"/>
      <c r="T18" s="44"/>
      <c r="U18" s="44"/>
    </row>
    <row r="19" spans="1:21" s="11" customFormat="1" x14ac:dyDescent="0.25">
      <c r="A19" s="51" t="s">
        <v>188</v>
      </c>
      <c r="B19" s="56" t="s">
        <v>4</v>
      </c>
      <c r="C19" s="56" t="s">
        <v>4</v>
      </c>
      <c r="D19" s="56" t="s">
        <v>4</v>
      </c>
      <c r="E19" s="56" t="s">
        <v>4</v>
      </c>
      <c r="F19" s="56" t="s">
        <v>4</v>
      </c>
      <c r="G19" s="56" t="s">
        <v>4</v>
      </c>
      <c r="H19" s="56" t="s">
        <v>4</v>
      </c>
      <c r="I19" s="56" t="s">
        <v>4</v>
      </c>
      <c r="J19" s="56" t="s">
        <v>4</v>
      </c>
      <c r="K19" s="56" t="s">
        <v>4</v>
      </c>
      <c r="L19" s="56" t="s">
        <v>4</v>
      </c>
      <c r="M19" s="56" t="s">
        <v>4</v>
      </c>
      <c r="N19" s="56" t="s">
        <v>4</v>
      </c>
      <c r="O19" s="56" t="s">
        <v>4</v>
      </c>
      <c r="P19" s="56" t="s">
        <v>4</v>
      </c>
      <c r="Q19" s="56" t="s">
        <v>4</v>
      </c>
      <c r="R19" s="44"/>
      <c r="S19" s="44"/>
      <c r="T19" s="44"/>
      <c r="U19" s="44"/>
    </row>
    <row r="20" spans="1:21" s="11" customFormat="1" x14ac:dyDescent="0.25">
      <c r="A20" s="51" t="s">
        <v>189</v>
      </c>
      <c r="B20" s="56" t="s">
        <v>4</v>
      </c>
      <c r="C20" s="56" t="s">
        <v>4</v>
      </c>
      <c r="D20" s="56" t="s">
        <v>4</v>
      </c>
      <c r="E20" s="56" t="s">
        <v>4</v>
      </c>
      <c r="F20" s="56" t="s">
        <v>4</v>
      </c>
      <c r="G20" s="56" t="s">
        <v>4</v>
      </c>
      <c r="H20" s="56" t="s">
        <v>4</v>
      </c>
      <c r="I20" s="56" t="s">
        <v>4</v>
      </c>
      <c r="J20" s="56" t="s">
        <v>4</v>
      </c>
      <c r="K20" s="56" t="s">
        <v>4</v>
      </c>
      <c r="L20" s="56" t="s">
        <v>4</v>
      </c>
      <c r="M20" s="56" t="s">
        <v>4</v>
      </c>
      <c r="N20" s="56" t="s">
        <v>4</v>
      </c>
      <c r="O20" s="56" t="s">
        <v>4</v>
      </c>
      <c r="P20" s="56" t="s">
        <v>4</v>
      </c>
      <c r="Q20" s="56" t="s">
        <v>4</v>
      </c>
      <c r="R20" s="44"/>
      <c r="S20" s="44"/>
      <c r="T20" s="44"/>
      <c r="U20" s="44"/>
    </row>
    <row r="21" spans="1:21" s="11" customFormat="1" x14ac:dyDescent="0.25">
      <c r="A21" s="51" t="s">
        <v>190</v>
      </c>
      <c r="B21" s="56" t="s">
        <v>4</v>
      </c>
      <c r="C21" s="56" t="s">
        <v>4</v>
      </c>
      <c r="D21" s="56" t="s">
        <v>4</v>
      </c>
      <c r="E21" s="56" t="s">
        <v>4</v>
      </c>
      <c r="F21" s="56" t="s">
        <v>4</v>
      </c>
      <c r="G21" s="56" t="s">
        <v>4</v>
      </c>
      <c r="H21" s="56" t="s">
        <v>4</v>
      </c>
      <c r="I21" s="56" t="s">
        <v>4</v>
      </c>
      <c r="J21" s="56" t="s">
        <v>4</v>
      </c>
      <c r="K21" s="56" t="s">
        <v>4</v>
      </c>
      <c r="L21" s="56" t="s">
        <v>4</v>
      </c>
      <c r="M21" s="56" t="s">
        <v>4</v>
      </c>
      <c r="N21" s="56" t="s">
        <v>4</v>
      </c>
      <c r="O21" s="56" t="s">
        <v>4</v>
      </c>
      <c r="P21" s="56" t="s">
        <v>4</v>
      </c>
      <c r="Q21" s="56" t="s">
        <v>4</v>
      </c>
      <c r="R21" s="44"/>
      <c r="S21" s="44"/>
      <c r="T21" s="44"/>
      <c r="U21" s="44"/>
    </row>
    <row r="22" spans="1:21" s="11" customFormat="1" x14ac:dyDescent="0.25">
      <c r="A22" s="51" t="s">
        <v>191</v>
      </c>
      <c r="B22" s="56" t="s">
        <v>4</v>
      </c>
      <c r="C22" s="56" t="s">
        <v>4</v>
      </c>
      <c r="D22" s="56" t="s">
        <v>4</v>
      </c>
      <c r="E22" s="56" t="s">
        <v>4</v>
      </c>
      <c r="F22" s="56" t="s">
        <v>4</v>
      </c>
      <c r="G22" s="56" t="s">
        <v>4</v>
      </c>
      <c r="H22" s="56" t="s">
        <v>4</v>
      </c>
      <c r="I22" s="56" t="s">
        <v>4</v>
      </c>
      <c r="J22" s="56" t="s">
        <v>4</v>
      </c>
      <c r="K22" s="56" t="s">
        <v>4</v>
      </c>
      <c r="L22" s="56" t="s">
        <v>4</v>
      </c>
      <c r="M22" s="56" t="s">
        <v>4</v>
      </c>
      <c r="N22" s="56" t="s">
        <v>4</v>
      </c>
      <c r="O22" s="56" t="s">
        <v>4</v>
      </c>
      <c r="P22" s="56" t="s">
        <v>4</v>
      </c>
      <c r="Q22" s="56" t="s">
        <v>4</v>
      </c>
      <c r="R22" s="44"/>
      <c r="S22" s="44"/>
      <c r="T22" s="44"/>
      <c r="U22" s="44"/>
    </row>
    <row r="23" spans="1:21" s="11" customFormat="1" x14ac:dyDescent="0.25">
      <c r="A23" s="51" t="s">
        <v>192</v>
      </c>
      <c r="B23" s="56" t="s">
        <v>4</v>
      </c>
      <c r="C23" s="56" t="s">
        <v>4</v>
      </c>
      <c r="D23" s="56" t="s">
        <v>4</v>
      </c>
      <c r="E23" s="56" t="s">
        <v>4</v>
      </c>
      <c r="F23" s="56" t="s">
        <v>4</v>
      </c>
      <c r="G23" s="56" t="s">
        <v>4</v>
      </c>
      <c r="H23" s="56" t="s">
        <v>4</v>
      </c>
      <c r="I23" s="56" t="s">
        <v>4</v>
      </c>
      <c r="J23" s="56" t="s">
        <v>4</v>
      </c>
      <c r="K23" s="56" t="s">
        <v>4</v>
      </c>
      <c r="L23" s="56" t="s">
        <v>4</v>
      </c>
      <c r="M23" s="56" t="s">
        <v>4</v>
      </c>
      <c r="N23" s="56" t="s">
        <v>4</v>
      </c>
      <c r="O23" s="56" t="s">
        <v>4</v>
      </c>
      <c r="P23" s="56" t="s">
        <v>4</v>
      </c>
      <c r="Q23" s="56" t="s">
        <v>4</v>
      </c>
      <c r="R23" s="44"/>
      <c r="S23" s="44"/>
      <c r="T23" s="44"/>
      <c r="U23" s="44"/>
    </row>
    <row r="24" spans="1:21" s="11" customFormat="1" x14ac:dyDescent="0.25">
      <c r="A24" s="51" t="s">
        <v>193</v>
      </c>
      <c r="B24" s="56" t="s">
        <v>4</v>
      </c>
      <c r="C24" s="56" t="s">
        <v>4</v>
      </c>
      <c r="D24" s="56" t="s">
        <v>4</v>
      </c>
      <c r="E24" s="56" t="s">
        <v>4</v>
      </c>
      <c r="F24" s="56" t="s">
        <v>4</v>
      </c>
      <c r="G24" s="56" t="s">
        <v>4</v>
      </c>
      <c r="H24" s="56" t="s">
        <v>4</v>
      </c>
      <c r="I24" s="56" t="s">
        <v>4</v>
      </c>
      <c r="J24" s="56" t="s">
        <v>4</v>
      </c>
      <c r="K24" s="56" t="s">
        <v>4</v>
      </c>
      <c r="L24" s="56" t="s">
        <v>4</v>
      </c>
      <c r="M24" s="56" t="s">
        <v>4</v>
      </c>
      <c r="N24" s="56" t="s">
        <v>4</v>
      </c>
      <c r="O24" s="56" t="s">
        <v>4</v>
      </c>
      <c r="P24" s="56" t="s">
        <v>4</v>
      </c>
      <c r="Q24" s="56" t="s">
        <v>4</v>
      </c>
      <c r="R24" s="44"/>
      <c r="S24" s="44"/>
      <c r="T24" s="44"/>
      <c r="U24" s="44"/>
    </row>
    <row r="25" spans="1:21" s="11" customFormat="1" x14ac:dyDescent="0.25">
      <c r="A25" s="51" t="s">
        <v>194</v>
      </c>
      <c r="B25" s="56" t="s">
        <v>4</v>
      </c>
      <c r="C25" s="56" t="s">
        <v>4</v>
      </c>
      <c r="D25" s="56" t="s">
        <v>4</v>
      </c>
      <c r="E25" s="56" t="s">
        <v>4</v>
      </c>
      <c r="F25" s="56" t="s">
        <v>4</v>
      </c>
      <c r="G25" s="56" t="s">
        <v>4</v>
      </c>
      <c r="H25" s="56" t="s">
        <v>4</v>
      </c>
      <c r="I25" s="56" t="s">
        <v>4</v>
      </c>
      <c r="J25" s="56" t="s">
        <v>4</v>
      </c>
      <c r="K25" s="56" t="s">
        <v>4</v>
      </c>
      <c r="L25" s="56" t="s">
        <v>4</v>
      </c>
      <c r="M25" s="56" t="s">
        <v>4</v>
      </c>
      <c r="N25" s="56" t="s">
        <v>4</v>
      </c>
      <c r="O25" s="56" t="s">
        <v>4</v>
      </c>
      <c r="P25" s="56" t="s">
        <v>4</v>
      </c>
      <c r="Q25" s="56" t="s">
        <v>4</v>
      </c>
      <c r="R25" s="44"/>
      <c r="S25" s="44"/>
      <c r="T25" s="44"/>
      <c r="U25" s="44"/>
    </row>
    <row r="26" spans="1:21" s="11" customFormat="1" x14ac:dyDescent="0.25">
      <c r="A26" s="51" t="s">
        <v>195</v>
      </c>
      <c r="B26" s="56" t="s">
        <v>4</v>
      </c>
      <c r="C26" s="56" t="s">
        <v>4</v>
      </c>
      <c r="D26" s="56" t="s">
        <v>4</v>
      </c>
      <c r="E26" s="56" t="s">
        <v>4</v>
      </c>
      <c r="F26" s="56" t="s">
        <v>4</v>
      </c>
      <c r="G26" s="56" t="s">
        <v>4</v>
      </c>
      <c r="H26" s="56" t="s">
        <v>4</v>
      </c>
      <c r="I26" s="56" t="s">
        <v>4</v>
      </c>
      <c r="J26" s="56" t="s">
        <v>4</v>
      </c>
      <c r="K26" s="56" t="s">
        <v>4</v>
      </c>
      <c r="L26" s="56" t="s">
        <v>4</v>
      </c>
      <c r="M26" s="56" t="s">
        <v>4</v>
      </c>
      <c r="N26" s="56" t="s">
        <v>4</v>
      </c>
      <c r="O26" s="56" t="s">
        <v>4</v>
      </c>
      <c r="P26" s="56" t="s">
        <v>4</v>
      </c>
      <c r="Q26" s="56" t="s">
        <v>4</v>
      </c>
      <c r="R26" s="44"/>
      <c r="S26" s="44"/>
      <c r="T26" s="44"/>
      <c r="U26" s="44"/>
    </row>
    <row r="27" spans="1:21" s="11" customFormat="1" x14ac:dyDescent="0.25">
      <c r="A27" s="51" t="s">
        <v>196</v>
      </c>
      <c r="B27" s="56" t="s">
        <v>4</v>
      </c>
      <c r="C27" s="56" t="s">
        <v>4</v>
      </c>
      <c r="D27" s="56" t="s">
        <v>4</v>
      </c>
      <c r="E27" s="56" t="s">
        <v>4</v>
      </c>
      <c r="F27" s="56" t="s">
        <v>4</v>
      </c>
      <c r="G27" s="56" t="s">
        <v>4</v>
      </c>
      <c r="H27" s="56" t="s">
        <v>4</v>
      </c>
      <c r="I27" s="56" t="s">
        <v>4</v>
      </c>
      <c r="J27" s="56" t="s">
        <v>4</v>
      </c>
      <c r="K27" s="56" t="s">
        <v>4</v>
      </c>
      <c r="L27" s="56" t="s">
        <v>4</v>
      </c>
      <c r="M27" s="56" t="s">
        <v>4</v>
      </c>
      <c r="N27" s="56" t="s">
        <v>4</v>
      </c>
      <c r="O27" s="56" t="s">
        <v>4</v>
      </c>
      <c r="P27" s="56" t="s">
        <v>4</v>
      </c>
      <c r="Q27" s="56" t="s">
        <v>4</v>
      </c>
      <c r="R27" s="44"/>
      <c r="S27" s="44"/>
      <c r="T27" s="44"/>
      <c r="U27" s="44"/>
    </row>
    <row r="28" spans="1:21" s="11" customFormat="1" x14ac:dyDescent="0.25">
      <c r="A28" s="51" t="s">
        <v>197</v>
      </c>
      <c r="B28" s="56" t="s">
        <v>4</v>
      </c>
      <c r="C28" s="56" t="s">
        <v>4</v>
      </c>
      <c r="D28" s="56" t="s">
        <v>4</v>
      </c>
      <c r="E28" s="56" t="s">
        <v>4</v>
      </c>
      <c r="F28" s="56" t="s">
        <v>4</v>
      </c>
      <c r="G28" s="56" t="s">
        <v>4</v>
      </c>
      <c r="H28" s="56" t="s">
        <v>4</v>
      </c>
      <c r="I28" s="56" t="s">
        <v>4</v>
      </c>
      <c r="J28" s="56" t="s">
        <v>4</v>
      </c>
      <c r="K28" s="56" t="s">
        <v>4</v>
      </c>
      <c r="L28" s="56" t="s">
        <v>4</v>
      </c>
      <c r="M28" s="56" t="s">
        <v>4</v>
      </c>
      <c r="N28" s="56" t="s">
        <v>4</v>
      </c>
      <c r="O28" s="56" t="s">
        <v>4</v>
      </c>
      <c r="P28" s="56" t="s">
        <v>4</v>
      </c>
      <c r="Q28" s="56" t="s">
        <v>4</v>
      </c>
      <c r="R28" s="44"/>
      <c r="S28" s="44"/>
      <c r="T28" s="44"/>
      <c r="U28" s="44"/>
    </row>
    <row r="29" spans="1:21" s="11" customFormat="1" x14ac:dyDescent="0.25">
      <c r="A29" s="51" t="s">
        <v>198</v>
      </c>
      <c r="B29" s="56" t="s">
        <v>4</v>
      </c>
      <c r="C29" s="56" t="s">
        <v>4</v>
      </c>
      <c r="D29" s="56" t="s">
        <v>4</v>
      </c>
      <c r="E29" s="56" t="s">
        <v>4</v>
      </c>
      <c r="F29" s="56" t="s">
        <v>4</v>
      </c>
      <c r="G29" s="56" t="s">
        <v>4</v>
      </c>
      <c r="H29" s="56" t="s">
        <v>4</v>
      </c>
      <c r="I29" s="56" t="s">
        <v>4</v>
      </c>
      <c r="J29" s="56" t="s">
        <v>4</v>
      </c>
      <c r="K29" s="56" t="s">
        <v>4</v>
      </c>
      <c r="L29" s="56" t="s">
        <v>4</v>
      </c>
      <c r="M29" s="56" t="s">
        <v>4</v>
      </c>
      <c r="N29" s="56" t="s">
        <v>4</v>
      </c>
      <c r="O29" s="56" t="s">
        <v>4</v>
      </c>
      <c r="P29" s="56" t="s">
        <v>4</v>
      </c>
      <c r="Q29" s="56" t="s">
        <v>4</v>
      </c>
      <c r="R29" s="44"/>
      <c r="S29" s="44"/>
      <c r="T29" s="44"/>
      <c r="U29" s="44"/>
    </row>
    <row r="30" spans="1:21" s="11" customFormat="1" x14ac:dyDescent="0.25">
      <c r="A30" s="51" t="s">
        <v>199</v>
      </c>
      <c r="B30" s="56" t="s">
        <v>4</v>
      </c>
      <c r="C30" s="56" t="s">
        <v>4</v>
      </c>
      <c r="D30" s="56" t="s">
        <v>4</v>
      </c>
      <c r="E30" s="56" t="s">
        <v>4</v>
      </c>
      <c r="F30" s="56" t="s">
        <v>4</v>
      </c>
      <c r="G30" s="56" t="s">
        <v>4</v>
      </c>
      <c r="H30" s="56" t="s">
        <v>4</v>
      </c>
      <c r="I30" s="56" t="s">
        <v>4</v>
      </c>
      <c r="J30" s="56" t="s">
        <v>4</v>
      </c>
      <c r="K30" s="56" t="s">
        <v>4</v>
      </c>
      <c r="L30" s="56" t="s">
        <v>4</v>
      </c>
      <c r="M30" s="56" t="s">
        <v>4</v>
      </c>
      <c r="N30" s="56" t="s">
        <v>4</v>
      </c>
      <c r="O30" s="56" t="s">
        <v>4</v>
      </c>
      <c r="P30" s="56" t="s">
        <v>4</v>
      </c>
      <c r="Q30" s="56" t="s">
        <v>4</v>
      </c>
      <c r="R30" s="44"/>
      <c r="S30" s="44"/>
      <c r="T30" s="44"/>
      <c r="U30" s="44"/>
    </row>
    <row r="31" spans="1:21" s="11" customFormat="1" x14ac:dyDescent="0.25">
      <c r="A31" s="51" t="s">
        <v>200</v>
      </c>
      <c r="B31" s="56" t="s">
        <v>4</v>
      </c>
      <c r="C31" s="56" t="s">
        <v>4</v>
      </c>
      <c r="D31" s="56" t="s">
        <v>4</v>
      </c>
      <c r="E31" s="56" t="s">
        <v>4</v>
      </c>
      <c r="F31" s="56" t="s">
        <v>4</v>
      </c>
      <c r="G31" s="56" t="s">
        <v>4</v>
      </c>
      <c r="H31" s="56" t="s">
        <v>4</v>
      </c>
      <c r="I31" s="56" t="s">
        <v>4</v>
      </c>
      <c r="J31" s="56" t="s">
        <v>4</v>
      </c>
      <c r="K31" s="56" t="s">
        <v>4</v>
      </c>
      <c r="L31" s="56" t="s">
        <v>4</v>
      </c>
      <c r="M31" s="56" t="s">
        <v>4</v>
      </c>
      <c r="N31" s="56" t="s">
        <v>4</v>
      </c>
      <c r="O31" s="56" t="s">
        <v>4</v>
      </c>
      <c r="P31" s="56" t="s">
        <v>4</v>
      </c>
      <c r="Q31" s="56" t="s">
        <v>4</v>
      </c>
      <c r="R31" s="44"/>
      <c r="S31" s="44"/>
      <c r="T31" s="44"/>
      <c r="U31" s="44"/>
    </row>
    <row r="32" spans="1:21" s="11" customFormat="1" x14ac:dyDescent="0.25">
      <c r="A32" s="51" t="s">
        <v>201</v>
      </c>
      <c r="B32" s="56" t="s">
        <v>4</v>
      </c>
      <c r="C32" s="56" t="s">
        <v>4</v>
      </c>
      <c r="D32" s="56" t="s">
        <v>4</v>
      </c>
      <c r="E32" s="56" t="s">
        <v>4</v>
      </c>
      <c r="F32" s="56" t="s">
        <v>4</v>
      </c>
      <c r="G32" s="56" t="s">
        <v>4</v>
      </c>
      <c r="H32" s="56" t="s">
        <v>4</v>
      </c>
      <c r="I32" s="56" t="s">
        <v>4</v>
      </c>
      <c r="J32" s="56" t="s">
        <v>4</v>
      </c>
      <c r="K32" s="56" t="s">
        <v>4</v>
      </c>
      <c r="L32" s="56" t="s">
        <v>4</v>
      </c>
      <c r="M32" s="56" t="s">
        <v>4</v>
      </c>
      <c r="N32" s="56" t="s">
        <v>4</v>
      </c>
      <c r="O32" s="56" t="s">
        <v>4</v>
      </c>
      <c r="P32" s="56" t="s">
        <v>4</v>
      </c>
      <c r="Q32" s="56" t="s">
        <v>4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COUNT(B9:B32)+24</f>
        <v>24</v>
      </c>
      <c r="C38" s="32">
        <f t="shared" ref="C38:Q38" si="4">COUNT(C9:C32)+24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2" ySplit="8" topLeftCell="C28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07-11-2022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202</v>
      </c>
      <c r="B9" s="56" t="s">
        <v>4</v>
      </c>
      <c r="C9" s="56" t="s">
        <v>4</v>
      </c>
      <c r="D9" s="56" t="s">
        <v>4</v>
      </c>
      <c r="E9" s="56" t="s">
        <v>4</v>
      </c>
      <c r="F9" s="56" t="s">
        <v>4</v>
      </c>
      <c r="G9" s="56" t="s">
        <v>4</v>
      </c>
      <c r="H9" s="56" t="s">
        <v>4</v>
      </c>
      <c r="I9" s="56" t="s">
        <v>4</v>
      </c>
      <c r="J9" s="56" t="s">
        <v>4</v>
      </c>
      <c r="K9" s="56" t="s">
        <v>4</v>
      </c>
      <c r="L9" s="56" t="s">
        <v>4</v>
      </c>
      <c r="M9" s="56" t="s">
        <v>4</v>
      </c>
      <c r="N9" s="56" t="s">
        <v>4</v>
      </c>
      <c r="O9" s="56" t="s">
        <v>4</v>
      </c>
      <c r="P9" s="56" t="s">
        <v>4</v>
      </c>
      <c r="Q9" s="56" t="s">
        <v>4</v>
      </c>
      <c r="R9" s="44"/>
      <c r="S9" s="44"/>
      <c r="T9" s="44"/>
      <c r="U9" s="44"/>
    </row>
    <row r="10" spans="1:21" s="11" customFormat="1" x14ac:dyDescent="0.25">
      <c r="A10" s="51" t="s">
        <v>203</v>
      </c>
      <c r="B10" s="56" t="s">
        <v>4</v>
      </c>
      <c r="C10" s="56" t="s">
        <v>4</v>
      </c>
      <c r="D10" s="56" t="s">
        <v>4</v>
      </c>
      <c r="E10" s="56" t="s">
        <v>4</v>
      </c>
      <c r="F10" s="56" t="s">
        <v>4</v>
      </c>
      <c r="G10" s="56" t="s">
        <v>4</v>
      </c>
      <c r="H10" s="56" t="s">
        <v>4</v>
      </c>
      <c r="I10" s="56" t="s">
        <v>4</v>
      </c>
      <c r="J10" s="56" t="s">
        <v>4</v>
      </c>
      <c r="K10" s="56" t="s">
        <v>4</v>
      </c>
      <c r="L10" s="56" t="s">
        <v>4</v>
      </c>
      <c r="M10" s="56" t="s">
        <v>4</v>
      </c>
      <c r="N10" s="56" t="s">
        <v>4</v>
      </c>
      <c r="O10" s="56" t="s">
        <v>4</v>
      </c>
      <c r="P10" s="56" t="s">
        <v>4</v>
      </c>
      <c r="Q10" s="56" t="s">
        <v>4</v>
      </c>
      <c r="R10" s="44"/>
      <c r="S10" s="44"/>
      <c r="T10" s="44"/>
      <c r="U10" s="44"/>
    </row>
    <row r="11" spans="1:21" s="11" customFormat="1" x14ac:dyDescent="0.25">
      <c r="A11" s="51" t="s">
        <v>204</v>
      </c>
      <c r="B11" s="56" t="s">
        <v>4</v>
      </c>
      <c r="C11" s="56" t="s">
        <v>4</v>
      </c>
      <c r="D11" s="56" t="s">
        <v>4</v>
      </c>
      <c r="E11" s="56" t="s">
        <v>4</v>
      </c>
      <c r="F11" s="56" t="s">
        <v>4</v>
      </c>
      <c r="G11" s="56" t="s">
        <v>4</v>
      </c>
      <c r="H11" s="56" t="s">
        <v>4</v>
      </c>
      <c r="I11" s="56" t="s">
        <v>4</v>
      </c>
      <c r="J11" s="56" t="s">
        <v>4</v>
      </c>
      <c r="K11" s="56" t="s">
        <v>4</v>
      </c>
      <c r="L11" s="56" t="s">
        <v>4</v>
      </c>
      <c r="M11" s="56" t="s">
        <v>4</v>
      </c>
      <c r="N11" s="56" t="s">
        <v>4</v>
      </c>
      <c r="O11" s="56" t="s">
        <v>4</v>
      </c>
      <c r="P11" s="56" t="s">
        <v>4</v>
      </c>
      <c r="Q11" s="56" t="s">
        <v>4</v>
      </c>
      <c r="R11" s="44"/>
      <c r="S11" s="44"/>
      <c r="T11" s="44"/>
      <c r="U11" s="44"/>
    </row>
    <row r="12" spans="1:21" s="11" customFormat="1" x14ac:dyDescent="0.25">
      <c r="A12" s="51" t="s">
        <v>205</v>
      </c>
      <c r="B12" s="56" t="s">
        <v>4</v>
      </c>
      <c r="C12" s="56" t="s">
        <v>4</v>
      </c>
      <c r="D12" s="56" t="s">
        <v>4</v>
      </c>
      <c r="E12" s="56" t="s">
        <v>4</v>
      </c>
      <c r="F12" s="56" t="s">
        <v>4</v>
      </c>
      <c r="G12" s="56" t="s">
        <v>4</v>
      </c>
      <c r="H12" s="56" t="s">
        <v>4</v>
      </c>
      <c r="I12" s="56" t="s">
        <v>4</v>
      </c>
      <c r="J12" s="56" t="s">
        <v>4</v>
      </c>
      <c r="K12" s="56" t="s">
        <v>4</v>
      </c>
      <c r="L12" s="56" t="s">
        <v>4</v>
      </c>
      <c r="M12" s="56" t="s">
        <v>4</v>
      </c>
      <c r="N12" s="56" t="s">
        <v>4</v>
      </c>
      <c r="O12" s="56" t="s">
        <v>4</v>
      </c>
      <c r="P12" s="56" t="s">
        <v>4</v>
      </c>
      <c r="Q12" s="56" t="s">
        <v>4</v>
      </c>
      <c r="R12" s="44"/>
      <c r="S12" s="44"/>
      <c r="T12" s="44"/>
      <c r="U12" s="44"/>
    </row>
    <row r="13" spans="1:21" s="11" customFormat="1" x14ac:dyDescent="0.25">
      <c r="A13" s="51" t="s">
        <v>206</v>
      </c>
      <c r="B13" s="56" t="s">
        <v>4</v>
      </c>
      <c r="C13" s="56" t="s">
        <v>4</v>
      </c>
      <c r="D13" s="56" t="s">
        <v>4</v>
      </c>
      <c r="E13" s="56" t="s">
        <v>4</v>
      </c>
      <c r="F13" s="56" t="s">
        <v>4</v>
      </c>
      <c r="G13" s="56" t="s">
        <v>4</v>
      </c>
      <c r="H13" s="56" t="s">
        <v>4</v>
      </c>
      <c r="I13" s="56" t="s">
        <v>4</v>
      </c>
      <c r="J13" s="56" t="s">
        <v>4</v>
      </c>
      <c r="K13" s="56" t="s">
        <v>4</v>
      </c>
      <c r="L13" s="56" t="s">
        <v>4</v>
      </c>
      <c r="M13" s="56" t="s">
        <v>4</v>
      </c>
      <c r="N13" s="56" t="s">
        <v>4</v>
      </c>
      <c r="O13" s="56" t="s">
        <v>4</v>
      </c>
      <c r="P13" s="56" t="s">
        <v>4</v>
      </c>
      <c r="Q13" s="56" t="s">
        <v>4</v>
      </c>
      <c r="R13" s="44"/>
      <c r="S13" s="44"/>
      <c r="T13" s="44"/>
      <c r="U13" s="44"/>
    </row>
    <row r="14" spans="1:21" s="11" customFormat="1" x14ac:dyDescent="0.25">
      <c r="A14" s="51" t="s">
        <v>207</v>
      </c>
      <c r="B14" s="56" t="s">
        <v>4</v>
      </c>
      <c r="C14" s="56" t="s">
        <v>4</v>
      </c>
      <c r="D14" s="56" t="s">
        <v>4</v>
      </c>
      <c r="E14" s="56" t="s">
        <v>4</v>
      </c>
      <c r="F14" s="56" t="s">
        <v>4</v>
      </c>
      <c r="G14" s="56" t="s">
        <v>4</v>
      </c>
      <c r="H14" s="56" t="s">
        <v>4</v>
      </c>
      <c r="I14" s="56" t="s">
        <v>4</v>
      </c>
      <c r="J14" s="56" t="s">
        <v>4</v>
      </c>
      <c r="K14" s="56" t="s">
        <v>4</v>
      </c>
      <c r="L14" s="56" t="s">
        <v>4</v>
      </c>
      <c r="M14" s="56" t="s">
        <v>4</v>
      </c>
      <c r="N14" s="56" t="s">
        <v>4</v>
      </c>
      <c r="O14" s="56" t="s">
        <v>4</v>
      </c>
      <c r="P14" s="56" t="s">
        <v>4</v>
      </c>
      <c r="Q14" s="56" t="s">
        <v>4</v>
      </c>
      <c r="R14" s="44"/>
      <c r="S14" s="44"/>
      <c r="T14" s="44"/>
      <c r="U14" s="44"/>
    </row>
    <row r="15" spans="1:21" s="11" customFormat="1" x14ac:dyDescent="0.25">
      <c r="A15" s="51" t="s">
        <v>208</v>
      </c>
      <c r="B15" s="56" t="s">
        <v>4</v>
      </c>
      <c r="C15" s="56" t="s">
        <v>4</v>
      </c>
      <c r="D15" s="56" t="s">
        <v>4</v>
      </c>
      <c r="E15" s="56" t="s">
        <v>4</v>
      </c>
      <c r="F15" s="56" t="s">
        <v>4</v>
      </c>
      <c r="G15" s="56" t="s">
        <v>4</v>
      </c>
      <c r="H15" s="56" t="s">
        <v>4</v>
      </c>
      <c r="I15" s="56" t="s">
        <v>4</v>
      </c>
      <c r="J15" s="56" t="s">
        <v>4</v>
      </c>
      <c r="K15" s="56" t="s">
        <v>4</v>
      </c>
      <c r="L15" s="56" t="s">
        <v>4</v>
      </c>
      <c r="M15" s="56" t="s">
        <v>4</v>
      </c>
      <c r="N15" s="56" t="s">
        <v>4</v>
      </c>
      <c r="O15" s="56" t="s">
        <v>4</v>
      </c>
      <c r="P15" s="56" t="s">
        <v>4</v>
      </c>
      <c r="Q15" s="56" t="s">
        <v>4</v>
      </c>
      <c r="R15" s="44"/>
      <c r="S15" s="44"/>
      <c r="T15" s="44"/>
      <c r="U15" s="44"/>
    </row>
    <row r="16" spans="1:21" s="11" customFormat="1" x14ac:dyDescent="0.25">
      <c r="A16" s="51" t="s">
        <v>209</v>
      </c>
      <c r="B16" s="56" t="s">
        <v>4</v>
      </c>
      <c r="C16" s="56" t="s">
        <v>4</v>
      </c>
      <c r="D16" s="56" t="s">
        <v>4</v>
      </c>
      <c r="E16" s="56" t="s">
        <v>4</v>
      </c>
      <c r="F16" s="56" t="s">
        <v>4</v>
      </c>
      <c r="G16" s="56" t="s">
        <v>4</v>
      </c>
      <c r="H16" s="56" t="s">
        <v>4</v>
      </c>
      <c r="I16" s="56" t="s">
        <v>4</v>
      </c>
      <c r="J16" s="56" t="s">
        <v>4</v>
      </c>
      <c r="K16" s="56" t="s">
        <v>4</v>
      </c>
      <c r="L16" s="56" t="s">
        <v>4</v>
      </c>
      <c r="M16" s="56" t="s">
        <v>4</v>
      </c>
      <c r="N16" s="56" t="s">
        <v>4</v>
      </c>
      <c r="O16" s="56" t="s">
        <v>4</v>
      </c>
      <c r="P16" s="56" t="s">
        <v>4</v>
      </c>
      <c r="Q16" s="56" t="s">
        <v>4</v>
      </c>
      <c r="R16" s="44"/>
      <c r="S16" s="44"/>
      <c r="T16" s="44"/>
      <c r="U16" s="44"/>
    </row>
    <row r="17" spans="1:21" s="11" customFormat="1" x14ac:dyDescent="0.25">
      <c r="A17" s="51" t="s">
        <v>210</v>
      </c>
      <c r="B17" s="56" t="s">
        <v>4</v>
      </c>
      <c r="C17" s="56" t="s">
        <v>4</v>
      </c>
      <c r="D17" s="56" t="s">
        <v>4</v>
      </c>
      <c r="E17" s="56" t="s">
        <v>4</v>
      </c>
      <c r="F17" s="56" t="s">
        <v>4</v>
      </c>
      <c r="G17" s="56" t="s">
        <v>4</v>
      </c>
      <c r="H17" s="56" t="s">
        <v>4</v>
      </c>
      <c r="I17" s="56" t="s">
        <v>4</v>
      </c>
      <c r="J17" s="56" t="s">
        <v>4</v>
      </c>
      <c r="K17" s="56" t="s">
        <v>4</v>
      </c>
      <c r="L17" s="56" t="s">
        <v>4</v>
      </c>
      <c r="M17" s="56" t="s">
        <v>4</v>
      </c>
      <c r="N17" s="56" t="s">
        <v>4</v>
      </c>
      <c r="O17" s="56" t="s">
        <v>4</v>
      </c>
      <c r="P17" s="56" t="s">
        <v>4</v>
      </c>
      <c r="Q17" s="56" t="s">
        <v>4</v>
      </c>
      <c r="R17" s="44"/>
      <c r="S17" s="44"/>
      <c r="T17" s="44"/>
      <c r="U17" s="44"/>
    </row>
    <row r="18" spans="1:21" s="11" customFormat="1" x14ac:dyDescent="0.25">
      <c r="A18" s="51" t="s">
        <v>211</v>
      </c>
      <c r="B18" s="56" t="s">
        <v>4</v>
      </c>
      <c r="C18" s="56" t="s">
        <v>4</v>
      </c>
      <c r="D18" s="56" t="s">
        <v>4</v>
      </c>
      <c r="E18" s="56" t="s">
        <v>4</v>
      </c>
      <c r="F18" s="56" t="s">
        <v>4</v>
      </c>
      <c r="G18" s="56" t="s">
        <v>4</v>
      </c>
      <c r="H18" s="56" t="s">
        <v>4</v>
      </c>
      <c r="I18" s="56" t="s">
        <v>4</v>
      </c>
      <c r="J18" s="56" t="s">
        <v>4</v>
      </c>
      <c r="K18" s="56" t="s">
        <v>4</v>
      </c>
      <c r="L18" s="56" t="s">
        <v>4</v>
      </c>
      <c r="M18" s="56" t="s">
        <v>4</v>
      </c>
      <c r="N18" s="56" t="s">
        <v>4</v>
      </c>
      <c r="O18" s="56" t="s">
        <v>4</v>
      </c>
      <c r="P18" s="56" t="s">
        <v>4</v>
      </c>
      <c r="Q18" s="56" t="s">
        <v>4</v>
      </c>
      <c r="R18" s="44"/>
      <c r="S18" s="44"/>
      <c r="T18" s="44"/>
      <c r="U18" s="44"/>
    </row>
    <row r="19" spans="1:21" s="11" customFormat="1" x14ac:dyDescent="0.25">
      <c r="A19" s="51" t="s">
        <v>212</v>
      </c>
      <c r="B19" s="56" t="s">
        <v>4</v>
      </c>
      <c r="C19" s="56" t="s">
        <v>4</v>
      </c>
      <c r="D19" s="56" t="s">
        <v>4</v>
      </c>
      <c r="E19" s="56" t="s">
        <v>4</v>
      </c>
      <c r="F19" s="56" t="s">
        <v>4</v>
      </c>
      <c r="G19" s="56" t="s">
        <v>4</v>
      </c>
      <c r="H19" s="56" t="s">
        <v>4</v>
      </c>
      <c r="I19" s="56" t="s">
        <v>4</v>
      </c>
      <c r="J19" s="56" t="s">
        <v>4</v>
      </c>
      <c r="K19" s="56" t="s">
        <v>4</v>
      </c>
      <c r="L19" s="56" t="s">
        <v>4</v>
      </c>
      <c r="M19" s="56" t="s">
        <v>4</v>
      </c>
      <c r="N19" s="56" t="s">
        <v>4</v>
      </c>
      <c r="O19" s="56" t="s">
        <v>4</v>
      </c>
      <c r="P19" s="56" t="s">
        <v>4</v>
      </c>
      <c r="Q19" s="56" t="s">
        <v>4</v>
      </c>
      <c r="R19" s="44"/>
      <c r="S19" s="44"/>
      <c r="T19" s="44"/>
      <c r="U19" s="44"/>
    </row>
    <row r="20" spans="1:21" s="11" customFormat="1" x14ac:dyDescent="0.25">
      <c r="A20" s="51" t="s">
        <v>213</v>
      </c>
      <c r="B20" s="56" t="s">
        <v>4</v>
      </c>
      <c r="C20" s="56" t="s">
        <v>4</v>
      </c>
      <c r="D20" s="56" t="s">
        <v>4</v>
      </c>
      <c r="E20" s="56" t="s">
        <v>4</v>
      </c>
      <c r="F20" s="56" t="s">
        <v>4</v>
      </c>
      <c r="G20" s="56" t="s">
        <v>4</v>
      </c>
      <c r="H20" s="56" t="s">
        <v>4</v>
      </c>
      <c r="I20" s="56" t="s">
        <v>4</v>
      </c>
      <c r="J20" s="56" t="s">
        <v>4</v>
      </c>
      <c r="K20" s="56" t="s">
        <v>4</v>
      </c>
      <c r="L20" s="56" t="s">
        <v>4</v>
      </c>
      <c r="M20" s="56" t="s">
        <v>4</v>
      </c>
      <c r="N20" s="56" t="s">
        <v>4</v>
      </c>
      <c r="O20" s="56" t="s">
        <v>4</v>
      </c>
      <c r="P20" s="56" t="s">
        <v>4</v>
      </c>
      <c r="Q20" s="56" t="s">
        <v>4</v>
      </c>
      <c r="R20" s="44"/>
      <c r="S20" s="44"/>
      <c r="T20" s="44"/>
      <c r="U20" s="44"/>
    </row>
    <row r="21" spans="1:21" s="11" customFormat="1" x14ac:dyDescent="0.25">
      <c r="A21" s="51" t="s">
        <v>214</v>
      </c>
      <c r="B21" s="56" t="s">
        <v>4</v>
      </c>
      <c r="C21" s="56" t="s">
        <v>4</v>
      </c>
      <c r="D21" s="56" t="s">
        <v>4</v>
      </c>
      <c r="E21" s="56" t="s">
        <v>4</v>
      </c>
      <c r="F21" s="56" t="s">
        <v>4</v>
      </c>
      <c r="G21" s="56" t="s">
        <v>4</v>
      </c>
      <c r="H21" s="56" t="s">
        <v>4</v>
      </c>
      <c r="I21" s="56" t="s">
        <v>4</v>
      </c>
      <c r="J21" s="56" t="s">
        <v>4</v>
      </c>
      <c r="K21" s="56" t="s">
        <v>4</v>
      </c>
      <c r="L21" s="56" t="s">
        <v>4</v>
      </c>
      <c r="M21" s="56" t="s">
        <v>4</v>
      </c>
      <c r="N21" s="56" t="s">
        <v>4</v>
      </c>
      <c r="O21" s="56" t="s">
        <v>4</v>
      </c>
      <c r="P21" s="56" t="s">
        <v>4</v>
      </c>
      <c r="Q21" s="56" t="s">
        <v>4</v>
      </c>
      <c r="R21" s="44"/>
      <c r="S21" s="44"/>
      <c r="T21" s="44"/>
      <c r="U21" s="44"/>
    </row>
    <row r="22" spans="1:21" s="11" customFormat="1" x14ac:dyDescent="0.25">
      <c r="A22" s="51" t="s">
        <v>215</v>
      </c>
      <c r="B22" s="56" t="s">
        <v>4</v>
      </c>
      <c r="C22" s="56" t="s">
        <v>4</v>
      </c>
      <c r="D22" s="56" t="s">
        <v>4</v>
      </c>
      <c r="E22" s="56" t="s">
        <v>4</v>
      </c>
      <c r="F22" s="56" t="s">
        <v>4</v>
      </c>
      <c r="G22" s="56" t="s">
        <v>4</v>
      </c>
      <c r="H22" s="56" t="s">
        <v>4</v>
      </c>
      <c r="I22" s="56" t="s">
        <v>4</v>
      </c>
      <c r="J22" s="56" t="s">
        <v>4</v>
      </c>
      <c r="K22" s="56" t="s">
        <v>4</v>
      </c>
      <c r="L22" s="56" t="s">
        <v>4</v>
      </c>
      <c r="M22" s="56" t="s">
        <v>4</v>
      </c>
      <c r="N22" s="56" t="s">
        <v>4</v>
      </c>
      <c r="O22" s="56" t="s">
        <v>4</v>
      </c>
      <c r="P22" s="56" t="s">
        <v>4</v>
      </c>
      <c r="Q22" s="56" t="s">
        <v>4</v>
      </c>
      <c r="R22" s="44"/>
      <c r="S22" s="44"/>
      <c r="T22" s="44"/>
      <c r="U22" s="44"/>
    </row>
    <row r="23" spans="1:21" s="11" customFormat="1" x14ac:dyDescent="0.25">
      <c r="A23" s="51" t="s">
        <v>216</v>
      </c>
      <c r="B23" s="56" t="s">
        <v>4</v>
      </c>
      <c r="C23" s="56" t="s">
        <v>4</v>
      </c>
      <c r="D23" s="56" t="s">
        <v>4</v>
      </c>
      <c r="E23" s="56" t="s">
        <v>4</v>
      </c>
      <c r="F23" s="56" t="s">
        <v>4</v>
      </c>
      <c r="G23" s="56" t="s">
        <v>4</v>
      </c>
      <c r="H23" s="56" t="s">
        <v>4</v>
      </c>
      <c r="I23" s="56" t="s">
        <v>4</v>
      </c>
      <c r="J23" s="56" t="s">
        <v>4</v>
      </c>
      <c r="K23" s="56" t="s">
        <v>4</v>
      </c>
      <c r="L23" s="56" t="s">
        <v>4</v>
      </c>
      <c r="M23" s="56" t="s">
        <v>4</v>
      </c>
      <c r="N23" s="56" t="s">
        <v>4</v>
      </c>
      <c r="O23" s="56" t="s">
        <v>4</v>
      </c>
      <c r="P23" s="56" t="s">
        <v>4</v>
      </c>
      <c r="Q23" s="56" t="s">
        <v>4</v>
      </c>
      <c r="R23" s="44"/>
      <c r="S23" s="44"/>
      <c r="T23" s="44"/>
      <c r="U23" s="44"/>
    </row>
    <row r="24" spans="1:21" s="11" customFormat="1" x14ac:dyDescent="0.25">
      <c r="A24" s="51" t="s">
        <v>217</v>
      </c>
      <c r="B24" s="56" t="s">
        <v>4</v>
      </c>
      <c r="C24" s="56" t="s">
        <v>4</v>
      </c>
      <c r="D24" s="56" t="s">
        <v>4</v>
      </c>
      <c r="E24" s="56" t="s">
        <v>4</v>
      </c>
      <c r="F24" s="56" t="s">
        <v>4</v>
      </c>
      <c r="G24" s="56" t="s">
        <v>4</v>
      </c>
      <c r="H24" s="56" t="s">
        <v>4</v>
      </c>
      <c r="I24" s="56" t="s">
        <v>4</v>
      </c>
      <c r="J24" s="56" t="s">
        <v>4</v>
      </c>
      <c r="K24" s="56" t="s">
        <v>4</v>
      </c>
      <c r="L24" s="56" t="s">
        <v>4</v>
      </c>
      <c r="M24" s="56" t="s">
        <v>4</v>
      </c>
      <c r="N24" s="56" t="s">
        <v>4</v>
      </c>
      <c r="O24" s="56" t="s">
        <v>4</v>
      </c>
      <c r="P24" s="56" t="s">
        <v>4</v>
      </c>
      <c r="Q24" s="56" t="s">
        <v>4</v>
      </c>
      <c r="R24" s="44"/>
      <c r="S24" s="44"/>
      <c r="T24" s="44"/>
      <c r="U24" s="44"/>
    </row>
    <row r="25" spans="1:21" s="11" customFormat="1" x14ac:dyDescent="0.25">
      <c r="A25" s="51" t="s">
        <v>218</v>
      </c>
      <c r="B25" s="56" t="s">
        <v>4</v>
      </c>
      <c r="C25" s="56" t="s">
        <v>4</v>
      </c>
      <c r="D25" s="56" t="s">
        <v>4</v>
      </c>
      <c r="E25" s="56" t="s">
        <v>4</v>
      </c>
      <c r="F25" s="56" t="s">
        <v>4</v>
      </c>
      <c r="G25" s="56" t="s">
        <v>4</v>
      </c>
      <c r="H25" s="56" t="s">
        <v>4</v>
      </c>
      <c r="I25" s="56" t="s">
        <v>4</v>
      </c>
      <c r="J25" s="56" t="s">
        <v>4</v>
      </c>
      <c r="K25" s="56" t="s">
        <v>4</v>
      </c>
      <c r="L25" s="56" t="s">
        <v>4</v>
      </c>
      <c r="M25" s="56" t="s">
        <v>4</v>
      </c>
      <c r="N25" s="56" t="s">
        <v>4</v>
      </c>
      <c r="O25" s="56" t="s">
        <v>4</v>
      </c>
      <c r="P25" s="56" t="s">
        <v>4</v>
      </c>
      <c r="Q25" s="56" t="s">
        <v>4</v>
      </c>
      <c r="R25" s="44"/>
      <c r="S25" s="44"/>
      <c r="T25" s="44"/>
      <c r="U25" s="44"/>
    </row>
    <row r="26" spans="1:21" s="11" customFormat="1" x14ac:dyDescent="0.25">
      <c r="A26" s="51" t="s">
        <v>219</v>
      </c>
      <c r="B26" s="56" t="s">
        <v>4</v>
      </c>
      <c r="C26" s="56" t="s">
        <v>4</v>
      </c>
      <c r="D26" s="56" t="s">
        <v>4</v>
      </c>
      <c r="E26" s="56" t="s">
        <v>4</v>
      </c>
      <c r="F26" s="56" t="s">
        <v>4</v>
      </c>
      <c r="G26" s="56" t="s">
        <v>4</v>
      </c>
      <c r="H26" s="56" t="s">
        <v>4</v>
      </c>
      <c r="I26" s="56" t="s">
        <v>4</v>
      </c>
      <c r="J26" s="56" t="s">
        <v>4</v>
      </c>
      <c r="K26" s="56" t="s">
        <v>4</v>
      </c>
      <c r="L26" s="56" t="s">
        <v>4</v>
      </c>
      <c r="M26" s="56" t="s">
        <v>4</v>
      </c>
      <c r="N26" s="56" t="s">
        <v>4</v>
      </c>
      <c r="O26" s="56" t="s">
        <v>4</v>
      </c>
      <c r="P26" s="56" t="s">
        <v>4</v>
      </c>
      <c r="Q26" s="56" t="s">
        <v>4</v>
      </c>
      <c r="R26" s="44"/>
      <c r="S26" s="44"/>
      <c r="T26" s="44"/>
      <c r="U26" s="44"/>
    </row>
    <row r="27" spans="1:21" s="11" customFormat="1" x14ac:dyDescent="0.25">
      <c r="A27" s="51" t="s">
        <v>220</v>
      </c>
      <c r="B27" s="56" t="s">
        <v>4</v>
      </c>
      <c r="C27" s="56" t="s">
        <v>4</v>
      </c>
      <c r="D27" s="56" t="s">
        <v>4</v>
      </c>
      <c r="E27" s="56" t="s">
        <v>4</v>
      </c>
      <c r="F27" s="56" t="s">
        <v>4</v>
      </c>
      <c r="G27" s="56" t="s">
        <v>4</v>
      </c>
      <c r="H27" s="56" t="s">
        <v>4</v>
      </c>
      <c r="I27" s="56" t="s">
        <v>4</v>
      </c>
      <c r="J27" s="56" t="s">
        <v>4</v>
      </c>
      <c r="K27" s="56" t="s">
        <v>4</v>
      </c>
      <c r="L27" s="56" t="s">
        <v>4</v>
      </c>
      <c r="M27" s="56" t="s">
        <v>4</v>
      </c>
      <c r="N27" s="56" t="s">
        <v>4</v>
      </c>
      <c r="O27" s="56" t="s">
        <v>4</v>
      </c>
      <c r="P27" s="56" t="s">
        <v>4</v>
      </c>
      <c r="Q27" s="56" t="s">
        <v>4</v>
      </c>
      <c r="R27" s="44"/>
      <c r="S27" s="44"/>
      <c r="T27" s="44"/>
      <c r="U27" s="44"/>
    </row>
    <row r="28" spans="1:21" s="11" customFormat="1" x14ac:dyDescent="0.25">
      <c r="A28" s="51" t="s">
        <v>221</v>
      </c>
      <c r="B28" s="56" t="s">
        <v>4</v>
      </c>
      <c r="C28" s="56" t="s">
        <v>4</v>
      </c>
      <c r="D28" s="56" t="s">
        <v>4</v>
      </c>
      <c r="E28" s="56" t="s">
        <v>4</v>
      </c>
      <c r="F28" s="56" t="s">
        <v>4</v>
      </c>
      <c r="G28" s="56" t="s">
        <v>4</v>
      </c>
      <c r="H28" s="56" t="s">
        <v>4</v>
      </c>
      <c r="I28" s="56" t="s">
        <v>4</v>
      </c>
      <c r="J28" s="56" t="s">
        <v>4</v>
      </c>
      <c r="K28" s="56" t="s">
        <v>4</v>
      </c>
      <c r="L28" s="56" t="s">
        <v>4</v>
      </c>
      <c r="M28" s="56" t="s">
        <v>4</v>
      </c>
      <c r="N28" s="56" t="s">
        <v>4</v>
      </c>
      <c r="O28" s="56" t="s">
        <v>4</v>
      </c>
      <c r="P28" s="56" t="s">
        <v>4</v>
      </c>
      <c r="Q28" s="56" t="s">
        <v>4</v>
      </c>
      <c r="R28" s="44"/>
      <c r="S28" s="44"/>
      <c r="T28" s="44"/>
      <c r="U28" s="44"/>
    </row>
    <row r="29" spans="1:21" s="11" customFormat="1" x14ac:dyDescent="0.25">
      <c r="A29" s="51" t="s">
        <v>222</v>
      </c>
      <c r="B29" s="56" t="s">
        <v>4</v>
      </c>
      <c r="C29" s="56" t="s">
        <v>4</v>
      </c>
      <c r="D29" s="56" t="s">
        <v>4</v>
      </c>
      <c r="E29" s="56" t="s">
        <v>4</v>
      </c>
      <c r="F29" s="56" t="s">
        <v>4</v>
      </c>
      <c r="G29" s="56" t="s">
        <v>4</v>
      </c>
      <c r="H29" s="56" t="s">
        <v>4</v>
      </c>
      <c r="I29" s="56" t="s">
        <v>4</v>
      </c>
      <c r="J29" s="56" t="s">
        <v>4</v>
      </c>
      <c r="K29" s="56" t="s">
        <v>4</v>
      </c>
      <c r="L29" s="56" t="s">
        <v>4</v>
      </c>
      <c r="M29" s="56" t="s">
        <v>4</v>
      </c>
      <c r="N29" s="56" t="s">
        <v>4</v>
      </c>
      <c r="O29" s="56" t="s">
        <v>4</v>
      </c>
      <c r="P29" s="56" t="s">
        <v>4</v>
      </c>
      <c r="Q29" s="56" t="s">
        <v>4</v>
      </c>
      <c r="R29" s="44"/>
      <c r="S29" s="44"/>
      <c r="T29" s="44"/>
      <c r="U29" s="44"/>
    </row>
    <row r="30" spans="1:21" s="11" customFormat="1" x14ac:dyDescent="0.25">
      <c r="A30" s="51" t="s">
        <v>223</v>
      </c>
      <c r="B30" s="56" t="s">
        <v>4</v>
      </c>
      <c r="C30" s="56" t="s">
        <v>4</v>
      </c>
      <c r="D30" s="56" t="s">
        <v>4</v>
      </c>
      <c r="E30" s="56" t="s">
        <v>4</v>
      </c>
      <c r="F30" s="56" t="s">
        <v>4</v>
      </c>
      <c r="G30" s="56" t="s">
        <v>4</v>
      </c>
      <c r="H30" s="56" t="s">
        <v>4</v>
      </c>
      <c r="I30" s="56" t="s">
        <v>4</v>
      </c>
      <c r="J30" s="56" t="s">
        <v>4</v>
      </c>
      <c r="K30" s="56" t="s">
        <v>4</v>
      </c>
      <c r="L30" s="56" t="s">
        <v>4</v>
      </c>
      <c r="M30" s="56" t="s">
        <v>4</v>
      </c>
      <c r="N30" s="56" t="s">
        <v>4</v>
      </c>
      <c r="O30" s="56" t="s">
        <v>4</v>
      </c>
      <c r="P30" s="56" t="s">
        <v>4</v>
      </c>
      <c r="Q30" s="56" t="s">
        <v>4</v>
      </c>
      <c r="R30" s="44"/>
      <c r="S30" s="44"/>
      <c r="T30" s="44"/>
      <c r="U30" s="44"/>
    </row>
    <row r="31" spans="1:21" s="11" customFormat="1" x14ac:dyDescent="0.25">
      <c r="A31" s="51" t="s">
        <v>224</v>
      </c>
      <c r="B31" s="56" t="s">
        <v>4</v>
      </c>
      <c r="C31" s="56" t="s">
        <v>4</v>
      </c>
      <c r="D31" s="56" t="s">
        <v>4</v>
      </c>
      <c r="E31" s="56" t="s">
        <v>4</v>
      </c>
      <c r="F31" s="56" t="s">
        <v>4</v>
      </c>
      <c r="G31" s="56" t="s">
        <v>4</v>
      </c>
      <c r="H31" s="56" t="s">
        <v>4</v>
      </c>
      <c r="I31" s="56" t="s">
        <v>4</v>
      </c>
      <c r="J31" s="56" t="s">
        <v>4</v>
      </c>
      <c r="K31" s="56" t="s">
        <v>4</v>
      </c>
      <c r="L31" s="56" t="s">
        <v>4</v>
      </c>
      <c r="M31" s="56" t="s">
        <v>4</v>
      </c>
      <c r="N31" s="56" t="s">
        <v>4</v>
      </c>
      <c r="O31" s="56" t="s">
        <v>4</v>
      </c>
      <c r="P31" s="56" t="s">
        <v>4</v>
      </c>
      <c r="Q31" s="56" t="s">
        <v>4</v>
      </c>
      <c r="R31" s="44"/>
      <c r="S31" s="44"/>
      <c r="T31" s="44"/>
      <c r="U31" s="44"/>
    </row>
    <row r="32" spans="1:21" s="11" customFormat="1" x14ac:dyDescent="0.25">
      <c r="A32" s="51" t="s">
        <v>225</v>
      </c>
      <c r="B32" s="56" t="s">
        <v>4</v>
      </c>
      <c r="C32" s="56" t="s">
        <v>4</v>
      </c>
      <c r="D32" s="56" t="s">
        <v>4</v>
      </c>
      <c r="E32" s="56" t="s">
        <v>4</v>
      </c>
      <c r="F32" s="56" t="s">
        <v>4</v>
      </c>
      <c r="G32" s="56" t="s">
        <v>4</v>
      </c>
      <c r="H32" s="56" t="s">
        <v>4</v>
      </c>
      <c r="I32" s="56" t="s">
        <v>4</v>
      </c>
      <c r="J32" s="56" t="s">
        <v>4</v>
      </c>
      <c r="K32" s="56" t="s">
        <v>4</v>
      </c>
      <c r="L32" s="56" t="s">
        <v>4</v>
      </c>
      <c r="M32" s="56" t="s">
        <v>4</v>
      </c>
      <c r="N32" s="56" t="s">
        <v>4</v>
      </c>
      <c r="O32" s="56" t="s">
        <v>4</v>
      </c>
      <c r="P32" s="56" t="s">
        <v>4</v>
      </c>
      <c r="Q32" s="56" t="s">
        <v>4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COUNT(B9:B32)+24</f>
        <v>24</v>
      </c>
      <c r="C38" s="32">
        <f t="shared" ref="C38:Q38" si="4">COUNT(C9:C32)+24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08-11-2022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226</v>
      </c>
      <c r="B9" s="56" t="s">
        <v>4</v>
      </c>
      <c r="C9" s="56" t="s">
        <v>4</v>
      </c>
      <c r="D9" s="56" t="s">
        <v>4</v>
      </c>
      <c r="E9" s="56" t="s">
        <v>4</v>
      </c>
      <c r="F9" s="56" t="s">
        <v>4</v>
      </c>
      <c r="G9" s="56" t="s">
        <v>4</v>
      </c>
      <c r="H9" s="56" t="s">
        <v>4</v>
      </c>
      <c r="I9" s="56" t="s">
        <v>4</v>
      </c>
      <c r="J9" s="56" t="s">
        <v>4</v>
      </c>
      <c r="K9" s="56" t="s">
        <v>4</v>
      </c>
      <c r="L9" s="56" t="s">
        <v>4</v>
      </c>
      <c r="M9" s="56" t="s">
        <v>4</v>
      </c>
      <c r="N9" s="56" t="s">
        <v>4</v>
      </c>
      <c r="O9" s="56" t="s">
        <v>4</v>
      </c>
      <c r="P9" s="56" t="s">
        <v>4</v>
      </c>
      <c r="Q9" s="56" t="s">
        <v>4</v>
      </c>
      <c r="R9" s="44"/>
      <c r="S9" s="44"/>
      <c r="T9" s="44"/>
      <c r="U9" s="44"/>
    </row>
    <row r="10" spans="1:21" s="11" customFormat="1" x14ac:dyDescent="0.25">
      <c r="A10" s="51" t="s">
        <v>227</v>
      </c>
      <c r="B10" s="56" t="s">
        <v>4</v>
      </c>
      <c r="C10" s="56" t="s">
        <v>4</v>
      </c>
      <c r="D10" s="56" t="s">
        <v>4</v>
      </c>
      <c r="E10" s="56" t="s">
        <v>4</v>
      </c>
      <c r="F10" s="56" t="s">
        <v>4</v>
      </c>
      <c r="G10" s="56" t="s">
        <v>4</v>
      </c>
      <c r="H10" s="56" t="s">
        <v>4</v>
      </c>
      <c r="I10" s="56" t="s">
        <v>4</v>
      </c>
      <c r="J10" s="56" t="s">
        <v>4</v>
      </c>
      <c r="K10" s="56" t="s">
        <v>4</v>
      </c>
      <c r="L10" s="56" t="s">
        <v>4</v>
      </c>
      <c r="M10" s="56" t="s">
        <v>4</v>
      </c>
      <c r="N10" s="56" t="s">
        <v>4</v>
      </c>
      <c r="O10" s="56" t="s">
        <v>4</v>
      </c>
      <c r="P10" s="56" t="s">
        <v>4</v>
      </c>
      <c r="Q10" s="56" t="s">
        <v>4</v>
      </c>
      <c r="R10" s="44"/>
      <c r="S10" s="44"/>
      <c r="T10" s="44"/>
      <c r="U10" s="44"/>
    </row>
    <row r="11" spans="1:21" s="11" customFormat="1" x14ac:dyDescent="0.25">
      <c r="A11" s="51" t="s">
        <v>228</v>
      </c>
      <c r="B11" s="56" t="s">
        <v>4</v>
      </c>
      <c r="C11" s="56" t="s">
        <v>4</v>
      </c>
      <c r="D11" s="56" t="s">
        <v>4</v>
      </c>
      <c r="E11" s="56" t="s">
        <v>4</v>
      </c>
      <c r="F11" s="56" t="s">
        <v>4</v>
      </c>
      <c r="G11" s="56" t="s">
        <v>4</v>
      </c>
      <c r="H11" s="56" t="s">
        <v>4</v>
      </c>
      <c r="I11" s="56" t="s">
        <v>4</v>
      </c>
      <c r="J11" s="56" t="s">
        <v>4</v>
      </c>
      <c r="K11" s="56" t="s">
        <v>4</v>
      </c>
      <c r="L11" s="56" t="s">
        <v>4</v>
      </c>
      <c r="M11" s="56" t="s">
        <v>4</v>
      </c>
      <c r="N11" s="56" t="s">
        <v>4</v>
      </c>
      <c r="O11" s="56" t="s">
        <v>4</v>
      </c>
      <c r="P11" s="56" t="s">
        <v>4</v>
      </c>
      <c r="Q11" s="56" t="s">
        <v>4</v>
      </c>
      <c r="R11" s="44"/>
      <c r="S11" s="44"/>
      <c r="T11" s="44"/>
      <c r="U11" s="44"/>
    </row>
    <row r="12" spans="1:21" s="11" customFormat="1" x14ac:dyDescent="0.25">
      <c r="A12" s="51" t="s">
        <v>229</v>
      </c>
      <c r="B12" s="56" t="s">
        <v>4</v>
      </c>
      <c r="C12" s="56" t="s">
        <v>4</v>
      </c>
      <c r="D12" s="56" t="s">
        <v>4</v>
      </c>
      <c r="E12" s="56" t="s">
        <v>4</v>
      </c>
      <c r="F12" s="56" t="s">
        <v>4</v>
      </c>
      <c r="G12" s="56" t="s">
        <v>4</v>
      </c>
      <c r="H12" s="56" t="s">
        <v>4</v>
      </c>
      <c r="I12" s="56" t="s">
        <v>4</v>
      </c>
      <c r="J12" s="56" t="s">
        <v>4</v>
      </c>
      <c r="K12" s="56" t="s">
        <v>4</v>
      </c>
      <c r="L12" s="56" t="s">
        <v>4</v>
      </c>
      <c r="M12" s="56" t="s">
        <v>4</v>
      </c>
      <c r="N12" s="56" t="s">
        <v>4</v>
      </c>
      <c r="O12" s="56" t="s">
        <v>4</v>
      </c>
      <c r="P12" s="56" t="s">
        <v>4</v>
      </c>
      <c r="Q12" s="56" t="s">
        <v>4</v>
      </c>
      <c r="R12" s="44"/>
      <c r="S12" s="44"/>
      <c r="T12" s="44"/>
      <c r="U12" s="44"/>
    </row>
    <row r="13" spans="1:21" s="11" customFormat="1" x14ac:dyDescent="0.25">
      <c r="A13" s="51" t="s">
        <v>230</v>
      </c>
      <c r="B13" s="56" t="s">
        <v>4</v>
      </c>
      <c r="C13" s="56" t="s">
        <v>4</v>
      </c>
      <c r="D13" s="56" t="s">
        <v>4</v>
      </c>
      <c r="E13" s="56" t="s">
        <v>4</v>
      </c>
      <c r="F13" s="56" t="s">
        <v>4</v>
      </c>
      <c r="G13" s="56" t="s">
        <v>4</v>
      </c>
      <c r="H13" s="56" t="s">
        <v>4</v>
      </c>
      <c r="I13" s="56" t="s">
        <v>4</v>
      </c>
      <c r="J13" s="56" t="s">
        <v>4</v>
      </c>
      <c r="K13" s="56" t="s">
        <v>4</v>
      </c>
      <c r="L13" s="56" t="s">
        <v>4</v>
      </c>
      <c r="M13" s="56" t="s">
        <v>4</v>
      </c>
      <c r="N13" s="56" t="s">
        <v>4</v>
      </c>
      <c r="O13" s="56" t="s">
        <v>4</v>
      </c>
      <c r="P13" s="56" t="s">
        <v>4</v>
      </c>
      <c r="Q13" s="56" t="s">
        <v>4</v>
      </c>
      <c r="R13" s="44"/>
      <c r="S13" s="44"/>
      <c r="T13" s="44"/>
      <c r="U13" s="44"/>
    </row>
    <row r="14" spans="1:21" s="11" customFormat="1" x14ac:dyDescent="0.25">
      <c r="A14" s="51" t="s">
        <v>231</v>
      </c>
      <c r="B14" s="56" t="s">
        <v>4</v>
      </c>
      <c r="C14" s="56" t="s">
        <v>4</v>
      </c>
      <c r="D14" s="56" t="s">
        <v>4</v>
      </c>
      <c r="E14" s="56" t="s">
        <v>4</v>
      </c>
      <c r="F14" s="56" t="s">
        <v>4</v>
      </c>
      <c r="G14" s="56" t="s">
        <v>4</v>
      </c>
      <c r="H14" s="56" t="s">
        <v>4</v>
      </c>
      <c r="I14" s="56" t="s">
        <v>4</v>
      </c>
      <c r="J14" s="56" t="s">
        <v>4</v>
      </c>
      <c r="K14" s="56" t="s">
        <v>4</v>
      </c>
      <c r="L14" s="56" t="s">
        <v>4</v>
      </c>
      <c r="M14" s="56" t="s">
        <v>4</v>
      </c>
      <c r="N14" s="56" t="s">
        <v>4</v>
      </c>
      <c r="O14" s="56" t="s">
        <v>4</v>
      </c>
      <c r="P14" s="56" t="s">
        <v>4</v>
      </c>
      <c r="Q14" s="56" t="s">
        <v>4</v>
      </c>
      <c r="R14" s="44"/>
      <c r="S14" s="44"/>
      <c r="T14" s="44"/>
      <c r="U14" s="44"/>
    </row>
    <row r="15" spans="1:21" s="11" customFormat="1" x14ac:dyDescent="0.25">
      <c r="A15" s="51" t="s">
        <v>232</v>
      </c>
      <c r="B15" s="56" t="s">
        <v>4</v>
      </c>
      <c r="C15" s="56" t="s">
        <v>4</v>
      </c>
      <c r="D15" s="56" t="s">
        <v>4</v>
      </c>
      <c r="E15" s="56" t="s">
        <v>4</v>
      </c>
      <c r="F15" s="56" t="s">
        <v>4</v>
      </c>
      <c r="G15" s="56" t="s">
        <v>4</v>
      </c>
      <c r="H15" s="56" t="s">
        <v>4</v>
      </c>
      <c r="I15" s="56" t="s">
        <v>4</v>
      </c>
      <c r="J15" s="56" t="s">
        <v>4</v>
      </c>
      <c r="K15" s="56" t="s">
        <v>4</v>
      </c>
      <c r="L15" s="56" t="s">
        <v>4</v>
      </c>
      <c r="M15" s="56" t="s">
        <v>4</v>
      </c>
      <c r="N15" s="56" t="s">
        <v>4</v>
      </c>
      <c r="O15" s="56" t="s">
        <v>4</v>
      </c>
      <c r="P15" s="56" t="s">
        <v>4</v>
      </c>
      <c r="Q15" s="56" t="s">
        <v>4</v>
      </c>
      <c r="R15" s="44"/>
      <c r="S15" s="44"/>
      <c r="T15" s="44"/>
      <c r="U15" s="44"/>
    </row>
    <row r="16" spans="1:21" s="11" customFormat="1" x14ac:dyDescent="0.25">
      <c r="A16" s="51" t="s">
        <v>233</v>
      </c>
      <c r="B16" s="56" t="s">
        <v>4</v>
      </c>
      <c r="C16" s="56" t="s">
        <v>4</v>
      </c>
      <c r="D16" s="56" t="s">
        <v>4</v>
      </c>
      <c r="E16" s="56" t="s">
        <v>4</v>
      </c>
      <c r="F16" s="56" t="s">
        <v>4</v>
      </c>
      <c r="G16" s="56" t="s">
        <v>4</v>
      </c>
      <c r="H16" s="56" t="s">
        <v>4</v>
      </c>
      <c r="I16" s="56" t="s">
        <v>4</v>
      </c>
      <c r="J16" s="56" t="s">
        <v>4</v>
      </c>
      <c r="K16" s="56" t="s">
        <v>4</v>
      </c>
      <c r="L16" s="56" t="s">
        <v>4</v>
      </c>
      <c r="M16" s="56" t="s">
        <v>4</v>
      </c>
      <c r="N16" s="56" t="s">
        <v>4</v>
      </c>
      <c r="O16" s="56" t="s">
        <v>4</v>
      </c>
      <c r="P16" s="56" t="s">
        <v>4</v>
      </c>
      <c r="Q16" s="56" t="s">
        <v>4</v>
      </c>
      <c r="R16" s="44"/>
      <c r="S16" s="44"/>
      <c r="T16" s="44"/>
      <c r="U16" s="44"/>
    </row>
    <row r="17" spans="1:21" s="11" customFormat="1" x14ac:dyDescent="0.25">
      <c r="A17" s="51" t="s">
        <v>234</v>
      </c>
      <c r="B17" s="56" t="s">
        <v>4</v>
      </c>
      <c r="C17" s="56" t="s">
        <v>4</v>
      </c>
      <c r="D17" s="56" t="s">
        <v>4</v>
      </c>
      <c r="E17" s="56" t="s">
        <v>4</v>
      </c>
      <c r="F17" s="56" t="s">
        <v>4</v>
      </c>
      <c r="G17" s="56" t="s">
        <v>4</v>
      </c>
      <c r="H17" s="56" t="s">
        <v>4</v>
      </c>
      <c r="I17" s="56" t="s">
        <v>4</v>
      </c>
      <c r="J17" s="56" t="s">
        <v>4</v>
      </c>
      <c r="K17" s="56" t="s">
        <v>4</v>
      </c>
      <c r="L17" s="56" t="s">
        <v>4</v>
      </c>
      <c r="M17" s="56" t="s">
        <v>4</v>
      </c>
      <c r="N17" s="56" t="s">
        <v>4</v>
      </c>
      <c r="O17" s="56" t="s">
        <v>4</v>
      </c>
      <c r="P17" s="56" t="s">
        <v>4</v>
      </c>
      <c r="Q17" s="56" t="s">
        <v>4</v>
      </c>
      <c r="R17" s="44"/>
      <c r="S17" s="44"/>
      <c r="T17" s="44"/>
      <c r="U17" s="44"/>
    </row>
    <row r="18" spans="1:21" s="11" customFormat="1" x14ac:dyDescent="0.25">
      <c r="A18" s="51" t="s">
        <v>235</v>
      </c>
      <c r="B18" s="56" t="s">
        <v>4</v>
      </c>
      <c r="C18" s="56" t="s">
        <v>4</v>
      </c>
      <c r="D18" s="56" t="s">
        <v>4</v>
      </c>
      <c r="E18" s="56" t="s">
        <v>4</v>
      </c>
      <c r="F18" s="56" t="s">
        <v>4</v>
      </c>
      <c r="G18" s="56" t="s">
        <v>4</v>
      </c>
      <c r="H18" s="56" t="s">
        <v>4</v>
      </c>
      <c r="I18" s="56" t="s">
        <v>4</v>
      </c>
      <c r="J18" s="56" t="s">
        <v>4</v>
      </c>
      <c r="K18" s="56" t="s">
        <v>4</v>
      </c>
      <c r="L18" s="56" t="s">
        <v>4</v>
      </c>
      <c r="M18" s="56" t="s">
        <v>4</v>
      </c>
      <c r="N18" s="56" t="s">
        <v>4</v>
      </c>
      <c r="O18" s="56" t="s">
        <v>4</v>
      </c>
      <c r="P18" s="56" t="s">
        <v>4</v>
      </c>
      <c r="Q18" s="56" t="s">
        <v>4</v>
      </c>
      <c r="R18" s="44"/>
      <c r="S18" s="44"/>
      <c r="T18" s="44"/>
      <c r="U18" s="44"/>
    </row>
    <row r="19" spans="1:21" s="11" customFormat="1" x14ac:dyDescent="0.25">
      <c r="A19" s="51" t="s">
        <v>236</v>
      </c>
      <c r="B19" s="56" t="s">
        <v>4</v>
      </c>
      <c r="C19" s="56" t="s">
        <v>4</v>
      </c>
      <c r="D19" s="56" t="s">
        <v>4</v>
      </c>
      <c r="E19" s="56" t="s">
        <v>4</v>
      </c>
      <c r="F19" s="56" t="s">
        <v>4</v>
      </c>
      <c r="G19" s="56" t="s">
        <v>4</v>
      </c>
      <c r="H19" s="56" t="s">
        <v>4</v>
      </c>
      <c r="I19" s="56" t="s">
        <v>4</v>
      </c>
      <c r="J19" s="56" t="s">
        <v>4</v>
      </c>
      <c r="K19" s="56" t="s">
        <v>4</v>
      </c>
      <c r="L19" s="56" t="s">
        <v>4</v>
      </c>
      <c r="M19" s="56" t="s">
        <v>4</v>
      </c>
      <c r="N19" s="56" t="s">
        <v>4</v>
      </c>
      <c r="O19" s="56" t="s">
        <v>4</v>
      </c>
      <c r="P19" s="56" t="s">
        <v>4</v>
      </c>
      <c r="Q19" s="56" t="s">
        <v>4</v>
      </c>
      <c r="R19" s="44"/>
      <c r="S19" s="44"/>
      <c r="T19" s="44"/>
      <c r="U19" s="44"/>
    </row>
    <row r="20" spans="1:21" s="11" customFormat="1" x14ac:dyDescent="0.25">
      <c r="A20" s="51" t="s">
        <v>237</v>
      </c>
      <c r="B20" s="56" t="s">
        <v>4</v>
      </c>
      <c r="C20" s="56" t="s">
        <v>4</v>
      </c>
      <c r="D20" s="56" t="s">
        <v>4</v>
      </c>
      <c r="E20" s="56" t="s">
        <v>4</v>
      </c>
      <c r="F20" s="56" t="s">
        <v>4</v>
      </c>
      <c r="G20" s="56" t="s">
        <v>4</v>
      </c>
      <c r="H20" s="56" t="s">
        <v>4</v>
      </c>
      <c r="I20" s="56" t="s">
        <v>4</v>
      </c>
      <c r="J20" s="56" t="s">
        <v>4</v>
      </c>
      <c r="K20" s="56" t="s">
        <v>4</v>
      </c>
      <c r="L20" s="56" t="s">
        <v>4</v>
      </c>
      <c r="M20" s="56" t="s">
        <v>4</v>
      </c>
      <c r="N20" s="56" t="s">
        <v>4</v>
      </c>
      <c r="O20" s="56" t="s">
        <v>4</v>
      </c>
      <c r="P20" s="56" t="s">
        <v>4</v>
      </c>
      <c r="Q20" s="56" t="s">
        <v>4</v>
      </c>
      <c r="R20" s="44"/>
      <c r="S20" s="44"/>
      <c r="T20" s="44"/>
      <c r="U20" s="44"/>
    </row>
    <row r="21" spans="1:21" s="11" customFormat="1" x14ac:dyDescent="0.25">
      <c r="A21" s="51" t="s">
        <v>238</v>
      </c>
      <c r="B21" s="56" t="s">
        <v>4</v>
      </c>
      <c r="C21" s="56" t="s">
        <v>4</v>
      </c>
      <c r="D21" s="56" t="s">
        <v>4</v>
      </c>
      <c r="E21" s="56" t="s">
        <v>4</v>
      </c>
      <c r="F21" s="56" t="s">
        <v>4</v>
      </c>
      <c r="G21" s="56" t="s">
        <v>4</v>
      </c>
      <c r="H21" s="56" t="s">
        <v>4</v>
      </c>
      <c r="I21" s="56" t="s">
        <v>4</v>
      </c>
      <c r="J21" s="56" t="s">
        <v>4</v>
      </c>
      <c r="K21" s="56" t="s">
        <v>4</v>
      </c>
      <c r="L21" s="56" t="s">
        <v>4</v>
      </c>
      <c r="M21" s="56" t="s">
        <v>4</v>
      </c>
      <c r="N21" s="56" t="s">
        <v>4</v>
      </c>
      <c r="O21" s="56" t="s">
        <v>4</v>
      </c>
      <c r="P21" s="56" t="s">
        <v>4</v>
      </c>
      <c r="Q21" s="56" t="s">
        <v>4</v>
      </c>
      <c r="R21" s="44"/>
      <c r="S21" s="44"/>
      <c r="T21" s="44"/>
      <c r="U21" s="44"/>
    </row>
    <row r="22" spans="1:21" s="11" customFormat="1" x14ac:dyDescent="0.25">
      <c r="A22" s="51" t="s">
        <v>239</v>
      </c>
      <c r="B22" s="56" t="s">
        <v>4</v>
      </c>
      <c r="C22" s="56" t="s">
        <v>4</v>
      </c>
      <c r="D22" s="56" t="s">
        <v>4</v>
      </c>
      <c r="E22" s="56" t="s">
        <v>4</v>
      </c>
      <c r="F22" s="56" t="s">
        <v>4</v>
      </c>
      <c r="G22" s="56" t="s">
        <v>4</v>
      </c>
      <c r="H22" s="56" t="s">
        <v>4</v>
      </c>
      <c r="I22" s="56" t="s">
        <v>4</v>
      </c>
      <c r="J22" s="56" t="s">
        <v>4</v>
      </c>
      <c r="K22" s="56" t="s">
        <v>4</v>
      </c>
      <c r="L22" s="56" t="s">
        <v>4</v>
      </c>
      <c r="M22" s="56" t="s">
        <v>4</v>
      </c>
      <c r="N22" s="56" t="s">
        <v>4</v>
      </c>
      <c r="O22" s="56" t="s">
        <v>4</v>
      </c>
      <c r="P22" s="56" t="s">
        <v>4</v>
      </c>
      <c r="Q22" s="56" t="s">
        <v>4</v>
      </c>
      <c r="R22" s="44"/>
      <c r="S22" s="44"/>
      <c r="T22" s="44"/>
      <c r="U22" s="44"/>
    </row>
    <row r="23" spans="1:21" s="11" customFormat="1" x14ac:dyDescent="0.25">
      <c r="A23" s="51" t="s">
        <v>240</v>
      </c>
      <c r="B23" s="56" t="s">
        <v>4</v>
      </c>
      <c r="C23" s="56" t="s">
        <v>4</v>
      </c>
      <c r="D23" s="56" t="s">
        <v>4</v>
      </c>
      <c r="E23" s="56" t="s">
        <v>4</v>
      </c>
      <c r="F23" s="56" t="s">
        <v>4</v>
      </c>
      <c r="G23" s="56" t="s">
        <v>4</v>
      </c>
      <c r="H23" s="56" t="s">
        <v>4</v>
      </c>
      <c r="I23" s="56" t="s">
        <v>4</v>
      </c>
      <c r="J23" s="56" t="s">
        <v>4</v>
      </c>
      <c r="K23" s="56" t="s">
        <v>4</v>
      </c>
      <c r="L23" s="56" t="s">
        <v>4</v>
      </c>
      <c r="M23" s="56" t="s">
        <v>4</v>
      </c>
      <c r="N23" s="56" t="s">
        <v>4</v>
      </c>
      <c r="O23" s="56" t="s">
        <v>4</v>
      </c>
      <c r="P23" s="56" t="s">
        <v>4</v>
      </c>
      <c r="Q23" s="56" t="s">
        <v>4</v>
      </c>
      <c r="R23" s="44"/>
      <c r="S23" s="44"/>
      <c r="T23" s="44"/>
      <c r="U23" s="44"/>
    </row>
    <row r="24" spans="1:21" s="11" customFormat="1" x14ac:dyDescent="0.25">
      <c r="A24" s="51" t="s">
        <v>241</v>
      </c>
      <c r="B24" s="56" t="s">
        <v>4</v>
      </c>
      <c r="C24" s="56" t="s">
        <v>4</v>
      </c>
      <c r="D24" s="56" t="s">
        <v>4</v>
      </c>
      <c r="E24" s="56" t="s">
        <v>4</v>
      </c>
      <c r="F24" s="56" t="s">
        <v>4</v>
      </c>
      <c r="G24" s="56" t="s">
        <v>4</v>
      </c>
      <c r="H24" s="56" t="s">
        <v>4</v>
      </c>
      <c r="I24" s="56" t="s">
        <v>4</v>
      </c>
      <c r="J24" s="56" t="s">
        <v>4</v>
      </c>
      <c r="K24" s="56" t="s">
        <v>4</v>
      </c>
      <c r="L24" s="56" t="s">
        <v>4</v>
      </c>
      <c r="M24" s="56" t="s">
        <v>4</v>
      </c>
      <c r="N24" s="56" t="s">
        <v>4</v>
      </c>
      <c r="O24" s="56" t="s">
        <v>4</v>
      </c>
      <c r="P24" s="56" t="s">
        <v>4</v>
      </c>
      <c r="Q24" s="56" t="s">
        <v>4</v>
      </c>
      <c r="R24" s="44"/>
      <c r="S24" s="44"/>
      <c r="T24" s="44"/>
      <c r="U24" s="44"/>
    </row>
    <row r="25" spans="1:21" s="11" customFormat="1" x14ac:dyDescent="0.25">
      <c r="A25" s="51" t="s">
        <v>242</v>
      </c>
      <c r="B25" s="56" t="s">
        <v>4</v>
      </c>
      <c r="C25" s="56" t="s">
        <v>4</v>
      </c>
      <c r="D25" s="56" t="s">
        <v>4</v>
      </c>
      <c r="E25" s="56" t="s">
        <v>4</v>
      </c>
      <c r="F25" s="56" t="s">
        <v>4</v>
      </c>
      <c r="G25" s="56" t="s">
        <v>4</v>
      </c>
      <c r="H25" s="56" t="s">
        <v>4</v>
      </c>
      <c r="I25" s="56" t="s">
        <v>4</v>
      </c>
      <c r="J25" s="56" t="s">
        <v>4</v>
      </c>
      <c r="K25" s="56" t="s">
        <v>4</v>
      </c>
      <c r="L25" s="56" t="s">
        <v>4</v>
      </c>
      <c r="M25" s="56" t="s">
        <v>4</v>
      </c>
      <c r="N25" s="56" t="s">
        <v>4</v>
      </c>
      <c r="O25" s="56" t="s">
        <v>4</v>
      </c>
      <c r="P25" s="56" t="s">
        <v>4</v>
      </c>
      <c r="Q25" s="56" t="s">
        <v>4</v>
      </c>
      <c r="R25" s="44"/>
      <c r="S25" s="44"/>
      <c r="T25" s="44"/>
      <c r="U25" s="44"/>
    </row>
    <row r="26" spans="1:21" s="11" customFormat="1" x14ac:dyDescent="0.25">
      <c r="A26" s="51" t="s">
        <v>243</v>
      </c>
      <c r="B26" s="56" t="s">
        <v>4</v>
      </c>
      <c r="C26" s="56" t="s">
        <v>4</v>
      </c>
      <c r="D26" s="56" t="s">
        <v>4</v>
      </c>
      <c r="E26" s="56" t="s">
        <v>4</v>
      </c>
      <c r="F26" s="56" t="s">
        <v>4</v>
      </c>
      <c r="G26" s="56" t="s">
        <v>4</v>
      </c>
      <c r="H26" s="56" t="s">
        <v>4</v>
      </c>
      <c r="I26" s="56" t="s">
        <v>4</v>
      </c>
      <c r="J26" s="56" t="s">
        <v>4</v>
      </c>
      <c r="K26" s="56" t="s">
        <v>4</v>
      </c>
      <c r="L26" s="56" t="s">
        <v>4</v>
      </c>
      <c r="M26" s="56" t="s">
        <v>4</v>
      </c>
      <c r="N26" s="56" t="s">
        <v>4</v>
      </c>
      <c r="O26" s="56" t="s">
        <v>4</v>
      </c>
      <c r="P26" s="56" t="s">
        <v>4</v>
      </c>
      <c r="Q26" s="56" t="s">
        <v>4</v>
      </c>
      <c r="R26" s="44"/>
      <c r="S26" s="44"/>
      <c r="T26" s="44"/>
      <c r="U26" s="44"/>
    </row>
    <row r="27" spans="1:21" s="11" customFormat="1" x14ac:dyDescent="0.25">
      <c r="A27" s="51" t="s">
        <v>244</v>
      </c>
      <c r="B27" s="56" t="s">
        <v>4</v>
      </c>
      <c r="C27" s="56" t="s">
        <v>4</v>
      </c>
      <c r="D27" s="56" t="s">
        <v>4</v>
      </c>
      <c r="E27" s="56" t="s">
        <v>4</v>
      </c>
      <c r="F27" s="56" t="s">
        <v>4</v>
      </c>
      <c r="G27" s="56" t="s">
        <v>4</v>
      </c>
      <c r="H27" s="56" t="s">
        <v>4</v>
      </c>
      <c r="I27" s="56" t="s">
        <v>4</v>
      </c>
      <c r="J27" s="56" t="s">
        <v>4</v>
      </c>
      <c r="K27" s="56" t="s">
        <v>4</v>
      </c>
      <c r="L27" s="56" t="s">
        <v>4</v>
      </c>
      <c r="M27" s="56" t="s">
        <v>4</v>
      </c>
      <c r="N27" s="56" t="s">
        <v>4</v>
      </c>
      <c r="O27" s="56" t="s">
        <v>4</v>
      </c>
      <c r="P27" s="56" t="s">
        <v>4</v>
      </c>
      <c r="Q27" s="56" t="s">
        <v>4</v>
      </c>
      <c r="R27" s="44"/>
      <c r="S27" s="44"/>
      <c r="T27" s="44"/>
      <c r="U27" s="44"/>
    </row>
    <row r="28" spans="1:21" s="11" customFormat="1" x14ac:dyDescent="0.25">
      <c r="A28" s="51" t="s">
        <v>245</v>
      </c>
      <c r="B28" s="56" t="s">
        <v>4</v>
      </c>
      <c r="C28" s="56" t="s">
        <v>4</v>
      </c>
      <c r="D28" s="56" t="s">
        <v>4</v>
      </c>
      <c r="E28" s="56" t="s">
        <v>4</v>
      </c>
      <c r="F28" s="56" t="s">
        <v>4</v>
      </c>
      <c r="G28" s="56" t="s">
        <v>4</v>
      </c>
      <c r="H28" s="56" t="s">
        <v>4</v>
      </c>
      <c r="I28" s="56" t="s">
        <v>4</v>
      </c>
      <c r="J28" s="56" t="s">
        <v>4</v>
      </c>
      <c r="K28" s="56" t="s">
        <v>4</v>
      </c>
      <c r="L28" s="56" t="s">
        <v>4</v>
      </c>
      <c r="M28" s="56" t="s">
        <v>4</v>
      </c>
      <c r="N28" s="56" t="s">
        <v>4</v>
      </c>
      <c r="O28" s="56" t="s">
        <v>4</v>
      </c>
      <c r="P28" s="56" t="s">
        <v>4</v>
      </c>
      <c r="Q28" s="56" t="s">
        <v>4</v>
      </c>
      <c r="R28" s="44"/>
      <c r="S28" s="44"/>
      <c r="T28" s="44"/>
      <c r="U28" s="44"/>
    </row>
    <row r="29" spans="1:21" s="11" customFormat="1" x14ac:dyDescent="0.25">
      <c r="A29" s="51" t="s">
        <v>246</v>
      </c>
      <c r="B29" s="56" t="s">
        <v>4</v>
      </c>
      <c r="C29" s="56" t="s">
        <v>4</v>
      </c>
      <c r="D29" s="56" t="s">
        <v>4</v>
      </c>
      <c r="E29" s="56" t="s">
        <v>4</v>
      </c>
      <c r="F29" s="56" t="s">
        <v>4</v>
      </c>
      <c r="G29" s="56" t="s">
        <v>4</v>
      </c>
      <c r="H29" s="56" t="s">
        <v>4</v>
      </c>
      <c r="I29" s="56" t="s">
        <v>4</v>
      </c>
      <c r="J29" s="56" t="s">
        <v>4</v>
      </c>
      <c r="K29" s="56" t="s">
        <v>4</v>
      </c>
      <c r="L29" s="56" t="s">
        <v>4</v>
      </c>
      <c r="M29" s="56" t="s">
        <v>4</v>
      </c>
      <c r="N29" s="56" t="s">
        <v>4</v>
      </c>
      <c r="O29" s="56" t="s">
        <v>4</v>
      </c>
      <c r="P29" s="56" t="s">
        <v>4</v>
      </c>
      <c r="Q29" s="56" t="s">
        <v>4</v>
      </c>
      <c r="R29" s="44"/>
      <c r="S29" s="44"/>
      <c r="T29" s="44"/>
      <c r="U29" s="44"/>
    </row>
    <row r="30" spans="1:21" s="11" customFormat="1" x14ac:dyDescent="0.25">
      <c r="A30" s="51" t="s">
        <v>247</v>
      </c>
      <c r="B30" s="56" t="s">
        <v>4</v>
      </c>
      <c r="C30" s="56" t="s">
        <v>4</v>
      </c>
      <c r="D30" s="56" t="s">
        <v>4</v>
      </c>
      <c r="E30" s="56" t="s">
        <v>4</v>
      </c>
      <c r="F30" s="56" t="s">
        <v>4</v>
      </c>
      <c r="G30" s="56" t="s">
        <v>4</v>
      </c>
      <c r="H30" s="56" t="s">
        <v>4</v>
      </c>
      <c r="I30" s="56" t="s">
        <v>4</v>
      </c>
      <c r="J30" s="56" t="s">
        <v>4</v>
      </c>
      <c r="K30" s="56" t="s">
        <v>4</v>
      </c>
      <c r="L30" s="56" t="s">
        <v>4</v>
      </c>
      <c r="M30" s="56" t="s">
        <v>4</v>
      </c>
      <c r="N30" s="56" t="s">
        <v>4</v>
      </c>
      <c r="O30" s="56" t="s">
        <v>4</v>
      </c>
      <c r="P30" s="56" t="s">
        <v>4</v>
      </c>
      <c r="Q30" s="56" t="s">
        <v>4</v>
      </c>
      <c r="R30" s="44"/>
      <c r="S30" s="44"/>
      <c r="T30" s="44"/>
      <c r="U30" s="44"/>
    </row>
    <row r="31" spans="1:21" s="11" customFormat="1" x14ac:dyDescent="0.25">
      <c r="A31" s="51" t="s">
        <v>248</v>
      </c>
      <c r="B31" s="56" t="s">
        <v>4</v>
      </c>
      <c r="C31" s="56" t="s">
        <v>4</v>
      </c>
      <c r="D31" s="56" t="s">
        <v>4</v>
      </c>
      <c r="E31" s="56" t="s">
        <v>4</v>
      </c>
      <c r="F31" s="56" t="s">
        <v>4</v>
      </c>
      <c r="G31" s="56" t="s">
        <v>4</v>
      </c>
      <c r="H31" s="56" t="s">
        <v>4</v>
      </c>
      <c r="I31" s="56" t="s">
        <v>4</v>
      </c>
      <c r="J31" s="56" t="s">
        <v>4</v>
      </c>
      <c r="K31" s="56" t="s">
        <v>4</v>
      </c>
      <c r="L31" s="56" t="s">
        <v>4</v>
      </c>
      <c r="M31" s="56" t="s">
        <v>4</v>
      </c>
      <c r="N31" s="56" t="s">
        <v>4</v>
      </c>
      <c r="O31" s="56" t="s">
        <v>4</v>
      </c>
      <c r="P31" s="56" t="s">
        <v>4</v>
      </c>
      <c r="Q31" s="56" t="s">
        <v>4</v>
      </c>
      <c r="R31" s="44"/>
      <c r="S31" s="44"/>
      <c r="T31" s="44"/>
      <c r="U31" s="44"/>
    </row>
    <row r="32" spans="1:21" s="11" customFormat="1" x14ac:dyDescent="0.25">
      <c r="A32" s="51" t="s">
        <v>249</v>
      </c>
      <c r="B32" s="56" t="s">
        <v>4</v>
      </c>
      <c r="C32" s="56" t="s">
        <v>4</v>
      </c>
      <c r="D32" s="56" t="s">
        <v>4</v>
      </c>
      <c r="E32" s="56" t="s">
        <v>4</v>
      </c>
      <c r="F32" s="56" t="s">
        <v>4</v>
      </c>
      <c r="G32" s="56" t="s">
        <v>4</v>
      </c>
      <c r="H32" s="56" t="s">
        <v>4</v>
      </c>
      <c r="I32" s="56" t="s">
        <v>4</v>
      </c>
      <c r="J32" s="56" t="s">
        <v>4</v>
      </c>
      <c r="K32" s="56" t="s">
        <v>4</v>
      </c>
      <c r="L32" s="56" t="s">
        <v>4</v>
      </c>
      <c r="M32" s="56" t="s">
        <v>4</v>
      </c>
      <c r="N32" s="56" t="s">
        <v>4</v>
      </c>
      <c r="O32" s="56" t="s">
        <v>4</v>
      </c>
      <c r="P32" s="56" t="s">
        <v>4</v>
      </c>
      <c r="Q32" s="56" t="s">
        <v>4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COUNT(B9:B32)+24</f>
        <v>24</v>
      </c>
      <c r="C38" s="32">
        <f t="shared" ref="C38:Q38" si="4">COUNT(C9:C32)+24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2" ySplit="8" topLeftCell="C13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09-11-2022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250</v>
      </c>
      <c r="B9" s="56" t="s">
        <v>4</v>
      </c>
      <c r="C9" s="56" t="s">
        <v>4</v>
      </c>
      <c r="D9" s="56" t="s">
        <v>4</v>
      </c>
      <c r="E9" s="56" t="s">
        <v>4</v>
      </c>
      <c r="F9" s="56" t="s">
        <v>4</v>
      </c>
      <c r="G9" s="56" t="s">
        <v>4</v>
      </c>
      <c r="H9" s="56" t="s">
        <v>4</v>
      </c>
      <c r="I9" s="56" t="s">
        <v>4</v>
      </c>
      <c r="J9" s="56" t="s">
        <v>4</v>
      </c>
      <c r="K9" s="56" t="s">
        <v>4</v>
      </c>
      <c r="L9" s="56" t="s">
        <v>4</v>
      </c>
      <c r="M9" s="56" t="s">
        <v>4</v>
      </c>
      <c r="N9" s="56" t="s">
        <v>4</v>
      </c>
      <c r="O9" s="56" t="s">
        <v>4</v>
      </c>
      <c r="P9" s="56" t="s">
        <v>4</v>
      </c>
      <c r="Q9" s="56" t="s">
        <v>4</v>
      </c>
      <c r="R9" s="44"/>
      <c r="S9" s="44"/>
      <c r="T9" s="44"/>
      <c r="U9" s="44"/>
    </row>
    <row r="10" spans="1:21" s="11" customFormat="1" x14ac:dyDescent="0.25">
      <c r="A10" s="51" t="s">
        <v>251</v>
      </c>
      <c r="B10" s="56" t="s">
        <v>4</v>
      </c>
      <c r="C10" s="56" t="s">
        <v>4</v>
      </c>
      <c r="D10" s="56" t="s">
        <v>4</v>
      </c>
      <c r="E10" s="56" t="s">
        <v>4</v>
      </c>
      <c r="F10" s="56" t="s">
        <v>4</v>
      </c>
      <c r="G10" s="56" t="s">
        <v>4</v>
      </c>
      <c r="H10" s="56" t="s">
        <v>4</v>
      </c>
      <c r="I10" s="56" t="s">
        <v>4</v>
      </c>
      <c r="J10" s="56" t="s">
        <v>4</v>
      </c>
      <c r="K10" s="56" t="s">
        <v>4</v>
      </c>
      <c r="L10" s="56" t="s">
        <v>4</v>
      </c>
      <c r="M10" s="56" t="s">
        <v>4</v>
      </c>
      <c r="N10" s="56" t="s">
        <v>4</v>
      </c>
      <c r="O10" s="56" t="s">
        <v>4</v>
      </c>
      <c r="P10" s="56" t="s">
        <v>4</v>
      </c>
      <c r="Q10" s="56" t="s">
        <v>4</v>
      </c>
      <c r="R10" s="44"/>
      <c r="S10" s="44"/>
      <c r="T10" s="44"/>
      <c r="U10" s="44"/>
    </row>
    <row r="11" spans="1:21" s="11" customFormat="1" x14ac:dyDescent="0.25">
      <c r="A11" s="51" t="s">
        <v>252</v>
      </c>
      <c r="B11" s="56" t="s">
        <v>4</v>
      </c>
      <c r="C11" s="56" t="s">
        <v>4</v>
      </c>
      <c r="D11" s="56" t="s">
        <v>4</v>
      </c>
      <c r="E11" s="56" t="s">
        <v>4</v>
      </c>
      <c r="F11" s="56" t="s">
        <v>4</v>
      </c>
      <c r="G11" s="56" t="s">
        <v>4</v>
      </c>
      <c r="H11" s="56" t="s">
        <v>4</v>
      </c>
      <c r="I11" s="56" t="s">
        <v>4</v>
      </c>
      <c r="J11" s="56" t="s">
        <v>4</v>
      </c>
      <c r="K11" s="56" t="s">
        <v>4</v>
      </c>
      <c r="L11" s="56" t="s">
        <v>4</v>
      </c>
      <c r="M11" s="56" t="s">
        <v>4</v>
      </c>
      <c r="N11" s="56" t="s">
        <v>4</v>
      </c>
      <c r="O11" s="56" t="s">
        <v>4</v>
      </c>
      <c r="P11" s="56" t="s">
        <v>4</v>
      </c>
      <c r="Q11" s="56" t="s">
        <v>4</v>
      </c>
      <c r="R11" s="44"/>
      <c r="S11" s="44"/>
      <c r="T11" s="44"/>
      <c r="U11" s="44"/>
    </row>
    <row r="12" spans="1:21" s="11" customFormat="1" x14ac:dyDescent="0.25">
      <c r="A12" s="51" t="s">
        <v>253</v>
      </c>
      <c r="B12" s="56" t="s">
        <v>4</v>
      </c>
      <c r="C12" s="56" t="s">
        <v>4</v>
      </c>
      <c r="D12" s="56" t="s">
        <v>4</v>
      </c>
      <c r="E12" s="56" t="s">
        <v>4</v>
      </c>
      <c r="F12" s="56" t="s">
        <v>4</v>
      </c>
      <c r="G12" s="56" t="s">
        <v>4</v>
      </c>
      <c r="H12" s="56" t="s">
        <v>4</v>
      </c>
      <c r="I12" s="56" t="s">
        <v>4</v>
      </c>
      <c r="J12" s="56" t="s">
        <v>4</v>
      </c>
      <c r="K12" s="56" t="s">
        <v>4</v>
      </c>
      <c r="L12" s="56" t="s">
        <v>4</v>
      </c>
      <c r="M12" s="56" t="s">
        <v>4</v>
      </c>
      <c r="N12" s="56" t="s">
        <v>4</v>
      </c>
      <c r="O12" s="56" t="s">
        <v>4</v>
      </c>
      <c r="P12" s="56" t="s">
        <v>4</v>
      </c>
      <c r="Q12" s="56" t="s">
        <v>4</v>
      </c>
      <c r="R12" s="44"/>
      <c r="S12" s="44"/>
      <c r="T12" s="44"/>
      <c r="U12" s="44"/>
    </row>
    <row r="13" spans="1:21" s="11" customFormat="1" x14ac:dyDescent="0.25">
      <c r="A13" s="51" t="s">
        <v>254</v>
      </c>
      <c r="B13" s="56" t="s">
        <v>4</v>
      </c>
      <c r="C13" s="56" t="s">
        <v>4</v>
      </c>
      <c r="D13" s="56" t="s">
        <v>4</v>
      </c>
      <c r="E13" s="56" t="s">
        <v>4</v>
      </c>
      <c r="F13" s="56" t="s">
        <v>4</v>
      </c>
      <c r="G13" s="56" t="s">
        <v>4</v>
      </c>
      <c r="H13" s="56" t="s">
        <v>4</v>
      </c>
      <c r="I13" s="56" t="s">
        <v>4</v>
      </c>
      <c r="J13" s="56" t="s">
        <v>4</v>
      </c>
      <c r="K13" s="56" t="s">
        <v>4</v>
      </c>
      <c r="L13" s="56" t="s">
        <v>4</v>
      </c>
      <c r="M13" s="56" t="s">
        <v>4</v>
      </c>
      <c r="N13" s="56" t="s">
        <v>4</v>
      </c>
      <c r="O13" s="56" t="s">
        <v>4</v>
      </c>
      <c r="P13" s="56" t="s">
        <v>4</v>
      </c>
      <c r="Q13" s="56" t="s">
        <v>4</v>
      </c>
      <c r="R13" s="44"/>
      <c r="S13" s="44"/>
      <c r="T13" s="44"/>
      <c r="U13" s="44"/>
    </row>
    <row r="14" spans="1:21" s="11" customFormat="1" x14ac:dyDescent="0.25">
      <c r="A14" s="51" t="s">
        <v>255</v>
      </c>
      <c r="B14" s="56" t="s">
        <v>4</v>
      </c>
      <c r="C14" s="56" t="s">
        <v>4</v>
      </c>
      <c r="D14" s="56" t="s">
        <v>4</v>
      </c>
      <c r="E14" s="56" t="s">
        <v>4</v>
      </c>
      <c r="F14" s="56" t="s">
        <v>4</v>
      </c>
      <c r="G14" s="56" t="s">
        <v>4</v>
      </c>
      <c r="H14" s="56" t="s">
        <v>4</v>
      </c>
      <c r="I14" s="56" t="s">
        <v>4</v>
      </c>
      <c r="J14" s="56" t="s">
        <v>4</v>
      </c>
      <c r="K14" s="56" t="s">
        <v>4</v>
      </c>
      <c r="L14" s="56" t="s">
        <v>4</v>
      </c>
      <c r="M14" s="56" t="s">
        <v>4</v>
      </c>
      <c r="N14" s="56" t="s">
        <v>4</v>
      </c>
      <c r="O14" s="56" t="s">
        <v>4</v>
      </c>
      <c r="P14" s="56" t="s">
        <v>4</v>
      </c>
      <c r="Q14" s="56" t="s">
        <v>4</v>
      </c>
      <c r="R14" s="44"/>
      <c r="S14" s="44"/>
      <c r="T14" s="44"/>
      <c r="U14" s="44"/>
    </row>
    <row r="15" spans="1:21" s="11" customFormat="1" x14ac:dyDescent="0.25">
      <c r="A15" s="51" t="s">
        <v>256</v>
      </c>
      <c r="B15" s="56" t="s">
        <v>4</v>
      </c>
      <c r="C15" s="56" t="s">
        <v>4</v>
      </c>
      <c r="D15" s="56" t="s">
        <v>4</v>
      </c>
      <c r="E15" s="56" t="s">
        <v>4</v>
      </c>
      <c r="F15" s="56" t="s">
        <v>4</v>
      </c>
      <c r="G15" s="56" t="s">
        <v>4</v>
      </c>
      <c r="H15" s="56" t="s">
        <v>4</v>
      </c>
      <c r="I15" s="56" t="s">
        <v>4</v>
      </c>
      <c r="J15" s="56" t="s">
        <v>4</v>
      </c>
      <c r="K15" s="56" t="s">
        <v>4</v>
      </c>
      <c r="L15" s="56" t="s">
        <v>4</v>
      </c>
      <c r="M15" s="56" t="s">
        <v>4</v>
      </c>
      <c r="N15" s="56" t="s">
        <v>4</v>
      </c>
      <c r="O15" s="56" t="s">
        <v>4</v>
      </c>
      <c r="P15" s="56" t="s">
        <v>4</v>
      </c>
      <c r="Q15" s="56" t="s">
        <v>4</v>
      </c>
      <c r="R15" s="44"/>
      <c r="S15" s="44"/>
      <c r="T15" s="44"/>
      <c r="U15" s="44"/>
    </row>
    <row r="16" spans="1:21" s="11" customFormat="1" x14ac:dyDescent="0.25">
      <c r="A16" s="51" t="s">
        <v>257</v>
      </c>
      <c r="B16" s="56" t="s">
        <v>4</v>
      </c>
      <c r="C16" s="56" t="s">
        <v>4</v>
      </c>
      <c r="D16" s="56" t="s">
        <v>4</v>
      </c>
      <c r="E16" s="56" t="s">
        <v>4</v>
      </c>
      <c r="F16" s="56" t="s">
        <v>4</v>
      </c>
      <c r="G16" s="56" t="s">
        <v>4</v>
      </c>
      <c r="H16" s="56" t="s">
        <v>4</v>
      </c>
      <c r="I16" s="56" t="s">
        <v>4</v>
      </c>
      <c r="J16" s="56" t="s">
        <v>4</v>
      </c>
      <c r="K16" s="56" t="s">
        <v>4</v>
      </c>
      <c r="L16" s="56" t="s">
        <v>4</v>
      </c>
      <c r="M16" s="56" t="s">
        <v>4</v>
      </c>
      <c r="N16" s="56" t="s">
        <v>4</v>
      </c>
      <c r="O16" s="56" t="s">
        <v>4</v>
      </c>
      <c r="P16" s="56" t="s">
        <v>4</v>
      </c>
      <c r="Q16" s="56" t="s">
        <v>4</v>
      </c>
      <c r="R16" s="44"/>
      <c r="S16" s="44"/>
      <c r="T16" s="44"/>
      <c r="U16" s="44"/>
    </row>
    <row r="17" spans="1:21" s="11" customFormat="1" x14ac:dyDescent="0.25">
      <c r="A17" s="51" t="s">
        <v>258</v>
      </c>
      <c r="B17" s="56" t="s">
        <v>4</v>
      </c>
      <c r="C17" s="56" t="s">
        <v>4</v>
      </c>
      <c r="D17" s="56" t="s">
        <v>4</v>
      </c>
      <c r="E17" s="56" t="s">
        <v>4</v>
      </c>
      <c r="F17" s="56" t="s">
        <v>4</v>
      </c>
      <c r="G17" s="56" t="s">
        <v>4</v>
      </c>
      <c r="H17" s="56" t="s">
        <v>4</v>
      </c>
      <c r="I17" s="56" t="s">
        <v>4</v>
      </c>
      <c r="J17" s="56" t="s">
        <v>4</v>
      </c>
      <c r="K17" s="56" t="s">
        <v>4</v>
      </c>
      <c r="L17" s="56" t="s">
        <v>4</v>
      </c>
      <c r="M17" s="56" t="s">
        <v>4</v>
      </c>
      <c r="N17" s="56" t="s">
        <v>4</v>
      </c>
      <c r="O17" s="56" t="s">
        <v>4</v>
      </c>
      <c r="P17" s="56" t="s">
        <v>4</v>
      </c>
      <c r="Q17" s="56" t="s">
        <v>4</v>
      </c>
      <c r="R17" s="44"/>
      <c r="S17" s="44"/>
      <c r="T17" s="44"/>
      <c r="U17" s="44"/>
    </row>
    <row r="18" spans="1:21" s="11" customFormat="1" x14ac:dyDescent="0.25">
      <c r="A18" s="51" t="s">
        <v>259</v>
      </c>
      <c r="B18" s="56" t="s">
        <v>4</v>
      </c>
      <c r="C18" s="56" t="s">
        <v>4</v>
      </c>
      <c r="D18" s="56" t="s">
        <v>4</v>
      </c>
      <c r="E18" s="56" t="s">
        <v>4</v>
      </c>
      <c r="F18" s="56" t="s">
        <v>4</v>
      </c>
      <c r="G18" s="56" t="s">
        <v>4</v>
      </c>
      <c r="H18" s="56" t="s">
        <v>4</v>
      </c>
      <c r="I18" s="56" t="s">
        <v>4</v>
      </c>
      <c r="J18" s="56" t="s">
        <v>4</v>
      </c>
      <c r="K18" s="56" t="s">
        <v>4</v>
      </c>
      <c r="L18" s="56" t="s">
        <v>4</v>
      </c>
      <c r="M18" s="56" t="s">
        <v>4</v>
      </c>
      <c r="N18" s="56" t="s">
        <v>4</v>
      </c>
      <c r="O18" s="56" t="s">
        <v>4</v>
      </c>
      <c r="P18" s="56" t="s">
        <v>4</v>
      </c>
      <c r="Q18" s="56" t="s">
        <v>4</v>
      </c>
      <c r="R18" s="44"/>
      <c r="S18" s="44"/>
      <c r="T18" s="44"/>
      <c r="U18" s="44"/>
    </row>
    <row r="19" spans="1:21" s="11" customFormat="1" x14ac:dyDescent="0.25">
      <c r="A19" s="51" t="s">
        <v>260</v>
      </c>
      <c r="B19" s="56" t="s">
        <v>4</v>
      </c>
      <c r="C19" s="56" t="s">
        <v>4</v>
      </c>
      <c r="D19" s="56" t="s">
        <v>4</v>
      </c>
      <c r="E19" s="56" t="s">
        <v>4</v>
      </c>
      <c r="F19" s="56" t="s">
        <v>4</v>
      </c>
      <c r="G19" s="56" t="s">
        <v>4</v>
      </c>
      <c r="H19" s="56" t="s">
        <v>4</v>
      </c>
      <c r="I19" s="56" t="s">
        <v>4</v>
      </c>
      <c r="J19" s="56" t="s">
        <v>4</v>
      </c>
      <c r="K19" s="56" t="s">
        <v>4</v>
      </c>
      <c r="L19" s="56" t="s">
        <v>4</v>
      </c>
      <c r="M19" s="56" t="s">
        <v>4</v>
      </c>
      <c r="N19" s="56" t="s">
        <v>4</v>
      </c>
      <c r="O19" s="56" t="s">
        <v>4</v>
      </c>
      <c r="P19" s="56" t="s">
        <v>4</v>
      </c>
      <c r="Q19" s="56" t="s">
        <v>4</v>
      </c>
      <c r="R19" s="44"/>
      <c r="S19" s="44"/>
      <c r="T19" s="44"/>
      <c r="U19" s="44"/>
    </row>
    <row r="20" spans="1:21" s="11" customFormat="1" x14ac:dyDescent="0.25">
      <c r="A20" s="51" t="s">
        <v>261</v>
      </c>
      <c r="B20" s="56" t="s">
        <v>4</v>
      </c>
      <c r="C20" s="56" t="s">
        <v>4</v>
      </c>
      <c r="D20" s="56" t="s">
        <v>4</v>
      </c>
      <c r="E20" s="56" t="s">
        <v>4</v>
      </c>
      <c r="F20" s="56" t="s">
        <v>4</v>
      </c>
      <c r="G20" s="56" t="s">
        <v>4</v>
      </c>
      <c r="H20" s="56" t="s">
        <v>4</v>
      </c>
      <c r="I20" s="56" t="s">
        <v>4</v>
      </c>
      <c r="J20" s="56" t="s">
        <v>4</v>
      </c>
      <c r="K20" s="56" t="s">
        <v>4</v>
      </c>
      <c r="L20" s="56" t="s">
        <v>4</v>
      </c>
      <c r="M20" s="56" t="s">
        <v>4</v>
      </c>
      <c r="N20" s="56" t="s">
        <v>4</v>
      </c>
      <c r="O20" s="56" t="s">
        <v>4</v>
      </c>
      <c r="P20" s="56" t="s">
        <v>4</v>
      </c>
      <c r="Q20" s="56" t="s">
        <v>4</v>
      </c>
      <c r="R20" s="44"/>
      <c r="S20" s="44"/>
      <c r="T20" s="44"/>
      <c r="U20" s="44"/>
    </row>
    <row r="21" spans="1:21" s="11" customFormat="1" x14ac:dyDescent="0.25">
      <c r="A21" s="51" t="s">
        <v>262</v>
      </c>
      <c r="B21" s="56" t="s">
        <v>4</v>
      </c>
      <c r="C21" s="56" t="s">
        <v>4</v>
      </c>
      <c r="D21" s="56" t="s">
        <v>4</v>
      </c>
      <c r="E21" s="56" t="s">
        <v>4</v>
      </c>
      <c r="F21" s="56" t="s">
        <v>4</v>
      </c>
      <c r="G21" s="56" t="s">
        <v>4</v>
      </c>
      <c r="H21" s="56" t="s">
        <v>4</v>
      </c>
      <c r="I21" s="56" t="s">
        <v>4</v>
      </c>
      <c r="J21" s="56" t="s">
        <v>4</v>
      </c>
      <c r="K21" s="56" t="s">
        <v>4</v>
      </c>
      <c r="L21" s="56" t="s">
        <v>4</v>
      </c>
      <c r="M21" s="56" t="s">
        <v>4</v>
      </c>
      <c r="N21" s="56" t="s">
        <v>4</v>
      </c>
      <c r="O21" s="56" t="s">
        <v>4</v>
      </c>
      <c r="P21" s="56" t="s">
        <v>4</v>
      </c>
      <c r="Q21" s="56" t="s">
        <v>4</v>
      </c>
      <c r="R21" s="44"/>
      <c r="S21" s="44"/>
      <c r="T21" s="44"/>
      <c r="U21" s="44"/>
    </row>
    <row r="22" spans="1:21" s="11" customFormat="1" x14ac:dyDescent="0.25">
      <c r="A22" s="51" t="s">
        <v>263</v>
      </c>
      <c r="B22" s="56" t="s">
        <v>4</v>
      </c>
      <c r="C22" s="56" t="s">
        <v>4</v>
      </c>
      <c r="D22" s="56" t="s">
        <v>4</v>
      </c>
      <c r="E22" s="56" t="s">
        <v>4</v>
      </c>
      <c r="F22" s="56" t="s">
        <v>4</v>
      </c>
      <c r="G22" s="56" t="s">
        <v>4</v>
      </c>
      <c r="H22" s="56" t="s">
        <v>4</v>
      </c>
      <c r="I22" s="56" t="s">
        <v>4</v>
      </c>
      <c r="J22" s="56" t="s">
        <v>4</v>
      </c>
      <c r="K22" s="56" t="s">
        <v>4</v>
      </c>
      <c r="L22" s="56" t="s">
        <v>4</v>
      </c>
      <c r="M22" s="56" t="s">
        <v>4</v>
      </c>
      <c r="N22" s="56" t="s">
        <v>4</v>
      </c>
      <c r="O22" s="56" t="s">
        <v>4</v>
      </c>
      <c r="P22" s="56" t="s">
        <v>4</v>
      </c>
      <c r="Q22" s="56" t="s">
        <v>4</v>
      </c>
      <c r="R22" s="44"/>
      <c r="S22" s="44"/>
      <c r="T22" s="44"/>
      <c r="U22" s="44"/>
    </row>
    <row r="23" spans="1:21" s="11" customFormat="1" x14ac:dyDescent="0.25">
      <c r="A23" s="51" t="s">
        <v>264</v>
      </c>
      <c r="B23" s="56" t="s">
        <v>4</v>
      </c>
      <c r="C23" s="56" t="s">
        <v>4</v>
      </c>
      <c r="D23" s="56" t="s">
        <v>4</v>
      </c>
      <c r="E23" s="56" t="s">
        <v>4</v>
      </c>
      <c r="F23" s="56" t="s">
        <v>4</v>
      </c>
      <c r="G23" s="56" t="s">
        <v>4</v>
      </c>
      <c r="H23" s="56" t="s">
        <v>4</v>
      </c>
      <c r="I23" s="56" t="s">
        <v>4</v>
      </c>
      <c r="J23" s="56" t="s">
        <v>4</v>
      </c>
      <c r="K23" s="56" t="s">
        <v>4</v>
      </c>
      <c r="L23" s="56" t="s">
        <v>4</v>
      </c>
      <c r="M23" s="56" t="s">
        <v>4</v>
      </c>
      <c r="N23" s="56" t="s">
        <v>4</v>
      </c>
      <c r="O23" s="56" t="s">
        <v>4</v>
      </c>
      <c r="P23" s="56" t="s">
        <v>4</v>
      </c>
      <c r="Q23" s="56" t="s">
        <v>4</v>
      </c>
      <c r="R23" s="44"/>
      <c r="S23" s="44"/>
      <c r="T23" s="44"/>
      <c r="U23" s="44"/>
    </row>
    <row r="24" spans="1:21" s="11" customFormat="1" x14ac:dyDescent="0.25">
      <c r="A24" s="51" t="s">
        <v>265</v>
      </c>
      <c r="B24" s="56" t="s">
        <v>4</v>
      </c>
      <c r="C24" s="56" t="s">
        <v>4</v>
      </c>
      <c r="D24" s="56" t="s">
        <v>4</v>
      </c>
      <c r="E24" s="56" t="s">
        <v>4</v>
      </c>
      <c r="F24" s="56" t="s">
        <v>4</v>
      </c>
      <c r="G24" s="56" t="s">
        <v>4</v>
      </c>
      <c r="H24" s="56" t="s">
        <v>4</v>
      </c>
      <c r="I24" s="56" t="s">
        <v>4</v>
      </c>
      <c r="J24" s="56" t="s">
        <v>4</v>
      </c>
      <c r="K24" s="56" t="s">
        <v>4</v>
      </c>
      <c r="L24" s="56" t="s">
        <v>4</v>
      </c>
      <c r="M24" s="56" t="s">
        <v>4</v>
      </c>
      <c r="N24" s="56" t="s">
        <v>4</v>
      </c>
      <c r="O24" s="56" t="s">
        <v>4</v>
      </c>
      <c r="P24" s="56" t="s">
        <v>4</v>
      </c>
      <c r="Q24" s="56" t="s">
        <v>4</v>
      </c>
      <c r="R24" s="44"/>
      <c r="S24" s="44"/>
      <c r="T24" s="44"/>
      <c r="U24" s="44"/>
    </row>
    <row r="25" spans="1:21" s="11" customFormat="1" x14ac:dyDescent="0.25">
      <c r="A25" s="51" t="s">
        <v>266</v>
      </c>
      <c r="B25" s="56" t="s">
        <v>4</v>
      </c>
      <c r="C25" s="56" t="s">
        <v>4</v>
      </c>
      <c r="D25" s="56" t="s">
        <v>4</v>
      </c>
      <c r="E25" s="56" t="s">
        <v>4</v>
      </c>
      <c r="F25" s="56" t="s">
        <v>4</v>
      </c>
      <c r="G25" s="56" t="s">
        <v>4</v>
      </c>
      <c r="H25" s="56" t="s">
        <v>4</v>
      </c>
      <c r="I25" s="56" t="s">
        <v>4</v>
      </c>
      <c r="J25" s="56" t="s">
        <v>4</v>
      </c>
      <c r="K25" s="56" t="s">
        <v>4</v>
      </c>
      <c r="L25" s="56" t="s">
        <v>4</v>
      </c>
      <c r="M25" s="56" t="s">
        <v>4</v>
      </c>
      <c r="N25" s="56" t="s">
        <v>4</v>
      </c>
      <c r="O25" s="56" t="s">
        <v>4</v>
      </c>
      <c r="P25" s="56" t="s">
        <v>4</v>
      </c>
      <c r="Q25" s="56" t="s">
        <v>4</v>
      </c>
      <c r="R25" s="44"/>
      <c r="S25" s="44"/>
      <c r="T25" s="44"/>
      <c r="U25" s="44"/>
    </row>
    <row r="26" spans="1:21" s="11" customFormat="1" x14ac:dyDescent="0.25">
      <c r="A26" s="51" t="s">
        <v>267</v>
      </c>
      <c r="B26" s="56" t="s">
        <v>4</v>
      </c>
      <c r="C26" s="56" t="s">
        <v>4</v>
      </c>
      <c r="D26" s="56" t="s">
        <v>4</v>
      </c>
      <c r="E26" s="56" t="s">
        <v>4</v>
      </c>
      <c r="F26" s="56" t="s">
        <v>4</v>
      </c>
      <c r="G26" s="56" t="s">
        <v>4</v>
      </c>
      <c r="H26" s="56" t="s">
        <v>4</v>
      </c>
      <c r="I26" s="56" t="s">
        <v>4</v>
      </c>
      <c r="J26" s="56" t="s">
        <v>4</v>
      </c>
      <c r="K26" s="56" t="s">
        <v>4</v>
      </c>
      <c r="L26" s="56" t="s">
        <v>4</v>
      </c>
      <c r="M26" s="56" t="s">
        <v>4</v>
      </c>
      <c r="N26" s="56" t="s">
        <v>4</v>
      </c>
      <c r="O26" s="56" t="s">
        <v>4</v>
      </c>
      <c r="P26" s="56" t="s">
        <v>4</v>
      </c>
      <c r="Q26" s="56" t="s">
        <v>4</v>
      </c>
      <c r="R26" s="44"/>
      <c r="S26" s="44"/>
      <c r="T26" s="44"/>
      <c r="U26" s="44"/>
    </row>
    <row r="27" spans="1:21" s="11" customFormat="1" x14ac:dyDescent="0.25">
      <c r="A27" s="51" t="s">
        <v>268</v>
      </c>
      <c r="B27" s="56" t="s">
        <v>4</v>
      </c>
      <c r="C27" s="56" t="s">
        <v>4</v>
      </c>
      <c r="D27" s="56" t="s">
        <v>4</v>
      </c>
      <c r="E27" s="56" t="s">
        <v>4</v>
      </c>
      <c r="F27" s="56" t="s">
        <v>4</v>
      </c>
      <c r="G27" s="56" t="s">
        <v>4</v>
      </c>
      <c r="H27" s="56" t="s">
        <v>4</v>
      </c>
      <c r="I27" s="56" t="s">
        <v>4</v>
      </c>
      <c r="J27" s="56" t="s">
        <v>4</v>
      </c>
      <c r="K27" s="56" t="s">
        <v>4</v>
      </c>
      <c r="L27" s="56" t="s">
        <v>4</v>
      </c>
      <c r="M27" s="56" t="s">
        <v>4</v>
      </c>
      <c r="N27" s="56" t="s">
        <v>4</v>
      </c>
      <c r="O27" s="56" t="s">
        <v>4</v>
      </c>
      <c r="P27" s="56" t="s">
        <v>4</v>
      </c>
      <c r="Q27" s="56" t="s">
        <v>4</v>
      </c>
      <c r="R27" s="44"/>
      <c r="S27" s="44"/>
      <c r="T27" s="44"/>
      <c r="U27" s="44"/>
    </row>
    <row r="28" spans="1:21" s="11" customFormat="1" x14ac:dyDescent="0.25">
      <c r="A28" s="51" t="s">
        <v>269</v>
      </c>
      <c r="B28" s="56" t="s">
        <v>4</v>
      </c>
      <c r="C28" s="56" t="s">
        <v>4</v>
      </c>
      <c r="D28" s="56" t="s">
        <v>4</v>
      </c>
      <c r="E28" s="56" t="s">
        <v>4</v>
      </c>
      <c r="F28" s="56" t="s">
        <v>4</v>
      </c>
      <c r="G28" s="56" t="s">
        <v>4</v>
      </c>
      <c r="H28" s="56" t="s">
        <v>4</v>
      </c>
      <c r="I28" s="56" t="s">
        <v>4</v>
      </c>
      <c r="J28" s="56" t="s">
        <v>4</v>
      </c>
      <c r="K28" s="56" t="s">
        <v>4</v>
      </c>
      <c r="L28" s="56" t="s">
        <v>4</v>
      </c>
      <c r="M28" s="56" t="s">
        <v>4</v>
      </c>
      <c r="N28" s="56" t="s">
        <v>4</v>
      </c>
      <c r="O28" s="56" t="s">
        <v>4</v>
      </c>
      <c r="P28" s="56" t="s">
        <v>4</v>
      </c>
      <c r="Q28" s="56" t="s">
        <v>4</v>
      </c>
      <c r="R28" s="44"/>
      <c r="S28" s="44"/>
      <c r="T28" s="44"/>
      <c r="U28" s="44"/>
    </row>
    <row r="29" spans="1:21" s="11" customFormat="1" x14ac:dyDescent="0.25">
      <c r="A29" s="51" t="s">
        <v>270</v>
      </c>
      <c r="B29" s="56" t="s">
        <v>4</v>
      </c>
      <c r="C29" s="56" t="s">
        <v>4</v>
      </c>
      <c r="D29" s="56" t="s">
        <v>4</v>
      </c>
      <c r="E29" s="56" t="s">
        <v>4</v>
      </c>
      <c r="F29" s="56" t="s">
        <v>4</v>
      </c>
      <c r="G29" s="56" t="s">
        <v>4</v>
      </c>
      <c r="H29" s="56" t="s">
        <v>4</v>
      </c>
      <c r="I29" s="56" t="s">
        <v>4</v>
      </c>
      <c r="J29" s="56" t="s">
        <v>4</v>
      </c>
      <c r="K29" s="56" t="s">
        <v>4</v>
      </c>
      <c r="L29" s="56" t="s">
        <v>4</v>
      </c>
      <c r="M29" s="56" t="s">
        <v>4</v>
      </c>
      <c r="N29" s="56" t="s">
        <v>4</v>
      </c>
      <c r="O29" s="56" t="s">
        <v>4</v>
      </c>
      <c r="P29" s="56" t="s">
        <v>4</v>
      </c>
      <c r="Q29" s="56" t="s">
        <v>4</v>
      </c>
      <c r="R29" s="44"/>
      <c r="S29" s="44"/>
      <c r="T29" s="44"/>
      <c r="U29" s="44"/>
    </row>
    <row r="30" spans="1:21" s="11" customFormat="1" x14ac:dyDescent="0.25">
      <c r="A30" s="51" t="s">
        <v>271</v>
      </c>
      <c r="B30" s="56" t="s">
        <v>4</v>
      </c>
      <c r="C30" s="56" t="s">
        <v>4</v>
      </c>
      <c r="D30" s="56" t="s">
        <v>4</v>
      </c>
      <c r="E30" s="56" t="s">
        <v>4</v>
      </c>
      <c r="F30" s="56" t="s">
        <v>4</v>
      </c>
      <c r="G30" s="56" t="s">
        <v>4</v>
      </c>
      <c r="H30" s="56" t="s">
        <v>4</v>
      </c>
      <c r="I30" s="56" t="s">
        <v>4</v>
      </c>
      <c r="J30" s="56" t="s">
        <v>4</v>
      </c>
      <c r="K30" s="56" t="s">
        <v>4</v>
      </c>
      <c r="L30" s="56" t="s">
        <v>4</v>
      </c>
      <c r="M30" s="56" t="s">
        <v>4</v>
      </c>
      <c r="N30" s="56" t="s">
        <v>4</v>
      </c>
      <c r="O30" s="56" t="s">
        <v>4</v>
      </c>
      <c r="P30" s="56" t="s">
        <v>4</v>
      </c>
      <c r="Q30" s="56" t="s">
        <v>4</v>
      </c>
      <c r="R30" s="44"/>
      <c r="S30" s="44"/>
      <c r="T30" s="44"/>
      <c r="U30" s="44"/>
    </row>
    <row r="31" spans="1:21" s="11" customFormat="1" x14ac:dyDescent="0.25">
      <c r="A31" s="51" t="s">
        <v>272</v>
      </c>
      <c r="B31" s="56" t="s">
        <v>4</v>
      </c>
      <c r="C31" s="56" t="s">
        <v>4</v>
      </c>
      <c r="D31" s="56" t="s">
        <v>4</v>
      </c>
      <c r="E31" s="56" t="s">
        <v>4</v>
      </c>
      <c r="F31" s="56" t="s">
        <v>4</v>
      </c>
      <c r="G31" s="56" t="s">
        <v>4</v>
      </c>
      <c r="H31" s="56" t="s">
        <v>4</v>
      </c>
      <c r="I31" s="56" t="s">
        <v>4</v>
      </c>
      <c r="J31" s="56" t="s">
        <v>4</v>
      </c>
      <c r="K31" s="56" t="s">
        <v>4</v>
      </c>
      <c r="L31" s="56" t="s">
        <v>4</v>
      </c>
      <c r="M31" s="56" t="s">
        <v>4</v>
      </c>
      <c r="N31" s="56" t="s">
        <v>4</v>
      </c>
      <c r="O31" s="56" t="s">
        <v>4</v>
      </c>
      <c r="P31" s="56" t="s">
        <v>4</v>
      </c>
      <c r="Q31" s="56" t="s">
        <v>4</v>
      </c>
      <c r="R31" s="44"/>
      <c r="S31" s="44"/>
      <c r="T31" s="44"/>
      <c r="U31" s="44"/>
    </row>
    <row r="32" spans="1:21" s="11" customFormat="1" x14ac:dyDescent="0.25">
      <c r="A32" s="51" t="s">
        <v>273</v>
      </c>
      <c r="B32" s="56" t="s">
        <v>4</v>
      </c>
      <c r="C32" s="56" t="s">
        <v>4</v>
      </c>
      <c r="D32" s="56" t="s">
        <v>4</v>
      </c>
      <c r="E32" s="56" t="s">
        <v>4</v>
      </c>
      <c r="F32" s="56" t="s">
        <v>4</v>
      </c>
      <c r="G32" s="56" t="s">
        <v>4</v>
      </c>
      <c r="H32" s="56" t="s">
        <v>4</v>
      </c>
      <c r="I32" s="56" t="s">
        <v>4</v>
      </c>
      <c r="J32" s="56" t="s">
        <v>4</v>
      </c>
      <c r="K32" s="56" t="s">
        <v>4</v>
      </c>
      <c r="L32" s="56" t="s">
        <v>4</v>
      </c>
      <c r="M32" s="56" t="s">
        <v>4</v>
      </c>
      <c r="N32" s="56" t="s">
        <v>4</v>
      </c>
      <c r="O32" s="56" t="s">
        <v>4</v>
      </c>
      <c r="P32" s="56" t="s">
        <v>4</v>
      </c>
      <c r="Q32" s="56" t="s">
        <v>4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COUNT(B9:B32)+24</f>
        <v>24</v>
      </c>
      <c r="C38" s="32">
        <f t="shared" ref="C38:P38" si="4">COUNT(C9:C32)+24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COUNT(Q9:Q32)+24</f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2" ySplit="8" topLeftCell="C1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10-11-2022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274</v>
      </c>
      <c r="B9" s="52">
        <v>22.94</v>
      </c>
      <c r="C9" s="52">
        <v>80.05</v>
      </c>
      <c r="D9" s="52">
        <v>62.58</v>
      </c>
      <c r="E9" s="52">
        <v>5.04</v>
      </c>
      <c r="F9" s="52">
        <v>1.96</v>
      </c>
      <c r="G9" s="52">
        <v>284.88</v>
      </c>
      <c r="H9" s="52">
        <v>95.55</v>
      </c>
      <c r="I9" s="52">
        <v>1.04</v>
      </c>
      <c r="J9" s="52">
        <v>0.47</v>
      </c>
      <c r="K9" s="52">
        <v>358.58</v>
      </c>
      <c r="L9" s="55" t="s">
        <v>8</v>
      </c>
      <c r="M9" s="55" t="s">
        <v>8</v>
      </c>
      <c r="N9" s="52">
        <v>11.2</v>
      </c>
      <c r="O9" s="52">
        <v>0</v>
      </c>
      <c r="P9" s="52">
        <v>1.58</v>
      </c>
      <c r="Q9" s="52">
        <v>220.11</v>
      </c>
      <c r="R9" s="44"/>
      <c r="S9" s="44"/>
      <c r="T9" s="44"/>
      <c r="U9" s="44"/>
    </row>
    <row r="10" spans="1:21" s="11" customFormat="1" x14ac:dyDescent="0.25">
      <c r="A10" s="51" t="s">
        <v>275</v>
      </c>
      <c r="B10" s="52">
        <v>23.57</v>
      </c>
      <c r="C10" s="52">
        <v>84.16</v>
      </c>
      <c r="D10" s="52">
        <v>65.34</v>
      </c>
      <c r="E10" s="52">
        <v>4.95</v>
      </c>
      <c r="F10" s="52">
        <v>1.67</v>
      </c>
      <c r="G10" s="52">
        <v>284.88</v>
      </c>
      <c r="H10" s="52">
        <v>93.65</v>
      </c>
      <c r="I10" s="52">
        <v>1.01</v>
      </c>
      <c r="J10" s="52">
        <v>0.4</v>
      </c>
      <c r="K10" s="52">
        <v>331.07</v>
      </c>
      <c r="L10" s="55" t="s">
        <v>8</v>
      </c>
      <c r="M10" s="55" t="s">
        <v>8</v>
      </c>
      <c r="N10" s="52">
        <v>11.1</v>
      </c>
      <c r="O10" s="52">
        <v>0</v>
      </c>
      <c r="P10" s="52">
        <v>1.55</v>
      </c>
      <c r="Q10" s="52">
        <v>228.79</v>
      </c>
      <c r="R10" s="44"/>
      <c r="S10" s="44"/>
      <c r="T10" s="44"/>
      <c r="U10" s="44"/>
    </row>
    <row r="11" spans="1:21" s="11" customFormat="1" x14ac:dyDescent="0.25">
      <c r="A11" s="51" t="s">
        <v>276</v>
      </c>
      <c r="B11" s="52">
        <v>22.04</v>
      </c>
      <c r="C11" s="52">
        <v>77.069999999999993</v>
      </c>
      <c r="D11" s="52">
        <v>60.06</v>
      </c>
      <c r="E11" s="52">
        <v>5.0999999999999996</v>
      </c>
      <c r="F11" s="52">
        <v>1.62</v>
      </c>
      <c r="G11" s="52">
        <v>241.42</v>
      </c>
      <c r="H11" s="52">
        <v>102.59</v>
      </c>
      <c r="I11" s="52">
        <v>1</v>
      </c>
      <c r="J11" s="52">
        <v>0.36</v>
      </c>
      <c r="K11" s="52">
        <v>335.74</v>
      </c>
      <c r="L11" s="55" t="s">
        <v>8</v>
      </c>
      <c r="M11" s="55" t="s">
        <v>8</v>
      </c>
      <c r="N11" s="52">
        <v>10.9</v>
      </c>
      <c r="O11" s="52">
        <v>0</v>
      </c>
      <c r="P11" s="52">
        <v>1.45</v>
      </c>
      <c r="Q11" s="52">
        <v>223.63</v>
      </c>
      <c r="R11" s="44"/>
      <c r="S11" s="44"/>
      <c r="T11" s="44"/>
      <c r="U11" s="44"/>
    </row>
    <row r="12" spans="1:21" s="11" customFormat="1" x14ac:dyDescent="0.25">
      <c r="A12" s="51" t="s">
        <v>277</v>
      </c>
      <c r="B12" s="52">
        <v>22.01</v>
      </c>
      <c r="C12" s="52">
        <v>72.099999999999994</v>
      </c>
      <c r="D12" s="52">
        <v>57.34</v>
      </c>
      <c r="E12" s="52">
        <v>4.78</v>
      </c>
      <c r="F12" s="52">
        <v>1.76</v>
      </c>
      <c r="G12" s="52">
        <v>247.75</v>
      </c>
      <c r="H12" s="52">
        <v>102.59</v>
      </c>
      <c r="I12" s="52">
        <v>1.06</v>
      </c>
      <c r="J12" s="52">
        <v>0.36</v>
      </c>
      <c r="K12" s="52">
        <v>340.89</v>
      </c>
      <c r="L12" s="55" t="s">
        <v>8</v>
      </c>
      <c r="M12" s="55" t="s">
        <v>8</v>
      </c>
      <c r="N12" s="52">
        <v>10.6</v>
      </c>
      <c r="O12" s="52">
        <v>0</v>
      </c>
      <c r="P12" s="52">
        <v>1.42</v>
      </c>
      <c r="Q12" s="52">
        <v>187.25</v>
      </c>
      <c r="R12" s="44"/>
      <c r="S12" s="44"/>
      <c r="T12" s="44"/>
      <c r="U12" s="44"/>
    </row>
    <row r="13" spans="1:21" s="11" customFormat="1" x14ac:dyDescent="0.25">
      <c r="A13" s="51" t="s">
        <v>278</v>
      </c>
      <c r="B13" s="52">
        <v>24.13</v>
      </c>
      <c r="C13" s="52">
        <v>74.680000000000007</v>
      </c>
      <c r="D13" s="52">
        <v>60.56</v>
      </c>
      <c r="E13" s="52">
        <v>4.71</v>
      </c>
      <c r="F13" s="52">
        <v>1.46</v>
      </c>
      <c r="G13" s="52">
        <v>275.27999999999997</v>
      </c>
      <c r="H13" s="52">
        <v>108.92</v>
      </c>
      <c r="I13" s="52">
        <v>1.03</v>
      </c>
      <c r="J13" s="52">
        <v>0.4</v>
      </c>
      <c r="K13" s="52">
        <v>346.47</v>
      </c>
      <c r="L13" s="55" t="s">
        <v>8</v>
      </c>
      <c r="M13" s="55" t="s">
        <v>8</v>
      </c>
      <c r="N13" s="52">
        <v>9.6999999999999993</v>
      </c>
      <c r="O13" s="52">
        <v>0</v>
      </c>
      <c r="P13" s="52">
        <v>1.51</v>
      </c>
      <c r="Q13" s="52">
        <v>200.47</v>
      </c>
      <c r="R13" s="44"/>
      <c r="S13" s="44"/>
      <c r="T13" s="44"/>
      <c r="U13" s="44"/>
    </row>
    <row r="14" spans="1:21" s="11" customFormat="1" x14ac:dyDescent="0.25">
      <c r="A14" s="51" t="s">
        <v>279</v>
      </c>
      <c r="B14" s="52">
        <v>27.86</v>
      </c>
      <c r="C14" s="52">
        <v>76.61</v>
      </c>
      <c r="D14" s="52">
        <v>64.28</v>
      </c>
      <c r="E14" s="52">
        <v>5.07</v>
      </c>
      <c r="F14" s="52">
        <v>1.64</v>
      </c>
      <c r="G14" s="52">
        <v>377.65</v>
      </c>
      <c r="H14" s="52">
        <v>117.98</v>
      </c>
      <c r="I14" s="52">
        <v>1.02</v>
      </c>
      <c r="J14" s="52">
        <v>0.57999999999999996</v>
      </c>
      <c r="K14" s="52">
        <v>83.42</v>
      </c>
      <c r="L14" s="55" t="s">
        <v>8</v>
      </c>
      <c r="M14" s="55" t="s">
        <v>8</v>
      </c>
      <c r="N14" s="52">
        <v>9.6</v>
      </c>
      <c r="O14" s="52">
        <v>0</v>
      </c>
      <c r="P14" s="52">
        <v>1.64</v>
      </c>
      <c r="Q14" s="52">
        <v>202.58</v>
      </c>
      <c r="R14" s="44"/>
      <c r="S14" s="44"/>
      <c r="T14" s="44"/>
      <c r="U14" s="44"/>
    </row>
    <row r="15" spans="1:21" s="11" customFormat="1" x14ac:dyDescent="0.25">
      <c r="A15" s="51" t="s">
        <v>280</v>
      </c>
      <c r="B15" s="52">
        <v>29.69</v>
      </c>
      <c r="C15" s="52">
        <v>80.09</v>
      </c>
      <c r="D15" s="52">
        <v>68.010000000000005</v>
      </c>
      <c r="E15" s="52">
        <v>5.1100000000000003</v>
      </c>
      <c r="F15" s="52">
        <v>1.95</v>
      </c>
      <c r="G15" s="52">
        <v>377.65</v>
      </c>
      <c r="H15" s="52">
        <v>121.92</v>
      </c>
      <c r="I15" s="52">
        <v>1.01</v>
      </c>
      <c r="J15" s="52">
        <v>0.59</v>
      </c>
      <c r="K15" s="52">
        <v>74.569999999999993</v>
      </c>
      <c r="L15" s="55" t="s">
        <v>8</v>
      </c>
      <c r="M15" s="55" t="s">
        <v>8</v>
      </c>
      <c r="N15" s="52">
        <v>60.6</v>
      </c>
      <c r="O15" s="52">
        <v>0</v>
      </c>
      <c r="P15" s="52">
        <v>1.64</v>
      </c>
      <c r="Q15" s="52">
        <v>178.08</v>
      </c>
      <c r="R15" s="44"/>
      <c r="S15" s="44"/>
      <c r="T15" s="44"/>
      <c r="U15" s="44"/>
    </row>
    <row r="16" spans="1:21" s="11" customFormat="1" x14ac:dyDescent="0.25">
      <c r="A16" s="51" t="s">
        <v>281</v>
      </c>
      <c r="B16" s="52">
        <v>30.4</v>
      </c>
      <c r="C16" s="52">
        <v>88.12</v>
      </c>
      <c r="D16" s="52">
        <v>72.819999999999993</v>
      </c>
      <c r="E16" s="52">
        <v>4.7699999999999996</v>
      </c>
      <c r="F16" s="52">
        <v>2.41</v>
      </c>
      <c r="G16" s="52">
        <v>317.36</v>
      </c>
      <c r="H16" s="52">
        <v>121.92</v>
      </c>
      <c r="I16" s="52">
        <v>0.94</v>
      </c>
      <c r="J16" s="52">
        <v>1.06</v>
      </c>
      <c r="K16" s="52">
        <v>134.4</v>
      </c>
      <c r="L16" s="55" t="s">
        <v>8</v>
      </c>
      <c r="M16" s="55" t="s">
        <v>8</v>
      </c>
      <c r="N16" s="52">
        <v>237.7</v>
      </c>
      <c r="O16" s="52">
        <v>0</v>
      </c>
      <c r="P16" s="52">
        <v>1.63</v>
      </c>
      <c r="Q16" s="52">
        <v>194.13</v>
      </c>
      <c r="R16" s="44"/>
      <c r="S16" s="44"/>
      <c r="T16" s="44"/>
      <c r="U16" s="44"/>
    </row>
    <row r="17" spans="1:21" s="11" customFormat="1" x14ac:dyDescent="0.25">
      <c r="A17" s="51" t="s">
        <v>282</v>
      </c>
      <c r="B17" s="52">
        <v>27.46</v>
      </c>
      <c r="C17" s="52">
        <v>84.23</v>
      </c>
      <c r="D17" s="52">
        <v>68.5</v>
      </c>
      <c r="E17" s="52">
        <v>5.36</v>
      </c>
      <c r="F17" s="52">
        <v>1.93</v>
      </c>
      <c r="G17" s="52">
        <v>236.62</v>
      </c>
      <c r="H17" s="52">
        <v>118.91</v>
      </c>
      <c r="I17" s="52">
        <v>0.92</v>
      </c>
      <c r="J17" s="52">
        <v>1.24</v>
      </c>
      <c r="K17" s="52">
        <v>142.59</v>
      </c>
      <c r="L17" s="55" t="s">
        <v>8</v>
      </c>
      <c r="M17" s="55" t="s">
        <v>8</v>
      </c>
      <c r="N17" s="52">
        <v>396.9</v>
      </c>
      <c r="O17" s="52">
        <v>0</v>
      </c>
      <c r="P17" s="52">
        <v>1.58</v>
      </c>
      <c r="Q17" s="52">
        <v>226.16</v>
      </c>
      <c r="R17" s="44"/>
      <c r="S17" s="44"/>
      <c r="T17" s="44"/>
      <c r="U17" s="44"/>
    </row>
    <row r="18" spans="1:21" s="11" customFormat="1" x14ac:dyDescent="0.25">
      <c r="A18" s="51" t="s">
        <v>283</v>
      </c>
      <c r="B18" s="52">
        <v>19.53</v>
      </c>
      <c r="C18" s="52">
        <v>75</v>
      </c>
      <c r="D18" s="52">
        <v>57.05</v>
      </c>
      <c r="E18" s="52">
        <v>5.55</v>
      </c>
      <c r="F18" s="52">
        <v>2.65</v>
      </c>
      <c r="G18" s="52">
        <v>205.45</v>
      </c>
      <c r="H18" s="52">
        <v>118.91</v>
      </c>
      <c r="I18" s="52">
        <v>0.89</v>
      </c>
      <c r="J18" s="52">
        <v>0.88</v>
      </c>
      <c r="K18" s="52">
        <v>116.46</v>
      </c>
      <c r="L18" s="55" t="s">
        <v>8</v>
      </c>
      <c r="M18" s="55" t="s">
        <v>8</v>
      </c>
      <c r="N18" s="52">
        <v>508.9</v>
      </c>
      <c r="O18" s="52">
        <v>0</v>
      </c>
      <c r="P18" s="52">
        <v>1.46</v>
      </c>
      <c r="Q18" s="52">
        <v>231.73</v>
      </c>
      <c r="R18" s="44"/>
      <c r="S18" s="44"/>
      <c r="T18" s="44"/>
      <c r="U18" s="44"/>
    </row>
    <row r="19" spans="1:21" s="11" customFormat="1" x14ac:dyDescent="0.25">
      <c r="A19" s="51" t="s">
        <v>284</v>
      </c>
      <c r="B19" s="52">
        <v>9.42</v>
      </c>
      <c r="C19" s="52">
        <v>79.97</v>
      </c>
      <c r="D19" s="52">
        <v>47.49</v>
      </c>
      <c r="E19" s="52">
        <v>5.28</v>
      </c>
      <c r="F19" s="52">
        <v>2.92</v>
      </c>
      <c r="G19" s="52">
        <v>194.11</v>
      </c>
      <c r="H19" s="52">
        <v>101.15</v>
      </c>
      <c r="I19" s="52">
        <v>0.81</v>
      </c>
      <c r="J19" s="52">
        <v>3.02</v>
      </c>
      <c r="K19" s="52">
        <v>102.55</v>
      </c>
      <c r="L19" s="55" t="s">
        <v>8</v>
      </c>
      <c r="M19" s="55" t="s">
        <v>8</v>
      </c>
      <c r="N19" s="52">
        <v>618.1</v>
      </c>
      <c r="O19" s="52">
        <v>0</v>
      </c>
      <c r="P19" s="52">
        <v>1.34</v>
      </c>
      <c r="Q19" s="52">
        <v>180.72</v>
      </c>
      <c r="R19" s="44"/>
      <c r="S19" s="44"/>
      <c r="T19" s="44"/>
      <c r="U19" s="44"/>
    </row>
    <row r="20" spans="1:21" s="11" customFormat="1" x14ac:dyDescent="0.25">
      <c r="A20" s="51" t="s">
        <v>285</v>
      </c>
      <c r="B20" s="52">
        <v>4.9000000000000004</v>
      </c>
      <c r="C20" s="52">
        <v>67.19</v>
      </c>
      <c r="D20" s="52">
        <v>40.32</v>
      </c>
      <c r="E20" s="52">
        <v>14.24</v>
      </c>
      <c r="F20" s="52">
        <v>15.52</v>
      </c>
      <c r="G20" s="52">
        <v>15.09</v>
      </c>
      <c r="H20" s="52">
        <v>4.8499999999999996</v>
      </c>
      <c r="I20" s="52">
        <v>0.56999999999999995</v>
      </c>
      <c r="J20" s="52">
        <v>2.84</v>
      </c>
      <c r="K20" s="52">
        <v>104.98</v>
      </c>
      <c r="L20" s="55" t="s">
        <v>8</v>
      </c>
      <c r="M20" s="55" t="s">
        <v>8</v>
      </c>
      <c r="N20" s="52">
        <v>633.1</v>
      </c>
      <c r="O20" s="52">
        <v>0</v>
      </c>
      <c r="P20" s="52">
        <v>0.82</v>
      </c>
      <c r="Q20" s="52">
        <v>166.82</v>
      </c>
      <c r="R20" s="44"/>
      <c r="S20" s="44"/>
      <c r="T20" s="44"/>
      <c r="U20" s="44"/>
    </row>
    <row r="21" spans="1:21" s="11" customFormat="1" x14ac:dyDescent="0.25">
      <c r="A21" s="51" t="s">
        <v>286</v>
      </c>
      <c r="B21" s="52">
        <v>3.25</v>
      </c>
      <c r="C21" s="52">
        <v>69.91</v>
      </c>
      <c r="D21" s="52">
        <v>41.19</v>
      </c>
      <c r="E21" s="52">
        <v>16.68</v>
      </c>
      <c r="F21" s="52">
        <v>13.19</v>
      </c>
      <c r="G21" s="52">
        <v>142.61000000000001</v>
      </c>
      <c r="H21" s="52">
        <v>56.12</v>
      </c>
      <c r="I21" s="52">
        <v>0.35</v>
      </c>
      <c r="J21" s="52">
        <v>2.25</v>
      </c>
      <c r="K21" s="52">
        <v>102.26</v>
      </c>
      <c r="L21" s="55" t="s">
        <v>8</v>
      </c>
      <c r="M21" s="55" t="s">
        <v>8</v>
      </c>
      <c r="N21" s="52">
        <v>609.1</v>
      </c>
      <c r="O21" s="52">
        <v>0</v>
      </c>
      <c r="P21" s="52">
        <v>0.76</v>
      </c>
      <c r="Q21" s="52">
        <v>170.81</v>
      </c>
      <c r="R21" s="44"/>
      <c r="S21" s="44"/>
      <c r="T21" s="44"/>
      <c r="U21" s="44"/>
    </row>
    <row r="22" spans="1:21" s="11" customFormat="1" x14ac:dyDescent="0.25">
      <c r="A22" s="51" t="s">
        <v>287</v>
      </c>
      <c r="B22" s="52">
        <v>8.75</v>
      </c>
      <c r="C22" s="52">
        <v>80.239999999999995</v>
      </c>
      <c r="D22" s="52">
        <v>51.3</v>
      </c>
      <c r="E22" s="52">
        <v>22.5</v>
      </c>
      <c r="F22" s="52">
        <v>11.54</v>
      </c>
      <c r="G22" s="52">
        <v>145.34</v>
      </c>
      <c r="H22" s="52">
        <v>71.98</v>
      </c>
      <c r="I22" s="52">
        <v>0.32</v>
      </c>
      <c r="J22" s="52">
        <v>1.89</v>
      </c>
      <c r="K22" s="52">
        <v>93.45</v>
      </c>
      <c r="L22" s="55" t="s">
        <v>8</v>
      </c>
      <c r="M22" s="55" t="s">
        <v>8</v>
      </c>
      <c r="N22" s="52">
        <v>553.4</v>
      </c>
      <c r="O22" s="52">
        <v>0</v>
      </c>
      <c r="P22" s="52">
        <v>0.79</v>
      </c>
      <c r="Q22" s="52">
        <v>165.83</v>
      </c>
      <c r="R22" s="44"/>
      <c r="S22" s="44"/>
      <c r="T22" s="44"/>
      <c r="U22" s="44"/>
    </row>
    <row r="23" spans="1:21" s="11" customFormat="1" x14ac:dyDescent="0.25">
      <c r="A23" s="51" t="s">
        <v>288</v>
      </c>
      <c r="B23" s="52">
        <v>8.85</v>
      </c>
      <c r="C23" s="52">
        <v>95.24</v>
      </c>
      <c r="D23" s="52">
        <v>59.65</v>
      </c>
      <c r="E23" s="52">
        <v>15.7</v>
      </c>
      <c r="F23" s="52">
        <v>12.67</v>
      </c>
      <c r="G23" s="52">
        <v>136.09</v>
      </c>
      <c r="H23" s="52">
        <v>68.17</v>
      </c>
      <c r="I23" s="52">
        <v>0.28000000000000003</v>
      </c>
      <c r="J23" s="52">
        <v>4.7699999999999996</v>
      </c>
      <c r="K23" s="52">
        <v>61.93</v>
      </c>
      <c r="L23" s="55" t="s">
        <v>8</v>
      </c>
      <c r="M23" s="55" t="s">
        <v>8</v>
      </c>
      <c r="N23" s="52">
        <v>445</v>
      </c>
      <c r="O23" s="52">
        <v>0</v>
      </c>
      <c r="P23" s="52">
        <v>0.85</v>
      </c>
      <c r="Q23" s="52">
        <v>160.97999999999999</v>
      </c>
      <c r="R23" s="44"/>
      <c r="S23" s="44"/>
      <c r="T23" s="44"/>
      <c r="U23" s="44"/>
    </row>
    <row r="24" spans="1:21" s="11" customFormat="1" x14ac:dyDescent="0.25">
      <c r="A24" s="51" t="s">
        <v>289</v>
      </c>
      <c r="B24" s="52">
        <v>4.75</v>
      </c>
      <c r="C24" s="52">
        <v>83.17</v>
      </c>
      <c r="D24" s="52">
        <v>49.71</v>
      </c>
      <c r="E24" s="52">
        <v>18.440000000000001</v>
      </c>
      <c r="F24" s="52">
        <v>19.71</v>
      </c>
      <c r="G24" s="52">
        <v>136.87</v>
      </c>
      <c r="H24" s="52">
        <v>60.15</v>
      </c>
      <c r="I24" s="52">
        <v>0.26</v>
      </c>
      <c r="J24" s="52">
        <v>2.89</v>
      </c>
      <c r="K24" s="52">
        <v>82.98</v>
      </c>
      <c r="L24" s="55" t="s">
        <v>8</v>
      </c>
      <c r="M24" s="55" t="s">
        <v>8</v>
      </c>
      <c r="N24" s="52">
        <v>129.1</v>
      </c>
      <c r="O24" s="52">
        <v>0</v>
      </c>
      <c r="P24" s="52">
        <v>0.85</v>
      </c>
      <c r="Q24" s="52">
        <v>160.96</v>
      </c>
      <c r="R24" s="44"/>
      <c r="S24" s="44"/>
      <c r="T24" s="44"/>
      <c r="U24" s="44"/>
    </row>
    <row r="25" spans="1:21" s="11" customFormat="1" x14ac:dyDescent="0.25">
      <c r="A25" s="51" t="s">
        <v>290</v>
      </c>
      <c r="B25" s="52">
        <v>9.82</v>
      </c>
      <c r="C25" s="52">
        <v>107.74</v>
      </c>
      <c r="D25" s="52">
        <v>64.760000000000005</v>
      </c>
      <c r="E25" s="52">
        <v>16.22</v>
      </c>
      <c r="F25" s="52">
        <v>15.08</v>
      </c>
      <c r="G25" s="52">
        <v>134.75</v>
      </c>
      <c r="H25" s="52">
        <v>58.96</v>
      </c>
      <c r="I25" s="52">
        <v>0.35</v>
      </c>
      <c r="J25" s="52">
        <v>2.77</v>
      </c>
      <c r="K25" s="52">
        <v>77.95</v>
      </c>
      <c r="L25" s="55" t="s">
        <v>8</v>
      </c>
      <c r="M25" s="55" t="s">
        <v>8</v>
      </c>
      <c r="N25" s="52">
        <v>65</v>
      </c>
      <c r="O25" s="52">
        <v>0</v>
      </c>
      <c r="P25" s="52">
        <v>0.91</v>
      </c>
      <c r="Q25" s="52">
        <v>175.18</v>
      </c>
      <c r="R25" s="44"/>
      <c r="S25" s="44"/>
      <c r="T25" s="44"/>
      <c r="U25" s="44"/>
    </row>
    <row r="26" spans="1:21" s="11" customFormat="1" x14ac:dyDescent="0.25">
      <c r="A26" s="51" t="s">
        <v>291</v>
      </c>
      <c r="B26" s="52">
        <v>4.55</v>
      </c>
      <c r="C26" s="52">
        <v>106.54</v>
      </c>
      <c r="D26" s="52">
        <v>61.72</v>
      </c>
      <c r="E26" s="52">
        <v>14.87</v>
      </c>
      <c r="F26" s="52">
        <v>16.190000000000001</v>
      </c>
      <c r="G26" s="52">
        <v>142.71</v>
      </c>
      <c r="H26" s="52">
        <v>56.71</v>
      </c>
      <c r="I26" s="52">
        <v>0.4</v>
      </c>
      <c r="J26" s="52">
        <v>2.34</v>
      </c>
      <c r="K26" s="52">
        <v>80.14</v>
      </c>
      <c r="L26" s="55" t="s">
        <v>8</v>
      </c>
      <c r="M26" s="55" t="s">
        <v>8</v>
      </c>
      <c r="N26" s="52">
        <v>37.700000000000003</v>
      </c>
      <c r="O26" s="52">
        <v>0</v>
      </c>
      <c r="P26" s="52">
        <v>1.1399999999999999</v>
      </c>
      <c r="Q26" s="52">
        <v>140.71</v>
      </c>
      <c r="R26" s="44"/>
      <c r="S26" s="44"/>
      <c r="T26" s="44"/>
      <c r="U26" s="44"/>
    </row>
    <row r="27" spans="1:21" s="11" customFormat="1" x14ac:dyDescent="0.25">
      <c r="A27" s="51" t="s">
        <v>292</v>
      </c>
      <c r="B27" s="52">
        <v>6.39</v>
      </c>
      <c r="C27" s="52">
        <v>120.11</v>
      </c>
      <c r="D27" s="52">
        <v>71.41</v>
      </c>
      <c r="E27" s="52">
        <v>7.64</v>
      </c>
      <c r="F27" s="52">
        <v>3.91</v>
      </c>
      <c r="G27" s="52">
        <v>148.63</v>
      </c>
      <c r="H27" s="52">
        <v>57.41</v>
      </c>
      <c r="I27" s="52">
        <v>0.52</v>
      </c>
      <c r="J27" s="52">
        <v>0.5</v>
      </c>
      <c r="K27" s="52">
        <v>95.88</v>
      </c>
      <c r="L27" s="55" t="s">
        <v>8</v>
      </c>
      <c r="M27" s="55" t="s">
        <v>8</v>
      </c>
      <c r="N27" s="52">
        <v>67.7</v>
      </c>
      <c r="O27" s="52">
        <v>0</v>
      </c>
      <c r="P27" s="52">
        <v>1.29</v>
      </c>
      <c r="Q27" s="52">
        <v>150.07</v>
      </c>
      <c r="R27" s="44"/>
      <c r="S27" s="44"/>
      <c r="T27" s="44"/>
      <c r="U27" s="44"/>
    </row>
    <row r="28" spans="1:21" s="11" customFormat="1" x14ac:dyDescent="0.25">
      <c r="A28" s="51" t="s">
        <v>293</v>
      </c>
      <c r="B28" s="52">
        <v>5.61</v>
      </c>
      <c r="C28" s="52">
        <v>97.18</v>
      </c>
      <c r="D28" s="52">
        <v>57.64</v>
      </c>
      <c r="E28" s="52">
        <v>6.33</v>
      </c>
      <c r="F28" s="52">
        <v>3.24</v>
      </c>
      <c r="G28" s="52">
        <v>175.63</v>
      </c>
      <c r="H28" s="52">
        <v>63.13</v>
      </c>
      <c r="I28" s="52">
        <v>0.65</v>
      </c>
      <c r="J28" s="52">
        <v>0.25</v>
      </c>
      <c r="K28" s="52">
        <v>115.83</v>
      </c>
      <c r="L28" s="55" t="s">
        <v>8</v>
      </c>
      <c r="M28" s="55" t="s">
        <v>8</v>
      </c>
      <c r="N28" s="52">
        <v>33.200000000000003</v>
      </c>
      <c r="O28" s="52">
        <v>0</v>
      </c>
      <c r="P28" s="52">
        <v>1.34</v>
      </c>
      <c r="Q28" s="52">
        <v>175.31</v>
      </c>
      <c r="R28" s="44"/>
      <c r="S28" s="44"/>
      <c r="T28" s="44"/>
      <c r="U28" s="44"/>
    </row>
    <row r="29" spans="1:21" s="11" customFormat="1" x14ac:dyDescent="0.25">
      <c r="A29" s="51" t="s">
        <v>294</v>
      </c>
      <c r="B29" s="52">
        <v>20.5</v>
      </c>
      <c r="C29" s="52">
        <v>103.73</v>
      </c>
      <c r="D29" s="52">
        <v>70.27</v>
      </c>
      <c r="E29" s="52">
        <v>5.57</v>
      </c>
      <c r="F29" s="52">
        <v>1.23</v>
      </c>
      <c r="G29" s="52">
        <v>181.14</v>
      </c>
      <c r="H29" s="52">
        <v>59.44</v>
      </c>
      <c r="I29" s="52">
        <v>0.76</v>
      </c>
      <c r="J29" s="52">
        <v>0.26</v>
      </c>
      <c r="K29" s="52">
        <v>89.18</v>
      </c>
      <c r="L29" s="55" t="s">
        <v>8</v>
      </c>
      <c r="M29" s="55" t="s">
        <v>8</v>
      </c>
      <c r="N29" s="52">
        <v>21.5</v>
      </c>
      <c r="O29" s="52">
        <v>0</v>
      </c>
      <c r="P29" s="52">
        <v>1.67</v>
      </c>
      <c r="Q29" s="52">
        <v>177.45</v>
      </c>
      <c r="R29" s="44"/>
      <c r="S29" s="44"/>
      <c r="T29" s="44"/>
      <c r="U29" s="44"/>
    </row>
    <row r="30" spans="1:21" s="11" customFormat="1" x14ac:dyDescent="0.25">
      <c r="A30" s="51" t="s">
        <v>295</v>
      </c>
      <c r="B30" s="52">
        <v>41.02</v>
      </c>
      <c r="C30" s="52">
        <v>115.48</v>
      </c>
      <c r="D30" s="52">
        <v>94.92</v>
      </c>
      <c r="E30" s="52">
        <v>4.9000000000000004</v>
      </c>
      <c r="F30" s="52">
        <v>0.74</v>
      </c>
      <c r="G30" s="52">
        <v>215.7</v>
      </c>
      <c r="H30" s="52">
        <v>74.599999999999994</v>
      </c>
      <c r="I30" s="52">
        <v>0.89</v>
      </c>
      <c r="J30" s="52">
        <v>0.28999999999999998</v>
      </c>
      <c r="K30" s="52">
        <v>31.56</v>
      </c>
      <c r="L30" s="55" t="s">
        <v>8</v>
      </c>
      <c r="M30" s="55" t="s">
        <v>8</v>
      </c>
      <c r="N30" s="52">
        <v>22.2</v>
      </c>
      <c r="O30" s="52">
        <v>0</v>
      </c>
      <c r="P30" s="52">
        <v>2.15</v>
      </c>
      <c r="Q30" s="52">
        <v>182.44</v>
      </c>
      <c r="R30" s="44"/>
      <c r="S30" s="44"/>
      <c r="T30" s="44"/>
      <c r="U30" s="44"/>
    </row>
    <row r="31" spans="1:21" s="11" customFormat="1" x14ac:dyDescent="0.25">
      <c r="A31" s="51" t="s">
        <v>296</v>
      </c>
      <c r="B31" s="52">
        <v>62.37</v>
      </c>
      <c r="C31" s="52">
        <v>142.59</v>
      </c>
      <c r="D31" s="52">
        <v>128.71</v>
      </c>
      <c r="E31" s="52">
        <v>5.45</v>
      </c>
      <c r="F31" s="52">
        <v>0.75</v>
      </c>
      <c r="G31" s="52">
        <v>259.49</v>
      </c>
      <c r="H31" s="52">
        <v>77.72</v>
      </c>
      <c r="I31" s="52">
        <v>1.1100000000000001</v>
      </c>
      <c r="J31" s="52">
        <v>0.17</v>
      </c>
      <c r="K31" s="52">
        <v>321.79000000000002</v>
      </c>
      <c r="L31" s="55" t="s">
        <v>8</v>
      </c>
      <c r="M31" s="55" t="s">
        <v>8</v>
      </c>
      <c r="N31" s="52">
        <v>21.9</v>
      </c>
      <c r="O31" s="52">
        <v>0</v>
      </c>
      <c r="P31" s="52">
        <v>2.44</v>
      </c>
      <c r="Q31" s="52">
        <v>231.4</v>
      </c>
      <c r="R31" s="44"/>
      <c r="S31" s="44"/>
      <c r="T31" s="44"/>
      <c r="U31" s="44"/>
    </row>
    <row r="32" spans="1:21" s="11" customFormat="1" x14ac:dyDescent="0.25">
      <c r="A32" s="51" t="s">
        <v>297</v>
      </c>
      <c r="B32" s="52">
        <v>66.459999999999994</v>
      </c>
      <c r="C32" s="52">
        <v>143.09</v>
      </c>
      <c r="D32" s="52">
        <v>130.93</v>
      </c>
      <c r="E32" s="52">
        <v>5.5</v>
      </c>
      <c r="F32" s="52">
        <v>0.69</v>
      </c>
      <c r="G32" s="52">
        <v>305.58</v>
      </c>
      <c r="H32" s="52">
        <v>75.83</v>
      </c>
      <c r="I32" s="52">
        <v>1.32</v>
      </c>
      <c r="J32" s="52">
        <v>0.18</v>
      </c>
      <c r="K32" s="52">
        <v>328.16</v>
      </c>
      <c r="L32" s="55" t="s">
        <v>8</v>
      </c>
      <c r="M32" s="55" t="s">
        <v>8</v>
      </c>
      <c r="N32" s="52">
        <v>30.2</v>
      </c>
      <c r="O32" s="52">
        <v>0</v>
      </c>
      <c r="P32" s="52">
        <v>2.46</v>
      </c>
      <c r="Q32" s="52">
        <v>242.07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3.25</v>
      </c>
      <c r="C34" s="28">
        <f t="shared" si="0"/>
        <v>67.19</v>
      </c>
      <c r="D34" s="28">
        <f t="shared" si="0"/>
        <v>40.32</v>
      </c>
      <c r="E34" s="28">
        <f t="shared" si="0"/>
        <v>4.71</v>
      </c>
      <c r="F34" s="28">
        <f t="shared" si="0"/>
        <v>0.69</v>
      </c>
      <c r="G34" s="28">
        <f t="shared" si="0"/>
        <v>15.09</v>
      </c>
      <c r="H34" s="28">
        <f t="shared" si="0"/>
        <v>4.8499999999999996</v>
      </c>
      <c r="I34" s="28">
        <f t="shared" si="0"/>
        <v>0.26</v>
      </c>
      <c r="J34" s="28">
        <f t="shared" si="0"/>
        <v>0.17</v>
      </c>
      <c r="K34" s="28">
        <f t="shared" si="0"/>
        <v>31.56</v>
      </c>
      <c r="L34" s="28">
        <f t="shared" si="0"/>
        <v>0</v>
      </c>
      <c r="M34" s="28">
        <f t="shared" si="0"/>
        <v>0</v>
      </c>
      <c r="N34" s="28">
        <f t="shared" si="0"/>
        <v>9.6</v>
      </c>
      <c r="O34" s="28">
        <f t="shared" si="0"/>
        <v>0</v>
      </c>
      <c r="P34" s="28">
        <f t="shared" si="0"/>
        <v>0.76</v>
      </c>
      <c r="Q34" s="28">
        <f t="shared" si="0"/>
        <v>140.71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66.459999999999994</v>
      </c>
      <c r="C35" s="29">
        <f t="shared" si="1"/>
        <v>143.09</v>
      </c>
      <c r="D35" s="29">
        <f t="shared" si="1"/>
        <v>130.93</v>
      </c>
      <c r="E35" s="29">
        <f t="shared" si="1"/>
        <v>22.5</v>
      </c>
      <c r="F35" s="29">
        <f t="shared" si="1"/>
        <v>19.71</v>
      </c>
      <c r="G35" s="29">
        <f t="shared" si="1"/>
        <v>377.65</v>
      </c>
      <c r="H35" s="29">
        <f t="shared" si="1"/>
        <v>121.92</v>
      </c>
      <c r="I35" s="29">
        <f t="shared" si="1"/>
        <v>1.32</v>
      </c>
      <c r="J35" s="29">
        <f t="shared" si="1"/>
        <v>4.7699999999999996</v>
      </c>
      <c r="K35" s="29">
        <f t="shared" si="1"/>
        <v>358.58</v>
      </c>
      <c r="L35" s="29">
        <f t="shared" si="1"/>
        <v>0</v>
      </c>
      <c r="M35" s="29">
        <f t="shared" si="1"/>
        <v>0</v>
      </c>
      <c r="N35" s="29">
        <f t="shared" si="1"/>
        <v>633.1</v>
      </c>
      <c r="O35" s="29">
        <f t="shared" si="1"/>
        <v>0</v>
      </c>
      <c r="P35" s="29">
        <f t="shared" si="1"/>
        <v>2.46</v>
      </c>
      <c r="Q35" s="29">
        <f t="shared" si="1"/>
        <v>242.07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21.094583333333333</v>
      </c>
      <c r="C36" s="28">
        <f t="shared" si="2"/>
        <v>91.845416666666665</v>
      </c>
      <c r="D36" s="28">
        <f t="shared" si="2"/>
        <v>66.940000000000012</v>
      </c>
      <c r="E36" s="28">
        <f t="shared" si="2"/>
        <v>8.74</v>
      </c>
      <c r="F36" s="28">
        <f t="shared" si="2"/>
        <v>5.6845833333333333</v>
      </c>
      <c r="G36" s="28">
        <f t="shared" si="2"/>
        <v>215.94500000000002</v>
      </c>
      <c r="H36" s="28">
        <f t="shared" si="2"/>
        <v>82.881666666666675</v>
      </c>
      <c r="I36" s="28">
        <f t="shared" si="2"/>
        <v>0.77124999999999988</v>
      </c>
      <c r="J36" s="28">
        <f t="shared" si="2"/>
        <v>1.2816666666666667</v>
      </c>
      <c r="K36" s="28">
        <f t="shared" si="2"/>
        <v>164.70124999999999</v>
      </c>
      <c r="L36" s="28" t="e">
        <f t="shared" si="2"/>
        <v>#DIV/0!</v>
      </c>
      <c r="M36" s="28" t="e">
        <f t="shared" si="2"/>
        <v>#DIV/0!</v>
      </c>
      <c r="N36" s="28">
        <f t="shared" si="2"/>
        <v>189.76666666666662</v>
      </c>
      <c r="O36" s="28">
        <f t="shared" si="2"/>
        <v>0</v>
      </c>
      <c r="P36" s="28">
        <f t="shared" si="2"/>
        <v>1.4279166666666667</v>
      </c>
      <c r="Q36" s="28">
        <f t="shared" si="2"/>
        <v>190.56999999999994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16.903865001612903</v>
      </c>
      <c r="C37" s="28">
        <f t="shared" ref="C37:Q37" si="3">STDEV(C9:C32)</f>
        <v>21.341235647198967</v>
      </c>
      <c r="D37" s="28">
        <f t="shared" si="3"/>
        <v>22.391884205239833</v>
      </c>
      <c r="E37" s="28">
        <f t="shared" si="3"/>
        <v>5.5990270893992031</v>
      </c>
      <c r="F37" s="28">
        <f t="shared" si="3"/>
        <v>6.2064090150681199</v>
      </c>
      <c r="G37" s="28">
        <f t="shared" si="3"/>
        <v>86.192851110800916</v>
      </c>
      <c r="H37" s="28">
        <f t="shared" si="3"/>
        <v>29.183604489755762</v>
      </c>
      <c r="I37" s="28">
        <f t="shared" si="3"/>
        <v>0.31377522417225395</v>
      </c>
      <c r="J37" s="28">
        <f t="shared" si="3"/>
        <v>1.2527488615620159</v>
      </c>
      <c r="K37" s="28">
        <f t="shared" si="3"/>
        <v>115.59691967133028</v>
      </c>
      <c r="L37" s="28" t="e">
        <f t="shared" si="3"/>
        <v>#DIV/0!</v>
      </c>
      <c r="M37" s="28" t="e">
        <f t="shared" si="3"/>
        <v>#DIV/0!</v>
      </c>
      <c r="N37" s="28">
        <f t="shared" si="3"/>
        <v>237.88590554711524</v>
      </c>
      <c r="O37" s="28">
        <f t="shared" si="3"/>
        <v>0</v>
      </c>
      <c r="P37" s="28">
        <f t="shared" si="3"/>
        <v>0.47301051708747649</v>
      </c>
      <c r="Q37" s="28">
        <f t="shared" si="3"/>
        <v>29.026654467320675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P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>COUNT(L9:L32)+24</f>
        <v>24</v>
      </c>
      <c r="M38" s="32">
        <f>COUNT(M9:M32)+24</f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</f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299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 t="s">
        <v>298</v>
      </c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11-11-2022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300</v>
      </c>
      <c r="B9" s="52">
        <v>64.56</v>
      </c>
      <c r="C9" s="52">
        <v>126.48</v>
      </c>
      <c r="D9" s="52">
        <v>120.58</v>
      </c>
      <c r="E9" s="52">
        <v>5.2</v>
      </c>
      <c r="F9" s="52">
        <v>0.78</v>
      </c>
      <c r="G9" s="52">
        <v>279.39999999999998</v>
      </c>
      <c r="H9" s="52">
        <v>78.31</v>
      </c>
      <c r="I9" s="52">
        <v>1.34</v>
      </c>
      <c r="J9" s="52">
        <v>0.13</v>
      </c>
      <c r="K9" s="52">
        <v>347.6</v>
      </c>
      <c r="L9" s="55" t="s">
        <v>8</v>
      </c>
      <c r="M9" s="55" t="s">
        <v>8</v>
      </c>
      <c r="N9" s="52">
        <v>62</v>
      </c>
      <c r="O9" s="52">
        <v>0</v>
      </c>
      <c r="P9" s="52">
        <v>2.38</v>
      </c>
      <c r="Q9" s="52">
        <v>207.38</v>
      </c>
      <c r="R9" s="44"/>
      <c r="S9" s="44"/>
      <c r="T9" s="44"/>
      <c r="U9" s="44"/>
    </row>
    <row r="10" spans="1:21" s="11" customFormat="1" x14ac:dyDescent="0.25">
      <c r="A10" s="51" t="s">
        <v>301</v>
      </c>
      <c r="B10" s="52">
        <v>62.33</v>
      </c>
      <c r="C10" s="52">
        <v>119.55</v>
      </c>
      <c r="D10" s="52">
        <v>115.18</v>
      </c>
      <c r="E10" s="52">
        <v>5.12</v>
      </c>
      <c r="F10" s="52">
        <v>0.68</v>
      </c>
      <c r="G10" s="52">
        <v>229.34</v>
      </c>
      <c r="H10" s="52">
        <v>79.11</v>
      </c>
      <c r="I10" s="52">
        <v>1.27</v>
      </c>
      <c r="J10" s="52">
        <v>0.21</v>
      </c>
      <c r="K10" s="52">
        <v>334.53</v>
      </c>
      <c r="L10" s="55" t="s">
        <v>8</v>
      </c>
      <c r="M10" s="55" t="s">
        <v>8</v>
      </c>
      <c r="N10" s="52">
        <v>51.5</v>
      </c>
      <c r="O10" s="52">
        <v>0</v>
      </c>
      <c r="P10" s="52">
        <v>2.23</v>
      </c>
      <c r="Q10" s="52">
        <v>221.75</v>
      </c>
      <c r="R10" s="44"/>
      <c r="S10" s="44"/>
      <c r="T10" s="44"/>
      <c r="U10" s="44"/>
    </row>
    <row r="11" spans="1:21" s="11" customFormat="1" x14ac:dyDescent="0.25">
      <c r="A11" s="51" t="s">
        <v>302</v>
      </c>
      <c r="B11" s="52">
        <v>56.96</v>
      </c>
      <c r="C11" s="52">
        <v>112.8</v>
      </c>
      <c r="D11" s="52">
        <v>107.93</v>
      </c>
      <c r="E11" s="52">
        <v>5.34</v>
      </c>
      <c r="F11" s="52">
        <v>0.49</v>
      </c>
      <c r="G11" s="52">
        <v>221.27</v>
      </c>
      <c r="H11" s="52">
        <v>77.52</v>
      </c>
      <c r="I11" s="52">
        <v>1.26</v>
      </c>
      <c r="J11" s="52">
        <v>0.14000000000000001</v>
      </c>
      <c r="K11" s="52">
        <v>306.47000000000003</v>
      </c>
      <c r="L11" s="55" t="s">
        <v>8</v>
      </c>
      <c r="M11" s="55" t="s">
        <v>8</v>
      </c>
      <c r="N11" s="52">
        <v>47.4</v>
      </c>
      <c r="O11" s="52">
        <v>0</v>
      </c>
      <c r="P11" s="52">
        <v>2.1</v>
      </c>
      <c r="Q11" s="52">
        <v>218.22</v>
      </c>
      <c r="R11" s="44"/>
      <c r="S11" s="44"/>
      <c r="T11" s="44"/>
      <c r="U11" s="44"/>
    </row>
    <row r="12" spans="1:21" s="11" customFormat="1" x14ac:dyDescent="0.25">
      <c r="A12" s="51" t="s">
        <v>303</v>
      </c>
      <c r="B12" s="52">
        <v>49</v>
      </c>
      <c r="C12" s="52">
        <v>102.39</v>
      </c>
      <c r="D12" s="52">
        <v>95.81</v>
      </c>
      <c r="E12" s="52">
        <v>5.14</v>
      </c>
      <c r="F12" s="52">
        <v>0.64</v>
      </c>
      <c r="G12" s="52">
        <v>219.58</v>
      </c>
      <c r="H12" s="52">
        <v>86.55</v>
      </c>
      <c r="I12" s="52">
        <v>1.22</v>
      </c>
      <c r="J12" s="52">
        <v>0.1</v>
      </c>
      <c r="K12" s="52">
        <v>349.37</v>
      </c>
      <c r="L12" s="55" t="s">
        <v>8</v>
      </c>
      <c r="M12" s="55" t="s">
        <v>8</v>
      </c>
      <c r="N12" s="52">
        <v>48.2</v>
      </c>
      <c r="O12" s="52">
        <v>0</v>
      </c>
      <c r="P12" s="52">
        <v>1.9</v>
      </c>
      <c r="Q12" s="52">
        <v>207.38</v>
      </c>
      <c r="R12" s="44"/>
      <c r="S12" s="44"/>
      <c r="T12" s="44"/>
      <c r="U12" s="44"/>
    </row>
    <row r="13" spans="1:21" s="11" customFormat="1" x14ac:dyDescent="0.25">
      <c r="A13" s="51" t="s">
        <v>304</v>
      </c>
      <c r="B13" s="52">
        <v>44.66</v>
      </c>
      <c r="C13" s="52">
        <v>93.37</v>
      </c>
      <c r="D13" s="52">
        <v>86.77</v>
      </c>
      <c r="E13" s="52">
        <v>5.24</v>
      </c>
      <c r="F13" s="52">
        <v>0.51</v>
      </c>
      <c r="G13" s="52">
        <v>236.7</v>
      </c>
      <c r="H13" s="52">
        <v>85.58</v>
      </c>
      <c r="I13" s="52">
        <v>1.1499999999999999</v>
      </c>
      <c r="J13" s="52">
        <v>0.15</v>
      </c>
      <c r="K13" s="52">
        <v>108.31</v>
      </c>
      <c r="L13" s="55" t="s">
        <v>8</v>
      </c>
      <c r="M13" s="55" t="s">
        <v>8</v>
      </c>
      <c r="N13" s="52">
        <v>48.2</v>
      </c>
      <c r="O13" s="52">
        <v>0</v>
      </c>
      <c r="P13" s="52">
        <v>1.76</v>
      </c>
      <c r="Q13" s="52">
        <v>174.48</v>
      </c>
      <c r="R13" s="44"/>
      <c r="S13" s="44"/>
      <c r="T13" s="44"/>
      <c r="U13" s="44"/>
    </row>
    <row r="14" spans="1:21" s="11" customFormat="1" x14ac:dyDescent="0.25">
      <c r="A14" s="51" t="s">
        <v>305</v>
      </c>
      <c r="B14" s="52">
        <v>46.66</v>
      </c>
      <c r="C14" s="52">
        <v>101.52</v>
      </c>
      <c r="D14" s="52">
        <v>92.95</v>
      </c>
      <c r="E14" s="52">
        <v>5.03</v>
      </c>
      <c r="F14" s="52">
        <v>0.54</v>
      </c>
      <c r="G14" s="52">
        <v>282.08999999999997</v>
      </c>
      <c r="H14" s="52">
        <v>87.64</v>
      </c>
      <c r="I14" s="52">
        <v>1.07</v>
      </c>
      <c r="J14" s="52">
        <v>0.28000000000000003</v>
      </c>
      <c r="K14" s="52">
        <v>111.03</v>
      </c>
      <c r="L14" s="55" t="s">
        <v>8</v>
      </c>
      <c r="M14" s="55" t="s">
        <v>8</v>
      </c>
      <c r="N14" s="52">
        <v>45.8</v>
      </c>
      <c r="O14" s="52">
        <v>0</v>
      </c>
      <c r="P14" s="52">
        <v>1.67</v>
      </c>
      <c r="Q14" s="52">
        <v>194.41</v>
      </c>
      <c r="R14" s="44"/>
      <c r="S14" s="44"/>
      <c r="T14" s="44"/>
      <c r="U14" s="44"/>
    </row>
    <row r="15" spans="1:21" s="11" customFormat="1" x14ac:dyDescent="0.25">
      <c r="A15" s="51" t="s">
        <v>306</v>
      </c>
      <c r="B15" s="52">
        <v>45.42</v>
      </c>
      <c r="C15" s="52">
        <v>101.8</v>
      </c>
      <c r="D15" s="52">
        <v>92.57</v>
      </c>
      <c r="E15" s="52">
        <v>5.26</v>
      </c>
      <c r="F15" s="52">
        <v>1.27</v>
      </c>
      <c r="G15" s="52">
        <v>281.48</v>
      </c>
      <c r="H15" s="52">
        <v>91.09</v>
      </c>
      <c r="I15" s="52">
        <v>1.06</v>
      </c>
      <c r="J15" s="52">
        <v>0.43</v>
      </c>
      <c r="K15" s="52">
        <v>41.54</v>
      </c>
      <c r="L15" s="55" t="s">
        <v>8</v>
      </c>
      <c r="M15" s="55" t="s">
        <v>8</v>
      </c>
      <c r="N15" s="52">
        <v>88.6</v>
      </c>
      <c r="O15" s="52">
        <v>0</v>
      </c>
      <c r="P15" s="52">
        <v>1.63</v>
      </c>
      <c r="Q15" s="52">
        <v>196.73</v>
      </c>
      <c r="R15" s="44"/>
      <c r="S15" s="44"/>
      <c r="T15" s="44"/>
      <c r="U15" s="44"/>
    </row>
    <row r="16" spans="1:21" s="11" customFormat="1" x14ac:dyDescent="0.25">
      <c r="A16" s="51" t="s">
        <v>307</v>
      </c>
      <c r="B16" s="52">
        <v>45.03</v>
      </c>
      <c r="C16" s="52">
        <v>107.23</v>
      </c>
      <c r="D16" s="52">
        <v>93.28</v>
      </c>
      <c r="E16" s="52">
        <v>4.9400000000000004</v>
      </c>
      <c r="F16" s="52">
        <v>0.71</v>
      </c>
      <c r="G16" s="52">
        <v>254.43</v>
      </c>
      <c r="H16" s="52">
        <v>88.5</v>
      </c>
      <c r="I16" s="52">
        <v>1.02</v>
      </c>
      <c r="J16" s="52">
        <v>0.97</v>
      </c>
      <c r="K16" s="52">
        <v>119.97</v>
      </c>
      <c r="L16" s="55" t="s">
        <v>8</v>
      </c>
      <c r="M16" s="55" t="s">
        <v>8</v>
      </c>
      <c r="N16" s="52">
        <v>284.39999999999998</v>
      </c>
      <c r="O16" s="52">
        <v>0</v>
      </c>
      <c r="P16" s="52">
        <v>1.52</v>
      </c>
      <c r="Q16" s="52">
        <v>172.43</v>
      </c>
      <c r="R16" s="44"/>
      <c r="S16" s="44"/>
      <c r="T16" s="44"/>
      <c r="U16" s="44"/>
    </row>
    <row r="17" spans="1:21" s="11" customFormat="1" x14ac:dyDescent="0.25">
      <c r="A17" s="51" t="s">
        <v>308</v>
      </c>
      <c r="B17" s="52">
        <v>37.619999999999997</v>
      </c>
      <c r="C17" s="52">
        <v>99.94</v>
      </c>
      <c r="D17" s="52">
        <v>85.32</v>
      </c>
      <c r="E17" s="52">
        <v>5.64</v>
      </c>
      <c r="F17" s="52">
        <v>0.77</v>
      </c>
      <c r="G17" s="52">
        <v>229.69</v>
      </c>
      <c r="H17" s="52">
        <v>87.41</v>
      </c>
      <c r="I17" s="52">
        <v>0.91</v>
      </c>
      <c r="J17" s="52">
        <v>1</v>
      </c>
      <c r="K17" s="52">
        <v>116.82</v>
      </c>
      <c r="L17" s="55" t="s">
        <v>8</v>
      </c>
      <c r="M17" s="55" t="s">
        <v>8</v>
      </c>
      <c r="N17" s="52">
        <v>461.8</v>
      </c>
      <c r="O17" s="52">
        <v>0</v>
      </c>
      <c r="P17" s="52">
        <v>1.46</v>
      </c>
      <c r="Q17" s="52">
        <v>208.94</v>
      </c>
      <c r="R17" s="44"/>
      <c r="S17" s="44"/>
      <c r="T17" s="44"/>
      <c r="U17" s="44"/>
    </row>
    <row r="18" spans="1:21" s="11" customFormat="1" x14ac:dyDescent="0.25">
      <c r="A18" s="51" t="s">
        <v>309</v>
      </c>
      <c r="B18" s="52">
        <v>31.61</v>
      </c>
      <c r="C18" s="52">
        <v>97.42</v>
      </c>
      <c r="D18" s="52">
        <v>79.11</v>
      </c>
      <c r="E18" s="52">
        <v>6.13</v>
      </c>
      <c r="F18" s="52">
        <v>1.72</v>
      </c>
      <c r="G18" s="52">
        <v>198.7</v>
      </c>
      <c r="H18" s="52">
        <v>78.33</v>
      </c>
      <c r="I18" s="52">
        <v>0.79</v>
      </c>
      <c r="J18" s="52">
        <v>1.39</v>
      </c>
      <c r="K18" s="52">
        <v>111.11</v>
      </c>
      <c r="L18" s="55" t="s">
        <v>8</v>
      </c>
      <c r="M18" s="55" t="s">
        <v>8</v>
      </c>
      <c r="N18" s="52">
        <v>602.29999999999995</v>
      </c>
      <c r="O18" s="52">
        <v>0</v>
      </c>
      <c r="P18" s="52">
        <v>1.3</v>
      </c>
      <c r="Q18" s="52">
        <v>227.49</v>
      </c>
      <c r="R18" s="44"/>
      <c r="S18" s="44"/>
      <c r="T18" s="44"/>
      <c r="U18" s="44"/>
    </row>
    <row r="19" spans="1:21" s="11" customFormat="1" x14ac:dyDescent="0.25">
      <c r="A19" s="51" t="s">
        <v>310</v>
      </c>
      <c r="B19" s="52">
        <v>21.82</v>
      </c>
      <c r="C19" s="52">
        <v>84.86</v>
      </c>
      <c r="D19" s="52">
        <v>64.33</v>
      </c>
      <c r="E19" s="52">
        <v>6.56</v>
      </c>
      <c r="F19" s="52">
        <v>2.48</v>
      </c>
      <c r="G19" s="52">
        <v>162.09</v>
      </c>
      <c r="H19" s="52">
        <v>73.8</v>
      </c>
      <c r="I19" s="52">
        <v>0.75</v>
      </c>
      <c r="J19" s="52">
        <v>2.0299999999999998</v>
      </c>
      <c r="K19" s="52">
        <v>128.94999999999999</v>
      </c>
      <c r="L19" s="55" t="s">
        <v>8</v>
      </c>
      <c r="M19" s="55" t="s">
        <v>8</v>
      </c>
      <c r="N19" s="52">
        <v>674.8</v>
      </c>
      <c r="O19" s="52">
        <v>0</v>
      </c>
      <c r="P19" s="52">
        <v>1.18</v>
      </c>
      <c r="Q19" s="52">
        <v>230.7</v>
      </c>
      <c r="R19" s="44"/>
      <c r="S19" s="44"/>
      <c r="T19" s="44"/>
      <c r="U19" s="44"/>
    </row>
    <row r="20" spans="1:21" s="11" customFormat="1" x14ac:dyDescent="0.25">
      <c r="A20" s="51" t="s">
        <v>311</v>
      </c>
      <c r="B20" s="52">
        <v>10.73</v>
      </c>
      <c r="C20" s="52">
        <v>76.78</v>
      </c>
      <c r="D20" s="52">
        <v>50.89</v>
      </c>
      <c r="E20" s="52">
        <v>6.1</v>
      </c>
      <c r="F20" s="52">
        <v>4.4800000000000004</v>
      </c>
      <c r="G20" s="52">
        <v>149.84</v>
      </c>
      <c r="H20" s="52">
        <v>68.88</v>
      </c>
      <c r="I20" s="52">
        <v>0.63</v>
      </c>
      <c r="J20" s="52">
        <v>1.43</v>
      </c>
      <c r="K20" s="52">
        <v>101.67</v>
      </c>
      <c r="L20" s="55" t="s">
        <v>8</v>
      </c>
      <c r="M20" s="55" t="s">
        <v>8</v>
      </c>
      <c r="N20" s="52">
        <v>678.8</v>
      </c>
      <c r="O20" s="52">
        <v>0</v>
      </c>
      <c r="P20" s="52">
        <v>1</v>
      </c>
      <c r="Q20" s="52">
        <v>198.58</v>
      </c>
      <c r="R20" s="44"/>
      <c r="S20" s="44"/>
      <c r="T20" s="44"/>
      <c r="U20" s="44"/>
    </row>
    <row r="21" spans="1:21" s="11" customFormat="1" x14ac:dyDescent="0.25">
      <c r="A21" s="51" t="s">
        <v>312</v>
      </c>
      <c r="B21" s="52">
        <v>5.58</v>
      </c>
      <c r="C21" s="52">
        <v>83.4</v>
      </c>
      <c r="D21" s="52">
        <v>49.32</v>
      </c>
      <c r="E21" s="52">
        <v>5.71</v>
      </c>
      <c r="F21" s="52">
        <v>5.15</v>
      </c>
      <c r="G21" s="52">
        <v>124.99</v>
      </c>
      <c r="H21" s="52">
        <v>58.22</v>
      </c>
      <c r="I21" s="52">
        <v>0.52</v>
      </c>
      <c r="J21" s="52">
        <v>1.33</v>
      </c>
      <c r="K21" s="52">
        <v>103.11</v>
      </c>
      <c r="L21" s="55" t="s">
        <v>8</v>
      </c>
      <c r="M21" s="55" t="s">
        <v>8</v>
      </c>
      <c r="N21" s="52">
        <v>649.1</v>
      </c>
      <c r="O21" s="52">
        <v>0</v>
      </c>
      <c r="P21" s="52">
        <v>0.92</v>
      </c>
      <c r="Q21" s="52">
        <v>199.06</v>
      </c>
      <c r="R21" s="44"/>
      <c r="S21" s="44"/>
      <c r="T21" s="44"/>
      <c r="U21" s="44"/>
    </row>
    <row r="22" spans="1:21" s="11" customFormat="1" x14ac:dyDescent="0.25">
      <c r="A22" s="51" t="s">
        <v>313</v>
      </c>
      <c r="B22" s="52">
        <v>3.58</v>
      </c>
      <c r="C22" s="52">
        <v>69.680000000000007</v>
      </c>
      <c r="D22" s="52">
        <v>41.33</v>
      </c>
      <c r="E22" s="52">
        <v>6.35</v>
      </c>
      <c r="F22" s="52">
        <v>4.6900000000000004</v>
      </c>
      <c r="G22" s="52">
        <v>130.58000000000001</v>
      </c>
      <c r="H22" s="52">
        <v>63.88</v>
      </c>
      <c r="I22" s="52">
        <v>0.48</v>
      </c>
      <c r="J22" s="52">
        <v>2.13</v>
      </c>
      <c r="K22" s="52">
        <v>112.51</v>
      </c>
      <c r="L22" s="55" t="s">
        <v>8</v>
      </c>
      <c r="M22" s="55" t="s">
        <v>8</v>
      </c>
      <c r="N22" s="52">
        <v>580.9</v>
      </c>
      <c r="O22" s="52">
        <v>0</v>
      </c>
      <c r="P22" s="52">
        <v>0.83</v>
      </c>
      <c r="Q22" s="52">
        <v>198.77</v>
      </c>
      <c r="R22" s="44"/>
      <c r="S22" s="44"/>
      <c r="T22" s="44"/>
      <c r="U22" s="44"/>
    </row>
    <row r="23" spans="1:21" s="11" customFormat="1" x14ac:dyDescent="0.25">
      <c r="A23" s="51" t="s">
        <v>314</v>
      </c>
      <c r="B23" s="52">
        <v>6.28</v>
      </c>
      <c r="C23" s="52">
        <v>75.64</v>
      </c>
      <c r="D23" s="52">
        <v>46.78</v>
      </c>
      <c r="E23" s="52">
        <v>7.68</v>
      </c>
      <c r="F23" s="52">
        <v>5.8</v>
      </c>
      <c r="G23" s="52">
        <v>118.99</v>
      </c>
      <c r="H23" s="52">
        <v>60.97</v>
      </c>
      <c r="I23" s="52">
        <v>0.44</v>
      </c>
      <c r="J23" s="52">
        <v>1.49</v>
      </c>
      <c r="K23" s="52">
        <v>105.03</v>
      </c>
      <c r="L23" s="55" t="s">
        <v>8</v>
      </c>
      <c r="M23" s="55" t="s">
        <v>8</v>
      </c>
      <c r="N23" s="52">
        <v>466.9</v>
      </c>
      <c r="O23" s="52">
        <v>0</v>
      </c>
      <c r="P23" s="52">
        <v>0.76</v>
      </c>
      <c r="Q23" s="52">
        <v>179.83</v>
      </c>
      <c r="R23" s="44"/>
      <c r="S23" s="44"/>
      <c r="T23" s="44"/>
      <c r="U23" s="44"/>
    </row>
    <row r="24" spans="1:21" s="11" customFormat="1" x14ac:dyDescent="0.25">
      <c r="A24" s="51" t="s">
        <v>315</v>
      </c>
      <c r="B24" s="52">
        <v>5.49</v>
      </c>
      <c r="C24" s="52">
        <v>76.16</v>
      </c>
      <c r="D24" s="52">
        <v>46.43</v>
      </c>
      <c r="E24" s="52">
        <v>11.63</v>
      </c>
      <c r="F24" s="52">
        <v>6.11</v>
      </c>
      <c r="G24" s="52">
        <v>117.29</v>
      </c>
      <c r="H24" s="52">
        <v>55.65</v>
      </c>
      <c r="I24" s="52">
        <v>0.39</v>
      </c>
      <c r="J24" s="52">
        <v>0.99</v>
      </c>
      <c r="K24" s="52">
        <v>117.11</v>
      </c>
      <c r="L24" s="55" t="s">
        <v>8</v>
      </c>
      <c r="M24" s="55" t="s">
        <v>8</v>
      </c>
      <c r="N24" s="52">
        <v>143.5</v>
      </c>
      <c r="O24" s="52">
        <v>0</v>
      </c>
      <c r="P24" s="52">
        <v>0.75</v>
      </c>
      <c r="Q24" s="52">
        <v>169.95</v>
      </c>
      <c r="R24" s="44"/>
      <c r="S24" s="44"/>
      <c r="T24" s="44"/>
      <c r="U24" s="44"/>
    </row>
    <row r="25" spans="1:21" s="11" customFormat="1" x14ac:dyDescent="0.25">
      <c r="A25" s="51" t="s">
        <v>316</v>
      </c>
      <c r="B25" s="52">
        <v>5.67</v>
      </c>
      <c r="C25" s="52">
        <v>74.14</v>
      </c>
      <c r="D25" s="52">
        <v>45.46</v>
      </c>
      <c r="E25" s="52">
        <v>9.36</v>
      </c>
      <c r="F25" s="52">
        <v>7.48</v>
      </c>
      <c r="G25" s="52">
        <v>107.54</v>
      </c>
      <c r="H25" s="52">
        <v>55.99</v>
      </c>
      <c r="I25" s="52">
        <v>0.38</v>
      </c>
      <c r="J25" s="52">
        <v>1.18</v>
      </c>
      <c r="K25" s="52">
        <v>122.38</v>
      </c>
      <c r="L25" s="55" t="s">
        <v>8</v>
      </c>
      <c r="M25" s="55" t="s">
        <v>8</v>
      </c>
      <c r="N25" s="52">
        <v>77.900000000000006</v>
      </c>
      <c r="O25" s="52">
        <v>0</v>
      </c>
      <c r="P25" s="52">
        <v>0.73</v>
      </c>
      <c r="Q25" s="52">
        <v>184.06</v>
      </c>
      <c r="R25" s="44"/>
      <c r="S25" s="44"/>
      <c r="T25" s="44"/>
      <c r="U25" s="44"/>
    </row>
    <row r="26" spans="1:21" s="11" customFormat="1" x14ac:dyDescent="0.25">
      <c r="A26" s="51" t="s">
        <v>317</v>
      </c>
      <c r="B26" s="52">
        <v>6.28</v>
      </c>
      <c r="C26" s="52">
        <v>87.71</v>
      </c>
      <c r="D26" s="52">
        <v>53.44</v>
      </c>
      <c r="E26" s="52">
        <v>10.43</v>
      </c>
      <c r="F26" s="52">
        <v>8.19</v>
      </c>
      <c r="G26" s="52">
        <v>115.19</v>
      </c>
      <c r="H26" s="52">
        <v>51.72</v>
      </c>
      <c r="I26" s="52">
        <v>0.44</v>
      </c>
      <c r="J26" s="52">
        <v>0.4</v>
      </c>
      <c r="K26" s="52">
        <v>85.55</v>
      </c>
      <c r="L26" s="55" t="s">
        <v>8</v>
      </c>
      <c r="M26" s="55" t="s">
        <v>8</v>
      </c>
      <c r="N26" s="52">
        <v>29.1</v>
      </c>
      <c r="O26" s="52">
        <v>0</v>
      </c>
      <c r="P26" s="52">
        <v>0.97</v>
      </c>
      <c r="Q26" s="52">
        <v>181.91</v>
      </c>
      <c r="R26" s="44"/>
      <c r="S26" s="44"/>
      <c r="T26" s="44"/>
      <c r="U26" s="44"/>
    </row>
    <row r="27" spans="1:21" s="11" customFormat="1" x14ac:dyDescent="0.25">
      <c r="A27" s="51" t="s">
        <v>318</v>
      </c>
      <c r="B27" s="52">
        <v>10.58</v>
      </c>
      <c r="C27" s="52">
        <v>110.52</v>
      </c>
      <c r="D27" s="52">
        <v>69.47</v>
      </c>
      <c r="E27" s="52">
        <v>9.7100000000000009</v>
      </c>
      <c r="F27" s="52">
        <v>4.5999999999999996</v>
      </c>
      <c r="G27" s="52">
        <v>129.77000000000001</v>
      </c>
      <c r="H27" s="52">
        <v>54.73</v>
      </c>
      <c r="I27" s="52">
        <v>0.55000000000000004</v>
      </c>
      <c r="J27" s="52">
        <v>0.37</v>
      </c>
      <c r="K27" s="52">
        <v>121.31</v>
      </c>
      <c r="L27" s="55" t="s">
        <v>8</v>
      </c>
      <c r="M27" s="55" t="s">
        <v>8</v>
      </c>
      <c r="N27" s="52">
        <v>23.1</v>
      </c>
      <c r="O27" s="52">
        <v>0</v>
      </c>
      <c r="P27" s="52">
        <v>1.08</v>
      </c>
      <c r="Q27" s="52">
        <v>152.41</v>
      </c>
      <c r="R27" s="44"/>
      <c r="S27" s="44"/>
      <c r="T27" s="44"/>
      <c r="U27" s="44"/>
    </row>
    <row r="28" spans="1:21" s="11" customFormat="1" x14ac:dyDescent="0.25">
      <c r="A28" s="51" t="s">
        <v>319</v>
      </c>
      <c r="B28" s="52">
        <v>9.89</v>
      </c>
      <c r="C28" s="52">
        <v>95.17</v>
      </c>
      <c r="D28" s="52">
        <v>59.77</v>
      </c>
      <c r="E28" s="52">
        <v>6.55</v>
      </c>
      <c r="F28" s="52">
        <v>3.68</v>
      </c>
      <c r="G28" s="52">
        <v>159.88</v>
      </c>
      <c r="H28" s="52">
        <v>58.98</v>
      </c>
      <c r="I28" s="52">
        <v>0.6</v>
      </c>
      <c r="J28" s="52">
        <v>0.51</v>
      </c>
      <c r="K28" s="52">
        <v>140.41</v>
      </c>
      <c r="L28" s="55" t="s">
        <v>8</v>
      </c>
      <c r="M28" s="55" t="s">
        <v>8</v>
      </c>
      <c r="N28" s="52">
        <v>22.6</v>
      </c>
      <c r="O28" s="52">
        <v>0</v>
      </c>
      <c r="P28" s="52">
        <v>1.1200000000000001</v>
      </c>
      <c r="Q28" s="52">
        <v>168.79</v>
      </c>
      <c r="R28" s="44"/>
      <c r="S28" s="44"/>
      <c r="T28" s="44"/>
      <c r="U28" s="44"/>
    </row>
    <row r="29" spans="1:21" s="11" customFormat="1" x14ac:dyDescent="0.25">
      <c r="A29" s="51" t="s">
        <v>320</v>
      </c>
      <c r="B29" s="52">
        <v>9.4499999999999993</v>
      </c>
      <c r="C29" s="52">
        <v>81.03</v>
      </c>
      <c r="D29" s="52">
        <v>52.29</v>
      </c>
      <c r="E29" s="52">
        <v>6.56</v>
      </c>
      <c r="F29" s="52">
        <v>3.96</v>
      </c>
      <c r="G29" s="52">
        <v>159.63</v>
      </c>
      <c r="H29" s="52">
        <v>62.01</v>
      </c>
      <c r="I29" s="52">
        <v>0.67</v>
      </c>
      <c r="J29" s="52">
        <v>0.77</v>
      </c>
      <c r="K29" s="52">
        <v>141.47</v>
      </c>
      <c r="L29" s="55" t="s">
        <v>8</v>
      </c>
      <c r="M29" s="55" t="s">
        <v>8</v>
      </c>
      <c r="N29" s="52">
        <v>22.7</v>
      </c>
      <c r="O29" s="52">
        <v>0</v>
      </c>
      <c r="P29" s="52">
        <v>1.1299999999999999</v>
      </c>
      <c r="Q29" s="52">
        <v>181.59</v>
      </c>
      <c r="R29" s="44"/>
      <c r="S29" s="44"/>
      <c r="T29" s="44"/>
      <c r="U29" s="44"/>
    </row>
    <row r="30" spans="1:21" s="11" customFormat="1" x14ac:dyDescent="0.25">
      <c r="A30" s="51" t="s">
        <v>321</v>
      </c>
      <c r="B30" s="52">
        <v>18.46</v>
      </c>
      <c r="C30" s="52">
        <v>90.15</v>
      </c>
      <c r="D30" s="52">
        <v>64.56</v>
      </c>
      <c r="E30" s="52">
        <v>5.92</v>
      </c>
      <c r="F30" s="52">
        <v>2.5299999999999998</v>
      </c>
      <c r="G30" s="52">
        <v>150.63</v>
      </c>
      <c r="H30" s="52">
        <v>59.95</v>
      </c>
      <c r="I30" s="52">
        <v>0.71</v>
      </c>
      <c r="J30" s="52">
        <v>0.24</v>
      </c>
      <c r="K30" s="52">
        <v>98.68</v>
      </c>
      <c r="L30" s="55" t="s">
        <v>8</v>
      </c>
      <c r="M30" s="55" t="s">
        <v>8</v>
      </c>
      <c r="N30" s="52">
        <v>23</v>
      </c>
      <c r="O30" s="52">
        <v>0</v>
      </c>
      <c r="P30" s="52">
        <v>1.39</v>
      </c>
      <c r="Q30" s="52">
        <v>179.26</v>
      </c>
      <c r="R30" s="44"/>
      <c r="S30" s="44"/>
      <c r="T30" s="44"/>
      <c r="U30" s="44"/>
    </row>
    <row r="31" spans="1:21" s="11" customFormat="1" x14ac:dyDescent="0.25">
      <c r="A31" s="51" t="s">
        <v>322</v>
      </c>
      <c r="B31" s="52">
        <v>41.53</v>
      </c>
      <c r="C31" s="52">
        <v>115.03</v>
      </c>
      <c r="D31" s="52">
        <v>96.79</v>
      </c>
      <c r="E31" s="52">
        <v>5.41</v>
      </c>
      <c r="F31" s="52">
        <v>0.81</v>
      </c>
      <c r="G31" s="52">
        <v>200.94</v>
      </c>
      <c r="H31" s="52">
        <v>66.77</v>
      </c>
      <c r="I31" s="52">
        <v>0.83</v>
      </c>
      <c r="J31" s="52">
        <v>0.19</v>
      </c>
      <c r="K31" s="52">
        <v>357.92</v>
      </c>
      <c r="L31" s="55" t="s">
        <v>8</v>
      </c>
      <c r="M31" s="55" t="s">
        <v>8</v>
      </c>
      <c r="N31" s="52">
        <v>22.8</v>
      </c>
      <c r="O31" s="52">
        <v>0</v>
      </c>
      <c r="P31" s="52">
        <v>1.77</v>
      </c>
      <c r="Q31" s="52">
        <v>184.06</v>
      </c>
      <c r="R31" s="44"/>
      <c r="S31" s="44"/>
      <c r="T31" s="44"/>
      <c r="U31" s="44"/>
    </row>
    <row r="32" spans="1:21" s="11" customFormat="1" x14ac:dyDescent="0.25">
      <c r="A32" s="51" t="s">
        <v>323</v>
      </c>
      <c r="B32" s="52">
        <v>42.46</v>
      </c>
      <c r="C32" s="52">
        <v>113.32</v>
      </c>
      <c r="D32" s="52">
        <v>96.59</v>
      </c>
      <c r="E32" s="52">
        <v>6.12</v>
      </c>
      <c r="F32" s="52">
        <v>0.99</v>
      </c>
      <c r="G32" s="52">
        <v>255.43</v>
      </c>
      <c r="H32" s="52">
        <v>66.97</v>
      </c>
      <c r="I32" s="52">
        <v>0.93</v>
      </c>
      <c r="J32" s="52">
        <v>0.16</v>
      </c>
      <c r="K32" s="52">
        <v>355.16</v>
      </c>
      <c r="L32" s="55" t="s">
        <v>8</v>
      </c>
      <c r="M32" s="55" t="s">
        <v>8</v>
      </c>
      <c r="N32" s="52">
        <v>22.9</v>
      </c>
      <c r="O32" s="52">
        <v>0</v>
      </c>
      <c r="P32" s="52">
        <v>1.76</v>
      </c>
      <c r="Q32" s="52">
        <v>192.81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3.58</v>
      </c>
      <c r="C34" s="28">
        <f t="shared" si="0"/>
        <v>69.680000000000007</v>
      </c>
      <c r="D34" s="28">
        <f t="shared" si="0"/>
        <v>41.33</v>
      </c>
      <c r="E34" s="28">
        <f t="shared" si="0"/>
        <v>4.9400000000000004</v>
      </c>
      <c r="F34" s="28">
        <f t="shared" si="0"/>
        <v>0.49</v>
      </c>
      <c r="G34" s="28">
        <f t="shared" si="0"/>
        <v>107.54</v>
      </c>
      <c r="H34" s="28">
        <f t="shared" si="0"/>
        <v>51.72</v>
      </c>
      <c r="I34" s="28">
        <f t="shared" si="0"/>
        <v>0.38</v>
      </c>
      <c r="J34" s="28">
        <f t="shared" si="0"/>
        <v>0.1</v>
      </c>
      <c r="K34" s="28">
        <f t="shared" si="0"/>
        <v>41.54</v>
      </c>
      <c r="L34" s="28">
        <f t="shared" si="0"/>
        <v>0</v>
      </c>
      <c r="M34" s="28">
        <f t="shared" si="0"/>
        <v>0</v>
      </c>
      <c r="N34" s="28">
        <f t="shared" si="0"/>
        <v>22.6</v>
      </c>
      <c r="O34" s="28">
        <f t="shared" si="0"/>
        <v>0</v>
      </c>
      <c r="P34" s="28">
        <f t="shared" si="0"/>
        <v>0.73</v>
      </c>
      <c r="Q34" s="28">
        <f t="shared" si="0"/>
        <v>152.41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64.56</v>
      </c>
      <c r="C35" s="29">
        <f t="shared" si="1"/>
        <v>126.48</v>
      </c>
      <c r="D35" s="29">
        <f t="shared" si="1"/>
        <v>120.58</v>
      </c>
      <c r="E35" s="29">
        <f t="shared" si="1"/>
        <v>11.63</v>
      </c>
      <c r="F35" s="29">
        <f t="shared" si="1"/>
        <v>8.19</v>
      </c>
      <c r="G35" s="29">
        <f t="shared" si="1"/>
        <v>282.08999999999997</v>
      </c>
      <c r="H35" s="29">
        <f t="shared" si="1"/>
        <v>91.09</v>
      </c>
      <c r="I35" s="29">
        <f t="shared" si="1"/>
        <v>1.34</v>
      </c>
      <c r="J35" s="29">
        <f t="shared" si="1"/>
        <v>2.13</v>
      </c>
      <c r="K35" s="29">
        <f t="shared" si="1"/>
        <v>357.92</v>
      </c>
      <c r="L35" s="29">
        <f t="shared" si="1"/>
        <v>0</v>
      </c>
      <c r="M35" s="29">
        <f t="shared" si="1"/>
        <v>0</v>
      </c>
      <c r="N35" s="29">
        <f t="shared" si="1"/>
        <v>678.8</v>
      </c>
      <c r="O35" s="29">
        <f t="shared" si="1"/>
        <v>0</v>
      </c>
      <c r="P35" s="29">
        <f t="shared" si="1"/>
        <v>2.38</v>
      </c>
      <c r="Q35" s="29">
        <f t="shared" si="1"/>
        <v>230.7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28.402083333333337</v>
      </c>
      <c r="C36" s="28">
        <f t="shared" si="2"/>
        <v>95.670416666666696</v>
      </c>
      <c r="D36" s="28">
        <f t="shared" si="2"/>
        <v>75.289583333333326</v>
      </c>
      <c r="E36" s="28">
        <f t="shared" si="2"/>
        <v>6.5470833333333331</v>
      </c>
      <c r="F36" s="28">
        <f t="shared" si="2"/>
        <v>2.8774999999999999</v>
      </c>
      <c r="G36" s="28">
        <f t="shared" si="2"/>
        <v>188.14458333333334</v>
      </c>
      <c r="H36" s="28">
        <f t="shared" si="2"/>
        <v>70.773333333333341</v>
      </c>
      <c r="I36" s="28">
        <f t="shared" si="2"/>
        <v>0.80875000000000019</v>
      </c>
      <c r="J36" s="28">
        <f t="shared" si="2"/>
        <v>0.75083333333333335</v>
      </c>
      <c r="K36" s="28">
        <f t="shared" si="2"/>
        <v>168.25041666666667</v>
      </c>
      <c r="L36" s="28" t="e">
        <f t="shared" si="2"/>
        <v>#DIV/0!</v>
      </c>
      <c r="M36" s="28" t="e">
        <f t="shared" si="2"/>
        <v>#DIV/0!</v>
      </c>
      <c r="N36" s="28">
        <f t="shared" si="2"/>
        <v>215.76250000000002</v>
      </c>
      <c r="O36" s="28">
        <f t="shared" si="2"/>
        <v>0</v>
      </c>
      <c r="P36" s="28">
        <f t="shared" si="2"/>
        <v>1.3891666666666669</v>
      </c>
      <c r="Q36" s="28">
        <f t="shared" si="2"/>
        <v>192.9579166666667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20.808409666822659</v>
      </c>
      <c r="C37" s="28">
        <f t="shared" ref="C37:Q37" si="3">STDEV(C9:C32)</f>
        <v>15.948958662794725</v>
      </c>
      <c r="D37" s="28">
        <f t="shared" si="3"/>
        <v>24.406810254012402</v>
      </c>
      <c r="E37" s="28">
        <f t="shared" si="3"/>
        <v>1.8586542096405398</v>
      </c>
      <c r="F37" s="28">
        <f t="shared" si="3"/>
        <v>2.4350649486918869</v>
      </c>
      <c r="G37" s="28">
        <f t="shared" si="3"/>
        <v>59.133075566097446</v>
      </c>
      <c r="H37" s="28">
        <f t="shared" si="3"/>
        <v>12.735568018491429</v>
      </c>
      <c r="I37" s="28">
        <f t="shared" si="3"/>
        <v>0.30811223957173917</v>
      </c>
      <c r="J37" s="28">
        <f t="shared" si="3"/>
        <v>0.62737490813892038</v>
      </c>
      <c r="K37" s="28">
        <f t="shared" si="3"/>
        <v>104.51058417292798</v>
      </c>
      <c r="L37" s="28" t="e">
        <f t="shared" si="3"/>
        <v>#DIV/0!</v>
      </c>
      <c r="M37" s="28" t="e">
        <f t="shared" si="3"/>
        <v>#DIV/0!</v>
      </c>
      <c r="N37" s="28">
        <f t="shared" si="3"/>
        <v>254.22500443590275</v>
      </c>
      <c r="O37" s="28">
        <f t="shared" si="3"/>
        <v>0</v>
      </c>
      <c r="P37" s="28">
        <f t="shared" si="3"/>
        <v>0.48543048279149875</v>
      </c>
      <c r="Q37" s="28">
        <f t="shared" si="3"/>
        <v>19.961387504959976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>COUNT(L9:L32)+24</f>
        <v>24</v>
      </c>
      <c r="M38" s="32">
        <f>COUNT(M9:M32)+24</f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299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 t="s">
        <v>324</v>
      </c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12-11-2022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325</v>
      </c>
      <c r="B9" s="52">
        <v>36.19</v>
      </c>
      <c r="C9" s="52">
        <v>101.81</v>
      </c>
      <c r="D9" s="52">
        <v>85.21</v>
      </c>
      <c r="E9" s="52">
        <v>5.49</v>
      </c>
      <c r="F9" s="52">
        <v>0.84</v>
      </c>
      <c r="G9" s="52">
        <v>184.07</v>
      </c>
      <c r="H9" s="52">
        <v>62.91</v>
      </c>
      <c r="I9" s="52">
        <v>0.92</v>
      </c>
      <c r="J9" s="52">
        <v>0.14000000000000001</v>
      </c>
      <c r="K9" s="52">
        <v>355.07</v>
      </c>
      <c r="L9" s="55" t="s">
        <v>8</v>
      </c>
      <c r="M9" s="55" t="s">
        <v>8</v>
      </c>
      <c r="N9" s="52">
        <v>22.9</v>
      </c>
      <c r="O9" s="52">
        <v>0</v>
      </c>
      <c r="P9" s="52">
        <v>1.62</v>
      </c>
      <c r="Q9" s="52">
        <v>186.37</v>
      </c>
      <c r="R9" s="44"/>
      <c r="S9" s="44"/>
      <c r="T9" s="44"/>
      <c r="U9" s="44"/>
    </row>
    <row r="10" spans="1:21" s="11" customFormat="1" x14ac:dyDescent="0.25">
      <c r="A10" s="51" t="s">
        <v>326</v>
      </c>
      <c r="B10" s="52">
        <v>29.82</v>
      </c>
      <c r="C10" s="52">
        <v>86.69</v>
      </c>
      <c r="D10" s="52">
        <v>71.760000000000005</v>
      </c>
      <c r="E10" s="52">
        <v>5.48</v>
      </c>
      <c r="F10" s="52">
        <v>0.67</v>
      </c>
      <c r="G10" s="52">
        <v>179.52</v>
      </c>
      <c r="H10" s="52">
        <v>60.57</v>
      </c>
      <c r="I10" s="52">
        <v>0.91</v>
      </c>
      <c r="J10" s="52">
        <v>0.8</v>
      </c>
      <c r="K10" s="52">
        <v>42.28</v>
      </c>
      <c r="L10" s="55" t="s">
        <v>8</v>
      </c>
      <c r="M10" s="55" t="s">
        <v>8</v>
      </c>
      <c r="N10" s="52">
        <v>22.3</v>
      </c>
      <c r="O10" s="52">
        <v>0</v>
      </c>
      <c r="P10" s="52">
        <v>1.39</v>
      </c>
      <c r="Q10" s="52">
        <v>149.58000000000001</v>
      </c>
      <c r="R10" s="44"/>
      <c r="S10" s="44"/>
      <c r="T10" s="44"/>
      <c r="U10" s="44"/>
    </row>
    <row r="11" spans="1:21" s="11" customFormat="1" x14ac:dyDescent="0.25">
      <c r="A11" s="51" t="s">
        <v>327</v>
      </c>
      <c r="B11" s="52">
        <v>22.38</v>
      </c>
      <c r="C11" s="52">
        <v>82.54</v>
      </c>
      <c r="D11" s="52">
        <v>62.9</v>
      </c>
      <c r="E11" s="52">
        <v>5.78</v>
      </c>
      <c r="F11" s="52">
        <v>1.1299999999999999</v>
      </c>
      <c r="G11" s="52">
        <v>182.82</v>
      </c>
      <c r="H11" s="52">
        <v>65.13</v>
      </c>
      <c r="I11" s="52">
        <v>0.83</v>
      </c>
      <c r="J11" s="52">
        <v>0.56000000000000005</v>
      </c>
      <c r="K11" s="52">
        <v>79.319999999999993</v>
      </c>
      <c r="L11" s="55" t="s">
        <v>8</v>
      </c>
      <c r="M11" s="55" t="s">
        <v>8</v>
      </c>
      <c r="N11" s="52">
        <v>22.2</v>
      </c>
      <c r="O11" s="52">
        <v>0</v>
      </c>
      <c r="P11" s="52">
        <v>1.43</v>
      </c>
      <c r="Q11" s="52">
        <v>148.12</v>
      </c>
      <c r="R11" s="44"/>
      <c r="S11" s="44"/>
      <c r="T11" s="44"/>
      <c r="U11" s="44"/>
    </row>
    <row r="12" spans="1:21" s="11" customFormat="1" x14ac:dyDescent="0.25">
      <c r="A12" s="51" t="s">
        <v>328</v>
      </c>
      <c r="B12" s="52">
        <v>19.3</v>
      </c>
      <c r="C12" s="52">
        <v>80.930000000000007</v>
      </c>
      <c r="D12" s="52">
        <v>60.14</v>
      </c>
      <c r="E12" s="52">
        <v>5.52</v>
      </c>
      <c r="F12" s="52">
        <v>1.17</v>
      </c>
      <c r="G12" s="52">
        <v>224.39</v>
      </c>
      <c r="H12" s="52">
        <v>80.34</v>
      </c>
      <c r="I12" s="52">
        <v>0.77</v>
      </c>
      <c r="J12" s="52">
        <v>0.3</v>
      </c>
      <c r="K12" s="52">
        <v>86.19</v>
      </c>
      <c r="L12" s="55" t="s">
        <v>8</v>
      </c>
      <c r="M12" s="55" t="s">
        <v>8</v>
      </c>
      <c r="N12" s="52">
        <v>22.2</v>
      </c>
      <c r="O12" s="52">
        <v>0</v>
      </c>
      <c r="P12" s="52">
        <v>1.4</v>
      </c>
      <c r="Q12" s="52">
        <v>150.94999999999999</v>
      </c>
      <c r="R12" s="44"/>
      <c r="S12" s="44"/>
      <c r="T12" s="44"/>
      <c r="U12" s="44"/>
    </row>
    <row r="13" spans="1:21" s="11" customFormat="1" x14ac:dyDescent="0.25">
      <c r="A13" s="51" t="s">
        <v>329</v>
      </c>
      <c r="B13" s="52">
        <v>14.71</v>
      </c>
      <c r="C13" s="52">
        <v>73.97</v>
      </c>
      <c r="D13" s="52">
        <v>52.62</v>
      </c>
      <c r="E13" s="52">
        <v>5.0199999999999996</v>
      </c>
      <c r="F13" s="52">
        <v>1.5</v>
      </c>
      <c r="G13" s="52">
        <v>189.99</v>
      </c>
      <c r="H13" s="52">
        <v>77.239999999999995</v>
      </c>
      <c r="I13" s="52">
        <v>0.78</v>
      </c>
      <c r="J13" s="52">
        <v>0.36</v>
      </c>
      <c r="K13" s="52">
        <v>80.25</v>
      </c>
      <c r="L13" s="55" t="s">
        <v>8</v>
      </c>
      <c r="M13" s="55" t="s">
        <v>8</v>
      </c>
      <c r="N13" s="52">
        <v>22</v>
      </c>
      <c r="O13" s="52">
        <v>0</v>
      </c>
      <c r="P13" s="52">
        <v>1.27</v>
      </c>
      <c r="Q13" s="52">
        <v>150.12</v>
      </c>
      <c r="R13" s="44"/>
      <c r="S13" s="44"/>
      <c r="T13" s="44"/>
      <c r="U13" s="44"/>
    </row>
    <row r="14" spans="1:21" s="11" customFormat="1" x14ac:dyDescent="0.25">
      <c r="A14" s="51" t="s">
        <v>330</v>
      </c>
      <c r="B14" s="52">
        <v>11.87</v>
      </c>
      <c r="C14" s="52">
        <v>71.59</v>
      </c>
      <c r="D14" s="52">
        <v>48.94</v>
      </c>
      <c r="E14" s="52">
        <v>4.9000000000000004</v>
      </c>
      <c r="F14" s="52">
        <v>0.81</v>
      </c>
      <c r="G14" s="52">
        <v>195.4</v>
      </c>
      <c r="H14" s="52">
        <v>78.14</v>
      </c>
      <c r="I14" s="52">
        <v>0.74</v>
      </c>
      <c r="J14" s="52">
        <v>0.92</v>
      </c>
      <c r="K14" s="52">
        <v>64.760000000000005</v>
      </c>
      <c r="L14" s="55" t="s">
        <v>8</v>
      </c>
      <c r="M14" s="55" t="s">
        <v>8</v>
      </c>
      <c r="N14" s="52">
        <v>22.3</v>
      </c>
      <c r="O14" s="52">
        <v>0</v>
      </c>
      <c r="P14" s="52">
        <v>1.24</v>
      </c>
      <c r="Q14" s="52">
        <v>122.42</v>
      </c>
      <c r="R14" s="44"/>
      <c r="S14" s="44"/>
      <c r="T14" s="44"/>
      <c r="U14" s="44"/>
    </row>
    <row r="15" spans="1:21" s="11" customFormat="1" x14ac:dyDescent="0.25">
      <c r="A15" s="51" t="s">
        <v>331</v>
      </c>
      <c r="B15" s="52">
        <v>15.03</v>
      </c>
      <c r="C15" s="52">
        <v>82.37</v>
      </c>
      <c r="D15" s="52">
        <v>57.51</v>
      </c>
      <c r="E15" s="52">
        <v>5.35</v>
      </c>
      <c r="F15" s="52">
        <v>0.54</v>
      </c>
      <c r="G15" s="52">
        <v>193.75</v>
      </c>
      <c r="H15" s="52">
        <v>78.400000000000006</v>
      </c>
      <c r="I15" s="52">
        <v>0.7</v>
      </c>
      <c r="J15" s="52">
        <v>0.98</v>
      </c>
      <c r="K15" s="52">
        <v>49.11</v>
      </c>
      <c r="L15" s="55" t="s">
        <v>8</v>
      </c>
      <c r="M15" s="55" t="s">
        <v>8</v>
      </c>
      <c r="N15" s="52">
        <v>70.5</v>
      </c>
      <c r="O15" s="52">
        <v>0</v>
      </c>
      <c r="P15" s="52">
        <v>1.32</v>
      </c>
      <c r="Q15" s="52">
        <v>144.12</v>
      </c>
      <c r="R15" s="44"/>
      <c r="S15" s="44"/>
      <c r="T15" s="44"/>
      <c r="U15" s="44"/>
    </row>
    <row r="16" spans="1:21" s="11" customFormat="1" x14ac:dyDescent="0.25">
      <c r="A16" s="51" t="s">
        <v>332</v>
      </c>
      <c r="B16" s="52">
        <v>24.82</v>
      </c>
      <c r="C16" s="52">
        <v>91.95</v>
      </c>
      <c r="D16" s="52">
        <v>69.959999999999994</v>
      </c>
      <c r="E16" s="52">
        <v>6.52</v>
      </c>
      <c r="F16" s="52">
        <v>0.51</v>
      </c>
      <c r="G16" s="52">
        <v>222.98</v>
      </c>
      <c r="H16" s="52">
        <v>88.93</v>
      </c>
      <c r="I16" s="52">
        <v>0.72</v>
      </c>
      <c r="J16" s="52">
        <v>1.04</v>
      </c>
      <c r="K16" s="52">
        <v>39.340000000000003</v>
      </c>
      <c r="L16" s="55" t="s">
        <v>8</v>
      </c>
      <c r="M16" s="55" t="s">
        <v>8</v>
      </c>
      <c r="N16" s="52">
        <v>244.2</v>
      </c>
      <c r="O16" s="52">
        <v>0</v>
      </c>
      <c r="P16" s="52">
        <v>1.62</v>
      </c>
      <c r="Q16" s="52">
        <v>156.47</v>
      </c>
      <c r="R16" s="44"/>
      <c r="S16" s="44"/>
      <c r="T16" s="44"/>
      <c r="U16" s="44"/>
    </row>
    <row r="17" spans="1:21" s="11" customFormat="1" x14ac:dyDescent="0.25">
      <c r="A17" s="51" t="s">
        <v>333</v>
      </c>
      <c r="B17" s="52">
        <v>27.63</v>
      </c>
      <c r="C17" s="52">
        <v>98.8</v>
      </c>
      <c r="D17" s="52">
        <v>76.680000000000007</v>
      </c>
      <c r="E17" s="52">
        <v>5.28</v>
      </c>
      <c r="F17" s="52">
        <v>0.71</v>
      </c>
      <c r="G17" s="52">
        <v>266.5</v>
      </c>
      <c r="H17" s="52">
        <v>99.35</v>
      </c>
      <c r="I17" s="52">
        <v>0.71</v>
      </c>
      <c r="J17" s="52">
        <v>1.1299999999999999</v>
      </c>
      <c r="K17" s="52">
        <v>91.36</v>
      </c>
      <c r="L17" s="55" t="s">
        <v>8</v>
      </c>
      <c r="M17" s="55" t="s">
        <v>8</v>
      </c>
      <c r="N17" s="52">
        <v>411.9</v>
      </c>
      <c r="O17" s="52">
        <v>0</v>
      </c>
      <c r="P17" s="52">
        <v>1.68</v>
      </c>
      <c r="Q17" s="52">
        <v>143.03</v>
      </c>
      <c r="R17" s="44"/>
      <c r="S17" s="44"/>
      <c r="T17" s="44"/>
      <c r="U17" s="44"/>
    </row>
    <row r="18" spans="1:21" s="11" customFormat="1" x14ac:dyDescent="0.25">
      <c r="A18" s="51" t="s">
        <v>334</v>
      </c>
      <c r="B18" s="52">
        <v>26.14</v>
      </c>
      <c r="C18" s="52">
        <v>96.93</v>
      </c>
      <c r="D18" s="52">
        <v>74.459999999999994</v>
      </c>
      <c r="E18" s="52">
        <v>5.43</v>
      </c>
      <c r="F18" s="52">
        <v>1.01</v>
      </c>
      <c r="G18" s="52">
        <v>260.25</v>
      </c>
      <c r="H18" s="52">
        <v>97.86</v>
      </c>
      <c r="I18" s="52">
        <v>0.6</v>
      </c>
      <c r="J18" s="52">
        <v>1.1299999999999999</v>
      </c>
      <c r="K18" s="52">
        <v>127.36</v>
      </c>
      <c r="L18" s="55" t="s">
        <v>8</v>
      </c>
      <c r="M18" s="55" t="s">
        <v>8</v>
      </c>
      <c r="N18" s="52">
        <v>558.9</v>
      </c>
      <c r="O18" s="52">
        <v>0</v>
      </c>
      <c r="P18" s="52">
        <v>1.66</v>
      </c>
      <c r="Q18" s="52">
        <v>176.35</v>
      </c>
      <c r="R18" s="44"/>
      <c r="S18" s="44"/>
      <c r="T18" s="44"/>
      <c r="U18" s="44"/>
    </row>
    <row r="19" spans="1:21" s="11" customFormat="1" x14ac:dyDescent="0.25">
      <c r="A19" s="51" t="s">
        <v>335</v>
      </c>
      <c r="B19" s="52">
        <v>19.88</v>
      </c>
      <c r="C19" s="52">
        <v>95.66</v>
      </c>
      <c r="D19" s="52">
        <v>68.739999999999995</v>
      </c>
      <c r="E19" s="52">
        <v>5.55</v>
      </c>
      <c r="F19" s="52">
        <v>1.89</v>
      </c>
      <c r="G19" s="52">
        <v>225.06</v>
      </c>
      <c r="H19" s="52">
        <v>91.95</v>
      </c>
      <c r="I19" s="52">
        <v>0.6</v>
      </c>
      <c r="J19" s="52">
        <v>1.3</v>
      </c>
      <c r="K19" s="52">
        <v>128.78</v>
      </c>
      <c r="L19" s="55" t="s">
        <v>8</v>
      </c>
      <c r="M19" s="55" t="s">
        <v>8</v>
      </c>
      <c r="N19" s="52">
        <v>627.4</v>
      </c>
      <c r="O19" s="52">
        <v>0</v>
      </c>
      <c r="P19" s="52">
        <v>1.5</v>
      </c>
      <c r="Q19" s="52">
        <v>197.26</v>
      </c>
      <c r="R19" s="44"/>
      <c r="S19" s="44"/>
      <c r="T19" s="44"/>
      <c r="U19" s="44"/>
    </row>
    <row r="20" spans="1:21" s="11" customFormat="1" x14ac:dyDescent="0.25">
      <c r="A20" s="51" t="s">
        <v>336</v>
      </c>
      <c r="B20" s="52">
        <v>7.62</v>
      </c>
      <c r="C20" s="52">
        <v>79.03</v>
      </c>
      <c r="D20" s="52">
        <v>49.73</v>
      </c>
      <c r="E20" s="52">
        <v>5.31</v>
      </c>
      <c r="F20" s="52">
        <v>4.32</v>
      </c>
      <c r="G20" s="52">
        <v>169.62</v>
      </c>
      <c r="H20" s="52">
        <v>67.790000000000006</v>
      </c>
      <c r="I20" s="52">
        <v>0.53</v>
      </c>
      <c r="J20" s="52">
        <v>0.73</v>
      </c>
      <c r="K20" s="52">
        <v>107.67</v>
      </c>
      <c r="L20" s="55" t="s">
        <v>8</v>
      </c>
      <c r="M20" s="55" t="s">
        <v>8</v>
      </c>
      <c r="N20" s="52">
        <v>655.29999999999995</v>
      </c>
      <c r="O20" s="52">
        <v>0</v>
      </c>
      <c r="P20" s="52">
        <v>1.21</v>
      </c>
      <c r="Q20" s="52">
        <v>205.11</v>
      </c>
      <c r="R20" s="44"/>
      <c r="S20" s="44"/>
      <c r="T20" s="44"/>
      <c r="U20" s="44"/>
    </row>
    <row r="21" spans="1:21" s="11" customFormat="1" x14ac:dyDescent="0.25">
      <c r="A21" s="51" t="s">
        <v>337</v>
      </c>
      <c r="B21" s="52">
        <v>4.84</v>
      </c>
      <c r="C21" s="52">
        <v>73.17</v>
      </c>
      <c r="D21" s="52">
        <v>43.36</v>
      </c>
      <c r="E21" s="52">
        <v>6.24</v>
      </c>
      <c r="F21" s="52">
        <v>10.3</v>
      </c>
      <c r="G21" s="52">
        <v>161.32</v>
      </c>
      <c r="H21" s="52">
        <v>72.540000000000006</v>
      </c>
      <c r="I21" s="52">
        <v>0.48</v>
      </c>
      <c r="J21" s="52">
        <v>0.98</v>
      </c>
      <c r="K21" s="52">
        <v>125.34</v>
      </c>
      <c r="L21" s="55" t="s">
        <v>8</v>
      </c>
      <c r="M21" s="55" t="s">
        <v>8</v>
      </c>
      <c r="N21" s="52">
        <v>623</v>
      </c>
      <c r="O21" s="52">
        <v>0</v>
      </c>
      <c r="P21" s="52">
        <v>1.06</v>
      </c>
      <c r="Q21" s="52">
        <v>154.99</v>
      </c>
      <c r="R21" s="44"/>
      <c r="S21" s="44"/>
      <c r="T21" s="44"/>
      <c r="U21" s="44"/>
    </row>
    <row r="22" spans="1:21" s="11" customFormat="1" x14ac:dyDescent="0.25">
      <c r="A22" s="51" t="s">
        <v>338</v>
      </c>
      <c r="B22" s="52">
        <v>6.67</v>
      </c>
      <c r="C22" s="52">
        <v>78.599999999999994</v>
      </c>
      <c r="D22" s="52">
        <v>48.72</v>
      </c>
      <c r="E22" s="52">
        <v>7.24</v>
      </c>
      <c r="F22" s="52">
        <v>9.32</v>
      </c>
      <c r="G22" s="52">
        <v>137.38</v>
      </c>
      <c r="H22" s="52">
        <v>58.43</v>
      </c>
      <c r="I22" s="52">
        <v>0.42</v>
      </c>
      <c r="J22" s="52">
        <v>1.04</v>
      </c>
      <c r="K22" s="52">
        <v>120.73</v>
      </c>
      <c r="L22" s="55" t="s">
        <v>8</v>
      </c>
      <c r="M22" s="55" t="s">
        <v>8</v>
      </c>
      <c r="N22" s="52">
        <v>539.5</v>
      </c>
      <c r="O22" s="52">
        <v>0</v>
      </c>
      <c r="P22" s="52">
        <v>0.99</v>
      </c>
      <c r="Q22" s="52">
        <v>157.05000000000001</v>
      </c>
      <c r="R22" s="44"/>
      <c r="S22" s="44"/>
      <c r="T22" s="44"/>
      <c r="U22" s="44"/>
    </row>
    <row r="23" spans="1:21" s="11" customFormat="1" x14ac:dyDescent="0.25">
      <c r="A23" s="51" t="s">
        <v>339</v>
      </c>
      <c r="B23" s="52">
        <v>5.82</v>
      </c>
      <c r="C23" s="52">
        <v>93.89</v>
      </c>
      <c r="D23" s="52">
        <v>55.03</v>
      </c>
      <c r="E23" s="52">
        <v>14.41</v>
      </c>
      <c r="F23" s="52">
        <v>22.39</v>
      </c>
      <c r="G23" s="52">
        <v>137.93</v>
      </c>
      <c r="H23" s="52">
        <v>55.46</v>
      </c>
      <c r="I23" s="52">
        <v>0.37</v>
      </c>
      <c r="J23" s="52">
        <v>0.96</v>
      </c>
      <c r="K23" s="52">
        <v>75.86</v>
      </c>
      <c r="L23" s="55" t="s">
        <v>8</v>
      </c>
      <c r="M23" s="55" t="s">
        <v>8</v>
      </c>
      <c r="N23" s="52">
        <v>351.9</v>
      </c>
      <c r="O23" s="52">
        <v>0</v>
      </c>
      <c r="P23" s="52">
        <v>0.97</v>
      </c>
      <c r="Q23" s="52">
        <v>178.13</v>
      </c>
      <c r="R23" s="44"/>
      <c r="S23" s="44"/>
      <c r="T23" s="44"/>
      <c r="U23" s="44"/>
    </row>
    <row r="24" spans="1:21" s="11" customFormat="1" x14ac:dyDescent="0.25">
      <c r="A24" s="51" t="s">
        <v>340</v>
      </c>
      <c r="B24" s="52">
        <v>4.8899999999999997</v>
      </c>
      <c r="C24" s="52">
        <v>83.8</v>
      </c>
      <c r="D24" s="52">
        <v>49.84</v>
      </c>
      <c r="E24" s="52">
        <v>8.1300000000000008</v>
      </c>
      <c r="F24" s="52">
        <v>7.79</v>
      </c>
      <c r="G24" s="52">
        <v>143.91</v>
      </c>
      <c r="H24" s="52">
        <v>63.47</v>
      </c>
      <c r="I24" s="52">
        <v>0.36</v>
      </c>
      <c r="J24" s="52">
        <v>1.5</v>
      </c>
      <c r="K24" s="52">
        <v>34.24</v>
      </c>
      <c r="L24" s="55" t="s">
        <v>8</v>
      </c>
      <c r="M24" s="55" t="s">
        <v>8</v>
      </c>
      <c r="N24" s="52">
        <v>153.80000000000001</v>
      </c>
      <c r="O24" s="52">
        <v>0</v>
      </c>
      <c r="P24" s="52">
        <v>1.02</v>
      </c>
      <c r="Q24" s="52">
        <v>153.79</v>
      </c>
      <c r="R24" s="44"/>
      <c r="S24" s="44"/>
      <c r="T24" s="44"/>
      <c r="U24" s="44"/>
    </row>
    <row r="25" spans="1:21" s="11" customFormat="1" x14ac:dyDescent="0.25">
      <c r="A25" s="51" t="s">
        <v>341</v>
      </c>
      <c r="B25" s="52">
        <v>6.94</v>
      </c>
      <c r="C25" s="52">
        <v>114.13</v>
      </c>
      <c r="D25" s="52">
        <v>65.58</v>
      </c>
      <c r="E25" s="52">
        <v>10.62</v>
      </c>
      <c r="F25" s="52">
        <v>15.71</v>
      </c>
      <c r="G25" s="52">
        <v>143.6</v>
      </c>
      <c r="H25" s="52">
        <v>63.71</v>
      </c>
      <c r="I25" s="52">
        <v>0.36</v>
      </c>
      <c r="J25" s="52">
        <v>1.38</v>
      </c>
      <c r="K25" s="52">
        <v>34.65</v>
      </c>
      <c r="L25" s="55" t="s">
        <v>8</v>
      </c>
      <c r="M25" s="55" t="s">
        <v>8</v>
      </c>
      <c r="N25" s="52">
        <v>80.400000000000006</v>
      </c>
      <c r="O25" s="52">
        <v>0</v>
      </c>
      <c r="P25" s="52">
        <v>1.1100000000000001</v>
      </c>
      <c r="Q25" s="52">
        <v>146.86000000000001</v>
      </c>
      <c r="R25" s="44"/>
      <c r="S25" s="44"/>
      <c r="T25" s="44"/>
      <c r="U25" s="44"/>
    </row>
    <row r="26" spans="1:21" s="11" customFormat="1" x14ac:dyDescent="0.25">
      <c r="A26" s="51" t="s">
        <v>342</v>
      </c>
      <c r="B26" s="52">
        <v>13.15</v>
      </c>
      <c r="C26" s="52">
        <v>154.32</v>
      </c>
      <c r="D26" s="52">
        <v>95.04</v>
      </c>
      <c r="E26" s="52">
        <v>11.05</v>
      </c>
      <c r="F26" s="52">
        <v>7.55</v>
      </c>
      <c r="G26" s="52">
        <v>155.38999999999999</v>
      </c>
      <c r="H26" s="52">
        <v>58.06</v>
      </c>
      <c r="I26" s="52">
        <v>0.5</v>
      </c>
      <c r="J26" s="52">
        <v>0.54</v>
      </c>
      <c r="K26" s="52">
        <v>102.4</v>
      </c>
      <c r="L26" s="55" t="s">
        <v>8</v>
      </c>
      <c r="M26" s="55" t="s">
        <v>8</v>
      </c>
      <c r="N26" s="52">
        <v>25.7</v>
      </c>
      <c r="O26" s="52">
        <v>0</v>
      </c>
      <c r="P26" s="52">
        <v>1.55</v>
      </c>
      <c r="Q26" s="52">
        <v>190.65</v>
      </c>
      <c r="R26" s="44"/>
      <c r="S26" s="44"/>
      <c r="T26" s="44"/>
      <c r="U26" s="44"/>
    </row>
    <row r="27" spans="1:21" s="11" customFormat="1" x14ac:dyDescent="0.25">
      <c r="A27" s="51" t="s">
        <v>343</v>
      </c>
      <c r="B27" s="52">
        <v>28.17</v>
      </c>
      <c r="C27" s="52">
        <v>146.83000000000001</v>
      </c>
      <c r="D27" s="52">
        <v>97.87</v>
      </c>
      <c r="E27" s="52">
        <v>5.46</v>
      </c>
      <c r="F27" s="52">
        <v>1.1599999999999999</v>
      </c>
      <c r="G27" s="52">
        <v>322.37</v>
      </c>
      <c r="H27" s="52">
        <v>80.97</v>
      </c>
      <c r="I27" s="52">
        <v>0.73</v>
      </c>
      <c r="J27" s="52">
        <v>0.26</v>
      </c>
      <c r="K27" s="52">
        <v>120.16</v>
      </c>
      <c r="L27" s="55" t="s">
        <v>8</v>
      </c>
      <c r="M27" s="55" t="s">
        <v>8</v>
      </c>
      <c r="N27" s="52">
        <v>19.3</v>
      </c>
      <c r="O27" s="52">
        <v>0</v>
      </c>
      <c r="P27" s="52">
        <v>2.27</v>
      </c>
      <c r="Q27" s="52">
        <v>197.7</v>
      </c>
      <c r="R27" s="44"/>
      <c r="S27" s="44"/>
      <c r="T27" s="44"/>
      <c r="U27" s="44"/>
    </row>
    <row r="28" spans="1:21" s="11" customFormat="1" x14ac:dyDescent="0.25">
      <c r="A28" s="51" t="s">
        <v>344</v>
      </c>
      <c r="B28" s="52">
        <v>27.91</v>
      </c>
      <c r="C28" s="52">
        <v>134.94999999999999</v>
      </c>
      <c r="D28" s="52">
        <v>94.56</v>
      </c>
      <c r="E28" s="52">
        <v>4.7300000000000004</v>
      </c>
      <c r="F28" s="52">
        <v>2.0099999999999998</v>
      </c>
      <c r="G28" s="52">
        <v>391.87</v>
      </c>
      <c r="H28" s="52">
        <v>89.55</v>
      </c>
      <c r="I28" s="52">
        <v>0.98</v>
      </c>
      <c r="J28" s="52">
        <v>0.35</v>
      </c>
      <c r="K28" s="52">
        <v>100.58</v>
      </c>
      <c r="L28" s="55" t="s">
        <v>8</v>
      </c>
      <c r="M28" s="55" t="s">
        <v>8</v>
      </c>
      <c r="N28" s="52">
        <v>21.1</v>
      </c>
      <c r="O28" s="52">
        <v>0</v>
      </c>
      <c r="P28" s="52">
        <v>2.36</v>
      </c>
      <c r="Q28" s="52">
        <v>183.72</v>
      </c>
      <c r="R28" s="44"/>
      <c r="S28" s="44"/>
      <c r="T28" s="44"/>
      <c r="U28" s="44"/>
    </row>
    <row r="29" spans="1:21" s="11" customFormat="1" x14ac:dyDescent="0.25">
      <c r="A29" s="51" t="s">
        <v>345</v>
      </c>
      <c r="B29" s="52">
        <v>28.99</v>
      </c>
      <c r="C29" s="52">
        <v>124.37</v>
      </c>
      <c r="D29" s="52">
        <v>88.98</v>
      </c>
      <c r="E29" s="52">
        <v>4.8499999999999996</v>
      </c>
      <c r="F29" s="52">
        <v>2.21</v>
      </c>
      <c r="G29" s="52">
        <v>246.57</v>
      </c>
      <c r="H29" s="52">
        <v>79.349999999999994</v>
      </c>
      <c r="I29" s="52">
        <v>1</v>
      </c>
      <c r="J29" s="52">
        <v>0.28999999999999998</v>
      </c>
      <c r="K29" s="52">
        <v>108.28</v>
      </c>
      <c r="L29" s="55" t="s">
        <v>8</v>
      </c>
      <c r="M29" s="55" t="s">
        <v>8</v>
      </c>
      <c r="N29" s="52">
        <v>21.4</v>
      </c>
      <c r="O29" s="52">
        <v>0</v>
      </c>
      <c r="P29" s="52">
        <v>2.3199999999999998</v>
      </c>
      <c r="Q29" s="52">
        <v>190.74</v>
      </c>
      <c r="R29" s="44"/>
      <c r="S29" s="44"/>
      <c r="T29" s="44"/>
      <c r="U29" s="44"/>
    </row>
    <row r="30" spans="1:21" s="11" customFormat="1" x14ac:dyDescent="0.25">
      <c r="A30" s="51" t="s">
        <v>346</v>
      </c>
      <c r="B30" s="52">
        <v>31.02</v>
      </c>
      <c r="C30" s="52">
        <v>114.11</v>
      </c>
      <c r="D30" s="52">
        <v>87.85</v>
      </c>
      <c r="E30" s="52">
        <v>4.83</v>
      </c>
      <c r="F30" s="52">
        <v>0.95</v>
      </c>
      <c r="G30" s="52">
        <v>197.68</v>
      </c>
      <c r="H30" s="52">
        <v>79.239999999999995</v>
      </c>
      <c r="I30" s="52">
        <v>1.1399999999999999</v>
      </c>
      <c r="J30" s="52">
        <v>0.33</v>
      </c>
      <c r="K30" s="52">
        <v>85.95</v>
      </c>
      <c r="L30" s="55" t="s">
        <v>8</v>
      </c>
      <c r="M30" s="55" t="s">
        <v>8</v>
      </c>
      <c r="N30" s="52">
        <v>21.5</v>
      </c>
      <c r="O30" s="52">
        <v>0</v>
      </c>
      <c r="P30" s="52">
        <v>2.37</v>
      </c>
      <c r="Q30" s="52">
        <v>198.71</v>
      </c>
      <c r="R30" s="44"/>
      <c r="S30" s="44"/>
      <c r="T30" s="44"/>
      <c r="U30" s="44"/>
    </row>
    <row r="31" spans="1:21" s="11" customFormat="1" x14ac:dyDescent="0.25">
      <c r="A31" s="51" t="s">
        <v>347</v>
      </c>
      <c r="B31" s="52">
        <v>30.46</v>
      </c>
      <c r="C31" s="52">
        <v>114.38</v>
      </c>
      <c r="D31" s="52">
        <v>87.55</v>
      </c>
      <c r="E31" s="52">
        <v>4.68</v>
      </c>
      <c r="F31" s="52">
        <v>0.56999999999999995</v>
      </c>
      <c r="G31" s="52">
        <v>230.86</v>
      </c>
      <c r="H31" s="52">
        <v>77.94</v>
      </c>
      <c r="I31" s="52">
        <v>1.1599999999999999</v>
      </c>
      <c r="J31" s="52">
        <v>0.41</v>
      </c>
      <c r="K31" s="52">
        <v>80.25</v>
      </c>
      <c r="L31" s="55" t="s">
        <v>8</v>
      </c>
      <c r="M31" s="55" t="s">
        <v>8</v>
      </c>
      <c r="N31" s="52">
        <v>21.2</v>
      </c>
      <c r="O31" s="52">
        <v>0</v>
      </c>
      <c r="P31" s="52">
        <v>2.36</v>
      </c>
      <c r="Q31" s="52">
        <v>193.14</v>
      </c>
      <c r="R31" s="44"/>
      <c r="S31" s="44"/>
      <c r="T31" s="44"/>
      <c r="U31" s="44"/>
    </row>
    <row r="32" spans="1:21" s="11" customFormat="1" x14ac:dyDescent="0.25">
      <c r="A32" s="51" t="s">
        <v>348</v>
      </c>
      <c r="B32" s="52">
        <v>30.34</v>
      </c>
      <c r="C32" s="52">
        <v>104.05</v>
      </c>
      <c r="D32" s="52">
        <v>80.83</v>
      </c>
      <c r="E32" s="52">
        <v>4.66</v>
      </c>
      <c r="F32" s="52">
        <v>0.84</v>
      </c>
      <c r="G32" s="52">
        <v>209.33</v>
      </c>
      <c r="H32" s="52">
        <v>71.819999999999993</v>
      </c>
      <c r="I32" s="52">
        <v>1.1000000000000001</v>
      </c>
      <c r="J32" s="52">
        <v>0.23</v>
      </c>
      <c r="K32" s="52">
        <v>349.82</v>
      </c>
      <c r="L32" s="55" t="s">
        <v>8</v>
      </c>
      <c r="M32" s="55" t="s">
        <v>8</v>
      </c>
      <c r="N32" s="52">
        <v>28.9</v>
      </c>
      <c r="O32" s="52">
        <v>0</v>
      </c>
      <c r="P32" s="52">
        <v>2.2400000000000002</v>
      </c>
      <c r="Q32" s="52">
        <v>164.99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4.84</v>
      </c>
      <c r="C34" s="28">
        <f t="shared" si="0"/>
        <v>71.59</v>
      </c>
      <c r="D34" s="28">
        <f t="shared" si="0"/>
        <v>43.36</v>
      </c>
      <c r="E34" s="28">
        <f t="shared" si="0"/>
        <v>4.66</v>
      </c>
      <c r="F34" s="28">
        <f t="shared" si="0"/>
        <v>0.51</v>
      </c>
      <c r="G34" s="28">
        <f t="shared" si="0"/>
        <v>137.38</v>
      </c>
      <c r="H34" s="28">
        <f t="shared" si="0"/>
        <v>55.46</v>
      </c>
      <c r="I34" s="28">
        <f t="shared" si="0"/>
        <v>0.36</v>
      </c>
      <c r="J34" s="28">
        <f t="shared" si="0"/>
        <v>0.14000000000000001</v>
      </c>
      <c r="K34" s="28">
        <f t="shared" si="0"/>
        <v>34.24</v>
      </c>
      <c r="L34" s="28">
        <f t="shared" si="0"/>
        <v>0</v>
      </c>
      <c r="M34" s="28">
        <f t="shared" si="0"/>
        <v>0</v>
      </c>
      <c r="N34" s="28">
        <f t="shared" si="0"/>
        <v>19.3</v>
      </c>
      <c r="O34" s="28">
        <f t="shared" si="0"/>
        <v>0</v>
      </c>
      <c r="P34" s="28">
        <f t="shared" si="0"/>
        <v>0.97</v>
      </c>
      <c r="Q34" s="28">
        <f t="shared" si="0"/>
        <v>122.42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36.19</v>
      </c>
      <c r="C35" s="29">
        <f t="shared" si="1"/>
        <v>154.32</v>
      </c>
      <c r="D35" s="29">
        <f t="shared" si="1"/>
        <v>97.87</v>
      </c>
      <c r="E35" s="29">
        <f t="shared" si="1"/>
        <v>14.41</v>
      </c>
      <c r="F35" s="29">
        <f t="shared" si="1"/>
        <v>22.39</v>
      </c>
      <c r="G35" s="29">
        <f t="shared" si="1"/>
        <v>391.87</v>
      </c>
      <c r="H35" s="29">
        <f t="shared" si="1"/>
        <v>99.35</v>
      </c>
      <c r="I35" s="29">
        <f t="shared" si="1"/>
        <v>1.1599999999999999</v>
      </c>
      <c r="J35" s="29">
        <f t="shared" si="1"/>
        <v>1.5</v>
      </c>
      <c r="K35" s="29">
        <f t="shared" si="1"/>
        <v>355.07</v>
      </c>
      <c r="L35" s="29">
        <f t="shared" si="1"/>
        <v>0</v>
      </c>
      <c r="M35" s="29">
        <f t="shared" si="1"/>
        <v>0</v>
      </c>
      <c r="N35" s="29">
        <f t="shared" si="1"/>
        <v>655.29999999999995</v>
      </c>
      <c r="O35" s="29">
        <f t="shared" si="1"/>
        <v>0</v>
      </c>
      <c r="P35" s="29">
        <f t="shared" si="1"/>
        <v>2.37</v>
      </c>
      <c r="Q35" s="29">
        <f t="shared" si="1"/>
        <v>205.11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19.774583333333329</v>
      </c>
      <c r="C36" s="28">
        <f t="shared" si="2"/>
        <v>99.119583333333352</v>
      </c>
      <c r="D36" s="28">
        <f t="shared" si="2"/>
        <v>69.744166666666658</v>
      </c>
      <c r="E36" s="28">
        <f t="shared" si="2"/>
        <v>6.3554166666666658</v>
      </c>
      <c r="F36" s="28">
        <f t="shared" si="2"/>
        <v>3.9958333333333336</v>
      </c>
      <c r="G36" s="28">
        <f t="shared" si="2"/>
        <v>207.18999999999997</v>
      </c>
      <c r="H36" s="28">
        <f t="shared" si="2"/>
        <v>74.964583333333337</v>
      </c>
      <c r="I36" s="28">
        <f t="shared" si="2"/>
        <v>0.72541666666666671</v>
      </c>
      <c r="J36" s="28">
        <f t="shared" si="2"/>
        <v>0.73583333333333334</v>
      </c>
      <c r="K36" s="28">
        <f t="shared" si="2"/>
        <v>107.90625000000001</v>
      </c>
      <c r="L36" s="28" t="e">
        <f t="shared" si="2"/>
        <v>#DIV/0!</v>
      </c>
      <c r="M36" s="28" t="e">
        <f t="shared" si="2"/>
        <v>#DIV/0!</v>
      </c>
      <c r="N36" s="28">
        <f t="shared" si="2"/>
        <v>192.07499999999996</v>
      </c>
      <c r="O36" s="28">
        <f t="shared" si="2"/>
        <v>0</v>
      </c>
      <c r="P36" s="28">
        <f t="shared" si="2"/>
        <v>1.5816666666666663</v>
      </c>
      <c r="Q36" s="28">
        <f t="shared" si="2"/>
        <v>168.34875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10.12311774416948</v>
      </c>
      <c r="C37" s="28">
        <f t="shared" ref="C37:Q37" si="3">STDEV(C9:C32)</f>
        <v>23.04883557922108</v>
      </c>
      <c r="D37" s="28">
        <f t="shared" si="3"/>
        <v>17.045644583745215</v>
      </c>
      <c r="E37" s="28">
        <f t="shared" si="3"/>
        <v>2.4137630357501187</v>
      </c>
      <c r="F37" s="28">
        <f t="shared" si="3"/>
        <v>5.5902647651902448</v>
      </c>
      <c r="G37" s="28">
        <f t="shared" si="3"/>
        <v>60.146024625580054</v>
      </c>
      <c r="H37" s="28">
        <f t="shared" si="3"/>
        <v>12.629094077175328</v>
      </c>
      <c r="I37" s="28">
        <f t="shared" si="3"/>
        <v>0.24650565152118553</v>
      </c>
      <c r="J37" s="28">
        <f t="shared" si="3"/>
        <v>0.41055547384178059</v>
      </c>
      <c r="K37" s="28">
        <f t="shared" si="3"/>
        <v>80.985860591592541</v>
      </c>
      <c r="L37" s="28" t="e">
        <f t="shared" si="3"/>
        <v>#DIV/0!</v>
      </c>
      <c r="M37" s="28" t="e">
        <f t="shared" si="3"/>
        <v>#DIV/0!</v>
      </c>
      <c r="N37" s="28">
        <f t="shared" si="3"/>
        <v>239.93381379038684</v>
      </c>
      <c r="O37" s="28">
        <f t="shared" si="3"/>
        <v>0</v>
      </c>
      <c r="P37" s="28">
        <f t="shared" si="3"/>
        <v>0.48271574736445438</v>
      </c>
      <c r="Q37" s="28">
        <f t="shared" si="3"/>
        <v>23.00361584290253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>COUNT(L9:L32)+24</f>
        <v>24</v>
      </c>
      <c r="M38" s="32">
        <f>COUNT(M9:M32)+24</f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299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 t="s">
        <v>349</v>
      </c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2" ySplit="8" topLeftCell="C13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13-11-2022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350</v>
      </c>
      <c r="B9" s="52">
        <v>31.27</v>
      </c>
      <c r="C9" s="52">
        <v>102.14</v>
      </c>
      <c r="D9" s="52">
        <v>81.44</v>
      </c>
      <c r="E9" s="52">
        <v>4.8499999999999996</v>
      </c>
      <c r="F9" s="52">
        <v>1.08</v>
      </c>
      <c r="G9" s="52">
        <v>196.78</v>
      </c>
      <c r="H9" s="52">
        <v>57.88</v>
      </c>
      <c r="I9" s="52">
        <v>1.04</v>
      </c>
      <c r="J9" s="52">
        <v>0.13</v>
      </c>
      <c r="K9" s="52">
        <v>357.78</v>
      </c>
      <c r="L9" s="55" t="s">
        <v>8</v>
      </c>
      <c r="M9" s="55" t="s">
        <v>8</v>
      </c>
      <c r="N9" s="52">
        <v>28.3</v>
      </c>
      <c r="O9" s="52">
        <v>0</v>
      </c>
      <c r="P9" s="52">
        <v>2.08</v>
      </c>
      <c r="Q9" s="52">
        <v>173.45</v>
      </c>
      <c r="R9" s="44"/>
      <c r="S9" s="44"/>
      <c r="T9" s="44"/>
      <c r="U9" s="44"/>
    </row>
    <row r="10" spans="1:21" s="11" customFormat="1" x14ac:dyDescent="0.25">
      <c r="A10" s="51" t="s">
        <v>351</v>
      </c>
      <c r="B10" s="52">
        <v>28.29</v>
      </c>
      <c r="C10" s="52">
        <v>95.33</v>
      </c>
      <c r="D10" s="52">
        <v>75.3</v>
      </c>
      <c r="E10" s="52">
        <v>4.8499999999999996</v>
      </c>
      <c r="F10" s="52">
        <v>0.79</v>
      </c>
      <c r="G10" s="52">
        <v>180.96</v>
      </c>
      <c r="H10" s="52">
        <v>58.88</v>
      </c>
      <c r="I10" s="52">
        <v>1.05</v>
      </c>
      <c r="J10" s="52">
        <v>0.1</v>
      </c>
      <c r="K10" s="52">
        <v>324.83</v>
      </c>
      <c r="L10" s="55" t="s">
        <v>8</v>
      </c>
      <c r="M10" s="55" t="s">
        <v>8</v>
      </c>
      <c r="N10" s="52">
        <v>28</v>
      </c>
      <c r="O10" s="52">
        <v>0</v>
      </c>
      <c r="P10" s="52">
        <v>1.79</v>
      </c>
      <c r="Q10" s="52">
        <v>169.13</v>
      </c>
      <c r="R10" s="44"/>
      <c r="S10" s="44"/>
      <c r="T10" s="44"/>
      <c r="U10" s="44"/>
    </row>
    <row r="11" spans="1:21" s="11" customFormat="1" x14ac:dyDescent="0.25">
      <c r="A11" s="51" t="s">
        <v>352</v>
      </c>
      <c r="B11" s="52">
        <v>26.49</v>
      </c>
      <c r="C11" s="52">
        <v>88.13</v>
      </c>
      <c r="D11" s="52">
        <v>69.88</v>
      </c>
      <c r="E11" s="52">
        <v>4.99</v>
      </c>
      <c r="F11" s="52">
        <v>0.72</v>
      </c>
      <c r="G11" s="52">
        <v>205.48</v>
      </c>
      <c r="H11" s="52">
        <v>65.95</v>
      </c>
      <c r="I11" s="52">
        <v>1.01</v>
      </c>
      <c r="J11" s="52">
        <v>0.26</v>
      </c>
      <c r="K11" s="52">
        <v>87.74</v>
      </c>
      <c r="L11" s="55" t="s">
        <v>8</v>
      </c>
      <c r="M11" s="55" t="s">
        <v>8</v>
      </c>
      <c r="N11" s="52">
        <v>27.6</v>
      </c>
      <c r="O11" s="52">
        <v>0</v>
      </c>
      <c r="P11" s="52">
        <v>1.65</v>
      </c>
      <c r="Q11" s="52">
        <v>144.83000000000001</v>
      </c>
      <c r="R11" s="44"/>
      <c r="S11" s="44"/>
      <c r="T11" s="44"/>
      <c r="U11" s="44"/>
    </row>
    <row r="12" spans="1:21" s="11" customFormat="1" x14ac:dyDescent="0.25">
      <c r="A12" s="51" t="s">
        <v>353</v>
      </c>
      <c r="B12" s="52">
        <v>20.75</v>
      </c>
      <c r="C12" s="52">
        <v>82.28</v>
      </c>
      <c r="D12" s="52">
        <v>62.05</v>
      </c>
      <c r="E12" s="52">
        <v>4.9000000000000004</v>
      </c>
      <c r="F12" s="52">
        <v>0.84</v>
      </c>
      <c r="G12" s="52">
        <v>187.98</v>
      </c>
      <c r="H12" s="52">
        <v>69.510000000000005</v>
      </c>
      <c r="I12" s="52">
        <v>0.91</v>
      </c>
      <c r="J12" s="52">
        <v>0.24</v>
      </c>
      <c r="K12" s="52">
        <v>86.72</v>
      </c>
      <c r="L12" s="55" t="s">
        <v>8</v>
      </c>
      <c r="M12" s="55" t="s">
        <v>8</v>
      </c>
      <c r="N12" s="52">
        <v>27.5</v>
      </c>
      <c r="O12" s="52">
        <v>0</v>
      </c>
      <c r="P12" s="52">
        <v>1.5</v>
      </c>
      <c r="Q12" s="52">
        <v>138.88999999999999</v>
      </c>
      <c r="R12" s="44"/>
      <c r="S12" s="44"/>
      <c r="T12" s="44"/>
      <c r="U12" s="44"/>
    </row>
    <row r="13" spans="1:21" s="11" customFormat="1" x14ac:dyDescent="0.25">
      <c r="A13" s="51" t="s">
        <v>354</v>
      </c>
      <c r="B13" s="52">
        <v>16.89</v>
      </c>
      <c r="C13" s="52">
        <v>82.14</v>
      </c>
      <c r="D13" s="52">
        <v>58.67</v>
      </c>
      <c r="E13" s="52">
        <v>4.3</v>
      </c>
      <c r="F13" s="52">
        <v>0.9</v>
      </c>
      <c r="G13" s="52">
        <v>187.31</v>
      </c>
      <c r="H13" s="52">
        <v>67.94</v>
      </c>
      <c r="I13" s="52">
        <v>0.83</v>
      </c>
      <c r="J13" s="52">
        <v>0.9</v>
      </c>
      <c r="K13" s="52">
        <v>32.090000000000003</v>
      </c>
      <c r="L13" s="55" t="s">
        <v>8</v>
      </c>
      <c r="M13" s="55" t="s">
        <v>8</v>
      </c>
      <c r="N13" s="52">
        <v>27.5</v>
      </c>
      <c r="O13" s="52">
        <v>0</v>
      </c>
      <c r="P13" s="52">
        <v>1.42</v>
      </c>
      <c r="Q13" s="52">
        <v>139.93</v>
      </c>
      <c r="R13" s="44"/>
      <c r="S13" s="44"/>
      <c r="T13" s="44"/>
      <c r="U13" s="44"/>
    </row>
    <row r="14" spans="1:21" s="11" customFormat="1" x14ac:dyDescent="0.25">
      <c r="A14" s="51" t="s">
        <v>355</v>
      </c>
      <c r="B14" s="52">
        <v>17.579999999999998</v>
      </c>
      <c r="C14" s="52">
        <v>82.4</v>
      </c>
      <c r="D14" s="52">
        <v>59.41</v>
      </c>
      <c r="E14" s="52">
        <v>4.3899999999999997</v>
      </c>
      <c r="F14" s="52">
        <v>0.69</v>
      </c>
      <c r="G14" s="52">
        <v>263.99</v>
      </c>
      <c r="H14" s="52">
        <v>85.97</v>
      </c>
      <c r="I14" s="52">
        <v>0.81</v>
      </c>
      <c r="J14" s="52">
        <v>0.36</v>
      </c>
      <c r="K14" s="52">
        <v>74.88</v>
      </c>
      <c r="L14" s="55" t="s">
        <v>8</v>
      </c>
      <c r="M14" s="55" t="s">
        <v>8</v>
      </c>
      <c r="N14" s="52">
        <v>27.9</v>
      </c>
      <c r="O14" s="52">
        <v>0</v>
      </c>
      <c r="P14" s="52">
        <v>1.44</v>
      </c>
      <c r="Q14" s="52">
        <v>138.13</v>
      </c>
      <c r="R14" s="44"/>
      <c r="S14" s="44"/>
      <c r="T14" s="44"/>
      <c r="U14" s="44"/>
    </row>
    <row r="15" spans="1:21" s="11" customFormat="1" x14ac:dyDescent="0.25">
      <c r="A15" s="51" t="s">
        <v>356</v>
      </c>
      <c r="B15" s="52">
        <v>19.75</v>
      </c>
      <c r="C15" s="52">
        <v>84.75</v>
      </c>
      <c r="D15" s="52">
        <v>62.61</v>
      </c>
      <c r="E15" s="52">
        <v>4.21</v>
      </c>
      <c r="F15" s="52">
        <v>0.65</v>
      </c>
      <c r="G15" s="52">
        <v>216.26</v>
      </c>
      <c r="H15" s="52">
        <v>85.9</v>
      </c>
      <c r="I15" s="52">
        <v>0.74</v>
      </c>
      <c r="J15" s="52">
        <v>0.24</v>
      </c>
      <c r="K15" s="52">
        <v>142.88999999999999</v>
      </c>
      <c r="L15" s="55" t="s">
        <v>8</v>
      </c>
      <c r="M15" s="55" t="s">
        <v>8</v>
      </c>
      <c r="N15" s="52">
        <v>75.900000000000006</v>
      </c>
      <c r="O15" s="52">
        <v>0</v>
      </c>
      <c r="P15" s="52">
        <v>1.76</v>
      </c>
      <c r="Q15" s="52">
        <v>123.7</v>
      </c>
      <c r="R15" s="44"/>
      <c r="S15" s="44"/>
      <c r="T15" s="44"/>
      <c r="U15" s="44"/>
    </row>
    <row r="16" spans="1:21" s="11" customFormat="1" x14ac:dyDescent="0.25">
      <c r="A16" s="51" t="s">
        <v>357</v>
      </c>
      <c r="B16" s="52">
        <v>23.7</v>
      </c>
      <c r="C16" s="52">
        <v>89.53</v>
      </c>
      <c r="D16" s="52">
        <v>68.33</v>
      </c>
      <c r="E16" s="52">
        <v>4.4800000000000004</v>
      </c>
      <c r="F16" s="52">
        <v>0.68</v>
      </c>
      <c r="G16" s="52">
        <v>202.91</v>
      </c>
      <c r="H16" s="52">
        <v>80.38</v>
      </c>
      <c r="I16" s="52">
        <v>0.7</v>
      </c>
      <c r="J16" s="52">
        <v>0.6</v>
      </c>
      <c r="K16" s="52">
        <v>133.19</v>
      </c>
      <c r="L16" s="55" t="s">
        <v>8</v>
      </c>
      <c r="M16" s="55" t="s">
        <v>8</v>
      </c>
      <c r="N16" s="52">
        <v>272.7</v>
      </c>
      <c r="O16" s="52">
        <v>0</v>
      </c>
      <c r="P16" s="52">
        <v>1.95</v>
      </c>
      <c r="Q16" s="52">
        <v>143.47999999999999</v>
      </c>
      <c r="R16" s="44"/>
      <c r="S16" s="44"/>
      <c r="T16" s="44"/>
      <c r="U16" s="44"/>
    </row>
    <row r="17" spans="1:21" s="11" customFormat="1" x14ac:dyDescent="0.25">
      <c r="A17" s="51" t="s">
        <v>358</v>
      </c>
      <c r="B17" s="52">
        <v>23.91</v>
      </c>
      <c r="C17" s="52">
        <v>95.28</v>
      </c>
      <c r="D17" s="52">
        <v>71.09</v>
      </c>
      <c r="E17" s="52">
        <v>5.14</v>
      </c>
      <c r="F17" s="52">
        <v>1.36</v>
      </c>
      <c r="G17" s="52">
        <v>227.79</v>
      </c>
      <c r="H17" s="52">
        <v>86.27</v>
      </c>
      <c r="I17" s="52">
        <v>0.73</v>
      </c>
      <c r="J17" s="52">
        <v>0.7</v>
      </c>
      <c r="K17" s="52">
        <v>82.2</v>
      </c>
      <c r="L17" s="55" t="s">
        <v>8</v>
      </c>
      <c r="M17" s="55" t="s">
        <v>8</v>
      </c>
      <c r="N17" s="52">
        <v>460.4</v>
      </c>
      <c r="O17" s="52">
        <v>0</v>
      </c>
      <c r="P17" s="52">
        <v>1.93</v>
      </c>
      <c r="Q17" s="52">
        <v>154.57</v>
      </c>
      <c r="R17" s="44"/>
      <c r="S17" s="44"/>
      <c r="T17" s="44"/>
      <c r="U17" s="44"/>
    </row>
    <row r="18" spans="1:21" s="11" customFormat="1" x14ac:dyDescent="0.25">
      <c r="A18" s="51" t="s">
        <v>359</v>
      </c>
      <c r="B18" s="52">
        <v>19.59</v>
      </c>
      <c r="C18" s="52">
        <v>92.36</v>
      </c>
      <c r="D18" s="52">
        <v>66.680000000000007</v>
      </c>
      <c r="E18" s="52">
        <v>4.3600000000000003</v>
      </c>
      <c r="F18" s="52">
        <v>1.42</v>
      </c>
      <c r="G18" s="52">
        <v>190.33</v>
      </c>
      <c r="H18" s="52">
        <v>77.709999999999994</v>
      </c>
      <c r="I18" s="52">
        <v>0.67</v>
      </c>
      <c r="J18" s="52">
        <v>0.97</v>
      </c>
      <c r="K18" s="52">
        <v>131.01</v>
      </c>
      <c r="L18" s="55" t="s">
        <v>8</v>
      </c>
      <c r="M18" s="55" t="s">
        <v>8</v>
      </c>
      <c r="N18" s="52">
        <v>596</v>
      </c>
      <c r="O18" s="52">
        <v>0</v>
      </c>
      <c r="P18" s="52">
        <v>1.72</v>
      </c>
      <c r="Q18" s="52">
        <v>150.47</v>
      </c>
      <c r="R18" s="44"/>
      <c r="S18" s="44"/>
      <c r="T18" s="44"/>
      <c r="U18" s="44"/>
    </row>
    <row r="19" spans="1:21" s="11" customFormat="1" x14ac:dyDescent="0.25">
      <c r="A19" s="51" t="s">
        <v>360</v>
      </c>
      <c r="B19" s="52">
        <v>13.07</v>
      </c>
      <c r="C19" s="52">
        <v>89.36</v>
      </c>
      <c r="D19" s="52">
        <v>59.79</v>
      </c>
      <c r="E19" s="52">
        <v>4.99</v>
      </c>
      <c r="F19" s="52">
        <v>2.76</v>
      </c>
      <c r="G19" s="52">
        <v>144.66</v>
      </c>
      <c r="H19" s="52">
        <v>75.180000000000007</v>
      </c>
      <c r="I19" s="52">
        <v>0.63</v>
      </c>
      <c r="J19" s="52">
        <v>1.4</v>
      </c>
      <c r="K19" s="52">
        <v>128.81</v>
      </c>
      <c r="L19" s="55" t="s">
        <v>8</v>
      </c>
      <c r="M19" s="55" t="s">
        <v>8</v>
      </c>
      <c r="N19" s="52">
        <v>662.4</v>
      </c>
      <c r="O19" s="52">
        <v>0</v>
      </c>
      <c r="P19" s="52">
        <v>1.54</v>
      </c>
      <c r="Q19" s="52">
        <v>180.76</v>
      </c>
      <c r="R19" s="44"/>
      <c r="S19" s="44"/>
      <c r="T19" s="44"/>
      <c r="U19" s="44"/>
    </row>
    <row r="20" spans="1:21" s="11" customFormat="1" x14ac:dyDescent="0.25">
      <c r="A20" s="51" t="s">
        <v>361</v>
      </c>
      <c r="B20" s="52">
        <v>7.61</v>
      </c>
      <c r="C20" s="52">
        <v>75.599999999999994</v>
      </c>
      <c r="D20" s="52">
        <v>47.83</v>
      </c>
      <c r="E20" s="52">
        <v>5.37</v>
      </c>
      <c r="F20" s="52">
        <v>3.44</v>
      </c>
      <c r="G20" s="52">
        <v>118.67</v>
      </c>
      <c r="H20" s="52">
        <v>70.62</v>
      </c>
      <c r="I20" s="52">
        <v>0.59</v>
      </c>
      <c r="J20" s="52">
        <v>1.17</v>
      </c>
      <c r="K20" s="52">
        <v>121.11</v>
      </c>
      <c r="L20" s="55" t="s">
        <v>8</v>
      </c>
      <c r="M20" s="55" t="s">
        <v>8</v>
      </c>
      <c r="N20" s="52">
        <v>671.6</v>
      </c>
      <c r="O20" s="52">
        <v>0</v>
      </c>
      <c r="P20" s="52">
        <v>1.32</v>
      </c>
      <c r="Q20" s="52">
        <v>197.67</v>
      </c>
      <c r="R20" s="44"/>
      <c r="S20" s="44"/>
      <c r="T20" s="44"/>
      <c r="U20" s="44"/>
    </row>
    <row r="21" spans="1:21" s="11" customFormat="1" x14ac:dyDescent="0.25">
      <c r="A21" s="51" t="s">
        <v>362</v>
      </c>
      <c r="B21" s="52">
        <v>3.51</v>
      </c>
      <c r="C21" s="52">
        <v>73.34</v>
      </c>
      <c r="D21" s="52">
        <v>43.29</v>
      </c>
      <c r="E21" s="52">
        <v>4.71</v>
      </c>
      <c r="F21" s="52">
        <v>3.51</v>
      </c>
      <c r="G21" s="52">
        <v>111.82</v>
      </c>
      <c r="H21" s="52">
        <v>70.17</v>
      </c>
      <c r="I21" s="52">
        <v>0.55000000000000004</v>
      </c>
      <c r="J21" s="52">
        <v>0.96</v>
      </c>
      <c r="K21" s="52">
        <v>122.25</v>
      </c>
      <c r="L21" s="55" t="s">
        <v>8</v>
      </c>
      <c r="M21" s="55" t="s">
        <v>8</v>
      </c>
      <c r="N21" s="52">
        <v>649</v>
      </c>
      <c r="O21" s="52">
        <v>0</v>
      </c>
      <c r="P21" s="52">
        <v>1.17</v>
      </c>
      <c r="Q21" s="52">
        <v>192.99</v>
      </c>
      <c r="R21" s="44"/>
      <c r="S21" s="44"/>
      <c r="T21" s="44"/>
      <c r="U21" s="44"/>
    </row>
    <row r="22" spans="1:21" s="11" customFormat="1" x14ac:dyDescent="0.25">
      <c r="A22" s="51" t="s">
        <v>363</v>
      </c>
      <c r="B22" s="52">
        <v>2.69</v>
      </c>
      <c r="C22" s="52">
        <v>70.459999999999994</v>
      </c>
      <c r="D22" s="52">
        <v>41.04</v>
      </c>
      <c r="E22" s="52">
        <v>5.39</v>
      </c>
      <c r="F22" s="52">
        <v>5.24</v>
      </c>
      <c r="G22" s="52">
        <v>117.28</v>
      </c>
      <c r="H22" s="52">
        <v>65.150000000000006</v>
      </c>
      <c r="I22" s="52">
        <v>0.51</v>
      </c>
      <c r="J22" s="52">
        <v>0.89</v>
      </c>
      <c r="K22" s="52">
        <v>118.99</v>
      </c>
      <c r="L22" s="55" t="s">
        <v>8</v>
      </c>
      <c r="M22" s="55" t="s">
        <v>8</v>
      </c>
      <c r="N22" s="52">
        <v>563</v>
      </c>
      <c r="O22" s="52">
        <v>0</v>
      </c>
      <c r="P22" s="52">
        <v>1.04</v>
      </c>
      <c r="Q22" s="52">
        <v>165.63</v>
      </c>
      <c r="R22" s="44"/>
      <c r="S22" s="44"/>
      <c r="T22" s="44"/>
      <c r="U22" s="44"/>
    </row>
    <row r="23" spans="1:21" s="11" customFormat="1" x14ac:dyDescent="0.25">
      <c r="A23" s="51" t="s">
        <v>364</v>
      </c>
      <c r="B23" s="52">
        <v>2.74</v>
      </c>
      <c r="C23" s="52">
        <v>72.87</v>
      </c>
      <c r="D23" s="52">
        <v>42.42</v>
      </c>
      <c r="E23" s="52">
        <v>6.34</v>
      </c>
      <c r="F23" s="52">
        <v>10.19</v>
      </c>
      <c r="G23" s="52">
        <v>114.06</v>
      </c>
      <c r="H23" s="52">
        <v>66.430000000000007</v>
      </c>
      <c r="I23" s="52">
        <v>0.46</v>
      </c>
      <c r="J23" s="52">
        <v>0.77</v>
      </c>
      <c r="K23" s="52">
        <v>109.2</v>
      </c>
      <c r="L23" s="55" t="s">
        <v>8</v>
      </c>
      <c r="M23" s="55" t="s">
        <v>8</v>
      </c>
      <c r="N23" s="52">
        <v>427.4</v>
      </c>
      <c r="O23" s="52">
        <v>0</v>
      </c>
      <c r="P23" s="52">
        <v>1.03</v>
      </c>
      <c r="Q23" s="52">
        <v>160.69999999999999</v>
      </c>
      <c r="R23" s="44"/>
      <c r="S23" s="44"/>
      <c r="T23" s="44"/>
      <c r="U23" s="44"/>
    </row>
    <row r="24" spans="1:21" s="11" customFormat="1" x14ac:dyDescent="0.25">
      <c r="A24" s="51" t="s">
        <v>365</v>
      </c>
      <c r="B24" s="52">
        <v>4.8899999999999997</v>
      </c>
      <c r="C24" s="52">
        <v>87.29</v>
      </c>
      <c r="D24" s="52">
        <v>51.73</v>
      </c>
      <c r="E24" s="52">
        <v>6.7</v>
      </c>
      <c r="F24" s="52">
        <v>9.25</v>
      </c>
      <c r="G24" s="52">
        <v>122.15</v>
      </c>
      <c r="H24" s="52">
        <v>65.5</v>
      </c>
      <c r="I24" s="52">
        <v>0.47</v>
      </c>
      <c r="J24" s="52">
        <v>1.26</v>
      </c>
      <c r="K24" s="52">
        <v>48.49</v>
      </c>
      <c r="L24" s="55" t="s">
        <v>8</v>
      </c>
      <c r="M24" s="55" t="s">
        <v>8</v>
      </c>
      <c r="N24" s="52">
        <v>154.30000000000001</v>
      </c>
      <c r="O24" s="52">
        <v>0</v>
      </c>
      <c r="P24" s="52">
        <v>1.06</v>
      </c>
      <c r="Q24" s="52">
        <v>158.59</v>
      </c>
      <c r="R24" s="44"/>
      <c r="S24" s="44"/>
      <c r="T24" s="44"/>
      <c r="U24" s="44"/>
    </row>
    <row r="25" spans="1:21" s="11" customFormat="1" x14ac:dyDescent="0.25">
      <c r="A25" s="51" t="s">
        <v>366</v>
      </c>
      <c r="B25" s="52">
        <v>6.2</v>
      </c>
      <c r="C25" s="52">
        <v>88.97</v>
      </c>
      <c r="D25" s="52">
        <v>53.72</v>
      </c>
      <c r="E25" s="52">
        <v>5.79</v>
      </c>
      <c r="F25" s="52">
        <v>4.41</v>
      </c>
      <c r="G25" s="52">
        <v>128.83000000000001</v>
      </c>
      <c r="H25" s="52">
        <v>64.17</v>
      </c>
      <c r="I25" s="52">
        <v>0.48</v>
      </c>
      <c r="J25" s="52">
        <v>1.25</v>
      </c>
      <c r="K25" s="52">
        <v>40.880000000000003</v>
      </c>
      <c r="L25" s="55" t="s">
        <v>8</v>
      </c>
      <c r="M25" s="55" t="s">
        <v>8</v>
      </c>
      <c r="N25" s="52">
        <v>79.5</v>
      </c>
      <c r="O25" s="52">
        <v>0</v>
      </c>
      <c r="P25" s="52">
        <v>1.1499999999999999</v>
      </c>
      <c r="Q25" s="52">
        <v>145.19999999999999</v>
      </c>
      <c r="R25" s="44"/>
      <c r="S25" s="44"/>
      <c r="T25" s="44"/>
      <c r="U25" s="44"/>
    </row>
    <row r="26" spans="1:21" s="11" customFormat="1" x14ac:dyDescent="0.25">
      <c r="A26" s="51" t="s">
        <v>367</v>
      </c>
      <c r="B26" s="52">
        <v>13.99</v>
      </c>
      <c r="C26" s="52">
        <v>104.48</v>
      </c>
      <c r="D26" s="52">
        <v>68.88</v>
      </c>
      <c r="E26" s="52">
        <v>5.51</v>
      </c>
      <c r="F26" s="52">
        <v>4.1100000000000003</v>
      </c>
      <c r="G26" s="52">
        <v>138.05000000000001</v>
      </c>
      <c r="H26" s="52">
        <v>60.88</v>
      </c>
      <c r="I26" s="52">
        <v>0.49</v>
      </c>
      <c r="J26" s="52">
        <v>0.52</v>
      </c>
      <c r="K26" s="52">
        <v>57.92</v>
      </c>
      <c r="L26" s="55" t="s">
        <v>8</v>
      </c>
      <c r="M26" s="55" t="s">
        <v>8</v>
      </c>
      <c r="N26" s="52">
        <v>30</v>
      </c>
      <c r="O26" s="52">
        <v>0</v>
      </c>
      <c r="P26" s="52">
        <v>1.53</v>
      </c>
      <c r="Q26" s="52">
        <v>128.57</v>
      </c>
      <c r="R26" s="44"/>
      <c r="S26" s="44"/>
      <c r="T26" s="44"/>
      <c r="U26" s="44"/>
    </row>
    <row r="27" spans="1:21" s="11" customFormat="1" x14ac:dyDescent="0.25">
      <c r="A27" s="51" t="s">
        <v>368</v>
      </c>
      <c r="B27" s="52">
        <v>19.43</v>
      </c>
      <c r="C27" s="52">
        <v>110.25</v>
      </c>
      <c r="D27" s="52">
        <v>75.959999999999994</v>
      </c>
      <c r="E27" s="52">
        <v>6.13</v>
      </c>
      <c r="F27" s="52">
        <v>2.63</v>
      </c>
      <c r="G27" s="52">
        <v>183.85</v>
      </c>
      <c r="H27" s="52">
        <v>66.67</v>
      </c>
      <c r="I27" s="52">
        <v>0.62</v>
      </c>
      <c r="J27" s="52">
        <v>0.28000000000000003</v>
      </c>
      <c r="K27" s="52">
        <v>104.73</v>
      </c>
      <c r="L27" s="55" t="s">
        <v>8</v>
      </c>
      <c r="M27" s="55" t="s">
        <v>8</v>
      </c>
      <c r="N27" s="52">
        <v>23.1</v>
      </c>
      <c r="O27" s="52">
        <v>0</v>
      </c>
      <c r="P27" s="52">
        <v>1.75</v>
      </c>
      <c r="Q27" s="52">
        <v>147.25</v>
      </c>
      <c r="R27" s="44"/>
      <c r="S27" s="44"/>
      <c r="T27" s="44"/>
      <c r="U27" s="44"/>
    </row>
    <row r="28" spans="1:21" s="11" customFormat="1" x14ac:dyDescent="0.25">
      <c r="A28" s="51" t="s">
        <v>369</v>
      </c>
      <c r="B28" s="52">
        <v>19.12</v>
      </c>
      <c r="C28" s="52">
        <v>109.45</v>
      </c>
      <c r="D28" s="52">
        <v>75.45</v>
      </c>
      <c r="E28" s="52">
        <v>5.71</v>
      </c>
      <c r="F28" s="52">
        <v>0.95</v>
      </c>
      <c r="G28" s="52">
        <v>229.73</v>
      </c>
      <c r="H28" s="52">
        <v>75.34</v>
      </c>
      <c r="I28" s="52">
        <v>0.78</v>
      </c>
      <c r="J28" s="52">
        <v>0.24</v>
      </c>
      <c r="K28" s="52">
        <v>324.49</v>
      </c>
      <c r="L28" s="55" t="s">
        <v>8</v>
      </c>
      <c r="M28" s="55" t="s">
        <v>8</v>
      </c>
      <c r="N28" s="52">
        <v>23.5</v>
      </c>
      <c r="O28" s="52">
        <v>0</v>
      </c>
      <c r="P28" s="52">
        <v>1.91</v>
      </c>
      <c r="Q28" s="52">
        <v>151.22</v>
      </c>
      <c r="R28" s="44"/>
      <c r="S28" s="44"/>
      <c r="T28" s="44"/>
      <c r="U28" s="44"/>
    </row>
    <row r="29" spans="1:21" s="11" customFormat="1" x14ac:dyDescent="0.25">
      <c r="A29" s="51" t="s">
        <v>370</v>
      </c>
      <c r="B29" s="52">
        <v>30.57</v>
      </c>
      <c r="C29" s="52">
        <v>114.14</v>
      </c>
      <c r="D29" s="52">
        <v>87.51</v>
      </c>
      <c r="E29" s="52">
        <v>5.08</v>
      </c>
      <c r="F29" s="52">
        <v>1.06</v>
      </c>
      <c r="G29" s="52">
        <v>249.11</v>
      </c>
      <c r="H29" s="52">
        <v>78.55</v>
      </c>
      <c r="I29" s="52">
        <v>0.94</v>
      </c>
      <c r="J29" s="52">
        <v>0.3</v>
      </c>
      <c r="K29" s="52">
        <v>91.14</v>
      </c>
      <c r="L29" s="55" t="s">
        <v>8</v>
      </c>
      <c r="M29" s="55" t="s">
        <v>8</v>
      </c>
      <c r="N29" s="52">
        <v>23.5</v>
      </c>
      <c r="O29" s="52">
        <v>0</v>
      </c>
      <c r="P29" s="52">
        <v>2.25</v>
      </c>
      <c r="Q29" s="52">
        <v>143.57</v>
      </c>
      <c r="R29" s="44"/>
      <c r="S29" s="44"/>
      <c r="T29" s="44"/>
      <c r="U29" s="44"/>
    </row>
    <row r="30" spans="1:21" s="11" customFormat="1" x14ac:dyDescent="0.25">
      <c r="A30" s="51" t="s">
        <v>371</v>
      </c>
      <c r="B30" s="52">
        <v>28.9</v>
      </c>
      <c r="C30" s="52">
        <v>110.11</v>
      </c>
      <c r="D30" s="52">
        <v>83.94</v>
      </c>
      <c r="E30" s="52">
        <v>5.09</v>
      </c>
      <c r="F30" s="52">
        <v>1.44</v>
      </c>
      <c r="G30" s="52">
        <v>290.13</v>
      </c>
      <c r="H30" s="52">
        <v>77</v>
      </c>
      <c r="I30" s="52">
        <v>1.0900000000000001</v>
      </c>
      <c r="J30" s="52">
        <v>0.76</v>
      </c>
      <c r="K30" s="52">
        <v>122.79</v>
      </c>
      <c r="L30" s="55" t="s">
        <v>8</v>
      </c>
      <c r="M30" s="55" t="s">
        <v>8</v>
      </c>
      <c r="N30" s="52">
        <v>23</v>
      </c>
      <c r="O30" s="52">
        <v>0</v>
      </c>
      <c r="P30" s="52">
        <v>2.23</v>
      </c>
      <c r="Q30" s="52">
        <v>154.77000000000001</v>
      </c>
      <c r="R30" s="44"/>
      <c r="S30" s="44"/>
      <c r="T30" s="44"/>
      <c r="U30" s="44"/>
    </row>
    <row r="31" spans="1:21" s="11" customFormat="1" x14ac:dyDescent="0.25">
      <c r="A31" s="51" t="s">
        <v>372</v>
      </c>
      <c r="B31" s="52">
        <v>20.72</v>
      </c>
      <c r="C31" s="52">
        <v>96.34</v>
      </c>
      <c r="D31" s="52">
        <v>69.78</v>
      </c>
      <c r="E31" s="52">
        <v>5.49</v>
      </c>
      <c r="F31" s="52">
        <v>1.75</v>
      </c>
      <c r="G31" s="52">
        <v>209.64</v>
      </c>
      <c r="H31" s="52">
        <v>75.099999999999994</v>
      </c>
      <c r="I31" s="52">
        <v>0.98</v>
      </c>
      <c r="J31" s="52">
        <v>0.7</v>
      </c>
      <c r="K31" s="52">
        <v>178.57</v>
      </c>
      <c r="L31" s="55" t="s">
        <v>8</v>
      </c>
      <c r="M31" s="55" t="s">
        <v>8</v>
      </c>
      <c r="N31" s="52">
        <v>23.6</v>
      </c>
      <c r="O31" s="52">
        <v>0</v>
      </c>
      <c r="P31" s="52">
        <v>2</v>
      </c>
      <c r="Q31" s="52">
        <v>154.86000000000001</v>
      </c>
      <c r="R31" s="44"/>
      <c r="S31" s="44"/>
      <c r="T31" s="44"/>
      <c r="U31" s="44"/>
    </row>
    <row r="32" spans="1:21" s="11" customFormat="1" x14ac:dyDescent="0.25">
      <c r="A32" s="51" t="s">
        <v>373</v>
      </c>
      <c r="B32" s="52">
        <v>18.100000000000001</v>
      </c>
      <c r="C32" s="52">
        <v>94.29</v>
      </c>
      <c r="D32" s="52">
        <v>66.55</v>
      </c>
      <c r="E32" s="52">
        <v>5.0999999999999996</v>
      </c>
      <c r="F32" s="52">
        <v>1.04</v>
      </c>
      <c r="G32" s="52">
        <v>169.82</v>
      </c>
      <c r="H32" s="52">
        <v>72.84</v>
      </c>
      <c r="I32" s="52">
        <v>0.93</v>
      </c>
      <c r="J32" s="52">
        <v>0.2</v>
      </c>
      <c r="K32" s="52">
        <v>354.18</v>
      </c>
      <c r="L32" s="55" t="s">
        <v>8</v>
      </c>
      <c r="M32" s="55" t="s">
        <v>8</v>
      </c>
      <c r="N32" s="52">
        <v>23.5</v>
      </c>
      <c r="O32" s="52">
        <v>0</v>
      </c>
      <c r="P32" s="52">
        <v>1.78</v>
      </c>
      <c r="Q32" s="52">
        <v>145.03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2.69</v>
      </c>
      <c r="C34" s="28">
        <f t="shared" si="0"/>
        <v>70.459999999999994</v>
      </c>
      <c r="D34" s="28">
        <f t="shared" si="0"/>
        <v>41.04</v>
      </c>
      <c r="E34" s="28">
        <f t="shared" si="0"/>
        <v>4.21</v>
      </c>
      <c r="F34" s="28">
        <f t="shared" si="0"/>
        <v>0.65</v>
      </c>
      <c r="G34" s="28">
        <f t="shared" si="0"/>
        <v>111.82</v>
      </c>
      <c r="H34" s="28">
        <f t="shared" si="0"/>
        <v>57.88</v>
      </c>
      <c r="I34" s="28">
        <f t="shared" si="0"/>
        <v>0.46</v>
      </c>
      <c r="J34" s="28">
        <f t="shared" si="0"/>
        <v>0.1</v>
      </c>
      <c r="K34" s="28">
        <f t="shared" si="0"/>
        <v>32.090000000000003</v>
      </c>
      <c r="L34" s="28">
        <f t="shared" si="0"/>
        <v>0</v>
      </c>
      <c r="M34" s="28">
        <f t="shared" si="0"/>
        <v>0</v>
      </c>
      <c r="N34" s="28">
        <f t="shared" si="0"/>
        <v>23</v>
      </c>
      <c r="O34" s="28">
        <f t="shared" si="0"/>
        <v>0</v>
      </c>
      <c r="P34" s="28">
        <f t="shared" si="0"/>
        <v>1.03</v>
      </c>
      <c r="Q34" s="28">
        <f t="shared" si="0"/>
        <v>123.7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31.27</v>
      </c>
      <c r="C35" s="29">
        <f t="shared" si="1"/>
        <v>114.14</v>
      </c>
      <c r="D35" s="29">
        <f t="shared" si="1"/>
        <v>87.51</v>
      </c>
      <c r="E35" s="29">
        <f t="shared" si="1"/>
        <v>6.7</v>
      </c>
      <c r="F35" s="29">
        <f t="shared" si="1"/>
        <v>10.19</v>
      </c>
      <c r="G35" s="29">
        <f t="shared" si="1"/>
        <v>290.13</v>
      </c>
      <c r="H35" s="29">
        <f t="shared" si="1"/>
        <v>86.27</v>
      </c>
      <c r="I35" s="29">
        <f t="shared" si="1"/>
        <v>1.0900000000000001</v>
      </c>
      <c r="J35" s="29">
        <f t="shared" si="1"/>
        <v>1.4</v>
      </c>
      <c r="K35" s="29">
        <f t="shared" si="1"/>
        <v>357.78</v>
      </c>
      <c r="L35" s="29">
        <f t="shared" si="1"/>
        <v>0</v>
      </c>
      <c r="M35" s="29">
        <f t="shared" si="1"/>
        <v>0</v>
      </c>
      <c r="N35" s="29">
        <f t="shared" si="1"/>
        <v>671.6</v>
      </c>
      <c r="O35" s="29">
        <f t="shared" si="1"/>
        <v>0</v>
      </c>
      <c r="P35" s="29">
        <f t="shared" si="1"/>
        <v>2.25</v>
      </c>
      <c r="Q35" s="29">
        <f t="shared" si="1"/>
        <v>197.67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17.489999999999998</v>
      </c>
      <c r="C36" s="28">
        <f t="shared" si="2"/>
        <v>91.303749999999994</v>
      </c>
      <c r="D36" s="28">
        <f t="shared" si="2"/>
        <v>64.306249999999991</v>
      </c>
      <c r="E36" s="28">
        <f t="shared" si="2"/>
        <v>5.1612499999999999</v>
      </c>
      <c r="F36" s="28">
        <f t="shared" si="2"/>
        <v>2.5379166666666664</v>
      </c>
      <c r="G36" s="28">
        <f t="shared" si="2"/>
        <v>182.81625</v>
      </c>
      <c r="H36" s="28">
        <f t="shared" si="2"/>
        <v>71.666249999999991</v>
      </c>
      <c r="I36" s="28">
        <f t="shared" si="2"/>
        <v>0.75041666666666673</v>
      </c>
      <c r="J36" s="28">
        <f t="shared" si="2"/>
        <v>0.63333333333333319</v>
      </c>
      <c r="K36" s="28">
        <f t="shared" si="2"/>
        <v>140.70333333333332</v>
      </c>
      <c r="L36" s="28" t="e">
        <f t="shared" si="2"/>
        <v>#DIV/0!</v>
      </c>
      <c r="M36" s="28" t="e">
        <f t="shared" si="2"/>
        <v>#DIV/0!</v>
      </c>
      <c r="N36" s="28">
        <f t="shared" si="2"/>
        <v>206.21666666666667</v>
      </c>
      <c r="O36" s="28">
        <f t="shared" si="2"/>
        <v>0</v>
      </c>
      <c r="P36" s="28">
        <f t="shared" si="2"/>
        <v>1.6249999999999998</v>
      </c>
      <c r="Q36" s="28">
        <f t="shared" si="2"/>
        <v>154.30791666666667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8.9782103377881057</v>
      </c>
      <c r="C37" s="28">
        <f t="shared" ref="C37:Q37" si="3">STDEV(C9:C32)</f>
        <v>12.496305475758849</v>
      </c>
      <c r="D37" s="28">
        <f t="shared" si="3"/>
        <v>12.922776593724159</v>
      </c>
      <c r="E37" s="28">
        <f t="shared" si="3"/>
        <v>0.64624206327646916</v>
      </c>
      <c r="F37" s="28">
        <f t="shared" si="3"/>
        <v>2.5925930936564963</v>
      </c>
      <c r="G37" s="28">
        <f t="shared" si="3"/>
        <v>50.296250427494194</v>
      </c>
      <c r="H37" s="28">
        <f t="shared" si="3"/>
        <v>8.238992557926462</v>
      </c>
      <c r="I37" s="28">
        <f t="shared" si="3"/>
        <v>0.20663934485131252</v>
      </c>
      <c r="J37" s="28">
        <f t="shared" si="3"/>
        <v>0.40125527672723449</v>
      </c>
      <c r="K37" s="28">
        <f t="shared" si="3"/>
        <v>97.569976568287814</v>
      </c>
      <c r="L37" s="28" t="e">
        <f t="shared" si="3"/>
        <v>#DIV/0!</v>
      </c>
      <c r="M37" s="28" t="e">
        <f t="shared" si="3"/>
        <v>#DIV/0!</v>
      </c>
      <c r="N37" s="28">
        <f t="shared" si="3"/>
        <v>253.35200064709187</v>
      </c>
      <c r="O37" s="28">
        <f t="shared" si="3"/>
        <v>0</v>
      </c>
      <c r="P37" s="28">
        <f t="shared" si="3"/>
        <v>0.36879356780206257</v>
      </c>
      <c r="Q37" s="28">
        <f t="shared" si="3"/>
        <v>18.32236527809809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>COUNT(L9:L32)+24</f>
        <v>24</v>
      </c>
      <c r="M38" s="32">
        <f>COUNT(M9:M32)+24</f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299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90" zoomScaleNormal="90" workbookViewId="0">
      <selection activeCell="B44" sqref="B44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14-11-2022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7" t="s">
        <v>374</v>
      </c>
      <c r="B9" s="58">
        <v>16.25</v>
      </c>
      <c r="C9" s="58">
        <v>91.29</v>
      </c>
      <c r="D9" s="58">
        <v>63.41</v>
      </c>
      <c r="E9" s="58">
        <v>4.6399999999999997</v>
      </c>
      <c r="F9" s="58">
        <v>0.84</v>
      </c>
      <c r="G9" s="58">
        <v>169.05</v>
      </c>
      <c r="H9" s="58">
        <v>66.349999999999994</v>
      </c>
      <c r="I9" s="58">
        <v>0.86</v>
      </c>
      <c r="J9" s="58">
        <v>0.16</v>
      </c>
      <c r="K9" s="58">
        <v>329.25</v>
      </c>
      <c r="L9" s="55" t="s">
        <v>8</v>
      </c>
      <c r="M9" s="55" t="s">
        <v>8</v>
      </c>
      <c r="N9" s="58">
        <v>23.5</v>
      </c>
      <c r="O9" s="58">
        <v>0</v>
      </c>
      <c r="P9" s="58">
        <v>1.63</v>
      </c>
      <c r="Q9" s="58">
        <v>121.61</v>
      </c>
      <c r="R9" s="44"/>
      <c r="S9" s="44"/>
      <c r="T9" s="44"/>
      <c r="U9" s="44"/>
    </row>
    <row r="10" spans="1:21" s="11" customFormat="1" x14ac:dyDescent="0.25">
      <c r="A10" s="57" t="s">
        <v>375</v>
      </c>
      <c r="B10" s="58">
        <v>12.87</v>
      </c>
      <c r="C10" s="58">
        <v>84.04</v>
      </c>
      <c r="D10" s="58">
        <v>56.7</v>
      </c>
      <c r="E10" s="58">
        <v>4.82</v>
      </c>
      <c r="F10" s="58">
        <v>0.75</v>
      </c>
      <c r="G10" s="58">
        <v>143.72</v>
      </c>
      <c r="H10" s="58">
        <v>63.1</v>
      </c>
      <c r="I10" s="58">
        <v>0.78</v>
      </c>
      <c r="J10" s="58">
        <v>0.47</v>
      </c>
      <c r="K10" s="58">
        <v>289.19</v>
      </c>
      <c r="L10" s="55" t="s">
        <v>8</v>
      </c>
      <c r="M10" s="55" t="s">
        <v>8</v>
      </c>
      <c r="N10" s="58">
        <v>23.4</v>
      </c>
      <c r="O10" s="58">
        <v>0</v>
      </c>
      <c r="P10" s="58">
        <v>1.37</v>
      </c>
      <c r="Q10" s="58">
        <v>118.79</v>
      </c>
      <c r="R10" s="44"/>
      <c r="S10" s="44"/>
      <c r="T10" s="44"/>
      <c r="U10" s="44"/>
    </row>
    <row r="11" spans="1:21" s="11" customFormat="1" x14ac:dyDescent="0.25">
      <c r="A11" s="57" t="s">
        <v>376</v>
      </c>
      <c r="B11" s="58">
        <v>10.66</v>
      </c>
      <c r="C11" s="58">
        <v>77.87</v>
      </c>
      <c r="D11" s="58">
        <v>51.19</v>
      </c>
      <c r="E11" s="58">
        <v>4.72</v>
      </c>
      <c r="F11" s="58">
        <v>0.71</v>
      </c>
      <c r="G11" s="58">
        <v>146.78</v>
      </c>
      <c r="H11" s="58">
        <v>62.99</v>
      </c>
      <c r="I11" s="58">
        <v>0.76</v>
      </c>
      <c r="J11" s="58">
        <v>0.2</v>
      </c>
      <c r="K11" s="58">
        <v>349.74</v>
      </c>
      <c r="L11" s="55" t="s">
        <v>8</v>
      </c>
      <c r="M11" s="55" t="s">
        <v>8</v>
      </c>
      <c r="N11" s="58">
        <v>23.4</v>
      </c>
      <c r="O11" s="58">
        <v>0</v>
      </c>
      <c r="P11" s="58">
        <v>1.31</v>
      </c>
      <c r="Q11" s="58">
        <v>113.57</v>
      </c>
      <c r="R11" s="44"/>
      <c r="S11" s="44"/>
      <c r="T11" s="44"/>
      <c r="U11" s="44"/>
    </row>
    <row r="12" spans="1:21" s="11" customFormat="1" x14ac:dyDescent="0.25">
      <c r="A12" s="57" t="s">
        <v>377</v>
      </c>
      <c r="B12" s="58">
        <v>15.14</v>
      </c>
      <c r="C12" s="58">
        <v>77.430000000000007</v>
      </c>
      <c r="D12" s="58">
        <v>54.87</v>
      </c>
      <c r="E12" s="58">
        <v>4.66</v>
      </c>
      <c r="F12" s="58">
        <v>0.72</v>
      </c>
      <c r="G12" s="58">
        <v>213.02</v>
      </c>
      <c r="H12" s="58">
        <v>83.72</v>
      </c>
      <c r="I12" s="58">
        <v>0.74</v>
      </c>
      <c r="J12" s="58">
        <v>0.12</v>
      </c>
      <c r="K12" s="58">
        <v>332.51</v>
      </c>
      <c r="L12" s="55" t="s">
        <v>8</v>
      </c>
      <c r="M12" s="55" t="s">
        <v>8</v>
      </c>
      <c r="N12" s="58">
        <v>23</v>
      </c>
      <c r="O12" s="58">
        <v>0</v>
      </c>
      <c r="P12" s="58">
        <v>1.34</v>
      </c>
      <c r="Q12" s="58">
        <v>98.55</v>
      </c>
      <c r="R12" s="44"/>
      <c r="S12" s="44"/>
      <c r="T12" s="44"/>
      <c r="U12" s="44"/>
    </row>
    <row r="13" spans="1:21" s="11" customFormat="1" x14ac:dyDescent="0.25">
      <c r="A13" s="57" t="s">
        <v>378</v>
      </c>
      <c r="B13" s="58">
        <v>28.12</v>
      </c>
      <c r="C13" s="58">
        <v>88.72</v>
      </c>
      <c r="D13" s="58">
        <v>71.510000000000005</v>
      </c>
      <c r="E13" s="58">
        <v>4.41</v>
      </c>
      <c r="F13" s="58">
        <v>0.63</v>
      </c>
      <c r="G13" s="59" t="s">
        <v>15</v>
      </c>
      <c r="H13" s="59" t="s">
        <v>15</v>
      </c>
      <c r="I13" s="58">
        <v>0.74</v>
      </c>
      <c r="J13" s="58">
        <v>0.18</v>
      </c>
      <c r="K13" s="58">
        <v>305.16000000000003</v>
      </c>
      <c r="L13" s="55" t="s">
        <v>8</v>
      </c>
      <c r="M13" s="55" t="s">
        <v>8</v>
      </c>
      <c r="N13" s="58">
        <v>22.9</v>
      </c>
      <c r="O13" s="58">
        <v>0</v>
      </c>
      <c r="P13" s="58">
        <v>1.45</v>
      </c>
      <c r="Q13" s="58">
        <v>117.22</v>
      </c>
      <c r="R13" s="44"/>
      <c r="S13" s="44"/>
      <c r="T13" s="44"/>
      <c r="U13" s="44"/>
    </row>
    <row r="14" spans="1:21" s="11" customFormat="1" x14ac:dyDescent="0.25">
      <c r="A14" s="57" t="s">
        <v>379</v>
      </c>
      <c r="B14" s="58">
        <v>34.81</v>
      </c>
      <c r="C14" s="58">
        <v>95.34</v>
      </c>
      <c r="D14" s="58">
        <v>80.53</v>
      </c>
      <c r="E14" s="58">
        <v>4.82</v>
      </c>
      <c r="F14" s="58">
        <v>0.79</v>
      </c>
      <c r="G14" s="59" t="s">
        <v>15</v>
      </c>
      <c r="H14" s="59" t="s">
        <v>15</v>
      </c>
      <c r="I14" s="58">
        <v>0.74</v>
      </c>
      <c r="J14" s="58">
        <v>0.28999999999999998</v>
      </c>
      <c r="K14" s="58">
        <v>87.63</v>
      </c>
      <c r="L14" s="55" t="s">
        <v>8</v>
      </c>
      <c r="M14" s="55" t="s">
        <v>8</v>
      </c>
      <c r="N14" s="58">
        <v>23.1</v>
      </c>
      <c r="O14" s="58">
        <v>0</v>
      </c>
      <c r="P14" s="58">
        <v>1.52</v>
      </c>
      <c r="Q14" s="58">
        <v>125.12</v>
      </c>
      <c r="R14" s="44"/>
      <c r="S14" s="44"/>
      <c r="T14" s="44"/>
      <c r="U14" s="44"/>
    </row>
    <row r="15" spans="1:21" s="11" customFormat="1" x14ac:dyDescent="0.25">
      <c r="A15" s="57" t="s">
        <v>380</v>
      </c>
      <c r="B15" s="58">
        <v>32.22</v>
      </c>
      <c r="C15" s="58">
        <v>94.03</v>
      </c>
      <c r="D15" s="58">
        <v>77.73</v>
      </c>
      <c r="E15" s="58">
        <v>4.67</v>
      </c>
      <c r="F15" s="58">
        <v>0.85</v>
      </c>
      <c r="G15" s="58">
        <v>262.7</v>
      </c>
      <c r="H15" s="58">
        <v>116.94</v>
      </c>
      <c r="I15" s="58">
        <v>0.74</v>
      </c>
      <c r="J15" s="58">
        <v>0.32</v>
      </c>
      <c r="K15" s="58">
        <v>96.01</v>
      </c>
      <c r="L15" s="55" t="s">
        <v>8</v>
      </c>
      <c r="M15" s="55" t="s">
        <v>8</v>
      </c>
      <c r="N15" s="58">
        <v>65.599999999999994</v>
      </c>
      <c r="O15" s="58">
        <v>0</v>
      </c>
      <c r="P15" s="58">
        <v>1.47</v>
      </c>
      <c r="Q15" s="58">
        <v>120.16</v>
      </c>
      <c r="R15" s="44"/>
      <c r="S15" s="44"/>
      <c r="T15" s="44"/>
      <c r="U15" s="44"/>
    </row>
    <row r="16" spans="1:21" s="11" customFormat="1" x14ac:dyDescent="0.25">
      <c r="A16" s="57" t="s">
        <v>381</v>
      </c>
      <c r="B16" s="58">
        <v>32.770000000000003</v>
      </c>
      <c r="C16" s="58">
        <v>105.66</v>
      </c>
      <c r="D16" s="58">
        <v>84.59</v>
      </c>
      <c r="E16" s="58">
        <v>4.8899999999999997</v>
      </c>
      <c r="F16" s="58">
        <v>0.82</v>
      </c>
      <c r="G16" s="58">
        <v>273.39</v>
      </c>
      <c r="H16" s="58">
        <v>110.27</v>
      </c>
      <c r="I16" s="58">
        <v>0.68</v>
      </c>
      <c r="J16" s="58">
        <v>1.01</v>
      </c>
      <c r="K16" s="58">
        <v>46.53</v>
      </c>
      <c r="L16" s="55" t="s">
        <v>8</v>
      </c>
      <c r="M16" s="55" t="s">
        <v>8</v>
      </c>
      <c r="N16" s="58">
        <v>312.39999999999998</v>
      </c>
      <c r="O16" s="58">
        <v>0</v>
      </c>
      <c r="P16" s="58">
        <v>1.8</v>
      </c>
      <c r="Q16" s="58">
        <v>104.19</v>
      </c>
      <c r="R16" s="44"/>
      <c r="S16" s="44"/>
      <c r="T16" s="44"/>
      <c r="U16" s="44"/>
    </row>
    <row r="17" spans="1:21" s="11" customFormat="1" x14ac:dyDescent="0.25">
      <c r="A17" s="57" t="s">
        <v>382</v>
      </c>
      <c r="B17" s="58">
        <v>34.22</v>
      </c>
      <c r="C17" s="58">
        <v>108.68</v>
      </c>
      <c r="D17" s="58">
        <v>87.28</v>
      </c>
      <c r="E17" s="58">
        <v>5.57</v>
      </c>
      <c r="F17" s="58">
        <v>0.86</v>
      </c>
      <c r="G17" s="58">
        <v>232.59</v>
      </c>
      <c r="H17" s="58">
        <v>96.31</v>
      </c>
      <c r="I17" s="58">
        <v>0.65</v>
      </c>
      <c r="J17" s="58">
        <v>0.83</v>
      </c>
      <c r="K17" s="58">
        <v>148.03</v>
      </c>
      <c r="L17" s="55" t="s">
        <v>8</v>
      </c>
      <c r="M17" s="55" t="s">
        <v>8</v>
      </c>
      <c r="N17" s="58">
        <v>501.8</v>
      </c>
      <c r="O17" s="58">
        <v>0</v>
      </c>
      <c r="P17" s="58">
        <v>1.88</v>
      </c>
      <c r="Q17" s="58">
        <v>128.53</v>
      </c>
      <c r="R17" s="44"/>
      <c r="S17" s="44"/>
      <c r="T17" s="44"/>
      <c r="U17" s="44"/>
    </row>
    <row r="18" spans="1:21" s="11" customFormat="1" x14ac:dyDescent="0.25">
      <c r="A18" s="57" t="s">
        <v>383</v>
      </c>
      <c r="B18" s="58">
        <v>29.06</v>
      </c>
      <c r="C18" s="58">
        <v>101.05</v>
      </c>
      <c r="D18" s="58">
        <v>79.08</v>
      </c>
      <c r="E18" s="58">
        <v>5.26</v>
      </c>
      <c r="F18" s="58">
        <v>1.1599999999999999</v>
      </c>
      <c r="G18" s="58">
        <v>181.35</v>
      </c>
      <c r="H18" s="58">
        <v>92.09</v>
      </c>
      <c r="I18" s="58">
        <v>0.66</v>
      </c>
      <c r="J18" s="58">
        <v>0.78</v>
      </c>
      <c r="K18" s="58">
        <v>146.12</v>
      </c>
      <c r="L18" s="55" t="s">
        <v>8</v>
      </c>
      <c r="M18" s="55" t="s">
        <v>8</v>
      </c>
      <c r="N18" s="58">
        <v>651.1</v>
      </c>
      <c r="O18" s="58">
        <v>0</v>
      </c>
      <c r="P18" s="58">
        <v>1.8</v>
      </c>
      <c r="Q18" s="58">
        <v>159.53</v>
      </c>
      <c r="R18" s="44"/>
      <c r="S18" s="44"/>
      <c r="T18" s="44"/>
      <c r="U18" s="44"/>
    </row>
    <row r="19" spans="1:21" s="11" customFormat="1" x14ac:dyDescent="0.25">
      <c r="A19" s="57" t="s">
        <v>384</v>
      </c>
      <c r="B19" s="58">
        <v>18.97</v>
      </c>
      <c r="C19" s="58">
        <v>93.56</v>
      </c>
      <c r="D19" s="58">
        <v>66.849999999999994</v>
      </c>
      <c r="E19" s="58">
        <v>5.08</v>
      </c>
      <c r="F19" s="58">
        <v>3.14</v>
      </c>
      <c r="G19" s="58">
        <v>122.59</v>
      </c>
      <c r="H19" s="58">
        <v>74.540000000000006</v>
      </c>
      <c r="I19" s="58">
        <v>0.64</v>
      </c>
      <c r="J19" s="58">
        <v>0.98</v>
      </c>
      <c r="K19" s="58">
        <v>143.24</v>
      </c>
      <c r="L19" s="55" t="s">
        <v>8</v>
      </c>
      <c r="M19" s="55" t="s">
        <v>8</v>
      </c>
      <c r="N19" s="58">
        <v>708.5</v>
      </c>
      <c r="O19" s="58">
        <v>0</v>
      </c>
      <c r="P19" s="58">
        <v>1.53</v>
      </c>
      <c r="Q19" s="58">
        <v>158.75</v>
      </c>
      <c r="R19" s="44"/>
      <c r="S19" s="44"/>
      <c r="T19" s="44"/>
      <c r="U19" s="44"/>
    </row>
    <row r="20" spans="1:21" s="11" customFormat="1" x14ac:dyDescent="0.25">
      <c r="A20" s="57" t="s">
        <v>385</v>
      </c>
      <c r="B20" s="58">
        <v>5.01</v>
      </c>
      <c r="C20" s="58">
        <v>90.34</v>
      </c>
      <c r="D20" s="58">
        <v>53.88</v>
      </c>
      <c r="E20" s="58">
        <v>9.42</v>
      </c>
      <c r="F20" s="58">
        <v>8.7799999999999994</v>
      </c>
      <c r="G20" s="58">
        <v>101.13</v>
      </c>
      <c r="H20" s="58">
        <v>63.98</v>
      </c>
      <c r="I20" s="58">
        <v>0.54</v>
      </c>
      <c r="J20" s="58">
        <v>1.96</v>
      </c>
      <c r="K20" s="58">
        <v>123.07</v>
      </c>
      <c r="L20" s="55" t="s">
        <v>8</v>
      </c>
      <c r="M20" s="55" t="s">
        <v>8</v>
      </c>
      <c r="N20" s="58">
        <v>735.5</v>
      </c>
      <c r="O20" s="58">
        <v>0</v>
      </c>
      <c r="P20" s="58">
        <v>1.06</v>
      </c>
      <c r="Q20" s="58">
        <v>141.94999999999999</v>
      </c>
      <c r="R20" s="44"/>
      <c r="S20" s="44"/>
      <c r="T20" s="44"/>
      <c r="U20" s="44"/>
    </row>
    <row r="21" spans="1:21" s="11" customFormat="1" x14ac:dyDescent="0.25">
      <c r="A21" s="57" t="s">
        <v>386</v>
      </c>
      <c r="B21" s="58">
        <v>5.03</v>
      </c>
      <c r="C21" s="58">
        <v>96.2</v>
      </c>
      <c r="D21" s="58">
        <v>56.32</v>
      </c>
      <c r="E21" s="58">
        <v>12.3</v>
      </c>
      <c r="F21" s="58">
        <v>14.96</v>
      </c>
      <c r="G21" s="58">
        <v>105.5</v>
      </c>
      <c r="H21" s="58">
        <v>70.180000000000007</v>
      </c>
      <c r="I21" s="58">
        <v>0.32</v>
      </c>
      <c r="J21" s="58">
        <v>1.22</v>
      </c>
      <c r="K21" s="58">
        <v>99.47</v>
      </c>
      <c r="L21" s="55" t="s">
        <v>8</v>
      </c>
      <c r="M21" s="55" t="s">
        <v>8</v>
      </c>
      <c r="N21" s="58">
        <v>692.4</v>
      </c>
      <c r="O21" s="58">
        <v>0</v>
      </c>
      <c r="P21" s="58">
        <v>0.78</v>
      </c>
      <c r="Q21" s="58">
        <v>121.72</v>
      </c>
      <c r="R21" s="44"/>
      <c r="S21" s="44"/>
      <c r="T21" s="44"/>
      <c r="U21" s="44"/>
    </row>
    <row r="22" spans="1:21" s="11" customFormat="1" x14ac:dyDescent="0.25">
      <c r="A22" s="57" t="s">
        <v>387</v>
      </c>
      <c r="B22" s="58">
        <v>9.3699999999999992</v>
      </c>
      <c r="C22" s="58">
        <v>122.45</v>
      </c>
      <c r="D22" s="58">
        <v>75.09</v>
      </c>
      <c r="E22" s="58">
        <v>26.27</v>
      </c>
      <c r="F22" s="58">
        <v>9.6199999999999992</v>
      </c>
      <c r="G22" s="58">
        <v>108.75</v>
      </c>
      <c r="H22" s="58">
        <v>62.16</v>
      </c>
      <c r="I22" s="58">
        <v>0.28999999999999998</v>
      </c>
      <c r="J22" s="58">
        <v>1.23</v>
      </c>
      <c r="K22" s="58">
        <v>72.400000000000006</v>
      </c>
      <c r="L22" s="55" t="s">
        <v>8</v>
      </c>
      <c r="M22" s="55" t="s">
        <v>8</v>
      </c>
      <c r="N22" s="58">
        <v>637.29999999999995</v>
      </c>
      <c r="O22" s="58">
        <v>0</v>
      </c>
      <c r="P22" s="58">
        <v>0.81</v>
      </c>
      <c r="Q22" s="58">
        <v>112.73</v>
      </c>
      <c r="R22" s="44"/>
      <c r="S22" s="44"/>
      <c r="T22" s="44"/>
      <c r="U22" s="44"/>
    </row>
    <row r="23" spans="1:21" s="11" customFormat="1" x14ac:dyDescent="0.25">
      <c r="A23" s="57" t="s">
        <v>388</v>
      </c>
      <c r="B23" s="58">
        <v>9.0500000000000007</v>
      </c>
      <c r="C23" s="58">
        <v>120.73</v>
      </c>
      <c r="D23" s="58">
        <v>73.62</v>
      </c>
      <c r="E23" s="58">
        <v>16.63</v>
      </c>
      <c r="F23" s="58">
        <v>14.53</v>
      </c>
      <c r="G23" s="58">
        <v>121.84</v>
      </c>
      <c r="H23" s="58">
        <v>56.25</v>
      </c>
      <c r="I23" s="58">
        <v>0.28999999999999998</v>
      </c>
      <c r="J23" s="58">
        <v>0.99</v>
      </c>
      <c r="K23" s="58">
        <v>66.17</v>
      </c>
      <c r="L23" s="55" t="s">
        <v>8</v>
      </c>
      <c r="M23" s="55" t="s">
        <v>8</v>
      </c>
      <c r="N23" s="58">
        <v>514.9</v>
      </c>
      <c r="O23" s="58">
        <v>0</v>
      </c>
      <c r="P23" s="58">
        <v>0.81</v>
      </c>
      <c r="Q23" s="58">
        <v>87.21</v>
      </c>
      <c r="R23" s="44"/>
      <c r="S23" s="44"/>
      <c r="T23" s="44"/>
      <c r="U23" s="44"/>
    </row>
    <row r="24" spans="1:21" s="11" customFormat="1" x14ac:dyDescent="0.25">
      <c r="A24" s="57" t="s">
        <v>389</v>
      </c>
      <c r="B24" s="58">
        <v>8.02</v>
      </c>
      <c r="C24" s="58">
        <v>128.58000000000001</v>
      </c>
      <c r="D24" s="58">
        <v>77.39</v>
      </c>
      <c r="E24" s="58">
        <v>28.4</v>
      </c>
      <c r="F24" s="58">
        <v>21.19</v>
      </c>
      <c r="G24" s="58">
        <v>102.5</v>
      </c>
      <c r="H24" s="58">
        <v>50.45</v>
      </c>
      <c r="I24" s="58">
        <v>0.24</v>
      </c>
      <c r="J24" s="58">
        <v>1.02</v>
      </c>
      <c r="K24" s="58">
        <v>104.1</v>
      </c>
      <c r="L24" s="55" t="s">
        <v>8</v>
      </c>
      <c r="M24" s="55" t="s">
        <v>8</v>
      </c>
      <c r="N24" s="58">
        <v>124.8</v>
      </c>
      <c r="O24" s="58">
        <v>0</v>
      </c>
      <c r="P24" s="58">
        <v>0.82</v>
      </c>
      <c r="Q24" s="58">
        <v>108.21</v>
      </c>
      <c r="R24" s="44"/>
      <c r="S24" s="44"/>
      <c r="T24" s="44"/>
      <c r="U24" s="44"/>
    </row>
    <row r="25" spans="1:21" s="11" customFormat="1" x14ac:dyDescent="0.25">
      <c r="A25" s="57" t="s">
        <v>390</v>
      </c>
      <c r="B25" s="58">
        <v>4.84</v>
      </c>
      <c r="C25" s="58">
        <v>130.76</v>
      </c>
      <c r="D25" s="58">
        <v>74.34</v>
      </c>
      <c r="E25" s="58">
        <v>33.36</v>
      </c>
      <c r="F25" s="58">
        <v>11.74</v>
      </c>
      <c r="G25" s="58">
        <v>121.72</v>
      </c>
      <c r="H25" s="58">
        <v>47.48</v>
      </c>
      <c r="I25" s="58">
        <v>0.26</v>
      </c>
      <c r="J25" s="58">
        <v>1.04</v>
      </c>
      <c r="K25" s="58">
        <v>113.42</v>
      </c>
      <c r="L25" s="55" t="s">
        <v>8</v>
      </c>
      <c r="M25" s="55" t="s">
        <v>8</v>
      </c>
      <c r="N25" s="58">
        <v>66.7</v>
      </c>
      <c r="O25" s="58">
        <v>0</v>
      </c>
      <c r="P25" s="58">
        <v>0.74</v>
      </c>
      <c r="Q25" s="58">
        <v>115.94</v>
      </c>
      <c r="R25" s="44"/>
      <c r="S25" s="44"/>
      <c r="T25" s="44"/>
      <c r="U25" s="44"/>
    </row>
    <row r="26" spans="1:21" s="11" customFormat="1" x14ac:dyDescent="0.25">
      <c r="A26" s="57" t="s">
        <v>391</v>
      </c>
      <c r="B26" s="58">
        <v>20.34</v>
      </c>
      <c r="C26" s="58">
        <v>157.32</v>
      </c>
      <c r="D26" s="58">
        <v>99.02</v>
      </c>
      <c r="E26" s="58">
        <v>31.7</v>
      </c>
      <c r="F26" s="58">
        <v>11.6</v>
      </c>
      <c r="G26" s="58">
        <v>118.38</v>
      </c>
      <c r="H26" s="58">
        <v>44.88</v>
      </c>
      <c r="I26" s="58">
        <v>0.32</v>
      </c>
      <c r="J26" s="58">
        <v>0.31</v>
      </c>
      <c r="K26" s="58">
        <v>79.430000000000007</v>
      </c>
      <c r="L26" s="55" t="s">
        <v>8</v>
      </c>
      <c r="M26" s="55" t="s">
        <v>8</v>
      </c>
      <c r="N26" s="58">
        <v>24.7</v>
      </c>
      <c r="O26" s="58">
        <v>0</v>
      </c>
      <c r="P26" s="58">
        <v>1.02</v>
      </c>
      <c r="Q26" s="58">
        <v>103.8</v>
      </c>
      <c r="R26" s="44"/>
      <c r="S26" s="44"/>
      <c r="T26" s="44"/>
      <c r="U26" s="44"/>
    </row>
    <row r="27" spans="1:21" s="11" customFormat="1" x14ac:dyDescent="0.25">
      <c r="A27" s="57" t="s">
        <v>392</v>
      </c>
      <c r="B27" s="58">
        <v>53.28</v>
      </c>
      <c r="C27" s="58">
        <v>160.47</v>
      </c>
      <c r="D27" s="58">
        <v>131.29</v>
      </c>
      <c r="E27" s="58">
        <v>4.7699999999999996</v>
      </c>
      <c r="F27" s="58">
        <v>1.07</v>
      </c>
      <c r="G27" s="59" t="s">
        <v>15</v>
      </c>
      <c r="H27" s="59" t="s">
        <v>15</v>
      </c>
      <c r="I27" s="58">
        <v>0.56999999999999995</v>
      </c>
      <c r="J27" s="58">
        <v>0.06</v>
      </c>
      <c r="K27" s="58">
        <v>342.2</v>
      </c>
      <c r="L27" s="55" t="s">
        <v>8</v>
      </c>
      <c r="M27" s="55" t="s">
        <v>8</v>
      </c>
      <c r="N27" s="58">
        <v>18.600000000000001</v>
      </c>
      <c r="O27" s="58">
        <v>0</v>
      </c>
      <c r="P27" s="58">
        <v>1.52</v>
      </c>
      <c r="Q27" s="58">
        <v>144.88999999999999</v>
      </c>
      <c r="R27" s="44"/>
      <c r="S27" s="44"/>
      <c r="T27" s="44"/>
      <c r="U27" s="44"/>
    </row>
    <row r="28" spans="1:21" s="11" customFormat="1" x14ac:dyDescent="0.25">
      <c r="A28" s="57" t="s">
        <v>393</v>
      </c>
      <c r="B28" s="58">
        <v>103.74</v>
      </c>
      <c r="C28" s="58">
        <v>194.94</v>
      </c>
      <c r="D28" s="58">
        <v>190.78</v>
      </c>
      <c r="E28" s="58">
        <v>4.71</v>
      </c>
      <c r="F28" s="58">
        <v>0.78</v>
      </c>
      <c r="G28" s="59" t="s">
        <v>15</v>
      </c>
      <c r="H28" s="59" t="s">
        <v>15</v>
      </c>
      <c r="I28" s="58">
        <v>0.91</v>
      </c>
      <c r="J28" s="58">
        <v>0.19</v>
      </c>
      <c r="K28" s="58">
        <v>354.76</v>
      </c>
      <c r="L28" s="55" t="s">
        <v>8</v>
      </c>
      <c r="M28" s="55" t="s">
        <v>8</v>
      </c>
      <c r="N28" s="58">
        <v>18.3</v>
      </c>
      <c r="O28" s="58">
        <v>0</v>
      </c>
      <c r="P28" s="58">
        <v>2.0099999999999998</v>
      </c>
      <c r="Q28" s="58">
        <v>200.99</v>
      </c>
      <c r="R28" s="44"/>
      <c r="S28" s="44"/>
      <c r="T28" s="44"/>
      <c r="U28" s="44"/>
    </row>
    <row r="29" spans="1:21" s="11" customFormat="1" x14ac:dyDescent="0.25">
      <c r="A29" s="57" t="s">
        <v>394</v>
      </c>
      <c r="B29" s="58">
        <v>143.78</v>
      </c>
      <c r="C29" s="58">
        <v>224.7</v>
      </c>
      <c r="D29" s="58">
        <v>239.31</v>
      </c>
      <c r="E29" s="58">
        <v>5.92</v>
      </c>
      <c r="F29" s="58">
        <v>0.7</v>
      </c>
      <c r="G29" s="59" t="s">
        <v>15</v>
      </c>
      <c r="H29" s="59" t="s">
        <v>15</v>
      </c>
      <c r="I29" s="58">
        <v>1.36</v>
      </c>
      <c r="J29" s="58">
        <v>0.17</v>
      </c>
      <c r="K29" s="58">
        <v>352.74</v>
      </c>
      <c r="L29" s="55" t="s">
        <v>8</v>
      </c>
      <c r="M29" s="55" t="s">
        <v>8</v>
      </c>
      <c r="N29" s="58">
        <v>18.3</v>
      </c>
      <c r="O29" s="58">
        <v>0</v>
      </c>
      <c r="P29" s="58">
        <v>2.72</v>
      </c>
      <c r="Q29" s="58">
        <v>253.75</v>
      </c>
      <c r="R29" s="44"/>
      <c r="S29" s="44"/>
      <c r="T29" s="44"/>
      <c r="U29" s="44"/>
    </row>
    <row r="30" spans="1:21" s="11" customFormat="1" x14ac:dyDescent="0.25">
      <c r="A30" s="57" t="s">
        <v>395</v>
      </c>
      <c r="B30" s="58">
        <v>164.42</v>
      </c>
      <c r="C30" s="58">
        <v>232.62</v>
      </c>
      <c r="D30" s="58">
        <v>260.17</v>
      </c>
      <c r="E30" s="58">
        <v>5.69</v>
      </c>
      <c r="F30" s="58">
        <v>0.79</v>
      </c>
      <c r="G30" s="59" t="s">
        <v>15</v>
      </c>
      <c r="H30" s="59" t="s">
        <v>15</v>
      </c>
      <c r="I30" s="58">
        <v>1.57</v>
      </c>
      <c r="J30" s="58">
        <v>0.22</v>
      </c>
      <c r="K30" s="58">
        <v>327.89</v>
      </c>
      <c r="L30" s="55" t="s">
        <v>8</v>
      </c>
      <c r="M30" s="55" t="s">
        <v>8</v>
      </c>
      <c r="N30" s="58">
        <v>18</v>
      </c>
      <c r="O30" s="58">
        <v>0</v>
      </c>
      <c r="P30" s="58">
        <v>3.07</v>
      </c>
      <c r="Q30" s="58">
        <v>265.87</v>
      </c>
      <c r="R30" s="44"/>
      <c r="S30" s="44"/>
      <c r="T30" s="44"/>
      <c r="U30" s="44"/>
    </row>
    <row r="31" spans="1:21" s="11" customFormat="1" x14ac:dyDescent="0.25">
      <c r="A31" s="57" t="s">
        <v>396</v>
      </c>
      <c r="B31" s="58">
        <v>162.15</v>
      </c>
      <c r="C31" s="58">
        <v>228.22</v>
      </c>
      <c r="D31" s="58">
        <v>255.98</v>
      </c>
      <c r="E31" s="58">
        <v>5.96</v>
      </c>
      <c r="F31" s="58">
        <v>0.71</v>
      </c>
      <c r="G31" s="59" t="s">
        <v>15</v>
      </c>
      <c r="H31" s="59" t="s">
        <v>15</v>
      </c>
      <c r="I31" s="58">
        <v>1.58</v>
      </c>
      <c r="J31" s="58">
        <v>0.2</v>
      </c>
      <c r="K31" s="58">
        <v>345.35</v>
      </c>
      <c r="L31" s="55" t="s">
        <v>8</v>
      </c>
      <c r="M31" s="55" t="s">
        <v>8</v>
      </c>
      <c r="N31" s="58">
        <v>18.399999999999999</v>
      </c>
      <c r="O31" s="58">
        <v>0</v>
      </c>
      <c r="P31" s="58">
        <v>3.03</v>
      </c>
      <c r="Q31" s="58">
        <v>261.99</v>
      </c>
      <c r="R31" s="44"/>
      <c r="S31" s="44"/>
      <c r="T31" s="44"/>
      <c r="U31" s="44"/>
    </row>
    <row r="32" spans="1:21" s="11" customFormat="1" x14ac:dyDescent="0.25">
      <c r="A32" s="57" t="s">
        <v>397</v>
      </c>
      <c r="B32" s="58">
        <v>134.07</v>
      </c>
      <c r="C32" s="58">
        <v>198.42</v>
      </c>
      <c r="D32" s="58">
        <v>217.02</v>
      </c>
      <c r="E32" s="58">
        <v>5.9</v>
      </c>
      <c r="F32" s="58">
        <v>1.31</v>
      </c>
      <c r="G32" s="58">
        <v>193.36</v>
      </c>
      <c r="H32" s="58">
        <v>90.19</v>
      </c>
      <c r="I32" s="58">
        <v>1.51</v>
      </c>
      <c r="J32" s="58">
        <v>0.19</v>
      </c>
      <c r="K32" s="58">
        <v>323.66000000000003</v>
      </c>
      <c r="L32" s="55" t="s">
        <v>8</v>
      </c>
      <c r="M32" s="55" t="s">
        <v>8</v>
      </c>
      <c r="N32" s="58">
        <v>18.2</v>
      </c>
      <c r="O32" s="58">
        <v>0</v>
      </c>
      <c r="P32" s="58">
        <v>2.67</v>
      </c>
      <c r="Q32" s="58">
        <v>235.85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4.84</v>
      </c>
      <c r="C34" s="28">
        <f t="shared" si="0"/>
        <v>77.430000000000007</v>
      </c>
      <c r="D34" s="28">
        <f t="shared" si="0"/>
        <v>51.19</v>
      </c>
      <c r="E34" s="28">
        <f t="shared" si="0"/>
        <v>4.41</v>
      </c>
      <c r="F34" s="28">
        <f t="shared" si="0"/>
        <v>0.63</v>
      </c>
      <c r="G34" s="28">
        <f t="shared" si="0"/>
        <v>101.13</v>
      </c>
      <c r="H34" s="28">
        <f t="shared" si="0"/>
        <v>44.88</v>
      </c>
      <c r="I34" s="28">
        <f t="shared" si="0"/>
        <v>0.24</v>
      </c>
      <c r="J34" s="28">
        <f t="shared" si="0"/>
        <v>0.06</v>
      </c>
      <c r="K34" s="28">
        <f t="shared" si="0"/>
        <v>46.53</v>
      </c>
      <c r="L34" s="28">
        <f t="shared" si="0"/>
        <v>0</v>
      </c>
      <c r="M34" s="28">
        <f t="shared" si="0"/>
        <v>0</v>
      </c>
      <c r="N34" s="28">
        <f t="shared" si="0"/>
        <v>18</v>
      </c>
      <c r="O34" s="28">
        <f t="shared" si="0"/>
        <v>0</v>
      </c>
      <c r="P34" s="28">
        <f t="shared" si="0"/>
        <v>0.74</v>
      </c>
      <c r="Q34" s="28">
        <f t="shared" si="0"/>
        <v>87.21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164.42</v>
      </c>
      <c r="C35" s="29">
        <f t="shared" si="1"/>
        <v>232.62</v>
      </c>
      <c r="D35" s="29">
        <f t="shared" si="1"/>
        <v>260.17</v>
      </c>
      <c r="E35" s="29">
        <f t="shared" si="1"/>
        <v>33.36</v>
      </c>
      <c r="F35" s="29">
        <f t="shared" si="1"/>
        <v>21.19</v>
      </c>
      <c r="G35" s="29">
        <f t="shared" si="1"/>
        <v>273.39</v>
      </c>
      <c r="H35" s="29">
        <f t="shared" si="1"/>
        <v>116.94</v>
      </c>
      <c r="I35" s="29">
        <f t="shared" si="1"/>
        <v>1.58</v>
      </c>
      <c r="J35" s="29">
        <f t="shared" si="1"/>
        <v>1.96</v>
      </c>
      <c r="K35" s="29">
        <f t="shared" si="1"/>
        <v>354.76</v>
      </c>
      <c r="L35" s="29">
        <f t="shared" si="1"/>
        <v>0</v>
      </c>
      <c r="M35" s="29">
        <f t="shared" si="1"/>
        <v>0</v>
      </c>
      <c r="N35" s="29">
        <f t="shared" si="1"/>
        <v>735.5</v>
      </c>
      <c r="O35" s="29">
        <f t="shared" si="1"/>
        <v>0</v>
      </c>
      <c r="P35" s="29">
        <f t="shared" si="1"/>
        <v>3.07</v>
      </c>
      <c r="Q35" s="29">
        <f t="shared" si="1"/>
        <v>265.87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45.341249999999995</v>
      </c>
      <c r="C36" s="28">
        <f t="shared" si="2"/>
        <v>129.30916666666664</v>
      </c>
      <c r="D36" s="28">
        <f t="shared" si="2"/>
        <v>107.41458333333333</v>
      </c>
      <c r="E36" s="28">
        <f t="shared" si="2"/>
        <v>10.190416666666668</v>
      </c>
      <c r="F36" s="28">
        <f t="shared" si="2"/>
        <v>4.5437499999999993</v>
      </c>
      <c r="G36" s="28">
        <f t="shared" si="2"/>
        <v>159.90411764705883</v>
      </c>
      <c r="H36" s="28">
        <f t="shared" si="2"/>
        <v>73.64</v>
      </c>
      <c r="I36" s="28">
        <f t="shared" si="2"/>
        <v>0.73958333333333348</v>
      </c>
      <c r="J36" s="28">
        <f t="shared" si="2"/>
        <v>0.58916666666666673</v>
      </c>
      <c r="K36" s="28">
        <f t="shared" si="2"/>
        <v>207.41958333333332</v>
      </c>
      <c r="L36" s="28" t="e">
        <f t="shared" si="2"/>
        <v>#DIV/0!</v>
      </c>
      <c r="M36" s="28" t="e">
        <f t="shared" si="2"/>
        <v>#DIV/0!</v>
      </c>
      <c r="N36" s="28">
        <f t="shared" si="2"/>
        <v>220.19999999999996</v>
      </c>
      <c r="O36" s="28">
        <f t="shared" si="2"/>
        <v>0</v>
      </c>
      <c r="P36" s="28">
        <f t="shared" si="2"/>
        <v>1.59</v>
      </c>
      <c r="Q36" s="28">
        <f t="shared" si="2"/>
        <v>146.70499999999998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52.840533133644918</v>
      </c>
      <c r="C37" s="28">
        <f t="shared" ref="C37:Q37" si="3">STDEV(C9:C32)</f>
        <v>50.679270088140342</v>
      </c>
      <c r="D37" s="28">
        <f t="shared" si="3"/>
        <v>68.76652718211389</v>
      </c>
      <c r="E37" s="28">
        <f t="shared" si="3"/>
        <v>9.5168342741401837</v>
      </c>
      <c r="F37" s="28">
        <f t="shared" si="3"/>
        <v>6.0870566975452478</v>
      </c>
      <c r="G37" s="28">
        <f t="shared" si="3"/>
        <v>57.007286602111641</v>
      </c>
      <c r="H37" s="28">
        <f t="shared" si="3"/>
        <v>21.380049695919752</v>
      </c>
      <c r="I37" s="28">
        <f t="shared" si="3"/>
        <v>0.4039100111428896</v>
      </c>
      <c r="J37" s="28">
        <f t="shared" si="3"/>
        <v>0.49786427927670213</v>
      </c>
      <c r="K37" s="28">
        <f t="shared" si="3"/>
        <v>120.13044701414736</v>
      </c>
      <c r="L37" s="28" t="e">
        <f t="shared" si="3"/>
        <v>#DIV/0!</v>
      </c>
      <c r="M37" s="28" t="e">
        <f t="shared" si="3"/>
        <v>#DIV/0!</v>
      </c>
      <c r="N37" s="28">
        <f t="shared" si="3"/>
        <v>282.33653369847406</v>
      </c>
      <c r="O37" s="28">
        <f t="shared" si="3"/>
        <v>0</v>
      </c>
      <c r="P37" s="28">
        <f t="shared" si="3"/>
        <v>0.69433734439830208</v>
      </c>
      <c r="Q37" s="28">
        <f t="shared" si="3"/>
        <v>54.680782571290088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P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17</v>
      </c>
      <c r="H38" s="32">
        <f t="shared" si="4"/>
        <v>17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>COUNT(L9:L32)+24</f>
        <v>24</v>
      </c>
      <c r="M38" s="32">
        <f>COUNT(M9:M32)+24</f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</f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299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15-11-2022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398</v>
      </c>
      <c r="B9" s="52">
        <v>105.99</v>
      </c>
      <c r="C9" s="52">
        <v>170.96</v>
      </c>
      <c r="D9" s="52">
        <v>179.35</v>
      </c>
      <c r="E9" s="52">
        <v>5.04</v>
      </c>
      <c r="F9" s="52">
        <v>0.79</v>
      </c>
      <c r="G9" s="52">
        <v>149.68</v>
      </c>
      <c r="H9" s="52">
        <v>80.41</v>
      </c>
      <c r="I9" s="52">
        <v>1.35</v>
      </c>
      <c r="J9" s="52">
        <v>0.28999999999999998</v>
      </c>
      <c r="K9" s="52">
        <v>344.94</v>
      </c>
      <c r="L9" s="55" t="s">
        <v>8</v>
      </c>
      <c r="M9" s="55" t="s">
        <v>8</v>
      </c>
      <c r="N9" s="52">
        <v>18.2</v>
      </c>
      <c r="O9" s="52">
        <v>0</v>
      </c>
      <c r="P9" s="52">
        <v>2.25</v>
      </c>
      <c r="Q9" s="52">
        <v>203.63</v>
      </c>
      <c r="R9" s="44"/>
      <c r="S9" s="44"/>
      <c r="T9" s="44"/>
      <c r="U9" s="44"/>
    </row>
    <row r="10" spans="1:21" s="11" customFormat="1" x14ac:dyDescent="0.25">
      <c r="A10" s="51" t="s">
        <v>399</v>
      </c>
      <c r="B10" s="52">
        <v>80.010000000000005</v>
      </c>
      <c r="C10" s="52">
        <v>143.88999999999999</v>
      </c>
      <c r="D10" s="52">
        <v>143.58000000000001</v>
      </c>
      <c r="E10" s="52">
        <v>4.75</v>
      </c>
      <c r="F10" s="52">
        <v>0.7</v>
      </c>
      <c r="G10" s="52">
        <v>123.3</v>
      </c>
      <c r="H10" s="52">
        <v>77.62</v>
      </c>
      <c r="I10" s="52">
        <v>1.1299999999999999</v>
      </c>
      <c r="J10" s="52">
        <v>0.08</v>
      </c>
      <c r="K10" s="52">
        <v>313.83</v>
      </c>
      <c r="L10" s="55" t="s">
        <v>8</v>
      </c>
      <c r="M10" s="55" t="s">
        <v>8</v>
      </c>
      <c r="N10" s="52">
        <v>18.2</v>
      </c>
      <c r="O10" s="52">
        <v>0</v>
      </c>
      <c r="P10" s="52">
        <v>1.84</v>
      </c>
      <c r="Q10" s="52">
        <v>156.19</v>
      </c>
      <c r="R10" s="44"/>
      <c r="S10" s="44"/>
      <c r="T10" s="44"/>
      <c r="U10" s="44"/>
    </row>
    <row r="11" spans="1:21" s="11" customFormat="1" x14ac:dyDescent="0.25">
      <c r="A11" s="51" t="s">
        <v>400</v>
      </c>
      <c r="B11" s="52">
        <v>58.3</v>
      </c>
      <c r="C11" s="52">
        <v>125.11</v>
      </c>
      <c r="D11" s="52">
        <v>115.8</v>
      </c>
      <c r="E11" s="52">
        <v>4.8899999999999997</v>
      </c>
      <c r="F11" s="52">
        <v>0.43</v>
      </c>
      <c r="G11" s="52">
        <v>139.72</v>
      </c>
      <c r="H11" s="52">
        <v>74.55</v>
      </c>
      <c r="I11" s="52">
        <v>0.95</v>
      </c>
      <c r="J11" s="52">
        <v>0.1</v>
      </c>
      <c r="K11" s="52">
        <v>357.53</v>
      </c>
      <c r="L11" s="55" t="s">
        <v>8</v>
      </c>
      <c r="M11" s="55" t="s">
        <v>8</v>
      </c>
      <c r="N11" s="52">
        <v>18.2</v>
      </c>
      <c r="O11" s="52">
        <v>0</v>
      </c>
      <c r="P11" s="52">
        <v>1.63</v>
      </c>
      <c r="Q11" s="52">
        <v>132.94999999999999</v>
      </c>
      <c r="R11" s="44"/>
      <c r="S11" s="44"/>
      <c r="T11" s="44"/>
      <c r="U11" s="44"/>
    </row>
    <row r="12" spans="1:21" s="11" customFormat="1" x14ac:dyDescent="0.25">
      <c r="A12" s="51" t="s">
        <v>401</v>
      </c>
      <c r="B12" s="52">
        <v>42.62</v>
      </c>
      <c r="C12" s="52">
        <v>110.5</v>
      </c>
      <c r="D12" s="52">
        <v>95.16</v>
      </c>
      <c r="E12" s="52">
        <v>5.16</v>
      </c>
      <c r="F12" s="52">
        <v>0.95</v>
      </c>
      <c r="G12" s="52">
        <v>190.71</v>
      </c>
      <c r="H12" s="52">
        <v>76.819999999999993</v>
      </c>
      <c r="I12" s="52">
        <v>0.87</v>
      </c>
      <c r="J12" s="52">
        <v>0.23</v>
      </c>
      <c r="K12" s="52">
        <v>325.14</v>
      </c>
      <c r="L12" s="55" t="s">
        <v>8</v>
      </c>
      <c r="M12" s="55" t="s">
        <v>8</v>
      </c>
      <c r="N12" s="52">
        <v>17.899999999999999</v>
      </c>
      <c r="O12" s="52">
        <v>0</v>
      </c>
      <c r="P12" s="52">
        <v>1.5</v>
      </c>
      <c r="Q12" s="52">
        <v>118.86</v>
      </c>
      <c r="R12" s="44"/>
      <c r="S12" s="44"/>
      <c r="T12" s="44"/>
      <c r="U12" s="44"/>
    </row>
    <row r="13" spans="1:21" s="11" customFormat="1" x14ac:dyDescent="0.25">
      <c r="A13" s="51" t="s">
        <v>402</v>
      </c>
      <c r="B13" s="52">
        <v>39.450000000000003</v>
      </c>
      <c r="C13" s="52">
        <v>102.16</v>
      </c>
      <c r="D13" s="52">
        <v>88.02</v>
      </c>
      <c r="E13" s="52">
        <v>4.2</v>
      </c>
      <c r="F13" s="52">
        <v>1.44</v>
      </c>
      <c r="G13" s="52">
        <v>197.01</v>
      </c>
      <c r="H13" s="52">
        <v>72.77</v>
      </c>
      <c r="I13" s="52">
        <v>0.83</v>
      </c>
      <c r="J13" s="52">
        <v>0.13</v>
      </c>
      <c r="K13" s="52">
        <v>353.81</v>
      </c>
      <c r="L13" s="55" t="s">
        <v>8</v>
      </c>
      <c r="M13" s="55" t="s">
        <v>8</v>
      </c>
      <c r="N13" s="52">
        <v>18.100000000000001</v>
      </c>
      <c r="O13" s="52">
        <v>0</v>
      </c>
      <c r="P13" s="52">
        <v>1.38</v>
      </c>
      <c r="Q13" s="52">
        <v>105.38</v>
      </c>
      <c r="R13" s="44"/>
      <c r="S13" s="44"/>
      <c r="T13" s="44"/>
      <c r="U13" s="44"/>
    </row>
    <row r="14" spans="1:21" s="11" customFormat="1" x14ac:dyDescent="0.25">
      <c r="A14" s="51" t="s">
        <v>403</v>
      </c>
      <c r="B14" s="52">
        <v>49.29</v>
      </c>
      <c r="C14" s="52">
        <v>106.26</v>
      </c>
      <c r="D14" s="52">
        <v>98.17</v>
      </c>
      <c r="E14" s="52">
        <v>4.6399999999999997</v>
      </c>
      <c r="F14" s="52">
        <v>0.77</v>
      </c>
      <c r="G14" s="52">
        <v>159.25</v>
      </c>
      <c r="H14" s="52">
        <v>73.13</v>
      </c>
      <c r="I14" s="52">
        <v>0.76</v>
      </c>
      <c r="J14" s="52">
        <v>0.25</v>
      </c>
      <c r="K14" s="52">
        <v>337.5</v>
      </c>
      <c r="L14" s="55" t="s">
        <v>8</v>
      </c>
      <c r="M14" s="55" t="s">
        <v>8</v>
      </c>
      <c r="N14" s="52">
        <v>17.899999999999999</v>
      </c>
      <c r="O14" s="52">
        <v>0</v>
      </c>
      <c r="P14" s="52">
        <v>1.32</v>
      </c>
      <c r="Q14" s="52">
        <v>116.31</v>
      </c>
      <c r="R14" s="44"/>
      <c r="S14" s="44"/>
      <c r="T14" s="44"/>
      <c r="U14" s="44"/>
    </row>
    <row r="15" spans="1:21" s="11" customFormat="1" x14ac:dyDescent="0.25">
      <c r="A15" s="51" t="s">
        <v>404</v>
      </c>
      <c r="B15" s="52">
        <v>59.92</v>
      </c>
      <c r="C15" s="52">
        <v>118.31</v>
      </c>
      <c r="D15" s="52">
        <v>113.34</v>
      </c>
      <c r="E15" s="52">
        <v>5</v>
      </c>
      <c r="F15" s="52">
        <v>0.86</v>
      </c>
      <c r="G15" s="59" t="s">
        <v>15</v>
      </c>
      <c r="H15" s="59" t="s">
        <v>15</v>
      </c>
      <c r="I15" s="52">
        <v>0.78</v>
      </c>
      <c r="J15" s="52">
        <v>0.31</v>
      </c>
      <c r="K15" s="52">
        <v>104.48</v>
      </c>
      <c r="L15" s="55" t="s">
        <v>8</v>
      </c>
      <c r="M15" s="55" t="s">
        <v>8</v>
      </c>
      <c r="N15" s="52">
        <v>57.9</v>
      </c>
      <c r="O15" s="52">
        <v>0</v>
      </c>
      <c r="P15" s="52">
        <v>1.68</v>
      </c>
      <c r="Q15" s="52">
        <v>131.97</v>
      </c>
      <c r="R15" s="44"/>
      <c r="S15" s="44"/>
      <c r="T15" s="44"/>
      <c r="U15" s="44"/>
    </row>
    <row r="16" spans="1:21" s="11" customFormat="1" x14ac:dyDescent="0.25">
      <c r="A16" s="51" t="s">
        <v>405</v>
      </c>
      <c r="B16" s="52">
        <v>65.209999999999994</v>
      </c>
      <c r="C16" s="52">
        <v>137.26</v>
      </c>
      <c r="D16" s="52">
        <v>128.04</v>
      </c>
      <c r="E16" s="52">
        <v>5.23</v>
      </c>
      <c r="F16" s="52">
        <v>1.23</v>
      </c>
      <c r="G16" s="59" t="s">
        <v>15</v>
      </c>
      <c r="H16" s="59" t="s">
        <v>15</v>
      </c>
      <c r="I16" s="52">
        <v>0.77</v>
      </c>
      <c r="J16" s="52">
        <v>0.34</v>
      </c>
      <c r="K16" s="52">
        <v>104.59</v>
      </c>
      <c r="L16" s="55" t="s">
        <v>8</v>
      </c>
      <c r="M16" s="55" t="s">
        <v>8</v>
      </c>
      <c r="N16" s="52">
        <v>289.5</v>
      </c>
      <c r="O16" s="52">
        <v>0</v>
      </c>
      <c r="P16" s="52">
        <v>1.91</v>
      </c>
      <c r="Q16" s="52">
        <v>134.87</v>
      </c>
      <c r="R16" s="44"/>
      <c r="S16" s="44"/>
      <c r="T16" s="44"/>
      <c r="U16" s="44"/>
    </row>
    <row r="17" spans="1:21" s="11" customFormat="1" x14ac:dyDescent="0.25">
      <c r="A17" s="51" t="s">
        <v>406</v>
      </c>
      <c r="B17" s="52">
        <v>64.28</v>
      </c>
      <c r="C17" s="52">
        <v>132.36000000000001</v>
      </c>
      <c r="D17" s="52">
        <v>124.6</v>
      </c>
      <c r="E17" s="52">
        <v>5.13</v>
      </c>
      <c r="F17" s="52">
        <v>0.97</v>
      </c>
      <c r="G17" s="52">
        <v>305.64999999999998</v>
      </c>
      <c r="H17" s="52">
        <v>112.86</v>
      </c>
      <c r="I17" s="52">
        <v>0.75</v>
      </c>
      <c r="J17" s="52">
        <v>0.96</v>
      </c>
      <c r="K17" s="52">
        <v>136.49</v>
      </c>
      <c r="L17" s="55" t="s">
        <v>8</v>
      </c>
      <c r="M17" s="55" t="s">
        <v>8</v>
      </c>
      <c r="N17" s="52">
        <v>478.8</v>
      </c>
      <c r="O17" s="52">
        <v>0</v>
      </c>
      <c r="P17" s="52">
        <v>1.92</v>
      </c>
      <c r="Q17" s="52">
        <v>133.19999999999999</v>
      </c>
      <c r="R17" s="44"/>
      <c r="S17" s="44"/>
      <c r="T17" s="44"/>
      <c r="U17" s="44"/>
    </row>
    <row r="18" spans="1:21" s="11" customFormat="1" x14ac:dyDescent="0.25">
      <c r="A18" s="51" t="s">
        <v>407</v>
      </c>
      <c r="B18" s="52">
        <v>52.52</v>
      </c>
      <c r="C18" s="52">
        <v>125.75</v>
      </c>
      <c r="D18" s="52">
        <v>111.51</v>
      </c>
      <c r="E18" s="52">
        <v>5.61</v>
      </c>
      <c r="F18" s="52">
        <v>1.52</v>
      </c>
      <c r="G18" s="52">
        <v>202.82</v>
      </c>
      <c r="H18" s="52">
        <v>104.42</v>
      </c>
      <c r="I18" s="52">
        <v>0.72</v>
      </c>
      <c r="J18" s="52">
        <v>1.44</v>
      </c>
      <c r="K18" s="52">
        <v>138.18</v>
      </c>
      <c r="L18" s="55" t="s">
        <v>8</v>
      </c>
      <c r="M18" s="55" t="s">
        <v>8</v>
      </c>
      <c r="N18" s="52">
        <v>595.79999999999995</v>
      </c>
      <c r="O18" s="52">
        <v>0</v>
      </c>
      <c r="P18" s="52">
        <v>1.81</v>
      </c>
      <c r="Q18" s="52">
        <v>165.13</v>
      </c>
      <c r="R18" s="44"/>
      <c r="S18" s="44"/>
      <c r="T18" s="44"/>
      <c r="U18" s="44"/>
    </row>
    <row r="19" spans="1:21" s="11" customFormat="1" x14ac:dyDescent="0.25">
      <c r="A19" s="51" t="s">
        <v>408</v>
      </c>
      <c r="B19" s="52">
        <v>31.87</v>
      </c>
      <c r="C19" s="52">
        <v>113.51</v>
      </c>
      <c r="D19" s="52">
        <v>87.86</v>
      </c>
      <c r="E19" s="52">
        <v>6.02</v>
      </c>
      <c r="F19" s="52">
        <v>6.48</v>
      </c>
      <c r="G19" s="52">
        <v>106.51</v>
      </c>
      <c r="H19" s="52">
        <v>78.989999999999995</v>
      </c>
      <c r="I19" s="52">
        <v>0.65</v>
      </c>
      <c r="J19" s="52">
        <v>1.1200000000000001</v>
      </c>
      <c r="K19" s="52">
        <v>135.19999999999999</v>
      </c>
      <c r="L19" s="55" t="s">
        <v>8</v>
      </c>
      <c r="M19" s="55" t="s">
        <v>8</v>
      </c>
      <c r="N19" s="52">
        <v>676.3</v>
      </c>
      <c r="O19" s="52">
        <v>0</v>
      </c>
      <c r="P19" s="52">
        <v>1.54</v>
      </c>
      <c r="Q19" s="52">
        <v>163.03</v>
      </c>
      <c r="R19" s="44"/>
      <c r="S19" s="44"/>
      <c r="T19" s="44"/>
      <c r="U19" s="44"/>
    </row>
    <row r="20" spans="1:21" s="11" customFormat="1" x14ac:dyDescent="0.25">
      <c r="A20" s="51" t="s">
        <v>409</v>
      </c>
      <c r="B20" s="52">
        <v>5.54</v>
      </c>
      <c r="C20" s="52">
        <v>106.09</v>
      </c>
      <c r="D20" s="52">
        <v>62.99</v>
      </c>
      <c r="E20" s="52">
        <v>9.01</v>
      </c>
      <c r="F20" s="52">
        <v>11</v>
      </c>
      <c r="G20" s="52">
        <v>86.39</v>
      </c>
      <c r="H20" s="52">
        <v>68.87</v>
      </c>
      <c r="I20" s="52">
        <v>0.47</v>
      </c>
      <c r="J20" s="52">
        <v>0.75</v>
      </c>
      <c r="K20" s="52">
        <v>125.7</v>
      </c>
      <c r="L20" s="55" t="s">
        <v>8</v>
      </c>
      <c r="M20" s="55" t="s">
        <v>8</v>
      </c>
      <c r="N20" s="52">
        <v>685.3</v>
      </c>
      <c r="O20" s="52">
        <v>0</v>
      </c>
      <c r="P20" s="52">
        <v>0.94</v>
      </c>
      <c r="Q20" s="52">
        <v>114.23</v>
      </c>
      <c r="R20" s="44"/>
      <c r="S20" s="44"/>
      <c r="T20" s="44"/>
      <c r="U20" s="44"/>
    </row>
    <row r="21" spans="1:21" s="11" customFormat="1" x14ac:dyDescent="0.25">
      <c r="A21" s="51" t="s">
        <v>410</v>
      </c>
      <c r="B21" s="52">
        <v>5.42</v>
      </c>
      <c r="C21" s="52">
        <v>98.59</v>
      </c>
      <c r="D21" s="52">
        <v>58.76</v>
      </c>
      <c r="E21" s="52">
        <v>6.68</v>
      </c>
      <c r="F21" s="52">
        <v>11.07</v>
      </c>
      <c r="G21" s="52">
        <v>110.08</v>
      </c>
      <c r="H21" s="52">
        <v>68.900000000000006</v>
      </c>
      <c r="I21" s="52">
        <v>0.27</v>
      </c>
      <c r="J21" s="52">
        <v>0.99</v>
      </c>
      <c r="K21" s="52">
        <v>145.01</v>
      </c>
      <c r="L21" s="55" t="s">
        <v>8</v>
      </c>
      <c r="M21" s="55" t="s">
        <v>8</v>
      </c>
      <c r="N21" s="52">
        <v>656.9</v>
      </c>
      <c r="O21" s="52">
        <v>0</v>
      </c>
      <c r="P21" s="52">
        <v>0.7</v>
      </c>
      <c r="Q21" s="52">
        <v>98.85</v>
      </c>
      <c r="R21" s="44"/>
      <c r="S21" s="44"/>
      <c r="T21" s="44"/>
      <c r="U21" s="44"/>
    </row>
    <row r="22" spans="1:21" s="11" customFormat="1" x14ac:dyDescent="0.25">
      <c r="A22" s="51" t="s">
        <v>411</v>
      </c>
      <c r="B22" s="52">
        <v>4.8899999999999997</v>
      </c>
      <c r="C22" s="52">
        <v>84.93</v>
      </c>
      <c r="D22" s="52">
        <v>50.11</v>
      </c>
      <c r="E22" s="52">
        <v>7.73</v>
      </c>
      <c r="F22" s="52">
        <v>14.51</v>
      </c>
      <c r="G22" s="52">
        <v>95.87</v>
      </c>
      <c r="H22" s="52">
        <v>59.05</v>
      </c>
      <c r="I22" s="52">
        <v>0.27</v>
      </c>
      <c r="J22" s="52">
        <v>0.99</v>
      </c>
      <c r="K22" s="52">
        <v>146.22</v>
      </c>
      <c r="L22" s="55" t="s">
        <v>8</v>
      </c>
      <c r="M22" s="55" t="s">
        <v>8</v>
      </c>
      <c r="N22" s="52">
        <v>563.4</v>
      </c>
      <c r="O22" s="52">
        <v>0</v>
      </c>
      <c r="P22" s="52">
        <v>0.72</v>
      </c>
      <c r="Q22" s="52">
        <v>115.37</v>
      </c>
      <c r="R22" s="44"/>
      <c r="S22" s="44"/>
      <c r="T22" s="44"/>
      <c r="U22" s="44"/>
    </row>
    <row r="23" spans="1:21" s="11" customFormat="1" x14ac:dyDescent="0.25">
      <c r="A23" s="51" t="s">
        <v>412</v>
      </c>
      <c r="B23" s="52">
        <v>3.43</v>
      </c>
      <c r="C23" s="52">
        <v>85.97</v>
      </c>
      <c r="D23" s="52">
        <v>50.2</v>
      </c>
      <c r="E23" s="52">
        <v>5.26</v>
      </c>
      <c r="F23" s="52">
        <v>7.57</v>
      </c>
      <c r="G23" s="52">
        <v>142.72999999999999</v>
      </c>
      <c r="H23" s="52">
        <v>58.06</v>
      </c>
      <c r="I23" s="52">
        <v>0.32</v>
      </c>
      <c r="J23" s="52">
        <v>0.79</v>
      </c>
      <c r="K23" s="52">
        <v>51.84</v>
      </c>
      <c r="L23" s="55" t="s">
        <v>8</v>
      </c>
      <c r="M23" s="55" t="s">
        <v>8</v>
      </c>
      <c r="N23" s="52">
        <v>456.7</v>
      </c>
      <c r="O23" s="52">
        <v>0</v>
      </c>
      <c r="P23" s="52">
        <v>0.77</v>
      </c>
      <c r="Q23" s="52">
        <v>121.37</v>
      </c>
      <c r="R23" s="44"/>
      <c r="S23" s="44"/>
      <c r="T23" s="44"/>
      <c r="U23" s="44"/>
    </row>
    <row r="24" spans="1:21" s="11" customFormat="1" x14ac:dyDescent="0.25">
      <c r="A24" s="51" t="s">
        <v>413</v>
      </c>
      <c r="B24" s="52">
        <v>7.27</v>
      </c>
      <c r="C24" s="52">
        <v>98.13</v>
      </c>
      <c r="D24" s="52">
        <v>59.41</v>
      </c>
      <c r="E24" s="52">
        <v>5.56</v>
      </c>
      <c r="F24" s="52">
        <v>17.25</v>
      </c>
      <c r="G24" s="52">
        <v>124.96</v>
      </c>
      <c r="H24" s="52">
        <v>59.11</v>
      </c>
      <c r="I24" s="52">
        <v>0.34</v>
      </c>
      <c r="J24" s="52">
        <v>1.1599999999999999</v>
      </c>
      <c r="K24" s="52">
        <v>71.12</v>
      </c>
      <c r="L24" s="55" t="s">
        <v>8</v>
      </c>
      <c r="M24" s="55" t="s">
        <v>8</v>
      </c>
      <c r="N24" s="52">
        <v>129.80000000000001</v>
      </c>
      <c r="O24" s="52">
        <v>0</v>
      </c>
      <c r="P24" s="52">
        <v>0.87</v>
      </c>
      <c r="Q24" s="52">
        <v>100.56</v>
      </c>
      <c r="R24" s="44"/>
      <c r="S24" s="44"/>
      <c r="T24" s="44"/>
      <c r="U24" s="44"/>
    </row>
    <row r="25" spans="1:21" s="11" customFormat="1" x14ac:dyDescent="0.25">
      <c r="A25" s="51" t="s">
        <v>414</v>
      </c>
      <c r="B25" s="52">
        <v>13.11</v>
      </c>
      <c r="C25" s="52">
        <v>136.37</v>
      </c>
      <c r="D25" s="52">
        <v>85.77</v>
      </c>
      <c r="E25" s="52">
        <v>12.3</v>
      </c>
      <c r="F25" s="52">
        <v>15.9</v>
      </c>
      <c r="G25" s="52">
        <v>111.38</v>
      </c>
      <c r="H25" s="52">
        <v>53.59</v>
      </c>
      <c r="I25" s="52">
        <v>0.28999999999999998</v>
      </c>
      <c r="J25" s="52">
        <v>0.96</v>
      </c>
      <c r="K25" s="52">
        <v>42.68</v>
      </c>
      <c r="L25" s="55" t="s">
        <v>8</v>
      </c>
      <c r="M25" s="55" t="s">
        <v>8</v>
      </c>
      <c r="N25" s="52">
        <v>64.400000000000006</v>
      </c>
      <c r="O25" s="52">
        <v>0</v>
      </c>
      <c r="P25" s="52">
        <v>1.3</v>
      </c>
      <c r="Q25" s="52">
        <v>131.51</v>
      </c>
      <c r="R25" s="44"/>
      <c r="S25" s="44"/>
      <c r="T25" s="44"/>
      <c r="U25" s="44"/>
    </row>
    <row r="26" spans="1:21" s="11" customFormat="1" x14ac:dyDescent="0.25">
      <c r="A26" s="51" t="s">
        <v>415</v>
      </c>
      <c r="B26" s="52">
        <v>25.67</v>
      </c>
      <c r="C26" s="52">
        <v>165.85</v>
      </c>
      <c r="D26" s="52">
        <v>107.38</v>
      </c>
      <c r="E26" s="52">
        <v>6.47</v>
      </c>
      <c r="F26" s="52">
        <v>6.94</v>
      </c>
      <c r="G26" s="52">
        <v>147.43</v>
      </c>
      <c r="H26" s="52">
        <v>53.42</v>
      </c>
      <c r="I26" s="52">
        <v>0.52</v>
      </c>
      <c r="J26" s="52">
        <v>0.36</v>
      </c>
      <c r="K26" s="52">
        <v>355.97</v>
      </c>
      <c r="L26" s="55" t="s">
        <v>8</v>
      </c>
      <c r="M26" s="55" t="s">
        <v>8</v>
      </c>
      <c r="N26" s="52">
        <v>24.1</v>
      </c>
      <c r="O26" s="52">
        <v>0</v>
      </c>
      <c r="P26" s="52">
        <v>1.56</v>
      </c>
      <c r="Q26" s="52">
        <v>154.91999999999999</v>
      </c>
      <c r="R26" s="44"/>
      <c r="S26" s="44"/>
      <c r="T26" s="44"/>
      <c r="U26" s="44"/>
    </row>
    <row r="27" spans="1:21" s="11" customFormat="1" x14ac:dyDescent="0.25">
      <c r="A27" s="51" t="s">
        <v>416</v>
      </c>
      <c r="B27" s="52">
        <v>67.099999999999994</v>
      </c>
      <c r="C27" s="52">
        <v>177.84</v>
      </c>
      <c r="D27" s="52">
        <v>151.96</v>
      </c>
      <c r="E27" s="52">
        <v>3.57</v>
      </c>
      <c r="F27" s="52">
        <v>1.04</v>
      </c>
      <c r="G27" s="59" t="s">
        <v>15</v>
      </c>
      <c r="H27" s="59" t="s">
        <v>15</v>
      </c>
      <c r="I27" s="52">
        <v>0.7</v>
      </c>
      <c r="J27" s="52">
        <v>0.22</v>
      </c>
      <c r="K27" s="52">
        <v>349.32</v>
      </c>
      <c r="L27" s="55" t="s">
        <v>8</v>
      </c>
      <c r="M27" s="55" t="s">
        <v>8</v>
      </c>
      <c r="N27" s="52">
        <v>17.3</v>
      </c>
      <c r="O27" s="52">
        <v>0</v>
      </c>
      <c r="P27" s="52">
        <v>1.87</v>
      </c>
      <c r="Q27" s="52">
        <v>177.63</v>
      </c>
      <c r="R27" s="44"/>
      <c r="S27" s="44"/>
      <c r="T27" s="44"/>
      <c r="U27" s="44"/>
    </row>
    <row r="28" spans="1:21" s="11" customFormat="1" x14ac:dyDescent="0.25">
      <c r="A28" s="51" t="s">
        <v>417</v>
      </c>
      <c r="B28" s="52">
        <v>113.45</v>
      </c>
      <c r="C28" s="52">
        <v>208.59</v>
      </c>
      <c r="D28" s="52">
        <v>206.1</v>
      </c>
      <c r="E28" s="52">
        <v>3.58</v>
      </c>
      <c r="F28" s="52">
        <v>0.95</v>
      </c>
      <c r="G28" s="59" t="s">
        <v>15</v>
      </c>
      <c r="H28" s="59" t="s">
        <v>15</v>
      </c>
      <c r="I28" s="52">
        <v>1.01</v>
      </c>
      <c r="J28" s="52">
        <v>0.18</v>
      </c>
      <c r="K28" s="52">
        <v>141.78</v>
      </c>
      <c r="L28" s="55" t="s">
        <v>8</v>
      </c>
      <c r="M28" s="55" t="s">
        <v>8</v>
      </c>
      <c r="N28" s="52">
        <v>17.100000000000001</v>
      </c>
      <c r="O28" s="52">
        <v>0</v>
      </c>
      <c r="P28" s="52">
        <v>2.54</v>
      </c>
      <c r="Q28" s="52">
        <v>230.26</v>
      </c>
      <c r="R28" s="44"/>
      <c r="S28" s="44"/>
      <c r="T28" s="44"/>
      <c r="U28" s="44"/>
    </row>
    <row r="29" spans="1:21" s="11" customFormat="1" x14ac:dyDescent="0.25">
      <c r="A29" s="51" t="s">
        <v>418</v>
      </c>
      <c r="B29" s="52">
        <v>165.52</v>
      </c>
      <c r="C29" s="52">
        <v>249.54</v>
      </c>
      <c r="D29" s="52">
        <v>270.45</v>
      </c>
      <c r="E29" s="52">
        <v>4.6100000000000003</v>
      </c>
      <c r="F29" s="52">
        <v>0.64</v>
      </c>
      <c r="G29" s="59" t="s">
        <v>15</v>
      </c>
      <c r="H29" s="59" t="s">
        <v>15</v>
      </c>
      <c r="I29" s="52">
        <v>1.45</v>
      </c>
      <c r="J29" s="52">
        <v>0.15</v>
      </c>
      <c r="K29" s="52">
        <v>343.37</v>
      </c>
      <c r="L29" s="55" t="s">
        <v>8</v>
      </c>
      <c r="M29" s="55" t="s">
        <v>8</v>
      </c>
      <c r="N29" s="52">
        <v>17.2</v>
      </c>
      <c r="O29" s="52">
        <v>0</v>
      </c>
      <c r="P29" s="52">
        <v>3.24</v>
      </c>
      <c r="Q29" s="52">
        <v>294.04000000000002</v>
      </c>
      <c r="R29" s="44"/>
      <c r="S29" s="44"/>
      <c r="T29" s="44"/>
      <c r="U29" s="44"/>
    </row>
    <row r="30" spans="1:21" s="11" customFormat="1" x14ac:dyDescent="0.25">
      <c r="A30" s="51" t="s">
        <v>419</v>
      </c>
      <c r="B30" s="52">
        <v>212.83</v>
      </c>
      <c r="C30" s="52">
        <v>284.56</v>
      </c>
      <c r="D30" s="52">
        <v>327.72</v>
      </c>
      <c r="E30" s="52">
        <v>5.21</v>
      </c>
      <c r="F30" s="52">
        <v>0.78</v>
      </c>
      <c r="G30" s="59" t="s">
        <v>15</v>
      </c>
      <c r="H30" s="59" t="s">
        <v>15</v>
      </c>
      <c r="I30" s="52">
        <v>1.78</v>
      </c>
      <c r="J30" s="52">
        <v>0.21</v>
      </c>
      <c r="K30" s="52">
        <v>351.05</v>
      </c>
      <c r="L30" s="55" t="s">
        <v>8</v>
      </c>
      <c r="M30" s="55" t="s">
        <v>8</v>
      </c>
      <c r="N30" s="52">
        <v>17.100000000000001</v>
      </c>
      <c r="O30" s="52">
        <v>0</v>
      </c>
      <c r="P30" s="52">
        <v>3.87</v>
      </c>
      <c r="Q30" s="52">
        <v>349.11</v>
      </c>
      <c r="R30" s="44"/>
      <c r="S30" s="44"/>
      <c r="T30" s="44"/>
      <c r="U30" s="44"/>
    </row>
    <row r="31" spans="1:21" s="11" customFormat="1" x14ac:dyDescent="0.25">
      <c r="A31" s="51" t="s">
        <v>420</v>
      </c>
      <c r="B31" s="52">
        <v>237.94</v>
      </c>
      <c r="C31" s="52">
        <v>301.63</v>
      </c>
      <c r="D31" s="52">
        <v>357.08</v>
      </c>
      <c r="E31" s="52">
        <v>5.59</v>
      </c>
      <c r="F31" s="52">
        <v>0.57999999999999996</v>
      </c>
      <c r="G31" s="59" t="s">
        <v>15</v>
      </c>
      <c r="H31" s="59" t="s">
        <v>15</v>
      </c>
      <c r="I31" s="52">
        <v>1.97</v>
      </c>
      <c r="J31" s="52">
        <v>0.19</v>
      </c>
      <c r="K31" s="52">
        <v>354.1</v>
      </c>
      <c r="L31" s="55" t="s">
        <v>8</v>
      </c>
      <c r="M31" s="55" t="s">
        <v>8</v>
      </c>
      <c r="N31" s="52">
        <v>16.899999999999999</v>
      </c>
      <c r="O31" s="52">
        <v>0</v>
      </c>
      <c r="P31" s="52">
        <v>4.2300000000000004</v>
      </c>
      <c r="Q31" s="52">
        <v>368.45</v>
      </c>
      <c r="R31" s="44"/>
      <c r="S31" s="44"/>
      <c r="T31" s="44"/>
      <c r="U31" s="44"/>
    </row>
    <row r="32" spans="1:21" s="11" customFormat="1" x14ac:dyDescent="0.25">
      <c r="A32" s="51" t="s">
        <v>421</v>
      </c>
      <c r="B32" s="52">
        <v>236.98</v>
      </c>
      <c r="C32" s="52">
        <v>298.81</v>
      </c>
      <c r="D32" s="52">
        <v>354.94</v>
      </c>
      <c r="E32" s="52">
        <v>5.43</v>
      </c>
      <c r="F32" s="52">
        <v>0.69</v>
      </c>
      <c r="G32" s="59" t="s">
        <v>15</v>
      </c>
      <c r="H32" s="59" t="s">
        <v>15</v>
      </c>
      <c r="I32" s="52">
        <v>1.99</v>
      </c>
      <c r="J32" s="52">
        <v>0.17</v>
      </c>
      <c r="K32" s="52">
        <v>347.86</v>
      </c>
      <c r="L32" s="55" t="s">
        <v>8</v>
      </c>
      <c r="M32" s="55" t="s">
        <v>8</v>
      </c>
      <c r="N32" s="52">
        <v>17</v>
      </c>
      <c r="O32" s="52">
        <v>0</v>
      </c>
      <c r="P32" s="52">
        <v>4.1900000000000004</v>
      </c>
      <c r="Q32" s="52">
        <v>363.22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3.43</v>
      </c>
      <c r="C34" s="28">
        <f t="shared" si="0"/>
        <v>84.93</v>
      </c>
      <c r="D34" s="28">
        <f t="shared" si="0"/>
        <v>50.11</v>
      </c>
      <c r="E34" s="28">
        <f t="shared" si="0"/>
        <v>3.57</v>
      </c>
      <c r="F34" s="28">
        <f t="shared" si="0"/>
        <v>0.43</v>
      </c>
      <c r="G34" s="28">
        <f t="shared" si="0"/>
        <v>86.39</v>
      </c>
      <c r="H34" s="28">
        <f t="shared" si="0"/>
        <v>53.42</v>
      </c>
      <c r="I34" s="28">
        <f t="shared" si="0"/>
        <v>0.27</v>
      </c>
      <c r="J34" s="28">
        <f t="shared" si="0"/>
        <v>0.08</v>
      </c>
      <c r="K34" s="28">
        <f t="shared" si="0"/>
        <v>42.68</v>
      </c>
      <c r="L34" s="28">
        <f t="shared" si="0"/>
        <v>0</v>
      </c>
      <c r="M34" s="28">
        <f t="shared" si="0"/>
        <v>0</v>
      </c>
      <c r="N34" s="28">
        <f t="shared" si="0"/>
        <v>16.899999999999999</v>
      </c>
      <c r="O34" s="28">
        <f t="shared" si="0"/>
        <v>0</v>
      </c>
      <c r="P34" s="28">
        <f t="shared" si="0"/>
        <v>0.7</v>
      </c>
      <c r="Q34" s="28">
        <f t="shared" si="0"/>
        <v>98.85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237.94</v>
      </c>
      <c r="C35" s="29">
        <f t="shared" si="1"/>
        <v>301.63</v>
      </c>
      <c r="D35" s="29">
        <f t="shared" si="1"/>
        <v>357.08</v>
      </c>
      <c r="E35" s="29">
        <f t="shared" si="1"/>
        <v>12.3</v>
      </c>
      <c r="F35" s="29">
        <f t="shared" si="1"/>
        <v>17.25</v>
      </c>
      <c r="G35" s="29">
        <f t="shared" si="1"/>
        <v>305.64999999999998</v>
      </c>
      <c r="H35" s="29">
        <f t="shared" si="1"/>
        <v>112.86</v>
      </c>
      <c r="I35" s="29">
        <f t="shared" si="1"/>
        <v>1.99</v>
      </c>
      <c r="J35" s="29">
        <f t="shared" si="1"/>
        <v>1.44</v>
      </c>
      <c r="K35" s="29">
        <f t="shared" si="1"/>
        <v>357.53</v>
      </c>
      <c r="L35" s="29">
        <f t="shared" si="1"/>
        <v>0</v>
      </c>
      <c r="M35" s="29">
        <f t="shared" si="1"/>
        <v>0</v>
      </c>
      <c r="N35" s="29">
        <f t="shared" si="1"/>
        <v>685.3</v>
      </c>
      <c r="O35" s="29">
        <f t="shared" si="1"/>
        <v>0</v>
      </c>
      <c r="P35" s="29">
        <f t="shared" si="1"/>
        <v>4.2300000000000004</v>
      </c>
      <c r="Q35" s="29">
        <f t="shared" si="1"/>
        <v>368.45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72.858750000000001</v>
      </c>
      <c r="C36" s="28">
        <f t="shared" si="2"/>
        <v>153.45708333333332</v>
      </c>
      <c r="D36" s="28">
        <f t="shared" si="2"/>
        <v>142.84583333333333</v>
      </c>
      <c r="E36" s="28">
        <f t="shared" si="2"/>
        <v>5.694583333333334</v>
      </c>
      <c r="F36" s="28">
        <f t="shared" si="2"/>
        <v>4.3775000000000004</v>
      </c>
      <c r="G36" s="28">
        <f t="shared" si="2"/>
        <v>149.59312500000001</v>
      </c>
      <c r="H36" s="28">
        <f t="shared" si="2"/>
        <v>73.285624999999982</v>
      </c>
      <c r="I36" s="28">
        <f t="shared" si="2"/>
        <v>0.87249999999999972</v>
      </c>
      <c r="J36" s="28">
        <f t="shared" si="2"/>
        <v>0.51541666666666675</v>
      </c>
      <c r="K36" s="28">
        <f t="shared" si="2"/>
        <v>228.23791666666668</v>
      </c>
      <c r="L36" s="28" t="e">
        <f t="shared" si="2"/>
        <v>#DIV/0!</v>
      </c>
      <c r="M36" s="28" t="e">
        <f t="shared" si="2"/>
        <v>#DIV/0!</v>
      </c>
      <c r="N36" s="28">
        <f t="shared" si="2"/>
        <v>203.75000000000003</v>
      </c>
      <c r="O36" s="28">
        <f t="shared" si="2"/>
        <v>0</v>
      </c>
      <c r="P36" s="28">
        <f t="shared" si="2"/>
        <v>1.8991666666666667</v>
      </c>
      <c r="Q36" s="28">
        <f t="shared" si="2"/>
        <v>174.21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71.93142666350937</v>
      </c>
      <c r="C37" s="28">
        <f t="shared" ref="C37:Q37" si="3">STDEV(C9:C32)</f>
        <v>67.036589910103359</v>
      </c>
      <c r="D37" s="28">
        <f t="shared" si="3"/>
        <v>93.785518021599202</v>
      </c>
      <c r="E37" s="28">
        <f t="shared" si="3"/>
        <v>1.8386312942599146</v>
      </c>
      <c r="F37" s="28">
        <f t="shared" si="3"/>
        <v>5.5411608028894328</v>
      </c>
      <c r="G37" s="28">
        <f t="shared" si="3"/>
        <v>54.421161903405363</v>
      </c>
      <c r="H37" s="28">
        <f t="shared" si="3"/>
        <v>16.550241878897239</v>
      </c>
      <c r="I37" s="28">
        <f t="shared" si="3"/>
        <v>0.51164908150869981</v>
      </c>
      <c r="J37" s="28">
        <f t="shared" si="3"/>
        <v>0.42088911238892401</v>
      </c>
      <c r="K37" s="28">
        <f t="shared" si="3"/>
        <v>121.92112082886487</v>
      </c>
      <c r="L37" s="28" t="e">
        <f t="shared" si="3"/>
        <v>#DIV/0!</v>
      </c>
      <c r="M37" s="28" t="e">
        <f t="shared" si="3"/>
        <v>#DIV/0!</v>
      </c>
      <c r="N37" s="28">
        <f t="shared" si="3"/>
        <v>262.50258797896095</v>
      </c>
      <c r="O37" s="28">
        <f t="shared" si="3"/>
        <v>0</v>
      </c>
      <c r="P37" s="28">
        <f t="shared" si="3"/>
        <v>1.0316677787917496</v>
      </c>
      <c r="Q37" s="28">
        <f t="shared" si="3"/>
        <v>84.43533960323154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P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 t="shared" si="4"/>
        <v>16</v>
      </c>
      <c r="H38" s="32">
        <f t="shared" si="4"/>
        <v>16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>COUNT(L9:L32)+24</f>
        <v>24</v>
      </c>
      <c r="M38" s="32">
        <f>COUNT(M9:M32)+24</f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</f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299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1" ySplit="8" topLeftCell="B15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R3" sqref="R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16-11-2022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422</v>
      </c>
      <c r="B9" s="52">
        <v>200.5</v>
      </c>
      <c r="C9" s="52">
        <v>263.05</v>
      </c>
      <c r="D9" s="52">
        <v>305.95999999999998</v>
      </c>
      <c r="E9" s="52">
        <v>5.41</v>
      </c>
      <c r="F9" s="52">
        <v>0.68</v>
      </c>
      <c r="G9" s="52">
        <v>262.83999999999997</v>
      </c>
      <c r="H9" s="52">
        <v>105.65</v>
      </c>
      <c r="I9" s="52">
        <v>1.91</v>
      </c>
      <c r="J9" s="52">
        <v>0.12</v>
      </c>
      <c r="K9" s="52">
        <v>356.99</v>
      </c>
      <c r="L9" s="55" t="s">
        <v>8</v>
      </c>
      <c r="M9" s="55" t="s">
        <v>8</v>
      </c>
      <c r="N9" s="52">
        <v>17.2</v>
      </c>
      <c r="O9" s="52">
        <v>0</v>
      </c>
      <c r="P9" s="52">
        <v>3.7</v>
      </c>
      <c r="Q9" s="52">
        <v>332.12</v>
      </c>
      <c r="R9" s="44"/>
      <c r="S9" s="44"/>
      <c r="T9" s="44"/>
      <c r="U9" s="44"/>
    </row>
    <row r="10" spans="1:21" s="11" customFormat="1" x14ac:dyDescent="0.25">
      <c r="A10" s="51" t="s">
        <v>423</v>
      </c>
      <c r="B10" s="52">
        <v>158.16999999999999</v>
      </c>
      <c r="C10" s="52">
        <v>222.46</v>
      </c>
      <c r="D10" s="52">
        <v>249.61</v>
      </c>
      <c r="E10" s="52">
        <v>4.93</v>
      </c>
      <c r="F10" s="52">
        <v>0.69</v>
      </c>
      <c r="G10" s="52">
        <v>175.02</v>
      </c>
      <c r="H10" s="52">
        <v>89.49</v>
      </c>
      <c r="I10" s="52">
        <v>1.73</v>
      </c>
      <c r="J10" s="52">
        <v>0.16</v>
      </c>
      <c r="K10" s="52">
        <v>340.51</v>
      </c>
      <c r="L10" s="55" t="s">
        <v>8</v>
      </c>
      <c r="M10" s="55" t="s">
        <v>8</v>
      </c>
      <c r="N10" s="52">
        <v>17</v>
      </c>
      <c r="O10" s="52">
        <v>0</v>
      </c>
      <c r="P10" s="52">
        <v>2.96</v>
      </c>
      <c r="Q10" s="52">
        <v>280.02999999999997</v>
      </c>
      <c r="R10" s="44"/>
      <c r="S10" s="44"/>
      <c r="T10" s="44"/>
      <c r="U10" s="44"/>
    </row>
    <row r="11" spans="1:21" s="11" customFormat="1" x14ac:dyDescent="0.25">
      <c r="A11" s="51" t="s">
        <v>424</v>
      </c>
      <c r="B11" s="52">
        <v>124.54</v>
      </c>
      <c r="C11" s="52">
        <v>184.52</v>
      </c>
      <c r="D11" s="52">
        <v>201.7</v>
      </c>
      <c r="E11" s="52">
        <v>4.93</v>
      </c>
      <c r="F11" s="52">
        <v>0.61</v>
      </c>
      <c r="G11" s="52">
        <v>159.55000000000001</v>
      </c>
      <c r="H11" s="52">
        <v>74.459999999999994</v>
      </c>
      <c r="I11" s="52">
        <v>1.57</v>
      </c>
      <c r="J11" s="52">
        <v>0.3</v>
      </c>
      <c r="K11" s="52">
        <v>338.42</v>
      </c>
      <c r="L11" s="55" t="s">
        <v>8</v>
      </c>
      <c r="M11" s="55" t="s">
        <v>8</v>
      </c>
      <c r="N11" s="52">
        <v>17</v>
      </c>
      <c r="O11" s="52">
        <v>0</v>
      </c>
      <c r="P11" s="52">
        <v>2.7</v>
      </c>
      <c r="Q11" s="52">
        <v>228.74</v>
      </c>
      <c r="R11" s="44"/>
      <c r="S11" s="44"/>
      <c r="T11" s="44"/>
      <c r="U11" s="44"/>
    </row>
    <row r="12" spans="1:21" s="11" customFormat="1" x14ac:dyDescent="0.25">
      <c r="A12" s="51" t="s">
        <v>425</v>
      </c>
      <c r="B12" s="52">
        <v>100.84</v>
      </c>
      <c r="C12" s="52">
        <v>160.16</v>
      </c>
      <c r="D12" s="52">
        <v>169.25</v>
      </c>
      <c r="E12" s="52">
        <v>4.82</v>
      </c>
      <c r="F12" s="52">
        <v>0.64</v>
      </c>
      <c r="G12" s="52">
        <v>145.15</v>
      </c>
      <c r="H12" s="52">
        <v>75.510000000000005</v>
      </c>
      <c r="I12" s="52">
        <v>1.42</v>
      </c>
      <c r="J12" s="52">
        <v>0.23</v>
      </c>
      <c r="K12" s="52">
        <v>293.37</v>
      </c>
      <c r="L12" s="55" t="s">
        <v>8</v>
      </c>
      <c r="M12" s="55" t="s">
        <v>8</v>
      </c>
      <c r="N12" s="52">
        <v>17</v>
      </c>
      <c r="O12" s="52">
        <v>0</v>
      </c>
      <c r="P12" s="52">
        <v>2.33</v>
      </c>
      <c r="Q12" s="52">
        <v>202.18</v>
      </c>
      <c r="R12" s="44"/>
      <c r="S12" s="44"/>
      <c r="T12" s="44"/>
      <c r="U12" s="44"/>
    </row>
    <row r="13" spans="1:21" s="11" customFormat="1" x14ac:dyDescent="0.25">
      <c r="A13" s="51" t="s">
        <v>426</v>
      </c>
      <c r="B13" s="52">
        <v>76.28</v>
      </c>
      <c r="C13" s="52">
        <v>134.25</v>
      </c>
      <c r="D13" s="52">
        <v>135.26</v>
      </c>
      <c r="E13" s="52">
        <v>4.41</v>
      </c>
      <c r="F13" s="52">
        <v>0.67</v>
      </c>
      <c r="G13" s="52">
        <v>109.96</v>
      </c>
      <c r="H13" s="52">
        <v>76.61</v>
      </c>
      <c r="I13" s="52">
        <v>1.25</v>
      </c>
      <c r="J13" s="52">
        <v>0.25</v>
      </c>
      <c r="K13" s="52">
        <v>281.2</v>
      </c>
      <c r="L13" s="55" t="s">
        <v>8</v>
      </c>
      <c r="M13" s="55" t="s">
        <v>8</v>
      </c>
      <c r="N13" s="52">
        <v>17.2</v>
      </c>
      <c r="O13" s="52">
        <v>0</v>
      </c>
      <c r="P13" s="52">
        <v>1.94</v>
      </c>
      <c r="Q13" s="52">
        <v>174.91</v>
      </c>
      <c r="R13" s="44"/>
      <c r="S13" s="44"/>
      <c r="T13" s="44"/>
      <c r="U13" s="44"/>
    </row>
    <row r="14" spans="1:21" s="11" customFormat="1" x14ac:dyDescent="0.25">
      <c r="A14" s="51" t="s">
        <v>427</v>
      </c>
      <c r="B14" s="52">
        <v>68.58</v>
      </c>
      <c r="C14" s="52">
        <v>121.93</v>
      </c>
      <c r="D14" s="52">
        <v>122.29</v>
      </c>
      <c r="E14" s="52">
        <v>4.46</v>
      </c>
      <c r="F14" s="52">
        <v>0.68</v>
      </c>
      <c r="G14" s="52">
        <v>135.88999999999999</v>
      </c>
      <c r="H14" s="52">
        <v>62.22</v>
      </c>
      <c r="I14" s="52">
        <v>1.07</v>
      </c>
      <c r="J14" s="52">
        <v>0.16</v>
      </c>
      <c r="K14" s="52">
        <v>316.2</v>
      </c>
      <c r="L14" s="55" t="s">
        <v>8</v>
      </c>
      <c r="M14" s="55" t="s">
        <v>8</v>
      </c>
      <c r="N14" s="52">
        <v>17.100000000000001</v>
      </c>
      <c r="O14" s="52">
        <v>0</v>
      </c>
      <c r="P14" s="52">
        <v>1.66</v>
      </c>
      <c r="Q14" s="52">
        <v>151.22</v>
      </c>
      <c r="R14" s="44"/>
      <c r="S14" s="44"/>
      <c r="T14" s="44"/>
      <c r="U14" s="44"/>
    </row>
    <row r="15" spans="1:21" s="11" customFormat="1" x14ac:dyDescent="0.25">
      <c r="A15" s="51" t="s">
        <v>428</v>
      </c>
      <c r="B15" s="52">
        <v>70.569999999999993</v>
      </c>
      <c r="C15" s="52">
        <v>127.65</v>
      </c>
      <c r="D15" s="52">
        <v>126.87</v>
      </c>
      <c r="E15" s="52">
        <v>4.3499999999999996</v>
      </c>
      <c r="F15" s="52">
        <v>0.72</v>
      </c>
      <c r="G15" s="52">
        <v>282.14999999999998</v>
      </c>
      <c r="H15" s="52">
        <v>69.75</v>
      </c>
      <c r="I15" s="52">
        <v>0.94</v>
      </c>
      <c r="J15" s="52">
        <v>0.21</v>
      </c>
      <c r="K15" s="52">
        <v>353.78</v>
      </c>
      <c r="L15" s="55" t="s">
        <v>8</v>
      </c>
      <c r="M15" s="55" t="s">
        <v>8</v>
      </c>
      <c r="N15" s="52">
        <v>56.9</v>
      </c>
      <c r="O15" s="52">
        <v>0</v>
      </c>
      <c r="P15" s="52">
        <v>1.57</v>
      </c>
      <c r="Q15" s="52">
        <v>159.61000000000001</v>
      </c>
      <c r="R15" s="44"/>
      <c r="S15" s="44"/>
      <c r="T15" s="44"/>
      <c r="U15" s="44"/>
    </row>
    <row r="16" spans="1:21" s="11" customFormat="1" x14ac:dyDescent="0.25">
      <c r="A16" s="51" t="s">
        <v>429</v>
      </c>
      <c r="B16" s="52">
        <v>64.430000000000007</v>
      </c>
      <c r="C16" s="52">
        <v>141.02000000000001</v>
      </c>
      <c r="D16" s="52">
        <v>127.36</v>
      </c>
      <c r="E16" s="52">
        <v>4.5599999999999996</v>
      </c>
      <c r="F16" s="52">
        <v>0.65</v>
      </c>
      <c r="G16" s="52">
        <v>255.51</v>
      </c>
      <c r="H16" s="52">
        <v>77.36</v>
      </c>
      <c r="I16" s="52">
        <v>0.88</v>
      </c>
      <c r="J16" s="52">
        <v>0.4</v>
      </c>
      <c r="K16" s="52">
        <v>270.02</v>
      </c>
      <c r="L16" s="55" t="s">
        <v>8</v>
      </c>
      <c r="M16" s="55" t="s">
        <v>8</v>
      </c>
      <c r="N16" s="52">
        <v>271.60000000000002</v>
      </c>
      <c r="O16" s="52">
        <v>0</v>
      </c>
      <c r="P16" s="52">
        <v>1.6</v>
      </c>
      <c r="Q16" s="52">
        <v>155.43</v>
      </c>
      <c r="R16" s="44"/>
      <c r="S16" s="44"/>
      <c r="T16" s="44"/>
      <c r="U16" s="44"/>
    </row>
    <row r="17" spans="1:21" s="11" customFormat="1" x14ac:dyDescent="0.25">
      <c r="A17" s="51" t="s">
        <v>430</v>
      </c>
      <c r="B17" s="52">
        <v>60.75</v>
      </c>
      <c r="C17" s="52">
        <v>137.22999999999999</v>
      </c>
      <c r="D17" s="52">
        <v>124.45</v>
      </c>
      <c r="E17" s="52">
        <v>3.99</v>
      </c>
      <c r="F17" s="52">
        <v>0.79</v>
      </c>
      <c r="G17" s="52">
        <v>236.05</v>
      </c>
      <c r="H17" s="52">
        <v>91.81</v>
      </c>
      <c r="I17" s="52">
        <v>0.84</v>
      </c>
      <c r="J17" s="52">
        <v>0.77</v>
      </c>
      <c r="K17" s="52">
        <v>204.82</v>
      </c>
      <c r="L17" s="55" t="s">
        <v>8</v>
      </c>
      <c r="M17" s="55" t="s">
        <v>8</v>
      </c>
      <c r="N17" s="52">
        <v>434.1</v>
      </c>
      <c r="O17" s="52">
        <v>0</v>
      </c>
      <c r="P17" s="52">
        <v>1.61</v>
      </c>
      <c r="Q17" s="52">
        <v>154.85</v>
      </c>
      <c r="R17" s="44"/>
      <c r="S17" s="44"/>
      <c r="T17" s="44"/>
      <c r="U17" s="44"/>
    </row>
    <row r="18" spans="1:21" s="11" customFormat="1" x14ac:dyDescent="0.25">
      <c r="A18" s="51" t="s">
        <v>431</v>
      </c>
      <c r="B18" s="52">
        <v>49.11</v>
      </c>
      <c r="C18" s="52">
        <v>124.91</v>
      </c>
      <c r="D18" s="52">
        <v>106.57</v>
      </c>
      <c r="E18" s="52">
        <v>4.2699999999999996</v>
      </c>
      <c r="F18" s="52">
        <v>1.05</v>
      </c>
      <c r="G18" s="52">
        <v>259.99</v>
      </c>
      <c r="H18" s="52">
        <v>95.61</v>
      </c>
      <c r="I18" s="52">
        <v>0.81</v>
      </c>
      <c r="J18" s="52">
        <v>0.66</v>
      </c>
      <c r="K18" s="52">
        <v>180.79</v>
      </c>
      <c r="L18" s="55" t="s">
        <v>8</v>
      </c>
      <c r="M18" s="55" t="s">
        <v>8</v>
      </c>
      <c r="N18" s="52">
        <v>546.6</v>
      </c>
      <c r="O18" s="52">
        <v>0</v>
      </c>
      <c r="P18" s="52">
        <v>1.61</v>
      </c>
      <c r="Q18" s="52">
        <v>134.53</v>
      </c>
      <c r="R18" s="44"/>
      <c r="S18" s="44"/>
      <c r="T18" s="44"/>
      <c r="U18" s="44"/>
    </row>
    <row r="19" spans="1:21" s="11" customFormat="1" x14ac:dyDescent="0.25">
      <c r="A19" s="51" t="s">
        <v>432</v>
      </c>
      <c r="B19" s="52">
        <v>35.340000000000003</v>
      </c>
      <c r="C19" s="52">
        <v>124.08</v>
      </c>
      <c r="D19" s="52">
        <v>96.82</v>
      </c>
      <c r="E19" s="52">
        <v>5.78</v>
      </c>
      <c r="F19" s="52">
        <v>1.86</v>
      </c>
      <c r="G19" s="52">
        <v>271.60000000000002</v>
      </c>
      <c r="H19" s="52">
        <v>99.96</v>
      </c>
      <c r="I19" s="52">
        <v>0.76</v>
      </c>
      <c r="J19" s="52">
        <v>1.45</v>
      </c>
      <c r="K19" s="52">
        <v>136.13</v>
      </c>
      <c r="L19" s="55" t="s">
        <v>8</v>
      </c>
      <c r="M19" s="55" t="s">
        <v>8</v>
      </c>
      <c r="N19" s="52">
        <v>633.4</v>
      </c>
      <c r="O19" s="52">
        <v>0</v>
      </c>
      <c r="P19" s="52">
        <v>1.59</v>
      </c>
      <c r="Q19" s="52">
        <v>163.09</v>
      </c>
      <c r="R19" s="44"/>
      <c r="S19" s="44"/>
      <c r="T19" s="44"/>
      <c r="U19" s="44"/>
    </row>
    <row r="20" spans="1:21" s="11" customFormat="1" x14ac:dyDescent="0.25">
      <c r="A20" s="51" t="s">
        <v>433</v>
      </c>
      <c r="B20" s="52">
        <v>20.96</v>
      </c>
      <c r="C20" s="52">
        <v>111.81</v>
      </c>
      <c r="D20" s="52">
        <v>78.52</v>
      </c>
      <c r="E20" s="52">
        <v>5.38</v>
      </c>
      <c r="F20" s="52">
        <v>2.42</v>
      </c>
      <c r="G20" s="52">
        <v>179.98</v>
      </c>
      <c r="H20" s="52">
        <v>93.41</v>
      </c>
      <c r="I20" s="52">
        <v>0.76</v>
      </c>
      <c r="J20" s="52">
        <v>1.1599999999999999</v>
      </c>
      <c r="K20" s="52">
        <v>159.94</v>
      </c>
      <c r="L20" s="55" t="s">
        <v>8</v>
      </c>
      <c r="M20" s="55" t="s">
        <v>8</v>
      </c>
      <c r="N20" s="52">
        <v>645.5</v>
      </c>
      <c r="O20" s="52">
        <v>0</v>
      </c>
      <c r="P20" s="52">
        <v>1.46</v>
      </c>
      <c r="Q20" s="52">
        <v>173.75</v>
      </c>
      <c r="R20" s="44"/>
      <c r="S20" s="44"/>
      <c r="T20" s="44"/>
      <c r="U20" s="44"/>
    </row>
    <row r="21" spans="1:21" s="11" customFormat="1" x14ac:dyDescent="0.25">
      <c r="A21" s="51" t="s">
        <v>434</v>
      </c>
      <c r="B21" s="52">
        <v>10.7</v>
      </c>
      <c r="C21" s="52">
        <v>100.62</v>
      </c>
      <c r="D21" s="52">
        <v>63.29</v>
      </c>
      <c r="E21" s="52">
        <v>6</v>
      </c>
      <c r="F21" s="52">
        <v>4.0599999999999996</v>
      </c>
      <c r="G21" s="52">
        <v>107.67</v>
      </c>
      <c r="H21" s="52">
        <v>76.760000000000005</v>
      </c>
      <c r="I21" s="52">
        <v>0.65</v>
      </c>
      <c r="J21" s="52">
        <v>0.78</v>
      </c>
      <c r="K21" s="52">
        <v>130.18</v>
      </c>
      <c r="L21" s="52">
        <v>27.03</v>
      </c>
      <c r="M21" s="52">
        <v>40.03</v>
      </c>
      <c r="N21" s="52">
        <v>661.7</v>
      </c>
      <c r="O21" s="52">
        <v>0</v>
      </c>
      <c r="P21" s="52">
        <v>1.28</v>
      </c>
      <c r="Q21" s="52">
        <v>158.69</v>
      </c>
      <c r="R21" s="44"/>
      <c r="S21" s="44"/>
      <c r="T21" s="44"/>
      <c r="U21" s="44"/>
    </row>
    <row r="22" spans="1:21" s="11" customFormat="1" x14ac:dyDescent="0.25">
      <c r="A22" s="51" t="s">
        <v>435</v>
      </c>
      <c r="B22" s="52">
        <v>4.63</v>
      </c>
      <c r="C22" s="52">
        <v>90.02</v>
      </c>
      <c r="D22" s="52">
        <v>53.4</v>
      </c>
      <c r="E22" s="52">
        <v>6.29</v>
      </c>
      <c r="F22" s="52">
        <v>8.1</v>
      </c>
      <c r="G22" s="52">
        <v>89.85</v>
      </c>
      <c r="H22" s="52">
        <v>67.8</v>
      </c>
      <c r="I22" s="52">
        <v>0.56999999999999995</v>
      </c>
      <c r="J22" s="52">
        <v>1.29</v>
      </c>
      <c r="K22" s="52">
        <v>233.7</v>
      </c>
      <c r="L22" s="52">
        <v>10.92</v>
      </c>
      <c r="M22" s="52">
        <v>14.25</v>
      </c>
      <c r="N22" s="52">
        <v>584.20000000000005</v>
      </c>
      <c r="O22" s="52">
        <v>0</v>
      </c>
      <c r="P22" s="52">
        <v>0.97</v>
      </c>
      <c r="Q22" s="52">
        <v>128.91</v>
      </c>
      <c r="R22" s="44"/>
      <c r="S22" s="44"/>
      <c r="T22" s="44"/>
      <c r="U22" s="44"/>
    </row>
    <row r="23" spans="1:21" s="11" customFormat="1" x14ac:dyDescent="0.25">
      <c r="A23" s="51" t="s">
        <v>436</v>
      </c>
      <c r="B23" s="52">
        <v>3.87</v>
      </c>
      <c r="C23" s="52">
        <v>82.78</v>
      </c>
      <c r="D23" s="52">
        <v>47.98</v>
      </c>
      <c r="E23" s="52">
        <v>7.6</v>
      </c>
      <c r="F23" s="52">
        <v>12.41</v>
      </c>
      <c r="G23" s="52">
        <v>113.22</v>
      </c>
      <c r="H23" s="52">
        <v>54.53</v>
      </c>
      <c r="I23" s="52">
        <v>0.37</v>
      </c>
      <c r="J23" s="52">
        <v>1.18</v>
      </c>
      <c r="K23" s="52">
        <v>233.32</v>
      </c>
      <c r="L23" s="55" t="s">
        <v>8</v>
      </c>
      <c r="M23" s="55" t="s">
        <v>8</v>
      </c>
      <c r="N23" s="52">
        <v>433.2</v>
      </c>
      <c r="O23" s="52">
        <v>0</v>
      </c>
      <c r="P23" s="52">
        <v>0.81</v>
      </c>
      <c r="Q23" s="52">
        <v>126.88</v>
      </c>
      <c r="R23" s="44"/>
      <c r="S23" s="44"/>
      <c r="T23" s="44"/>
      <c r="U23" s="44"/>
    </row>
    <row r="24" spans="1:21" s="11" customFormat="1" x14ac:dyDescent="0.25">
      <c r="A24" s="51" t="s">
        <v>437</v>
      </c>
      <c r="B24" s="52">
        <v>3.64</v>
      </c>
      <c r="C24" s="52">
        <v>82.75</v>
      </c>
      <c r="D24" s="52">
        <v>48.59</v>
      </c>
      <c r="E24" s="52">
        <v>7.45</v>
      </c>
      <c r="F24" s="52">
        <v>8.8699999999999992</v>
      </c>
      <c r="G24" s="52">
        <v>85.9</v>
      </c>
      <c r="H24" s="52">
        <v>52.87</v>
      </c>
      <c r="I24" s="52">
        <v>0.36</v>
      </c>
      <c r="J24" s="52">
        <v>1.23</v>
      </c>
      <c r="K24" s="52">
        <v>231.56</v>
      </c>
      <c r="L24" s="55" t="s">
        <v>8</v>
      </c>
      <c r="M24" s="55" t="s">
        <v>8</v>
      </c>
      <c r="N24" s="52">
        <v>106.5</v>
      </c>
      <c r="O24" s="52">
        <v>0</v>
      </c>
      <c r="P24" s="52">
        <v>0.75</v>
      </c>
      <c r="Q24" s="52">
        <v>141.18</v>
      </c>
      <c r="R24" s="44"/>
      <c r="S24" s="44"/>
      <c r="T24" s="44"/>
      <c r="U24" s="44"/>
    </row>
    <row r="25" spans="1:21" s="11" customFormat="1" x14ac:dyDescent="0.25">
      <c r="A25" s="51" t="s">
        <v>438</v>
      </c>
      <c r="B25" s="52">
        <v>8.49</v>
      </c>
      <c r="C25" s="52">
        <v>110.21</v>
      </c>
      <c r="D25" s="52">
        <v>67.63</v>
      </c>
      <c r="E25" s="52">
        <v>15.6</v>
      </c>
      <c r="F25" s="52">
        <v>23.58</v>
      </c>
      <c r="G25" s="52">
        <v>89.27</v>
      </c>
      <c r="H25" s="52">
        <v>38.409999999999997</v>
      </c>
      <c r="I25" s="52">
        <v>0.36</v>
      </c>
      <c r="J25" s="52">
        <v>0.47</v>
      </c>
      <c r="K25" s="52">
        <v>230.78</v>
      </c>
      <c r="L25" s="52">
        <v>27.73</v>
      </c>
      <c r="M25" s="52">
        <v>47.41</v>
      </c>
      <c r="N25" s="52">
        <v>50.4</v>
      </c>
      <c r="O25" s="52">
        <v>0</v>
      </c>
      <c r="P25" s="52">
        <v>0.94</v>
      </c>
      <c r="Q25" s="52">
        <v>130.56</v>
      </c>
      <c r="R25" s="44"/>
      <c r="S25" s="44"/>
      <c r="T25" s="44"/>
      <c r="U25" s="44"/>
    </row>
    <row r="26" spans="1:21" s="11" customFormat="1" x14ac:dyDescent="0.25">
      <c r="A26" s="51" t="s">
        <v>439</v>
      </c>
      <c r="B26" s="52">
        <v>35.159999999999997</v>
      </c>
      <c r="C26" s="52">
        <v>158.63999999999999</v>
      </c>
      <c r="D26" s="52">
        <v>115.74</v>
      </c>
      <c r="E26" s="52">
        <v>9.26</v>
      </c>
      <c r="F26" s="52">
        <v>2.36</v>
      </c>
      <c r="G26" s="52">
        <v>158.55000000000001</v>
      </c>
      <c r="H26" s="52">
        <v>43.89</v>
      </c>
      <c r="I26" s="52">
        <v>0.44</v>
      </c>
      <c r="J26" s="52">
        <v>0.2</v>
      </c>
      <c r="K26" s="52">
        <v>230.04</v>
      </c>
      <c r="L26" s="52">
        <v>25.56</v>
      </c>
      <c r="M26" s="52">
        <v>59.7</v>
      </c>
      <c r="N26" s="52">
        <v>11</v>
      </c>
      <c r="O26" s="52">
        <v>0</v>
      </c>
      <c r="P26" s="52">
        <v>1.56</v>
      </c>
      <c r="Q26" s="52">
        <v>183.14</v>
      </c>
      <c r="R26" s="44"/>
      <c r="S26" s="44"/>
      <c r="T26" s="44"/>
      <c r="U26" s="44"/>
    </row>
    <row r="27" spans="1:21" s="11" customFormat="1" x14ac:dyDescent="0.25">
      <c r="A27" s="51" t="s">
        <v>440</v>
      </c>
      <c r="B27" s="52">
        <v>59.99</v>
      </c>
      <c r="C27" s="52">
        <v>168.71</v>
      </c>
      <c r="D27" s="52">
        <v>137.94</v>
      </c>
      <c r="E27" s="52">
        <v>3.89</v>
      </c>
      <c r="F27" s="52">
        <v>0.75</v>
      </c>
      <c r="G27" s="59" t="s">
        <v>15</v>
      </c>
      <c r="H27" s="59" t="s">
        <v>15</v>
      </c>
      <c r="I27" s="52">
        <v>0.7</v>
      </c>
      <c r="J27" s="52">
        <v>0.2</v>
      </c>
      <c r="K27" s="52">
        <v>228.64</v>
      </c>
      <c r="L27" s="52">
        <v>22.94</v>
      </c>
      <c r="M27" s="52">
        <v>65.34</v>
      </c>
      <c r="N27" s="52">
        <v>4.9000000000000004</v>
      </c>
      <c r="O27" s="52">
        <v>0</v>
      </c>
      <c r="P27" s="52">
        <v>1.81</v>
      </c>
      <c r="Q27" s="52">
        <v>221.49</v>
      </c>
      <c r="R27" s="44"/>
      <c r="S27" s="44"/>
      <c r="T27" s="44"/>
      <c r="U27" s="44"/>
    </row>
    <row r="28" spans="1:21" s="11" customFormat="1" x14ac:dyDescent="0.25">
      <c r="A28" s="51" t="s">
        <v>441</v>
      </c>
      <c r="B28" s="52">
        <v>80.61</v>
      </c>
      <c r="C28" s="52">
        <v>172.7</v>
      </c>
      <c r="D28" s="52">
        <v>159.96</v>
      </c>
      <c r="E28" s="52">
        <v>4.34</v>
      </c>
      <c r="F28" s="52">
        <v>0.72</v>
      </c>
      <c r="G28" s="59" t="s">
        <v>15</v>
      </c>
      <c r="H28" s="59" t="s">
        <v>15</v>
      </c>
      <c r="I28" s="52">
        <v>0.96</v>
      </c>
      <c r="J28" s="52">
        <v>0.21</v>
      </c>
      <c r="K28" s="52">
        <v>228.51</v>
      </c>
      <c r="L28" s="52">
        <v>22.78</v>
      </c>
      <c r="M28" s="52">
        <v>71.81</v>
      </c>
      <c r="N28" s="52">
        <v>5.2</v>
      </c>
      <c r="O28" s="52">
        <v>0</v>
      </c>
      <c r="P28" s="52">
        <v>2.48</v>
      </c>
      <c r="Q28" s="52">
        <v>225.46</v>
      </c>
      <c r="R28" s="44"/>
      <c r="S28" s="44"/>
      <c r="T28" s="44"/>
      <c r="U28" s="44"/>
    </row>
    <row r="29" spans="1:21" s="11" customFormat="1" x14ac:dyDescent="0.25">
      <c r="A29" s="51" t="s">
        <v>442</v>
      </c>
      <c r="B29" s="52">
        <v>126.87</v>
      </c>
      <c r="C29" s="52">
        <v>207.95</v>
      </c>
      <c r="D29" s="52">
        <v>216.5</v>
      </c>
      <c r="E29" s="52">
        <v>4.29</v>
      </c>
      <c r="F29" s="52">
        <v>0.7</v>
      </c>
      <c r="G29" s="59" t="s">
        <v>15</v>
      </c>
      <c r="H29" s="59" t="s">
        <v>15</v>
      </c>
      <c r="I29" s="52">
        <v>1.44</v>
      </c>
      <c r="J29" s="52">
        <v>0.23</v>
      </c>
      <c r="K29" s="52">
        <v>228.04</v>
      </c>
      <c r="L29" s="52">
        <v>20.69</v>
      </c>
      <c r="M29" s="52">
        <v>76.36</v>
      </c>
      <c r="N29" s="52">
        <v>4.8</v>
      </c>
      <c r="O29" s="52">
        <v>0</v>
      </c>
      <c r="P29" s="52">
        <v>3.17</v>
      </c>
      <c r="Q29" s="52">
        <v>275.17</v>
      </c>
      <c r="R29" s="44"/>
      <c r="S29" s="44"/>
      <c r="T29" s="44"/>
      <c r="U29" s="44"/>
    </row>
    <row r="30" spans="1:21" s="11" customFormat="1" x14ac:dyDescent="0.25">
      <c r="A30" s="51" t="s">
        <v>443</v>
      </c>
      <c r="B30" s="52">
        <v>196.72</v>
      </c>
      <c r="C30" s="52">
        <v>270.17</v>
      </c>
      <c r="D30" s="52">
        <v>306.86</v>
      </c>
      <c r="E30" s="52">
        <v>5.37</v>
      </c>
      <c r="F30" s="52">
        <v>0.69</v>
      </c>
      <c r="G30" s="59" t="s">
        <v>15</v>
      </c>
      <c r="H30" s="59" t="s">
        <v>15</v>
      </c>
      <c r="I30" s="52">
        <v>1.89</v>
      </c>
      <c r="J30" s="52">
        <v>0.18</v>
      </c>
      <c r="K30" s="52">
        <v>227.71</v>
      </c>
      <c r="L30" s="52">
        <v>20.11</v>
      </c>
      <c r="M30" s="52">
        <v>82.7</v>
      </c>
      <c r="N30" s="52">
        <v>4.7</v>
      </c>
      <c r="O30" s="52">
        <v>0</v>
      </c>
      <c r="P30" s="52">
        <v>4.25</v>
      </c>
      <c r="Q30" s="52">
        <v>363.23</v>
      </c>
      <c r="R30" s="44"/>
      <c r="S30" s="44"/>
      <c r="T30" s="44"/>
      <c r="U30" s="44"/>
    </row>
    <row r="31" spans="1:21" s="11" customFormat="1" x14ac:dyDescent="0.25">
      <c r="A31" s="51" t="s">
        <v>444</v>
      </c>
      <c r="B31" s="52">
        <v>227.62</v>
      </c>
      <c r="C31" s="52">
        <v>282.08</v>
      </c>
      <c r="D31" s="52">
        <v>338.21</v>
      </c>
      <c r="E31" s="52">
        <v>5.69</v>
      </c>
      <c r="F31" s="52">
        <v>0.68</v>
      </c>
      <c r="G31" s="59" t="s">
        <v>15</v>
      </c>
      <c r="H31" s="59" t="s">
        <v>15</v>
      </c>
      <c r="I31" s="52">
        <v>2.27</v>
      </c>
      <c r="J31" s="52">
        <v>0.2</v>
      </c>
      <c r="K31" s="52">
        <v>227.53</v>
      </c>
      <c r="L31" s="52">
        <v>19.239999999999998</v>
      </c>
      <c r="M31" s="52">
        <v>86.5</v>
      </c>
      <c r="N31" s="52">
        <v>4.9000000000000004</v>
      </c>
      <c r="O31" s="52">
        <v>0</v>
      </c>
      <c r="P31" s="52">
        <v>4.72</v>
      </c>
      <c r="Q31" s="52">
        <v>385.07</v>
      </c>
      <c r="R31" s="44"/>
      <c r="S31" s="44"/>
      <c r="T31" s="44"/>
      <c r="U31" s="44"/>
    </row>
    <row r="32" spans="1:21" s="11" customFormat="1" x14ac:dyDescent="0.25">
      <c r="A32" s="51" t="s">
        <v>445</v>
      </c>
      <c r="B32" s="52">
        <v>251.09</v>
      </c>
      <c r="C32" s="52">
        <v>301.35000000000002</v>
      </c>
      <c r="D32" s="52">
        <v>367.64</v>
      </c>
      <c r="E32" s="52">
        <v>6.19</v>
      </c>
      <c r="F32" s="52">
        <v>0.56000000000000005</v>
      </c>
      <c r="G32" s="59" t="s">
        <v>15</v>
      </c>
      <c r="H32" s="59" t="s">
        <v>15</v>
      </c>
      <c r="I32" s="52">
        <v>2.36</v>
      </c>
      <c r="J32" s="52">
        <v>0.14000000000000001</v>
      </c>
      <c r="K32" s="52">
        <v>227.33</v>
      </c>
      <c r="L32" s="52">
        <v>18.37</v>
      </c>
      <c r="M32" s="52">
        <v>89.1</v>
      </c>
      <c r="N32" s="52">
        <v>4.7</v>
      </c>
      <c r="O32" s="52">
        <v>0</v>
      </c>
      <c r="P32" s="52">
        <v>4.8099999999999996</v>
      </c>
      <c r="Q32" s="59" t="s">
        <v>15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3.64</v>
      </c>
      <c r="C34" s="28">
        <f t="shared" si="0"/>
        <v>82.75</v>
      </c>
      <c r="D34" s="28">
        <f t="shared" si="0"/>
        <v>47.98</v>
      </c>
      <c r="E34" s="28">
        <f t="shared" si="0"/>
        <v>3.89</v>
      </c>
      <c r="F34" s="28">
        <f t="shared" si="0"/>
        <v>0.56000000000000005</v>
      </c>
      <c r="G34" s="28">
        <f t="shared" si="0"/>
        <v>85.9</v>
      </c>
      <c r="H34" s="28">
        <f t="shared" si="0"/>
        <v>38.409999999999997</v>
      </c>
      <c r="I34" s="28">
        <f t="shared" si="0"/>
        <v>0.36</v>
      </c>
      <c r="J34" s="28">
        <f t="shared" si="0"/>
        <v>0.12</v>
      </c>
      <c r="K34" s="28">
        <f t="shared" si="0"/>
        <v>130.18</v>
      </c>
      <c r="L34" s="28">
        <f t="shared" si="0"/>
        <v>10.92</v>
      </c>
      <c r="M34" s="28">
        <f t="shared" si="0"/>
        <v>14.25</v>
      </c>
      <c r="N34" s="28">
        <f t="shared" si="0"/>
        <v>4.7</v>
      </c>
      <c r="O34" s="28">
        <f t="shared" si="0"/>
        <v>0</v>
      </c>
      <c r="P34" s="28">
        <f t="shared" si="0"/>
        <v>0.75</v>
      </c>
      <c r="Q34" s="28">
        <f t="shared" si="0"/>
        <v>126.88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251.09</v>
      </c>
      <c r="C35" s="29">
        <f t="shared" si="1"/>
        <v>301.35000000000002</v>
      </c>
      <c r="D35" s="29">
        <f t="shared" si="1"/>
        <v>367.64</v>
      </c>
      <c r="E35" s="29">
        <f t="shared" si="1"/>
        <v>15.6</v>
      </c>
      <c r="F35" s="29">
        <f t="shared" si="1"/>
        <v>23.58</v>
      </c>
      <c r="G35" s="29">
        <f t="shared" si="1"/>
        <v>282.14999999999998</v>
      </c>
      <c r="H35" s="29">
        <f t="shared" si="1"/>
        <v>105.65</v>
      </c>
      <c r="I35" s="29">
        <f t="shared" si="1"/>
        <v>2.36</v>
      </c>
      <c r="J35" s="29">
        <f t="shared" si="1"/>
        <v>1.45</v>
      </c>
      <c r="K35" s="29">
        <f t="shared" si="1"/>
        <v>356.99</v>
      </c>
      <c r="L35" s="29">
        <f t="shared" si="1"/>
        <v>27.73</v>
      </c>
      <c r="M35" s="29">
        <f t="shared" si="1"/>
        <v>89.1</v>
      </c>
      <c r="N35" s="29">
        <f t="shared" si="1"/>
        <v>661.7</v>
      </c>
      <c r="O35" s="29">
        <f t="shared" si="1"/>
        <v>0</v>
      </c>
      <c r="P35" s="29">
        <f t="shared" si="1"/>
        <v>4.8099999999999996</v>
      </c>
      <c r="Q35" s="29">
        <f t="shared" si="1"/>
        <v>385.07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84.977500000000006</v>
      </c>
      <c r="C36" s="28">
        <f t="shared" si="2"/>
        <v>161.71041666666665</v>
      </c>
      <c r="D36" s="28">
        <f t="shared" si="2"/>
        <v>157.01666666666668</v>
      </c>
      <c r="E36" s="28">
        <f t="shared" si="2"/>
        <v>5.8025000000000011</v>
      </c>
      <c r="F36" s="28">
        <f t="shared" si="2"/>
        <v>3.1225000000000001</v>
      </c>
      <c r="G36" s="28">
        <f t="shared" si="2"/>
        <v>173.23055555555555</v>
      </c>
      <c r="H36" s="28">
        <f t="shared" si="2"/>
        <v>74.783333333333331</v>
      </c>
      <c r="I36" s="28">
        <f t="shared" si="2"/>
        <v>1.0962500000000002</v>
      </c>
      <c r="J36" s="28">
        <f t="shared" si="2"/>
        <v>0.50750000000000006</v>
      </c>
      <c r="K36" s="28">
        <f t="shared" si="2"/>
        <v>245.39625000000001</v>
      </c>
      <c r="L36" s="28">
        <f t="shared" si="2"/>
        <v>21.536999999999999</v>
      </c>
      <c r="M36" s="28">
        <f t="shared" si="2"/>
        <v>63.319999999999993</v>
      </c>
      <c r="N36" s="28">
        <f t="shared" si="2"/>
        <v>190.28333333333327</v>
      </c>
      <c r="O36" s="28">
        <f t="shared" si="2"/>
        <v>0</v>
      </c>
      <c r="P36" s="28">
        <f t="shared" si="2"/>
        <v>2.1783333333333332</v>
      </c>
      <c r="Q36" s="28">
        <f t="shared" si="2"/>
        <v>202.18434782608693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74.089704574340416</v>
      </c>
      <c r="C37" s="28">
        <f t="shared" ref="C37:Q37" si="3">STDEV(C9:C32)</f>
        <v>64.715012402483723</v>
      </c>
      <c r="D37" s="28">
        <f t="shared" si="3"/>
        <v>94.680151157401539</v>
      </c>
      <c r="E37" s="28">
        <f t="shared" si="3"/>
        <v>2.4534877570334506</v>
      </c>
      <c r="F37" s="28">
        <f t="shared" si="3"/>
        <v>5.3560305304841442</v>
      </c>
      <c r="G37" s="28">
        <f t="shared" si="3"/>
        <v>70.284480210760051</v>
      </c>
      <c r="H37" s="28">
        <f t="shared" si="3"/>
        <v>19.231982247716232</v>
      </c>
      <c r="I37" s="28">
        <f t="shared" si="3"/>
        <v>0.5999696550297533</v>
      </c>
      <c r="J37" s="28">
        <f t="shared" si="3"/>
        <v>0.43927064055337656</v>
      </c>
      <c r="K37" s="28">
        <f t="shared" si="3"/>
        <v>63.310581766296814</v>
      </c>
      <c r="L37" s="28">
        <f t="shared" si="3"/>
        <v>4.9329370336319638</v>
      </c>
      <c r="M37" s="28">
        <f t="shared" si="3"/>
        <v>23.664856268784366</v>
      </c>
      <c r="N37" s="28">
        <f t="shared" si="3"/>
        <v>255.01866712009567</v>
      </c>
      <c r="O37" s="28">
        <f t="shared" si="3"/>
        <v>0</v>
      </c>
      <c r="P37" s="28">
        <f t="shared" si="3"/>
        <v>1.1931458843952298</v>
      </c>
      <c r="Q37" s="28">
        <f t="shared" si="3"/>
        <v>76.251045824487335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>COUNT(D9:D32)</f>
        <v>24</v>
      </c>
      <c r="E38" s="32">
        <f t="shared" si="4"/>
        <v>24</v>
      </c>
      <c r="F38" s="32">
        <f t="shared" si="4"/>
        <v>24</v>
      </c>
      <c r="G38" s="32">
        <f t="shared" si="4"/>
        <v>18</v>
      </c>
      <c r="H38" s="32">
        <f t="shared" si="4"/>
        <v>18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>COUNT(L9:L32)+14</f>
        <v>24</v>
      </c>
      <c r="M38" s="32">
        <f>COUNT(M9:M32)+14</f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23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299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44" sqref="B44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17-11-2022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446</v>
      </c>
      <c r="B9" s="59" t="s">
        <v>15</v>
      </c>
      <c r="C9" s="59" t="s">
        <v>15</v>
      </c>
      <c r="D9" s="59" t="s">
        <v>15</v>
      </c>
      <c r="E9" s="52">
        <v>5.38</v>
      </c>
      <c r="F9" s="52">
        <v>0.74</v>
      </c>
      <c r="G9" s="59" t="s">
        <v>15</v>
      </c>
      <c r="H9" s="52">
        <v>109.18</v>
      </c>
      <c r="I9" s="52">
        <v>2.37</v>
      </c>
      <c r="J9" s="52">
        <v>0.52</v>
      </c>
      <c r="K9" s="52">
        <v>227.38</v>
      </c>
      <c r="L9" s="52">
        <v>18.649999999999999</v>
      </c>
      <c r="M9" s="52">
        <v>85.59</v>
      </c>
      <c r="N9" s="52">
        <v>4.7</v>
      </c>
      <c r="O9" s="52">
        <v>0</v>
      </c>
      <c r="P9" s="52">
        <v>4.67</v>
      </c>
      <c r="Q9" s="52">
        <v>399.55</v>
      </c>
      <c r="R9" s="44"/>
      <c r="S9" s="44"/>
      <c r="T9" s="44"/>
      <c r="U9" s="44"/>
    </row>
    <row r="10" spans="1:21" s="11" customFormat="1" x14ac:dyDescent="0.25">
      <c r="A10" s="51" t="s">
        <v>447</v>
      </c>
      <c r="B10" s="52">
        <v>205.03</v>
      </c>
      <c r="C10" s="52">
        <v>260.39999999999998</v>
      </c>
      <c r="D10" s="52">
        <v>308.13</v>
      </c>
      <c r="E10" s="52">
        <v>5.0999999999999996</v>
      </c>
      <c r="F10" s="52">
        <v>0.68</v>
      </c>
      <c r="G10" s="52">
        <v>232.39</v>
      </c>
      <c r="H10" s="52">
        <v>93.93</v>
      </c>
      <c r="I10" s="52">
        <v>2.19</v>
      </c>
      <c r="J10" s="52">
        <v>0.25</v>
      </c>
      <c r="K10" s="52">
        <v>227.25</v>
      </c>
      <c r="L10" s="52">
        <v>18.420000000000002</v>
      </c>
      <c r="M10" s="52">
        <v>81.98</v>
      </c>
      <c r="N10" s="52">
        <v>4.8</v>
      </c>
      <c r="O10" s="52">
        <v>0</v>
      </c>
      <c r="P10" s="52">
        <v>3.79</v>
      </c>
      <c r="Q10" s="52">
        <v>356.57</v>
      </c>
      <c r="R10" s="44"/>
      <c r="S10" s="44"/>
      <c r="T10" s="44"/>
      <c r="U10" s="44"/>
    </row>
    <row r="11" spans="1:21" s="11" customFormat="1" x14ac:dyDescent="0.25">
      <c r="A11" s="51" t="s">
        <v>448</v>
      </c>
      <c r="B11" s="52">
        <v>161.94999999999999</v>
      </c>
      <c r="C11" s="52">
        <v>219.56</v>
      </c>
      <c r="D11" s="52">
        <v>251.05</v>
      </c>
      <c r="E11" s="52">
        <v>4.75</v>
      </c>
      <c r="F11" s="52">
        <v>1.83</v>
      </c>
      <c r="G11" s="52">
        <v>227.71</v>
      </c>
      <c r="H11" s="52">
        <v>99.09</v>
      </c>
      <c r="I11" s="52">
        <v>1.97</v>
      </c>
      <c r="J11" s="52">
        <v>0.31</v>
      </c>
      <c r="K11" s="52">
        <v>226.97</v>
      </c>
      <c r="L11" s="52">
        <v>18.12</v>
      </c>
      <c r="M11" s="52">
        <v>91.53</v>
      </c>
      <c r="N11" s="52">
        <v>5</v>
      </c>
      <c r="O11" s="52">
        <v>0</v>
      </c>
      <c r="P11" s="52">
        <v>3.43</v>
      </c>
      <c r="Q11" s="52">
        <v>301.57</v>
      </c>
      <c r="R11" s="44"/>
      <c r="S11" s="44"/>
      <c r="T11" s="44"/>
      <c r="U11" s="44"/>
    </row>
    <row r="12" spans="1:21" s="11" customFormat="1" x14ac:dyDescent="0.25">
      <c r="A12" s="51" t="s">
        <v>449</v>
      </c>
      <c r="B12" s="52">
        <v>131.91999999999999</v>
      </c>
      <c r="C12" s="52">
        <v>185.57</v>
      </c>
      <c r="D12" s="52">
        <v>208.2</v>
      </c>
      <c r="E12" s="52">
        <v>4.55</v>
      </c>
      <c r="F12" s="52">
        <v>0.88</v>
      </c>
      <c r="G12" s="52">
        <v>158.35</v>
      </c>
      <c r="H12" s="52">
        <v>83.8</v>
      </c>
      <c r="I12" s="52">
        <v>1.73</v>
      </c>
      <c r="J12" s="52">
        <v>0.24</v>
      </c>
      <c r="K12" s="52">
        <v>226.6</v>
      </c>
      <c r="L12" s="52">
        <v>16.52</v>
      </c>
      <c r="M12" s="52">
        <v>94.08</v>
      </c>
      <c r="N12" s="52">
        <v>4.8</v>
      </c>
      <c r="O12" s="52">
        <v>0</v>
      </c>
      <c r="P12" s="52">
        <v>2.9</v>
      </c>
      <c r="Q12" s="52">
        <v>241.88</v>
      </c>
      <c r="R12" s="44"/>
      <c r="S12" s="44"/>
      <c r="T12" s="44"/>
      <c r="U12" s="44"/>
    </row>
    <row r="13" spans="1:21" s="11" customFormat="1" x14ac:dyDescent="0.25">
      <c r="A13" s="51" t="s">
        <v>450</v>
      </c>
      <c r="B13" s="52">
        <v>102.97</v>
      </c>
      <c r="C13" s="52">
        <v>158.4</v>
      </c>
      <c r="D13" s="52">
        <v>169.99</v>
      </c>
      <c r="E13" s="52">
        <v>5.26</v>
      </c>
      <c r="F13" s="52">
        <v>0.56000000000000005</v>
      </c>
      <c r="G13" s="52">
        <v>141.75</v>
      </c>
      <c r="H13" s="52">
        <v>62.95</v>
      </c>
      <c r="I13" s="52">
        <v>1.48</v>
      </c>
      <c r="J13" s="52">
        <v>0.36</v>
      </c>
      <c r="K13" s="52">
        <v>226.46</v>
      </c>
      <c r="L13" s="52">
        <v>16.48</v>
      </c>
      <c r="M13" s="52">
        <v>95.04</v>
      </c>
      <c r="N13" s="52">
        <v>4.7</v>
      </c>
      <c r="O13" s="52">
        <v>0</v>
      </c>
      <c r="P13" s="52">
        <v>2.42</v>
      </c>
      <c r="Q13" s="52">
        <v>219.58</v>
      </c>
      <c r="R13" s="44"/>
      <c r="S13" s="44"/>
      <c r="T13" s="44"/>
      <c r="U13" s="44"/>
    </row>
    <row r="14" spans="1:21" s="11" customFormat="1" x14ac:dyDescent="0.25">
      <c r="A14" s="51" t="s">
        <v>451</v>
      </c>
      <c r="B14" s="52">
        <v>92.94</v>
      </c>
      <c r="C14" s="52">
        <v>149.69999999999999</v>
      </c>
      <c r="D14" s="52">
        <v>157.15</v>
      </c>
      <c r="E14" s="52">
        <v>5.09</v>
      </c>
      <c r="F14" s="52">
        <v>0.72</v>
      </c>
      <c r="G14" s="52">
        <v>223.77</v>
      </c>
      <c r="H14" s="52">
        <v>71.209999999999994</v>
      </c>
      <c r="I14" s="52">
        <v>1.31</v>
      </c>
      <c r="J14" s="52">
        <v>0.21</v>
      </c>
      <c r="K14" s="52">
        <v>226.47</v>
      </c>
      <c r="L14" s="52">
        <v>16.62</v>
      </c>
      <c r="M14" s="52">
        <v>92.78</v>
      </c>
      <c r="N14" s="52">
        <v>5</v>
      </c>
      <c r="O14" s="52">
        <v>0</v>
      </c>
      <c r="P14" s="52">
        <v>2.1</v>
      </c>
      <c r="Q14" s="52">
        <v>209.93</v>
      </c>
      <c r="R14" s="44"/>
      <c r="S14" s="44"/>
      <c r="T14" s="44"/>
      <c r="U14" s="44"/>
    </row>
    <row r="15" spans="1:21" s="11" customFormat="1" x14ac:dyDescent="0.25">
      <c r="A15" s="51" t="s">
        <v>452</v>
      </c>
      <c r="B15" s="52">
        <v>91.28</v>
      </c>
      <c r="C15" s="52">
        <v>144.63</v>
      </c>
      <c r="D15" s="52">
        <v>153.02000000000001</v>
      </c>
      <c r="E15" s="52">
        <v>4.96</v>
      </c>
      <c r="F15" s="52">
        <v>0.8</v>
      </c>
      <c r="G15" s="52">
        <v>190.73</v>
      </c>
      <c r="H15" s="52">
        <v>76.67</v>
      </c>
      <c r="I15" s="52">
        <v>1.1499999999999999</v>
      </c>
      <c r="J15" s="52">
        <v>0.18</v>
      </c>
      <c r="K15" s="52">
        <v>226.38</v>
      </c>
      <c r="L15" s="52">
        <v>16.46</v>
      </c>
      <c r="M15" s="52">
        <v>93.25</v>
      </c>
      <c r="N15" s="52">
        <v>41.1</v>
      </c>
      <c r="O15" s="52">
        <v>0</v>
      </c>
      <c r="P15" s="52">
        <v>1.84</v>
      </c>
      <c r="Q15" s="52">
        <v>190.16</v>
      </c>
      <c r="R15" s="44"/>
      <c r="S15" s="44"/>
      <c r="T15" s="44"/>
      <c r="U15" s="44"/>
    </row>
    <row r="16" spans="1:21" s="11" customFormat="1" x14ac:dyDescent="0.25">
      <c r="A16" s="51" t="s">
        <v>453</v>
      </c>
      <c r="B16" s="52">
        <v>95.41</v>
      </c>
      <c r="C16" s="52">
        <v>163</v>
      </c>
      <c r="D16" s="52">
        <v>161.97999999999999</v>
      </c>
      <c r="E16" s="52">
        <v>5.0999999999999996</v>
      </c>
      <c r="F16" s="52">
        <v>0.78</v>
      </c>
      <c r="G16" s="52">
        <v>253.52</v>
      </c>
      <c r="H16" s="52">
        <v>84.28</v>
      </c>
      <c r="I16" s="52">
        <v>1.03</v>
      </c>
      <c r="J16" s="52">
        <v>0.5</v>
      </c>
      <c r="K16" s="52">
        <v>229.27</v>
      </c>
      <c r="L16" s="52">
        <v>22.07</v>
      </c>
      <c r="M16" s="52">
        <v>86.98</v>
      </c>
      <c r="N16" s="52">
        <v>241.3</v>
      </c>
      <c r="O16" s="52">
        <v>0</v>
      </c>
      <c r="P16" s="52">
        <v>1.84</v>
      </c>
      <c r="Q16" s="52">
        <v>199.41</v>
      </c>
      <c r="R16" s="44"/>
      <c r="S16" s="44"/>
      <c r="T16" s="44"/>
      <c r="U16" s="44"/>
    </row>
    <row r="17" spans="1:21" s="11" customFormat="1" x14ac:dyDescent="0.25">
      <c r="A17" s="51" t="s">
        <v>454</v>
      </c>
      <c r="B17" s="52">
        <v>87.92</v>
      </c>
      <c r="C17" s="52">
        <v>163.81</v>
      </c>
      <c r="D17" s="52">
        <v>160.91</v>
      </c>
      <c r="E17" s="52">
        <v>5.67</v>
      </c>
      <c r="F17" s="52">
        <v>0.79</v>
      </c>
      <c r="G17" s="52">
        <v>238.72</v>
      </c>
      <c r="H17" s="52">
        <v>92.27</v>
      </c>
      <c r="I17" s="52">
        <v>1</v>
      </c>
      <c r="J17" s="52">
        <v>0.79</v>
      </c>
      <c r="K17" s="52">
        <v>231.37</v>
      </c>
      <c r="L17" s="52">
        <v>23.43</v>
      </c>
      <c r="M17" s="52">
        <v>69.989999999999995</v>
      </c>
      <c r="N17" s="52">
        <v>394.3</v>
      </c>
      <c r="O17" s="52">
        <v>0</v>
      </c>
      <c r="P17" s="52">
        <v>1.83</v>
      </c>
      <c r="Q17" s="52">
        <v>200.83</v>
      </c>
      <c r="R17" s="44"/>
      <c r="S17" s="44"/>
      <c r="T17" s="44"/>
      <c r="U17" s="44"/>
    </row>
    <row r="18" spans="1:21" s="11" customFormat="1" x14ac:dyDescent="0.25">
      <c r="A18" s="51" t="s">
        <v>455</v>
      </c>
      <c r="B18" s="52">
        <v>67.760000000000005</v>
      </c>
      <c r="C18" s="52">
        <v>145.68</v>
      </c>
      <c r="D18" s="52">
        <v>134.72999999999999</v>
      </c>
      <c r="E18" s="52">
        <v>5.23</v>
      </c>
      <c r="F18" s="52">
        <v>0.92</v>
      </c>
      <c r="G18" s="52">
        <v>232.96</v>
      </c>
      <c r="H18" s="52">
        <v>94.64</v>
      </c>
      <c r="I18" s="52">
        <v>0.97</v>
      </c>
      <c r="J18" s="52">
        <v>0.89</v>
      </c>
      <c r="K18" s="52">
        <v>232.52</v>
      </c>
      <c r="L18" s="52">
        <v>26.04</v>
      </c>
      <c r="M18" s="52">
        <v>60.91</v>
      </c>
      <c r="N18" s="52">
        <v>512.6</v>
      </c>
      <c r="O18" s="52">
        <v>0</v>
      </c>
      <c r="P18" s="52">
        <v>1.75</v>
      </c>
      <c r="Q18" s="52">
        <v>190.42</v>
      </c>
      <c r="R18" s="44"/>
      <c r="S18" s="44"/>
      <c r="T18" s="44"/>
      <c r="U18" s="44"/>
    </row>
    <row r="19" spans="1:21" s="11" customFormat="1" x14ac:dyDescent="0.25">
      <c r="A19" s="51" t="s">
        <v>456</v>
      </c>
      <c r="B19" s="52">
        <v>42.07</v>
      </c>
      <c r="C19" s="52">
        <v>130.96</v>
      </c>
      <c r="D19" s="52">
        <v>106.01</v>
      </c>
      <c r="E19" s="52">
        <v>5.0999999999999996</v>
      </c>
      <c r="F19" s="52">
        <v>1.6</v>
      </c>
      <c r="G19" s="52">
        <v>160.41</v>
      </c>
      <c r="H19" s="52">
        <v>92.58</v>
      </c>
      <c r="I19" s="52">
        <v>0.88</v>
      </c>
      <c r="J19" s="52">
        <v>1.17</v>
      </c>
      <c r="K19" s="52">
        <v>232.96</v>
      </c>
      <c r="L19" s="52">
        <v>28.13</v>
      </c>
      <c r="M19" s="52">
        <v>51.23</v>
      </c>
      <c r="N19" s="52">
        <v>579.20000000000005</v>
      </c>
      <c r="O19" s="52">
        <v>0</v>
      </c>
      <c r="P19" s="52">
        <v>1.58</v>
      </c>
      <c r="Q19" s="52">
        <v>147.66</v>
      </c>
      <c r="R19" s="44"/>
      <c r="S19" s="44"/>
      <c r="T19" s="44"/>
      <c r="U19" s="44"/>
    </row>
    <row r="20" spans="1:21" s="11" customFormat="1" x14ac:dyDescent="0.25">
      <c r="A20" s="51" t="s">
        <v>457</v>
      </c>
      <c r="B20" s="52">
        <v>21.27</v>
      </c>
      <c r="C20" s="52">
        <v>116.65</v>
      </c>
      <c r="D20" s="52">
        <v>81.44</v>
      </c>
      <c r="E20" s="52">
        <v>5.08</v>
      </c>
      <c r="F20" s="52">
        <v>1.92</v>
      </c>
      <c r="G20" s="59" t="s">
        <v>15</v>
      </c>
      <c r="H20" s="52">
        <v>81.84</v>
      </c>
      <c r="I20" s="52">
        <v>0.77</v>
      </c>
      <c r="J20" s="52">
        <v>1.01</v>
      </c>
      <c r="K20" s="52">
        <v>233.45</v>
      </c>
      <c r="L20" s="52">
        <v>29.6</v>
      </c>
      <c r="M20" s="52">
        <v>42.36</v>
      </c>
      <c r="N20" s="52">
        <v>587.5</v>
      </c>
      <c r="O20" s="52">
        <v>0</v>
      </c>
      <c r="P20" s="52">
        <v>1.37</v>
      </c>
      <c r="Q20" s="52">
        <v>154.27000000000001</v>
      </c>
      <c r="R20" s="44"/>
      <c r="S20" s="44"/>
      <c r="T20" s="44"/>
      <c r="U20" s="44"/>
    </row>
    <row r="21" spans="1:21" s="11" customFormat="1" x14ac:dyDescent="0.25">
      <c r="A21" s="51" t="s">
        <v>458</v>
      </c>
      <c r="B21" s="52">
        <v>10.54</v>
      </c>
      <c r="C21" s="52">
        <v>99.97</v>
      </c>
      <c r="D21" s="52">
        <v>63.62</v>
      </c>
      <c r="E21" s="52">
        <v>4.5</v>
      </c>
      <c r="F21" s="52">
        <v>2.79</v>
      </c>
      <c r="G21" s="52">
        <v>84.07</v>
      </c>
      <c r="H21" s="52">
        <v>73.39</v>
      </c>
      <c r="I21" s="52">
        <v>0.73</v>
      </c>
      <c r="J21" s="52">
        <v>1.58</v>
      </c>
      <c r="K21" s="52">
        <v>233.68</v>
      </c>
      <c r="L21" s="52">
        <v>31.52</v>
      </c>
      <c r="M21" s="52">
        <v>36.04</v>
      </c>
      <c r="N21" s="52">
        <v>568.1</v>
      </c>
      <c r="O21" s="52">
        <v>0</v>
      </c>
      <c r="P21" s="52">
        <v>1.21</v>
      </c>
      <c r="Q21" s="52">
        <v>165.95</v>
      </c>
      <c r="R21" s="44"/>
      <c r="S21" s="44"/>
      <c r="T21" s="44"/>
      <c r="U21" s="44"/>
    </row>
    <row r="22" spans="1:21" s="11" customFormat="1" x14ac:dyDescent="0.25">
      <c r="A22" s="51" t="s">
        <v>459</v>
      </c>
      <c r="B22" s="52">
        <v>5.52</v>
      </c>
      <c r="C22" s="52">
        <v>91.25</v>
      </c>
      <c r="D22" s="52">
        <v>54.39</v>
      </c>
      <c r="E22" s="52">
        <v>5.79</v>
      </c>
      <c r="F22" s="52">
        <v>5.24</v>
      </c>
      <c r="G22" s="52">
        <v>81.33</v>
      </c>
      <c r="H22" s="52">
        <v>81.510000000000005</v>
      </c>
      <c r="I22" s="52">
        <v>0.65</v>
      </c>
      <c r="J22" s="52">
        <v>1.36</v>
      </c>
      <c r="K22" s="52">
        <v>233.22</v>
      </c>
      <c r="L22" s="52">
        <v>31.72</v>
      </c>
      <c r="M22" s="52">
        <v>34.9</v>
      </c>
      <c r="N22" s="52">
        <v>494.4</v>
      </c>
      <c r="O22" s="52">
        <v>0</v>
      </c>
      <c r="P22" s="52">
        <v>1.01</v>
      </c>
      <c r="Q22" s="52">
        <v>157.77000000000001</v>
      </c>
      <c r="R22" s="44"/>
      <c r="S22" s="44"/>
      <c r="T22" s="44"/>
      <c r="U22" s="44"/>
    </row>
    <row r="23" spans="1:21" s="11" customFormat="1" x14ac:dyDescent="0.25">
      <c r="A23" s="51" t="s">
        <v>460</v>
      </c>
      <c r="B23" s="52">
        <v>4.67</v>
      </c>
      <c r="C23" s="52">
        <v>90.35</v>
      </c>
      <c r="D23" s="52">
        <v>53.61</v>
      </c>
      <c r="E23" s="52">
        <v>9.2200000000000006</v>
      </c>
      <c r="F23" s="52">
        <v>8.89</v>
      </c>
      <c r="G23" s="52">
        <v>114.78</v>
      </c>
      <c r="H23" s="52">
        <v>73.67</v>
      </c>
      <c r="I23" s="52">
        <v>0.53</v>
      </c>
      <c r="J23" s="52">
        <v>1.22</v>
      </c>
      <c r="K23" s="52">
        <v>232.97</v>
      </c>
      <c r="L23" s="52">
        <v>30.89</v>
      </c>
      <c r="M23" s="52">
        <v>35.549999999999997</v>
      </c>
      <c r="N23" s="52">
        <v>369</v>
      </c>
      <c r="O23" s="52">
        <v>0</v>
      </c>
      <c r="P23" s="52">
        <v>0.97</v>
      </c>
      <c r="Q23" s="52">
        <v>158.06</v>
      </c>
      <c r="R23" s="44"/>
      <c r="S23" s="44"/>
      <c r="T23" s="44"/>
      <c r="U23" s="44"/>
    </row>
    <row r="24" spans="1:21" s="11" customFormat="1" x14ac:dyDescent="0.25">
      <c r="A24" s="51" t="s">
        <v>461</v>
      </c>
      <c r="B24" s="52">
        <v>5.73</v>
      </c>
      <c r="C24" s="52">
        <v>99.19</v>
      </c>
      <c r="D24" s="52">
        <v>59.34</v>
      </c>
      <c r="E24" s="52">
        <v>9.01</v>
      </c>
      <c r="F24" s="52">
        <v>7.95</v>
      </c>
      <c r="G24" s="52">
        <v>96.3</v>
      </c>
      <c r="H24" s="52">
        <v>59.68</v>
      </c>
      <c r="I24" s="52">
        <v>0.46</v>
      </c>
      <c r="J24" s="52">
        <v>1.02</v>
      </c>
      <c r="K24" s="52">
        <v>231.89</v>
      </c>
      <c r="L24" s="52">
        <v>29.65</v>
      </c>
      <c r="M24" s="52">
        <v>37.85</v>
      </c>
      <c r="N24" s="52">
        <v>106</v>
      </c>
      <c r="O24" s="52">
        <v>0</v>
      </c>
      <c r="P24" s="52">
        <v>0.95</v>
      </c>
      <c r="Q24" s="52">
        <v>162.22999999999999</v>
      </c>
      <c r="R24" s="44"/>
      <c r="S24" s="44"/>
      <c r="T24" s="44"/>
      <c r="U24" s="44"/>
    </row>
    <row r="25" spans="1:21" s="11" customFormat="1" x14ac:dyDescent="0.25">
      <c r="A25" s="51" t="s">
        <v>462</v>
      </c>
      <c r="B25" s="52">
        <v>7.68</v>
      </c>
      <c r="C25" s="52">
        <v>105.03</v>
      </c>
      <c r="D25" s="52">
        <v>64.12</v>
      </c>
      <c r="E25" s="52">
        <v>7.28</v>
      </c>
      <c r="F25" s="52">
        <v>6.61</v>
      </c>
      <c r="G25" s="52">
        <v>112.85</v>
      </c>
      <c r="H25" s="52">
        <v>60.06</v>
      </c>
      <c r="I25" s="52">
        <v>0.49</v>
      </c>
      <c r="J25" s="52">
        <v>0.74</v>
      </c>
      <c r="K25" s="52">
        <v>231.18</v>
      </c>
      <c r="L25" s="52">
        <v>28.26</v>
      </c>
      <c r="M25" s="52">
        <v>41.61</v>
      </c>
      <c r="N25" s="52">
        <v>57</v>
      </c>
      <c r="O25" s="52">
        <v>0</v>
      </c>
      <c r="P25" s="52">
        <v>1.0900000000000001</v>
      </c>
      <c r="Q25" s="52">
        <v>162.56</v>
      </c>
      <c r="R25" s="44"/>
      <c r="S25" s="44"/>
      <c r="T25" s="44"/>
      <c r="U25" s="44"/>
    </row>
    <row r="26" spans="1:21" s="11" customFormat="1" x14ac:dyDescent="0.25">
      <c r="A26" s="51" t="s">
        <v>463</v>
      </c>
      <c r="B26" s="52">
        <v>11.1</v>
      </c>
      <c r="C26" s="52">
        <v>119.01</v>
      </c>
      <c r="D26" s="52">
        <v>72.180000000000007</v>
      </c>
      <c r="E26" s="52">
        <v>7.88</v>
      </c>
      <c r="F26" s="52">
        <v>4.38</v>
      </c>
      <c r="G26" s="52">
        <v>138.04</v>
      </c>
      <c r="H26" s="52">
        <v>54.03</v>
      </c>
      <c r="I26" s="52">
        <v>0.54</v>
      </c>
      <c r="J26" s="52">
        <v>0.43</v>
      </c>
      <c r="K26" s="52">
        <v>230.46</v>
      </c>
      <c r="L26" s="52">
        <v>26.46</v>
      </c>
      <c r="M26" s="52">
        <v>47.35</v>
      </c>
      <c r="N26" s="52">
        <v>10</v>
      </c>
      <c r="O26" s="52">
        <v>0</v>
      </c>
      <c r="P26" s="52">
        <v>1.4</v>
      </c>
      <c r="Q26" s="52">
        <v>139.78</v>
      </c>
      <c r="R26" s="44"/>
      <c r="S26" s="44"/>
      <c r="T26" s="44"/>
      <c r="U26" s="44"/>
    </row>
    <row r="27" spans="1:21" s="11" customFormat="1" x14ac:dyDescent="0.25">
      <c r="A27" s="51" t="s">
        <v>464</v>
      </c>
      <c r="B27" s="52">
        <v>13.16</v>
      </c>
      <c r="C27" s="52">
        <v>120</v>
      </c>
      <c r="D27" s="52">
        <v>76.78</v>
      </c>
      <c r="E27" s="52">
        <v>6.53</v>
      </c>
      <c r="F27" s="52">
        <v>2.9</v>
      </c>
      <c r="G27" s="52">
        <v>220.46</v>
      </c>
      <c r="H27" s="52">
        <v>58.07</v>
      </c>
      <c r="I27" s="52">
        <v>0.64</v>
      </c>
      <c r="J27" s="52">
        <v>0.37</v>
      </c>
      <c r="K27" s="52">
        <v>229.2</v>
      </c>
      <c r="L27" s="52">
        <v>24.53</v>
      </c>
      <c r="M27" s="52">
        <v>51.51</v>
      </c>
      <c r="N27" s="52">
        <v>5</v>
      </c>
      <c r="O27" s="52">
        <v>0</v>
      </c>
      <c r="P27" s="52">
        <v>1.68</v>
      </c>
      <c r="Q27" s="52">
        <v>154.71</v>
      </c>
      <c r="R27" s="44"/>
      <c r="S27" s="44"/>
      <c r="T27" s="44"/>
      <c r="U27" s="44"/>
    </row>
    <row r="28" spans="1:21" s="11" customFormat="1" x14ac:dyDescent="0.25">
      <c r="A28" s="51" t="s">
        <v>465</v>
      </c>
      <c r="B28" s="52">
        <v>17.91</v>
      </c>
      <c r="C28" s="52">
        <v>116.22</v>
      </c>
      <c r="D28" s="52">
        <v>77.75</v>
      </c>
      <c r="E28" s="52">
        <v>4.92</v>
      </c>
      <c r="F28" s="52">
        <v>0.98</v>
      </c>
      <c r="G28" s="52">
        <v>237.39</v>
      </c>
      <c r="H28" s="52">
        <v>66.56</v>
      </c>
      <c r="I28" s="52">
        <v>0.82</v>
      </c>
      <c r="J28" s="52">
        <v>0.24</v>
      </c>
      <c r="K28" s="52">
        <v>228.94</v>
      </c>
      <c r="L28" s="52">
        <v>23.7</v>
      </c>
      <c r="M28" s="52">
        <v>68.13</v>
      </c>
      <c r="N28" s="52">
        <v>5.2</v>
      </c>
      <c r="O28" s="52">
        <v>0</v>
      </c>
      <c r="P28" s="52">
        <v>1.83</v>
      </c>
      <c r="Q28" s="52">
        <v>171.2</v>
      </c>
      <c r="R28" s="44"/>
      <c r="S28" s="44"/>
      <c r="T28" s="44"/>
      <c r="U28" s="44"/>
    </row>
    <row r="29" spans="1:21" s="11" customFormat="1" x14ac:dyDescent="0.25">
      <c r="A29" s="51" t="s">
        <v>466</v>
      </c>
      <c r="B29" s="52">
        <v>53.26</v>
      </c>
      <c r="C29" s="52">
        <v>143.82</v>
      </c>
      <c r="D29" s="52">
        <v>122.08</v>
      </c>
      <c r="E29" s="52">
        <v>4.58</v>
      </c>
      <c r="F29" s="52">
        <v>0.87</v>
      </c>
      <c r="G29" s="52">
        <v>274.86</v>
      </c>
      <c r="H29" s="52">
        <v>73.91</v>
      </c>
      <c r="I29" s="52">
        <v>1.07</v>
      </c>
      <c r="J29" s="52">
        <v>0.27</v>
      </c>
      <c r="K29" s="52">
        <v>228.43</v>
      </c>
      <c r="L29" s="52">
        <v>21.65</v>
      </c>
      <c r="M29" s="52">
        <v>72.739999999999995</v>
      </c>
      <c r="N29" s="52">
        <v>4.9000000000000004</v>
      </c>
      <c r="O29" s="52">
        <v>0</v>
      </c>
      <c r="P29" s="52">
        <v>2.83</v>
      </c>
      <c r="Q29" s="52">
        <v>191.56</v>
      </c>
      <c r="R29" s="44"/>
      <c r="S29" s="44"/>
      <c r="T29" s="44"/>
      <c r="U29" s="44"/>
    </row>
    <row r="30" spans="1:21" s="11" customFormat="1" x14ac:dyDescent="0.25">
      <c r="A30" s="51" t="s">
        <v>467</v>
      </c>
      <c r="B30" s="52">
        <v>75.61</v>
      </c>
      <c r="C30" s="52">
        <v>166.71</v>
      </c>
      <c r="D30" s="52">
        <v>152.63999999999999</v>
      </c>
      <c r="E30" s="52">
        <v>4.93</v>
      </c>
      <c r="F30" s="52">
        <v>0.85</v>
      </c>
      <c r="G30" s="59" t="s">
        <v>15</v>
      </c>
      <c r="H30" s="52">
        <v>88.28</v>
      </c>
      <c r="I30" s="52">
        <v>1.49</v>
      </c>
      <c r="J30" s="52">
        <v>0.31</v>
      </c>
      <c r="K30" s="52">
        <v>228.48</v>
      </c>
      <c r="L30" s="52">
        <v>21.8</v>
      </c>
      <c r="M30" s="52">
        <v>70.42</v>
      </c>
      <c r="N30" s="52">
        <v>5.0999999999999996</v>
      </c>
      <c r="O30" s="52">
        <v>0</v>
      </c>
      <c r="P30" s="52">
        <v>3.23</v>
      </c>
      <c r="Q30" s="52">
        <v>218.44</v>
      </c>
      <c r="R30" s="44"/>
      <c r="S30" s="44"/>
      <c r="T30" s="44"/>
      <c r="U30" s="44"/>
    </row>
    <row r="31" spans="1:21" s="11" customFormat="1" x14ac:dyDescent="0.25">
      <c r="A31" s="51" t="s">
        <v>468</v>
      </c>
      <c r="B31" s="52">
        <v>76.97</v>
      </c>
      <c r="C31" s="52">
        <v>168.18</v>
      </c>
      <c r="D31" s="52">
        <v>154.54</v>
      </c>
      <c r="E31" s="52">
        <v>5.52</v>
      </c>
      <c r="F31" s="52">
        <v>0.78</v>
      </c>
      <c r="G31" s="59" t="s">
        <v>15</v>
      </c>
      <c r="H31" s="52">
        <v>88.35</v>
      </c>
      <c r="I31" s="52">
        <v>1.59</v>
      </c>
      <c r="J31" s="52">
        <v>1.23</v>
      </c>
      <c r="K31" s="52">
        <v>228.83</v>
      </c>
      <c r="L31" s="52">
        <v>23.71</v>
      </c>
      <c r="M31" s="52">
        <v>61.42</v>
      </c>
      <c r="N31" s="52">
        <v>4.8</v>
      </c>
      <c r="O31" s="52">
        <v>0</v>
      </c>
      <c r="P31" s="52">
        <v>3.23</v>
      </c>
      <c r="Q31" s="52">
        <v>242.91</v>
      </c>
      <c r="R31" s="44"/>
      <c r="S31" s="44"/>
      <c r="T31" s="44"/>
      <c r="U31" s="44"/>
    </row>
    <row r="32" spans="1:21" s="11" customFormat="1" x14ac:dyDescent="0.25">
      <c r="A32" s="51" t="s">
        <v>469</v>
      </c>
      <c r="B32" s="52">
        <v>62.35</v>
      </c>
      <c r="C32" s="52">
        <v>149.26</v>
      </c>
      <c r="D32" s="52">
        <v>132.37</v>
      </c>
      <c r="E32" s="52">
        <v>5.2</v>
      </c>
      <c r="F32" s="52">
        <v>1.05</v>
      </c>
      <c r="G32" s="52">
        <v>125.27</v>
      </c>
      <c r="H32" s="52">
        <v>75.099999999999994</v>
      </c>
      <c r="I32" s="52">
        <v>1.41</v>
      </c>
      <c r="J32" s="52">
        <v>1.1499999999999999</v>
      </c>
      <c r="K32" s="52">
        <v>228.91</v>
      </c>
      <c r="L32" s="52">
        <v>22.81</v>
      </c>
      <c r="M32" s="52">
        <v>62.82</v>
      </c>
      <c r="N32" s="52">
        <v>5.5</v>
      </c>
      <c r="O32" s="52">
        <v>0</v>
      </c>
      <c r="P32" s="52">
        <v>2.82</v>
      </c>
      <c r="Q32" s="52">
        <v>238.15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4.67</v>
      </c>
      <c r="C34" s="28">
        <f t="shared" si="0"/>
        <v>90.35</v>
      </c>
      <c r="D34" s="28">
        <f t="shared" si="0"/>
        <v>53.61</v>
      </c>
      <c r="E34" s="28">
        <f t="shared" si="0"/>
        <v>4.5</v>
      </c>
      <c r="F34" s="28">
        <f t="shared" si="0"/>
        <v>0.56000000000000005</v>
      </c>
      <c r="G34" s="28">
        <f t="shared" si="0"/>
        <v>81.33</v>
      </c>
      <c r="H34" s="28">
        <f t="shared" si="0"/>
        <v>54.03</v>
      </c>
      <c r="I34" s="28">
        <f t="shared" si="0"/>
        <v>0.46</v>
      </c>
      <c r="J34" s="28">
        <f t="shared" si="0"/>
        <v>0.18</v>
      </c>
      <c r="K34" s="28">
        <f t="shared" si="0"/>
        <v>226.38</v>
      </c>
      <c r="L34" s="28">
        <f t="shared" si="0"/>
        <v>16.46</v>
      </c>
      <c r="M34" s="28">
        <f t="shared" si="0"/>
        <v>34.9</v>
      </c>
      <c r="N34" s="28">
        <f t="shared" si="0"/>
        <v>4.7</v>
      </c>
      <c r="O34" s="28">
        <f t="shared" si="0"/>
        <v>0</v>
      </c>
      <c r="P34" s="28">
        <f t="shared" si="0"/>
        <v>0.95</v>
      </c>
      <c r="Q34" s="28">
        <f t="shared" si="0"/>
        <v>139.78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205.03</v>
      </c>
      <c r="C35" s="29">
        <f t="shared" si="1"/>
        <v>260.39999999999998</v>
      </c>
      <c r="D35" s="29">
        <f t="shared" si="1"/>
        <v>308.13</v>
      </c>
      <c r="E35" s="29">
        <f t="shared" si="1"/>
        <v>9.2200000000000006</v>
      </c>
      <c r="F35" s="29">
        <f t="shared" si="1"/>
        <v>8.89</v>
      </c>
      <c r="G35" s="29">
        <f t="shared" si="1"/>
        <v>274.86</v>
      </c>
      <c r="H35" s="29">
        <f t="shared" si="1"/>
        <v>109.18</v>
      </c>
      <c r="I35" s="29">
        <f t="shared" si="1"/>
        <v>2.37</v>
      </c>
      <c r="J35" s="29">
        <f t="shared" si="1"/>
        <v>1.58</v>
      </c>
      <c r="K35" s="29">
        <f t="shared" si="1"/>
        <v>233.68</v>
      </c>
      <c r="L35" s="29">
        <f t="shared" si="1"/>
        <v>31.72</v>
      </c>
      <c r="M35" s="29">
        <f t="shared" si="1"/>
        <v>95.04</v>
      </c>
      <c r="N35" s="29">
        <f t="shared" si="1"/>
        <v>587.5</v>
      </c>
      <c r="O35" s="29">
        <f t="shared" si="1"/>
        <v>0</v>
      </c>
      <c r="P35" s="29">
        <f t="shared" si="1"/>
        <v>4.67</v>
      </c>
      <c r="Q35" s="29">
        <f t="shared" si="1"/>
        <v>399.55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62.82695652173912</v>
      </c>
      <c r="C36" s="28">
        <f t="shared" si="2"/>
        <v>143.79782608695655</v>
      </c>
      <c r="D36" s="28">
        <f t="shared" si="2"/>
        <v>129.39260869565217</v>
      </c>
      <c r="E36" s="28">
        <f t="shared" si="2"/>
        <v>5.692916666666668</v>
      </c>
      <c r="F36" s="28">
        <f t="shared" si="2"/>
        <v>2.3129166666666667</v>
      </c>
      <c r="G36" s="28">
        <f t="shared" si="2"/>
        <v>177.28300000000002</v>
      </c>
      <c r="H36" s="28">
        <f t="shared" si="2"/>
        <v>78.96041666666666</v>
      </c>
      <c r="I36" s="28">
        <f t="shared" si="2"/>
        <v>1.13625</v>
      </c>
      <c r="J36" s="28">
        <f t="shared" si="2"/>
        <v>0.68124999999999991</v>
      </c>
      <c r="K36" s="28">
        <f t="shared" si="2"/>
        <v>229.71958333333325</v>
      </c>
      <c r="L36" s="28">
        <f t="shared" si="2"/>
        <v>23.634999999999994</v>
      </c>
      <c r="M36" s="28">
        <f t="shared" si="2"/>
        <v>65.252499999999998</v>
      </c>
      <c r="N36" s="28">
        <f t="shared" si="2"/>
        <v>167.5</v>
      </c>
      <c r="O36" s="28">
        <f t="shared" si="2"/>
        <v>0</v>
      </c>
      <c r="P36" s="28">
        <f t="shared" si="2"/>
        <v>2.157083333333333</v>
      </c>
      <c r="Q36" s="28">
        <f t="shared" si="2"/>
        <v>207.29791666666662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54.49726719043165</v>
      </c>
      <c r="C37" s="28">
        <f t="shared" ref="C37:Q37" si="3">STDEV(C9:C32)</f>
        <v>41.079986164081141</v>
      </c>
      <c r="D37" s="28">
        <f t="shared" si="3"/>
        <v>65.944480313324675</v>
      </c>
      <c r="E37" s="28">
        <f t="shared" si="3"/>
        <v>1.3285509568426492</v>
      </c>
      <c r="F37" s="28">
        <f t="shared" si="3"/>
        <v>2.4623609723131614</v>
      </c>
      <c r="G37" s="28">
        <f t="shared" si="3"/>
        <v>62.521430523755953</v>
      </c>
      <c r="H37" s="28">
        <f t="shared" si="3"/>
        <v>14.377324682855008</v>
      </c>
      <c r="I37" s="28">
        <f t="shared" si="3"/>
        <v>0.54542215401187799</v>
      </c>
      <c r="J37" s="28">
        <f t="shared" si="3"/>
        <v>0.43816130144840132</v>
      </c>
      <c r="K37" s="28">
        <f t="shared" si="3"/>
        <v>2.5350199024459563</v>
      </c>
      <c r="L37" s="28">
        <f t="shared" si="3"/>
        <v>5.1226572588164201</v>
      </c>
      <c r="M37" s="28">
        <f t="shared" si="3"/>
        <v>21.331452843976273</v>
      </c>
      <c r="N37" s="28">
        <f t="shared" si="3"/>
        <v>228.76184882593705</v>
      </c>
      <c r="O37" s="28">
        <f t="shared" si="3"/>
        <v>0</v>
      </c>
      <c r="P37" s="28">
        <f t="shared" si="3"/>
        <v>0.99939320358021266</v>
      </c>
      <c r="Q37" s="28">
        <f t="shared" si="3"/>
        <v>65.399761067185523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23</v>
      </c>
      <c r="C38" s="32">
        <f t="shared" si="4"/>
        <v>23</v>
      </c>
      <c r="D38" s="32">
        <f t="shared" si="4"/>
        <v>23</v>
      </c>
      <c r="E38" s="32">
        <f>COUNT(E9:E32)</f>
        <v>24</v>
      </c>
      <c r="F38" s="32">
        <f t="shared" si="4"/>
        <v>24</v>
      </c>
      <c r="G38" s="32">
        <f t="shared" si="4"/>
        <v>20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299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44" sqref="B44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18-11-2022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470</v>
      </c>
      <c r="B9" s="52">
        <v>49.17</v>
      </c>
      <c r="C9" s="52">
        <v>133.55000000000001</v>
      </c>
      <c r="D9" s="52">
        <v>113.13</v>
      </c>
      <c r="E9" s="52">
        <v>4.2</v>
      </c>
      <c r="F9" s="52">
        <v>0.87</v>
      </c>
      <c r="G9" s="52">
        <v>203.77</v>
      </c>
      <c r="H9" s="52">
        <v>70.94</v>
      </c>
      <c r="I9" s="52">
        <v>1.23</v>
      </c>
      <c r="J9" s="52">
        <v>0.68</v>
      </c>
      <c r="K9" s="52">
        <v>228.28</v>
      </c>
      <c r="L9" s="52">
        <v>21.13</v>
      </c>
      <c r="M9" s="52">
        <v>64</v>
      </c>
      <c r="N9" s="52">
        <v>5</v>
      </c>
      <c r="O9" s="52">
        <v>0</v>
      </c>
      <c r="P9" s="52">
        <v>2.46</v>
      </c>
      <c r="Q9" s="52">
        <v>193.19</v>
      </c>
      <c r="R9" s="44"/>
      <c r="S9" s="44"/>
      <c r="T9" s="44"/>
      <c r="U9" s="44"/>
    </row>
    <row r="10" spans="1:21" s="11" customFormat="1" x14ac:dyDescent="0.25">
      <c r="A10" s="51" t="s">
        <v>471</v>
      </c>
      <c r="B10" s="52">
        <v>36.36</v>
      </c>
      <c r="C10" s="52">
        <v>116.7</v>
      </c>
      <c r="D10" s="52">
        <v>93.57</v>
      </c>
      <c r="E10" s="52">
        <v>4.0599999999999996</v>
      </c>
      <c r="F10" s="52">
        <v>0.99</v>
      </c>
      <c r="G10" s="52">
        <v>194.97</v>
      </c>
      <c r="H10" s="52">
        <v>62.55</v>
      </c>
      <c r="I10" s="52">
        <v>0.99</v>
      </c>
      <c r="J10" s="52">
        <v>1.1200000000000001</v>
      </c>
      <c r="K10" s="52">
        <v>228.21</v>
      </c>
      <c r="L10" s="52">
        <v>20.420000000000002</v>
      </c>
      <c r="M10" s="52">
        <v>68.94</v>
      </c>
      <c r="N10" s="52">
        <v>5</v>
      </c>
      <c r="O10" s="52">
        <v>0</v>
      </c>
      <c r="P10" s="52">
        <v>2.12</v>
      </c>
      <c r="Q10" s="52">
        <v>162.41999999999999</v>
      </c>
      <c r="R10" s="44"/>
      <c r="S10" s="44"/>
      <c r="T10" s="44"/>
      <c r="U10" s="44"/>
    </row>
    <row r="11" spans="1:21" s="11" customFormat="1" x14ac:dyDescent="0.25">
      <c r="A11" s="51" t="s">
        <v>472</v>
      </c>
      <c r="B11" s="52">
        <v>22.74</v>
      </c>
      <c r="C11" s="52">
        <v>104.37</v>
      </c>
      <c r="D11" s="52">
        <v>75.84</v>
      </c>
      <c r="E11" s="52">
        <v>4.8</v>
      </c>
      <c r="F11" s="52">
        <v>1.1000000000000001</v>
      </c>
      <c r="G11" s="52">
        <v>170.38</v>
      </c>
      <c r="H11" s="52">
        <v>62.55</v>
      </c>
      <c r="I11" s="52">
        <v>0.85</v>
      </c>
      <c r="J11" s="52">
        <v>1.34</v>
      </c>
      <c r="K11" s="52">
        <v>228.18</v>
      </c>
      <c r="L11" s="52">
        <v>20.149999999999999</v>
      </c>
      <c r="M11" s="52">
        <v>70.31</v>
      </c>
      <c r="N11" s="52">
        <v>4.7</v>
      </c>
      <c r="O11" s="52">
        <v>0</v>
      </c>
      <c r="P11" s="52">
        <v>1.86</v>
      </c>
      <c r="Q11" s="52">
        <v>152.91999999999999</v>
      </c>
      <c r="R11" s="44"/>
      <c r="S11" s="44"/>
      <c r="T11" s="44"/>
      <c r="U11" s="44"/>
    </row>
    <row r="12" spans="1:21" s="11" customFormat="1" x14ac:dyDescent="0.25">
      <c r="A12" s="51" t="s">
        <v>473</v>
      </c>
      <c r="B12" s="52">
        <v>12.36</v>
      </c>
      <c r="C12" s="52">
        <v>101.54</v>
      </c>
      <c r="D12" s="52">
        <v>65.95</v>
      </c>
      <c r="E12" s="52">
        <v>4.28</v>
      </c>
      <c r="F12" s="52">
        <v>1.33</v>
      </c>
      <c r="G12" s="52">
        <v>151.86000000000001</v>
      </c>
      <c r="H12" s="52">
        <v>68.099999999999994</v>
      </c>
      <c r="I12" s="52">
        <v>0.71</v>
      </c>
      <c r="J12" s="52">
        <v>1.64</v>
      </c>
      <c r="K12" s="52">
        <v>228.12</v>
      </c>
      <c r="L12" s="52">
        <v>20.010000000000002</v>
      </c>
      <c r="M12" s="52">
        <v>69.92</v>
      </c>
      <c r="N12" s="52">
        <v>4.8</v>
      </c>
      <c r="O12" s="52">
        <v>0</v>
      </c>
      <c r="P12" s="52">
        <v>1.74</v>
      </c>
      <c r="Q12" s="52">
        <v>136.33000000000001</v>
      </c>
      <c r="R12" s="44"/>
      <c r="S12" s="44"/>
      <c r="T12" s="44"/>
      <c r="U12" s="44"/>
    </row>
    <row r="13" spans="1:21" s="11" customFormat="1" x14ac:dyDescent="0.25">
      <c r="A13" s="51" t="s">
        <v>474</v>
      </c>
      <c r="B13" s="52">
        <v>7.32</v>
      </c>
      <c r="C13" s="52">
        <v>95.64</v>
      </c>
      <c r="D13" s="52">
        <v>58.66</v>
      </c>
      <c r="E13" s="52">
        <v>5.26</v>
      </c>
      <c r="F13" s="52">
        <v>1.44</v>
      </c>
      <c r="G13" s="52">
        <v>191.86</v>
      </c>
      <c r="H13" s="52">
        <v>70.88</v>
      </c>
      <c r="I13" s="52">
        <v>0.59</v>
      </c>
      <c r="J13" s="52">
        <v>1.36</v>
      </c>
      <c r="K13" s="52">
        <v>228.12</v>
      </c>
      <c r="L13" s="52">
        <v>20.010000000000002</v>
      </c>
      <c r="M13" s="52">
        <v>70.84</v>
      </c>
      <c r="N13" s="52">
        <v>4.9000000000000004</v>
      </c>
      <c r="O13" s="52">
        <v>0</v>
      </c>
      <c r="P13" s="52">
        <v>1.58</v>
      </c>
      <c r="Q13" s="52">
        <v>110.7</v>
      </c>
      <c r="R13" s="44"/>
      <c r="S13" s="44"/>
      <c r="T13" s="44"/>
      <c r="U13" s="44"/>
    </row>
    <row r="14" spans="1:21" s="11" customFormat="1" x14ac:dyDescent="0.25">
      <c r="A14" s="51" t="s">
        <v>475</v>
      </c>
      <c r="B14" s="52">
        <v>7.94</v>
      </c>
      <c r="C14" s="52">
        <v>99.2</v>
      </c>
      <c r="D14" s="52">
        <v>61.12</v>
      </c>
      <c r="E14" s="52">
        <v>5.66</v>
      </c>
      <c r="F14" s="52">
        <v>0.92</v>
      </c>
      <c r="G14" s="52">
        <v>220.03</v>
      </c>
      <c r="H14" s="52">
        <v>78.75</v>
      </c>
      <c r="I14" s="52">
        <v>0.52</v>
      </c>
      <c r="J14" s="52">
        <v>1.41</v>
      </c>
      <c r="K14" s="52">
        <v>227.93</v>
      </c>
      <c r="L14" s="52">
        <v>19.32</v>
      </c>
      <c r="M14" s="52">
        <v>71.650000000000006</v>
      </c>
      <c r="N14" s="52">
        <v>5</v>
      </c>
      <c r="O14" s="52">
        <v>0</v>
      </c>
      <c r="P14" s="52">
        <v>1.55</v>
      </c>
      <c r="Q14" s="52">
        <v>118.96</v>
      </c>
      <c r="R14" s="44"/>
      <c r="S14" s="44"/>
      <c r="T14" s="44"/>
      <c r="U14" s="44"/>
    </row>
    <row r="15" spans="1:21" s="11" customFormat="1" x14ac:dyDescent="0.25">
      <c r="A15" s="51" t="s">
        <v>476</v>
      </c>
      <c r="B15" s="52">
        <v>12.83</v>
      </c>
      <c r="C15" s="52">
        <v>104.17</v>
      </c>
      <c r="D15" s="52">
        <v>67.78</v>
      </c>
      <c r="E15" s="52">
        <v>5.73</v>
      </c>
      <c r="F15" s="52">
        <v>0.9</v>
      </c>
      <c r="G15" s="52">
        <v>207.19</v>
      </c>
      <c r="H15" s="52">
        <v>74.97</v>
      </c>
      <c r="I15" s="52">
        <v>0.51</v>
      </c>
      <c r="J15" s="52">
        <v>1.25</v>
      </c>
      <c r="K15" s="52">
        <v>227.9</v>
      </c>
      <c r="L15" s="52">
        <v>19.600000000000001</v>
      </c>
      <c r="M15" s="52">
        <v>72.19</v>
      </c>
      <c r="N15" s="52">
        <v>55.7</v>
      </c>
      <c r="O15" s="52">
        <v>0</v>
      </c>
      <c r="P15" s="52">
        <v>1.6</v>
      </c>
      <c r="Q15" s="52">
        <v>123.18</v>
      </c>
      <c r="R15" s="44"/>
      <c r="S15" s="44"/>
      <c r="T15" s="44"/>
      <c r="U15" s="44"/>
    </row>
    <row r="16" spans="1:21" s="11" customFormat="1" x14ac:dyDescent="0.25">
      <c r="A16" s="51" t="s">
        <v>477</v>
      </c>
      <c r="B16" s="52">
        <v>18.829999999999998</v>
      </c>
      <c r="C16" s="52">
        <v>113.41</v>
      </c>
      <c r="D16" s="52">
        <v>77.569999999999993</v>
      </c>
      <c r="E16" s="52">
        <v>6</v>
      </c>
      <c r="F16" s="52">
        <v>1.1499999999999999</v>
      </c>
      <c r="G16" s="52">
        <v>229.32</v>
      </c>
      <c r="H16" s="52">
        <v>82.19</v>
      </c>
      <c r="I16" s="52">
        <v>0.49</v>
      </c>
      <c r="J16" s="52">
        <v>1.03</v>
      </c>
      <c r="K16" s="52">
        <v>228.88</v>
      </c>
      <c r="L16" s="52">
        <v>21.4</v>
      </c>
      <c r="M16" s="52">
        <v>68.62</v>
      </c>
      <c r="N16" s="52">
        <v>130</v>
      </c>
      <c r="O16" s="52">
        <v>0</v>
      </c>
      <c r="P16" s="52">
        <v>1.6</v>
      </c>
      <c r="Q16" s="52">
        <v>114.69</v>
      </c>
      <c r="R16" s="44"/>
      <c r="S16" s="44"/>
      <c r="T16" s="44"/>
      <c r="U16" s="44"/>
    </row>
    <row r="17" spans="1:21" s="11" customFormat="1" x14ac:dyDescent="0.25">
      <c r="A17" s="51" t="s">
        <v>478</v>
      </c>
      <c r="B17" s="52">
        <v>18.47</v>
      </c>
      <c r="C17" s="52">
        <v>116.82</v>
      </c>
      <c r="D17" s="52">
        <v>79.180000000000007</v>
      </c>
      <c r="E17" s="52">
        <v>6.34</v>
      </c>
      <c r="F17" s="52">
        <v>1.35</v>
      </c>
      <c r="G17" s="52">
        <v>226.17</v>
      </c>
      <c r="H17" s="52">
        <v>83.42</v>
      </c>
      <c r="I17" s="52">
        <v>0.46</v>
      </c>
      <c r="J17" s="52">
        <v>1.1499999999999999</v>
      </c>
      <c r="K17" s="52">
        <v>230.27</v>
      </c>
      <c r="L17" s="52">
        <v>23.61</v>
      </c>
      <c r="M17" s="52">
        <v>60.16</v>
      </c>
      <c r="N17" s="52">
        <v>338.6</v>
      </c>
      <c r="O17" s="52">
        <v>0</v>
      </c>
      <c r="P17" s="52">
        <v>1.56</v>
      </c>
      <c r="Q17" s="52">
        <v>129.88999999999999</v>
      </c>
      <c r="R17" s="44"/>
      <c r="S17" s="44"/>
      <c r="T17" s="44"/>
      <c r="U17" s="44"/>
    </row>
    <row r="18" spans="1:21" s="11" customFormat="1" x14ac:dyDescent="0.25">
      <c r="A18" s="51" t="s">
        <v>479</v>
      </c>
      <c r="B18" s="52">
        <v>16.14</v>
      </c>
      <c r="C18" s="52">
        <v>116.16</v>
      </c>
      <c r="D18" s="52">
        <v>77.040000000000006</v>
      </c>
      <c r="E18" s="52">
        <v>6.87</v>
      </c>
      <c r="F18" s="52">
        <v>1.74</v>
      </c>
      <c r="G18" s="52">
        <v>184.3</v>
      </c>
      <c r="H18" s="52">
        <v>66.290000000000006</v>
      </c>
      <c r="I18" s="52">
        <v>0.46</v>
      </c>
      <c r="J18" s="52">
        <v>1.56</v>
      </c>
      <c r="K18" s="52">
        <v>231.34</v>
      </c>
      <c r="L18" s="52">
        <v>26.89</v>
      </c>
      <c r="M18" s="52">
        <v>50.81</v>
      </c>
      <c r="N18" s="52">
        <v>465.6</v>
      </c>
      <c r="O18" s="52">
        <v>0</v>
      </c>
      <c r="P18" s="52">
        <v>1.39</v>
      </c>
      <c r="Q18" s="52">
        <v>155.08000000000001</v>
      </c>
      <c r="R18" s="44"/>
      <c r="S18" s="44"/>
      <c r="T18" s="44"/>
      <c r="U18" s="44"/>
    </row>
    <row r="19" spans="1:21" s="11" customFormat="1" x14ac:dyDescent="0.25">
      <c r="A19" s="51" t="s">
        <v>480</v>
      </c>
      <c r="B19" s="52">
        <v>15.47</v>
      </c>
      <c r="C19" s="52">
        <v>129.47</v>
      </c>
      <c r="D19" s="52">
        <v>82.34</v>
      </c>
      <c r="E19" s="52">
        <v>89.83</v>
      </c>
      <c r="F19" s="52">
        <v>23.91</v>
      </c>
      <c r="G19" s="52">
        <v>127.61</v>
      </c>
      <c r="H19" s="52">
        <v>70.08</v>
      </c>
      <c r="I19" s="52">
        <v>0.45</v>
      </c>
      <c r="J19" s="52">
        <v>1.88</v>
      </c>
      <c r="K19" s="52">
        <v>232.05</v>
      </c>
      <c r="L19" s="52">
        <v>27.54</v>
      </c>
      <c r="M19" s="52">
        <v>46.56</v>
      </c>
      <c r="N19" s="52">
        <v>550.20000000000005</v>
      </c>
      <c r="O19" s="52">
        <v>0</v>
      </c>
      <c r="P19" s="52">
        <v>1.05</v>
      </c>
      <c r="Q19" s="52">
        <v>150.93</v>
      </c>
      <c r="R19" s="44"/>
      <c r="S19" s="44"/>
      <c r="T19" s="44"/>
      <c r="U19" s="44"/>
    </row>
    <row r="20" spans="1:21" s="11" customFormat="1" x14ac:dyDescent="0.25">
      <c r="A20" s="51" t="s">
        <v>481</v>
      </c>
      <c r="B20" s="52">
        <v>14.89</v>
      </c>
      <c r="C20" s="52">
        <v>145.76</v>
      </c>
      <c r="D20" s="52">
        <v>88.72</v>
      </c>
      <c r="E20" s="52">
        <v>71.489999999999995</v>
      </c>
      <c r="F20" s="52">
        <v>28.81</v>
      </c>
      <c r="G20" s="52">
        <v>119.64</v>
      </c>
      <c r="H20" s="52">
        <v>60.96</v>
      </c>
      <c r="I20" s="52">
        <v>0.77</v>
      </c>
      <c r="J20" s="52">
        <v>1.85</v>
      </c>
      <c r="K20" s="52">
        <v>231.92</v>
      </c>
      <c r="L20" s="52">
        <v>27.65</v>
      </c>
      <c r="M20" s="52">
        <v>38.92</v>
      </c>
      <c r="N20" s="52">
        <v>574.70000000000005</v>
      </c>
      <c r="O20" s="52">
        <v>0</v>
      </c>
      <c r="P20" s="52">
        <v>0.57999999999999996</v>
      </c>
      <c r="Q20" s="52">
        <v>285.92</v>
      </c>
      <c r="R20" s="44"/>
      <c r="S20" s="44"/>
      <c r="T20" s="44"/>
      <c r="U20" s="44"/>
    </row>
    <row r="21" spans="1:21" s="11" customFormat="1" x14ac:dyDescent="0.25">
      <c r="A21" s="51" t="s">
        <v>482</v>
      </c>
      <c r="B21" s="52">
        <v>11.56</v>
      </c>
      <c r="C21" s="52">
        <v>113.92</v>
      </c>
      <c r="D21" s="52">
        <v>72.14</v>
      </c>
      <c r="E21" s="52">
        <v>59.86</v>
      </c>
      <c r="F21" s="52">
        <v>14.16</v>
      </c>
      <c r="G21" s="52">
        <v>66.87</v>
      </c>
      <c r="H21" s="52">
        <v>32.51</v>
      </c>
      <c r="I21" s="52">
        <v>0.16</v>
      </c>
      <c r="J21" s="52">
        <v>1.87</v>
      </c>
      <c r="K21" s="52">
        <v>231.92</v>
      </c>
      <c r="L21" s="52">
        <v>27.67</v>
      </c>
      <c r="M21" s="52">
        <v>38.590000000000003</v>
      </c>
      <c r="N21" s="52">
        <v>438</v>
      </c>
      <c r="O21" s="52">
        <v>0</v>
      </c>
      <c r="P21" s="52">
        <v>0.51</v>
      </c>
      <c r="Q21" s="52">
        <v>259.69</v>
      </c>
      <c r="R21" s="44"/>
      <c r="S21" s="44"/>
      <c r="T21" s="44"/>
      <c r="U21" s="44"/>
    </row>
    <row r="22" spans="1:21" s="11" customFormat="1" x14ac:dyDescent="0.25">
      <c r="A22" s="51" t="s">
        <v>483</v>
      </c>
      <c r="B22" s="52">
        <v>17.38</v>
      </c>
      <c r="C22" s="52">
        <v>103.94</v>
      </c>
      <c r="D22" s="52">
        <v>71</v>
      </c>
      <c r="E22" s="52">
        <v>44.55</v>
      </c>
      <c r="F22" s="52">
        <v>16.28</v>
      </c>
      <c r="G22" s="52">
        <v>69.81</v>
      </c>
      <c r="H22" s="52">
        <v>30.26</v>
      </c>
      <c r="I22" s="52">
        <v>0.21</v>
      </c>
      <c r="J22" s="52">
        <v>1.35</v>
      </c>
      <c r="K22" s="52">
        <v>232.37</v>
      </c>
      <c r="L22" s="52">
        <v>30.03</v>
      </c>
      <c r="M22" s="52">
        <v>37.53</v>
      </c>
      <c r="N22" s="52">
        <v>487.3</v>
      </c>
      <c r="O22" s="52">
        <v>0</v>
      </c>
      <c r="P22" s="52">
        <v>0.56000000000000005</v>
      </c>
      <c r="Q22" s="52">
        <v>284.18</v>
      </c>
      <c r="R22" s="44"/>
      <c r="S22" s="44"/>
      <c r="T22" s="44"/>
      <c r="U22" s="44"/>
    </row>
    <row r="23" spans="1:21" s="11" customFormat="1" x14ac:dyDescent="0.25">
      <c r="A23" s="51" t="s">
        <v>484</v>
      </c>
      <c r="B23" s="52">
        <v>21.75</v>
      </c>
      <c r="C23" s="52">
        <v>111.82</v>
      </c>
      <c r="D23" s="52">
        <v>78.38</v>
      </c>
      <c r="E23" s="52">
        <v>32.659999999999997</v>
      </c>
      <c r="F23" s="52">
        <v>13.3</v>
      </c>
      <c r="G23" s="52">
        <v>62.79</v>
      </c>
      <c r="H23" s="52">
        <v>30.81</v>
      </c>
      <c r="I23" s="52">
        <v>0.24</v>
      </c>
      <c r="J23" s="52">
        <v>1.31</v>
      </c>
      <c r="K23" s="52">
        <v>232.39</v>
      </c>
      <c r="L23" s="52">
        <v>29.31</v>
      </c>
      <c r="M23" s="52">
        <v>37.67</v>
      </c>
      <c r="N23" s="52">
        <v>421.1</v>
      </c>
      <c r="O23" s="52">
        <v>0</v>
      </c>
      <c r="P23" s="52">
        <v>0.56999999999999995</v>
      </c>
      <c r="Q23" s="52">
        <v>184.56</v>
      </c>
      <c r="R23" s="44"/>
      <c r="S23" s="44"/>
      <c r="T23" s="44"/>
      <c r="U23" s="44"/>
    </row>
    <row r="24" spans="1:21" s="11" customFormat="1" x14ac:dyDescent="0.25">
      <c r="A24" s="51" t="s">
        <v>485</v>
      </c>
      <c r="B24" s="52">
        <v>30.92</v>
      </c>
      <c r="C24" s="52">
        <v>107.07</v>
      </c>
      <c r="D24" s="52">
        <v>83.76</v>
      </c>
      <c r="E24" s="52">
        <v>24.31</v>
      </c>
      <c r="F24" s="52">
        <v>6.05</v>
      </c>
      <c r="G24" s="52">
        <v>73.540000000000006</v>
      </c>
      <c r="H24" s="52">
        <v>26.81</v>
      </c>
      <c r="I24" s="52">
        <v>0.26</v>
      </c>
      <c r="J24" s="52">
        <v>1.04</v>
      </c>
      <c r="K24" s="52">
        <v>230.93</v>
      </c>
      <c r="L24" s="52">
        <v>27.41</v>
      </c>
      <c r="M24" s="52">
        <v>40.119999999999997</v>
      </c>
      <c r="N24" s="52">
        <v>123.5</v>
      </c>
      <c r="O24" s="52">
        <v>0</v>
      </c>
      <c r="P24" s="52">
        <v>0.6</v>
      </c>
      <c r="Q24" s="52">
        <v>186.46</v>
      </c>
      <c r="R24" s="44"/>
      <c r="S24" s="44"/>
      <c r="T24" s="44"/>
      <c r="U24" s="44"/>
    </row>
    <row r="25" spans="1:21" s="11" customFormat="1" x14ac:dyDescent="0.25">
      <c r="A25" s="51" t="s">
        <v>486</v>
      </c>
      <c r="B25" s="52">
        <v>32.39</v>
      </c>
      <c r="C25" s="52">
        <v>124.55</v>
      </c>
      <c r="D25" s="52">
        <v>94.4</v>
      </c>
      <c r="E25" s="52">
        <v>26.11</v>
      </c>
      <c r="F25" s="52">
        <v>5.98</v>
      </c>
      <c r="G25" s="52">
        <v>76.34</v>
      </c>
      <c r="H25" s="52">
        <v>25.64</v>
      </c>
      <c r="I25" s="52">
        <v>0.28000000000000003</v>
      </c>
      <c r="J25" s="52">
        <v>0.96</v>
      </c>
      <c r="K25" s="52">
        <v>230.39</v>
      </c>
      <c r="L25" s="52">
        <v>26.76</v>
      </c>
      <c r="M25" s="52">
        <v>50.53</v>
      </c>
      <c r="N25" s="52">
        <v>53</v>
      </c>
      <c r="O25" s="52">
        <v>0</v>
      </c>
      <c r="P25" s="52">
        <v>0.7</v>
      </c>
      <c r="Q25" s="52">
        <v>174.22</v>
      </c>
      <c r="R25" s="44"/>
      <c r="S25" s="44"/>
      <c r="T25" s="44"/>
      <c r="U25" s="44"/>
    </row>
    <row r="26" spans="1:21" s="11" customFormat="1" x14ac:dyDescent="0.25">
      <c r="A26" s="51" t="s">
        <v>487</v>
      </c>
      <c r="B26" s="52">
        <v>49.57</v>
      </c>
      <c r="C26" s="52">
        <v>135.94</v>
      </c>
      <c r="D26" s="52">
        <v>114.77</v>
      </c>
      <c r="E26" s="52">
        <v>20.12</v>
      </c>
      <c r="F26" s="52">
        <v>5.33</v>
      </c>
      <c r="G26" s="52">
        <v>88.07</v>
      </c>
      <c r="H26" s="52">
        <v>28.17</v>
      </c>
      <c r="I26" s="52">
        <v>0.36</v>
      </c>
      <c r="J26" s="52">
        <v>0.34</v>
      </c>
      <c r="K26" s="52">
        <v>229.55</v>
      </c>
      <c r="L26" s="52">
        <v>24.72</v>
      </c>
      <c r="M26" s="52">
        <v>54.07</v>
      </c>
      <c r="N26" s="52">
        <v>10.3</v>
      </c>
      <c r="O26" s="52">
        <v>0</v>
      </c>
      <c r="P26" s="52">
        <v>1.06</v>
      </c>
      <c r="Q26" s="52">
        <v>183.77</v>
      </c>
      <c r="R26" s="44"/>
      <c r="S26" s="44"/>
      <c r="T26" s="44"/>
      <c r="U26" s="44"/>
    </row>
    <row r="27" spans="1:21" s="11" customFormat="1" x14ac:dyDescent="0.25">
      <c r="A27" s="51" t="s">
        <v>488</v>
      </c>
      <c r="B27" s="52">
        <v>73.66</v>
      </c>
      <c r="C27" s="52">
        <v>157.46</v>
      </c>
      <c r="D27" s="52">
        <v>145.97</v>
      </c>
      <c r="E27" s="52">
        <v>15.45</v>
      </c>
      <c r="F27" s="52">
        <v>1.38</v>
      </c>
      <c r="G27" s="52">
        <v>124.77</v>
      </c>
      <c r="H27" s="52">
        <v>33.729999999999997</v>
      </c>
      <c r="I27" s="52">
        <v>0.55000000000000004</v>
      </c>
      <c r="J27" s="52">
        <v>0.27</v>
      </c>
      <c r="K27" s="52">
        <v>228.85</v>
      </c>
      <c r="L27" s="52">
        <v>23.16</v>
      </c>
      <c r="M27" s="52">
        <v>58.46</v>
      </c>
      <c r="N27" s="52">
        <v>5.2</v>
      </c>
      <c r="O27" s="52">
        <v>0</v>
      </c>
      <c r="P27" s="52">
        <v>1.48</v>
      </c>
      <c r="Q27" s="52">
        <v>208.6</v>
      </c>
      <c r="R27" s="44"/>
      <c r="S27" s="44"/>
      <c r="T27" s="44"/>
      <c r="U27" s="44"/>
    </row>
    <row r="28" spans="1:21" s="11" customFormat="1" x14ac:dyDescent="0.25">
      <c r="A28" s="51" t="s">
        <v>489</v>
      </c>
      <c r="B28" s="52">
        <v>83.43</v>
      </c>
      <c r="C28" s="52">
        <v>167.04</v>
      </c>
      <c r="D28" s="52">
        <v>157.51</v>
      </c>
      <c r="E28" s="52">
        <v>16.760000000000002</v>
      </c>
      <c r="F28" s="52">
        <v>1.04</v>
      </c>
      <c r="G28" s="52">
        <v>210.85</v>
      </c>
      <c r="H28" s="52">
        <v>38.659999999999997</v>
      </c>
      <c r="I28" s="52">
        <v>0.74</v>
      </c>
      <c r="J28" s="52">
        <v>0.24</v>
      </c>
      <c r="K28" s="52">
        <v>228.36</v>
      </c>
      <c r="L28" s="52">
        <v>22.28</v>
      </c>
      <c r="M28" s="52">
        <v>59.78</v>
      </c>
      <c r="N28" s="52">
        <v>4.9000000000000004</v>
      </c>
      <c r="O28" s="52">
        <v>0</v>
      </c>
      <c r="P28" s="52">
        <v>1.76</v>
      </c>
      <c r="Q28" s="52">
        <v>238.01</v>
      </c>
      <c r="R28" s="44"/>
      <c r="S28" s="44"/>
      <c r="T28" s="44"/>
      <c r="U28" s="44"/>
    </row>
    <row r="29" spans="1:21" s="11" customFormat="1" x14ac:dyDescent="0.25">
      <c r="A29" s="51" t="s">
        <v>490</v>
      </c>
      <c r="B29" s="52">
        <v>97.54</v>
      </c>
      <c r="C29" s="52">
        <v>168.15</v>
      </c>
      <c r="D29" s="52">
        <v>170.3</v>
      </c>
      <c r="E29" s="52">
        <v>15</v>
      </c>
      <c r="F29" s="52">
        <v>1</v>
      </c>
      <c r="G29" s="52">
        <v>153.06</v>
      </c>
      <c r="H29" s="52">
        <v>41.48</v>
      </c>
      <c r="I29" s="52">
        <v>0.9</v>
      </c>
      <c r="J29" s="52">
        <v>0.19</v>
      </c>
      <c r="K29" s="52">
        <v>228.21</v>
      </c>
      <c r="L29" s="52">
        <v>21.97</v>
      </c>
      <c r="M29" s="52">
        <v>61.46</v>
      </c>
      <c r="N29" s="52">
        <v>5.2</v>
      </c>
      <c r="O29" s="52">
        <v>0</v>
      </c>
      <c r="P29" s="52">
        <v>1.99</v>
      </c>
      <c r="Q29" s="52">
        <v>251.56</v>
      </c>
      <c r="R29" s="44"/>
      <c r="S29" s="44"/>
      <c r="T29" s="44"/>
      <c r="U29" s="44"/>
    </row>
    <row r="30" spans="1:21" s="11" customFormat="1" x14ac:dyDescent="0.25">
      <c r="A30" s="51" t="s">
        <v>491</v>
      </c>
      <c r="B30" s="52">
        <v>108.31</v>
      </c>
      <c r="C30" s="52">
        <v>175.79</v>
      </c>
      <c r="D30" s="52">
        <v>183.87</v>
      </c>
      <c r="E30" s="52">
        <v>11.99</v>
      </c>
      <c r="F30" s="52">
        <v>0.91</v>
      </c>
      <c r="G30" s="52">
        <v>170.32</v>
      </c>
      <c r="H30" s="52">
        <v>40.770000000000003</v>
      </c>
      <c r="I30" s="52">
        <v>1.02</v>
      </c>
      <c r="J30" s="52">
        <v>0.21</v>
      </c>
      <c r="K30" s="52">
        <v>228.05</v>
      </c>
      <c r="L30" s="52">
        <v>21.04</v>
      </c>
      <c r="M30" s="52">
        <v>66.19</v>
      </c>
      <c r="N30" s="52">
        <v>5</v>
      </c>
      <c r="O30" s="52">
        <v>0</v>
      </c>
      <c r="P30" s="52">
        <v>2.2400000000000002</v>
      </c>
      <c r="Q30" s="52">
        <v>248.08</v>
      </c>
      <c r="R30" s="44"/>
      <c r="S30" s="44"/>
      <c r="T30" s="44"/>
      <c r="U30" s="44"/>
    </row>
    <row r="31" spans="1:21" s="11" customFormat="1" x14ac:dyDescent="0.25">
      <c r="A31" s="51" t="s">
        <v>492</v>
      </c>
      <c r="B31" s="52">
        <v>117.94</v>
      </c>
      <c r="C31" s="52">
        <v>185.68</v>
      </c>
      <c r="D31" s="52">
        <v>197.05</v>
      </c>
      <c r="E31" s="52">
        <v>12.37</v>
      </c>
      <c r="F31" s="52">
        <v>0.87</v>
      </c>
      <c r="G31" s="52">
        <v>213.87</v>
      </c>
      <c r="H31" s="52">
        <v>44.58</v>
      </c>
      <c r="I31" s="52">
        <v>1.1399999999999999</v>
      </c>
      <c r="J31" s="52">
        <v>0.18</v>
      </c>
      <c r="K31" s="52">
        <v>227.67</v>
      </c>
      <c r="L31" s="52">
        <v>20.14</v>
      </c>
      <c r="M31" s="52">
        <v>71.13</v>
      </c>
      <c r="N31" s="52">
        <v>4.9000000000000004</v>
      </c>
      <c r="O31" s="52">
        <v>0</v>
      </c>
      <c r="P31" s="52">
        <v>2.54</v>
      </c>
      <c r="Q31" s="52">
        <v>254.04</v>
      </c>
      <c r="R31" s="44"/>
      <c r="S31" s="44"/>
      <c r="T31" s="44"/>
      <c r="U31" s="44"/>
    </row>
    <row r="32" spans="1:21" s="11" customFormat="1" x14ac:dyDescent="0.25">
      <c r="A32" s="51" t="s">
        <v>493</v>
      </c>
      <c r="B32" s="52">
        <v>121.16</v>
      </c>
      <c r="C32" s="52">
        <v>185.8</v>
      </c>
      <c r="D32" s="52">
        <v>198.37</v>
      </c>
      <c r="E32" s="52">
        <v>12.99</v>
      </c>
      <c r="F32" s="52">
        <v>0.98</v>
      </c>
      <c r="G32" s="52">
        <v>193.87</v>
      </c>
      <c r="H32" s="52">
        <v>44.18</v>
      </c>
      <c r="I32" s="52">
        <v>1.38</v>
      </c>
      <c r="J32" s="52">
        <v>0.87</v>
      </c>
      <c r="K32" s="52">
        <v>227.99</v>
      </c>
      <c r="L32" s="52">
        <v>19.71</v>
      </c>
      <c r="M32" s="52">
        <v>73.23</v>
      </c>
      <c r="N32" s="52">
        <v>4.8</v>
      </c>
      <c r="O32" s="52">
        <v>0</v>
      </c>
      <c r="P32" s="52">
        <v>2.71</v>
      </c>
      <c r="Q32" s="52">
        <v>255.49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7.32</v>
      </c>
      <c r="C34" s="28">
        <f t="shared" si="0"/>
        <v>95.64</v>
      </c>
      <c r="D34" s="28">
        <f t="shared" si="0"/>
        <v>58.66</v>
      </c>
      <c r="E34" s="28">
        <f t="shared" si="0"/>
        <v>4.0599999999999996</v>
      </c>
      <c r="F34" s="28">
        <f t="shared" si="0"/>
        <v>0.87</v>
      </c>
      <c r="G34" s="28">
        <f t="shared" si="0"/>
        <v>62.79</v>
      </c>
      <c r="H34" s="28">
        <f t="shared" si="0"/>
        <v>25.64</v>
      </c>
      <c r="I34" s="28">
        <f t="shared" si="0"/>
        <v>0.16</v>
      </c>
      <c r="J34" s="28">
        <f t="shared" si="0"/>
        <v>0.18</v>
      </c>
      <c r="K34" s="28">
        <f t="shared" si="0"/>
        <v>227.67</v>
      </c>
      <c r="L34" s="28">
        <f t="shared" si="0"/>
        <v>19.32</v>
      </c>
      <c r="M34" s="28">
        <f t="shared" si="0"/>
        <v>37.53</v>
      </c>
      <c r="N34" s="28">
        <f t="shared" si="0"/>
        <v>4.7</v>
      </c>
      <c r="O34" s="28">
        <f t="shared" si="0"/>
        <v>0</v>
      </c>
      <c r="P34" s="28">
        <f t="shared" si="0"/>
        <v>0.51</v>
      </c>
      <c r="Q34" s="28">
        <f t="shared" si="0"/>
        <v>110.7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121.16</v>
      </c>
      <c r="C35" s="29">
        <f t="shared" si="1"/>
        <v>185.8</v>
      </c>
      <c r="D35" s="29">
        <f t="shared" si="1"/>
        <v>198.37</v>
      </c>
      <c r="E35" s="29">
        <f t="shared" si="1"/>
        <v>89.83</v>
      </c>
      <c r="F35" s="29">
        <f t="shared" si="1"/>
        <v>28.81</v>
      </c>
      <c r="G35" s="29">
        <f t="shared" si="1"/>
        <v>229.32</v>
      </c>
      <c r="H35" s="29">
        <f t="shared" si="1"/>
        <v>83.42</v>
      </c>
      <c r="I35" s="29">
        <f t="shared" si="1"/>
        <v>1.38</v>
      </c>
      <c r="J35" s="29">
        <f t="shared" si="1"/>
        <v>1.88</v>
      </c>
      <c r="K35" s="29">
        <f t="shared" si="1"/>
        <v>232.39</v>
      </c>
      <c r="L35" s="29">
        <f t="shared" si="1"/>
        <v>30.03</v>
      </c>
      <c r="M35" s="29">
        <f t="shared" si="1"/>
        <v>73.23</v>
      </c>
      <c r="N35" s="29">
        <f t="shared" si="1"/>
        <v>574.70000000000005</v>
      </c>
      <c r="O35" s="29">
        <f t="shared" si="1"/>
        <v>0</v>
      </c>
      <c r="P35" s="29">
        <f t="shared" si="1"/>
        <v>2.71</v>
      </c>
      <c r="Q35" s="29">
        <f t="shared" si="1"/>
        <v>285.92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41.588749999999997</v>
      </c>
      <c r="C36" s="28">
        <f t="shared" si="2"/>
        <v>129.74791666666667</v>
      </c>
      <c r="D36" s="28">
        <f t="shared" si="2"/>
        <v>104.5175</v>
      </c>
      <c r="E36" s="28">
        <f t="shared" si="2"/>
        <v>21.112083333333334</v>
      </c>
      <c r="F36" s="28">
        <f t="shared" si="2"/>
        <v>5.49125</v>
      </c>
      <c r="G36" s="28">
        <f t="shared" si="2"/>
        <v>155.46916666666667</v>
      </c>
      <c r="H36" s="28">
        <f t="shared" si="2"/>
        <v>52.886666666666663</v>
      </c>
      <c r="I36" s="28">
        <f t="shared" si="2"/>
        <v>0.63625000000000009</v>
      </c>
      <c r="J36" s="28">
        <f t="shared" si="2"/>
        <v>1.0458333333333336</v>
      </c>
      <c r="K36" s="28">
        <f t="shared" si="2"/>
        <v>229.495</v>
      </c>
      <c r="L36" s="28">
        <f t="shared" si="2"/>
        <v>23.413750000000004</v>
      </c>
      <c r="M36" s="28">
        <f t="shared" si="2"/>
        <v>58.403333333333329</v>
      </c>
      <c r="N36" s="28">
        <f t="shared" si="2"/>
        <v>154.47499999999999</v>
      </c>
      <c r="O36" s="28">
        <f t="shared" si="2"/>
        <v>0</v>
      </c>
      <c r="P36" s="28">
        <f t="shared" si="2"/>
        <v>1.4920833333333334</v>
      </c>
      <c r="Q36" s="28">
        <f t="shared" si="2"/>
        <v>190.11958333333334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37.410342247368142</v>
      </c>
      <c r="C37" s="28">
        <f t="shared" ref="C37:Q37" si="3">STDEV(C9:C32)</f>
        <v>28.810818164312877</v>
      </c>
      <c r="D37" s="28">
        <f t="shared" si="3"/>
        <v>45.069422609434731</v>
      </c>
      <c r="E37" s="28">
        <f t="shared" si="3"/>
        <v>23.122185465228096</v>
      </c>
      <c r="F37" s="28">
        <f t="shared" si="3"/>
        <v>7.9190690672139192</v>
      </c>
      <c r="G37" s="28">
        <f t="shared" si="3"/>
        <v>57.503882282296672</v>
      </c>
      <c r="H37" s="28">
        <f t="shared" si="3"/>
        <v>19.775733629367817</v>
      </c>
      <c r="I37" s="28">
        <f t="shared" si="3"/>
        <v>0.33935760925095154</v>
      </c>
      <c r="J37" s="28">
        <f t="shared" si="3"/>
        <v>0.56260200363378865</v>
      </c>
      <c r="K37" s="28">
        <f t="shared" si="3"/>
        <v>1.7048830126892902</v>
      </c>
      <c r="L37" s="28">
        <f t="shared" si="3"/>
        <v>3.5477387930170665</v>
      </c>
      <c r="M37" s="28">
        <f t="shared" si="3"/>
        <v>12.766817950441325</v>
      </c>
      <c r="N37" s="28">
        <f t="shared" si="3"/>
        <v>212.31922694479366</v>
      </c>
      <c r="O37" s="28">
        <f t="shared" si="3"/>
        <v>0</v>
      </c>
      <c r="P37" s="28">
        <f t="shared" si="3"/>
        <v>0.67110537737096931</v>
      </c>
      <c r="Q37" s="28">
        <f t="shared" si="3"/>
        <v>56.843687766974362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299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19-11-2022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494</v>
      </c>
      <c r="B9" s="52">
        <v>110.51</v>
      </c>
      <c r="C9" s="52">
        <v>175.41</v>
      </c>
      <c r="D9" s="52">
        <v>185.42</v>
      </c>
      <c r="E9" s="52">
        <v>14.23</v>
      </c>
      <c r="F9" s="52">
        <v>1.02</v>
      </c>
      <c r="G9" s="52">
        <v>190.11</v>
      </c>
      <c r="H9" s="52">
        <v>49.26</v>
      </c>
      <c r="I9" s="52">
        <v>1.42</v>
      </c>
      <c r="J9" s="52">
        <v>1.29</v>
      </c>
      <c r="K9" s="52">
        <v>228.2</v>
      </c>
      <c r="L9" s="52">
        <v>20.2</v>
      </c>
      <c r="M9" s="52">
        <v>61.66</v>
      </c>
      <c r="N9" s="52">
        <v>4.9000000000000004</v>
      </c>
      <c r="O9" s="52">
        <v>0</v>
      </c>
      <c r="P9" s="52">
        <v>2.57</v>
      </c>
      <c r="Q9" s="52">
        <v>238.77</v>
      </c>
      <c r="R9" s="44"/>
      <c r="S9" s="44"/>
      <c r="T9" s="44"/>
      <c r="U9" s="44"/>
    </row>
    <row r="10" spans="1:21" s="11" customFormat="1" x14ac:dyDescent="0.25">
      <c r="A10" s="51" t="s">
        <v>495</v>
      </c>
      <c r="B10" s="52">
        <v>82.26</v>
      </c>
      <c r="C10" s="52">
        <v>151.36000000000001</v>
      </c>
      <c r="D10" s="52">
        <v>149.5</v>
      </c>
      <c r="E10" s="52">
        <v>11.54</v>
      </c>
      <c r="F10" s="52">
        <v>1.46</v>
      </c>
      <c r="G10" s="52">
        <v>137.46</v>
      </c>
      <c r="H10" s="52">
        <v>49.47</v>
      </c>
      <c r="I10" s="52">
        <v>1.18</v>
      </c>
      <c r="J10" s="52">
        <v>1.04</v>
      </c>
      <c r="K10" s="52">
        <v>227.85</v>
      </c>
      <c r="L10" s="52">
        <v>19.61</v>
      </c>
      <c r="M10" s="52">
        <v>60.62</v>
      </c>
      <c r="N10" s="52">
        <v>4.9000000000000004</v>
      </c>
      <c r="O10" s="52">
        <v>0</v>
      </c>
      <c r="P10" s="52">
        <v>1.96</v>
      </c>
      <c r="Q10" s="52">
        <v>171.17</v>
      </c>
      <c r="R10" s="44"/>
      <c r="S10" s="44"/>
      <c r="T10" s="44"/>
      <c r="U10" s="44"/>
    </row>
    <row r="11" spans="1:21" s="11" customFormat="1" x14ac:dyDescent="0.25">
      <c r="A11" s="51" t="s">
        <v>496</v>
      </c>
      <c r="B11" s="52">
        <v>61.11</v>
      </c>
      <c r="C11" s="52">
        <v>122.69</v>
      </c>
      <c r="D11" s="52">
        <v>116.72</v>
      </c>
      <c r="E11" s="52">
        <v>12.7</v>
      </c>
      <c r="F11" s="52">
        <v>1.57</v>
      </c>
      <c r="G11" s="52">
        <v>77.81</v>
      </c>
      <c r="H11" s="52">
        <v>36.520000000000003</v>
      </c>
      <c r="I11" s="52">
        <v>0.89</v>
      </c>
      <c r="J11" s="52">
        <v>0.77</v>
      </c>
      <c r="K11" s="52">
        <v>227.54</v>
      </c>
      <c r="L11" s="52">
        <v>18.87</v>
      </c>
      <c r="M11" s="52">
        <v>60.14</v>
      </c>
      <c r="N11" s="52">
        <v>4.5999999999999996</v>
      </c>
      <c r="O11" s="52">
        <v>0</v>
      </c>
      <c r="P11" s="52">
        <v>1.6</v>
      </c>
      <c r="Q11" s="52">
        <v>118.12</v>
      </c>
      <c r="R11" s="44"/>
      <c r="S11" s="44"/>
      <c r="T11" s="44"/>
      <c r="U11" s="44"/>
    </row>
    <row r="12" spans="1:21" s="11" customFormat="1" x14ac:dyDescent="0.25">
      <c r="A12" s="51" t="s">
        <v>497</v>
      </c>
      <c r="B12" s="52">
        <v>44.44</v>
      </c>
      <c r="C12" s="52">
        <v>106.5</v>
      </c>
      <c r="D12" s="52">
        <v>94.41</v>
      </c>
      <c r="E12" s="52">
        <v>11.61</v>
      </c>
      <c r="F12" s="52">
        <v>1.23</v>
      </c>
      <c r="G12" s="52">
        <v>9.19</v>
      </c>
      <c r="H12" s="52">
        <v>32.19</v>
      </c>
      <c r="I12" s="52">
        <v>0.75</v>
      </c>
      <c r="J12" s="52">
        <v>0.76</v>
      </c>
      <c r="K12" s="52">
        <v>227.41</v>
      </c>
      <c r="L12" s="52">
        <v>18.420000000000002</v>
      </c>
      <c r="M12" s="52">
        <v>64.650000000000006</v>
      </c>
      <c r="N12" s="52">
        <v>4.9000000000000004</v>
      </c>
      <c r="O12" s="52">
        <v>0</v>
      </c>
      <c r="P12" s="52">
        <v>1.26</v>
      </c>
      <c r="Q12" s="52">
        <v>92.33</v>
      </c>
      <c r="R12" s="44"/>
      <c r="S12" s="44"/>
      <c r="T12" s="44"/>
      <c r="U12" s="44"/>
    </row>
    <row r="13" spans="1:21" s="11" customFormat="1" x14ac:dyDescent="0.25">
      <c r="A13" s="51" t="s">
        <v>498</v>
      </c>
      <c r="B13" s="52">
        <v>32.65</v>
      </c>
      <c r="C13" s="52">
        <v>98.05</v>
      </c>
      <c r="D13" s="52">
        <v>79.760000000000005</v>
      </c>
      <c r="E13" s="52">
        <v>9.93</v>
      </c>
      <c r="F13" s="52">
        <v>1.01</v>
      </c>
      <c r="G13" s="52">
        <v>86.6</v>
      </c>
      <c r="H13" s="52">
        <v>23.36</v>
      </c>
      <c r="I13" s="52">
        <v>0.64</v>
      </c>
      <c r="J13" s="52">
        <v>0.85</v>
      </c>
      <c r="K13" s="52">
        <v>227.19</v>
      </c>
      <c r="L13" s="52">
        <v>17.77</v>
      </c>
      <c r="M13" s="52">
        <v>65.19</v>
      </c>
      <c r="N13" s="52">
        <v>4.5999999999999996</v>
      </c>
      <c r="O13" s="52">
        <v>0</v>
      </c>
      <c r="P13" s="52">
        <v>1.01</v>
      </c>
      <c r="Q13" s="52">
        <v>68.27</v>
      </c>
      <c r="R13" s="44"/>
      <c r="S13" s="44"/>
      <c r="T13" s="44"/>
      <c r="U13" s="44"/>
    </row>
    <row r="14" spans="1:21" s="11" customFormat="1" x14ac:dyDescent="0.25">
      <c r="A14" s="51" t="s">
        <v>499</v>
      </c>
      <c r="B14" s="52">
        <v>27.99</v>
      </c>
      <c r="C14" s="52">
        <v>95.85</v>
      </c>
      <c r="D14" s="52">
        <v>75.34</v>
      </c>
      <c r="E14" s="52">
        <v>10.79</v>
      </c>
      <c r="F14" s="52">
        <v>0.97</v>
      </c>
      <c r="G14" s="52">
        <v>28.81</v>
      </c>
      <c r="H14" s="52">
        <v>22.54</v>
      </c>
      <c r="I14" s="52">
        <v>0.54</v>
      </c>
      <c r="J14" s="52">
        <v>0.92</v>
      </c>
      <c r="K14" s="52">
        <v>227.15</v>
      </c>
      <c r="L14" s="52">
        <v>17.53</v>
      </c>
      <c r="M14" s="52">
        <v>69.5</v>
      </c>
      <c r="N14" s="52">
        <v>4.9000000000000004</v>
      </c>
      <c r="O14" s="52">
        <v>0</v>
      </c>
      <c r="P14" s="52">
        <v>0.91</v>
      </c>
      <c r="Q14" s="52">
        <v>46.94</v>
      </c>
      <c r="R14" s="44"/>
      <c r="S14" s="44"/>
      <c r="T14" s="44"/>
      <c r="U14" s="44"/>
    </row>
    <row r="15" spans="1:21" s="11" customFormat="1" x14ac:dyDescent="0.25">
      <c r="A15" s="51" t="s">
        <v>500</v>
      </c>
      <c r="B15" s="52">
        <v>38.17</v>
      </c>
      <c r="C15" s="52">
        <v>108.19</v>
      </c>
      <c r="D15" s="52">
        <v>90.32</v>
      </c>
      <c r="E15" s="52">
        <v>11.75</v>
      </c>
      <c r="F15" s="52">
        <v>0.79</v>
      </c>
      <c r="G15" s="52">
        <v>147.61000000000001</v>
      </c>
      <c r="H15" s="52">
        <v>28</v>
      </c>
      <c r="I15" s="52">
        <v>0.49</v>
      </c>
      <c r="J15" s="52">
        <v>0.63</v>
      </c>
      <c r="K15" s="52">
        <v>227.03</v>
      </c>
      <c r="L15" s="52">
        <v>17.36</v>
      </c>
      <c r="M15" s="52">
        <v>70.010000000000005</v>
      </c>
      <c r="N15" s="52">
        <v>40.799999999999997</v>
      </c>
      <c r="O15" s="52">
        <v>0</v>
      </c>
      <c r="P15" s="52">
        <v>1.1499999999999999</v>
      </c>
      <c r="Q15" s="52">
        <v>60.16</v>
      </c>
      <c r="R15" s="44"/>
      <c r="S15" s="44"/>
      <c r="T15" s="44"/>
      <c r="U15" s="44"/>
    </row>
    <row r="16" spans="1:21" s="11" customFormat="1" x14ac:dyDescent="0.25">
      <c r="A16" s="51" t="s">
        <v>501</v>
      </c>
      <c r="B16" s="52">
        <v>40.61</v>
      </c>
      <c r="C16" s="52">
        <v>112.17</v>
      </c>
      <c r="D16" s="52">
        <v>93.97</v>
      </c>
      <c r="E16" s="52">
        <v>12.24</v>
      </c>
      <c r="F16" s="52">
        <v>1.21</v>
      </c>
      <c r="G16" s="52">
        <v>168.9</v>
      </c>
      <c r="H16" s="52">
        <v>35.020000000000003</v>
      </c>
      <c r="I16" s="52">
        <v>0.49</v>
      </c>
      <c r="J16" s="52">
        <v>1.08</v>
      </c>
      <c r="K16" s="52">
        <v>228.35</v>
      </c>
      <c r="L16" s="52">
        <v>20.38</v>
      </c>
      <c r="M16" s="52">
        <v>66.13</v>
      </c>
      <c r="N16" s="52">
        <v>199.7</v>
      </c>
      <c r="O16" s="52">
        <v>0</v>
      </c>
      <c r="P16" s="52">
        <v>1.27</v>
      </c>
      <c r="Q16" s="52">
        <v>61.06</v>
      </c>
      <c r="R16" s="44"/>
      <c r="S16" s="44"/>
      <c r="T16" s="44"/>
      <c r="U16" s="44"/>
    </row>
    <row r="17" spans="1:21" s="11" customFormat="1" x14ac:dyDescent="0.25">
      <c r="A17" s="51" t="s">
        <v>502</v>
      </c>
      <c r="B17" s="52">
        <v>39.36</v>
      </c>
      <c r="C17" s="52">
        <v>119.22</v>
      </c>
      <c r="D17" s="52">
        <v>97.36</v>
      </c>
      <c r="E17" s="52">
        <v>10.85</v>
      </c>
      <c r="F17" s="52">
        <v>1.22</v>
      </c>
      <c r="G17" s="52">
        <v>118.57</v>
      </c>
      <c r="H17" s="52">
        <v>37.29</v>
      </c>
      <c r="I17" s="52">
        <v>0.48</v>
      </c>
      <c r="J17" s="52">
        <v>1.1499999999999999</v>
      </c>
      <c r="K17" s="52">
        <v>230.25</v>
      </c>
      <c r="L17" s="52">
        <v>23.06</v>
      </c>
      <c r="M17" s="52">
        <v>53.04</v>
      </c>
      <c r="N17" s="52">
        <v>414.6</v>
      </c>
      <c r="O17" s="52">
        <v>0</v>
      </c>
      <c r="P17" s="52">
        <v>1.27</v>
      </c>
      <c r="Q17" s="52">
        <v>47.07</v>
      </c>
      <c r="R17" s="44"/>
      <c r="S17" s="44"/>
      <c r="T17" s="44"/>
      <c r="U17" s="44"/>
    </row>
    <row r="18" spans="1:21" s="11" customFormat="1" x14ac:dyDescent="0.25">
      <c r="A18" s="51" t="s">
        <v>503</v>
      </c>
      <c r="B18" s="52">
        <v>36.450000000000003</v>
      </c>
      <c r="C18" s="52">
        <v>121.29</v>
      </c>
      <c r="D18" s="52">
        <v>95.23</v>
      </c>
      <c r="E18" s="52">
        <v>12.64</v>
      </c>
      <c r="F18" s="52">
        <v>1.85</v>
      </c>
      <c r="G18" s="52">
        <v>108.68</v>
      </c>
      <c r="H18" s="52">
        <v>39.72</v>
      </c>
      <c r="I18" s="52">
        <v>0.45</v>
      </c>
      <c r="J18" s="52">
        <v>1.51</v>
      </c>
      <c r="K18" s="52">
        <v>230.92</v>
      </c>
      <c r="L18" s="52">
        <v>26.38</v>
      </c>
      <c r="M18" s="52">
        <v>46.94</v>
      </c>
      <c r="N18" s="52">
        <v>486.9</v>
      </c>
      <c r="O18" s="52">
        <v>0</v>
      </c>
      <c r="P18" s="52">
        <v>1.19</v>
      </c>
      <c r="Q18" s="52">
        <v>41.59</v>
      </c>
      <c r="R18" s="44"/>
      <c r="S18" s="44"/>
      <c r="T18" s="44"/>
      <c r="U18" s="44"/>
    </row>
    <row r="19" spans="1:21" s="11" customFormat="1" x14ac:dyDescent="0.25">
      <c r="A19" s="51" t="s">
        <v>504</v>
      </c>
      <c r="B19" s="52">
        <v>31.41</v>
      </c>
      <c r="C19" s="52">
        <v>119.5</v>
      </c>
      <c r="D19" s="52">
        <v>91.14</v>
      </c>
      <c r="E19" s="52">
        <v>13.92</v>
      </c>
      <c r="F19" s="52">
        <v>3.54</v>
      </c>
      <c r="G19" s="52">
        <v>98.35</v>
      </c>
      <c r="H19" s="52">
        <v>35.869999999999997</v>
      </c>
      <c r="I19" s="52">
        <v>0.44</v>
      </c>
      <c r="J19" s="52">
        <v>1.37</v>
      </c>
      <c r="K19" s="52">
        <v>231.53</v>
      </c>
      <c r="L19" s="52">
        <v>26.14</v>
      </c>
      <c r="M19" s="52">
        <v>47.15</v>
      </c>
      <c r="N19" s="52">
        <v>549.4</v>
      </c>
      <c r="O19" s="52">
        <v>0</v>
      </c>
      <c r="P19" s="52">
        <v>1.0900000000000001</v>
      </c>
      <c r="Q19" s="52">
        <v>35.6</v>
      </c>
      <c r="R19" s="44"/>
      <c r="S19" s="44"/>
      <c r="T19" s="44"/>
      <c r="U19" s="44"/>
    </row>
    <row r="20" spans="1:21" s="11" customFormat="1" x14ac:dyDescent="0.25">
      <c r="A20" s="51" t="s">
        <v>505</v>
      </c>
      <c r="B20" s="52">
        <v>14.67</v>
      </c>
      <c r="C20" s="52">
        <v>120.63</v>
      </c>
      <c r="D20" s="52">
        <v>78.33</v>
      </c>
      <c r="E20" s="52">
        <v>22.61</v>
      </c>
      <c r="F20" s="52">
        <v>8.5</v>
      </c>
      <c r="G20" s="52">
        <v>70.03</v>
      </c>
      <c r="H20" s="52">
        <v>32.79</v>
      </c>
      <c r="I20" s="52">
        <v>0.43</v>
      </c>
      <c r="J20" s="52">
        <v>1.28</v>
      </c>
      <c r="K20" s="52">
        <v>232</v>
      </c>
      <c r="L20" s="52">
        <v>27.82</v>
      </c>
      <c r="M20" s="52">
        <v>41.06</v>
      </c>
      <c r="N20" s="52">
        <v>550.79999999999995</v>
      </c>
      <c r="O20" s="52">
        <v>0</v>
      </c>
      <c r="P20" s="52">
        <v>0.92</v>
      </c>
      <c r="Q20" s="59" t="s">
        <v>15</v>
      </c>
      <c r="R20" s="44"/>
      <c r="S20" s="44"/>
      <c r="T20" s="44"/>
      <c r="U20" s="44"/>
    </row>
    <row r="21" spans="1:21" s="11" customFormat="1" x14ac:dyDescent="0.25">
      <c r="A21" s="51" t="s">
        <v>506</v>
      </c>
      <c r="B21" s="52">
        <v>8.5</v>
      </c>
      <c r="C21" s="52">
        <v>114.48</v>
      </c>
      <c r="D21" s="52">
        <v>69.989999999999995</v>
      </c>
      <c r="E21" s="52">
        <v>17.940000000000001</v>
      </c>
      <c r="F21" s="52">
        <v>8.9499999999999993</v>
      </c>
      <c r="G21" s="52">
        <v>91.87</v>
      </c>
      <c r="H21" s="52">
        <v>33.51</v>
      </c>
      <c r="I21" s="52">
        <v>0.3</v>
      </c>
      <c r="J21" s="52">
        <v>1.1499999999999999</v>
      </c>
      <c r="K21" s="52">
        <v>232.09</v>
      </c>
      <c r="L21" s="52">
        <v>29.84</v>
      </c>
      <c r="M21" s="52">
        <v>37.619999999999997</v>
      </c>
      <c r="N21" s="52">
        <v>481.2</v>
      </c>
      <c r="O21" s="52">
        <v>0</v>
      </c>
      <c r="P21" s="52">
        <v>0.79</v>
      </c>
      <c r="Q21" s="59" t="s">
        <v>15</v>
      </c>
      <c r="R21" s="44"/>
      <c r="S21" s="44"/>
      <c r="T21" s="44"/>
      <c r="U21" s="44"/>
    </row>
    <row r="22" spans="1:21" s="11" customFormat="1" x14ac:dyDescent="0.25">
      <c r="A22" s="51" t="s">
        <v>507</v>
      </c>
      <c r="B22" s="52">
        <v>10.18</v>
      </c>
      <c r="C22" s="52">
        <v>120.69</v>
      </c>
      <c r="D22" s="52">
        <v>74.77</v>
      </c>
      <c r="E22" s="52">
        <v>18.399999999999999</v>
      </c>
      <c r="F22" s="52">
        <v>7.4</v>
      </c>
      <c r="G22" s="52">
        <v>67.7</v>
      </c>
      <c r="H22" s="52">
        <v>30.52</v>
      </c>
      <c r="I22" s="52">
        <v>0.27</v>
      </c>
      <c r="J22" s="52">
        <v>1.21</v>
      </c>
      <c r="K22" s="52">
        <v>232.16</v>
      </c>
      <c r="L22" s="52">
        <v>29.53</v>
      </c>
      <c r="M22" s="52">
        <v>36.67</v>
      </c>
      <c r="N22" s="52">
        <v>443.6</v>
      </c>
      <c r="O22" s="52">
        <v>0</v>
      </c>
      <c r="P22" s="52">
        <v>0.79</v>
      </c>
      <c r="Q22" s="59" t="s">
        <v>15</v>
      </c>
      <c r="R22" s="44"/>
      <c r="S22" s="44"/>
      <c r="T22" s="44"/>
      <c r="U22" s="44"/>
    </row>
    <row r="23" spans="1:21" s="11" customFormat="1" x14ac:dyDescent="0.25">
      <c r="A23" s="51" t="s">
        <v>508</v>
      </c>
      <c r="B23" s="52">
        <v>8.56</v>
      </c>
      <c r="C23" s="52">
        <v>125.64</v>
      </c>
      <c r="D23" s="52">
        <v>76.2</v>
      </c>
      <c r="E23" s="52">
        <v>14.5</v>
      </c>
      <c r="F23" s="52">
        <v>5.63</v>
      </c>
      <c r="G23" s="52">
        <v>61.47</v>
      </c>
      <c r="H23" s="52">
        <v>30.99</v>
      </c>
      <c r="I23" s="52">
        <v>0.27</v>
      </c>
      <c r="J23" s="52">
        <v>1.3</v>
      </c>
      <c r="K23" s="52">
        <v>231.63</v>
      </c>
      <c r="L23" s="52">
        <v>27.59</v>
      </c>
      <c r="M23" s="52">
        <v>38.42</v>
      </c>
      <c r="N23" s="52">
        <v>391.4</v>
      </c>
      <c r="O23" s="52">
        <v>0</v>
      </c>
      <c r="P23" s="52">
        <v>0.77</v>
      </c>
      <c r="Q23" s="59" t="s">
        <v>15</v>
      </c>
      <c r="R23" s="44"/>
      <c r="S23" s="44"/>
      <c r="T23" s="44"/>
      <c r="U23" s="44"/>
    </row>
    <row r="24" spans="1:21" s="11" customFormat="1" x14ac:dyDescent="0.25">
      <c r="A24" s="51" t="s">
        <v>509</v>
      </c>
      <c r="B24" s="52">
        <v>9.5399999999999991</v>
      </c>
      <c r="C24" s="52">
        <v>111.04</v>
      </c>
      <c r="D24" s="52">
        <v>68.930000000000007</v>
      </c>
      <c r="E24" s="52">
        <v>12.81</v>
      </c>
      <c r="F24" s="52">
        <v>7.78</v>
      </c>
      <c r="G24" s="52">
        <v>70.099999999999994</v>
      </c>
      <c r="H24" s="52">
        <v>27.15</v>
      </c>
      <c r="I24" s="52">
        <v>0.26</v>
      </c>
      <c r="J24" s="52">
        <v>1.1000000000000001</v>
      </c>
      <c r="K24" s="52">
        <v>230.68</v>
      </c>
      <c r="L24" s="52">
        <v>26.98</v>
      </c>
      <c r="M24" s="52">
        <v>40.15</v>
      </c>
      <c r="N24" s="52">
        <v>122.4</v>
      </c>
      <c r="O24" s="52">
        <v>0</v>
      </c>
      <c r="P24" s="52">
        <v>0.78</v>
      </c>
      <c r="Q24" s="59" t="s">
        <v>15</v>
      </c>
      <c r="R24" s="44"/>
      <c r="S24" s="44"/>
      <c r="T24" s="44"/>
      <c r="U24" s="44"/>
    </row>
    <row r="25" spans="1:21" s="11" customFormat="1" x14ac:dyDescent="0.25">
      <c r="A25" s="51" t="s">
        <v>510</v>
      </c>
      <c r="B25" s="52">
        <v>7.58</v>
      </c>
      <c r="C25" s="52">
        <v>122.03</v>
      </c>
      <c r="D25" s="52">
        <v>73.42</v>
      </c>
      <c r="E25" s="52">
        <v>14.73</v>
      </c>
      <c r="F25" s="52">
        <v>10.59</v>
      </c>
      <c r="G25" s="52">
        <v>65.17</v>
      </c>
      <c r="H25" s="52">
        <v>22.38</v>
      </c>
      <c r="I25" s="52">
        <v>0.25</v>
      </c>
      <c r="J25" s="52">
        <v>0.87</v>
      </c>
      <c r="K25" s="52">
        <v>230.02</v>
      </c>
      <c r="L25" s="52">
        <v>25.3</v>
      </c>
      <c r="M25" s="52">
        <v>43.35</v>
      </c>
      <c r="N25" s="52">
        <v>56.3</v>
      </c>
      <c r="O25" s="52">
        <v>0</v>
      </c>
      <c r="P25" s="52">
        <v>0.9</v>
      </c>
      <c r="Q25" s="52">
        <v>129.91</v>
      </c>
      <c r="R25" s="44"/>
      <c r="S25" s="44"/>
      <c r="T25" s="44"/>
      <c r="U25" s="44"/>
    </row>
    <row r="26" spans="1:21" s="11" customFormat="1" x14ac:dyDescent="0.25">
      <c r="A26" s="51" t="s">
        <v>511</v>
      </c>
      <c r="B26" s="52">
        <v>16.87</v>
      </c>
      <c r="C26" s="52">
        <v>129.19999999999999</v>
      </c>
      <c r="D26" s="52">
        <v>84.61</v>
      </c>
      <c r="E26" s="52">
        <v>9.4700000000000006</v>
      </c>
      <c r="F26" s="52">
        <v>3.4</v>
      </c>
      <c r="G26" s="52">
        <v>91.38</v>
      </c>
      <c r="H26" s="52">
        <v>30.78</v>
      </c>
      <c r="I26" s="52">
        <v>0.33</v>
      </c>
      <c r="J26" s="52">
        <v>0.44</v>
      </c>
      <c r="K26" s="52">
        <v>229.51</v>
      </c>
      <c r="L26" s="52">
        <v>23.75</v>
      </c>
      <c r="M26" s="52">
        <v>47.95</v>
      </c>
      <c r="N26" s="52">
        <v>11.6</v>
      </c>
      <c r="O26" s="52">
        <v>0</v>
      </c>
      <c r="P26" s="52">
        <v>1.21</v>
      </c>
      <c r="Q26" s="52">
        <v>171</v>
      </c>
      <c r="R26" s="44"/>
      <c r="S26" s="44"/>
      <c r="T26" s="44"/>
      <c r="U26" s="44"/>
    </row>
    <row r="27" spans="1:21" s="11" customFormat="1" x14ac:dyDescent="0.25">
      <c r="A27" s="51" t="s">
        <v>512</v>
      </c>
      <c r="B27" s="52">
        <v>30.77</v>
      </c>
      <c r="C27" s="52">
        <v>132.49</v>
      </c>
      <c r="D27" s="52">
        <v>97.79</v>
      </c>
      <c r="E27" s="52">
        <v>8.34</v>
      </c>
      <c r="F27" s="52">
        <v>1.31</v>
      </c>
      <c r="G27" s="52">
        <v>147.31</v>
      </c>
      <c r="H27" s="52">
        <v>32.450000000000003</v>
      </c>
      <c r="I27" s="52">
        <v>0.47</v>
      </c>
      <c r="J27" s="52">
        <v>0.37</v>
      </c>
      <c r="K27" s="52">
        <v>228.48</v>
      </c>
      <c r="L27" s="52">
        <v>22.29</v>
      </c>
      <c r="M27" s="52">
        <v>50.95</v>
      </c>
      <c r="N27" s="52">
        <v>4.7</v>
      </c>
      <c r="O27" s="52">
        <v>0</v>
      </c>
      <c r="P27" s="52">
        <v>1.58</v>
      </c>
      <c r="Q27" s="52">
        <v>214.01</v>
      </c>
      <c r="R27" s="44"/>
      <c r="S27" s="44"/>
      <c r="T27" s="44"/>
      <c r="U27" s="44"/>
    </row>
    <row r="28" spans="1:21" s="11" customFormat="1" x14ac:dyDescent="0.25">
      <c r="A28" s="51" t="s">
        <v>513</v>
      </c>
      <c r="B28" s="52">
        <v>45.5</v>
      </c>
      <c r="C28" s="52">
        <v>144.15</v>
      </c>
      <c r="D28" s="52">
        <v>116.03</v>
      </c>
      <c r="E28" s="52">
        <v>6.93</v>
      </c>
      <c r="F28" s="52">
        <v>1</v>
      </c>
      <c r="G28" s="52">
        <v>209.5</v>
      </c>
      <c r="H28" s="52">
        <v>40.159999999999997</v>
      </c>
      <c r="I28" s="52">
        <v>0.64</v>
      </c>
      <c r="J28" s="52">
        <v>0.21</v>
      </c>
      <c r="K28" s="52">
        <v>228.03</v>
      </c>
      <c r="L28" s="52">
        <v>21.27</v>
      </c>
      <c r="M28" s="52">
        <v>67.55</v>
      </c>
      <c r="N28" s="52">
        <v>5.0999999999999996</v>
      </c>
      <c r="O28" s="52">
        <v>0</v>
      </c>
      <c r="P28" s="52">
        <v>2.06</v>
      </c>
      <c r="Q28" s="52">
        <v>242.78</v>
      </c>
      <c r="R28" s="44"/>
      <c r="S28" s="44"/>
      <c r="T28" s="44"/>
      <c r="U28" s="44"/>
    </row>
    <row r="29" spans="1:21" s="11" customFormat="1" x14ac:dyDescent="0.25">
      <c r="A29" s="51" t="s">
        <v>514</v>
      </c>
      <c r="B29" s="52">
        <v>91.25</v>
      </c>
      <c r="C29" s="52">
        <v>187.26</v>
      </c>
      <c r="D29" s="52">
        <v>176.53</v>
      </c>
      <c r="E29" s="52">
        <v>7.11</v>
      </c>
      <c r="F29" s="52">
        <v>0.87</v>
      </c>
      <c r="G29" s="52">
        <v>252.13</v>
      </c>
      <c r="H29" s="52">
        <v>46.24</v>
      </c>
      <c r="I29" s="52">
        <v>0.93</v>
      </c>
      <c r="J29" s="52">
        <v>0.2</v>
      </c>
      <c r="K29" s="52">
        <v>227.42</v>
      </c>
      <c r="L29" s="52">
        <v>19.21</v>
      </c>
      <c r="M29" s="52">
        <v>75.06</v>
      </c>
      <c r="N29" s="52">
        <v>4.9000000000000004</v>
      </c>
      <c r="O29" s="52">
        <v>0</v>
      </c>
      <c r="P29" s="52">
        <v>2.83</v>
      </c>
      <c r="Q29" s="52">
        <v>303.06</v>
      </c>
      <c r="R29" s="44"/>
      <c r="S29" s="44"/>
      <c r="T29" s="44"/>
      <c r="U29" s="44"/>
    </row>
    <row r="30" spans="1:21" s="11" customFormat="1" x14ac:dyDescent="0.25">
      <c r="A30" s="51" t="s">
        <v>515</v>
      </c>
      <c r="B30" s="52">
        <v>140.25</v>
      </c>
      <c r="C30" s="52">
        <v>228</v>
      </c>
      <c r="D30" s="52">
        <v>238.3</v>
      </c>
      <c r="E30" s="52">
        <v>7.64</v>
      </c>
      <c r="F30" s="52">
        <v>0.86</v>
      </c>
      <c r="G30" s="52">
        <v>280.66000000000003</v>
      </c>
      <c r="H30" s="52">
        <v>53.23</v>
      </c>
      <c r="I30" s="52">
        <v>1.25</v>
      </c>
      <c r="J30" s="52">
        <v>0.19</v>
      </c>
      <c r="K30" s="52">
        <v>227.21</v>
      </c>
      <c r="L30" s="52">
        <v>18.350000000000001</v>
      </c>
      <c r="M30" s="52">
        <v>73.3</v>
      </c>
      <c r="N30" s="52">
        <v>4.7</v>
      </c>
      <c r="O30" s="52">
        <v>0</v>
      </c>
      <c r="P30" s="52">
        <v>3.41</v>
      </c>
      <c r="Q30" s="52">
        <v>369.17</v>
      </c>
      <c r="R30" s="44"/>
      <c r="S30" s="44"/>
      <c r="T30" s="44"/>
      <c r="U30" s="44"/>
    </row>
    <row r="31" spans="1:21" s="11" customFormat="1" x14ac:dyDescent="0.25">
      <c r="A31" s="51" t="s">
        <v>516</v>
      </c>
      <c r="B31" s="52">
        <v>155.38999999999999</v>
      </c>
      <c r="C31" s="52">
        <v>237.77</v>
      </c>
      <c r="D31" s="52">
        <v>255.83</v>
      </c>
      <c r="E31" s="52">
        <v>7.31</v>
      </c>
      <c r="F31" s="52">
        <v>1.01</v>
      </c>
      <c r="G31" s="52">
        <v>270.98</v>
      </c>
      <c r="H31" s="52">
        <v>55.83</v>
      </c>
      <c r="I31" s="52">
        <v>1.5</v>
      </c>
      <c r="J31" s="52">
        <v>0.55000000000000004</v>
      </c>
      <c r="K31" s="52">
        <v>227.1</v>
      </c>
      <c r="L31" s="52">
        <v>18.3</v>
      </c>
      <c r="M31" s="52">
        <v>76.56</v>
      </c>
      <c r="N31" s="52">
        <v>4.7</v>
      </c>
      <c r="O31" s="52">
        <v>0</v>
      </c>
      <c r="P31" s="52">
        <v>3.5</v>
      </c>
      <c r="Q31" s="52">
        <v>388.73</v>
      </c>
      <c r="R31" s="44"/>
      <c r="S31" s="44"/>
      <c r="T31" s="44"/>
      <c r="U31" s="44"/>
    </row>
    <row r="32" spans="1:21" s="11" customFormat="1" x14ac:dyDescent="0.25">
      <c r="A32" s="51" t="s">
        <v>517</v>
      </c>
      <c r="B32" s="52">
        <v>152.38999999999999</v>
      </c>
      <c r="C32" s="52">
        <v>233.22</v>
      </c>
      <c r="D32" s="52">
        <v>250.91</v>
      </c>
      <c r="E32" s="52">
        <v>8.01</v>
      </c>
      <c r="F32" s="52">
        <v>0.96</v>
      </c>
      <c r="G32" s="52">
        <v>265.27</v>
      </c>
      <c r="H32" s="52">
        <v>54.57</v>
      </c>
      <c r="I32" s="52">
        <v>1.39</v>
      </c>
      <c r="J32" s="52">
        <v>0.68</v>
      </c>
      <c r="K32" s="52">
        <v>227.27</v>
      </c>
      <c r="L32" s="52">
        <v>18.53</v>
      </c>
      <c r="M32" s="52">
        <v>66.47</v>
      </c>
      <c r="N32" s="52">
        <v>4.7</v>
      </c>
      <c r="O32" s="52">
        <v>0</v>
      </c>
      <c r="P32" s="52">
        <v>3.45</v>
      </c>
      <c r="Q32" s="52">
        <v>383.77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7.58</v>
      </c>
      <c r="C34" s="28">
        <f t="shared" si="0"/>
        <v>95.85</v>
      </c>
      <c r="D34" s="28">
        <f t="shared" si="0"/>
        <v>68.930000000000007</v>
      </c>
      <c r="E34" s="28">
        <f t="shared" si="0"/>
        <v>6.93</v>
      </c>
      <c r="F34" s="28">
        <f t="shared" si="0"/>
        <v>0.79</v>
      </c>
      <c r="G34" s="28">
        <f t="shared" si="0"/>
        <v>9.19</v>
      </c>
      <c r="H34" s="28">
        <f t="shared" si="0"/>
        <v>22.38</v>
      </c>
      <c r="I34" s="28">
        <f t="shared" si="0"/>
        <v>0.25</v>
      </c>
      <c r="J34" s="28">
        <f t="shared" si="0"/>
        <v>0.19</v>
      </c>
      <c r="K34" s="28">
        <f t="shared" si="0"/>
        <v>227.03</v>
      </c>
      <c r="L34" s="28">
        <f t="shared" si="0"/>
        <v>17.36</v>
      </c>
      <c r="M34" s="28">
        <f t="shared" si="0"/>
        <v>36.67</v>
      </c>
      <c r="N34" s="28">
        <f t="shared" si="0"/>
        <v>4.5999999999999996</v>
      </c>
      <c r="O34" s="28">
        <f t="shared" si="0"/>
        <v>0</v>
      </c>
      <c r="P34" s="28">
        <f t="shared" si="0"/>
        <v>0.77</v>
      </c>
      <c r="Q34" s="28">
        <f t="shared" si="0"/>
        <v>35.6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155.38999999999999</v>
      </c>
      <c r="C35" s="29">
        <f t="shared" si="1"/>
        <v>237.77</v>
      </c>
      <c r="D35" s="29">
        <f t="shared" si="1"/>
        <v>255.83</v>
      </c>
      <c r="E35" s="29">
        <f t="shared" si="1"/>
        <v>22.61</v>
      </c>
      <c r="F35" s="29">
        <f t="shared" si="1"/>
        <v>10.59</v>
      </c>
      <c r="G35" s="29">
        <f t="shared" si="1"/>
        <v>280.66000000000003</v>
      </c>
      <c r="H35" s="29">
        <f t="shared" si="1"/>
        <v>55.83</v>
      </c>
      <c r="I35" s="29">
        <f t="shared" si="1"/>
        <v>1.5</v>
      </c>
      <c r="J35" s="29">
        <f t="shared" si="1"/>
        <v>1.51</v>
      </c>
      <c r="K35" s="29">
        <f t="shared" si="1"/>
        <v>232.16</v>
      </c>
      <c r="L35" s="29">
        <f t="shared" si="1"/>
        <v>29.84</v>
      </c>
      <c r="M35" s="29">
        <f t="shared" si="1"/>
        <v>76.56</v>
      </c>
      <c r="N35" s="29">
        <f t="shared" si="1"/>
        <v>550.79999999999995</v>
      </c>
      <c r="O35" s="29">
        <f t="shared" si="1"/>
        <v>0</v>
      </c>
      <c r="P35" s="29">
        <f t="shared" si="1"/>
        <v>3.5</v>
      </c>
      <c r="Q35" s="29">
        <f t="shared" si="1"/>
        <v>388.73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51.517083333333325</v>
      </c>
      <c r="C36" s="28">
        <f t="shared" si="2"/>
        <v>139.0345833333333</v>
      </c>
      <c r="D36" s="28">
        <f t="shared" si="2"/>
        <v>117.95041666666667</v>
      </c>
      <c r="E36" s="28">
        <f t="shared" si="2"/>
        <v>12</v>
      </c>
      <c r="F36" s="28">
        <f t="shared" si="2"/>
        <v>3.0887500000000006</v>
      </c>
      <c r="G36" s="28">
        <f t="shared" si="2"/>
        <v>129.81916666666666</v>
      </c>
      <c r="H36" s="28">
        <f t="shared" si="2"/>
        <v>36.660000000000004</v>
      </c>
      <c r="I36" s="28">
        <f t="shared" si="2"/>
        <v>0.6691666666666668</v>
      </c>
      <c r="J36" s="28">
        <f t="shared" si="2"/>
        <v>0.87166666666666703</v>
      </c>
      <c r="K36" s="28">
        <f t="shared" si="2"/>
        <v>229.04250000000002</v>
      </c>
      <c r="L36" s="28">
        <f t="shared" si="2"/>
        <v>22.269999999999996</v>
      </c>
      <c r="M36" s="28">
        <f t="shared" si="2"/>
        <v>56.672499999999992</v>
      </c>
      <c r="N36" s="28">
        <f t="shared" si="2"/>
        <v>158.5958333333333</v>
      </c>
      <c r="O36" s="28">
        <f t="shared" si="2"/>
        <v>0</v>
      </c>
      <c r="P36" s="28">
        <f t="shared" si="2"/>
        <v>1.5945833333333332</v>
      </c>
      <c r="Q36" s="28">
        <f t="shared" si="2"/>
        <v>167.55315789473684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46.200000986181692</v>
      </c>
      <c r="C37" s="28">
        <f t="shared" ref="C37:Q37" si="3">STDEV(C9:C32)</f>
        <v>42.047506567149796</v>
      </c>
      <c r="D37" s="28">
        <f t="shared" si="3"/>
        <v>59.111074771893684</v>
      </c>
      <c r="E37" s="28">
        <f t="shared" si="3"/>
        <v>3.8821117068353184</v>
      </c>
      <c r="F37" s="28">
        <f t="shared" si="3"/>
        <v>3.154518239935689</v>
      </c>
      <c r="G37" s="28">
        <f t="shared" si="3"/>
        <v>78.529397149517663</v>
      </c>
      <c r="H37" s="28">
        <f t="shared" si="3"/>
        <v>10.033517741095055</v>
      </c>
      <c r="I37" s="28">
        <f t="shared" si="3"/>
        <v>0.40239410345176968</v>
      </c>
      <c r="J37" s="28">
        <f t="shared" si="3"/>
        <v>0.39508575477127472</v>
      </c>
      <c r="K37" s="28">
        <f t="shared" si="3"/>
        <v>1.8918457745764081</v>
      </c>
      <c r="L37" s="28">
        <f t="shared" si="3"/>
        <v>4.1639529713754229</v>
      </c>
      <c r="M37" s="28">
        <f t="shared" si="3"/>
        <v>13.093065954426304</v>
      </c>
      <c r="N37" s="28">
        <f t="shared" si="3"/>
        <v>213.88317509935121</v>
      </c>
      <c r="O37" s="28">
        <f t="shared" si="3"/>
        <v>0</v>
      </c>
      <c r="P37" s="28">
        <f t="shared" si="3"/>
        <v>0.90095591344472292</v>
      </c>
      <c r="Q37" s="28">
        <f t="shared" si="3"/>
        <v>122.96950051187635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</f>
        <v>24</v>
      </c>
      <c r="C38" s="32">
        <f>COUNT(C9:C32)</f>
        <v>24</v>
      </c>
      <c r="D38" s="32">
        <f>COUNT(D9:D32)</f>
        <v>24</v>
      </c>
      <c r="E38" s="32">
        <f t="shared" ref="E38:Q38" si="4">COUNT(E9:E32)</f>
        <v>24</v>
      </c>
      <c r="F38" s="32">
        <f t="shared" si="4"/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19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299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9"/>
  <sheetViews>
    <sheetView zoomScale="85" zoomScaleNormal="85"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8" width="9.140625" style="20" customWidth="1"/>
    <col min="19" max="19" width="11.42578125" style="20" customWidth="1"/>
    <col min="20" max="16384" width="8.85546875" style="20"/>
  </cols>
  <sheetData>
    <row r="1" spans="1:20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s="21" customFormat="1" x14ac:dyDescent="0.25">
      <c r="A2" s="14" t="s">
        <v>0</v>
      </c>
      <c r="B2" s="38" t="str">
        <f>$A$9</f>
        <v>20-11-2022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11"/>
      <c r="S2" s="11"/>
      <c r="T2" s="11"/>
    </row>
    <row r="3" spans="1:20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11"/>
      <c r="S3" s="11"/>
      <c r="T3" s="11"/>
    </row>
    <row r="4" spans="1:20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1"/>
      <c r="S4" s="11"/>
      <c r="T4" s="11"/>
    </row>
    <row r="5" spans="1:20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0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1"/>
    </row>
    <row r="7" spans="1:20" s="21" customFormat="1" x14ac:dyDescent="0.25">
      <c r="A7" s="25" t="s">
        <v>21</v>
      </c>
      <c r="B7" s="43" t="s">
        <v>41</v>
      </c>
      <c r="C7" s="43" t="s">
        <v>42</v>
      </c>
      <c r="D7" s="43" t="s">
        <v>43</v>
      </c>
      <c r="E7" s="43" t="s">
        <v>44</v>
      </c>
      <c r="F7" s="43" t="s">
        <v>45</v>
      </c>
      <c r="G7" s="43" t="s">
        <v>46</v>
      </c>
      <c r="H7" s="43" t="s">
        <v>47</v>
      </c>
      <c r="I7" s="43" t="s">
        <v>48</v>
      </c>
      <c r="J7" s="43" t="s">
        <v>49</v>
      </c>
      <c r="K7" s="43" t="s">
        <v>50</v>
      </c>
      <c r="L7" s="43" t="s">
        <v>51</v>
      </c>
      <c r="M7" s="43" t="s">
        <v>52</v>
      </c>
      <c r="N7" s="43" t="s">
        <v>53</v>
      </c>
      <c r="O7" s="43" t="s">
        <v>54</v>
      </c>
      <c r="P7" s="43" t="s">
        <v>55</v>
      </c>
      <c r="Q7" s="43" t="s">
        <v>56</v>
      </c>
      <c r="R7" s="29"/>
      <c r="S7" s="27"/>
      <c r="T7" s="27"/>
    </row>
    <row r="8" spans="1:20" s="21" customFormat="1" x14ac:dyDescent="0.25">
      <c r="A8" s="25"/>
      <c r="B8" s="54" t="s">
        <v>22</v>
      </c>
      <c r="C8" s="54" t="s">
        <v>22</v>
      </c>
      <c r="D8" s="54" t="s">
        <v>22</v>
      </c>
      <c r="E8" s="54" t="s">
        <v>22</v>
      </c>
      <c r="F8" s="54" t="s">
        <v>22</v>
      </c>
      <c r="G8" s="54" t="s">
        <v>22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23</v>
      </c>
      <c r="Q8" s="54" t="s">
        <v>22</v>
      </c>
      <c r="R8" s="29"/>
      <c r="S8" s="27"/>
      <c r="T8" s="27"/>
    </row>
    <row r="9" spans="1:20" s="11" customFormat="1" x14ac:dyDescent="0.25">
      <c r="A9" s="51" t="s">
        <v>518</v>
      </c>
      <c r="B9" s="52">
        <v>124.17</v>
      </c>
      <c r="C9" s="52">
        <v>204.86</v>
      </c>
      <c r="D9" s="52">
        <v>212.63</v>
      </c>
      <c r="E9" s="52">
        <v>8.17</v>
      </c>
      <c r="F9" s="52">
        <v>0.94</v>
      </c>
      <c r="G9" s="52">
        <v>178.72</v>
      </c>
      <c r="H9" s="52">
        <v>52.63</v>
      </c>
      <c r="I9" s="52">
        <v>1.28</v>
      </c>
      <c r="J9" s="52">
        <v>0.28999999999999998</v>
      </c>
      <c r="K9" s="52">
        <v>227.09</v>
      </c>
      <c r="L9" s="52">
        <v>18.34</v>
      </c>
      <c r="M9" s="52">
        <v>72.58</v>
      </c>
      <c r="N9" s="52">
        <v>5</v>
      </c>
      <c r="O9" s="52">
        <v>0</v>
      </c>
      <c r="P9" s="52">
        <v>3.04</v>
      </c>
      <c r="Q9" s="52">
        <v>351.55</v>
      </c>
      <c r="R9" s="44"/>
      <c r="S9" s="44"/>
      <c r="T9" s="44"/>
    </row>
    <row r="10" spans="1:20" s="11" customFormat="1" x14ac:dyDescent="0.25">
      <c r="A10" s="51" t="s">
        <v>519</v>
      </c>
      <c r="B10" s="52">
        <v>93.68</v>
      </c>
      <c r="C10" s="52">
        <v>170.33</v>
      </c>
      <c r="D10" s="52">
        <v>169.13</v>
      </c>
      <c r="E10" s="52">
        <v>7.9</v>
      </c>
      <c r="F10" s="52">
        <v>0.81</v>
      </c>
      <c r="G10" s="52">
        <v>106.21</v>
      </c>
      <c r="H10" s="52">
        <v>48.54</v>
      </c>
      <c r="I10" s="52">
        <v>1.1000000000000001</v>
      </c>
      <c r="J10" s="52">
        <v>0.27</v>
      </c>
      <c r="K10" s="52">
        <v>226.51</v>
      </c>
      <c r="L10" s="52">
        <v>16.670000000000002</v>
      </c>
      <c r="M10" s="52">
        <v>77.12</v>
      </c>
      <c r="N10" s="52">
        <v>4.9000000000000004</v>
      </c>
      <c r="O10" s="52">
        <v>0</v>
      </c>
      <c r="P10" s="52">
        <v>2.33</v>
      </c>
      <c r="Q10" s="52">
        <v>308.36</v>
      </c>
      <c r="R10" s="44"/>
      <c r="S10" s="44"/>
      <c r="T10" s="44"/>
    </row>
    <row r="11" spans="1:20" s="11" customFormat="1" x14ac:dyDescent="0.25">
      <c r="A11" s="51" t="s">
        <v>520</v>
      </c>
      <c r="B11" s="52">
        <v>73.06</v>
      </c>
      <c r="C11" s="52">
        <v>146.5</v>
      </c>
      <c r="D11" s="52">
        <v>139.44</v>
      </c>
      <c r="E11" s="52">
        <v>7.01</v>
      </c>
      <c r="F11" s="52">
        <v>0.87</v>
      </c>
      <c r="G11" s="52">
        <v>123.45</v>
      </c>
      <c r="H11" s="52">
        <v>44.5</v>
      </c>
      <c r="I11" s="52">
        <v>0.94</v>
      </c>
      <c r="J11" s="52">
        <v>0.98</v>
      </c>
      <c r="K11" s="52">
        <v>226.89</v>
      </c>
      <c r="L11" s="52">
        <v>16.75</v>
      </c>
      <c r="M11" s="52">
        <v>72.44</v>
      </c>
      <c r="N11" s="52">
        <v>4.5999999999999996</v>
      </c>
      <c r="O11" s="52">
        <v>0</v>
      </c>
      <c r="P11" s="52">
        <v>2.0299999999999998</v>
      </c>
      <c r="Q11" s="52">
        <v>283.63</v>
      </c>
      <c r="R11" s="44"/>
      <c r="S11" s="44"/>
      <c r="T11" s="44"/>
    </row>
    <row r="12" spans="1:20" s="11" customFormat="1" x14ac:dyDescent="0.25">
      <c r="A12" s="51" t="s">
        <v>521</v>
      </c>
      <c r="B12" s="52">
        <v>57.95</v>
      </c>
      <c r="C12" s="52">
        <v>130.56</v>
      </c>
      <c r="D12" s="52">
        <v>118.52</v>
      </c>
      <c r="E12" s="52">
        <v>8.1300000000000008</v>
      </c>
      <c r="F12" s="52">
        <v>0.86</v>
      </c>
      <c r="G12" s="52">
        <v>141.63</v>
      </c>
      <c r="H12" s="52">
        <v>45.68</v>
      </c>
      <c r="I12" s="52">
        <v>0.79</v>
      </c>
      <c r="J12" s="52">
        <v>0.33</v>
      </c>
      <c r="K12" s="52">
        <v>226.29</v>
      </c>
      <c r="L12" s="52">
        <v>16.72</v>
      </c>
      <c r="M12" s="52">
        <v>71.489999999999995</v>
      </c>
      <c r="N12" s="52">
        <v>4.7</v>
      </c>
      <c r="O12" s="52">
        <v>0</v>
      </c>
      <c r="P12" s="52">
        <v>1.77</v>
      </c>
      <c r="Q12" s="52">
        <v>257.66000000000003</v>
      </c>
      <c r="R12" s="44"/>
      <c r="S12" s="44"/>
      <c r="T12" s="44"/>
    </row>
    <row r="13" spans="1:20" s="11" customFormat="1" x14ac:dyDescent="0.25">
      <c r="A13" s="51" t="s">
        <v>522</v>
      </c>
      <c r="B13" s="52">
        <v>47.04</v>
      </c>
      <c r="C13" s="52">
        <v>121.09</v>
      </c>
      <c r="D13" s="52">
        <v>104.55</v>
      </c>
      <c r="E13" s="52">
        <v>7.95</v>
      </c>
      <c r="F13" s="52">
        <v>0.67</v>
      </c>
      <c r="G13" s="52">
        <v>189.25</v>
      </c>
      <c r="H13" s="52">
        <v>49.34</v>
      </c>
      <c r="I13" s="52">
        <v>0.71</v>
      </c>
      <c r="J13" s="52">
        <v>0.3</v>
      </c>
      <c r="K13" s="52">
        <v>226.16</v>
      </c>
      <c r="L13" s="52">
        <v>16.23</v>
      </c>
      <c r="M13" s="52">
        <v>76.08</v>
      </c>
      <c r="N13" s="52">
        <v>4.9000000000000004</v>
      </c>
      <c r="O13" s="52">
        <v>0</v>
      </c>
      <c r="P13" s="52">
        <v>1.79</v>
      </c>
      <c r="Q13" s="52">
        <v>245.61</v>
      </c>
      <c r="R13" s="44"/>
      <c r="S13" s="44"/>
      <c r="T13" s="44"/>
    </row>
    <row r="14" spans="1:20" s="11" customFormat="1" x14ac:dyDescent="0.25">
      <c r="A14" s="51" t="s">
        <v>523</v>
      </c>
      <c r="B14" s="52">
        <v>37.979999999999997</v>
      </c>
      <c r="C14" s="52">
        <v>111.37</v>
      </c>
      <c r="D14" s="52">
        <v>91.92</v>
      </c>
      <c r="E14" s="52">
        <v>7.1</v>
      </c>
      <c r="F14" s="52">
        <v>1.07</v>
      </c>
      <c r="G14" s="52">
        <v>174.07</v>
      </c>
      <c r="H14" s="52">
        <v>48.98</v>
      </c>
      <c r="I14" s="52">
        <v>0.66</v>
      </c>
      <c r="J14" s="52">
        <v>0.85</v>
      </c>
      <c r="K14" s="52">
        <v>226.68</v>
      </c>
      <c r="L14" s="52">
        <v>16.32</v>
      </c>
      <c r="M14" s="52">
        <v>69.349999999999994</v>
      </c>
      <c r="N14" s="52">
        <v>5.4</v>
      </c>
      <c r="O14" s="52">
        <v>0</v>
      </c>
      <c r="P14" s="52">
        <v>1.76</v>
      </c>
      <c r="Q14" s="52">
        <v>235.29</v>
      </c>
      <c r="R14" s="44"/>
      <c r="S14" s="44"/>
      <c r="T14" s="44"/>
    </row>
    <row r="15" spans="1:20" s="11" customFormat="1" x14ac:dyDescent="0.25">
      <c r="A15" s="51" t="s">
        <v>524</v>
      </c>
      <c r="B15" s="52">
        <v>31.47</v>
      </c>
      <c r="C15" s="52">
        <v>110.07</v>
      </c>
      <c r="D15" s="52">
        <v>85.98</v>
      </c>
      <c r="E15" s="52">
        <v>8.6199999999999992</v>
      </c>
      <c r="F15" s="52">
        <v>0.86</v>
      </c>
      <c r="G15" s="52">
        <v>99.14</v>
      </c>
      <c r="H15" s="52">
        <v>48.24</v>
      </c>
      <c r="I15" s="52">
        <v>0.57999999999999996</v>
      </c>
      <c r="J15" s="52">
        <v>1.1200000000000001</v>
      </c>
      <c r="K15" s="52">
        <v>226.9</v>
      </c>
      <c r="L15" s="52">
        <v>16.55</v>
      </c>
      <c r="M15" s="52">
        <v>73.819999999999993</v>
      </c>
      <c r="N15" s="52">
        <v>60.7</v>
      </c>
      <c r="O15" s="52">
        <v>0</v>
      </c>
      <c r="P15" s="52">
        <v>1.53</v>
      </c>
      <c r="Q15" s="52">
        <v>214.42</v>
      </c>
      <c r="R15" s="44"/>
      <c r="S15" s="44"/>
      <c r="T15" s="44"/>
    </row>
    <row r="16" spans="1:20" s="11" customFormat="1" x14ac:dyDescent="0.25">
      <c r="A16" s="51" t="s">
        <v>525</v>
      </c>
      <c r="B16" s="52">
        <v>35.07</v>
      </c>
      <c r="C16" s="52">
        <v>119.19</v>
      </c>
      <c r="D16" s="52">
        <v>93.91</v>
      </c>
      <c r="E16" s="52">
        <v>10.47</v>
      </c>
      <c r="F16" s="52">
        <v>0.79</v>
      </c>
      <c r="G16" s="52">
        <v>175.25</v>
      </c>
      <c r="H16" s="52">
        <v>51.71</v>
      </c>
      <c r="I16" s="52">
        <v>0.52</v>
      </c>
      <c r="J16" s="52">
        <v>1.1599999999999999</v>
      </c>
      <c r="K16" s="52">
        <v>228.64</v>
      </c>
      <c r="L16" s="52">
        <v>21.58</v>
      </c>
      <c r="M16" s="52">
        <v>69.62</v>
      </c>
      <c r="N16" s="52">
        <v>258.3</v>
      </c>
      <c r="O16" s="52">
        <v>0</v>
      </c>
      <c r="P16" s="52">
        <v>1.56</v>
      </c>
      <c r="Q16" s="52">
        <v>214.25</v>
      </c>
      <c r="R16" s="44"/>
      <c r="S16" s="44"/>
      <c r="T16" s="44"/>
    </row>
    <row r="17" spans="1:20" s="11" customFormat="1" x14ac:dyDescent="0.25">
      <c r="A17" s="51" t="s">
        <v>526</v>
      </c>
      <c r="B17" s="52">
        <v>34.840000000000003</v>
      </c>
      <c r="C17" s="52">
        <v>119.51</v>
      </c>
      <c r="D17" s="52">
        <v>93.74</v>
      </c>
      <c r="E17" s="52">
        <v>10.38</v>
      </c>
      <c r="F17" s="52">
        <v>0.9</v>
      </c>
      <c r="G17" s="52">
        <v>153.9</v>
      </c>
      <c r="H17" s="52">
        <v>52.11</v>
      </c>
      <c r="I17" s="52">
        <v>0.5</v>
      </c>
      <c r="J17" s="52">
        <v>1.49</v>
      </c>
      <c r="K17" s="52">
        <v>230.11</v>
      </c>
      <c r="L17" s="52">
        <v>22.62</v>
      </c>
      <c r="M17" s="52">
        <v>54.02</v>
      </c>
      <c r="N17" s="52">
        <v>424.6</v>
      </c>
      <c r="O17" s="52">
        <v>0</v>
      </c>
      <c r="P17" s="52">
        <v>1.55</v>
      </c>
      <c r="Q17" s="52">
        <v>220.47</v>
      </c>
      <c r="R17" s="44"/>
      <c r="S17" s="44"/>
      <c r="T17" s="44"/>
    </row>
    <row r="18" spans="1:20" s="11" customFormat="1" x14ac:dyDescent="0.25">
      <c r="A18" s="51" t="s">
        <v>527</v>
      </c>
      <c r="B18" s="52">
        <v>37.200000000000003</v>
      </c>
      <c r="C18" s="52">
        <v>124.1</v>
      </c>
      <c r="D18" s="52">
        <v>98.32</v>
      </c>
      <c r="E18" s="52">
        <v>7.94</v>
      </c>
      <c r="F18" s="52">
        <v>1.06</v>
      </c>
      <c r="G18" s="52">
        <v>126.88</v>
      </c>
      <c r="H18" s="52">
        <v>42.75</v>
      </c>
      <c r="I18" s="52">
        <v>0.5</v>
      </c>
      <c r="J18" s="52">
        <v>1.1399999999999999</v>
      </c>
      <c r="K18" s="52">
        <v>231.13</v>
      </c>
      <c r="L18" s="52">
        <v>24.04</v>
      </c>
      <c r="M18" s="52">
        <v>52.2</v>
      </c>
      <c r="N18" s="52">
        <v>483.5</v>
      </c>
      <c r="O18" s="52">
        <v>0</v>
      </c>
      <c r="P18" s="52">
        <v>1.44</v>
      </c>
      <c r="Q18" s="52">
        <v>222.55</v>
      </c>
      <c r="R18" s="44"/>
      <c r="S18" s="44"/>
      <c r="T18" s="44"/>
    </row>
    <row r="19" spans="1:20" s="11" customFormat="1" x14ac:dyDescent="0.25">
      <c r="A19" s="51" t="s">
        <v>528</v>
      </c>
      <c r="B19" s="52">
        <v>32.270000000000003</v>
      </c>
      <c r="C19" s="52">
        <v>116.34</v>
      </c>
      <c r="D19" s="52">
        <v>90.08</v>
      </c>
      <c r="E19" s="52">
        <v>8.1199999999999992</v>
      </c>
      <c r="F19" s="52">
        <v>1.24</v>
      </c>
      <c r="G19" s="52">
        <v>100.97</v>
      </c>
      <c r="H19" s="52">
        <v>39.880000000000003</v>
      </c>
      <c r="I19" s="52">
        <v>0.48</v>
      </c>
      <c r="J19" s="52">
        <v>1.1499999999999999</v>
      </c>
      <c r="K19" s="52">
        <v>232.05</v>
      </c>
      <c r="L19" s="52">
        <v>25.4</v>
      </c>
      <c r="M19" s="52">
        <v>50.18</v>
      </c>
      <c r="N19" s="52">
        <v>565.1</v>
      </c>
      <c r="O19" s="52">
        <v>0</v>
      </c>
      <c r="P19" s="52">
        <v>1.28</v>
      </c>
      <c r="Q19" s="52">
        <v>217.43</v>
      </c>
      <c r="R19" s="44"/>
      <c r="S19" s="44"/>
      <c r="T19" s="44"/>
    </row>
    <row r="20" spans="1:20" s="11" customFormat="1" x14ac:dyDescent="0.25">
      <c r="A20" s="51" t="s">
        <v>529</v>
      </c>
      <c r="B20" s="52">
        <v>21.74</v>
      </c>
      <c r="C20" s="52">
        <v>105.36</v>
      </c>
      <c r="D20" s="52">
        <v>75.569999999999993</v>
      </c>
      <c r="E20" s="52">
        <v>8.0500000000000007</v>
      </c>
      <c r="F20" s="52">
        <v>2.04</v>
      </c>
      <c r="G20" s="52">
        <v>83.18</v>
      </c>
      <c r="H20" s="52">
        <v>35.81</v>
      </c>
      <c r="I20" s="52">
        <v>0.46</v>
      </c>
      <c r="J20" s="52">
        <v>1.58</v>
      </c>
      <c r="K20" s="52">
        <v>232.05</v>
      </c>
      <c r="L20" s="52">
        <v>26.57</v>
      </c>
      <c r="M20" s="52">
        <v>42.14</v>
      </c>
      <c r="N20" s="52">
        <v>582.5</v>
      </c>
      <c r="O20" s="52">
        <v>0</v>
      </c>
      <c r="P20" s="52">
        <v>1.1100000000000001</v>
      </c>
      <c r="Q20" s="52">
        <v>216.13</v>
      </c>
      <c r="R20" s="44"/>
      <c r="S20" s="44"/>
      <c r="T20" s="44"/>
    </row>
    <row r="21" spans="1:20" s="11" customFormat="1" x14ac:dyDescent="0.25">
      <c r="A21" s="51" t="s">
        <v>530</v>
      </c>
      <c r="B21" s="52">
        <v>12.14</v>
      </c>
      <c r="C21" s="52">
        <v>94.39</v>
      </c>
      <c r="D21" s="52">
        <v>61.83</v>
      </c>
      <c r="E21" s="52">
        <v>7.35</v>
      </c>
      <c r="F21" s="52">
        <v>1.89</v>
      </c>
      <c r="G21" s="52">
        <v>64.430000000000007</v>
      </c>
      <c r="H21" s="52">
        <v>33.049999999999997</v>
      </c>
      <c r="I21" s="52">
        <v>0.45</v>
      </c>
      <c r="J21" s="52">
        <v>0.98</v>
      </c>
      <c r="K21" s="52">
        <v>232.45</v>
      </c>
      <c r="L21" s="52">
        <v>29.79</v>
      </c>
      <c r="M21" s="52">
        <v>38.53</v>
      </c>
      <c r="N21" s="52">
        <v>570.4</v>
      </c>
      <c r="O21" s="52">
        <v>0</v>
      </c>
      <c r="P21" s="52">
        <v>0.95</v>
      </c>
      <c r="Q21" s="52">
        <v>213.17</v>
      </c>
      <c r="R21" s="44"/>
      <c r="S21" s="44"/>
      <c r="T21" s="44"/>
    </row>
    <row r="22" spans="1:20" s="11" customFormat="1" x14ac:dyDescent="0.25">
      <c r="A22" s="51" t="s">
        <v>531</v>
      </c>
      <c r="B22" s="52">
        <v>6.22</v>
      </c>
      <c r="C22" s="52">
        <v>92.04</v>
      </c>
      <c r="D22" s="52">
        <v>55.78</v>
      </c>
      <c r="E22" s="52">
        <v>6.88</v>
      </c>
      <c r="F22" s="52">
        <v>3.18</v>
      </c>
      <c r="G22" s="52">
        <v>62.69</v>
      </c>
      <c r="H22" s="52">
        <v>33</v>
      </c>
      <c r="I22" s="52">
        <v>0.42</v>
      </c>
      <c r="J22" s="52">
        <v>0.95</v>
      </c>
      <c r="K22" s="52">
        <v>233.31</v>
      </c>
      <c r="L22" s="52">
        <v>30.23</v>
      </c>
      <c r="M22" s="52">
        <v>36.090000000000003</v>
      </c>
      <c r="N22" s="52">
        <v>542.29999999999995</v>
      </c>
      <c r="O22" s="52">
        <v>0</v>
      </c>
      <c r="P22" s="52">
        <v>0.94</v>
      </c>
      <c r="Q22" s="52">
        <v>206.76</v>
      </c>
      <c r="R22" s="44"/>
      <c r="S22" s="44"/>
      <c r="T22" s="44"/>
    </row>
    <row r="23" spans="1:20" s="11" customFormat="1" x14ac:dyDescent="0.25">
      <c r="A23" s="51" t="s">
        <v>532</v>
      </c>
      <c r="B23" s="52">
        <v>5.07</v>
      </c>
      <c r="C23" s="52">
        <v>90.55</v>
      </c>
      <c r="D23" s="52">
        <v>53.61</v>
      </c>
      <c r="E23" s="52">
        <v>8.4600000000000009</v>
      </c>
      <c r="F23" s="52">
        <v>5.0599999999999996</v>
      </c>
      <c r="G23" s="52">
        <v>82.08</v>
      </c>
      <c r="H23" s="52">
        <v>32.549999999999997</v>
      </c>
      <c r="I23" s="52">
        <v>0.4</v>
      </c>
      <c r="J23" s="52">
        <v>1.1200000000000001</v>
      </c>
      <c r="K23" s="52">
        <v>233.28</v>
      </c>
      <c r="L23" s="52">
        <v>30.28</v>
      </c>
      <c r="M23" s="52">
        <v>33.520000000000003</v>
      </c>
      <c r="N23" s="52">
        <v>445.8</v>
      </c>
      <c r="O23" s="52">
        <v>0</v>
      </c>
      <c r="P23" s="52">
        <v>0.91</v>
      </c>
      <c r="Q23" s="52">
        <v>208.89</v>
      </c>
      <c r="R23" s="44"/>
      <c r="S23" s="44"/>
      <c r="T23" s="44"/>
    </row>
    <row r="24" spans="1:20" s="11" customFormat="1" x14ac:dyDescent="0.25">
      <c r="A24" s="51" t="s">
        <v>533</v>
      </c>
      <c r="B24" s="52">
        <v>6.38</v>
      </c>
      <c r="C24" s="52">
        <v>84.35</v>
      </c>
      <c r="D24" s="52">
        <v>51.66</v>
      </c>
      <c r="E24" s="52">
        <v>14.97</v>
      </c>
      <c r="F24" s="52">
        <v>5.66</v>
      </c>
      <c r="G24" s="52">
        <v>60.8</v>
      </c>
      <c r="H24" s="52">
        <v>28.39</v>
      </c>
      <c r="I24" s="52">
        <v>0.42</v>
      </c>
      <c r="J24" s="52">
        <v>0.81</v>
      </c>
      <c r="K24" s="52">
        <v>230.7</v>
      </c>
      <c r="L24" s="52">
        <v>26.82</v>
      </c>
      <c r="M24" s="52">
        <v>37.630000000000003</v>
      </c>
      <c r="N24" s="52">
        <v>118</v>
      </c>
      <c r="O24" s="52">
        <v>0</v>
      </c>
      <c r="P24" s="52">
        <v>0.88</v>
      </c>
      <c r="Q24" s="52">
        <v>225.81</v>
      </c>
      <c r="R24" s="44"/>
      <c r="S24" s="44"/>
      <c r="T24" s="44"/>
    </row>
    <row r="25" spans="1:20" s="11" customFormat="1" x14ac:dyDescent="0.25">
      <c r="A25" s="51" t="s">
        <v>534</v>
      </c>
      <c r="B25" s="52">
        <v>6.77</v>
      </c>
      <c r="C25" s="52">
        <v>91.95</v>
      </c>
      <c r="D25" s="52">
        <v>55.44</v>
      </c>
      <c r="E25" s="52">
        <v>9.65</v>
      </c>
      <c r="F25" s="52">
        <v>3.48</v>
      </c>
      <c r="G25" s="52">
        <v>80.760000000000005</v>
      </c>
      <c r="H25" s="52">
        <v>29</v>
      </c>
      <c r="I25" s="52">
        <v>0.41</v>
      </c>
      <c r="J25" s="52">
        <v>1.24</v>
      </c>
      <c r="K25" s="52">
        <v>230.36</v>
      </c>
      <c r="L25" s="52">
        <v>26.13</v>
      </c>
      <c r="M25" s="52">
        <v>55.59</v>
      </c>
      <c r="N25" s="52">
        <v>51.8</v>
      </c>
      <c r="O25" s="52">
        <v>0</v>
      </c>
      <c r="P25" s="52">
        <v>0.95</v>
      </c>
      <c r="Q25" s="52">
        <v>225.89</v>
      </c>
      <c r="R25" s="44"/>
      <c r="S25" s="44"/>
      <c r="T25" s="44"/>
    </row>
    <row r="26" spans="1:20" s="11" customFormat="1" x14ac:dyDescent="0.25">
      <c r="A26" s="51" t="s">
        <v>535</v>
      </c>
      <c r="B26" s="52">
        <v>9.77</v>
      </c>
      <c r="C26" s="52">
        <v>111.78</v>
      </c>
      <c r="D26" s="52">
        <v>69.010000000000005</v>
      </c>
      <c r="E26" s="52">
        <v>7.98</v>
      </c>
      <c r="F26" s="52">
        <v>4.62</v>
      </c>
      <c r="G26" s="52">
        <v>102.98</v>
      </c>
      <c r="H26" s="52">
        <v>31.1</v>
      </c>
      <c r="I26" s="52">
        <v>0.43</v>
      </c>
      <c r="J26" s="52">
        <v>1.1100000000000001</v>
      </c>
      <c r="K26" s="52">
        <v>229.7</v>
      </c>
      <c r="L26" s="52">
        <v>23.9</v>
      </c>
      <c r="M26" s="52">
        <v>56.3</v>
      </c>
      <c r="N26" s="52">
        <v>10.1</v>
      </c>
      <c r="O26" s="52">
        <v>0</v>
      </c>
      <c r="P26" s="52">
        <v>1.19</v>
      </c>
      <c r="Q26" s="52">
        <v>221.76</v>
      </c>
      <c r="R26" s="44"/>
      <c r="S26" s="44"/>
      <c r="T26" s="44"/>
    </row>
    <row r="27" spans="1:20" s="11" customFormat="1" x14ac:dyDescent="0.25">
      <c r="A27" s="51" t="s">
        <v>536</v>
      </c>
      <c r="B27" s="52">
        <v>10.130000000000001</v>
      </c>
      <c r="C27" s="52">
        <v>118.52</v>
      </c>
      <c r="D27" s="52">
        <v>73.19</v>
      </c>
      <c r="E27" s="52">
        <v>8.2100000000000009</v>
      </c>
      <c r="F27" s="52">
        <v>4.0199999999999996</v>
      </c>
      <c r="G27" s="52">
        <v>128.16999999999999</v>
      </c>
      <c r="H27" s="52">
        <v>33.630000000000003</v>
      </c>
      <c r="I27" s="52">
        <v>0.49</v>
      </c>
      <c r="J27" s="52">
        <v>0.88</v>
      </c>
      <c r="K27" s="52">
        <v>229.27</v>
      </c>
      <c r="L27" s="52">
        <v>23.03</v>
      </c>
      <c r="M27" s="52">
        <v>52.38</v>
      </c>
      <c r="N27" s="52">
        <v>4.9000000000000004</v>
      </c>
      <c r="O27" s="52">
        <v>0</v>
      </c>
      <c r="P27" s="52">
        <v>1.42</v>
      </c>
      <c r="Q27" s="52">
        <v>229.47</v>
      </c>
      <c r="R27" s="44"/>
      <c r="S27" s="44"/>
      <c r="T27" s="44"/>
    </row>
    <row r="28" spans="1:20" s="11" customFormat="1" x14ac:dyDescent="0.25">
      <c r="A28" s="51" t="s">
        <v>537</v>
      </c>
      <c r="B28" s="52">
        <v>10.28</v>
      </c>
      <c r="C28" s="52">
        <v>121.97</v>
      </c>
      <c r="D28" s="52">
        <v>75.47</v>
      </c>
      <c r="E28" s="52">
        <v>8.31</v>
      </c>
      <c r="F28" s="52">
        <v>2.46</v>
      </c>
      <c r="G28" s="52">
        <v>146.9</v>
      </c>
      <c r="H28" s="52">
        <v>43.26</v>
      </c>
      <c r="I28" s="52">
        <v>0.56000000000000005</v>
      </c>
      <c r="J28" s="52">
        <v>1.46</v>
      </c>
      <c r="K28" s="52">
        <v>228.85</v>
      </c>
      <c r="L28" s="52">
        <v>21.99</v>
      </c>
      <c r="M28" s="52">
        <v>52.57</v>
      </c>
      <c r="N28" s="52">
        <v>4.7</v>
      </c>
      <c r="O28" s="52">
        <v>0</v>
      </c>
      <c r="P28" s="52">
        <v>1.56</v>
      </c>
      <c r="Q28" s="52">
        <v>237.45</v>
      </c>
      <c r="R28" s="44"/>
      <c r="S28" s="44"/>
      <c r="T28" s="44"/>
    </row>
    <row r="29" spans="1:20" s="11" customFormat="1" x14ac:dyDescent="0.25">
      <c r="A29" s="51" t="s">
        <v>538</v>
      </c>
      <c r="B29" s="52">
        <v>13.48</v>
      </c>
      <c r="C29" s="52">
        <v>121.89</v>
      </c>
      <c r="D29" s="52">
        <v>78.08</v>
      </c>
      <c r="E29" s="52">
        <v>8.1999999999999993</v>
      </c>
      <c r="F29" s="52">
        <v>1.73</v>
      </c>
      <c r="G29" s="52">
        <v>150.76</v>
      </c>
      <c r="H29" s="52">
        <v>45.62</v>
      </c>
      <c r="I29" s="52">
        <v>0.56999999999999995</v>
      </c>
      <c r="J29" s="52">
        <v>0.79</v>
      </c>
      <c r="K29" s="52">
        <v>228.6</v>
      </c>
      <c r="L29" s="52">
        <v>21.32</v>
      </c>
      <c r="M29" s="52">
        <v>54.28</v>
      </c>
      <c r="N29" s="52">
        <v>5.0999999999999996</v>
      </c>
      <c r="O29" s="52">
        <v>0</v>
      </c>
      <c r="P29" s="52">
        <v>1.79</v>
      </c>
      <c r="Q29" s="52">
        <v>224.83</v>
      </c>
      <c r="R29" s="44"/>
      <c r="S29" s="44"/>
      <c r="T29" s="44"/>
    </row>
    <row r="30" spans="1:20" s="11" customFormat="1" x14ac:dyDescent="0.25">
      <c r="A30" s="51" t="s">
        <v>539</v>
      </c>
      <c r="B30" s="52">
        <v>16.309999999999999</v>
      </c>
      <c r="C30" s="52">
        <v>121.64</v>
      </c>
      <c r="D30" s="52">
        <v>80.13</v>
      </c>
      <c r="E30" s="52">
        <v>8.52</v>
      </c>
      <c r="F30" s="52">
        <v>1.2</v>
      </c>
      <c r="G30" s="52">
        <v>196.58</v>
      </c>
      <c r="H30" s="52">
        <v>53.89</v>
      </c>
      <c r="I30" s="52">
        <v>0.61</v>
      </c>
      <c r="J30" s="52">
        <v>0.4</v>
      </c>
      <c r="K30" s="52">
        <v>227.66</v>
      </c>
      <c r="L30" s="52">
        <v>20.39</v>
      </c>
      <c r="M30" s="52">
        <v>57.86</v>
      </c>
      <c r="N30" s="52">
        <v>4.9000000000000004</v>
      </c>
      <c r="O30" s="52">
        <v>0</v>
      </c>
      <c r="P30" s="52">
        <v>1.98</v>
      </c>
      <c r="Q30" s="52">
        <v>236.01</v>
      </c>
      <c r="R30" s="44"/>
      <c r="S30" s="44"/>
      <c r="T30" s="44"/>
    </row>
    <row r="31" spans="1:20" s="11" customFormat="1" x14ac:dyDescent="0.25">
      <c r="A31" s="51" t="s">
        <v>540</v>
      </c>
      <c r="B31" s="52">
        <v>18.45</v>
      </c>
      <c r="C31" s="52">
        <v>120.92</v>
      </c>
      <c r="D31" s="52">
        <v>80.77</v>
      </c>
      <c r="E31" s="52">
        <v>7.9</v>
      </c>
      <c r="F31" s="52">
        <v>1.1499999999999999</v>
      </c>
      <c r="G31" s="52">
        <v>194</v>
      </c>
      <c r="H31" s="52">
        <v>55.53</v>
      </c>
      <c r="I31" s="52">
        <v>0.68</v>
      </c>
      <c r="J31" s="52">
        <v>0.5</v>
      </c>
      <c r="K31" s="52">
        <v>227.67</v>
      </c>
      <c r="L31" s="52">
        <v>19.829999999999998</v>
      </c>
      <c r="M31" s="52">
        <v>59.43</v>
      </c>
      <c r="N31" s="52">
        <v>4.8</v>
      </c>
      <c r="O31" s="52">
        <v>0</v>
      </c>
      <c r="P31" s="52">
        <v>2.02</v>
      </c>
      <c r="Q31" s="52">
        <v>245.32</v>
      </c>
      <c r="R31" s="44"/>
      <c r="S31" s="44"/>
      <c r="T31" s="44"/>
    </row>
    <row r="32" spans="1:20" s="11" customFormat="1" x14ac:dyDescent="0.25">
      <c r="A32" s="51" t="s">
        <v>541</v>
      </c>
      <c r="B32" s="52">
        <v>19.79</v>
      </c>
      <c r="C32" s="52">
        <v>118.58</v>
      </c>
      <c r="D32" s="52">
        <v>81.09</v>
      </c>
      <c r="E32" s="52">
        <v>7.13</v>
      </c>
      <c r="F32" s="52">
        <v>1.32</v>
      </c>
      <c r="G32" s="52">
        <v>168.68</v>
      </c>
      <c r="H32" s="52">
        <v>53.88</v>
      </c>
      <c r="I32" s="52">
        <v>0.7</v>
      </c>
      <c r="J32" s="52">
        <v>0.8</v>
      </c>
      <c r="K32" s="52">
        <v>227.62</v>
      </c>
      <c r="L32" s="52">
        <v>19.2</v>
      </c>
      <c r="M32" s="52">
        <v>58.69</v>
      </c>
      <c r="N32" s="52">
        <v>4.3</v>
      </c>
      <c r="O32" s="52">
        <v>0</v>
      </c>
      <c r="P32" s="52">
        <v>1.99</v>
      </c>
      <c r="Q32" s="52">
        <v>245.72</v>
      </c>
      <c r="R32" s="44"/>
      <c r="S32" s="44"/>
      <c r="T32" s="44"/>
    </row>
    <row r="33" spans="1:20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</row>
    <row r="34" spans="1:20" s="21" customFormat="1" x14ac:dyDescent="0.25">
      <c r="A34" s="27" t="s">
        <v>30</v>
      </c>
      <c r="B34" s="28">
        <f t="shared" ref="B34:Q34" si="0">MIN(B9:B32)</f>
        <v>5.07</v>
      </c>
      <c r="C34" s="28">
        <f t="shared" si="0"/>
        <v>84.35</v>
      </c>
      <c r="D34" s="28">
        <f t="shared" si="0"/>
        <v>51.66</v>
      </c>
      <c r="E34" s="28">
        <f t="shared" si="0"/>
        <v>6.88</v>
      </c>
      <c r="F34" s="28">
        <f t="shared" si="0"/>
        <v>0.67</v>
      </c>
      <c r="G34" s="28">
        <f t="shared" si="0"/>
        <v>60.8</v>
      </c>
      <c r="H34" s="28">
        <f t="shared" si="0"/>
        <v>28.39</v>
      </c>
      <c r="I34" s="28">
        <f t="shared" si="0"/>
        <v>0.4</v>
      </c>
      <c r="J34" s="28">
        <f t="shared" si="0"/>
        <v>0.27</v>
      </c>
      <c r="K34" s="28">
        <f t="shared" si="0"/>
        <v>226.16</v>
      </c>
      <c r="L34" s="28">
        <f t="shared" si="0"/>
        <v>16.23</v>
      </c>
      <c r="M34" s="28">
        <f t="shared" si="0"/>
        <v>33.520000000000003</v>
      </c>
      <c r="N34" s="28">
        <f t="shared" si="0"/>
        <v>4.3</v>
      </c>
      <c r="O34" s="28">
        <f t="shared" si="0"/>
        <v>0</v>
      </c>
      <c r="P34" s="28">
        <f t="shared" si="0"/>
        <v>0.88</v>
      </c>
      <c r="Q34" s="28">
        <f t="shared" si="0"/>
        <v>206.76</v>
      </c>
      <c r="R34" s="28"/>
      <c r="S34" s="28"/>
      <c r="T34" s="28"/>
    </row>
    <row r="35" spans="1:20" s="21" customFormat="1" x14ac:dyDescent="0.25">
      <c r="A35" s="27" t="s">
        <v>31</v>
      </c>
      <c r="B35" s="29">
        <f t="shared" ref="B35:Q35" si="1">MAX(B9:B32)</f>
        <v>124.17</v>
      </c>
      <c r="C35" s="29">
        <f t="shared" si="1"/>
        <v>204.86</v>
      </c>
      <c r="D35" s="29">
        <f t="shared" si="1"/>
        <v>212.63</v>
      </c>
      <c r="E35" s="29">
        <f t="shared" si="1"/>
        <v>14.97</v>
      </c>
      <c r="F35" s="29">
        <f t="shared" si="1"/>
        <v>5.66</v>
      </c>
      <c r="G35" s="29">
        <f t="shared" si="1"/>
        <v>196.58</v>
      </c>
      <c r="H35" s="29">
        <f t="shared" si="1"/>
        <v>55.53</v>
      </c>
      <c r="I35" s="29">
        <f t="shared" si="1"/>
        <v>1.28</v>
      </c>
      <c r="J35" s="29">
        <f t="shared" si="1"/>
        <v>1.58</v>
      </c>
      <c r="K35" s="29">
        <f t="shared" si="1"/>
        <v>233.31</v>
      </c>
      <c r="L35" s="29">
        <f t="shared" si="1"/>
        <v>30.28</v>
      </c>
      <c r="M35" s="29">
        <f t="shared" si="1"/>
        <v>77.12</v>
      </c>
      <c r="N35" s="29">
        <f t="shared" si="1"/>
        <v>582.5</v>
      </c>
      <c r="O35" s="29">
        <f t="shared" si="1"/>
        <v>0</v>
      </c>
      <c r="P35" s="29">
        <f t="shared" si="1"/>
        <v>3.04</v>
      </c>
      <c r="Q35" s="29">
        <f t="shared" si="1"/>
        <v>351.55</v>
      </c>
      <c r="R35" s="29"/>
      <c r="S35" s="29"/>
      <c r="T35" s="29"/>
    </row>
    <row r="36" spans="1:20" s="21" customFormat="1" x14ac:dyDescent="0.25">
      <c r="A36" s="27" t="s">
        <v>32</v>
      </c>
      <c r="B36" s="28">
        <f t="shared" ref="B36:Q36" si="2">AVERAGE(B9:B32)</f>
        <v>31.719166666666666</v>
      </c>
      <c r="C36" s="28">
        <f t="shared" si="2"/>
        <v>119.49416666666663</v>
      </c>
      <c r="D36" s="28">
        <f t="shared" si="2"/>
        <v>91.243749999999991</v>
      </c>
      <c r="E36" s="28">
        <f t="shared" si="2"/>
        <v>8.4749999999999996</v>
      </c>
      <c r="F36" s="28">
        <f t="shared" si="2"/>
        <v>1.9949999999999999</v>
      </c>
      <c r="G36" s="28">
        <f t="shared" si="2"/>
        <v>128.81166666666667</v>
      </c>
      <c r="H36" s="28">
        <f t="shared" si="2"/>
        <v>43.044583333333328</v>
      </c>
      <c r="I36" s="28">
        <f t="shared" si="2"/>
        <v>0.61083333333333334</v>
      </c>
      <c r="J36" s="28">
        <f t="shared" si="2"/>
        <v>0.90416666666666667</v>
      </c>
      <c r="K36" s="28">
        <f t="shared" si="2"/>
        <v>229.16541666666674</v>
      </c>
      <c r="L36" s="28">
        <f t="shared" si="2"/>
        <v>22.112500000000001</v>
      </c>
      <c r="M36" s="28">
        <f t="shared" si="2"/>
        <v>57.246249999999996</v>
      </c>
      <c r="N36" s="28">
        <f t="shared" si="2"/>
        <v>173.80416666666667</v>
      </c>
      <c r="O36" s="28">
        <f t="shared" si="2"/>
        <v>0</v>
      </c>
      <c r="P36" s="28">
        <f t="shared" si="2"/>
        <v>1.5737500000000002</v>
      </c>
      <c r="Q36" s="28">
        <f t="shared" si="2"/>
        <v>237.85124999999996</v>
      </c>
      <c r="R36" s="28"/>
      <c r="S36" s="28"/>
      <c r="T36" s="28"/>
    </row>
    <row r="37" spans="1:20" s="21" customFormat="1" x14ac:dyDescent="0.25">
      <c r="A37" s="27" t="s">
        <v>38</v>
      </c>
      <c r="B37" s="28">
        <f>STDEV(B9:B32)</f>
        <v>29.863857742685585</v>
      </c>
      <c r="C37" s="28">
        <f t="shared" ref="C37:Q37" si="3">STDEV(C9:C32)</f>
        <v>25.881904021866482</v>
      </c>
      <c r="D37" s="28">
        <f t="shared" si="3"/>
        <v>37.503640729064962</v>
      </c>
      <c r="E37" s="28">
        <f t="shared" si="3"/>
        <v>1.6552078550678291</v>
      </c>
      <c r="F37" s="28">
        <f t="shared" si="3"/>
        <v>1.5121852888538785</v>
      </c>
      <c r="G37" s="28">
        <f t="shared" si="3"/>
        <v>44.216344869552344</v>
      </c>
      <c r="H37" s="28">
        <f t="shared" si="3"/>
        <v>8.8576653019545581</v>
      </c>
      <c r="I37" s="28">
        <f t="shared" si="3"/>
        <v>0.22469141479829172</v>
      </c>
      <c r="J37" s="28">
        <f t="shared" si="3"/>
        <v>0.3889888415373628</v>
      </c>
      <c r="K37" s="28">
        <f t="shared" si="3"/>
        <v>2.3134784259932579</v>
      </c>
      <c r="L37" s="28">
        <f t="shared" si="3"/>
        <v>4.6010672202454677</v>
      </c>
      <c r="M37" s="28">
        <f t="shared" si="3"/>
        <v>13.380176710505284</v>
      </c>
      <c r="N37" s="28">
        <f t="shared" si="3"/>
        <v>233.43290159508672</v>
      </c>
      <c r="O37" s="28">
        <f t="shared" si="3"/>
        <v>0</v>
      </c>
      <c r="P37" s="28">
        <f t="shared" si="3"/>
        <v>0.5203996165155822</v>
      </c>
      <c r="Q37" s="28">
        <f t="shared" si="3"/>
        <v>33.820158294502846</v>
      </c>
      <c r="R37" s="28"/>
      <c r="S37" s="28"/>
      <c r="T37" s="28"/>
    </row>
    <row r="38" spans="1:20" s="21" customFormat="1" x14ac:dyDescent="0.25">
      <c r="A38" s="31" t="s">
        <v>33</v>
      </c>
      <c r="B38" s="32">
        <f>COUNT(B9:B32)</f>
        <v>24</v>
      </c>
      <c r="C38" s="32">
        <f t="shared" ref="C38:Q38" si="4">COUNT(C9:C32)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</row>
    <row r="39" spans="1:20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</row>
    <row r="40" spans="1:20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</row>
    <row r="41" spans="1:20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</row>
    <row r="42" spans="1:20" s="21" customFormat="1" x14ac:dyDescent="0.25">
      <c r="A42" s="13"/>
    </row>
    <row r="43" spans="1:20" s="21" customFormat="1" x14ac:dyDescent="0.25">
      <c r="A43" s="14" t="s">
        <v>35</v>
      </c>
      <c r="B43" s="40" t="s">
        <v>299</v>
      </c>
      <c r="C43" s="42"/>
    </row>
    <row r="44" spans="1:20" s="21" customFormat="1" x14ac:dyDescent="0.25">
      <c r="A44" s="13"/>
      <c r="D44" s="1"/>
      <c r="E44" s="1"/>
      <c r="F44" s="1"/>
      <c r="G44" s="1"/>
      <c r="H44" s="1"/>
      <c r="I44" s="1"/>
    </row>
    <row r="45" spans="1:20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</row>
    <row r="46" spans="1:20" s="21" customFormat="1" x14ac:dyDescent="0.25"/>
    <row r="47" spans="1:20" s="21" customFormat="1" x14ac:dyDescent="0.25"/>
    <row r="48" spans="1:20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dataConsolidate/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21-11-2022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542</v>
      </c>
      <c r="B9" s="52">
        <v>16.329999999999998</v>
      </c>
      <c r="C9" s="52">
        <v>113.64</v>
      </c>
      <c r="D9" s="52">
        <v>75.81</v>
      </c>
      <c r="E9" s="52">
        <v>7.41</v>
      </c>
      <c r="F9" s="52">
        <v>1.32</v>
      </c>
      <c r="G9" s="52">
        <v>121.2</v>
      </c>
      <c r="H9" s="52">
        <v>49.53</v>
      </c>
      <c r="I9" s="52">
        <v>0.66</v>
      </c>
      <c r="J9" s="52">
        <v>0.74</v>
      </c>
      <c r="K9" s="52">
        <v>227.59</v>
      </c>
      <c r="L9" s="52">
        <v>18.850000000000001</v>
      </c>
      <c r="M9" s="52">
        <v>65.790000000000006</v>
      </c>
      <c r="N9" s="52">
        <v>4.8</v>
      </c>
      <c r="O9" s="52">
        <v>0</v>
      </c>
      <c r="P9" s="52">
        <v>1.76</v>
      </c>
      <c r="Q9" s="52">
        <v>232.29</v>
      </c>
      <c r="R9" s="44"/>
      <c r="S9" s="44"/>
      <c r="T9" s="44"/>
      <c r="U9" s="44"/>
    </row>
    <row r="10" spans="1:21" s="11" customFormat="1" x14ac:dyDescent="0.25">
      <c r="A10" s="51" t="s">
        <v>543</v>
      </c>
      <c r="B10" s="52">
        <v>11.48</v>
      </c>
      <c r="C10" s="52">
        <v>105.69</v>
      </c>
      <c r="D10" s="52">
        <v>67.53</v>
      </c>
      <c r="E10" s="52">
        <v>7.99</v>
      </c>
      <c r="F10" s="52">
        <v>0.96</v>
      </c>
      <c r="G10" s="52">
        <v>126.54</v>
      </c>
      <c r="H10" s="52">
        <v>46.83</v>
      </c>
      <c r="I10" s="52">
        <v>0.6</v>
      </c>
      <c r="J10" s="52">
        <v>0.62</v>
      </c>
      <c r="K10" s="52">
        <v>227.35</v>
      </c>
      <c r="L10" s="52">
        <v>17.52</v>
      </c>
      <c r="M10" s="52">
        <v>75.17</v>
      </c>
      <c r="N10" s="52">
        <v>5</v>
      </c>
      <c r="O10" s="52">
        <v>0</v>
      </c>
      <c r="P10" s="52">
        <v>1.55</v>
      </c>
      <c r="Q10" s="52">
        <v>219.31</v>
      </c>
      <c r="R10" s="44"/>
      <c r="S10" s="44"/>
      <c r="T10" s="44"/>
      <c r="U10" s="44"/>
    </row>
    <row r="11" spans="1:21" s="11" customFormat="1" x14ac:dyDescent="0.25">
      <c r="A11" s="51" t="s">
        <v>544</v>
      </c>
      <c r="B11" s="52">
        <v>11.85</v>
      </c>
      <c r="C11" s="52">
        <v>97.15</v>
      </c>
      <c r="D11" s="52">
        <v>62.45</v>
      </c>
      <c r="E11" s="52">
        <v>7.9</v>
      </c>
      <c r="F11" s="52">
        <v>0.77</v>
      </c>
      <c r="G11" s="52">
        <v>148.63999999999999</v>
      </c>
      <c r="H11" s="52">
        <v>50.55</v>
      </c>
      <c r="I11" s="52">
        <v>0.57999999999999996</v>
      </c>
      <c r="J11" s="52">
        <v>0.45</v>
      </c>
      <c r="K11" s="52">
        <v>226.49</v>
      </c>
      <c r="L11" s="52">
        <v>16.71</v>
      </c>
      <c r="M11" s="52">
        <v>80.52</v>
      </c>
      <c r="N11" s="52">
        <v>5.0999999999999996</v>
      </c>
      <c r="O11" s="52">
        <v>0</v>
      </c>
      <c r="P11" s="52">
        <v>1.53</v>
      </c>
      <c r="Q11" s="52">
        <v>217.64</v>
      </c>
      <c r="R11" s="44"/>
      <c r="S11" s="44"/>
      <c r="T11" s="44"/>
      <c r="U11" s="44"/>
    </row>
    <row r="12" spans="1:21" s="11" customFormat="1" x14ac:dyDescent="0.25">
      <c r="A12" s="51" t="s">
        <v>545</v>
      </c>
      <c r="B12" s="52">
        <v>13.51</v>
      </c>
      <c r="C12" s="52">
        <v>89.16</v>
      </c>
      <c r="D12" s="52">
        <v>59.04</v>
      </c>
      <c r="E12" s="52">
        <v>6.05</v>
      </c>
      <c r="F12" s="52">
        <v>0.8</v>
      </c>
      <c r="G12" s="52">
        <v>154.18</v>
      </c>
      <c r="H12" s="52">
        <v>52.5</v>
      </c>
      <c r="I12" s="52">
        <v>0.54</v>
      </c>
      <c r="J12" s="52">
        <v>0.31</v>
      </c>
      <c r="K12" s="52">
        <v>226.06</v>
      </c>
      <c r="L12" s="52">
        <v>15.12</v>
      </c>
      <c r="M12" s="52">
        <v>84.61</v>
      </c>
      <c r="N12" s="52">
        <v>4.7</v>
      </c>
      <c r="O12" s="52">
        <v>0</v>
      </c>
      <c r="P12" s="52">
        <v>1.48</v>
      </c>
      <c r="Q12" s="52">
        <v>213.08</v>
      </c>
      <c r="R12" s="44"/>
      <c r="S12" s="44"/>
      <c r="T12" s="44"/>
      <c r="U12" s="44"/>
    </row>
    <row r="13" spans="1:21" s="11" customFormat="1" x14ac:dyDescent="0.25">
      <c r="A13" s="51" t="s">
        <v>546</v>
      </c>
      <c r="B13" s="52">
        <v>14.92</v>
      </c>
      <c r="C13" s="52">
        <v>87.05</v>
      </c>
      <c r="D13" s="52">
        <v>60.01</v>
      </c>
      <c r="E13" s="52">
        <v>6.6</v>
      </c>
      <c r="F13" s="52">
        <v>0.83</v>
      </c>
      <c r="G13" s="52">
        <v>144.29</v>
      </c>
      <c r="H13" s="52">
        <v>53.6</v>
      </c>
      <c r="I13" s="52">
        <v>0.51</v>
      </c>
      <c r="J13" s="52">
        <v>0.17</v>
      </c>
      <c r="K13" s="52">
        <v>225.93</v>
      </c>
      <c r="L13" s="52">
        <v>14.4</v>
      </c>
      <c r="M13" s="52">
        <v>86.08</v>
      </c>
      <c r="N13" s="52">
        <v>4.9000000000000004</v>
      </c>
      <c r="O13" s="52">
        <v>0</v>
      </c>
      <c r="P13" s="52">
        <v>1.4</v>
      </c>
      <c r="Q13" s="52">
        <v>208.3</v>
      </c>
      <c r="R13" s="44"/>
      <c r="S13" s="44"/>
      <c r="T13" s="44"/>
      <c r="U13" s="44"/>
    </row>
    <row r="14" spans="1:21" s="11" customFormat="1" x14ac:dyDescent="0.25">
      <c r="A14" s="51" t="s">
        <v>547</v>
      </c>
      <c r="B14" s="52">
        <v>26.84</v>
      </c>
      <c r="C14" s="52">
        <v>99.01</v>
      </c>
      <c r="D14" s="52">
        <v>76.17</v>
      </c>
      <c r="E14" s="52">
        <v>6.73</v>
      </c>
      <c r="F14" s="52">
        <v>0.64</v>
      </c>
      <c r="G14" s="52">
        <v>153.58000000000001</v>
      </c>
      <c r="H14" s="52">
        <v>53.7</v>
      </c>
      <c r="I14" s="52">
        <v>0.5</v>
      </c>
      <c r="J14" s="52">
        <v>0.33</v>
      </c>
      <c r="K14" s="52">
        <v>225.77</v>
      </c>
      <c r="L14" s="52">
        <v>14.13</v>
      </c>
      <c r="M14" s="52">
        <v>89.3</v>
      </c>
      <c r="N14" s="52">
        <v>4.7</v>
      </c>
      <c r="O14" s="52">
        <v>0</v>
      </c>
      <c r="P14" s="52">
        <v>1.33</v>
      </c>
      <c r="Q14" s="52">
        <v>211.24</v>
      </c>
      <c r="R14" s="44"/>
      <c r="S14" s="44"/>
      <c r="T14" s="44"/>
      <c r="U14" s="44"/>
    </row>
    <row r="15" spans="1:21" s="11" customFormat="1" x14ac:dyDescent="0.25">
      <c r="A15" s="51" t="s">
        <v>548</v>
      </c>
      <c r="B15" s="52">
        <v>48.83</v>
      </c>
      <c r="C15" s="52">
        <v>116.58</v>
      </c>
      <c r="D15" s="52">
        <v>103.49</v>
      </c>
      <c r="E15" s="52">
        <v>6.49</v>
      </c>
      <c r="F15" s="52">
        <v>0.72</v>
      </c>
      <c r="G15" s="52">
        <v>198.62</v>
      </c>
      <c r="H15" s="52">
        <v>59.95</v>
      </c>
      <c r="I15" s="52">
        <v>0.51</v>
      </c>
      <c r="J15" s="52">
        <v>0.24</v>
      </c>
      <c r="K15" s="52">
        <v>226.06</v>
      </c>
      <c r="L15" s="52">
        <v>15</v>
      </c>
      <c r="M15" s="52">
        <v>90.74</v>
      </c>
      <c r="N15" s="52">
        <v>46.8</v>
      </c>
      <c r="O15" s="52">
        <v>0</v>
      </c>
      <c r="P15" s="52">
        <v>1.47</v>
      </c>
      <c r="Q15" s="52">
        <v>235.81</v>
      </c>
      <c r="R15" s="44"/>
      <c r="S15" s="44"/>
      <c r="T15" s="44"/>
      <c r="U15" s="44"/>
    </row>
    <row r="16" spans="1:21" s="11" customFormat="1" x14ac:dyDescent="0.25">
      <c r="A16" s="51" t="s">
        <v>549</v>
      </c>
      <c r="B16" s="52">
        <v>68.63</v>
      </c>
      <c r="C16" s="52">
        <v>141.97999999999999</v>
      </c>
      <c r="D16" s="52">
        <v>133.38999999999999</v>
      </c>
      <c r="E16" s="52">
        <v>6.42</v>
      </c>
      <c r="F16" s="52">
        <v>0.93</v>
      </c>
      <c r="G16" s="52">
        <v>239.84</v>
      </c>
      <c r="H16" s="52">
        <v>68.72</v>
      </c>
      <c r="I16" s="52">
        <v>0.55000000000000004</v>
      </c>
      <c r="J16" s="52">
        <v>1.18</v>
      </c>
      <c r="K16" s="52">
        <v>228.41</v>
      </c>
      <c r="L16" s="52">
        <v>21.61</v>
      </c>
      <c r="M16" s="52">
        <v>82.83</v>
      </c>
      <c r="N16" s="52">
        <v>221.6</v>
      </c>
      <c r="O16" s="52">
        <v>0</v>
      </c>
      <c r="P16" s="52">
        <v>1.69</v>
      </c>
      <c r="Q16" s="52">
        <v>258.48</v>
      </c>
      <c r="R16" s="44"/>
      <c r="S16" s="44"/>
      <c r="T16" s="44"/>
      <c r="U16" s="44"/>
    </row>
    <row r="17" spans="1:21" s="11" customFormat="1" x14ac:dyDescent="0.25">
      <c r="A17" s="51" t="s">
        <v>550</v>
      </c>
      <c r="B17" s="52">
        <v>69.459999999999994</v>
      </c>
      <c r="C17" s="52">
        <v>165.56</v>
      </c>
      <c r="D17" s="52">
        <v>145.82</v>
      </c>
      <c r="E17" s="52">
        <v>14.08</v>
      </c>
      <c r="F17" s="52">
        <v>1.31</v>
      </c>
      <c r="G17" s="52">
        <v>264.18</v>
      </c>
      <c r="H17" s="52">
        <v>83.65</v>
      </c>
      <c r="I17" s="52">
        <v>0.56999999999999995</v>
      </c>
      <c r="J17" s="52">
        <v>1.33</v>
      </c>
      <c r="K17" s="52">
        <v>230.22</v>
      </c>
      <c r="L17" s="52">
        <v>25.72</v>
      </c>
      <c r="M17" s="52">
        <v>55.44</v>
      </c>
      <c r="N17" s="52">
        <v>366.6</v>
      </c>
      <c r="O17" s="52">
        <v>0</v>
      </c>
      <c r="P17" s="52">
        <v>1.95</v>
      </c>
      <c r="Q17" s="52">
        <v>265.12</v>
      </c>
      <c r="R17" s="44"/>
      <c r="S17" s="44"/>
      <c r="T17" s="44"/>
      <c r="U17" s="44"/>
    </row>
    <row r="18" spans="1:21" s="11" customFormat="1" x14ac:dyDescent="0.25">
      <c r="A18" s="51" t="s">
        <v>551</v>
      </c>
      <c r="B18" s="52">
        <v>65.510000000000005</v>
      </c>
      <c r="C18" s="52">
        <v>169.24</v>
      </c>
      <c r="D18" s="52">
        <v>145.93</v>
      </c>
      <c r="E18" s="52">
        <v>16.309999999999999</v>
      </c>
      <c r="F18" s="52">
        <v>1.61</v>
      </c>
      <c r="G18" s="52">
        <v>379.8</v>
      </c>
      <c r="H18" s="52">
        <v>92.35</v>
      </c>
      <c r="I18" s="52">
        <v>0.56999999999999995</v>
      </c>
      <c r="J18" s="52">
        <v>1.42</v>
      </c>
      <c r="K18" s="52">
        <v>231.82</v>
      </c>
      <c r="L18" s="52">
        <v>26.86</v>
      </c>
      <c r="M18" s="52">
        <v>48.08</v>
      </c>
      <c r="N18" s="52">
        <v>471.9</v>
      </c>
      <c r="O18" s="52">
        <v>0</v>
      </c>
      <c r="P18" s="52">
        <v>2.0499999999999998</v>
      </c>
      <c r="Q18" s="52">
        <v>262.67</v>
      </c>
      <c r="R18" s="44"/>
      <c r="S18" s="44"/>
      <c r="T18" s="44"/>
      <c r="U18" s="44"/>
    </row>
    <row r="19" spans="1:21" s="11" customFormat="1" x14ac:dyDescent="0.25">
      <c r="A19" s="51" t="s">
        <v>552</v>
      </c>
      <c r="B19" s="52">
        <v>50.23</v>
      </c>
      <c r="C19" s="52">
        <v>157.58000000000001</v>
      </c>
      <c r="D19" s="52">
        <v>127.24</v>
      </c>
      <c r="E19" s="52">
        <v>9.0399999999999991</v>
      </c>
      <c r="F19" s="52">
        <v>1.49</v>
      </c>
      <c r="G19" s="52">
        <v>182.15</v>
      </c>
      <c r="H19" s="52">
        <v>76.83</v>
      </c>
      <c r="I19" s="52">
        <v>0.54</v>
      </c>
      <c r="J19" s="52">
        <v>1.01</v>
      </c>
      <c r="K19" s="52">
        <v>232.22</v>
      </c>
      <c r="L19" s="52">
        <v>28.89</v>
      </c>
      <c r="M19" s="52">
        <v>45.29</v>
      </c>
      <c r="N19" s="52">
        <v>532.29999999999995</v>
      </c>
      <c r="O19" s="52">
        <v>0</v>
      </c>
      <c r="P19" s="52">
        <v>2.04</v>
      </c>
      <c r="Q19" s="52">
        <v>248.86</v>
      </c>
      <c r="R19" s="44"/>
      <c r="S19" s="44"/>
      <c r="T19" s="44"/>
      <c r="U19" s="44"/>
    </row>
    <row r="20" spans="1:21" s="11" customFormat="1" x14ac:dyDescent="0.25">
      <c r="A20" s="51" t="s">
        <v>553</v>
      </c>
      <c r="B20" s="52">
        <v>33.700000000000003</v>
      </c>
      <c r="C20" s="52">
        <v>142.05000000000001</v>
      </c>
      <c r="D20" s="52">
        <v>105.41</v>
      </c>
      <c r="E20" s="52">
        <v>9.76</v>
      </c>
      <c r="F20" s="52">
        <v>2.8</v>
      </c>
      <c r="G20" s="52">
        <v>93.42</v>
      </c>
      <c r="H20" s="52">
        <v>53.85</v>
      </c>
      <c r="I20" s="52">
        <v>0.5</v>
      </c>
      <c r="J20" s="52">
        <v>1.1499999999999999</v>
      </c>
      <c r="K20" s="52">
        <v>232.23</v>
      </c>
      <c r="L20" s="52">
        <v>28.99</v>
      </c>
      <c r="M20" s="52">
        <v>42.54</v>
      </c>
      <c r="N20" s="52">
        <v>572.29999999999995</v>
      </c>
      <c r="O20" s="52">
        <v>0</v>
      </c>
      <c r="P20" s="52">
        <v>1.81</v>
      </c>
      <c r="Q20" s="52">
        <v>228.46</v>
      </c>
      <c r="R20" s="44"/>
      <c r="S20" s="44"/>
      <c r="T20" s="44"/>
      <c r="U20" s="44"/>
    </row>
    <row r="21" spans="1:21" s="11" customFormat="1" x14ac:dyDescent="0.25">
      <c r="A21" s="51" t="s">
        <v>554</v>
      </c>
      <c r="B21" s="52">
        <v>22.46</v>
      </c>
      <c r="C21" s="52">
        <v>128.66999999999999</v>
      </c>
      <c r="D21" s="52">
        <v>89.02</v>
      </c>
      <c r="E21" s="52">
        <v>10.77</v>
      </c>
      <c r="F21" s="52">
        <v>3.55</v>
      </c>
      <c r="G21" s="52">
        <v>69.599999999999994</v>
      </c>
      <c r="H21" s="52">
        <v>46.2</v>
      </c>
      <c r="I21" s="52">
        <v>0.5</v>
      </c>
      <c r="J21" s="52">
        <v>0.94</v>
      </c>
      <c r="K21" s="52">
        <v>232.69</v>
      </c>
      <c r="L21" s="52">
        <v>30.66</v>
      </c>
      <c r="M21" s="52">
        <v>38.549999999999997</v>
      </c>
      <c r="N21" s="52">
        <v>464.1</v>
      </c>
      <c r="O21" s="52">
        <v>0</v>
      </c>
      <c r="P21" s="52">
        <v>1.63</v>
      </c>
      <c r="Q21" s="52">
        <v>233.32</v>
      </c>
      <c r="R21" s="44"/>
      <c r="S21" s="44"/>
      <c r="T21" s="44"/>
      <c r="U21" s="44"/>
    </row>
    <row r="22" spans="1:21" s="11" customFormat="1" x14ac:dyDescent="0.25">
      <c r="A22" s="51" t="s">
        <v>555</v>
      </c>
      <c r="B22" s="52">
        <v>14.01</v>
      </c>
      <c r="C22" s="52">
        <v>127.27</v>
      </c>
      <c r="D22" s="52">
        <v>81.47</v>
      </c>
      <c r="E22" s="52">
        <v>11.1</v>
      </c>
      <c r="F22" s="52">
        <v>3.71</v>
      </c>
      <c r="G22" s="52">
        <v>99.9</v>
      </c>
      <c r="H22" s="52">
        <v>38.04</v>
      </c>
      <c r="I22" s="52">
        <v>0.5</v>
      </c>
      <c r="J22" s="52">
        <v>0.87</v>
      </c>
      <c r="K22" s="52">
        <v>232.82</v>
      </c>
      <c r="L22" s="52">
        <v>30.23</v>
      </c>
      <c r="M22" s="52">
        <v>40.590000000000003</v>
      </c>
      <c r="N22" s="52">
        <v>413.3</v>
      </c>
      <c r="O22" s="52">
        <v>0</v>
      </c>
      <c r="P22" s="52">
        <v>1.39</v>
      </c>
      <c r="Q22" s="52">
        <v>241.21</v>
      </c>
      <c r="R22" s="44"/>
      <c r="S22" s="44"/>
      <c r="T22" s="44"/>
      <c r="U22" s="44"/>
    </row>
    <row r="23" spans="1:21" s="11" customFormat="1" x14ac:dyDescent="0.25">
      <c r="A23" s="51" t="s">
        <v>556</v>
      </c>
      <c r="B23" s="52">
        <v>12.24</v>
      </c>
      <c r="C23" s="52">
        <v>131.29</v>
      </c>
      <c r="D23" s="52">
        <v>82.27</v>
      </c>
      <c r="E23" s="52">
        <v>14.43</v>
      </c>
      <c r="F23" s="52">
        <v>5.23</v>
      </c>
      <c r="G23" s="52">
        <v>112.56</v>
      </c>
      <c r="H23" s="52">
        <v>35.92</v>
      </c>
      <c r="I23" s="52">
        <v>0.5</v>
      </c>
      <c r="J23" s="52">
        <v>0.7</v>
      </c>
      <c r="K23" s="52">
        <v>232.61</v>
      </c>
      <c r="L23" s="52">
        <v>29.43</v>
      </c>
      <c r="M23" s="52">
        <v>45.41</v>
      </c>
      <c r="N23" s="52">
        <v>227.4</v>
      </c>
      <c r="O23" s="52">
        <v>0</v>
      </c>
      <c r="P23" s="52">
        <v>1.39</v>
      </c>
      <c r="Q23" s="52">
        <v>238.52</v>
      </c>
      <c r="R23" s="44"/>
      <c r="S23" s="44"/>
      <c r="T23" s="44"/>
      <c r="U23" s="44"/>
    </row>
    <row r="24" spans="1:21" s="11" customFormat="1" x14ac:dyDescent="0.25">
      <c r="A24" s="51" t="s">
        <v>557</v>
      </c>
      <c r="B24" s="52">
        <v>15.23</v>
      </c>
      <c r="C24" s="52">
        <v>135.77000000000001</v>
      </c>
      <c r="D24" s="52">
        <v>87.14</v>
      </c>
      <c r="E24" s="52">
        <v>18.989999999999998</v>
      </c>
      <c r="F24" s="52">
        <v>5.96</v>
      </c>
      <c r="G24" s="52">
        <v>145.83000000000001</v>
      </c>
      <c r="H24" s="52">
        <v>46.52</v>
      </c>
      <c r="I24" s="52">
        <v>0.51</v>
      </c>
      <c r="J24" s="52">
        <v>32.409999999999997</v>
      </c>
      <c r="K24" s="52">
        <v>201.5</v>
      </c>
      <c r="L24" s="52">
        <v>134.22999999999999</v>
      </c>
      <c r="M24" s="52">
        <v>56.47</v>
      </c>
      <c r="N24" s="52">
        <v>141.5</v>
      </c>
      <c r="O24" s="52">
        <v>0</v>
      </c>
      <c r="P24" s="52">
        <v>1.43</v>
      </c>
      <c r="Q24" s="52">
        <v>247.99</v>
      </c>
      <c r="R24" s="44"/>
      <c r="S24" s="44"/>
      <c r="T24" s="44"/>
      <c r="U24" s="44"/>
    </row>
    <row r="25" spans="1:21" s="11" customFormat="1" x14ac:dyDescent="0.25">
      <c r="A25" s="51" t="s">
        <v>558</v>
      </c>
      <c r="B25" s="52">
        <v>15.61</v>
      </c>
      <c r="C25" s="52">
        <v>130.36000000000001</v>
      </c>
      <c r="D25" s="52">
        <v>83.66</v>
      </c>
      <c r="E25" s="52">
        <v>11.95</v>
      </c>
      <c r="F25" s="52">
        <v>5.31</v>
      </c>
      <c r="G25" s="52">
        <v>135.05000000000001</v>
      </c>
      <c r="H25" s="52">
        <v>40.4</v>
      </c>
      <c r="I25" s="52">
        <v>0.52</v>
      </c>
      <c r="J25" s="52">
        <v>0.84</v>
      </c>
      <c r="K25" s="52">
        <v>192.67</v>
      </c>
      <c r="L25" s="52">
        <v>26.73</v>
      </c>
      <c r="M25" s="52">
        <v>75.7</v>
      </c>
      <c r="N25" s="52">
        <v>61</v>
      </c>
      <c r="O25" s="52">
        <v>0</v>
      </c>
      <c r="P25" s="52">
        <v>1.48</v>
      </c>
      <c r="Q25" s="52">
        <v>266.19</v>
      </c>
      <c r="R25" s="44"/>
      <c r="S25" s="44"/>
      <c r="T25" s="44"/>
      <c r="U25" s="44"/>
    </row>
    <row r="26" spans="1:21" s="11" customFormat="1" x14ac:dyDescent="0.25">
      <c r="A26" s="51" t="s">
        <v>559</v>
      </c>
      <c r="B26" s="52">
        <v>25.57</v>
      </c>
      <c r="C26" s="52">
        <v>145.09</v>
      </c>
      <c r="D26" s="52">
        <v>98.74</v>
      </c>
      <c r="E26" s="52">
        <v>8.98</v>
      </c>
      <c r="F26" s="52">
        <v>2.95</v>
      </c>
      <c r="G26" s="52">
        <v>114.18</v>
      </c>
      <c r="H26" s="52">
        <v>44.31</v>
      </c>
      <c r="I26" s="52">
        <v>0.59</v>
      </c>
      <c r="J26" s="52">
        <v>0.18</v>
      </c>
      <c r="K26" s="52">
        <v>193.95</v>
      </c>
      <c r="L26" s="52">
        <v>25.11</v>
      </c>
      <c r="M26" s="59" t="s">
        <v>15</v>
      </c>
      <c r="N26" s="52">
        <v>21.3</v>
      </c>
      <c r="O26" s="52">
        <v>0</v>
      </c>
      <c r="P26" s="52">
        <v>1.67</v>
      </c>
      <c r="Q26" s="52">
        <v>276.61</v>
      </c>
      <c r="R26" s="44"/>
      <c r="S26" s="44"/>
      <c r="T26" s="44"/>
      <c r="U26" s="44"/>
    </row>
    <row r="27" spans="1:21" s="11" customFormat="1" x14ac:dyDescent="0.25">
      <c r="A27" s="51" t="s">
        <v>560</v>
      </c>
      <c r="B27" s="52">
        <v>63.14</v>
      </c>
      <c r="C27" s="52">
        <v>175.33</v>
      </c>
      <c r="D27" s="52">
        <v>147.38999999999999</v>
      </c>
      <c r="E27" s="52">
        <v>7.76</v>
      </c>
      <c r="F27" s="52">
        <v>0.79</v>
      </c>
      <c r="G27" s="52">
        <v>157.54</v>
      </c>
      <c r="H27" s="52">
        <v>49.62</v>
      </c>
      <c r="I27" s="52">
        <v>0.72</v>
      </c>
      <c r="J27" s="52">
        <v>0.18</v>
      </c>
      <c r="K27" s="52">
        <v>247.84</v>
      </c>
      <c r="L27" s="52">
        <v>22.71</v>
      </c>
      <c r="M27" s="59" t="s">
        <v>15</v>
      </c>
      <c r="N27" s="52">
        <v>10.3</v>
      </c>
      <c r="O27" s="52">
        <v>0</v>
      </c>
      <c r="P27" s="52">
        <v>2.2400000000000002</v>
      </c>
      <c r="Q27" s="52">
        <v>315.74</v>
      </c>
      <c r="R27" s="44"/>
      <c r="S27" s="44"/>
      <c r="T27" s="44"/>
      <c r="U27" s="44"/>
    </row>
    <row r="28" spans="1:21" s="11" customFormat="1" x14ac:dyDescent="0.25">
      <c r="A28" s="51" t="s">
        <v>561</v>
      </c>
      <c r="B28" s="52">
        <v>109.06</v>
      </c>
      <c r="C28" s="52">
        <v>209.3</v>
      </c>
      <c r="D28" s="52">
        <v>202.96</v>
      </c>
      <c r="E28" s="52">
        <v>8.0299999999999994</v>
      </c>
      <c r="F28" s="52">
        <v>0.91</v>
      </c>
      <c r="G28" s="52">
        <v>271.08</v>
      </c>
      <c r="H28" s="52">
        <v>50.34</v>
      </c>
      <c r="I28" s="52">
        <v>1.1100000000000001</v>
      </c>
      <c r="J28" s="52">
        <v>0.12</v>
      </c>
      <c r="K28" s="52">
        <v>271.81</v>
      </c>
      <c r="L28" s="52">
        <v>20.89</v>
      </c>
      <c r="M28" s="59" t="s">
        <v>15</v>
      </c>
      <c r="N28" s="52">
        <v>10</v>
      </c>
      <c r="O28" s="52">
        <v>0</v>
      </c>
      <c r="P28" s="52">
        <v>3</v>
      </c>
      <c r="Q28" s="52">
        <v>376.16</v>
      </c>
      <c r="R28" s="44"/>
      <c r="S28" s="44"/>
      <c r="T28" s="44"/>
      <c r="U28" s="44"/>
    </row>
    <row r="29" spans="1:21" s="11" customFormat="1" x14ac:dyDescent="0.25">
      <c r="A29" s="51" t="s">
        <v>562</v>
      </c>
      <c r="B29" s="52">
        <v>168.21</v>
      </c>
      <c r="C29" s="52">
        <v>257.83999999999997</v>
      </c>
      <c r="D29" s="52">
        <v>277.19</v>
      </c>
      <c r="E29" s="52">
        <v>7.05</v>
      </c>
      <c r="F29" s="52">
        <v>1.26</v>
      </c>
      <c r="G29" s="59" t="s">
        <v>15</v>
      </c>
      <c r="H29" s="52">
        <v>54.67</v>
      </c>
      <c r="I29" s="52">
        <v>1.64</v>
      </c>
      <c r="J29" s="52">
        <v>0.21</v>
      </c>
      <c r="K29" s="52">
        <v>277.74</v>
      </c>
      <c r="L29" s="52">
        <v>20.03</v>
      </c>
      <c r="M29" s="59" t="s">
        <v>15</v>
      </c>
      <c r="N29" s="52">
        <v>9.6999999999999993</v>
      </c>
      <c r="O29" s="52">
        <v>0</v>
      </c>
      <c r="P29" s="52">
        <v>4.05</v>
      </c>
      <c r="Q29" s="59" t="s">
        <v>15</v>
      </c>
      <c r="R29" s="44"/>
      <c r="S29" s="44"/>
      <c r="T29" s="44"/>
      <c r="U29" s="44"/>
    </row>
    <row r="30" spans="1:21" s="11" customFormat="1" x14ac:dyDescent="0.25">
      <c r="A30" s="51" t="s">
        <v>563</v>
      </c>
      <c r="B30" s="52">
        <v>215.1</v>
      </c>
      <c r="C30" s="52">
        <v>292.35000000000002</v>
      </c>
      <c r="D30" s="52">
        <v>333.83</v>
      </c>
      <c r="E30" s="52">
        <v>7.97</v>
      </c>
      <c r="F30" s="52">
        <v>0.93</v>
      </c>
      <c r="G30" s="59" t="s">
        <v>15</v>
      </c>
      <c r="H30" s="52">
        <v>68.290000000000006</v>
      </c>
      <c r="I30" s="52">
        <v>2.33</v>
      </c>
      <c r="J30" s="52">
        <v>0.24</v>
      </c>
      <c r="K30" s="52">
        <v>311.38</v>
      </c>
      <c r="L30" s="52">
        <v>19.23</v>
      </c>
      <c r="M30" s="59" t="s">
        <v>15</v>
      </c>
      <c r="N30" s="52">
        <v>9.6999999999999993</v>
      </c>
      <c r="O30" s="52">
        <v>0</v>
      </c>
      <c r="P30" s="52">
        <v>5.14</v>
      </c>
      <c r="Q30" s="59" t="s">
        <v>15</v>
      </c>
      <c r="R30" s="44"/>
      <c r="S30" s="44"/>
      <c r="T30" s="44"/>
      <c r="U30" s="44"/>
    </row>
    <row r="31" spans="1:21" s="11" customFormat="1" x14ac:dyDescent="0.25">
      <c r="A31" s="51" t="s">
        <v>564</v>
      </c>
      <c r="B31" s="52">
        <v>229.05</v>
      </c>
      <c r="C31" s="52">
        <v>300.52</v>
      </c>
      <c r="D31" s="52">
        <v>349.53</v>
      </c>
      <c r="E31" s="52">
        <v>8.24</v>
      </c>
      <c r="F31" s="52">
        <v>0.61</v>
      </c>
      <c r="G31" s="52">
        <v>329.06</v>
      </c>
      <c r="H31" s="52">
        <v>79.23</v>
      </c>
      <c r="I31" s="52">
        <v>2.77</v>
      </c>
      <c r="J31" s="52">
        <v>0.27</v>
      </c>
      <c r="K31" s="52">
        <v>296.87</v>
      </c>
      <c r="L31" s="52">
        <v>18.71</v>
      </c>
      <c r="M31" s="59" t="s">
        <v>15</v>
      </c>
      <c r="N31" s="52">
        <v>9.6999999999999993</v>
      </c>
      <c r="O31" s="52">
        <v>0</v>
      </c>
      <c r="P31" s="52">
        <v>5.94</v>
      </c>
      <c r="Q31" s="59" t="s">
        <v>15</v>
      </c>
      <c r="R31" s="44"/>
      <c r="S31" s="44"/>
      <c r="T31" s="44"/>
      <c r="U31" s="44"/>
    </row>
    <row r="32" spans="1:21" s="11" customFormat="1" x14ac:dyDescent="0.25">
      <c r="A32" s="51" t="s">
        <v>565</v>
      </c>
      <c r="B32" s="52">
        <v>233.53</v>
      </c>
      <c r="C32" s="52">
        <v>301.91000000000003</v>
      </c>
      <c r="D32" s="52">
        <v>353.88</v>
      </c>
      <c r="E32" s="52">
        <v>8.4</v>
      </c>
      <c r="F32" s="52">
        <v>0.7</v>
      </c>
      <c r="G32" s="52">
        <v>267.83999999999997</v>
      </c>
      <c r="H32" s="52">
        <v>78.290000000000006</v>
      </c>
      <c r="I32" s="52">
        <v>3.02</v>
      </c>
      <c r="J32" s="52">
        <v>0.84</v>
      </c>
      <c r="K32" s="52">
        <v>300.89</v>
      </c>
      <c r="L32" s="52">
        <v>18.600000000000001</v>
      </c>
      <c r="M32" s="59" t="s">
        <v>15</v>
      </c>
      <c r="N32" s="52">
        <v>9.6999999999999993</v>
      </c>
      <c r="O32" s="52">
        <v>0</v>
      </c>
      <c r="P32" s="52">
        <v>6.11</v>
      </c>
      <c r="Q32" s="59" t="s">
        <v>15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11.48</v>
      </c>
      <c r="C34" s="28">
        <f t="shared" si="0"/>
        <v>87.05</v>
      </c>
      <c r="D34" s="28">
        <f t="shared" si="0"/>
        <v>59.04</v>
      </c>
      <c r="E34" s="28">
        <f t="shared" si="0"/>
        <v>6.05</v>
      </c>
      <c r="F34" s="28">
        <f t="shared" si="0"/>
        <v>0.61</v>
      </c>
      <c r="G34" s="28">
        <f t="shared" si="0"/>
        <v>69.599999999999994</v>
      </c>
      <c r="H34" s="28">
        <f t="shared" si="0"/>
        <v>35.92</v>
      </c>
      <c r="I34" s="28">
        <f t="shared" si="0"/>
        <v>0.5</v>
      </c>
      <c r="J34" s="28">
        <f t="shared" si="0"/>
        <v>0.12</v>
      </c>
      <c r="K34" s="28">
        <f t="shared" si="0"/>
        <v>192.67</v>
      </c>
      <c r="L34" s="28">
        <f t="shared" si="0"/>
        <v>14.13</v>
      </c>
      <c r="M34" s="28">
        <f t="shared" si="0"/>
        <v>38.549999999999997</v>
      </c>
      <c r="N34" s="28">
        <f t="shared" si="0"/>
        <v>4.7</v>
      </c>
      <c r="O34" s="28">
        <f t="shared" si="0"/>
        <v>0</v>
      </c>
      <c r="P34" s="28">
        <f t="shared" si="0"/>
        <v>1.33</v>
      </c>
      <c r="Q34" s="28">
        <f t="shared" si="0"/>
        <v>208.3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233.53</v>
      </c>
      <c r="C35" s="29">
        <f t="shared" si="1"/>
        <v>301.91000000000003</v>
      </c>
      <c r="D35" s="29">
        <f t="shared" si="1"/>
        <v>353.88</v>
      </c>
      <c r="E35" s="29">
        <f t="shared" si="1"/>
        <v>18.989999999999998</v>
      </c>
      <c r="F35" s="29">
        <f t="shared" si="1"/>
        <v>5.96</v>
      </c>
      <c r="G35" s="29">
        <f t="shared" si="1"/>
        <v>379.8</v>
      </c>
      <c r="H35" s="29">
        <f t="shared" si="1"/>
        <v>92.35</v>
      </c>
      <c r="I35" s="29">
        <f t="shared" si="1"/>
        <v>3.02</v>
      </c>
      <c r="J35" s="29">
        <f t="shared" si="1"/>
        <v>32.409999999999997</v>
      </c>
      <c r="K35" s="29">
        <f t="shared" si="1"/>
        <v>311.38</v>
      </c>
      <c r="L35" s="29">
        <f t="shared" si="1"/>
        <v>134.22999999999999</v>
      </c>
      <c r="M35" s="29">
        <f t="shared" si="1"/>
        <v>90.74</v>
      </c>
      <c r="N35" s="29">
        <f t="shared" si="1"/>
        <v>572.29999999999995</v>
      </c>
      <c r="O35" s="29">
        <f t="shared" si="1"/>
        <v>0</v>
      </c>
      <c r="P35" s="29">
        <f t="shared" si="1"/>
        <v>6.11</v>
      </c>
      <c r="Q35" s="29">
        <f t="shared" si="1"/>
        <v>376.16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64.770833333333329</v>
      </c>
      <c r="C36" s="28">
        <f t="shared" si="2"/>
        <v>159.18291666666667</v>
      </c>
      <c r="D36" s="28">
        <f t="shared" si="2"/>
        <v>139.55708333333337</v>
      </c>
      <c r="E36" s="28">
        <f t="shared" si="2"/>
        <v>9.5187500000000007</v>
      </c>
      <c r="F36" s="28">
        <f t="shared" si="2"/>
        <v>1.9204166666666669</v>
      </c>
      <c r="G36" s="28">
        <f t="shared" si="2"/>
        <v>177.68545454545455</v>
      </c>
      <c r="H36" s="28">
        <f t="shared" si="2"/>
        <v>57.245416666666664</v>
      </c>
      <c r="I36" s="28">
        <f t="shared" si="2"/>
        <v>0.88916666666666666</v>
      </c>
      <c r="J36" s="28">
        <f t="shared" si="2"/>
        <v>1.9479166666666667</v>
      </c>
      <c r="K36" s="28">
        <f t="shared" si="2"/>
        <v>238.8716666666667</v>
      </c>
      <c r="L36" s="28">
        <f t="shared" si="2"/>
        <v>26.681666666666672</v>
      </c>
      <c r="M36" s="28">
        <f t="shared" si="2"/>
        <v>64.888823529411752</v>
      </c>
      <c r="N36" s="28">
        <f t="shared" si="2"/>
        <v>151.18333333333331</v>
      </c>
      <c r="O36" s="28">
        <f t="shared" si="2"/>
        <v>0</v>
      </c>
      <c r="P36" s="28">
        <f t="shared" si="2"/>
        <v>2.3137499999999998</v>
      </c>
      <c r="Q36" s="28">
        <f t="shared" si="2"/>
        <v>249.85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72.313055464277767</v>
      </c>
      <c r="C37" s="28">
        <f t="shared" ref="C37:Q37" si="3">STDEV(C9:C32)</f>
        <v>65.92192427272461</v>
      </c>
      <c r="D37" s="28">
        <f t="shared" si="3"/>
        <v>93.784950145169219</v>
      </c>
      <c r="E37" s="28">
        <f t="shared" si="3"/>
        <v>3.3911884700102393</v>
      </c>
      <c r="F37" s="28">
        <f t="shared" si="3"/>
        <v>1.6568893830115012</v>
      </c>
      <c r="G37" s="28">
        <f t="shared" si="3"/>
        <v>80.965281608687249</v>
      </c>
      <c r="H37" s="28">
        <f t="shared" si="3"/>
        <v>15.318656706679651</v>
      </c>
      <c r="I37" s="28">
        <f t="shared" si="3"/>
        <v>0.7519188015058349</v>
      </c>
      <c r="J37" s="28">
        <f t="shared" si="3"/>
        <v>6.5011196220789325</v>
      </c>
      <c r="K37" s="28">
        <f t="shared" si="3"/>
        <v>31.07495519835367</v>
      </c>
      <c r="L37" s="28">
        <f t="shared" si="3"/>
        <v>23.538261113172393</v>
      </c>
      <c r="M37" s="28">
        <f t="shared" si="3"/>
        <v>19.173001161253119</v>
      </c>
      <c r="N37" s="28">
        <f t="shared" si="3"/>
        <v>201.46604345811397</v>
      </c>
      <c r="O37" s="28">
        <f t="shared" si="3"/>
        <v>0</v>
      </c>
      <c r="P37" s="28">
        <f t="shared" si="3"/>
        <v>1.4556958966344109</v>
      </c>
      <c r="Q37" s="28">
        <f t="shared" si="3"/>
        <v>39.559318018708161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</f>
        <v>24</v>
      </c>
      <c r="C38" s="32">
        <f t="shared" ref="C38:Q38" si="4">COUNT(C9:C32)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22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17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&lt;90%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LESS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299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1" ySplit="8" topLeftCell="B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M39" sqref="M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22-11-2022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566</v>
      </c>
      <c r="B9" s="52">
        <v>220.15</v>
      </c>
      <c r="C9" s="52">
        <v>289.70999999999998</v>
      </c>
      <c r="D9" s="52">
        <v>336.42</v>
      </c>
      <c r="E9" s="52">
        <v>7.54</v>
      </c>
      <c r="F9" s="52">
        <v>0.77</v>
      </c>
      <c r="G9" s="52">
        <v>244.05</v>
      </c>
      <c r="H9" s="52">
        <v>80.38</v>
      </c>
      <c r="I9" s="52">
        <v>3.04</v>
      </c>
      <c r="J9" s="52">
        <v>0.54</v>
      </c>
      <c r="K9" s="52">
        <v>250.12</v>
      </c>
      <c r="L9" s="52">
        <v>19.149999999999999</v>
      </c>
      <c r="M9" s="8" t="s">
        <v>8</v>
      </c>
      <c r="N9" s="52">
        <v>9.6999999999999993</v>
      </c>
      <c r="O9" s="52">
        <v>0</v>
      </c>
      <c r="P9" s="52">
        <v>5.8</v>
      </c>
      <c r="Q9" s="59" t="s">
        <v>15</v>
      </c>
      <c r="R9" s="44"/>
      <c r="S9" s="44"/>
      <c r="T9" s="44"/>
      <c r="U9" s="44"/>
    </row>
    <row r="10" spans="1:21" s="11" customFormat="1" x14ac:dyDescent="0.25">
      <c r="A10" s="51" t="s">
        <v>567</v>
      </c>
      <c r="B10" s="52">
        <v>174.13</v>
      </c>
      <c r="C10" s="52">
        <v>247.43</v>
      </c>
      <c r="D10" s="52">
        <v>276.18</v>
      </c>
      <c r="E10" s="52">
        <v>6.89</v>
      </c>
      <c r="F10" s="52">
        <v>0.87</v>
      </c>
      <c r="G10" s="52">
        <v>203.45</v>
      </c>
      <c r="H10" s="52">
        <v>73.86</v>
      </c>
      <c r="I10" s="52">
        <v>2.62</v>
      </c>
      <c r="J10" s="52">
        <v>0.51</v>
      </c>
      <c r="K10" s="52">
        <v>255.22</v>
      </c>
      <c r="L10" s="52">
        <v>18.82</v>
      </c>
      <c r="M10" s="8" t="s">
        <v>8</v>
      </c>
      <c r="N10" s="52">
        <v>10.1</v>
      </c>
      <c r="O10" s="52">
        <v>0</v>
      </c>
      <c r="P10" s="52">
        <v>4.66</v>
      </c>
      <c r="Q10" s="59" t="s">
        <v>15</v>
      </c>
      <c r="R10" s="44"/>
      <c r="S10" s="44"/>
      <c r="T10" s="44"/>
      <c r="U10" s="44"/>
    </row>
    <row r="11" spans="1:21" s="11" customFormat="1" x14ac:dyDescent="0.25">
      <c r="A11" s="51" t="s">
        <v>568</v>
      </c>
      <c r="B11" s="52">
        <v>131.68</v>
      </c>
      <c r="C11" s="52">
        <v>207.12</v>
      </c>
      <c r="D11" s="52">
        <v>219.9</v>
      </c>
      <c r="E11" s="52">
        <v>6.88</v>
      </c>
      <c r="F11" s="52">
        <v>0.98</v>
      </c>
      <c r="G11" s="52">
        <v>145.05000000000001</v>
      </c>
      <c r="H11" s="52">
        <v>63.9</v>
      </c>
      <c r="I11" s="52">
        <v>2.16</v>
      </c>
      <c r="J11" s="52">
        <v>0.87</v>
      </c>
      <c r="K11" s="52">
        <v>240.23</v>
      </c>
      <c r="L11" s="52">
        <v>18.57</v>
      </c>
      <c r="M11" s="8" t="s">
        <v>8</v>
      </c>
      <c r="N11" s="52">
        <v>9.6999999999999993</v>
      </c>
      <c r="O11" s="52">
        <v>0</v>
      </c>
      <c r="P11" s="52">
        <v>4.03</v>
      </c>
      <c r="Q11" s="52">
        <v>383.23</v>
      </c>
      <c r="R11" s="44"/>
      <c r="S11" s="44"/>
      <c r="T11" s="44"/>
      <c r="U11" s="44"/>
    </row>
    <row r="12" spans="1:21" s="11" customFormat="1" x14ac:dyDescent="0.25">
      <c r="A12" s="51" t="s">
        <v>569</v>
      </c>
      <c r="B12" s="52">
        <v>90.69</v>
      </c>
      <c r="C12" s="52">
        <v>175.38</v>
      </c>
      <c r="D12" s="52">
        <v>169.52</v>
      </c>
      <c r="E12" s="52">
        <v>7.14</v>
      </c>
      <c r="F12" s="52">
        <v>0.79</v>
      </c>
      <c r="G12" s="52">
        <v>114.71</v>
      </c>
      <c r="H12" s="52">
        <v>58.1</v>
      </c>
      <c r="I12" s="52">
        <v>1.56</v>
      </c>
      <c r="J12" s="52">
        <v>0.73</v>
      </c>
      <c r="K12" s="52">
        <v>247.66</v>
      </c>
      <c r="L12" s="52">
        <v>17.87</v>
      </c>
      <c r="M12" s="8" t="s">
        <v>8</v>
      </c>
      <c r="N12" s="52">
        <v>9.8000000000000007</v>
      </c>
      <c r="O12" s="52">
        <v>0</v>
      </c>
      <c r="P12" s="52">
        <v>3.09</v>
      </c>
      <c r="Q12" s="52">
        <v>321.77999999999997</v>
      </c>
      <c r="R12" s="44"/>
      <c r="S12" s="44"/>
      <c r="T12" s="44"/>
      <c r="U12" s="44"/>
    </row>
    <row r="13" spans="1:21" s="11" customFormat="1" x14ac:dyDescent="0.25">
      <c r="A13" s="51" t="s">
        <v>570</v>
      </c>
      <c r="B13" s="52">
        <v>67.03</v>
      </c>
      <c r="C13" s="52">
        <v>154.66999999999999</v>
      </c>
      <c r="D13" s="52">
        <v>139.11000000000001</v>
      </c>
      <c r="E13" s="52">
        <v>5.92</v>
      </c>
      <c r="F13" s="52">
        <v>0.78</v>
      </c>
      <c r="G13" s="52">
        <v>140.94</v>
      </c>
      <c r="H13" s="52">
        <v>58.16</v>
      </c>
      <c r="I13" s="52">
        <v>1.23</v>
      </c>
      <c r="J13" s="52">
        <v>0.63</v>
      </c>
      <c r="K13" s="52">
        <v>258.18</v>
      </c>
      <c r="L13" s="52">
        <v>17.39</v>
      </c>
      <c r="M13" s="8" t="s">
        <v>8</v>
      </c>
      <c r="N13" s="52">
        <v>9.9</v>
      </c>
      <c r="O13" s="52">
        <v>0</v>
      </c>
      <c r="P13" s="52">
        <v>2.66</v>
      </c>
      <c r="Q13" s="52">
        <v>288.69</v>
      </c>
      <c r="R13" s="44"/>
      <c r="S13" s="44"/>
      <c r="T13" s="44"/>
      <c r="U13" s="44"/>
    </row>
    <row r="14" spans="1:21" s="11" customFormat="1" x14ac:dyDescent="0.25">
      <c r="A14" s="51" t="s">
        <v>571</v>
      </c>
      <c r="B14" s="52">
        <v>54.01</v>
      </c>
      <c r="C14" s="52">
        <v>140.02000000000001</v>
      </c>
      <c r="D14" s="52">
        <v>120.59</v>
      </c>
      <c r="E14" s="52">
        <v>6.47</v>
      </c>
      <c r="F14" s="52">
        <v>0.86</v>
      </c>
      <c r="G14" s="52">
        <v>153.81</v>
      </c>
      <c r="H14" s="52">
        <v>59.56</v>
      </c>
      <c r="I14" s="52">
        <v>1.02</v>
      </c>
      <c r="J14" s="52">
        <v>0.72</v>
      </c>
      <c r="K14" s="52">
        <v>261.25</v>
      </c>
      <c r="L14" s="52">
        <v>16.88</v>
      </c>
      <c r="M14" s="8" t="s">
        <v>8</v>
      </c>
      <c r="N14" s="52">
        <v>9.6999999999999993</v>
      </c>
      <c r="O14" s="52">
        <v>0</v>
      </c>
      <c r="P14" s="52">
        <v>2.42</v>
      </c>
      <c r="Q14" s="52">
        <v>268.42</v>
      </c>
      <c r="R14" s="44"/>
      <c r="S14" s="44"/>
      <c r="T14" s="44"/>
      <c r="U14" s="44"/>
    </row>
    <row r="15" spans="1:21" s="11" customFormat="1" x14ac:dyDescent="0.25">
      <c r="A15" s="51" t="s">
        <v>572</v>
      </c>
      <c r="B15" s="52">
        <v>42.22</v>
      </c>
      <c r="C15" s="52">
        <v>134.01</v>
      </c>
      <c r="D15" s="52">
        <v>107.82</v>
      </c>
      <c r="E15" s="52">
        <v>6.64</v>
      </c>
      <c r="F15" s="52">
        <v>0.82</v>
      </c>
      <c r="G15" s="52">
        <v>152.33000000000001</v>
      </c>
      <c r="H15" s="52">
        <v>56.06</v>
      </c>
      <c r="I15" s="52">
        <v>0.86</v>
      </c>
      <c r="J15" s="52">
        <v>0.64</v>
      </c>
      <c r="K15" s="52">
        <v>263.72000000000003</v>
      </c>
      <c r="L15" s="52">
        <v>16.670000000000002</v>
      </c>
      <c r="M15" s="8" t="s">
        <v>8</v>
      </c>
      <c r="N15" s="52">
        <v>41.5</v>
      </c>
      <c r="O15" s="52">
        <v>0</v>
      </c>
      <c r="P15" s="52">
        <v>2.2400000000000002</v>
      </c>
      <c r="Q15" s="52">
        <v>248.1</v>
      </c>
      <c r="R15" s="44"/>
      <c r="S15" s="44"/>
      <c r="T15" s="44"/>
      <c r="U15" s="44"/>
    </row>
    <row r="16" spans="1:21" s="11" customFormat="1" x14ac:dyDescent="0.25">
      <c r="A16" s="51" t="s">
        <v>573</v>
      </c>
      <c r="B16" s="52">
        <v>36.17</v>
      </c>
      <c r="C16" s="52">
        <v>128.97999999999999</v>
      </c>
      <c r="D16" s="52">
        <v>100.19</v>
      </c>
      <c r="E16" s="52">
        <v>5.93</v>
      </c>
      <c r="F16" s="52">
        <v>0.84</v>
      </c>
      <c r="G16" s="52">
        <v>145.84</v>
      </c>
      <c r="H16" s="52">
        <v>57.12</v>
      </c>
      <c r="I16" s="52">
        <v>0.73</v>
      </c>
      <c r="J16" s="52">
        <v>0.81</v>
      </c>
      <c r="K16" s="52">
        <v>253</v>
      </c>
      <c r="L16" s="52">
        <v>20.75</v>
      </c>
      <c r="M16" s="8" t="s">
        <v>8</v>
      </c>
      <c r="N16" s="52">
        <v>256.8</v>
      </c>
      <c r="O16" s="52">
        <v>0</v>
      </c>
      <c r="P16" s="52">
        <v>2.09</v>
      </c>
      <c r="Q16" s="52">
        <v>237.14</v>
      </c>
      <c r="R16" s="44"/>
      <c r="S16" s="44"/>
      <c r="T16" s="44"/>
      <c r="U16" s="44"/>
    </row>
    <row r="17" spans="1:21" s="11" customFormat="1" x14ac:dyDescent="0.25">
      <c r="A17" s="51" t="s">
        <v>574</v>
      </c>
      <c r="B17" s="52">
        <v>34.21</v>
      </c>
      <c r="C17" s="52">
        <v>128.85</v>
      </c>
      <c r="D17" s="52">
        <v>97.57</v>
      </c>
      <c r="E17" s="52">
        <v>8.26</v>
      </c>
      <c r="F17" s="52">
        <v>1.46</v>
      </c>
      <c r="G17" s="52">
        <v>131.21</v>
      </c>
      <c r="H17" s="52">
        <v>57.19</v>
      </c>
      <c r="I17" s="52">
        <v>0.65</v>
      </c>
      <c r="J17" s="52">
        <v>1.24</v>
      </c>
      <c r="K17" s="52">
        <v>191.81</v>
      </c>
      <c r="L17" s="52">
        <v>24.41</v>
      </c>
      <c r="M17" s="8" t="s">
        <v>8</v>
      </c>
      <c r="N17" s="52">
        <v>408.5</v>
      </c>
      <c r="O17" s="52">
        <v>0</v>
      </c>
      <c r="P17" s="52">
        <v>1.97</v>
      </c>
      <c r="Q17" s="52">
        <v>231.47</v>
      </c>
      <c r="R17" s="44"/>
      <c r="S17" s="44"/>
      <c r="T17" s="44"/>
      <c r="U17" s="44"/>
    </row>
    <row r="18" spans="1:21" s="11" customFormat="1" x14ac:dyDescent="0.25">
      <c r="A18" s="51" t="s">
        <v>575</v>
      </c>
      <c r="B18" s="52">
        <v>23.88</v>
      </c>
      <c r="C18" s="52">
        <v>133.19999999999999</v>
      </c>
      <c r="D18" s="52">
        <v>90.51</v>
      </c>
      <c r="E18" s="52">
        <v>9.4</v>
      </c>
      <c r="F18" s="52">
        <v>2.2400000000000002</v>
      </c>
      <c r="G18" s="52">
        <v>119.77</v>
      </c>
      <c r="H18" s="52">
        <v>52.95</v>
      </c>
      <c r="I18" s="52">
        <v>0.57999999999999996</v>
      </c>
      <c r="J18" s="52">
        <v>1.19</v>
      </c>
      <c r="K18" s="52">
        <v>168.93</v>
      </c>
      <c r="L18" s="52">
        <v>27.75</v>
      </c>
      <c r="M18" s="8" t="s">
        <v>8</v>
      </c>
      <c r="N18" s="52">
        <v>504.7</v>
      </c>
      <c r="O18" s="52">
        <v>0</v>
      </c>
      <c r="P18" s="52">
        <v>1.71</v>
      </c>
      <c r="Q18" s="52">
        <v>215.92</v>
      </c>
      <c r="R18" s="44"/>
      <c r="S18" s="44"/>
      <c r="T18" s="44"/>
      <c r="U18" s="44"/>
    </row>
    <row r="19" spans="1:21" s="11" customFormat="1" x14ac:dyDescent="0.25">
      <c r="A19" s="51" t="s">
        <v>576</v>
      </c>
      <c r="B19" s="52">
        <v>18.23</v>
      </c>
      <c r="C19" s="52">
        <v>135.85</v>
      </c>
      <c r="D19" s="52">
        <v>89.59</v>
      </c>
      <c r="E19" s="52">
        <v>9.43</v>
      </c>
      <c r="F19" s="52">
        <v>5.81</v>
      </c>
      <c r="G19" s="60" t="s">
        <v>12</v>
      </c>
      <c r="H19" s="60" t="s">
        <v>12</v>
      </c>
      <c r="I19" s="52">
        <v>0.54</v>
      </c>
      <c r="J19" s="52">
        <v>1.26</v>
      </c>
      <c r="K19" s="52">
        <v>164.75</v>
      </c>
      <c r="L19" s="52">
        <v>28.37</v>
      </c>
      <c r="M19" s="8" t="s">
        <v>8</v>
      </c>
      <c r="N19" s="52">
        <v>558.79999999999995</v>
      </c>
      <c r="O19" s="52">
        <v>0</v>
      </c>
      <c r="P19" s="52">
        <v>1.5</v>
      </c>
      <c r="Q19" s="52">
        <v>202.46</v>
      </c>
      <c r="R19" s="44"/>
      <c r="S19" s="44"/>
      <c r="T19" s="44"/>
      <c r="U19" s="44"/>
    </row>
    <row r="20" spans="1:21" s="11" customFormat="1" x14ac:dyDescent="0.25">
      <c r="A20" s="51" t="s">
        <v>577</v>
      </c>
      <c r="B20" s="52">
        <v>4.75</v>
      </c>
      <c r="C20" s="52">
        <v>114.92</v>
      </c>
      <c r="D20" s="52">
        <v>67.23</v>
      </c>
      <c r="E20" s="52">
        <v>10.09</v>
      </c>
      <c r="F20" s="52">
        <v>9.76</v>
      </c>
      <c r="G20" s="60" t="s">
        <v>12</v>
      </c>
      <c r="H20" s="60" t="s">
        <v>12</v>
      </c>
      <c r="I20" s="52">
        <v>0.37</v>
      </c>
      <c r="J20" s="52">
        <v>1.2</v>
      </c>
      <c r="K20" s="52">
        <v>147.72</v>
      </c>
      <c r="L20" s="52">
        <v>31.42</v>
      </c>
      <c r="M20" s="8" t="s">
        <v>8</v>
      </c>
      <c r="N20" s="52">
        <v>571.1</v>
      </c>
      <c r="O20" s="52">
        <v>0</v>
      </c>
      <c r="P20" s="52">
        <v>1.25</v>
      </c>
      <c r="Q20" s="52">
        <v>135.09</v>
      </c>
      <c r="R20" s="44"/>
      <c r="S20" s="44"/>
      <c r="T20" s="44"/>
      <c r="U20" s="44"/>
    </row>
    <row r="21" spans="1:21" s="11" customFormat="1" x14ac:dyDescent="0.25">
      <c r="A21" s="51" t="s">
        <v>578</v>
      </c>
      <c r="B21" s="52">
        <v>5.56</v>
      </c>
      <c r="C21" s="52">
        <v>112.09</v>
      </c>
      <c r="D21" s="52">
        <v>66.319999999999993</v>
      </c>
      <c r="E21" s="52">
        <v>12.33</v>
      </c>
      <c r="F21" s="52">
        <v>10.7</v>
      </c>
      <c r="G21" s="52">
        <v>68.89</v>
      </c>
      <c r="H21" s="52">
        <v>39.869999999999997</v>
      </c>
      <c r="I21" s="52">
        <v>0.33</v>
      </c>
      <c r="J21" s="52">
        <v>1.1499999999999999</v>
      </c>
      <c r="K21" s="52">
        <v>134.30000000000001</v>
      </c>
      <c r="L21" s="52">
        <v>30.32</v>
      </c>
      <c r="M21" s="8" t="s">
        <v>8</v>
      </c>
      <c r="N21" s="52">
        <v>557.1</v>
      </c>
      <c r="O21" s="52">
        <v>0</v>
      </c>
      <c r="P21" s="52">
        <v>1.06</v>
      </c>
      <c r="Q21" s="52">
        <v>126.8</v>
      </c>
      <c r="R21" s="44"/>
      <c r="S21" s="44"/>
      <c r="T21" s="44"/>
      <c r="U21" s="44"/>
    </row>
    <row r="22" spans="1:21" s="11" customFormat="1" x14ac:dyDescent="0.25">
      <c r="A22" s="51" t="s">
        <v>579</v>
      </c>
      <c r="B22" s="52">
        <v>5.0599999999999996</v>
      </c>
      <c r="C22" s="52">
        <v>98.55</v>
      </c>
      <c r="D22" s="52">
        <v>56.86</v>
      </c>
      <c r="E22" s="52">
        <v>8.07</v>
      </c>
      <c r="F22" s="52">
        <v>6.22</v>
      </c>
      <c r="G22" s="52">
        <v>71.709999999999994</v>
      </c>
      <c r="H22" s="52">
        <v>36.57</v>
      </c>
      <c r="I22" s="52">
        <v>0.35</v>
      </c>
      <c r="J22" s="52">
        <v>0.82</v>
      </c>
      <c r="K22" s="52">
        <v>132.93</v>
      </c>
      <c r="L22" s="52">
        <v>30.3</v>
      </c>
      <c r="M22" s="8" t="s">
        <v>8</v>
      </c>
      <c r="N22" s="52">
        <v>523.9</v>
      </c>
      <c r="O22" s="52">
        <v>0</v>
      </c>
      <c r="P22" s="52">
        <v>0.94</v>
      </c>
      <c r="Q22" s="52">
        <v>164.67</v>
      </c>
      <c r="R22" s="44"/>
      <c r="S22" s="44"/>
      <c r="T22" s="44"/>
      <c r="U22" s="44"/>
    </row>
    <row r="23" spans="1:21" s="11" customFormat="1" x14ac:dyDescent="0.25">
      <c r="A23" s="51" t="s">
        <v>580</v>
      </c>
      <c r="B23" s="52">
        <v>8.5399999999999991</v>
      </c>
      <c r="C23" s="52">
        <v>106.89</v>
      </c>
      <c r="D23" s="52">
        <v>65.84</v>
      </c>
      <c r="E23" s="52">
        <v>28.57</v>
      </c>
      <c r="F23" s="52">
        <v>17.64</v>
      </c>
      <c r="G23" s="52">
        <v>74.290000000000006</v>
      </c>
      <c r="H23" s="52">
        <v>37.65</v>
      </c>
      <c r="I23" s="52">
        <v>0.36</v>
      </c>
      <c r="J23" s="52">
        <v>1.1000000000000001</v>
      </c>
      <c r="K23" s="52">
        <v>129.81</v>
      </c>
      <c r="L23" s="52">
        <v>31.43</v>
      </c>
      <c r="M23" s="8" t="s">
        <v>8</v>
      </c>
      <c r="N23" s="52">
        <v>402</v>
      </c>
      <c r="O23" s="52">
        <v>0</v>
      </c>
      <c r="P23" s="52">
        <v>0.99</v>
      </c>
      <c r="Q23" s="52">
        <v>179.99</v>
      </c>
      <c r="R23" s="44"/>
      <c r="S23" s="44"/>
      <c r="T23" s="44"/>
      <c r="U23" s="44"/>
    </row>
    <row r="24" spans="1:21" s="11" customFormat="1" x14ac:dyDescent="0.25">
      <c r="A24" s="51" t="s">
        <v>581</v>
      </c>
      <c r="B24" s="52">
        <v>7.83</v>
      </c>
      <c r="C24" s="52">
        <v>121.66</v>
      </c>
      <c r="D24" s="52">
        <v>72.38</v>
      </c>
      <c r="E24" s="52">
        <v>25.21</v>
      </c>
      <c r="F24" s="52">
        <v>16.05</v>
      </c>
      <c r="G24" s="52">
        <v>79.2</v>
      </c>
      <c r="H24" s="52">
        <v>36.11</v>
      </c>
      <c r="I24" s="52">
        <v>0.34</v>
      </c>
      <c r="J24" s="52">
        <v>1.45</v>
      </c>
      <c r="K24" s="52">
        <v>132.77000000000001</v>
      </c>
      <c r="L24" s="52">
        <v>30.07</v>
      </c>
      <c r="M24" s="8" t="s">
        <v>8</v>
      </c>
      <c r="N24" s="52">
        <v>121.6</v>
      </c>
      <c r="O24" s="52">
        <v>0</v>
      </c>
      <c r="P24" s="52">
        <v>1.03</v>
      </c>
      <c r="Q24" s="52">
        <v>158.69</v>
      </c>
      <c r="R24" s="44"/>
      <c r="S24" s="44"/>
      <c r="T24" s="44"/>
      <c r="U24" s="44"/>
    </row>
    <row r="25" spans="1:21" s="11" customFormat="1" x14ac:dyDescent="0.25">
      <c r="A25" s="51" t="s">
        <v>582</v>
      </c>
      <c r="B25" s="52">
        <v>7.53</v>
      </c>
      <c r="C25" s="52">
        <v>119.93</v>
      </c>
      <c r="D25" s="52">
        <v>70.739999999999995</v>
      </c>
      <c r="E25" s="52">
        <v>9.0500000000000007</v>
      </c>
      <c r="F25" s="52">
        <v>9.31</v>
      </c>
      <c r="G25" s="52">
        <v>85.74</v>
      </c>
      <c r="H25" s="52">
        <v>33.299999999999997</v>
      </c>
      <c r="I25" s="52">
        <v>0.27</v>
      </c>
      <c r="J25" s="52">
        <v>0.99</v>
      </c>
      <c r="K25" s="52">
        <v>140.16999999999999</v>
      </c>
      <c r="L25" s="52">
        <v>28.03</v>
      </c>
      <c r="M25" s="8" t="s">
        <v>8</v>
      </c>
      <c r="N25" s="52">
        <v>56.4</v>
      </c>
      <c r="O25" s="52">
        <v>0</v>
      </c>
      <c r="P25" s="52">
        <v>1.1399999999999999</v>
      </c>
      <c r="Q25" s="52">
        <v>133.26</v>
      </c>
      <c r="R25" s="44"/>
      <c r="S25" s="44"/>
      <c r="T25" s="44"/>
      <c r="U25" s="44"/>
    </row>
    <row r="26" spans="1:21" s="11" customFormat="1" x14ac:dyDescent="0.25">
      <c r="A26" s="51" t="s">
        <v>583</v>
      </c>
      <c r="B26" s="52">
        <v>14.32</v>
      </c>
      <c r="C26" s="52">
        <v>133.4</v>
      </c>
      <c r="D26" s="52">
        <v>84.2</v>
      </c>
      <c r="E26" s="52">
        <v>9.8000000000000007</v>
      </c>
      <c r="F26" s="52">
        <v>4.4400000000000004</v>
      </c>
      <c r="G26" s="52">
        <v>87.61</v>
      </c>
      <c r="H26" s="52">
        <v>33.86</v>
      </c>
      <c r="I26" s="52">
        <v>0.4</v>
      </c>
      <c r="J26" s="52">
        <v>11.15</v>
      </c>
      <c r="K26" s="52">
        <v>174.79</v>
      </c>
      <c r="L26" s="52">
        <v>26.19</v>
      </c>
      <c r="M26" s="52">
        <v>74.53</v>
      </c>
      <c r="N26" s="52">
        <v>99.8</v>
      </c>
      <c r="O26" s="52">
        <v>0</v>
      </c>
      <c r="P26" s="52">
        <v>1.47</v>
      </c>
      <c r="Q26" s="52">
        <v>182.08</v>
      </c>
      <c r="R26" s="44"/>
      <c r="S26" s="44"/>
      <c r="T26" s="44"/>
      <c r="U26" s="44"/>
    </row>
    <row r="27" spans="1:21" s="11" customFormat="1" x14ac:dyDescent="0.25">
      <c r="A27" s="51" t="s">
        <v>584</v>
      </c>
      <c r="B27" s="52">
        <v>28.79</v>
      </c>
      <c r="C27" s="52">
        <v>137.56</v>
      </c>
      <c r="D27" s="52">
        <v>99.01</v>
      </c>
      <c r="E27" s="52">
        <v>5.24</v>
      </c>
      <c r="F27" s="52">
        <v>1.05</v>
      </c>
      <c r="G27" s="52">
        <v>111.03</v>
      </c>
      <c r="H27" s="52">
        <v>42.42</v>
      </c>
      <c r="I27" s="52">
        <v>0.5</v>
      </c>
      <c r="J27" s="52">
        <v>0.18</v>
      </c>
      <c r="K27" s="52">
        <v>227.92</v>
      </c>
      <c r="L27" s="52">
        <v>23.34</v>
      </c>
      <c r="M27" s="52">
        <v>72.44</v>
      </c>
      <c r="N27" s="52">
        <v>10.5</v>
      </c>
      <c r="O27" s="52">
        <v>0</v>
      </c>
      <c r="P27" s="52">
        <v>1.89</v>
      </c>
      <c r="Q27" s="52">
        <v>218.65</v>
      </c>
      <c r="R27" s="44"/>
      <c r="S27" s="44"/>
      <c r="T27" s="44"/>
      <c r="U27" s="44"/>
    </row>
    <row r="28" spans="1:21" s="11" customFormat="1" x14ac:dyDescent="0.25">
      <c r="A28" s="51" t="s">
        <v>585</v>
      </c>
      <c r="B28" s="52">
        <v>81.91</v>
      </c>
      <c r="C28" s="52">
        <v>189.07</v>
      </c>
      <c r="D28" s="52">
        <v>170.03</v>
      </c>
      <c r="E28" s="52">
        <v>5.52</v>
      </c>
      <c r="F28" s="52">
        <v>0.91</v>
      </c>
      <c r="G28" s="59" t="s">
        <v>15</v>
      </c>
      <c r="H28" s="52">
        <v>54</v>
      </c>
      <c r="I28" s="52">
        <v>0.76</v>
      </c>
      <c r="J28" s="52">
        <v>0.25</v>
      </c>
      <c r="K28" s="52">
        <v>231.6</v>
      </c>
      <c r="L28" s="52">
        <v>21.26</v>
      </c>
      <c r="M28" s="52">
        <v>75.39</v>
      </c>
      <c r="N28" s="52">
        <v>10.3</v>
      </c>
      <c r="O28" s="52">
        <v>0</v>
      </c>
      <c r="P28" s="52">
        <v>2.67</v>
      </c>
      <c r="Q28" s="52">
        <v>290.89999999999998</v>
      </c>
      <c r="R28" s="44"/>
      <c r="S28" s="44"/>
      <c r="T28" s="44"/>
      <c r="U28" s="44"/>
    </row>
    <row r="29" spans="1:21" s="11" customFormat="1" x14ac:dyDescent="0.25">
      <c r="A29" s="51" t="s">
        <v>586</v>
      </c>
      <c r="B29" s="52">
        <v>117.74</v>
      </c>
      <c r="C29" s="52">
        <v>218.96</v>
      </c>
      <c r="D29" s="52">
        <v>215.25</v>
      </c>
      <c r="E29" s="52">
        <v>5.19</v>
      </c>
      <c r="F29" s="52">
        <v>1.04</v>
      </c>
      <c r="G29" s="59" t="s">
        <v>15</v>
      </c>
      <c r="H29" s="52">
        <v>71.12</v>
      </c>
      <c r="I29" s="52">
        <v>1.23</v>
      </c>
      <c r="J29" s="52">
        <v>0.21</v>
      </c>
      <c r="K29" s="52">
        <v>230.76</v>
      </c>
      <c r="L29" s="52">
        <v>21.15</v>
      </c>
      <c r="M29" s="52">
        <v>76.900000000000006</v>
      </c>
      <c r="N29" s="52">
        <v>10.8</v>
      </c>
      <c r="O29" s="52">
        <v>0</v>
      </c>
      <c r="P29" s="52">
        <v>3.49</v>
      </c>
      <c r="Q29" s="52">
        <v>352.57</v>
      </c>
      <c r="R29" s="44"/>
      <c r="S29" s="44"/>
      <c r="T29" s="44"/>
      <c r="U29" s="44"/>
    </row>
    <row r="30" spans="1:21" s="11" customFormat="1" x14ac:dyDescent="0.25">
      <c r="A30" s="51" t="s">
        <v>587</v>
      </c>
      <c r="B30" s="52">
        <v>133.69999999999999</v>
      </c>
      <c r="C30" s="52">
        <v>228.03</v>
      </c>
      <c r="D30" s="52">
        <v>232.35</v>
      </c>
      <c r="E30" s="52">
        <v>5.58</v>
      </c>
      <c r="F30" s="52">
        <v>0.93</v>
      </c>
      <c r="G30" s="59" t="s">
        <v>15</v>
      </c>
      <c r="H30" s="52">
        <v>83.1</v>
      </c>
      <c r="I30" s="52">
        <v>1.69</v>
      </c>
      <c r="J30" s="52">
        <v>0.2</v>
      </c>
      <c r="K30" s="52">
        <v>224.07</v>
      </c>
      <c r="L30" s="52">
        <v>20.51</v>
      </c>
      <c r="M30" s="52">
        <v>63.07</v>
      </c>
      <c r="N30" s="52">
        <v>10.7</v>
      </c>
      <c r="O30" s="52">
        <v>0</v>
      </c>
      <c r="P30" s="52">
        <v>3.86</v>
      </c>
      <c r="Q30" s="52">
        <v>382.58</v>
      </c>
      <c r="R30" s="44"/>
      <c r="S30" s="44"/>
      <c r="T30" s="44"/>
      <c r="U30" s="44"/>
    </row>
    <row r="31" spans="1:21" s="11" customFormat="1" x14ac:dyDescent="0.25">
      <c r="A31" s="51" t="s">
        <v>588</v>
      </c>
      <c r="B31" s="52">
        <v>132.26</v>
      </c>
      <c r="C31" s="52">
        <v>225.07</v>
      </c>
      <c r="D31" s="52">
        <v>230.27</v>
      </c>
      <c r="E31" s="52">
        <v>5.53</v>
      </c>
      <c r="F31" s="52">
        <v>0.82</v>
      </c>
      <c r="G31" s="52">
        <v>249.59</v>
      </c>
      <c r="H31" s="52">
        <v>80.59</v>
      </c>
      <c r="I31" s="52">
        <v>1.58</v>
      </c>
      <c r="J31" s="52">
        <v>0.37</v>
      </c>
      <c r="K31" s="52">
        <v>185.22</v>
      </c>
      <c r="L31" s="52">
        <v>20.61</v>
      </c>
      <c r="M31" s="52">
        <v>53.76</v>
      </c>
      <c r="N31" s="52">
        <v>10.3</v>
      </c>
      <c r="O31" s="52">
        <v>0</v>
      </c>
      <c r="P31" s="52">
        <v>3.85</v>
      </c>
      <c r="Q31" s="52">
        <v>380.84</v>
      </c>
      <c r="R31" s="44"/>
      <c r="S31" s="44"/>
      <c r="T31" s="44"/>
      <c r="U31" s="44"/>
    </row>
    <row r="32" spans="1:21" s="11" customFormat="1" x14ac:dyDescent="0.25">
      <c r="A32" s="51" t="s">
        <v>589</v>
      </c>
      <c r="B32" s="52">
        <v>109.66</v>
      </c>
      <c r="C32" s="52">
        <v>204.94</v>
      </c>
      <c r="D32" s="52">
        <v>201.04</v>
      </c>
      <c r="E32" s="52">
        <v>5.58</v>
      </c>
      <c r="F32" s="52">
        <v>1.83</v>
      </c>
      <c r="G32" s="52">
        <v>202.82</v>
      </c>
      <c r="H32" s="52">
        <v>70.92</v>
      </c>
      <c r="I32" s="52">
        <v>1.54</v>
      </c>
      <c r="J32" s="52">
        <v>0.52</v>
      </c>
      <c r="K32" s="52">
        <v>185.18</v>
      </c>
      <c r="L32" s="52">
        <v>20.440000000000001</v>
      </c>
      <c r="M32" s="52">
        <v>71.48</v>
      </c>
      <c r="N32" s="52">
        <v>10.5</v>
      </c>
      <c r="O32" s="52">
        <v>0</v>
      </c>
      <c r="P32" s="52">
        <v>3.58</v>
      </c>
      <c r="Q32" s="52">
        <v>363.1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4.75</v>
      </c>
      <c r="C34" s="28">
        <f t="shared" si="0"/>
        <v>98.55</v>
      </c>
      <c r="D34" s="28">
        <f t="shared" si="0"/>
        <v>56.86</v>
      </c>
      <c r="E34" s="28">
        <f t="shared" si="0"/>
        <v>5.19</v>
      </c>
      <c r="F34" s="28">
        <f t="shared" si="0"/>
        <v>0.77</v>
      </c>
      <c r="G34" s="28">
        <f t="shared" si="0"/>
        <v>68.89</v>
      </c>
      <c r="H34" s="28">
        <f t="shared" si="0"/>
        <v>33.299999999999997</v>
      </c>
      <c r="I34" s="28">
        <f t="shared" si="0"/>
        <v>0.27</v>
      </c>
      <c r="J34" s="28">
        <f t="shared" si="0"/>
        <v>0.18</v>
      </c>
      <c r="K34" s="28">
        <f t="shared" si="0"/>
        <v>129.81</v>
      </c>
      <c r="L34" s="28">
        <f t="shared" si="0"/>
        <v>16.670000000000002</v>
      </c>
      <c r="M34" s="28">
        <f t="shared" si="0"/>
        <v>53.76</v>
      </c>
      <c r="N34" s="28">
        <f t="shared" si="0"/>
        <v>9.6999999999999993</v>
      </c>
      <c r="O34" s="28">
        <f t="shared" si="0"/>
        <v>0</v>
      </c>
      <c r="P34" s="28">
        <f t="shared" si="0"/>
        <v>0.94</v>
      </c>
      <c r="Q34" s="28">
        <f t="shared" si="0"/>
        <v>126.8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220.15</v>
      </c>
      <c r="C35" s="29">
        <f t="shared" si="1"/>
        <v>289.70999999999998</v>
      </c>
      <c r="D35" s="29">
        <f t="shared" si="1"/>
        <v>336.42</v>
      </c>
      <c r="E35" s="29">
        <f t="shared" si="1"/>
        <v>28.57</v>
      </c>
      <c r="F35" s="29">
        <f t="shared" si="1"/>
        <v>17.64</v>
      </c>
      <c r="G35" s="29">
        <f t="shared" si="1"/>
        <v>249.59</v>
      </c>
      <c r="H35" s="29">
        <f t="shared" si="1"/>
        <v>83.1</v>
      </c>
      <c r="I35" s="29">
        <f t="shared" si="1"/>
        <v>3.04</v>
      </c>
      <c r="J35" s="29">
        <f t="shared" si="1"/>
        <v>11.15</v>
      </c>
      <c r="K35" s="29">
        <f t="shared" si="1"/>
        <v>263.72000000000003</v>
      </c>
      <c r="L35" s="29">
        <f t="shared" si="1"/>
        <v>31.43</v>
      </c>
      <c r="M35" s="29">
        <f t="shared" si="1"/>
        <v>76.900000000000006</v>
      </c>
      <c r="N35" s="29">
        <f t="shared" si="1"/>
        <v>571.1</v>
      </c>
      <c r="O35" s="29">
        <f t="shared" si="1"/>
        <v>0</v>
      </c>
      <c r="P35" s="29">
        <f t="shared" si="1"/>
        <v>5.8</v>
      </c>
      <c r="Q35" s="29">
        <f t="shared" si="1"/>
        <v>383.23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64.585416666666674</v>
      </c>
      <c r="C36" s="28">
        <f t="shared" si="2"/>
        <v>161.92875000000001</v>
      </c>
      <c r="D36" s="28">
        <f t="shared" si="2"/>
        <v>140.78833333333333</v>
      </c>
      <c r="E36" s="28">
        <f t="shared" si="2"/>
        <v>9.0108333333333359</v>
      </c>
      <c r="F36" s="28">
        <f t="shared" si="2"/>
        <v>4.0383333333333331</v>
      </c>
      <c r="G36" s="28">
        <f t="shared" si="2"/>
        <v>135.89684210526318</v>
      </c>
      <c r="H36" s="28">
        <f t="shared" si="2"/>
        <v>56.217727272727274</v>
      </c>
      <c r="I36" s="28">
        <f t="shared" si="2"/>
        <v>1.0295833333333333</v>
      </c>
      <c r="J36" s="28">
        <f t="shared" si="2"/>
        <v>1.1970833333333333</v>
      </c>
      <c r="K36" s="28">
        <f t="shared" si="2"/>
        <v>201.33791666666664</v>
      </c>
      <c r="L36" s="28">
        <f t="shared" si="2"/>
        <v>23.404166666666669</v>
      </c>
      <c r="M36" s="28">
        <f t="shared" si="2"/>
        <v>69.652857142857144</v>
      </c>
      <c r="N36" s="28">
        <f t="shared" si="2"/>
        <v>176.00833333333335</v>
      </c>
      <c r="O36" s="28">
        <f t="shared" si="2"/>
        <v>0</v>
      </c>
      <c r="P36" s="28">
        <f t="shared" si="2"/>
        <v>2.4745833333333338</v>
      </c>
      <c r="Q36" s="28">
        <f t="shared" si="2"/>
        <v>248.47409090909093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61.178420106891949</v>
      </c>
      <c r="C37" s="28">
        <f t="shared" ref="C37:Q37" si="3">STDEV(C9:C32)</f>
        <v>51.746673853411153</v>
      </c>
      <c r="D37" s="28">
        <f t="shared" si="3"/>
        <v>77.577968839583406</v>
      </c>
      <c r="E37" s="28">
        <f t="shared" si="3"/>
        <v>5.8311024512609437</v>
      </c>
      <c r="F37" s="28">
        <f t="shared" si="3"/>
        <v>5.0504693425175979</v>
      </c>
      <c r="G37" s="28">
        <f t="shared" si="3"/>
        <v>55.917002984843649</v>
      </c>
      <c r="H37" s="28">
        <f t="shared" si="3"/>
        <v>15.980163576199031</v>
      </c>
      <c r="I37" s="28">
        <f t="shared" si="3"/>
        <v>0.76759069237093602</v>
      </c>
      <c r="J37" s="28">
        <f t="shared" si="3"/>
        <v>2.1529342548710355</v>
      </c>
      <c r="K37" s="28">
        <f t="shared" si="3"/>
        <v>48.740837531756767</v>
      </c>
      <c r="L37" s="28">
        <f t="shared" si="3"/>
        <v>5.1121712537371247</v>
      </c>
      <c r="M37" s="28">
        <f t="shared" si="3"/>
        <v>8.3291250326503707</v>
      </c>
      <c r="N37" s="28">
        <f t="shared" si="3"/>
        <v>224.55621919624082</v>
      </c>
      <c r="O37" s="28">
        <f t="shared" si="3"/>
        <v>0</v>
      </c>
      <c r="P37" s="28">
        <f t="shared" si="3"/>
        <v>1.3194629314748589</v>
      </c>
      <c r="Q37" s="28">
        <f t="shared" si="3"/>
        <v>86.307830614172303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21</v>
      </c>
      <c r="H38" s="32">
        <f>COUNT(H9:H32)+2</f>
        <v>24</v>
      </c>
      <c r="I38" s="32">
        <f>COUNT(I9:I32)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>COUNT(M9:M32)+17</f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22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299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32" sqref="F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23-11-2022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590</v>
      </c>
      <c r="B9" s="52">
        <v>83.17</v>
      </c>
      <c r="C9" s="52">
        <v>177.98</v>
      </c>
      <c r="D9" s="52">
        <v>164.92</v>
      </c>
      <c r="E9" s="52">
        <v>6.29</v>
      </c>
      <c r="F9" s="52">
        <v>1.42</v>
      </c>
      <c r="G9" s="52">
        <v>206.48</v>
      </c>
      <c r="H9" s="52">
        <v>61.74</v>
      </c>
      <c r="I9" s="52">
        <v>1.4</v>
      </c>
      <c r="J9" s="52">
        <v>0.55000000000000004</v>
      </c>
      <c r="K9" s="52">
        <v>197</v>
      </c>
      <c r="L9" s="52">
        <v>19.86</v>
      </c>
      <c r="M9" s="52">
        <v>65.48</v>
      </c>
      <c r="N9" s="52">
        <v>10.8</v>
      </c>
      <c r="O9" s="52">
        <v>0</v>
      </c>
      <c r="P9" s="52">
        <v>3.08</v>
      </c>
      <c r="Q9" s="52">
        <v>333.46</v>
      </c>
      <c r="R9" s="44"/>
      <c r="S9" s="44"/>
      <c r="T9" s="44"/>
      <c r="U9" s="44"/>
    </row>
    <row r="10" spans="1:21" s="11" customFormat="1" x14ac:dyDescent="0.25">
      <c r="A10" s="51" t="s">
        <v>591</v>
      </c>
      <c r="B10" s="52">
        <v>63.21</v>
      </c>
      <c r="C10" s="52">
        <v>155.72</v>
      </c>
      <c r="D10" s="52">
        <v>136.63</v>
      </c>
      <c r="E10" s="52">
        <v>5.86</v>
      </c>
      <c r="F10" s="52">
        <v>0.9</v>
      </c>
      <c r="G10" s="52">
        <v>118.51</v>
      </c>
      <c r="H10" s="52">
        <v>50.46</v>
      </c>
      <c r="I10" s="52">
        <v>1.2</v>
      </c>
      <c r="J10" s="52">
        <v>0.54</v>
      </c>
      <c r="K10" s="52">
        <v>211.41</v>
      </c>
      <c r="L10" s="52">
        <v>19.14</v>
      </c>
      <c r="M10" s="52">
        <v>66.47</v>
      </c>
      <c r="N10" s="52">
        <v>10.8</v>
      </c>
      <c r="O10" s="52">
        <v>0</v>
      </c>
      <c r="P10" s="52">
        <v>2.5099999999999998</v>
      </c>
      <c r="Q10" s="52">
        <v>304.36</v>
      </c>
      <c r="R10" s="44"/>
      <c r="S10" s="44"/>
      <c r="T10" s="44"/>
      <c r="U10" s="44"/>
    </row>
    <row r="11" spans="1:21" s="11" customFormat="1" x14ac:dyDescent="0.25">
      <c r="A11" s="51" t="s">
        <v>592</v>
      </c>
      <c r="B11" s="52">
        <v>46.39</v>
      </c>
      <c r="C11" s="52">
        <v>134.75</v>
      </c>
      <c r="D11" s="52">
        <v>111.56</v>
      </c>
      <c r="E11" s="52">
        <v>5.8</v>
      </c>
      <c r="F11" s="52">
        <v>1</v>
      </c>
      <c r="G11" s="52">
        <v>139.5</v>
      </c>
      <c r="H11" s="52">
        <v>51.11</v>
      </c>
      <c r="I11" s="52">
        <v>1</v>
      </c>
      <c r="J11" s="52">
        <v>0.44</v>
      </c>
      <c r="K11" s="52">
        <v>240.12</v>
      </c>
      <c r="L11" s="52">
        <v>18.53</v>
      </c>
      <c r="M11" s="52">
        <v>70.819999999999993</v>
      </c>
      <c r="N11" s="52">
        <v>10.9</v>
      </c>
      <c r="O11" s="52">
        <v>0</v>
      </c>
      <c r="P11" s="52">
        <v>2.2400000000000002</v>
      </c>
      <c r="Q11" s="52">
        <v>279.45</v>
      </c>
      <c r="R11" s="44"/>
      <c r="S11" s="44"/>
      <c r="T11" s="44"/>
      <c r="U11" s="44"/>
    </row>
    <row r="12" spans="1:21" s="11" customFormat="1" x14ac:dyDescent="0.25">
      <c r="A12" s="51" t="s">
        <v>593</v>
      </c>
      <c r="B12" s="52">
        <v>36.96</v>
      </c>
      <c r="C12" s="52">
        <v>122.32</v>
      </c>
      <c r="D12" s="52">
        <v>97.14</v>
      </c>
      <c r="E12" s="52">
        <v>5.8</v>
      </c>
      <c r="F12" s="52">
        <v>1.69</v>
      </c>
      <c r="G12" s="52">
        <v>186.45</v>
      </c>
      <c r="H12" s="52">
        <v>57.92</v>
      </c>
      <c r="I12" s="52">
        <v>0.86</v>
      </c>
      <c r="J12" s="52">
        <v>0.28000000000000003</v>
      </c>
      <c r="K12" s="52">
        <v>252.63</v>
      </c>
      <c r="L12" s="52">
        <v>17.399999999999999</v>
      </c>
      <c r="M12" s="52">
        <v>68.349999999999994</v>
      </c>
      <c r="N12" s="52">
        <v>10.8</v>
      </c>
      <c r="O12" s="52">
        <v>0</v>
      </c>
      <c r="P12" s="52">
        <v>2.12</v>
      </c>
      <c r="Q12" s="52">
        <v>263.58999999999997</v>
      </c>
      <c r="R12" s="44"/>
      <c r="S12" s="44"/>
      <c r="T12" s="44"/>
      <c r="U12" s="44"/>
    </row>
    <row r="13" spans="1:21" s="11" customFormat="1" x14ac:dyDescent="0.25">
      <c r="A13" s="51" t="s">
        <v>594</v>
      </c>
      <c r="B13" s="52">
        <v>33.159999999999997</v>
      </c>
      <c r="C13" s="52">
        <v>112.64</v>
      </c>
      <c r="D13" s="52">
        <v>86.87</v>
      </c>
      <c r="E13" s="52">
        <v>6.57</v>
      </c>
      <c r="F13" s="52">
        <v>1.75</v>
      </c>
      <c r="G13" s="52">
        <v>155.80000000000001</v>
      </c>
      <c r="H13" s="52">
        <v>61.42</v>
      </c>
      <c r="I13" s="52">
        <v>0.78</v>
      </c>
      <c r="J13" s="52">
        <v>0.4</v>
      </c>
      <c r="K13" s="52">
        <v>284.36</v>
      </c>
      <c r="L13" s="52">
        <v>17.13</v>
      </c>
      <c r="M13" s="52">
        <v>67.19</v>
      </c>
      <c r="N13" s="52">
        <v>11.1</v>
      </c>
      <c r="O13" s="52">
        <v>0</v>
      </c>
      <c r="P13" s="52">
        <v>2.14</v>
      </c>
      <c r="Q13" s="52">
        <v>254.8</v>
      </c>
      <c r="R13" s="44"/>
      <c r="S13" s="44"/>
      <c r="T13" s="44"/>
      <c r="U13" s="44"/>
    </row>
    <row r="14" spans="1:21" s="11" customFormat="1" x14ac:dyDescent="0.25">
      <c r="A14" s="51" t="s">
        <v>595</v>
      </c>
      <c r="B14" s="52">
        <v>36.31</v>
      </c>
      <c r="C14" s="52">
        <v>109.93</v>
      </c>
      <c r="D14" s="52">
        <v>89.79</v>
      </c>
      <c r="E14" s="52">
        <v>6.16</v>
      </c>
      <c r="F14" s="52">
        <v>0.81</v>
      </c>
      <c r="G14" s="52">
        <v>195.26</v>
      </c>
      <c r="H14" s="52">
        <v>58.27</v>
      </c>
      <c r="I14" s="52">
        <v>0.7</v>
      </c>
      <c r="J14" s="52">
        <v>0.25</v>
      </c>
      <c r="K14" s="52">
        <v>270.63</v>
      </c>
      <c r="L14" s="52">
        <v>16.46</v>
      </c>
      <c r="M14" s="52">
        <v>59.72</v>
      </c>
      <c r="N14" s="52">
        <v>10.9</v>
      </c>
      <c r="O14" s="52">
        <v>0</v>
      </c>
      <c r="P14" s="52">
        <v>2.0099999999999998</v>
      </c>
      <c r="Q14" s="52">
        <v>254.87</v>
      </c>
      <c r="R14" s="44"/>
      <c r="S14" s="44"/>
      <c r="T14" s="44"/>
      <c r="U14" s="44"/>
    </row>
    <row r="15" spans="1:21" s="11" customFormat="1" x14ac:dyDescent="0.25">
      <c r="A15" s="51" t="s">
        <v>596</v>
      </c>
      <c r="B15" s="52">
        <v>41.12</v>
      </c>
      <c r="C15" s="52">
        <v>118.22</v>
      </c>
      <c r="D15" s="52">
        <v>98.22</v>
      </c>
      <c r="E15" s="52">
        <v>6.05</v>
      </c>
      <c r="F15" s="52">
        <v>1.06</v>
      </c>
      <c r="G15" s="52">
        <v>181.16</v>
      </c>
      <c r="H15" s="52">
        <v>60.12</v>
      </c>
      <c r="I15" s="52">
        <v>0.64</v>
      </c>
      <c r="J15" s="52">
        <v>0.47</v>
      </c>
      <c r="K15" s="52">
        <v>265.93</v>
      </c>
      <c r="L15" s="52">
        <v>17.12</v>
      </c>
      <c r="M15" s="52">
        <v>58.57</v>
      </c>
      <c r="N15" s="52">
        <v>36.4</v>
      </c>
      <c r="O15" s="52">
        <v>0</v>
      </c>
      <c r="P15" s="52">
        <v>1.93</v>
      </c>
      <c r="Q15" s="52">
        <v>254.76</v>
      </c>
      <c r="R15" s="44"/>
      <c r="S15" s="44"/>
      <c r="T15" s="44"/>
      <c r="U15" s="44"/>
    </row>
    <row r="16" spans="1:21" s="11" customFormat="1" x14ac:dyDescent="0.25">
      <c r="A16" s="51" t="s">
        <v>597</v>
      </c>
      <c r="B16" s="52">
        <v>40.03</v>
      </c>
      <c r="C16" s="52">
        <v>120.01</v>
      </c>
      <c r="D16" s="52">
        <v>97.44</v>
      </c>
      <c r="E16" s="52">
        <v>6.72</v>
      </c>
      <c r="F16" s="52">
        <v>1.1000000000000001</v>
      </c>
      <c r="G16" s="52">
        <v>139.72</v>
      </c>
      <c r="H16" s="52">
        <v>50.27</v>
      </c>
      <c r="I16" s="52">
        <v>0.61</v>
      </c>
      <c r="J16" s="52">
        <v>0.99</v>
      </c>
      <c r="K16" s="52">
        <v>241.79</v>
      </c>
      <c r="L16" s="52">
        <v>22.57</v>
      </c>
      <c r="M16" s="52">
        <v>83.89</v>
      </c>
      <c r="N16" s="52">
        <v>232.8</v>
      </c>
      <c r="O16" s="52">
        <v>0</v>
      </c>
      <c r="P16" s="52">
        <v>1.67</v>
      </c>
      <c r="Q16" s="52">
        <v>250.84</v>
      </c>
      <c r="R16" s="44"/>
      <c r="S16" s="44"/>
      <c r="T16" s="44"/>
      <c r="U16" s="44"/>
    </row>
    <row r="17" spans="1:21" s="11" customFormat="1" x14ac:dyDescent="0.25">
      <c r="A17" s="51" t="s">
        <v>598</v>
      </c>
      <c r="B17" s="52">
        <v>36.74</v>
      </c>
      <c r="C17" s="52">
        <v>121.03</v>
      </c>
      <c r="D17" s="52">
        <v>96.26</v>
      </c>
      <c r="E17" s="52">
        <v>4.9800000000000004</v>
      </c>
      <c r="F17" s="52">
        <v>1.19</v>
      </c>
      <c r="G17" s="52">
        <v>132.16</v>
      </c>
      <c r="H17" s="52">
        <v>50.6</v>
      </c>
      <c r="I17" s="52">
        <v>0.57999999999999996</v>
      </c>
      <c r="J17" s="52">
        <v>1.34</v>
      </c>
      <c r="K17" s="52">
        <v>170.32</v>
      </c>
      <c r="L17" s="52">
        <v>25.04</v>
      </c>
      <c r="M17" s="52">
        <v>83.72</v>
      </c>
      <c r="N17" s="52">
        <v>391.2</v>
      </c>
      <c r="O17" s="52">
        <v>0</v>
      </c>
      <c r="P17" s="52">
        <v>1.59</v>
      </c>
      <c r="Q17" s="52">
        <v>243.39</v>
      </c>
      <c r="R17" s="44"/>
      <c r="S17" s="44"/>
      <c r="T17" s="44"/>
      <c r="U17" s="44"/>
    </row>
    <row r="18" spans="1:21" s="11" customFormat="1" x14ac:dyDescent="0.25">
      <c r="A18" s="51" t="s">
        <v>599</v>
      </c>
      <c r="B18" s="52">
        <v>26.81</v>
      </c>
      <c r="C18" s="52">
        <v>119.1</v>
      </c>
      <c r="D18" s="52">
        <v>87.22</v>
      </c>
      <c r="E18" s="52">
        <v>5.38</v>
      </c>
      <c r="F18" s="52">
        <v>1.9</v>
      </c>
      <c r="G18" s="52">
        <v>108.33</v>
      </c>
      <c r="H18" s="52">
        <v>44.67</v>
      </c>
      <c r="I18" s="52">
        <v>0.53</v>
      </c>
      <c r="J18" s="52">
        <v>1.49</v>
      </c>
      <c r="K18" s="52">
        <v>153.41999999999999</v>
      </c>
      <c r="L18" s="52">
        <v>28.64</v>
      </c>
      <c r="M18" s="52">
        <v>86.65</v>
      </c>
      <c r="N18" s="52">
        <v>487.5</v>
      </c>
      <c r="O18" s="52">
        <v>0</v>
      </c>
      <c r="P18" s="52">
        <v>1.46</v>
      </c>
      <c r="Q18" s="52">
        <v>225.11</v>
      </c>
      <c r="R18" s="44"/>
      <c r="S18" s="44"/>
      <c r="T18" s="44"/>
      <c r="U18" s="44"/>
    </row>
    <row r="19" spans="1:21" s="11" customFormat="1" x14ac:dyDescent="0.25">
      <c r="A19" s="51" t="s">
        <v>600</v>
      </c>
      <c r="B19" s="52">
        <v>17.579999999999998</v>
      </c>
      <c r="C19" s="52">
        <v>116.8</v>
      </c>
      <c r="D19" s="52">
        <v>78.05</v>
      </c>
      <c r="E19" s="52">
        <v>5.28</v>
      </c>
      <c r="F19" s="52">
        <v>2.75</v>
      </c>
      <c r="G19" s="52">
        <v>86.65</v>
      </c>
      <c r="H19" s="52">
        <v>44.38</v>
      </c>
      <c r="I19" s="52">
        <v>0.48</v>
      </c>
      <c r="J19" s="52">
        <v>1.22</v>
      </c>
      <c r="K19" s="52">
        <v>138.63999999999999</v>
      </c>
      <c r="L19" s="52">
        <v>30.21</v>
      </c>
      <c r="M19" s="52">
        <v>77.459999999999994</v>
      </c>
      <c r="N19" s="52">
        <v>528.29999999999995</v>
      </c>
      <c r="O19" s="52">
        <v>0</v>
      </c>
      <c r="P19" s="52">
        <v>1.36</v>
      </c>
      <c r="Q19" s="52">
        <v>211.03</v>
      </c>
      <c r="R19" s="44"/>
      <c r="S19" s="44"/>
      <c r="T19" s="44"/>
      <c r="U19" s="44"/>
    </row>
    <row r="20" spans="1:21" s="11" customFormat="1" x14ac:dyDescent="0.25">
      <c r="A20" s="51" t="s">
        <v>601</v>
      </c>
      <c r="B20" s="52">
        <v>10.95</v>
      </c>
      <c r="C20" s="52">
        <v>111.5</v>
      </c>
      <c r="D20" s="52">
        <v>70.31</v>
      </c>
      <c r="E20" s="52">
        <v>5.66</v>
      </c>
      <c r="F20" s="52">
        <v>2.99</v>
      </c>
      <c r="G20" s="52">
        <v>73.38</v>
      </c>
      <c r="H20" s="52">
        <v>43.26</v>
      </c>
      <c r="I20" s="52">
        <v>0.49</v>
      </c>
      <c r="J20" s="52">
        <v>1</v>
      </c>
      <c r="K20" s="52">
        <v>125.35</v>
      </c>
      <c r="L20" s="52">
        <v>30.6</v>
      </c>
      <c r="M20" s="52">
        <v>79.39</v>
      </c>
      <c r="N20" s="52">
        <v>523.29999999999995</v>
      </c>
      <c r="O20" s="52">
        <v>0</v>
      </c>
      <c r="P20" s="52">
        <v>1.28</v>
      </c>
      <c r="Q20" s="52">
        <v>218.18</v>
      </c>
      <c r="R20" s="44"/>
      <c r="S20" s="44"/>
      <c r="T20" s="44"/>
      <c r="U20" s="44"/>
    </row>
    <row r="21" spans="1:21" s="11" customFormat="1" x14ac:dyDescent="0.25">
      <c r="A21" s="51" t="s">
        <v>602</v>
      </c>
      <c r="B21" s="52">
        <v>8.3000000000000007</v>
      </c>
      <c r="C21" s="52">
        <v>107.59</v>
      </c>
      <c r="D21" s="52">
        <v>66.03</v>
      </c>
      <c r="E21" s="52">
        <v>4.9800000000000004</v>
      </c>
      <c r="F21" s="52">
        <v>3.63</v>
      </c>
      <c r="G21" s="52">
        <v>61.72</v>
      </c>
      <c r="H21" s="52">
        <v>41.22</v>
      </c>
      <c r="I21" s="52">
        <v>0.49</v>
      </c>
      <c r="J21" s="52">
        <v>1.24</v>
      </c>
      <c r="K21" s="52">
        <v>115.6</v>
      </c>
      <c r="L21" s="52">
        <v>31.19</v>
      </c>
      <c r="M21" s="52">
        <v>73.39</v>
      </c>
      <c r="N21" s="52">
        <v>517.9</v>
      </c>
      <c r="O21" s="52">
        <v>0</v>
      </c>
      <c r="P21" s="52">
        <v>1.21</v>
      </c>
      <c r="Q21" s="52">
        <v>216.77</v>
      </c>
      <c r="R21" s="44"/>
      <c r="S21" s="44"/>
      <c r="T21" s="44"/>
      <c r="U21" s="44"/>
    </row>
    <row r="22" spans="1:21" s="11" customFormat="1" x14ac:dyDescent="0.25">
      <c r="A22" s="51" t="s">
        <v>603</v>
      </c>
      <c r="B22" s="52">
        <v>5.95</v>
      </c>
      <c r="C22" s="52">
        <v>97.92</v>
      </c>
      <c r="D22" s="52">
        <v>58.81</v>
      </c>
      <c r="E22" s="52">
        <v>16.96</v>
      </c>
      <c r="F22" s="52">
        <v>10.56</v>
      </c>
      <c r="G22" s="52">
        <v>66.22</v>
      </c>
      <c r="H22" s="52">
        <v>37.79</v>
      </c>
      <c r="I22" s="52">
        <v>0.46</v>
      </c>
      <c r="J22" s="52">
        <v>0.92</v>
      </c>
      <c r="K22" s="52">
        <v>115.74</v>
      </c>
      <c r="L22" s="52">
        <v>31.12</v>
      </c>
      <c r="M22" s="52">
        <v>82.15</v>
      </c>
      <c r="N22" s="52">
        <v>473</v>
      </c>
      <c r="O22" s="52">
        <v>0</v>
      </c>
      <c r="P22" s="52">
        <v>1.0900000000000001</v>
      </c>
      <c r="Q22" s="52">
        <v>220.1</v>
      </c>
      <c r="R22" s="44"/>
      <c r="S22" s="44"/>
      <c r="T22" s="44"/>
      <c r="U22" s="44"/>
    </row>
    <row r="23" spans="1:21" s="11" customFormat="1" x14ac:dyDescent="0.25">
      <c r="A23" s="51" t="s">
        <v>604</v>
      </c>
      <c r="B23" s="52">
        <v>5.93</v>
      </c>
      <c r="C23" s="52">
        <v>102.58</v>
      </c>
      <c r="D23" s="52">
        <v>60.67</v>
      </c>
      <c r="E23" s="52">
        <v>10.67</v>
      </c>
      <c r="F23" s="52">
        <v>7.63</v>
      </c>
      <c r="G23" s="52">
        <v>84.48</v>
      </c>
      <c r="H23" s="52">
        <v>38.44</v>
      </c>
      <c r="I23" s="52">
        <v>0.46</v>
      </c>
      <c r="J23" s="52">
        <v>1.31</v>
      </c>
      <c r="K23" s="52">
        <v>112.49</v>
      </c>
      <c r="L23" s="52">
        <v>31.68</v>
      </c>
      <c r="M23" s="52">
        <v>87.46</v>
      </c>
      <c r="N23" s="52">
        <v>330.7</v>
      </c>
      <c r="O23" s="52">
        <v>0</v>
      </c>
      <c r="P23" s="52">
        <v>1.0900000000000001</v>
      </c>
      <c r="Q23" s="52">
        <v>228.51</v>
      </c>
      <c r="R23" s="44"/>
      <c r="S23" s="44"/>
      <c r="T23" s="44"/>
      <c r="U23" s="44"/>
    </row>
    <row r="24" spans="1:21" s="11" customFormat="1" x14ac:dyDescent="0.25">
      <c r="A24" s="51" t="s">
        <v>605</v>
      </c>
      <c r="B24" s="52">
        <v>4.6500000000000004</v>
      </c>
      <c r="C24" s="52">
        <v>104.08</v>
      </c>
      <c r="D24" s="52">
        <v>61.04</v>
      </c>
      <c r="E24" s="52">
        <v>6.01</v>
      </c>
      <c r="F24" s="52">
        <v>3.61</v>
      </c>
      <c r="G24" s="52">
        <v>103.9</v>
      </c>
      <c r="H24" s="52">
        <v>36.9</v>
      </c>
      <c r="I24" s="52">
        <v>0.46</v>
      </c>
      <c r="J24" s="52">
        <v>1.08</v>
      </c>
      <c r="K24" s="52">
        <v>125.46</v>
      </c>
      <c r="L24" s="52">
        <v>30.64</v>
      </c>
      <c r="M24" s="52">
        <v>86.7</v>
      </c>
      <c r="N24" s="52">
        <v>119.7</v>
      </c>
      <c r="O24" s="52">
        <v>0</v>
      </c>
      <c r="P24" s="52">
        <v>1.1000000000000001</v>
      </c>
      <c r="Q24" s="52">
        <v>233.68</v>
      </c>
      <c r="R24" s="44"/>
      <c r="S24" s="44"/>
      <c r="T24" s="44"/>
      <c r="U24" s="44"/>
    </row>
    <row r="25" spans="1:21" s="11" customFormat="1" x14ac:dyDescent="0.25">
      <c r="A25" s="51" t="s">
        <v>606</v>
      </c>
      <c r="B25" s="52">
        <v>7.83</v>
      </c>
      <c r="C25" s="52">
        <v>113.59</v>
      </c>
      <c r="D25" s="52">
        <v>68.900000000000006</v>
      </c>
      <c r="E25" s="52">
        <v>6.1</v>
      </c>
      <c r="F25" s="52">
        <v>5.94</v>
      </c>
      <c r="G25" s="52">
        <v>95.12</v>
      </c>
      <c r="H25" s="52">
        <v>36.090000000000003</v>
      </c>
      <c r="I25" s="52">
        <v>0.43</v>
      </c>
      <c r="J25" s="52">
        <v>0.71</v>
      </c>
      <c r="K25" s="52">
        <v>135.84</v>
      </c>
      <c r="L25" s="52">
        <v>27.94</v>
      </c>
      <c r="M25" s="52">
        <v>87.11</v>
      </c>
      <c r="N25" s="52">
        <v>51.6</v>
      </c>
      <c r="O25" s="52">
        <v>0</v>
      </c>
      <c r="P25" s="52">
        <v>1.21</v>
      </c>
      <c r="Q25" s="52">
        <v>229.94</v>
      </c>
      <c r="R25" s="44"/>
      <c r="S25" s="44"/>
      <c r="T25" s="44"/>
      <c r="U25" s="44"/>
    </row>
    <row r="26" spans="1:21" s="11" customFormat="1" x14ac:dyDescent="0.25">
      <c r="A26" s="51" t="s">
        <v>607</v>
      </c>
      <c r="B26" s="52">
        <v>18.37</v>
      </c>
      <c r="C26" s="52">
        <v>140.34</v>
      </c>
      <c r="D26" s="52">
        <v>91.89</v>
      </c>
      <c r="E26" s="52">
        <v>7.25</v>
      </c>
      <c r="F26" s="52">
        <v>4.6900000000000004</v>
      </c>
      <c r="G26" s="52">
        <v>101.2</v>
      </c>
      <c r="H26" s="52">
        <v>34.97</v>
      </c>
      <c r="I26" s="52">
        <v>0.49</v>
      </c>
      <c r="J26" s="52">
        <v>0.67</v>
      </c>
      <c r="K26" s="52">
        <v>154.58000000000001</v>
      </c>
      <c r="L26" s="52">
        <v>25.71</v>
      </c>
      <c r="M26" s="52">
        <v>83.75</v>
      </c>
      <c r="N26" s="52">
        <v>11.3</v>
      </c>
      <c r="O26" s="52">
        <v>0</v>
      </c>
      <c r="P26" s="52">
        <v>1.56</v>
      </c>
      <c r="Q26" s="52">
        <v>255.94</v>
      </c>
      <c r="R26" s="44"/>
      <c r="S26" s="44"/>
      <c r="T26" s="44"/>
      <c r="U26" s="44"/>
    </row>
    <row r="27" spans="1:21" s="11" customFormat="1" x14ac:dyDescent="0.25">
      <c r="A27" s="51" t="s">
        <v>608</v>
      </c>
      <c r="B27" s="52">
        <v>33.86</v>
      </c>
      <c r="C27" s="52">
        <v>153.91999999999999</v>
      </c>
      <c r="D27" s="52">
        <v>108.23</v>
      </c>
      <c r="E27" s="52">
        <v>6.5</v>
      </c>
      <c r="F27" s="52">
        <v>1.07</v>
      </c>
      <c r="G27" s="52">
        <v>121.71</v>
      </c>
      <c r="H27" s="52">
        <v>42</v>
      </c>
      <c r="I27" s="52">
        <v>0.71</v>
      </c>
      <c r="J27" s="52">
        <v>0.27</v>
      </c>
      <c r="K27" s="52">
        <v>192.13</v>
      </c>
      <c r="L27" s="52">
        <v>23.76</v>
      </c>
      <c r="M27" s="52">
        <v>27.38</v>
      </c>
      <c r="N27" s="52">
        <v>6.1</v>
      </c>
      <c r="O27" s="52">
        <v>0</v>
      </c>
      <c r="P27" s="52">
        <v>1.95</v>
      </c>
      <c r="Q27" s="52">
        <v>296.87</v>
      </c>
      <c r="R27" s="44"/>
      <c r="S27" s="44"/>
      <c r="T27" s="44"/>
      <c r="U27" s="44"/>
    </row>
    <row r="28" spans="1:21" s="11" customFormat="1" x14ac:dyDescent="0.25">
      <c r="A28" s="51" t="s">
        <v>609</v>
      </c>
      <c r="B28" s="52">
        <v>48.55</v>
      </c>
      <c r="C28" s="52">
        <v>161.01</v>
      </c>
      <c r="D28" s="52">
        <v>127.79</v>
      </c>
      <c r="E28" s="52">
        <v>5.71</v>
      </c>
      <c r="F28" s="52">
        <v>0.82</v>
      </c>
      <c r="G28" s="52">
        <v>221.72</v>
      </c>
      <c r="H28" s="52">
        <v>45.43</v>
      </c>
      <c r="I28" s="52">
        <v>0.91</v>
      </c>
      <c r="J28" s="52">
        <v>0.28000000000000003</v>
      </c>
      <c r="K28" s="52">
        <v>188.31</v>
      </c>
      <c r="L28" s="52">
        <v>22.36</v>
      </c>
      <c r="M28" s="52">
        <v>60.67</v>
      </c>
      <c r="N28" s="52">
        <v>6.2</v>
      </c>
      <c r="O28" s="52">
        <v>0</v>
      </c>
      <c r="P28" s="52">
        <v>2.4</v>
      </c>
      <c r="Q28" s="52">
        <v>317.57</v>
      </c>
      <c r="R28" s="44"/>
      <c r="S28" s="44"/>
      <c r="T28" s="44"/>
      <c r="U28" s="44"/>
    </row>
    <row r="29" spans="1:21" s="11" customFormat="1" x14ac:dyDescent="0.25">
      <c r="A29" s="51" t="s">
        <v>610</v>
      </c>
      <c r="B29" s="52">
        <v>47.03</v>
      </c>
      <c r="C29" s="52">
        <v>160.49</v>
      </c>
      <c r="D29" s="52">
        <v>124.24</v>
      </c>
      <c r="E29" s="52">
        <v>6.74</v>
      </c>
      <c r="F29" s="52">
        <v>1.1200000000000001</v>
      </c>
      <c r="G29" s="52">
        <v>216.55</v>
      </c>
      <c r="H29" s="52">
        <v>48.88</v>
      </c>
      <c r="I29" s="52">
        <v>1.02</v>
      </c>
      <c r="J29" s="52">
        <v>0.22</v>
      </c>
      <c r="K29" s="52">
        <v>186.7</v>
      </c>
      <c r="L29" s="52">
        <v>21.7</v>
      </c>
      <c r="M29" s="52">
        <v>45.27</v>
      </c>
      <c r="N29" s="52">
        <v>6.1</v>
      </c>
      <c r="O29" s="52">
        <v>0</v>
      </c>
      <c r="P29" s="52">
        <v>2.56</v>
      </c>
      <c r="Q29" s="52">
        <v>315.60000000000002</v>
      </c>
      <c r="R29" s="44"/>
      <c r="S29" s="44"/>
      <c r="T29" s="44"/>
      <c r="U29" s="44"/>
    </row>
    <row r="30" spans="1:21" s="11" customFormat="1" x14ac:dyDescent="0.25">
      <c r="A30" s="51" t="s">
        <v>611</v>
      </c>
      <c r="B30" s="52">
        <v>51.78</v>
      </c>
      <c r="C30" s="52">
        <v>156.07</v>
      </c>
      <c r="D30" s="52">
        <v>127.65</v>
      </c>
      <c r="E30" s="52">
        <v>6.53</v>
      </c>
      <c r="F30" s="52">
        <v>0.94</v>
      </c>
      <c r="G30" s="52">
        <v>159.58000000000001</v>
      </c>
      <c r="H30" s="52">
        <v>47.04</v>
      </c>
      <c r="I30" s="52">
        <v>1.08</v>
      </c>
      <c r="J30" s="52">
        <v>0.21</v>
      </c>
      <c r="K30" s="52">
        <v>212.77</v>
      </c>
      <c r="L30" s="52">
        <v>20.84</v>
      </c>
      <c r="M30" s="52">
        <v>70.28</v>
      </c>
      <c r="N30" s="52">
        <v>6</v>
      </c>
      <c r="O30" s="52">
        <v>0</v>
      </c>
      <c r="P30" s="52">
        <v>2.61</v>
      </c>
      <c r="Q30" s="52">
        <v>319.7</v>
      </c>
      <c r="R30" s="44"/>
      <c r="S30" s="44"/>
      <c r="T30" s="44"/>
      <c r="U30" s="44"/>
    </row>
    <row r="31" spans="1:21" s="11" customFormat="1" x14ac:dyDescent="0.25">
      <c r="A31" s="51" t="s">
        <v>612</v>
      </c>
      <c r="B31" s="52">
        <v>66.28</v>
      </c>
      <c r="C31" s="52">
        <v>165.04</v>
      </c>
      <c r="D31" s="52">
        <v>144.22999999999999</v>
      </c>
      <c r="E31" s="52">
        <v>6.81</v>
      </c>
      <c r="F31" s="52">
        <v>0.97</v>
      </c>
      <c r="G31" s="52">
        <v>174.16</v>
      </c>
      <c r="H31" s="52">
        <v>46.27</v>
      </c>
      <c r="I31" s="52">
        <v>1.19</v>
      </c>
      <c r="J31" s="52">
        <v>0.66</v>
      </c>
      <c r="K31" s="52">
        <v>229.04</v>
      </c>
      <c r="L31" s="52">
        <v>20.07</v>
      </c>
      <c r="M31" s="52">
        <v>76.75</v>
      </c>
      <c r="N31" s="52">
        <v>6</v>
      </c>
      <c r="O31" s="52">
        <v>0</v>
      </c>
      <c r="P31" s="52">
        <v>2.79</v>
      </c>
      <c r="Q31" s="52">
        <v>339.15</v>
      </c>
      <c r="R31" s="44"/>
      <c r="S31" s="44"/>
      <c r="T31" s="44"/>
      <c r="U31" s="44"/>
    </row>
    <row r="32" spans="1:21" s="11" customFormat="1" x14ac:dyDescent="0.25">
      <c r="A32" s="51" t="s">
        <v>613</v>
      </c>
      <c r="B32" s="52">
        <v>63.97</v>
      </c>
      <c r="C32" s="52">
        <v>161.69</v>
      </c>
      <c r="D32" s="52">
        <v>140.53</v>
      </c>
      <c r="E32" s="52">
        <v>6.38</v>
      </c>
      <c r="F32" s="52">
        <v>1.04</v>
      </c>
      <c r="G32" s="52">
        <v>163.19</v>
      </c>
      <c r="H32" s="52">
        <v>47.99</v>
      </c>
      <c r="I32" s="52">
        <v>1.18</v>
      </c>
      <c r="J32" s="52">
        <v>0.28999999999999998</v>
      </c>
      <c r="K32" s="52">
        <v>211.9</v>
      </c>
      <c r="L32" s="52">
        <v>19.829999999999998</v>
      </c>
      <c r="M32" s="52">
        <v>53.86</v>
      </c>
      <c r="N32" s="52">
        <v>6.1</v>
      </c>
      <c r="O32" s="52">
        <v>0</v>
      </c>
      <c r="P32" s="52">
        <v>2.7</v>
      </c>
      <c r="Q32" s="52">
        <v>328.68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4.6500000000000004</v>
      </c>
      <c r="C34" s="28">
        <f t="shared" si="0"/>
        <v>97.92</v>
      </c>
      <c r="D34" s="28">
        <f t="shared" si="0"/>
        <v>58.81</v>
      </c>
      <c r="E34" s="28">
        <f t="shared" si="0"/>
        <v>4.9800000000000004</v>
      </c>
      <c r="F34" s="28">
        <f t="shared" si="0"/>
        <v>0.81</v>
      </c>
      <c r="G34" s="28">
        <f t="shared" si="0"/>
        <v>61.72</v>
      </c>
      <c r="H34" s="28">
        <f t="shared" si="0"/>
        <v>34.97</v>
      </c>
      <c r="I34" s="28">
        <f t="shared" si="0"/>
        <v>0.43</v>
      </c>
      <c r="J34" s="28">
        <f t="shared" si="0"/>
        <v>0.21</v>
      </c>
      <c r="K34" s="28">
        <f t="shared" si="0"/>
        <v>112.49</v>
      </c>
      <c r="L34" s="28">
        <f t="shared" si="0"/>
        <v>16.46</v>
      </c>
      <c r="M34" s="28">
        <f t="shared" si="0"/>
        <v>27.38</v>
      </c>
      <c r="N34" s="28">
        <f t="shared" si="0"/>
        <v>6</v>
      </c>
      <c r="O34" s="28">
        <f t="shared" si="0"/>
        <v>0</v>
      </c>
      <c r="P34" s="28">
        <f t="shared" si="0"/>
        <v>1.0900000000000001</v>
      </c>
      <c r="Q34" s="28">
        <f t="shared" si="0"/>
        <v>211.03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83.17</v>
      </c>
      <c r="C35" s="29">
        <f t="shared" si="1"/>
        <v>177.98</v>
      </c>
      <c r="D35" s="29">
        <f t="shared" si="1"/>
        <v>164.92</v>
      </c>
      <c r="E35" s="29">
        <f t="shared" si="1"/>
        <v>16.96</v>
      </c>
      <c r="F35" s="29">
        <f t="shared" si="1"/>
        <v>10.56</v>
      </c>
      <c r="G35" s="29">
        <f t="shared" si="1"/>
        <v>221.72</v>
      </c>
      <c r="H35" s="29">
        <f t="shared" si="1"/>
        <v>61.74</v>
      </c>
      <c r="I35" s="29">
        <f t="shared" si="1"/>
        <v>1.4</v>
      </c>
      <c r="J35" s="29">
        <f t="shared" si="1"/>
        <v>1.49</v>
      </c>
      <c r="K35" s="29">
        <f t="shared" si="1"/>
        <v>284.36</v>
      </c>
      <c r="L35" s="29">
        <f t="shared" si="1"/>
        <v>31.68</v>
      </c>
      <c r="M35" s="29">
        <f t="shared" si="1"/>
        <v>87.46</v>
      </c>
      <c r="N35" s="29">
        <f t="shared" si="1"/>
        <v>528.29999999999995</v>
      </c>
      <c r="O35" s="29">
        <f t="shared" si="1"/>
        <v>0</v>
      </c>
      <c r="P35" s="29">
        <f t="shared" si="1"/>
        <v>3.08</v>
      </c>
      <c r="Q35" s="29">
        <f t="shared" si="1"/>
        <v>339.15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34.788749999999993</v>
      </c>
      <c r="C36" s="28">
        <f t="shared" si="2"/>
        <v>131.01333333333332</v>
      </c>
      <c r="D36" s="28">
        <f t="shared" si="2"/>
        <v>99.767499999999998</v>
      </c>
      <c r="E36" s="28">
        <f t="shared" si="2"/>
        <v>6.7162500000000014</v>
      </c>
      <c r="F36" s="28">
        <f t="shared" si="2"/>
        <v>2.5241666666666664</v>
      </c>
      <c r="G36" s="28">
        <f t="shared" si="2"/>
        <v>137.20624999999998</v>
      </c>
      <c r="H36" s="28">
        <f t="shared" si="2"/>
        <v>47.384999999999998</v>
      </c>
      <c r="I36" s="28">
        <f t="shared" si="2"/>
        <v>0.75625000000000009</v>
      </c>
      <c r="J36" s="28">
        <f t="shared" si="2"/>
        <v>0.70124999999999993</v>
      </c>
      <c r="K36" s="28">
        <f t="shared" si="2"/>
        <v>188.83999999999995</v>
      </c>
      <c r="L36" s="28">
        <f t="shared" si="2"/>
        <v>23.730833333333337</v>
      </c>
      <c r="M36" s="28">
        <f t="shared" si="2"/>
        <v>70.936666666666667</v>
      </c>
      <c r="N36" s="28">
        <f t="shared" si="2"/>
        <v>158.56249999999997</v>
      </c>
      <c r="O36" s="28">
        <f t="shared" si="2"/>
        <v>0</v>
      </c>
      <c r="P36" s="28">
        <f t="shared" si="2"/>
        <v>1.9025000000000005</v>
      </c>
      <c r="Q36" s="28">
        <f t="shared" si="2"/>
        <v>266.51458333333329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21.904051305339781</v>
      </c>
      <c r="C37" s="28">
        <f t="shared" ref="C37:Q37" si="3">STDEV(C9:C32)</f>
        <v>24.124111637920301</v>
      </c>
      <c r="D37" s="28">
        <f t="shared" si="3"/>
        <v>29.681817923055043</v>
      </c>
      <c r="E37" s="28">
        <f t="shared" si="3"/>
        <v>2.4433419958523288</v>
      </c>
      <c r="F37" s="28">
        <f t="shared" si="3"/>
        <v>2.4719855013410945</v>
      </c>
      <c r="G37" s="28">
        <f t="shared" si="3"/>
        <v>48.738699810716476</v>
      </c>
      <c r="H37" s="28">
        <f t="shared" si="3"/>
        <v>8.0988909600394585</v>
      </c>
      <c r="I37" s="28">
        <f t="shared" si="3"/>
        <v>0.29701138171720837</v>
      </c>
      <c r="J37" s="28">
        <f t="shared" si="3"/>
        <v>0.4157059213476258</v>
      </c>
      <c r="K37" s="28">
        <f t="shared" si="3"/>
        <v>54.075856623499135</v>
      </c>
      <c r="L37" s="28">
        <f t="shared" si="3"/>
        <v>5.2973791031338049</v>
      </c>
      <c r="M37" s="28">
        <f t="shared" si="3"/>
        <v>14.901945500844658</v>
      </c>
      <c r="N37" s="28">
        <f t="shared" si="3"/>
        <v>210.0840138621565</v>
      </c>
      <c r="O37" s="28">
        <f t="shared" si="3"/>
        <v>0</v>
      </c>
      <c r="P37" s="28">
        <f t="shared" si="3"/>
        <v>0.61367921091808408</v>
      </c>
      <c r="Q37" s="28">
        <f t="shared" si="3"/>
        <v>42.178617906642224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299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24-11-2022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614</v>
      </c>
      <c r="B9" s="52">
        <v>56.76</v>
      </c>
      <c r="C9" s="52">
        <v>151.54</v>
      </c>
      <c r="D9" s="52">
        <v>129.15</v>
      </c>
      <c r="E9" s="52">
        <v>5.81</v>
      </c>
      <c r="F9" s="52">
        <v>0.78</v>
      </c>
      <c r="G9" s="52">
        <v>153.55000000000001</v>
      </c>
      <c r="H9" s="52">
        <v>47.9</v>
      </c>
      <c r="I9" s="52">
        <v>1.08</v>
      </c>
      <c r="J9" s="52">
        <v>0.28000000000000003</v>
      </c>
      <c r="K9" s="52">
        <v>228.51</v>
      </c>
      <c r="L9" s="52">
        <v>18.600000000000001</v>
      </c>
      <c r="M9" s="52">
        <v>78.040000000000006</v>
      </c>
      <c r="N9" s="52">
        <v>6.1</v>
      </c>
      <c r="O9" s="52">
        <v>0</v>
      </c>
      <c r="P9" s="52">
        <v>2.56</v>
      </c>
      <c r="Q9" s="52">
        <v>316.56</v>
      </c>
      <c r="R9" s="44"/>
      <c r="S9" s="44"/>
      <c r="T9" s="44"/>
      <c r="U9" s="44"/>
    </row>
    <row r="10" spans="1:21" s="11" customFormat="1" x14ac:dyDescent="0.25">
      <c r="A10" s="51" t="s">
        <v>615</v>
      </c>
      <c r="B10" s="52">
        <v>48.69</v>
      </c>
      <c r="C10" s="52">
        <v>141.97</v>
      </c>
      <c r="D10" s="52">
        <v>117.4</v>
      </c>
      <c r="E10" s="52">
        <v>5.74</v>
      </c>
      <c r="F10" s="52">
        <v>0.89</v>
      </c>
      <c r="G10" s="52">
        <v>155.99</v>
      </c>
      <c r="H10" s="52">
        <v>48.65</v>
      </c>
      <c r="I10" s="52">
        <v>0.99</v>
      </c>
      <c r="J10" s="52">
        <v>0.3</v>
      </c>
      <c r="K10" s="52">
        <v>227.08</v>
      </c>
      <c r="L10" s="52">
        <v>18.5</v>
      </c>
      <c r="M10" s="52">
        <v>42.14</v>
      </c>
      <c r="N10" s="52">
        <v>5.8</v>
      </c>
      <c r="O10" s="52">
        <v>0</v>
      </c>
      <c r="P10" s="52">
        <v>2.27</v>
      </c>
      <c r="Q10" s="52">
        <v>302.64</v>
      </c>
      <c r="R10" s="44"/>
      <c r="S10" s="44"/>
      <c r="T10" s="44"/>
      <c r="U10" s="44"/>
    </row>
    <row r="11" spans="1:21" s="11" customFormat="1" x14ac:dyDescent="0.25">
      <c r="A11" s="51" t="s">
        <v>616</v>
      </c>
      <c r="B11" s="52">
        <v>38.409999999999997</v>
      </c>
      <c r="C11" s="52">
        <v>126.56</v>
      </c>
      <c r="D11" s="52">
        <v>100.65</v>
      </c>
      <c r="E11" s="52">
        <v>5.68</v>
      </c>
      <c r="F11" s="52">
        <v>0.82</v>
      </c>
      <c r="G11" s="52">
        <v>166.74</v>
      </c>
      <c r="H11" s="52">
        <v>51.3</v>
      </c>
      <c r="I11" s="52">
        <v>0.91</v>
      </c>
      <c r="J11" s="52">
        <v>0.42</v>
      </c>
      <c r="K11" s="52">
        <v>225.25</v>
      </c>
      <c r="L11" s="52">
        <v>18.38</v>
      </c>
      <c r="M11" s="52">
        <v>52.33</v>
      </c>
      <c r="N11" s="52">
        <v>5.7</v>
      </c>
      <c r="O11" s="52">
        <v>0</v>
      </c>
      <c r="P11" s="52">
        <v>2.13</v>
      </c>
      <c r="Q11" s="52">
        <v>286.01</v>
      </c>
      <c r="R11" s="44"/>
      <c r="S11" s="44"/>
      <c r="T11" s="44"/>
      <c r="U11" s="44"/>
    </row>
    <row r="12" spans="1:21" s="11" customFormat="1" x14ac:dyDescent="0.25">
      <c r="A12" s="51" t="s">
        <v>617</v>
      </c>
      <c r="B12" s="52">
        <v>30.2</v>
      </c>
      <c r="C12" s="52">
        <v>113.38</v>
      </c>
      <c r="D12" s="52">
        <v>86.79</v>
      </c>
      <c r="E12" s="52">
        <v>5.64</v>
      </c>
      <c r="F12" s="52">
        <v>0.94</v>
      </c>
      <c r="G12" s="52">
        <v>155.32</v>
      </c>
      <c r="H12" s="52">
        <v>50.9</v>
      </c>
      <c r="I12" s="52">
        <v>0.79</v>
      </c>
      <c r="J12" s="52">
        <v>0.23</v>
      </c>
      <c r="K12" s="52">
        <v>261.68</v>
      </c>
      <c r="L12" s="52">
        <v>17.760000000000002</v>
      </c>
      <c r="M12" s="52">
        <v>63.3</v>
      </c>
      <c r="N12" s="52">
        <v>6.2</v>
      </c>
      <c r="O12" s="52">
        <v>0</v>
      </c>
      <c r="P12" s="52">
        <v>2.0699999999999998</v>
      </c>
      <c r="Q12" s="52">
        <v>269.37</v>
      </c>
      <c r="R12" s="44"/>
      <c r="S12" s="44"/>
      <c r="T12" s="44"/>
      <c r="U12" s="44"/>
    </row>
    <row r="13" spans="1:21" s="11" customFormat="1" x14ac:dyDescent="0.25">
      <c r="A13" s="51" t="s">
        <v>618</v>
      </c>
      <c r="B13" s="52">
        <v>25.62</v>
      </c>
      <c r="C13" s="52">
        <v>105.76</v>
      </c>
      <c r="D13" s="52">
        <v>78.91</v>
      </c>
      <c r="E13" s="52">
        <v>5.56</v>
      </c>
      <c r="F13" s="52">
        <v>0.83</v>
      </c>
      <c r="G13" s="52">
        <v>185.56</v>
      </c>
      <c r="H13" s="52">
        <v>52.13</v>
      </c>
      <c r="I13" s="52">
        <v>0.71</v>
      </c>
      <c r="J13" s="52">
        <v>0.28999999999999998</v>
      </c>
      <c r="K13" s="52">
        <v>261.58</v>
      </c>
      <c r="L13" s="52">
        <v>16.23</v>
      </c>
      <c r="M13" s="52">
        <v>71.63</v>
      </c>
      <c r="N13" s="52">
        <v>6</v>
      </c>
      <c r="O13" s="52">
        <v>0</v>
      </c>
      <c r="P13" s="52">
        <v>2.16</v>
      </c>
      <c r="Q13" s="52">
        <v>257.70999999999998</v>
      </c>
      <c r="R13" s="44"/>
      <c r="S13" s="44"/>
      <c r="T13" s="44"/>
      <c r="U13" s="44"/>
    </row>
    <row r="14" spans="1:21" s="11" customFormat="1" x14ac:dyDescent="0.25">
      <c r="A14" s="51" t="s">
        <v>619</v>
      </c>
      <c r="B14" s="52">
        <v>22.17</v>
      </c>
      <c r="C14" s="52">
        <v>105.11</v>
      </c>
      <c r="D14" s="52">
        <v>75.66</v>
      </c>
      <c r="E14" s="52">
        <v>5.91</v>
      </c>
      <c r="F14" s="52">
        <v>0.86</v>
      </c>
      <c r="G14" s="52">
        <v>148.86000000000001</v>
      </c>
      <c r="H14" s="52">
        <v>54.62</v>
      </c>
      <c r="I14" s="52">
        <v>0.66</v>
      </c>
      <c r="J14" s="52">
        <v>0.21</v>
      </c>
      <c r="K14" s="52">
        <v>254.06</v>
      </c>
      <c r="L14" s="52">
        <v>16.170000000000002</v>
      </c>
      <c r="M14" s="52">
        <v>47.25</v>
      </c>
      <c r="N14" s="52">
        <v>5.7</v>
      </c>
      <c r="O14" s="52">
        <v>0</v>
      </c>
      <c r="P14" s="52">
        <v>2.13</v>
      </c>
      <c r="Q14" s="52">
        <v>248.17</v>
      </c>
      <c r="R14" s="44"/>
      <c r="S14" s="44"/>
      <c r="T14" s="44"/>
      <c r="U14" s="44"/>
    </row>
    <row r="15" spans="1:21" s="11" customFormat="1" x14ac:dyDescent="0.25">
      <c r="A15" s="51" t="s">
        <v>620</v>
      </c>
      <c r="B15" s="52">
        <v>24.06</v>
      </c>
      <c r="C15" s="52">
        <v>105.5</v>
      </c>
      <c r="D15" s="52">
        <v>77.52</v>
      </c>
      <c r="E15" s="52">
        <v>6</v>
      </c>
      <c r="F15" s="52">
        <v>0.8</v>
      </c>
      <c r="G15" s="52">
        <v>172.45</v>
      </c>
      <c r="H15" s="52">
        <v>57.2</v>
      </c>
      <c r="I15" s="52">
        <v>0.62</v>
      </c>
      <c r="J15" s="52">
        <v>0.32</v>
      </c>
      <c r="K15" s="52">
        <v>247.19</v>
      </c>
      <c r="L15" s="52">
        <v>17.100000000000001</v>
      </c>
      <c r="M15" s="52">
        <v>26.53</v>
      </c>
      <c r="N15" s="52">
        <v>38.299999999999997</v>
      </c>
      <c r="O15" s="52">
        <v>0</v>
      </c>
      <c r="P15" s="52">
        <v>2.02</v>
      </c>
      <c r="Q15" s="52">
        <v>246.13</v>
      </c>
      <c r="R15" s="44"/>
      <c r="S15" s="44"/>
      <c r="T15" s="44"/>
      <c r="U15" s="44"/>
    </row>
    <row r="16" spans="1:21" s="11" customFormat="1" x14ac:dyDescent="0.25">
      <c r="A16" s="51" t="s">
        <v>621</v>
      </c>
      <c r="B16" s="52">
        <v>29.65</v>
      </c>
      <c r="C16" s="52">
        <v>117.94</v>
      </c>
      <c r="D16" s="52">
        <v>88.86</v>
      </c>
      <c r="E16" s="52">
        <v>6.82</v>
      </c>
      <c r="F16" s="52">
        <v>0.84</v>
      </c>
      <c r="G16" s="52">
        <v>164.27</v>
      </c>
      <c r="H16" s="52">
        <v>60.37</v>
      </c>
      <c r="I16" s="52">
        <v>0.56999999999999995</v>
      </c>
      <c r="J16" s="52">
        <v>0.8</v>
      </c>
      <c r="K16" s="52">
        <v>223.29</v>
      </c>
      <c r="L16" s="52">
        <v>22.21</v>
      </c>
      <c r="M16" s="52">
        <v>79.64</v>
      </c>
      <c r="N16" s="52">
        <v>238.8</v>
      </c>
      <c r="O16" s="52">
        <v>0</v>
      </c>
      <c r="P16" s="52">
        <v>1.86</v>
      </c>
      <c r="Q16" s="52">
        <v>246.18</v>
      </c>
      <c r="R16" s="44"/>
      <c r="S16" s="44"/>
      <c r="T16" s="44"/>
      <c r="U16" s="44"/>
    </row>
    <row r="17" spans="1:21" s="11" customFormat="1" x14ac:dyDescent="0.25">
      <c r="A17" s="51" t="s">
        <v>622</v>
      </c>
      <c r="B17" s="52">
        <v>29.58</v>
      </c>
      <c r="C17" s="52">
        <v>121.55</v>
      </c>
      <c r="D17" s="52">
        <v>90.72</v>
      </c>
      <c r="E17" s="52">
        <v>6.99</v>
      </c>
      <c r="F17" s="52">
        <v>1.05</v>
      </c>
      <c r="G17" s="52">
        <v>134.30000000000001</v>
      </c>
      <c r="H17" s="52">
        <v>55.82</v>
      </c>
      <c r="I17" s="52">
        <v>0.56000000000000005</v>
      </c>
      <c r="J17" s="52">
        <v>1.08</v>
      </c>
      <c r="K17" s="52">
        <v>150.93</v>
      </c>
      <c r="L17" s="52">
        <v>23.9</v>
      </c>
      <c r="M17" s="52">
        <v>82.91</v>
      </c>
      <c r="N17" s="52">
        <v>405.7</v>
      </c>
      <c r="O17" s="52">
        <v>0</v>
      </c>
      <c r="P17" s="52">
        <v>1.74</v>
      </c>
      <c r="Q17" s="52">
        <v>244.85</v>
      </c>
      <c r="R17" s="44"/>
      <c r="S17" s="44"/>
      <c r="T17" s="44"/>
      <c r="U17" s="44"/>
    </row>
    <row r="18" spans="1:21" s="11" customFormat="1" x14ac:dyDescent="0.25">
      <c r="A18" s="51" t="s">
        <v>623</v>
      </c>
      <c r="B18" s="52">
        <v>25.04</v>
      </c>
      <c r="C18" s="52">
        <v>119.74</v>
      </c>
      <c r="D18" s="52">
        <v>86.16</v>
      </c>
      <c r="E18" s="52">
        <v>6.55</v>
      </c>
      <c r="F18" s="52">
        <v>1.1000000000000001</v>
      </c>
      <c r="G18" s="52">
        <v>115.59</v>
      </c>
      <c r="H18" s="52">
        <v>50.08</v>
      </c>
      <c r="I18" s="52">
        <v>0.56000000000000005</v>
      </c>
      <c r="J18" s="52">
        <v>1.46</v>
      </c>
      <c r="K18" s="52">
        <v>141.06</v>
      </c>
      <c r="L18" s="52">
        <v>27.19</v>
      </c>
      <c r="M18" s="52">
        <v>83.99</v>
      </c>
      <c r="N18" s="52">
        <v>496.5</v>
      </c>
      <c r="O18" s="52">
        <v>0</v>
      </c>
      <c r="P18" s="52">
        <v>1.57</v>
      </c>
      <c r="Q18" s="52">
        <v>240.92</v>
      </c>
      <c r="R18" s="44"/>
      <c r="S18" s="44"/>
      <c r="T18" s="44"/>
      <c r="U18" s="44"/>
    </row>
    <row r="19" spans="1:21" s="11" customFormat="1" x14ac:dyDescent="0.25">
      <c r="A19" s="51" t="s">
        <v>624</v>
      </c>
      <c r="B19" s="52">
        <v>16.68</v>
      </c>
      <c r="C19" s="52">
        <v>125.19</v>
      </c>
      <c r="D19" s="52">
        <v>78.89</v>
      </c>
      <c r="E19" s="52">
        <v>11.55</v>
      </c>
      <c r="F19" s="52">
        <v>5.81</v>
      </c>
      <c r="G19" s="52">
        <v>72.69</v>
      </c>
      <c r="H19" s="52">
        <v>41.97</v>
      </c>
      <c r="I19" s="52">
        <v>0.51</v>
      </c>
      <c r="J19" s="52">
        <v>1.03</v>
      </c>
      <c r="K19" s="52">
        <v>127.18</v>
      </c>
      <c r="L19" s="52">
        <v>29.83</v>
      </c>
      <c r="M19" s="52">
        <v>80.31</v>
      </c>
      <c r="N19" s="52">
        <v>517.1</v>
      </c>
      <c r="O19" s="52">
        <v>0</v>
      </c>
      <c r="P19" s="52">
        <v>1.37</v>
      </c>
      <c r="Q19" s="52">
        <v>218.75</v>
      </c>
      <c r="R19" s="44"/>
      <c r="S19" s="44"/>
      <c r="T19" s="44"/>
      <c r="U19" s="44"/>
    </row>
    <row r="20" spans="1:21" s="11" customFormat="1" x14ac:dyDescent="0.25">
      <c r="A20" s="51" t="s">
        <v>625</v>
      </c>
      <c r="B20" s="52">
        <v>10.86</v>
      </c>
      <c r="C20" s="52">
        <v>131.44999999999999</v>
      </c>
      <c r="D20" s="52">
        <v>80.260000000000005</v>
      </c>
      <c r="E20" s="52">
        <v>11.7</v>
      </c>
      <c r="F20" s="52">
        <v>7.11</v>
      </c>
      <c r="G20" s="52">
        <v>70.05</v>
      </c>
      <c r="H20" s="52">
        <v>36.54</v>
      </c>
      <c r="I20" s="52">
        <v>0.41</v>
      </c>
      <c r="J20" s="52">
        <v>1.03</v>
      </c>
      <c r="K20" s="52">
        <v>119.51</v>
      </c>
      <c r="L20" s="52">
        <v>29.96</v>
      </c>
      <c r="M20" s="52">
        <v>60.95</v>
      </c>
      <c r="N20" s="52">
        <v>533.4</v>
      </c>
      <c r="O20" s="52">
        <v>0</v>
      </c>
      <c r="P20" s="52">
        <v>1.1599999999999999</v>
      </c>
      <c r="Q20" s="52">
        <v>167.01</v>
      </c>
      <c r="R20" s="44"/>
      <c r="S20" s="44"/>
      <c r="T20" s="44"/>
      <c r="U20" s="44"/>
    </row>
    <row r="21" spans="1:21" s="11" customFormat="1" x14ac:dyDescent="0.25">
      <c r="A21" s="51" t="s">
        <v>626</v>
      </c>
      <c r="B21" s="52">
        <v>5.52</v>
      </c>
      <c r="C21" s="52">
        <v>117.08</v>
      </c>
      <c r="D21" s="52">
        <v>68.34</v>
      </c>
      <c r="E21" s="52">
        <v>5.71</v>
      </c>
      <c r="F21" s="52">
        <v>2.85</v>
      </c>
      <c r="G21" s="52">
        <v>78.88</v>
      </c>
      <c r="H21" s="52">
        <v>31.9</v>
      </c>
      <c r="I21" s="52">
        <v>0.35</v>
      </c>
      <c r="J21" s="52">
        <v>0.78</v>
      </c>
      <c r="K21" s="52">
        <v>106.83</v>
      </c>
      <c r="L21" s="52">
        <v>30.82</v>
      </c>
      <c r="M21" s="52">
        <v>84.59</v>
      </c>
      <c r="N21" s="52">
        <v>521.20000000000005</v>
      </c>
      <c r="O21" s="52">
        <v>0</v>
      </c>
      <c r="P21" s="52">
        <v>0.95</v>
      </c>
      <c r="Q21" s="52">
        <v>172.92</v>
      </c>
      <c r="R21" s="44"/>
      <c r="S21" s="44"/>
      <c r="T21" s="44"/>
      <c r="U21" s="44"/>
    </row>
    <row r="22" spans="1:21" s="11" customFormat="1" x14ac:dyDescent="0.25">
      <c r="A22" s="51" t="s">
        <v>627</v>
      </c>
      <c r="B22" s="52">
        <v>5.15</v>
      </c>
      <c r="C22" s="52">
        <v>103.67</v>
      </c>
      <c r="D22" s="52">
        <v>61.09</v>
      </c>
      <c r="E22" s="52">
        <v>5.81</v>
      </c>
      <c r="F22" s="52">
        <v>10.6</v>
      </c>
      <c r="G22" s="52">
        <v>80.56</v>
      </c>
      <c r="H22" s="52">
        <v>30.84</v>
      </c>
      <c r="I22" s="52">
        <v>0.36</v>
      </c>
      <c r="J22" s="52">
        <v>1.07</v>
      </c>
      <c r="K22" s="52">
        <v>108.42</v>
      </c>
      <c r="L22" s="52">
        <v>28.72</v>
      </c>
      <c r="M22" s="52">
        <v>55.01</v>
      </c>
      <c r="N22" s="52">
        <v>455.5</v>
      </c>
      <c r="O22" s="52">
        <v>0</v>
      </c>
      <c r="P22" s="52">
        <v>0.9</v>
      </c>
      <c r="Q22" s="52">
        <v>172.13</v>
      </c>
      <c r="R22" s="44"/>
      <c r="S22" s="44"/>
      <c r="T22" s="44"/>
      <c r="U22" s="44"/>
    </row>
    <row r="23" spans="1:21" s="11" customFormat="1" x14ac:dyDescent="0.25">
      <c r="A23" s="51" t="s">
        <v>628</v>
      </c>
      <c r="B23" s="52">
        <v>5.5</v>
      </c>
      <c r="C23" s="52">
        <v>100.84</v>
      </c>
      <c r="D23" s="52">
        <v>60.04</v>
      </c>
      <c r="E23" s="52">
        <v>10.17</v>
      </c>
      <c r="F23" s="52">
        <v>14.95</v>
      </c>
      <c r="G23" s="52">
        <v>72.709999999999994</v>
      </c>
      <c r="H23" s="52">
        <v>31.39</v>
      </c>
      <c r="I23" s="52">
        <v>0.28999999999999998</v>
      </c>
      <c r="J23" s="52">
        <v>0.8</v>
      </c>
      <c r="K23" s="52">
        <v>99.93</v>
      </c>
      <c r="L23" s="52">
        <v>31.12</v>
      </c>
      <c r="M23" s="52">
        <v>83.62</v>
      </c>
      <c r="N23" s="52">
        <v>337.5</v>
      </c>
      <c r="O23" s="52">
        <v>0</v>
      </c>
      <c r="P23" s="52">
        <v>0.87</v>
      </c>
      <c r="Q23" s="52">
        <v>172.51</v>
      </c>
      <c r="R23" s="44"/>
      <c r="S23" s="44"/>
      <c r="T23" s="44"/>
      <c r="U23" s="44"/>
    </row>
    <row r="24" spans="1:21" s="11" customFormat="1" x14ac:dyDescent="0.25">
      <c r="A24" s="51" t="s">
        <v>629</v>
      </c>
      <c r="B24" s="52">
        <v>6.14</v>
      </c>
      <c r="C24" s="52">
        <v>120.17</v>
      </c>
      <c r="D24" s="52">
        <v>71.239999999999995</v>
      </c>
      <c r="E24" s="52">
        <v>10.17</v>
      </c>
      <c r="F24" s="52">
        <v>10.57</v>
      </c>
      <c r="G24" s="52">
        <v>92.31</v>
      </c>
      <c r="H24" s="52">
        <v>32.85</v>
      </c>
      <c r="I24" s="52">
        <v>0.3</v>
      </c>
      <c r="J24" s="52">
        <v>0.97</v>
      </c>
      <c r="K24" s="52">
        <v>114.92</v>
      </c>
      <c r="L24" s="52">
        <v>30.01</v>
      </c>
      <c r="M24" s="52">
        <v>85.32</v>
      </c>
      <c r="N24" s="52">
        <v>112.5</v>
      </c>
      <c r="O24" s="52">
        <v>0</v>
      </c>
      <c r="P24" s="52">
        <v>0.99</v>
      </c>
      <c r="Q24" s="52">
        <v>181.59</v>
      </c>
      <c r="R24" s="44"/>
      <c r="S24" s="44"/>
      <c r="T24" s="44"/>
      <c r="U24" s="44"/>
    </row>
    <row r="25" spans="1:21" s="11" customFormat="1" x14ac:dyDescent="0.25">
      <c r="A25" s="51" t="s">
        <v>630</v>
      </c>
      <c r="B25" s="52">
        <v>8.4</v>
      </c>
      <c r="C25" s="52">
        <v>140.01</v>
      </c>
      <c r="D25" s="52">
        <v>84</v>
      </c>
      <c r="E25" s="52">
        <v>6.91</v>
      </c>
      <c r="F25" s="52">
        <v>7.96</v>
      </c>
      <c r="G25" s="52">
        <v>81.99</v>
      </c>
      <c r="H25" s="52">
        <v>31.1</v>
      </c>
      <c r="I25" s="52">
        <v>0.31</v>
      </c>
      <c r="J25" s="52">
        <v>0.93</v>
      </c>
      <c r="K25" s="52">
        <v>135.69</v>
      </c>
      <c r="L25" s="52">
        <v>27.43</v>
      </c>
      <c r="M25" s="52">
        <v>83.41</v>
      </c>
      <c r="N25" s="52">
        <v>43.9</v>
      </c>
      <c r="O25" s="52">
        <v>0</v>
      </c>
      <c r="P25" s="52">
        <v>1.24</v>
      </c>
      <c r="Q25" s="52">
        <v>182.22</v>
      </c>
      <c r="R25" s="44"/>
      <c r="S25" s="44"/>
      <c r="T25" s="44"/>
      <c r="U25" s="44"/>
    </row>
    <row r="26" spans="1:21" s="11" customFormat="1" x14ac:dyDescent="0.25">
      <c r="A26" s="51" t="s">
        <v>631</v>
      </c>
      <c r="B26" s="52">
        <v>16.440000000000001</v>
      </c>
      <c r="C26" s="52">
        <v>147.36000000000001</v>
      </c>
      <c r="D26" s="52">
        <v>94.5</v>
      </c>
      <c r="E26" s="52">
        <v>3.86</v>
      </c>
      <c r="F26" s="52">
        <v>1.94</v>
      </c>
      <c r="G26" s="52">
        <v>95.55</v>
      </c>
      <c r="H26" s="52">
        <v>31.25</v>
      </c>
      <c r="I26" s="52">
        <v>0.38</v>
      </c>
      <c r="J26" s="52">
        <v>0.35</v>
      </c>
      <c r="K26" s="52">
        <v>182.61</v>
      </c>
      <c r="L26" s="52">
        <v>24.65</v>
      </c>
      <c r="M26" s="52">
        <v>70.95</v>
      </c>
      <c r="N26" s="52">
        <v>5.3</v>
      </c>
      <c r="O26" s="52">
        <v>0</v>
      </c>
      <c r="P26" s="52">
        <v>1.53</v>
      </c>
      <c r="Q26" s="52">
        <v>201.57</v>
      </c>
      <c r="R26" s="44"/>
      <c r="S26" s="44"/>
      <c r="T26" s="44"/>
      <c r="U26" s="44"/>
    </row>
    <row r="27" spans="1:21" s="11" customFormat="1" x14ac:dyDescent="0.25">
      <c r="A27" s="51" t="s">
        <v>632</v>
      </c>
      <c r="B27" s="52">
        <v>50.48</v>
      </c>
      <c r="C27" s="52">
        <v>177.46</v>
      </c>
      <c r="D27" s="52">
        <v>138.41999999999999</v>
      </c>
      <c r="E27" s="52">
        <v>4.37</v>
      </c>
      <c r="F27" s="52">
        <v>1.48</v>
      </c>
      <c r="G27" s="52">
        <v>204.5</v>
      </c>
      <c r="H27" s="52">
        <v>47.34</v>
      </c>
      <c r="I27" s="52">
        <v>0.61</v>
      </c>
      <c r="J27" s="52">
        <v>0.17</v>
      </c>
      <c r="K27" s="52">
        <v>214.13</v>
      </c>
      <c r="L27" s="52">
        <v>21.73</v>
      </c>
      <c r="M27" s="52">
        <v>60.27</v>
      </c>
      <c r="N27" s="52">
        <v>1.1000000000000001</v>
      </c>
      <c r="O27" s="52">
        <v>0</v>
      </c>
      <c r="P27" s="52">
        <v>2.14</v>
      </c>
      <c r="Q27" s="52">
        <v>267.73</v>
      </c>
      <c r="R27" s="44"/>
      <c r="S27" s="44"/>
      <c r="T27" s="44"/>
      <c r="U27" s="44"/>
    </row>
    <row r="28" spans="1:21" s="11" customFormat="1" x14ac:dyDescent="0.25">
      <c r="A28" s="51" t="s">
        <v>633</v>
      </c>
      <c r="B28" s="52">
        <v>72.290000000000006</v>
      </c>
      <c r="C28" s="52">
        <v>191.1</v>
      </c>
      <c r="D28" s="52">
        <v>163.43</v>
      </c>
      <c r="E28" s="55" t="s">
        <v>8</v>
      </c>
      <c r="F28" s="52">
        <v>1.56</v>
      </c>
      <c r="G28" s="55" t="s">
        <v>8</v>
      </c>
      <c r="H28" s="52">
        <v>57.27</v>
      </c>
      <c r="I28" s="52">
        <v>0.96</v>
      </c>
      <c r="J28" s="52">
        <v>0.22</v>
      </c>
      <c r="K28" s="52">
        <v>218.14</v>
      </c>
      <c r="L28" s="52">
        <v>21.02</v>
      </c>
      <c r="M28" s="52">
        <v>82.12</v>
      </c>
      <c r="N28" s="52">
        <v>1</v>
      </c>
      <c r="O28" s="52">
        <v>0</v>
      </c>
      <c r="P28" s="52">
        <v>2.78</v>
      </c>
      <c r="Q28" s="52">
        <v>316.54000000000002</v>
      </c>
      <c r="R28" s="44"/>
      <c r="S28" s="44"/>
      <c r="T28" s="44"/>
      <c r="U28" s="44"/>
    </row>
    <row r="29" spans="1:21" s="11" customFormat="1" x14ac:dyDescent="0.25">
      <c r="A29" s="51" t="s">
        <v>634</v>
      </c>
      <c r="B29" s="52">
        <v>79.650000000000006</v>
      </c>
      <c r="C29" s="52">
        <v>192.33</v>
      </c>
      <c r="D29" s="52">
        <v>170.02</v>
      </c>
      <c r="E29" s="55" t="s">
        <v>8</v>
      </c>
      <c r="F29" s="52">
        <v>1.23</v>
      </c>
      <c r="G29" s="55" t="s">
        <v>8</v>
      </c>
      <c r="H29" s="52">
        <v>57.84</v>
      </c>
      <c r="I29" s="52">
        <v>1.17</v>
      </c>
      <c r="J29" s="52">
        <v>0.12</v>
      </c>
      <c r="K29" s="52">
        <v>221.9</v>
      </c>
      <c r="L29" s="52">
        <v>20.27</v>
      </c>
      <c r="M29" s="52">
        <v>92.53</v>
      </c>
      <c r="N29" s="52">
        <v>1.1000000000000001</v>
      </c>
      <c r="O29" s="52">
        <v>0</v>
      </c>
      <c r="P29" s="52">
        <v>3.03</v>
      </c>
      <c r="Q29" s="52">
        <v>327.63</v>
      </c>
      <c r="R29" s="44"/>
      <c r="S29" s="44"/>
      <c r="T29" s="44"/>
      <c r="U29" s="44"/>
    </row>
    <row r="30" spans="1:21" s="11" customFormat="1" x14ac:dyDescent="0.25">
      <c r="A30" s="51" t="s">
        <v>635</v>
      </c>
      <c r="B30" s="52">
        <v>138.77000000000001</v>
      </c>
      <c r="C30" s="52">
        <v>245.74</v>
      </c>
      <c r="D30" s="52">
        <v>246.9</v>
      </c>
      <c r="E30" s="55" t="s">
        <v>8</v>
      </c>
      <c r="F30" s="52">
        <v>1.47</v>
      </c>
      <c r="G30" s="55" t="s">
        <v>8</v>
      </c>
      <c r="H30" s="52">
        <v>59.11</v>
      </c>
      <c r="I30" s="52">
        <v>1.36</v>
      </c>
      <c r="J30" s="52">
        <v>0.16</v>
      </c>
      <c r="K30" s="52">
        <v>242.59</v>
      </c>
      <c r="L30" s="52">
        <v>19.059999999999999</v>
      </c>
      <c r="M30" s="52">
        <v>82.14</v>
      </c>
      <c r="N30" s="52">
        <v>1</v>
      </c>
      <c r="O30" s="52">
        <v>0</v>
      </c>
      <c r="P30" s="52">
        <v>3.66</v>
      </c>
      <c r="Q30" s="52">
        <v>392.74</v>
      </c>
      <c r="R30" s="44"/>
      <c r="S30" s="44"/>
      <c r="T30" s="44"/>
      <c r="U30" s="44"/>
    </row>
    <row r="31" spans="1:21" s="11" customFormat="1" x14ac:dyDescent="0.25">
      <c r="A31" s="51" t="s">
        <v>636</v>
      </c>
      <c r="B31" s="52">
        <v>190.56</v>
      </c>
      <c r="C31" s="52">
        <v>288.02999999999997</v>
      </c>
      <c r="D31" s="52">
        <v>311.77</v>
      </c>
      <c r="E31" s="55" t="s">
        <v>8</v>
      </c>
      <c r="F31" s="52">
        <v>0.61</v>
      </c>
      <c r="G31" s="55" t="s">
        <v>8</v>
      </c>
      <c r="H31" s="52">
        <v>61.02</v>
      </c>
      <c r="I31" s="52">
        <v>1.63</v>
      </c>
      <c r="J31" s="52">
        <v>0.21</v>
      </c>
      <c r="K31" s="52">
        <v>249.35</v>
      </c>
      <c r="L31" s="52">
        <v>18.2</v>
      </c>
      <c r="M31" s="52">
        <v>79.81</v>
      </c>
      <c r="N31" s="52">
        <v>0.9</v>
      </c>
      <c r="O31" s="52">
        <v>0</v>
      </c>
      <c r="P31" s="52">
        <v>4.0999999999999996</v>
      </c>
      <c r="Q31" s="59" t="s">
        <v>15</v>
      </c>
      <c r="R31" s="44"/>
      <c r="S31" s="44"/>
      <c r="T31" s="44"/>
      <c r="U31" s="44"/>
    </row>
    <row r="32" spans="1:21" s="11" customFormat="1" x14ac:dyDescent="0.25">
      <c r="A32" s="51" t="s">
        <v>637</v>
      </c>
      <c r="B32" s="52">
        <v>193.88</v>
      </c>
      <c r="C32" s="52">
        <v>289.57</v>
      </c>
      <c r="D32" s="52">
        <v>315.29000000000002</v>
      </c>
      <c r="E32" s="55" t="s">
        <v>8</v>
      </c>
      <c r="F32" s="52">
        <v>0.74</v>
      </c>
      <c r="G32" s="55" t="s">
        <v>8</v>
      </c>
      <c r="H32" s="52">
        <v>58.33</v>
      </c>
      <c r="I32" s="52">
        <v>1.7</v>
      </c>
      <c r="J32" s="52">
        <v>0.22</v>
      </c>
      <c r="K32" s="52">
        <v>246.02</v>
      </c>
      <c r="L32" s="52">
        <v>18.079999999999998</v>
      </c>
      <c r="M32" s="52">
        <v>77.55</v>
      </c>
      <c r="N32" s="52">
        <v>0.7</v>
      </c>
      <c r="O32" s="52">
        <v>0</v>
      </c>
      <c r="P32" s="52">
        <v>4.08</v>
      </c>
      <c r="Q32" s="59" t="s">
        <v>15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5.15</v>
      </c>
      <c r="C34" s="28">
        <f t="shared" si="0"/>
        <v>100.84</v>
      </c>
      <c r="D34" s="28">
        <f t="shared" si="0"/>
        <v>60.04</v>
      </c>
      <c r="E34" s="28">
        <f t="shared" si="0"/>
        <v>3.86</v>
      </c>
      <c r="F34" s="28">
        <f t="shared" si="0"/>
        <v>0.61</v>
      </c>
      <c r="G34" s="28">
        <f t="shared" si="0"/>
        <v>70.05</v>
      </c>
      <c r="H34" s="28">
        <f t="shared" si="0"/>
        <v>30.84</v>
      </c>
      <c r="I34" s="28">
        <f t="shared" si="0"/>
        <v>0.28999999999999998</v>
      </c>
      <c r="J34" s="28">
        <f t="shared" si="0"/>
        <v>0.12</v>
      </c>
      <c r="K34" s="28">
        <f t="shared" si="0"/>
        <v>99.93</v>
      </c>
      <c r="L34" s="28">
        <f t="shared" si="0"/>
        <v>16.170000000000002</v>
      </c>
      <c r="M34" s="28">
        <f t="shared" si="0"/>
        <v>26.53</v>
      </c>
      <c r="N34" s="28">
        <f t="shared" si="0"/>
        <v>0.7</v>
      </c>
      <c r="O34" s="28">
        <f t="shared" si="0"/>
        <v>0</v>
      </c>
      <c r="P34" s="28">
        <f t="shared" si="0"/>
        <v>0.87</v>
      </c>
      <c r="Q34" s="28">
        <f t="shared" si="0"/>
        <v>167.01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193.88</v>
      </c>
      <c r="C35" s="29">
        <f t="shared" si="1"/>
        <v>289.57</v>
      </c>
      <c r="D35" s="29">
        <f t="shared" si="1"/>
        <v>315.29000000000002</v>
      </c>
      <c r="E35" s="29">
        <f t="shared" si="1"/>
        <v>11.7</v>
      </c>
      <c r="F35" s="29">
        <f t="shared" si="1"/>
        <v>14.95</v>
      </c>
      <c r="G35" s="29">
        <f t="shared" si="1"/>
        <v>204.5</v>
      </c>
      <c r="H35" s="29">
        <f t="shared" si="1"/>
        <v>61.02</v>
      </c>
      <c r="I35" s="29">
        <f t="shared" si="1"/>
        <v>1.7</v>
      </c>
      <c r="J35" s="29">
        <f t="shared" si="1"/>
        <v>1.46</v>
      </c>
      <c r="K35" s="29">
        <f t="shared" si="1"/>
        <v>261.68</v>
      </c>
      <c r="L35" s="29">
        <f t="shared" si="1"/>
        <v>31.12</v>
      </c>
      <c r="M35" s="29">
        <f t="shared" si="1"/>
        <v>92.53</v>
      </c>
      <c r="N35" s="29">
        <f t="shared" si="1"/>
        <v>533.4</v>
      </c>
      <c r="O35" s="29">
        <f t="shared" si="1"/>
        <v>0</v>
      </c>
      <c r="P35" s="29">
        <f t="shared" si="1"/>
        <v>4.0999999999999996</v>
      </c>
      <c r="Q35" s="29">
        <f t="shared" si="1"/>
        <v>392.74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47.104166666666664</v>
      </c>
      <c r="C36" s="28">
        <f t="shared" si="2"/>
        <v>149.12708333333333</v>
      </c>
      <c r="D36" s="28">
        <f t="shared" si="2"/>
        <v>119.83374999999999</v>
      </c>
      <c r="E36" s="28">
        <f t="shared" si="2"/>
        <v>6.8921052631578945</v>
      </c>
      <c r="F36" s="28">
        <f t="shared" si="2"/>
        <v>3.2412500000000004</v>
      </c>
      <c r="G36" s="28">
        <f t="shared" si="2"/>
        <v>126.41421052631578</v>
      </c>
      <c r="H36" s="28">
        <f t="shared" si="2"/>
        <v>47.405000000000001</v>
      </c>
      <c r="I36" s="28">
        <f t="shared" si="2"/>
        <v>0.74124999999999996</v>
      </c>
      <c r="J36" s="28">
        <f t="shared" si="2"/>
        <v>0.56041666666666679</v>
      </c>
      <c r="K36" s="28">
        <f t="shared" si="2"/>
        <v>191.99375000000001</v>
      </c>
      <c r="L36" s="28">
        <f t="shared" si="2"/>
        <v>22.78916666666667</v>
      </c>
      <c r="M36" s="28">
        <f t="shared" si="2"/>
        <v>71.097499999999997</v>
      </c>
      <c r="N36" s="28">
        <f t="shared" si="2"/>
        <v>156.125</v>
      </c>
      <c r="O36" s="28">
        <f t="shared" si="2"/>
        <v>0</v>
      </c>
      <c r="P36" s="28">
        <f t="shared" si="2"/>
        <v>2.054583333333333</v>
      </c>
      <c r="Q36" s="28">
        <f t="shared" si="2"/>
        <v>246.90363636363642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53.963036778945245</v>
      </c>
      <c r="C37" s="28">
        <f t="shared" ref="C37:Q37" si="3">STDEV(C9:C32)</f>
        <v>55.238974227730615</v>
      </c>
      <c r="D37" s="28">
        <f t="shared" si="3"/>
        <v>73.149847621613134</v>
      </c>
      <c r="E37" s="28">
        <f t="shared" si="3"/>
        <v>2.280671389811364</v>
      </c>
      <c r="F37" s="28">
        <f t="shared" si="3"/>
        <v>4.0231237187690025</v>
      </c>
      <c r="G37" s="28">
        <f t="shared" si="3"/>
        <v>44.286064313705516</v>
      </c>
      <c r="H37" s="28">
        <f t="shared" si="3"/>
        <v>10.936702467817481</v>
      </c>
      <c r="I37" s="28">
        <f t="shared" si="3"/>
        <v>0.40871285232076321</v>
      </c>
      <c r="J37" s="28">
        <f t="shared" si="3"/>
        <v>0.40010302115359203</v>
      </c>
      <c r="K37" s="28">
        <f t="shared" si="3"/>
        <v>58.13427259838619</v>
      </c>
      <c r="L37" s="28">
        <f t="shared" si="3"/>
        <v>5.2575683887438522</v>
      </c>
      <c r="M37" s="28">
        <f t="shared" si="3"/>
        <v>16.56436805708066</v>
      </c>
      <c r="N37" s="28">
        <f t="shared" si="3"/>
        <v>213.08991213141442</v>
      </c>
      <c r="O37" s="28">
        <f t="shared" si="3"/>
        <v>0</v>
      </c>
      <c r="P37" s="28">
        <f t="shared" si="3"/>
        <v>0.94047157073583021</v>
      </c>
      <c r="Q37" s="28">
        <f t="shared" si="3"/>
        <v>60.749196941229783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>COUNT(E9:E32)+5</f>
        <v>24</v>
      </c>
      <c r="F38" s="32">
        <f t="shared" si="4"/>
        <v>24</v>
      </c>
      <c r="G38" s="32">
        <f>COUNT(G9:G32)+5</f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22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299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25-11-2022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638</v>
      </c>
      <c r="B9" s="52">
        <v>174.87</v>
      </c>
      <c r="C9" s="52">
        <v>265.07</v>
      </c>
      <c r="D9" s="52">
        <v>286.52</v>
      </c>
      <c r="E9" s="55" t="s">
        <v>8</v>
      </c>
      <c r="F9" s="52">
        <v>0.94</v>
      </c>
      <c r="G9" s="52">
        <v>142.44999999999999</v>
      </c>
      <c r="H9" s="52">
        <v>49.98</v>
      </c>
      <c r="I9" s="52">
        <v>1.65</v>
      </c>
      <c r="J9" s="52">
        <v>0.27</v>
      </c>
      <c r="K9" s="52">
        <v>210.18</v>
      </c>
      <c r="L9" s="52">
        <v>18.53</v>
      </c>
      <c r="M9" s="52">
        <v>77.989999999999995</v>
      </c>
      <c r="N9" s="52">
        <v>1</v>
      </c>
      <c r="O9" s="52">
        <v>0</v>
      </c>
      <c r="P9" s="52">
        <v>3.79</v>
      </c>
      <c r="Q9" s="59" t="s">
        <v>15</v>
      </c>
      <c r="R9" s="44"/>
      <c r="S9" s="44"/>
      <c r="T9" s="44"/>
      <c r="U9" s="44"/>
    </row>
    <row r="10" spans="1:21" s="11" customFormat="1" x14ac:dyDescent="0.25">
      <c r="A10" s="51" t="s">
        <v>639</v>
      </c>
      <c r="B10" s="52">
        <v>131.72</v>
      </c>
      <c r="C10" s="52">
        <v>219.66</v>
      </c>
      <c r="D10" s="52">
        <v>226.86</v>
      </c>
      <c r="E10" s="55" t="s">
        <v>8</v>
      </c>
      <c r="F10" s="52">
        <v>0.82</v>
      </c>
      <c r="G10" s="52">
        <v>105.62</v>
      </c>
      <c r="H10" s="52">
        <v>43.91</v>
      </c>
      <c r="I10" s="52">
        <v>1.45</v>
      </c>
      <c r="J10" s="52">
        <v>0.74</v>
      </c>
      <c r="K10" s="52">
        <v>205.33</v>
      </c>
      <c r="L10" s="52">
        <v>18.260000000000002</v>
      </c>
      <c r="M10" s="52">
        <v>73.97</v>
      </c>
      <c r="N10" s="52">
        <v>1.1000000000000001</v>
      </c>
      <c r="O10" s="52">
        <v>0</v>
      </c>
      <c r="P10" s="52">
        <v>2.93</v>
      </c>
      <c r="Q10" s="52">
        <v>384.19</v>
      </c>
      <c r="R10" s="44"/>
      <c r="S10" s="44"/>
      <c r="T10" s="44"/>
      <c r="U10" s="44"/>
    </row>
    <row r="11" spans="1:21" s="11" customFormat="1" x14ac:dyDescent="0.25">
      <c r="A11" s="51" t="s">
        <v>640</v>
      </c>
      <c r="B11" s="52">
        <v>94.13</v>
      </c>
      <c r="C11" s="52">
        <v>183.57</v>
      </c>
      <c r="D11" s="52">
        <v>176.79</v>
      </c>
      <c r="E11" s="55" t="s">
        <v>8</v>
      </c>
      <c r="F11" s="52">
        <v>0.82</v>
      </c>
      <c r="G11" s="52">
        <v>113.16</v>
      </c>
      <c r="H11" s="52">
        <v>40.53</v>
      </c>
      <c r="I11" s="52">
        <v>1.21</v>
      </c>
      <c r="J11" s="52">
        <v>0.54</v>
      </c>
      <c r="K11" s="52">
        <v>219.43</v>
      </c>
      <c r="L11" s="52">
        <v>17.739999999999998</v>
      </c>
      <c r="M11" s="52">
        <v>75.77</v>
      </c>
      <c r="N11" s="52">
        <v>1.1000000000000001</v>
      </c>
      <c r="O11" s="52">
        <v>0</v>
      </c>
      <c r="P11" s="52">
        <v>2.5299999999999998</v>
      </c>
      <c r="Q11" s="52">
        <v>334.38</v>
      </c>
      <c r="R11" s="44"/>
      <c r="S11" s="44"/>
      <c r="T11" s="44"/>
      <c r="U11" s="44"/>
    </row>
    <row r="12" spans="1:21" s="11" customFormat="1" x14ac:dyDescent="0.25">
      <c r="A12" s="51" t="s">
        <v>641</v>
      </c>
      <c r="B12" s="52">
        <v>67.39</v>
      </c>
      <c r="C12" s="52">
        <v>155.21</v>
      </c>
      <c r="D12" s="52">
        <v>139.69</v>
      </c>
      <c r="E12" s="55" t="s">
        <v>8</v>
      </c>
      <c r="F12" s="52">
        <v>1.31</v>
      </c>
      <c r="G12" s="52">
        <v>134.49</v>
      </c>
      <c r="H12" s="52">
        <v>45.95</v>
      </c>
      <c r="I12" s="52">
        <v>1.02</v>
      </c>
      <c r="J12" s="52">
        <v>0.72</v>
      </c>
      <c r="K12" s="52">
        <v>218.42</v>
      </c>
      <c r="L12" s="52">
        <v>17.46</v>
      </c>
      <c r="M12" s="52">
        <v>68.91</v>
      </c>
      <c r="N12" s="52">
        <v>0.7</v>
      </c>
      <c r="O12" s="52">
        <v>0</v>
      </c>
      <c r="P12" s="52">
        <v>2.15</v>
      </c>
      <c r="Q12" s="52">
        <v>301.32</v>
      </c>
      <c r="R12" s="44"/>
      <c r="S12" s="44"/>
      <c r="T12" s="44"/>
      <c r="U12" s="44"/>
    </row>
    <row r="13" spans="1:21" s="11" customFormat="1" x14ac:dyDescent="0.25">
      <c r="A13" s="51" t="s">
        <v>642</v>
      </c>
      <c r="B13" s="52">
        <v>46</v>
      </c>
      <c r="C13" s="52">
        <v>130.85</v>
      </c>
      <c r="D13" s="52">
        <v>109.1</v>
      </c>
      <c r="E13" s="55" t="s">
        <v>8</v>
      </c>
      <c r="F13" s="52">
        <v>1.1100000000000001</v>
      </c>
      <c r="G13" s="52">
        <v>76.77</v>
      </c>
      <c r="H13" s="52">
        <v>37.68</v>
      </c>
      <c r="I13" s="52">
        <v>0.81</v>
      </c>
      <c r="J13" s="52">
        <v>0.56999999999999995</v>
      </c>
      <c r="K13" s="52">
        <v>230.62</v>
      </c>
      <c r="L13" s="52">
        <v>16.88</v>
      </c>
      <c r="M13" s="52">
        <v>44.93</v>
      </c>
      <c r="N13" s="52">
        <v>0.9</v>
      </c>
      <c r="O13" s="52">
        <v>0</v>
      </c>
      <c r="P13" s="52">
        <v>1.75</v>
      </c>
      <c r="Q13" s="52">
        <v>269.5</v>
      </c>
      <c r="R13" s="44"/>
      <c r="S13" s="44"/>
      <c r="T13" s="44"/>
      <c r="U13" s="44"/>
    </row>
    <row r="14" spans="1:21" s="11" customFormat="1" x14ac:dyDescent="0.25">
      <c r="A14" s="51" t="s">
        <v>643</v>
      </c>
      <c r="B14" s="52">
        <v>31.73</v>
      </c>
      <c r="C14" s="52">
        <v>115.47</v>
      </c>
      <c r="D14" s="52">
        <v>89.17</v>
      </c>
      <c r="E14" s="55" t="s">
        <v>8</v>
      </c>
      <c r="F14" s="52">
        <v>0.84</v>
      </c>
      <c r="G14" s="52">
        <v>72.64</v>
      </c>
      <c r="H14" s="52">
        <v>32.04</v>
      </c>
      <c r="I14" s="52">
        <v>0.68</v>
      </c>
      <c r="J14" s="52">
        <v>0.57999999999999996</v>
      </c>
      <c r="K14" s="52">
        <v>241.25</v>
      </c>
      <c r="L14" s="52">
        <v>16.010000000000002</v>
      </c>
      <c r="M14" s="52">
        <v>77.97</v>
      </c>
      <c r="N14" s="52">
        <v>0.8</v>
      </c>
      <c r="O14" s="52">
        <v>0</v>
      </c>
      <c r="P14" s="52">
        <v>1.44</v>
      </c>
      <c r="Q14" s="52">
        <v>245.96</v>
      </c>
      <c r="R14" s="44"/>
      <c r="S14" s="44"/>
      <c r="T14" s="44"/>
      <c r="U14" s="44"/>
    </row>
    <row r="15" spans="1:21" s="11" customFormat="1" x14ac:dyDescent="0.25">
      <c r="A15" s="51" t="s">
        <v>644</v>
      </c>
      <c r="B15" s="52">
        <v>23.57</v>
      </c>
      <c r="C15" s="52">
        <v>111.37</v>
      </c>
      <c r="D15" s="52">
        <v>79.61</v>
      </c>
      <c r="E15" s="55" t="s">
        <v>8</v>
      </c>
      <c r="F15" s="52">
        <v>0.82</v>
      </c>
      <c r="G15" s="52">
        <v>62.06</v>
      </c>
      <c r="H15" s="52">
        <v>29.76</v>
      </c>
      <c r="I15" s="52">
        <v>0.59</v>
      </c>
      <c r="J15" s="52">
        <v>0.82</v>
      </c>
      <c r="K15" s="52">
        <v>230.8</v>
      </c>
      <c r="L15" s="52">
        <v>16.57</v>
      </c>
      <c r="M15" s="52">
        <v>75.61</v>
      </c>
      <c r="N15" s="52">
        <v>29.1</v>
      </c>
      <c r="O15" s="52">
        <v>0</v>
      </c>
      <c r="P15" s="52">
        <v>1.2</v>
      </c>
      <c r="Q15" s="52">
        <v>230.05</v>
      </c>
      <c r="R15" s="44"/>
      <c r="S15" s="44"/>
      <c r="T15" s="44"/>
      <c r="U15" s="44"/>
    </row>
    <row r="16" spans="1:21" s="11" customFormat="1" x14ac:dyDescent="0.25">
      <c r="A16" s="51" t="s">
        <v>645</v>
      </c>
      <c r="B16" s="52">
        <v>25.14</v>
      </c>
      <c r="C16" s="52">
        <v>114.6</v>
      </c>
      <c r="D16" s="52">
        <v>83.4</v>
      </c>
      <c r="E16" s="55" t="s">
        <v>8</v>
      </c>
      <c r="F16" s="52">
        <v>0.79</v>
      </c>
      <c r="G16" s="52">
        <v>85.59</v>
      </c>
      <c r="H16" s="52">
        <v>30.47</v>
      </c>
      <c r="I16" s="52">
        <v>0.52</v>
      </c>
      <c r="J16" s="52">
        <v>0.92</v>
      </c>
      <c r="K16" s="52">
        <v>223.56</v>
      </c>
      <c r="L16" s="52">
        <v>19.71</v>
      </c>
      <c r="M16" s="52">
        <v>64.099999999999994</v>
      </c>
      <c r="N16" s="52">
        <v>239</v>
      </c>
      <c r="O16" s="52">
        <v>0</v>
      </c>
      <c r="P16" s="52">
        <v>1.1000000000000001</v>
      </c>
      <c r="Q16" s="52">
        <v>230.3</v>
      </c>
      <c r="R16" s="44"/>
      <c r="S16" s="44"/>
      <c r="T16" s="44"/>
      <c r="U16" s="44"/>
    </row>
    <row r="17" spans="1:21" s="11" customFormat="1" x14ac:dyDescent="0.25">
      <c r="A17" s="51" t="s">
        <v>646</v>
      </c>
      <c r="B17" s="52">
        <v>23.44</v>
      </c>
      <c r="C17" s="52">
        <v>112.53</v>
      </c>
      <c r="D17" s="52">
        <v>80.53</v>
      </c>
      <c r="E17" s="55" t="s">
        <v>8</v>
      </c>
      <c r="F17" s="52">
        <v>1.23</v>
      </c>
      <c r="G17" s="52">
        <v>71.11</v>
      </c>
      <c r="H17" s="52">
        <v>28.46</v>
      </c>
      <c r="I17" s="52">
        <v>0.49</v>
      </c>
      <c r="J17" s="52">
        <v>1.2</v>
      </c>
      <c r="K17" s="52">
        <v>172.86</v>
      </c>
      <c r="L17" s="52">
        <v>22.14</v>
      </c>
      <c r="M17" s="52">
        <v>71.83</v>
      </c>
      <c r="N17" s="52">
        <v>382.5</v>
      </c>
      <c r="O17" s="52">
        <v>0</v>
      </c>
      <c r="P17" s="52">
        <v>1.06</v>
      </c>
      <c r="Q17" s="52">
        <v>226.38</v>
      </c>
      <c r="R17" s="44"/>
      <c r="S17" s="44"/>
      <c r="T17" s="44"/>
      <c r="U17" s="44"/>
    </row>
    <row r="18" spans="1:21" s="11" customFormat="1" x14ac:dyDescent="0.25">
      <c r="A18" s="51" t="s">
        <v>647</v>
      </c>
      <c r="B18" s="52">
        <v>19.34</v>
      </c>
      <c r="C18" s="52">
        <v>113.01</v>
      </c>
      <c r="D18" s="52">
        <v>77.41</v>
      </c>
      <c r="E18" s="55" t="s">
        <v>8</v>
      </c>
      <c r="F18" s="52">
        <v>1.42</v>
      </c>
      <c r="G18" s="52">
        <v>109.38</v>
      </c>
      <c r="H18" s="52">
        <v>30.37</v>
      </c>
      <c r="I18" s="52">
        <v>0.5</v>
      </c>
      <c r="J18" s="52">
        <v>1.28</v>
      </c>
      <c r="K18" s="52">
        <v>170.45</v>
      </c>
      <c r="L18" s="52">
        <v>25.63</v>
      </c>
      <c r="M18" s="52">
        <v>76.3</v>
      </c>
      <c r="N18" s="52">
        <v>467.6</v>
      </c>
      <c r="O18" s="52">
        <v>0</v>
      </c>
      <c r="P18" s="52">
        <v>0.99</v>
      </c>
      <c r="Q18" s="52">
        <v>226.17</v>
      </c>
      <c r="R18" s="44"/>
      <c r="S18" s="44"/>
      <c r="T18" s="44"/>
      <c r="U18" s="44"/>
    </row>
    <row r="19" spans="1:21" s="11" customFormat="1" x14ac:dyDescent="0.25">
      <c r="A19" s="51" t="s">
        <v>648</v>
      </c>
      <c r="B19" s="52">
        <v>14.92</v>
      </c>
      <c r="C19" s="52">
        <v>114.47</v>
      </c>
      <c r="D19" s="52">
        <v>74.38</v>
      </c>
      <c r="E19" s="55" t="s">
        <v>8</v>
      </c>
      <c r="F19" s="52">
        <v>1.97</v>
      </c>
      <c r="G19" s="52">
        <v>91.15</v>
      </c>
      <c r="H19" s="52">
        <v>33.090000000000003</v>
      </c>
      <c r="I19" s="52">
        <v>0.49</v>
      </c>
      <c r="J19" s="52">
        <v>1.24</v>
      </c>
      <c r="K19" s="52">
        <v>144.97</v>
      </c>
      <c r="L19" s="52">
        <v>27.35</v>
      </c>
      <c r="M19" s="52">
        <v>74.81</v>
      </c>
      <c r="N19" s="52">
        <v>502.5</v>
      </c>
      <c r="O19" s="52">
        <v>0</v>
      </c>
      <c r="P19" s="52">
        <v>0.95</v>
      </c>
      <c r="Q19" s="52">
        <v>227.48</v>
      </c>
      <c r="R19" s="44"/>
      <c r="S19" s="44"/>
      <c r="T19" s="44"/>
      <c r="U19" s="44"/>
    </row>
    <row r="20" spans="1:21" s="11" customFormat="1" x14ac:dyDescent="0.25">
      <c r="A20" s="51" t="s">
        <v>649</v>
      </c>
      <c r="B20" s="52">
        <v>9.1199999999999992</v>
      </c>
      <c r="C20" s="52">
        <v>112.3</v>
      </c>
      <c r="D20" s="52">
        <v>69.290000000000006</v>
      </c>
      <c r="E20" s="52">
        <v>2.93</v>
      </c>
      <c r="F20" s="52">
        <v>3.12</v>
      </c>
      <c r="G20" s="52">
        <v>105.08</v>
      </c>
      <c r="H20" s="52">
        <v>31.67</v>
      </c>
      <c r="I20" s="52">
        <v>0.45</v>
      </c>
      <c r="J20" s="52">
        <v>1.18</v>
      </c>
      <c r="K20" s="52">
        <v>132.96</v>
      </c>
      <c r="L20" s="52">
        <v>28.35</v>
      </c>
      <c r="M20" s="52">
        <v>54.82</v>
      </c>
      <c r="N20" s="52">
        <v>525.79999999999995</v>
      </c>
      <c r="O20" s="52">
        <v>0</v>
      </c>
      <c r="P20" s="52">
        <v>0.92</v>
      </c>
      <c r="Q20" s="52">
        <v>216.77</v>
      </c>
      <c r="R20" s="44"/>
      <c r="S20" s="44"/>
      <c r="T20" s="44"/>
      <c r="U20" s="44"/>
    </row>
    <row r="21" spans="1:21" s="11" customFormat="1" x14ac:dyDescent="0.25">
      <c r="A21" s="51" t="s">
        <v>650</v>
      </c>
      <c r="B21" s="52">
        <v>4.97</v>
      </c>
      <c r="C21" s="52">
        <v>100.51</v>
      </c>
      <c r="D21" s="52">
        <v>59.45</v>
      </c>
      <c r="E21" s="52">
        <v>6.12</v>
      </c>
      <c r="F21" s="52">
        <v>3</v>
      </c>
      <c r="G21" s="52">
        <v>83.21</v>
      </c>
      <c r="H21" s="52">
        <v>32.85</v>
      </c>
      <c r="I21" s="52">
        <v>0.43</v>
      </c>
      <c r="J21" s="52">
        <v>1.1000000000000001</v>
      </c>
      <c r="K21" s="52">
        <v>113.95</v>
      </c>
      <c r="L21" s="52">
        <v>29.92</v>
      </c>
      <c r="M21" s="52">
        <v>70.930000000000007</v>
      </c>
      <c r="N21" s="52">
        <v>524.5</v>
      </c>
      <c r="O21" s="52">
        <v>0</v>
      </c>
      <c r="P21" s="52">
        <v>0.86</v>
      </c>
      <c r="Q21" s="52">
        <v>222.08</v>
      </c>
      <c r="R21" s="44"/>
      <c r="S21" s="44"/>
      <c r="T21" s="44"/>
      <c r="U21" s="44"/>
    </row>
    <row r="22" spans="1:21" s="11" customFormat="1" x14ac:dyDescent="0.25">
      <c r="A22" s="51" t="s">
        <v>651</v>
      </c>
      <c r="B22" s="52">
        <v>4.8099999999999996</v>
      </c>
      <c r="C22" s="52">
        <v>99.23</v>
      </c>
      <c r="D22" s="52">
        <v>58.62</v>
      </c>
      <c r="E22" s="52">
        <v>6.73</v>
      </c>
      <c r="F22" s="52">
        <v>3.51</v>
      </c>
      <c r="G22" s="52">
        <v>54.87</v>
      </c>
      <c r="H22" s="52">
        <v>24.57</v>
      </c>
      <c r="I22" s="52">
        <v>0.43</v>
      </c>
      <c r="J22" s="52">
        <v>0.85</v>
      </c>
      <c r="K22" s="52">
        <v>99.86</v>
      </c>
      <c r="L22" s="52">
        <v>30.98</v>
      </c>
      <c r="M22" s="52">
        <v>86.48</v>
      </c>
      <c r="N22" s="52">
        <v>461.8</v>
      </c>
      <c r="O22" s="52">
        <v>0</v>
      </c>
      <c r="P22" s="52">
        <v>0.86</v>
      </c>
      <c r="Q22" s="52">
        <v>242.7</v>
      </c>
      <c r="R22" s="44"/>
      <c r="S22" s="44"/>
      <c r="T22" s="44"/>
      <c r="U22" s="44"/>
    </row>
    <row r="23" spans="1:21" s="11" customFormat="1" x14ac:dyDescent="0.25">
      <c r="A23" s="51" t="s">
        <v>652</v>
      </c>
      <c r="B23" s="52">
        <v>5.01</v>
      </c>
      <c r="C23" s="52">
        <v>100.03</v>
      </c>
      <c r="D23" s="52">
        <v>59.22</v>
      </c>
      <c r="E23" s="52">
        <v>8.43</v>
      </c>
      <c r="F23" s="52">
        <v>4.95</v>
      </c>
      <c r="G23" s="52">
        <v>59.5</v>
      </c>
      <c r="H23" s="52">
        <v>26</v>
      </c>
      <c r="I23" s="52">
        <v>0.43</v>
      </c>
      <c r="J23" s="52">
        <v>1.07</v>
      </c>
      <c r="K23" s="52">
        <v>109.17</v>
      </c>
      <c r="L23" s="52">
        <v>29.14</v>
      </c>
      <c r="M23" s="52">
        <v>49.18</v>
      </c>
      <c r="N23" s="52">
        <v>353.3</v>
      </c>
      <c r="O23" s="52">
        <v>0</v>
      </c>
      <c r="P23" s="52">
        <v>0.86</v>
      </c>
      <c r="Q23" s="52">
        <v>241.39</v>
      </c>
      <c r="R23" s="44"/>
      <c r="S23" s="44"/>
      <c r="T23" s="44"/>
      <c r="U23" s="44"/>
    </row>
    <row r="24" spans="1:21" s="11" customFormat="1" x14ac:dyDescent="0.25">
      <c r="A24" s="51" t="s">
        <v>653</v>
      </c>
      <c r="B24" s="52">
        <v>6.81</v>
      </c>
      <c r="C24" s="52">
        <v>106.77</v>
      </c>
      <c r="D24" s="52">
        <v>62.84</v>
      </c>
      <c r="E24" s="52">
        <v>14.5</v>
      </c>
      <c r="F24" s="52">
        <v>6.77</v>
      </c>
      <c r="G24" s="52">
        <v>63.18</v>
      </c>
      <c r="H24" s="52">
        <v>27.22</v>
      </c>
      <c r="I24" s="52">
        <v>0.4</v>
      </c>
      <c r="J24" s="52">
        <v>0.76</v>
      </c>
      <c r="K24" s="52">
        <v>110.76</v>
      </c>
      <c r="L24" s="52">
        <v>28.17</v>
      </c>
      <c r="M24" s="52">
        <v>82.79</v>
      </c>
      <c r="N24" s="52">
        <v>125</v>
      </c>
      <c r="O24" s="52">
        <v>0</v>
      </c>
      <c r="P24" s="52">
        <v>0.86</v>
      </c>
      <c r="Q24" s="52">
        <v>244.47</v>
      </c>
      <c r="R24" s="44"/>
      <c r="S24" s="44"/>
      <c r="T24" s="44"/>
      <c r="U24" s="44"/>
    </row>
    <row r="25" spans="1:21" s="11" customFormat="1" x14ac:dyDescent="0.25">
      <c r="A25" s="51" t="s">
        <v>654</v>
      </c>
      <c r="B25" s="52">
        <v>7.61</v>
      </c>
      <c r="C25" s="52">
        <v>107.01</v>
      </c>
      <c r="D25" s="52">
        <v>64.73</v>
      </c>
      <c r="E25" s="52">
        <v>8.52</v>
      </c>
      <c r="F25" s="52">
        <v>5.21</v>
      </c>
      <c r="G25" s="52">
        <v>54.1</v>
      </c>
      <c r="H25" s="52">
        <v>27.63</v>
      </c>
      <c r="I25" s="52">
        <v>0.42</v>
      </c>
      <c r="J25" s="52">
        <v>0.91</v>
      </c>
      <c r="K25" s="52">
        <v>119.16</v>
      </c>
      <c r="L25" s="52">
        <v>27.39</v>
      </c>
      <c r="M25" s="52">
        <v>91.86</v>
      </c>
      <c r="N25" s="52">
        <v>44.5</v>
      </c>
      <c r="O25" s="52">
        <v>0</v>
      </c>
      <c r="P25" s="52">
        <v>0.95</v>
      </c>
      <c r="Q25" s="52">
        <v>259.11</v>
      </c>
      <c r="R25" s="44"/>
      <c r="S25" s="44"/>
      <c r="T25" s="44"/>
      <c r="U25" s="44"/>
    </row>
    <row r="26" spans="1:21" s="11" customFormat="1" x14ac:dyDescent="0.25">
      <c r="A26" s="51" t="s">
        <v>655</v>
      </c>
      <c r="B26" s="52">
        <v>13.45</v>
      </c>
      <c r="C26" s="52">
        <v>128.22999999999999</v>
      </c>
      <c r="D26" s="52">
        <v>81.56</v>
      </c>
      <c r="E26" s="52">
        <v>5.91</v>
      </c>
      <c r="F26" s="52">
        <v>2.59</v>
      </c>
      <c r="G26" s="52">
        <v>54.7</v>
      </c>
      <c r="H26" s="52">
        <v>26.57</v>
      </c>
      <c r="I26" s="52">
        <v>0.46</v>
      </c>
      <c r="J26" s="52">
        <v>0.59</v>
      </c>
      <c r="K26" s="52">
        <v>151.51</v>
      </c>
      <c r="L26" s="52">
        <v>25.04</v>
      </c>
      <c r="M26" s="52">
        <v>90.36</v>
      </c>
      <c r="N26" s="52">
        <v>6</v>
      </c>
      <c r="O26" s="52">
        <v>0</v>
      </c>
      <c r="P26" s="52">
        <v>1.22</v>
      </c>
      <c r="Q26" s="52">
        <v>273.99</v>
      </c>
      <c r="R26" s="44"/>
      <c r="S26" s="44"/>
      <c r="T26" s="44"/>
      <c r="U26" s="44"/>
    </row>
    <row r="27" spans="1:21" s="11" customFormat="1" x14ac:dyDescent="0.25">
      <c r="A27" s="51" t="s">
        <v>656</v>
      </c>
      <c r="B27" s="52">
        <v>31.72</v>
      </c>
      <c r="C27" s="52">
        <v>150.43</v>
      </c>
      <c r="D27" s="52">
        <v>108.46</v>
      </c>
      <c r="E27" s="52">
        <v>5.27</v>
      </c>
      <c r="F27" s="52">
        <v>0.96</v>
      </c>
      <c r="G27" s="52">
        <v>82.94</v>
      </c>
      <c r="H27" s="52">
        <v>29.07</v>
      </c>
      <c r="I27" s="52">
        <v>0.61</v>
      </c>
      <c r="J27" s="52">
        <v>0.16</v>
      </c>
      <c r="K27" s="52">
        <v>193.59</v>
      </c>
      <c r="L27" s="52">
        <v>22.18</v>
      </c>
      <c r="M27" s="52">
        <v>46.1</v>
      </c>
      <c r="N27" s="52">
        <v>1.2</v>
      </c>
      <c r="O27" s="52">
        <v>0</v>
      </c>
      <c r="P27" s="52">
        <v>1.73</v>
      </c>
      <c r="Q27" s="52">
        <v>295.17</v>
      </c>
      <c r="R27" s="44"/>
      <c r="S27" s="44"/>
      <c r="T27" s="44"/>
      <c r="U27" s="44"/>
    </row>
    <row r="28" spans="1:21" s="11" customFormat="1" x14ac:dyDescent="0.25">
      <c r="A28" s="51" t="s">
        <v>657</v>
      </c>
      <c r="B28" s="52">
        <v>50.06</v>
      </c>
      <c r="C28" s="52">
        <v>169.59</v>
      </c>
      <c r="D28" s="52">
        <v>133.72999999999999</v>
      </c>
      <c r="E28" s="52">
        <v>5.42</v>
      </c>
      <c r="F28" s="52">
        <v>1.02</v>
      </c>
      <c r="G28" s="52">
        <v>178.36</v>
      </c>
      <c r="H28" s="52">
        <v>30.39</v>
      </c>
      <c r="I28" s="52">
        <v>0.96</v>
      </c>
      <c r="J28" s="52">
        <v>0.37</v>
      </c>
      <c r="K28" s="52">
        <v>215.97</v>
      </c>
      <c r="L28" s="52">
        <v>21.13</v>
      </c>
      <c r="M28" s="52">
        <v>71.42</v>
      </c>
      <c r="N28" s="52">
        <v>1</v>
      </c>
      <c r="O28" s="52">
        <v>0</v>
      </c>
      <c r="P28" s="52">
        <v>2.33</v>
      </c>
      <c r="Q28" s="52">
        <v>318.24</v>
      </c>
      <c r="R28" s="44"/>
      <c r="S28" s="44"/>
      <c r="T28" s="44"/>
      <c r="U28" s="44"/>
    </row>
    <row r="29" spans="1:21" s="11" customFormat="1" x14ac:dyDescent="0.25">
      <c r="A29" s="51" t="s">
        <v>658</v>
      </c>
      <c r="B29" s="52">
        <v>82.17</v>
      </c>
      <c r="C29" s="52">
        <v>200.22</v>
      </c>
      <c r="D29" s="52">
        <v>176.39</v>
      </c>
      <c r="E29" s="52">
        <v>5.75</v>
      </c>
      <c r="F29" s="52">
        <v>0.83</v>
      </c>
      <c r="G29" s="52">
        <v>171.05</v>
      </c>
      <c r="H29" s="52">
        <v>40.22</v>
      </c>
      <c r="I29" s="52">
        <v>1.31</v>
      </c>
      <c r="J29" s="52">
        <v>0.39</v>
      </c>
      <c r="K29" s="52">
        <v>216.85</v>
      </c>
      <c r="L29" s="52">
        <v>20.04</v>
      </c>
      <c r="M29" s="52">
        <v>74.69</v>
      </c>
      <c r="N29" s="52">
        <v>0.8</v>
      </c>
      <c r="O29" s="52">
        <v>0</v>
      </c>
      <c r="P29" s="52">
        <v>3.1</v>
      </c>
      <c r="Q29" s="52">
        <v>358.98</v>
      </c>
      <c r="R29" s="44"/>
      <c r="S29" s="44"/>
      <c r="T29" s="44"/>
      <c r="U29" s="44"/>
    </row>
    <row r="30" spans="1:21" s="11" customFormat="1" x14ac:dyDescent="0.25">
      <c r="A30" s="51" t="s">
        <v>659</v>
      </c>
      <c r="B30" s="52">
        <v>122.56</v>
      </c>
      <c r="C30" s="52">
        <v>234.08</v>
      </c>
      <c r="D30" s="52">
        <v>227.47</v>
      </c>
      <c r="E30" s="52">
        <v>5.74</v>
      </c>
      <c r="F30" s="52">
        <v>1.22</v>
      </c>
      <c r="G30" s="52">
        <v>163.72</v>
      </c>
      <c r="H30" s="52">
        <v>40.36</v>
      </c>
      <c r="I30" s="52">
        <v>1.69</v>
      </c>
      <c r="J30" s="52">
        <v>0.33</v>
      </c>
      <c r="K30" s="52">
        <v>231.67</v>
      </c>
      <c r="L30" s="52">
        <v>19.53</v>
      </c>
      <c r="M30" s="52">
        <v>71.569999999999993</v>
      </c>
      <c r="N30" s="52">
        <v>1.1000000000000001</v>
      </c>
      <c r="O30" s="52">
        <v>0</v>
      </c>
      <c r="P30" s="52">
        <v>3.7</v>
      </c>
      <c r="Q30" s="52">
        <v>398.47</v>
      </c>
      <c r="R30" s="44"/>
      <c r="S30" s="44"/>
      <c r="T30" s="44"/>
      <c r="U30" s="44"/>
    </row>
    <row r="31" spans="1:21" s="11" customFormat="1" x14ac:dyDescent="0.25">
      <c r="A31" s="51" t="s">
        <v>660</v>
      </c>
      <c r="B31" s="52">
        <v>140.08000000000001</v>
      </c>
      <c r="C31" s="52">
        <v>247.65</v>
      </c>
      <c r="D31" s="52">
        <v>249</v>
      </c>
      <c r="E31" s="52">
        <v>6.06</v>
      </c>
      <c r="F31" s="52">
        <v>0.84</v>
      </c>
      <c r="G31" s="52">
        <v>183.84</v>
      </c>
      <c r="H31" s="52">
        <v>44.67</v>
      </c>
      <c r="I31" s="52">
        <v>1.65</v>
      </c>
      <c r="J31" s="52">
        <v>0.78</v>
      </c>
      <c r="K31" s="52">
        <v>236.35</v>
      </c>
      <c r="L31" s="52">
        <v>19.739999999999998</v>
      </c>
      <c r="M31" s="52">
        <v>77.319999999999993</v>
      </c>
      <c r="N31" s="52">
        <v>1.3</v>
      </c>
      <c r="O31" s="52">
        <v>0</v>
      </c>
      <c r="P31" s="52">
        <v>3.89</v>
      </c>
      <c r="Q31" s="59" t="s">
        <v>15</v>
      </c>
      <c r="R31" s="44"/>
      <c r="S31" s="44"/>
      <c r="T31" s="44"/>
      <c r="U31" s="44"/>
    </row>
    <row r="32" spans="1:21" s="11" customFormat="1" x14ac:dyDescent="0.25">
      <c r="A32" s="51" t="s">
        <v>661</v>
      </c>
      <c r="B32" s="52">
        <v>123.1</v>
      </c>
      <c r="C32" s="52">
        <v>230.41</v>
      </c>
      <c r="D32" s="52">
        <v>225.87</v>
      </c>
      <c r="E32" s="52">
        <v>6</v>
      </c>
      <c r="F32" s="52">
        <v>0.75</v>
      </c>
      <c r="G32" s="52">
        <v>101.46</v>
      </c>
      <c r="H32" s="52">
        <v>41.52</v>
      </c>
      <c r="I32" s="52">
        <v>1.62</v>
      </c>
      <c r="J32" s="52">
        <v>0.28000000000000003</v>
      </c>
      <c r="K32" s="52">
        <v>220.81</v>
      </c>
      <c r="L32" s="52">
        <v>18.34</v>
      </c>
      <c r="M32" s="52">
        <v>69.319999999999993</v>
      </c>
      <c r="N32" s="52">
        <v>1.1000000000000001</v>
      </c>
      <c r="O32" s="52">
        <v>0</v>
      </c>
      <c r="P32" s="52">
        <v>3.6</v>
      </c>
      <c r="Q32" s="52">
        <v>387.1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4.8099999999999996</v>
      </c>
      <c r="C34" s="28">
        <f t="shared" si="0"/>
        <v>99.23</v>
      </c>
      <c r="D34" s="28">
        <f t="shared" si="0"/>
        <v>58.62</v>
      </c>
      <c r="E34" s="28">
        <f t="shared" si="0"/>
        <v>2.93</v>
      </c>
      <c r="F34" s="28">
        <f t="shared" si="0"/>
        <v>0.75</v>
      </c>
      <c r="G34" s="28">
        <f t="shared" si="0"/>
        <v>54.1</v>
      </c>
      <c r="H34" s="28">
        <f t="shared" si="0"/>
        <v>24.57</v>
      </c>
      <c r="I34" s="28">
        <f t="shared" si="0"/>
        <v>0.4</v>
      </c>
      <c r="J34" s="28">
        <f t="shared" si="0"/>
        <v>0.16</v>
      </c>
      <c r="K34" s="28">
        <f t="shared" si="0"/>
        <v>99.86</v>
      </c>
      <c r="L34" s="28">
        <f t="shared" si="0"/>
        <v>16.010000000000002</v>
      </c>
      <c r="M34" s="28">
        <f t="shared" si="0"/>
        <v>44.93</v>
      </c>
      <c r="N34" s="28">
        <f t="shared" si="0"/>
        <v>0.7</v>
      </c>
      <c r="O34" s="28">
        <f t="shared" si="0"/>
        <v>0</v>
      </c>
      <c r="P34" s="28">
        <f t="shared" si="0"/>
        <v>0.86</v>
      </c>
      <c r="Q34" s="28">
        <f t="shared" si="0"/>
        <v>216.77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174.87</v>
      </c>
      <c r="C35" s="29">
        <f t="shared" si="1"/>
        <v>265.07</v>
      </c>
      <c r="D35" s="29">
        <f t="shared" si="1"/>
        <v>286.52</v>
      </c>
      <c r="E35" s="29">
        <f t="shared" si="1"/>
        <v>14.5</v>
      </c>
      <c r="F35" s="29">
        <f t="shared" si="1"/>
        <v>6.77</v>
      </c>
      <c r="G35" s="29">
        <f t="shared" si="1"/>
        <v>183.84</v>
      </c>
      <c r="H35" s="29">
        <f t="shared" si="1"/>
        <v>49.98</v>
      </c>
      <c r="I35" s="29">
        <f t="shared" si="1"/>
        <v>1.69</v>
      </c>
      <c r="J35" s="29">
        <f t="shared" si="1"/>
        <v>1.28</v>
      </c>
      <c r="K35" s="29">
        <f t="shared" si="1"/>
        <v>241.25</v>
      </c>
      <c r="L35" s="29">
        <f t="shared" si="1"/>
        <v>30.98</v>
      </c>
      <c r="M35" s="29">
        <f t="shared" si="1"/>
        <v>91.86</v>
      </c>
      <c r="N35" s="29">
        <f t="shared" si="1"/>
        <v>525.79999999999995</v>
      </c>
      <c r="O35" s="29">
        <f t="shared" si="1"/>
        <v>0</v>
      </c>
      <c r="P35" s="29">
        <f t="shared" si="1"/>
        <v>3.89</v>
      </c>
      <c r="Q35" s="29">
        <f t="shared" si="1"/>
        <v>398.47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52.238333333333337</v>
      </c>
      <c r="C36" s="28">
        <f t="shared" si="2"/>
        <v>150.92791666666665</v>
      </c>
      <c r="D36" s="28">
        <f t="shared" si="2"/>
        <v>125.00374999999997</v>
      </c>
      <c r="E36" s="28">
        <f t="shared" si="2"/>
        <v>6.7215384615384615</v>
      </c>
      <c r="F36" s="28">
        <f t="shared" si="2"/>
        <v>1.9516666666666669</v>
      </c>
      <c r="G36" s="28">
        <f t="shared" si="2"/>
        <v>100.85125000000001</v>
      </c>
      <c r="H36" s="28">
        <f t="shared" si="2"/>
        <v>34.374166666666675</v>
      </c>
      <c r="I36" s="28">
        <f t="shared" si="2"/>
        <v>0.84458333333333335</v>
      </c>
      <c r="J36" s="28">
        <f t="shared" si="2"/>
        <v>0.73541666666666661</v>
      </c>
      <c r="K36" s="28">
        <f t="shared" si="2"/>
        <v>184.1866666666667</v>
      </c>
      <c r="L36" s="28">
        <f t="shared" si="2"/>
        <v>22.342916666666671</v>
      </c>
      <c r="M36" s="28">
        <f t="shared" si="2"/>
        <v>71.626249999999985</v>
      </c>
      <c r="N36" s="28">
        <f t="shared" si="2"/>
        <v>153.07083333333335</v>
      </c>
      <c r="O36" s="28">
        <f t="shared" si="2"/>
        <v>0</v>
      </c>
      <c r="P36" s="28">
        <f t="shared" si="2"/>
        <v>1.8654166666666667</v>
      </c>
      <c r="Q36" s="28">
        <f t="shared" si="2"/>
        <v>278.82727272727271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51.835054922712104</v>
      </c>
      <c r="C37" s="28">
        <f t="shared" ref="C37:Q37" si="3">STDEV(C9:C32)</f>
        <v>53.84315191846126</v>
      </c>
      <c r="D37" s="28">
        <f t="shared" si="3"/>
        <v>71.033678528752077</v>
      </c>
      <c r="E37" s="28">
        <f t="shared" si="3"/>
        <v>2.7190771907451943</v>
      </c>
      <c r="F37" s="28">
        <f t="shared" si="3"/>
        <v>1.6657983245192121</v>
      </c>
      <c r="G37" s="28">
        <f t="shared" si="3"/>
        <v>41.276067316935261</v>
      </c>
      <c r="H37" s="28">
        <f t="shared" si="3"/>
        <v>7.272556464973758</v>
      </c>
      <c r="I37" s="28">
        <f t="shared" si="3"/>
        <v>0.47525717675588164</v>
      </c>
      <c r="J37" s="28">
        <f t="shared" si="3"/>
        <v>0.33494943377830338</v>
      </c>
      <c r="K37" s="28">
        <f t="shared" si="3"/>
        <v>48.451223672496852</v>
      </c>
      <c r="L37" s="28">
        <f t="shared" si="3"/>
        <v>4.8493589707853229</v>
      </c>
      <c r="M37" s="28">
        <f t="shared" si="3"/>
        <v>12.369594493546799</v>
      </c>
      <c r="N37" s="28">
        <f t="shared" si="3"/>
        <v>210.62985972546954</v>
      </c>
      <c r="O37" s="28">
        <f t="shared" si="3"/>
        <v>0</v>
      </c>
      <c r="P37" s="28">
        <f t="shared" si="3"/>
        <v>1.0886688288182871</v>
      </c>
      <c r="Q37" s="28">
        <f t="shared" si="3"/>
        <v>59.524987404796029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>COUNT(E9:E32)+11</f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22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299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26-11-2022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662</v>
      </c>
      <c r="B9" s="52">
        <v>101.36</v>
      </c>
      <c r="C9" s="52">
        <v>206.02</v>
      </c>
      <c r="D9" s="52">
        <v>194.98</v>
      </c>
      <c r="E9" s="52">
        <v>5.68</v>
      </c>
      <c r="F9" s="52">
        <v>0.86</v>
      </c>
      <c r="G9" s="52">
        <v>76.05</v>
      </c>
      <c r="H9" s="52">
        <v>36.36</v>
      </c>
      <c r="I9" s="52">
        <v>1.46</v>
      </c>
      <c r="J9" s="52">
        <v>0.23</v>
      </c>
      <c r="K9" s="52">
        <v>230.82</v>
      </c>
      <c r="L9" s="52">
        <v>17.100000000000001</v>
      </c>
      <c r="M9" s="52">
        <v>67.33</v>
      </c>
      <c r="N9" s="52">
        <v>1</v>
      </c>
      <c r="O9" s="52">
        <v>0</v>
      </c>
      <c r="P9" s="52">
        <v>3.11</v>
      </c>
      <c r="Q9" s="52">
        <v>352.48</v>
      </c>
      <c r="R9" s="44"/>
      <c r="S9" s="44"/>
      <c r="T9" s="44"/>
      <c r="U9" s="44"/>
    </row>
    <row r="10" spans="1:21" s="11" customFormat="1" x14ac:dyDescent="0.25">
      <c r="A10" s="51" t="s">
        <v>663</v>
      </c>
      <c r="B10" s="52">
        <v>81.92</v>
      </c>
      <c r="C10" s="52">
        <v>177.89</v>
      </c>
      <c r="D10" s="52">
        <v>163.86</v>
      </c>
      <c r="E10" s="52">
        <v>5.55</v>
      </c>
      <c r="F10" s="52">
        <v>0.85</v>
      </c>
      <c r="G10" s="52">
        <v>106.53</v>
      </c>
      <c r="H10" s="52">
        <v>33.450000000000003</v>
      </c>
      <c r="I10" s="52">
        <v>1.26</v>
      </c>
      <c r="J10" s="52">
        <v>0.55000000000000004</v>
      </c>
      <c r="K10" s="52">
        <v>246.65</v>
      </c>
      <c r="L10" s="52">
        <v>16.440000000000001</v>
      </c>
      <c r="M10" s="52">
        <v>81.92</v>
      </c>
      <c r="N10" s="52">
        <v>1</v>
      </c>
      <c r="O10" s="52">
        <v>0</v>
      </c>
      <c r="P10" s="52">
        <v>2.58</v>
      </c>
      <c r="Q10" s="52">
        <v>323.29000000000002</v>
      </c>
      <c r="R10" s="44"/>
      <c r="S10" s="44"/>
      <c r="T10" s="44"/>
      <c r="U10" s="44"/>
    </row>
    <row r="11" spans="1:21" s="11" customFormat="1" x14ac:dyDescent="0.25">
      <c r="A11" s="51" t="s">
        <v>664</v>
      </c>
      <c r="B11" s="52">
        <v>61.26</v>
      </c>
      <c r="C11" s="52">
        <v>155.46</v>
      </c>
      <c r="D11" s="52">
        <v>134.93</v>
      </c>
      <c r="E11" s="52">
        <v>5.84</v>
      </c>
      <c r="F11" s="52">
        <v>0.8</v>
      </c>
      <c r="G11" s="52">
        <v>128.69</v>
      </c>
      <c r="H11" s="52">
        <v>39.51</v>
      </c>
      <c r="I11" s="52">
        <v>1.06</v>
      </c>
      <c r="J11" s="52">
        <v>0.2</v>
      </c>
      <c r="K11" s="52">
        <v>248.9</v>
      </c>
      <c r="L11" s="52">
        <v>15.88</v>
      </c>
      <c r="M11" s="52">
        <v>83.92</v>
      </c>
      <c r="N11" s="52">
        <v>1.1000000000000001</v>
      </c>
      <c r="O11" s="52">
        <v>0</v>
      </c>
      <c r="P11" s="52">
        <v>2.29</v>
      </c>
      <c r="Q11" s="52">
        <v>287.32</v>
      </c>
      <c r="R11" s="44"/>
      <c r="S11" s="44"/>
      <c r="T11" s="44"/>
      <c r="U11" s="44"/>
    </row>
    <row r="12" spans="1:21" s="11" customFormat="1" x14ac:dyDescent="0.25">
      <c r="A12" s="51" t="s">
        <v>665</v>
      </c>
      <c r="B12" s="52">
        <v>42.19</v>
      </c>
      <c r="C12" s="52">
        <v>131.86000000000001</v>
      </c>
      <c r="D12" s="52">
        <v>106.6</v>
      </c>
      <c r="E12" s="52">
        <v>5.83</v>
      </c>
      <c r="F12" s="52">
        <v>0.86</v>
      </c>
      <c r="G12" s="52">
        <v>91.51</v>
      </c>
      <c r="H12" s="52">
        <v>40.82</v>
      </c>
      <c r="I12" s="52">
        <v>0.86</v>
      </c>
      <c r="J12" s="52">
        <v>0.19</v>
      </c>
      <c r="K12" s="52">
        <v>273.26</v>
      </c>
      <c r="L12" s="52">
        <v>14.75</v>
      </c>
      <c r="M12" s="52">
        <v>85.73</v>
      </c>
      <c r="N12" s="52">
        <v>1</v>
      </c>
      <c r="O12" s="52">
        <v>0</v>
      </c>
      <c r="P12" s="52">
        <v>1.94</v>
      </c>
      <c r="Q12" s="52">
        <v>253.31</v>
      </c>
      <c r="R12" s="44"/>
      <c r="S12" s="44"/>
      <c r="T12" s="44"/>
      <c r="U12" s="44"/>
    </row>
    <row r="13" spans="1:21" s="11" customFormat="1" x14ac:dyDescent="0.25">
      <c r="A13" s="51" t="s">
        <v>666</v>
      </c>
      <c r="B13" s="52">
        <v>35.5</v>
      </c>
      <c r="C13" s="52">
        <v>118.02</v>
      </c>
      <c r="D13" s="52">
        <v>92.94</v>
      </c>
      <c r="E13" s="52">
        <v>5.49</v>
      </c>
      <c r="F13" s="52">
        <v>0.75</v>
      </c>
      <c r="G13" s="52">
        <v>105.55</v>
      </c>
      <c r="H13" s="52">
        <v>40.85</v>
      </c>
      <c r="I13" s="52">
        <v>0.73</v>
      </c>
      <c r="J13" s="52">
        <v>0.16</v>
      </c>
      <c r="K13" s="52">
        <v>272.44</v>
      </c>
      <c r="L13" s="52">
        <v>14.7</v>
      </c>
      <c r="M13" s="52">
        <v>73.680000000000007</v>
      </c>
      <c r="N13" s="52">
        <v>1</v>
      </c>
      <c r="O13" s="52">
        <v>0</v>
      </c>
      <c r="P13" s="52">
        <v>1.76</v>
      </c>
      <c r="Q13" s="52">
        <v>242.31</v>
      </c>
      <c r="R13" s="44"/>
      <c r="S13" s="44"/>
      <c r="T13" s="44"/>
      <c r="U13" s="44"/>
    </row>
    <row r="14" spans="1:21" s="11" customFormat="1" x14ac:dyDescent="0.25">
      <c r="A14" s="51" t="s">
        <v>667</v>
      </c>
      <c r="B14" s="52">
        <v>53.48</v>
      </c>
      <c r="C14" s="52">
        <v>131.9</v>
      </c>
      <c r="D14" s="52">
        <v>115.68</v>
      </c>
      <c r="E14" s="52">
        <v>5.91</v>
      </c>
      <c r="F14" s="52">
        <v>1.41</v>
      </c>
      <c r="G14" s="52">
        <v>125.01</v>
      </c>
      <c r="H14" s="52">
        <v>40.75</v>
      </c>
      <c r="I14" s="52">
        <v>0.65</v>
      </c>
      <c r="J14" s="52">
        <v>0.2</v>
      </c>
      <c r="K14" s="52">
        <v>281.83999999999997</v>
      </c>
      <c r="L14" s="52">
        <v>14.28</v>
      </c>
      <c r="M14" s="52">
        <v>80.819999999999993</v>
      </c>
      <c r="N14" s="52">
        <v>0.9</v>
      </c>
      <c r="O14" s="52">
        <v>0</v>
      </c>
      <c r="P14" s="52">
        <v>1.67</v>
      </c>
      <c r="Q14" s="52">
        <v>251.05</v>
      </c>
      <c r="R14" s="44"/>
      <c r="S14" s="44"/>
      <c r="T14" s="44"/>
      <c r="U14" s="44"/>
    </row>
    <row r="15" spans="1:21" s="11" customFormat="1" x14ac:dyDescent="0.25">
      <c r="A15" s="51" t="s">
        <v>668</v>
      </c>
      <c r="B15" s="52">
        <v>64.41</v>
      </c>
      <c r="C15" s="52">
        <v>139.35</v>
      </c>
      <c r="D15" s="52">
        <v>128.56</v>
      </c>
      <c r="E15" s="52">
        <v>5.98</v>
      </c>
      <c r="F15" s="52">
        <v>1.1599999999999999</v>
      </c>
      <c r="G15" s="52">
        <v>171.43</v>
      </c>
      <c r="H15" s="52">
        <v>42.11</v>
      </c>
      <c r="I15" s="52">
        <v>0.6</v>
      </c>
      <c r="J15" s="52">
        <v>0.33</v>
      </c>
      <c r="K15" s="52">
        <v>290.60000000000002</v>
      </c>
      <c r="L15" s="52">
        <v>14.44</v>
      </c>
      <c r="M15" s="52">
        <v>79.69</v>
      </c>
      <c r="N15" s="52">
        <v>28.7</v>
      </c>
      <c r="O15" s="52">
        <v>0</v>
      </c>
      <c r="P15" s="52">
        <v>1.72</v>
      </c>
      <c r="Q15" s="52">
        <v>256.18</v>
      </c>
      <c r="R15" s="44"/>
      <c r="S15" s="44"/>
      <c r="T15" s="44"/>
      <c r="U15" s="44"/>
    </row>
    <row r="16" spans="1:21" s="11" customFormat="1" x14ac:dyDescent="0.25">
      <c r="A16" s="51" t="s">
        <v>669</v>
      </c>
      <c r="B16" s="52">
        <v>84.38</v>
      </c>
      <c r="C16" s="52">
        <v>163.30000000000001</v>
      </c>
      <c r="D16" s="52">
        <v>157.79</v>
      </c>
      <c r="E16" s="52">
        <v>6</v>
      </c>
      <c r="F16" s="52">
        <v>0.53</v>
      </c>
      <c r="G16" s="52">
        <v>135.96</v>
      </c>
      <c r="H16" s="52">
        <v>43.77</v>
      </c>
      <c r="I16" s="52">
        <v>0.56999999999999995</v>
      </c>
      <c r="J16" s="52">
        <v>0.6</v>
      </c>
      <c r="K16" s="52">
        <v>284.7</v>
      </c>
      <c r="L16" s="52">
        <v>20.149999999999999</v>
      </c>
      <c r="M16" s="52">
        <v>70.75</v>
      </c>
      <c r="N16" s="52">
        <v>230.3</v>
      </c>
      <c r="O16" s="52">
        <v>0</v>
      </c>
      <c r="P16" s="52">
        <v>1.74</v>
      </c>
      <c r="Q16" s="52">
        <v>284.05</v>
      </c>
      <c r="R16" s="44"/>
      <c r="S16" s="44"/>
      <c r="T16" s="44"/>
      <c r="U16" s="44"/>
    </row>
    <row r="17" spans="1:21" s="11" customFormat="1" x14ac:dyDescent="0.25">
      <c r="A17" s="51" t="s">
        <v>670</v>
      </c>
      <c r="B17" s="52">
        <v>81.22</v>
      </c>
      <c r="C17" s="52">
        <v>162.51</v>
      </c>
      <c r="D17" s="52">
        <v>154.81</v>
      </c>
      <c r="E17" s="52">
        <v>4.88</v>
      </c>
      <c r="F17" s="52">
        <v>0.77</v>
      </c>
      <c r="G17" s="52">
        <v>123.96</v>
      </c>
      <c r="H17" s="52">
        <v>43.25</v>
      </c>
      <c r="I17" s="52">
        <v>0.56999999999999995</v>
      </c>
      <c r="J17" s="52">
        <v>1.01</v>
      </c>
      <c r="K17" s="52">
        <v>171.98</v>
      </c>
      <c r="L17" s="52">
        <v>22.95</v>
      </c>
      <c r="M17" s="52">
        <v>57.89</v>
      </c>
      <c r="N17" s="52">
        <v>383.8</v>
      </c>
      <c r="O17" s="52">
        <v>0</v>
      </c>
      <c r="P17" s="52">
        <v>1.72</v>
      </c>
      <c r="Q17" s="52">
        <v>281.7</v>
      </c>
      <c r="R17" s="44"/>
      <c r="S17" s="44"/>
      <c r="T17" s="44"/>
      <c r="U17" s="44"/>
    </row>
    <row r="18" spans="1:21" s="11" customFormat="1" x14ac:dyDescent="0.25">
      <c r="A18" s="51" t="s">
        <v>671</v>
      </c>
      <c r="B18" s="52">
        <v>61.42</v>
      </c>
      <c r="C18" s="52">
        <v>160.63</v>
      </c>
      <c r="D18" s="52">
        <v>133.47999999999999</v>
      </c>
      <c r="E18" s="52">
        <v>6.21</v>
      </c>
      <c r="F18" s="52">
        <v>1.06</v>
      </c>
      <c r="G18" s="52">
        <v>88.9</v>
      </c>
      <c r="H18" s="52">
        <v>40.32</v>
      </c>
      <c r="I18" s="52">
        <v>0.55000000000000004</v>
      </c>
      <c r="J18" s="52">
        <v>1.18</v>
      </c>
      <c r="K18" s="52">
        <v>128.06</v>
      </c>
      <c r="L18" s="52">
        <v>28</v>
      </c>
      <c r="M18" s="52">
        <v>89.95</v>
      </c>
      <c r="N18" s="52">
        <v>466.4</v>
      </c>
      <c r="O18" s="52">
        <v>0</v>
      </c>
      <c r="P18" s="52">
        <v>1.54</v>
      </c>
      <c r="Q18" s="52">
        <v>263.2</v>
      </c>
      <c r="R18" s="44"/>
      <c r="S18" s="44"/>
      <c r="T18" s="44"/>
      <c r="U18" s="44"/>
    </row>
    <row r="19" spans="1:21" s="11" customFormat="1" x14ac:dyDescent="0.25">
      <c r="A19" s="51" t="s">
        <v>672</v>
      </c>
      <c r="B19" s="52">
        <v>51.73</v>
      </c>
      <c r="C19" s="52">
        <v>180.29</v>
      </c>
      <c r="D19" s="52">
        <v>131.13</v>
      </c>
      <c r="E19" s="52">
        <v>17.66</v>
      </c>
      <c r="F19" s="52">
        <v>2.29</v>
      </c>
      <c r="G19" s="52">
        <v>70.31</v>
      </c>
      <c r="H19" s="52">
        <v>36.76</v>
      </c>
      <c r="I19" s="52">
        <v>0.51</v>
      </c>
      <c r="J19" s="52">
        <v>1.35</v>
      </c>
      <c r="K19" s="52">
        <v>133.06</v>
      </c>
      <c r="L19" s="52">
        <v>27.44</v>
      </c>
      <c r="M19" s="52">
        <v>69.430000000000007</v>
      </c>
      <c r="N19" s="52">
        <v>506.3</v>
      </c>
      <c r="O19" s="52">
        <v>0</v>
      </c>
      <c r="P19" s="52">
        <v>1.38</v>
      </c>
      <c r="Q19" s="52">
        <v>255.6</v>
      </c>
      <c r="R19" s="44"/>
      <c r="S19" s="44"/>
      <c r="T19" s="44"/>
      <c r="U19" s="44"/>
    </row>
    <row r="20" spans="1:21" s="11" customFormat="1" x14ac:dyDescent="0.25">
      <c r="A20" s="51" t="s">
        <v>673</v>
      </c>
      <c r="B20" s="52">
        <v>34.090000000000003</v>
      </c>
      <c r="C20" s="52">
        <v>181.25</v>
      </c>
      <c r="D20" s="52">
        <v>127.36</v>
      </c>
      <c r="E20" s="52">
        <v>19.84</v>
      </c>
      <c r="F20" s="52">
        <v>6.11</v>
      </c>
      <c r="G20" s="52">
        <v>68.739999999999995</v>
      </c>
      <c r="H20" s="52">
        <v>34.32</v>
      </c>
      <c r="I20" s="52">
        <v>0.4</v>
      </c>
      <c r="J20" s="52">
        <v>1.0900000000000001</v>
      </c>
      <c r="K20" s="52">
        <v>119.77</v>
      </c>
      <c r="L20" s="52">
        <v>30.11</v>
      </c>
      <c r="M20" s="52">
        <v>90.65</v>
      </c>
      <c r="N20" s="52">
        <v>522.1</v>
      </c>
      <c r="O20" s="52">
        <v>0</v>
      </c>
      <c r="P20" s="52">
        <v>1.07</v>
      </c>
      <c r="Q20" s="52">
        <v>195.95</v>
      </c>
      <c r="R20" s="44"/>
      <c r="S20" s="44"/>
      <c r="T20" s="44"/>
      <c r="U20" s="44"/>
    </row>
    <row r="21" spans="1:21" s="11" customFormat="1" x14ac:dyDescent="0.25">
      <c r="A21" s="51" t="s">
        <v>674</v>
      </c>
      <c r="B21" s="52">
        <v>13.41</v>
      </c>
      <c r="C21" s="52">
        <v>159.13999999999999</v>
      </c>
      <c r="D21" s="52">
        <v>98.58</v>
      </c>
      <c r="E21" s="52">
        <v>17.04</v>
      </c>
      <c r="F21" s="52">
        <v>4.32</v>
      </c>
      <c r="G21" s="52">
        <v>54.35</v>
      </c>
      <c r="H21" s="52">
        <v>31.11</v>
      </c>
      <c r="I21" s="52">
        <v>0.28999999999999998</v>
      </c>
      <c r="J21" s="52">
        <v>1.29</v>
      </c>
      <c r="K21" s="52">
        <v>99.5</v>
      </c>
      <c r="L21" s="52">
        <v>31.11</v>
      </c>
      <c r="M21" s="52">
        <v>84.53</v>
      </c>
      <c r="N21" s="52">
        <v>522.1</v>
      </c>
      <c r="O21" s="52">
        <v>0</v>
      </c>
      <c r="P21" s="52">
        <v>0.94</v>
      </c>
      <c r="Q21" s="52">
        <v>167.35</v>
      </c>
      <c r="R21" s="44"/>
      <c r="S21" s="44"/>
      <c r="T21" s="44"/>
      <c r="U21" s="44"/>
    </row>
    <row r="22" spans="1:21" s="11" customFormat="1" x14ac:dyDescent="0.25">
      <c r="A22" s="51" t="s">
        <v>675</v>
      </c>
      <c r="B22" s="52">
        <v>10.68</v>
      </c>
      <c r="C22" s="52">
        <v>149.32</v>
      </c>
      <c r="D22" s="52">
        <v>90.98</v>
      </c>
      <c r="E22" s="52">
        <v>8.5299999999999994</v>
      </c>
      <c r="F22" s="52">
        <v>2.35</v>
      </c>
      <c r="G22" s="52">
        <v>56.15</v>
      </c>
      <c r="H22" s="52">
        <v>31.61</v>
      </c>
      <c r="I22" s="52">
        <v>0.28999999999999998</v>
      </c>
      <c r="J22" s="52">
        <v>0.94</v>
      </c>
      <c r="K22" s="52">
        <v>94.19</v>
      </c>
      <c r="L22" s="52">
        <v>29.13</v>
      </c>
      <c r="M22" s="52">
        <v>51.79</v>
      </c>
      <c r="N22" s="52">
        <v>469.3</v>
      </c>
      <c r="O22" s="52">
        <v>0</v>
      </c>
      <c r="P22" s="52">
        <v>0.88</v>
      </c>
      <c r="Q22" s="52">
        <v>185.09</v>
      </c>
      <c r="R22" s="44"/>
      <c r="S22" s="44"/>
      <c r="T22" s="44"/>
      <c r="U22" s="44"/>
    </row>
    <row r="23" spans="1:21" s="11" customFormat="1" x14ac:dyDescent="0.25">
      <c r="A23" s="51" t="s">
        <v>676</v>
      </c>
      <c r="B23" s="52">
        <v>9.48</v>
      </c>
      <c r="C23" s="52">
        <v>128.4</v>
      </c>
      <c r="D23" s="52">
        <v>78.05</v>
      </c>
      <c r="E23" s="52">
        <v>15.79</v>
      </c>
      <c r="F23" s="52">
        <v>6.89</v>
      </c>
      <c r="G23" s="52">
        <v>54.47</v>
      </c>
      <c r="H23" s="52">
        <v>28.93</v>
      </c>
      <c r="I23" s="52">
        <v>0.32</v>
      </c>
      <c r="J23" s="52">
        <v>0.85</v>
      </c>
      <c r="K23" s="52">
        <v>86.7</v>
      </c>
      <c r="L23" s="52">
        <v>29.33</v>
      </c>
      <c r="M23" s="52">
        <v>76.37</v>
      </c>
      <c r="N23" s="52">
        <v>345.7</v>
      </c>
      <c r="O23" s="52">
        <v>0</v>
      </c>
      <c r="P23" s="52">
        <v>0.91</v>
      </c>
      <c r="Q23" s="52">
        <v>192.65</v>
      </c>
      <c r="R23" s="44"/>
      <c r="S23" s="44"/>
      <c r="T23" s="44"/>
      <c r="U23" s="44"/>
    </row>
    <row r="24" spans="1:21" s="11" customFormat="1" x14ac:dyDescent="0.25">
      <c r="A24" s="51" t="s">
        <v>677</v>
      </c>
      <c r="B24" s="52">
        <v>7.85</v>
      </c>
      <c r="C24" s="52">
        <v>121.18</v>
      </c>
      <c r="D24" s="52">
        <v>71.98</v>
      </c>
      <c r="E24" s="52">
        <v>7.61</v>
      </c>
      <c r="F24" s="52">
        <v>4.54</v>
      </c>
      <c r="G24" s="52">
        <v>60.44</v>
      </c>
      <c r="H24" s="52">
        <v>29.88</v>
      </c>
      <c r="I24" s="52">
        <v>0.31</v>
      </c>
      <c r="J24" s="52">
        <v>0.9</v>
      </c>
      <c r="K24" s="52">
        <v>98.5</v>
      </c>
      <c r="L24" s="52">
        <v>28.48</v>
      </c>
      <c r="M24" s="52">
        <v>85.12</v>
      </c>
      <c r="N24" s="52">
        <v>132</v>
      </c>
      <c r="O24" s="52">
        <v>0</v>
      </c>
      <c r="P24" s="52">
        <v>0.97</v>
      </c>
      <c r="Q24" s="52">
        <v>205.81</v>
      </c>
      <c r="R24" s="44"/>
      <c r="S24" s="44"/>
      <c r="T24" s="44"/>
      <c r="U24" s="44"/>
    </row>
    <row r="25" spans="1:21" s="11" customFormat="1" x14ac:dyDescent="0.25">
      <c r="A25" s="51" t="s">
        <v>678</v>
      </c>
      <c r="B25" s="52">
        <v>13.25</v>
      </c>
      <c r="C25" s="52">
        <v>143.31</v>
      </c>
      <c r="D25" s="52">
        <v>86.41</v>
      </c>
      <c r="E25" s="52">
        <v>8.19</v>
      </c>
      <c r="F25" s="52">
        <v>6.29</v>
      </c>
      <c r="G25" s="52">
        <v>73.72</v>
      </c>
      <c r="H25" s="52">
        <v>30.06</v>
      </c>
      <c r="I25" s="52">
        <v>0.32</v>
      </c>
      <c r="J25" s="52">
        <v>1.1200000000000001</v>
      </c>
      <c r="K25" s="52">
        <v>110.56</v>
      </c>
      <c r="L25" s="52">
        <v>26.73</v>
      </c>
      <c r="M25" s="52">
        <v>95.77</v>
      </c>
      <c r="N25" s="52">
        <v>41.6</v>
      </c>
      <c r="O25" s="52">
        <v>0</v>
      </c>
      <c r="P25" s="52">
        <v>1.1100000000000001</v>
      </c>
      <c r="Q25" s="52">
        <v>209.07</v>
      </c>
      <c r="R25" s="44"/>
      <c r="S25" s="44"/>
      <c r="T25" s="44"/>
      <c r="U25" s="44"/>
    </row>
    <row r="26" spans="1:21" s="11" customFormat="1" x14ac:dyDescent="0.25">
      <c r="A26" s="51" t="s">
        <v>679</v>
      </c>
      <c r="B26" s="52">
        <v>18.12</v>
      </c>
      <c r="C26" s="52">
        <v>172.71</v>
      </c>
      <c r="D26" s="52">
        <v>108.88</v>
      </c>
      <c r="E26" s="52">
        <v>7.85</v>
      </c>
      <c r="F26" s="52">
        <v>5.79</v>
      </c>
      <c r="G26" s="52">
        <v>63.54</v>
      </c>
      <c r="H26" s="52">
        <v>28.5</v>
      </c>
      <c r="I26" s="52">
        <v>0.37</v>
      </c>
      <c r="J26" s="52">
        <v>0.7</v>
      </c>
      <c r="K26" s="52">
        <v>148.28</v>
      </c>
      <c r="L26" s="52">
        <v>24.3</v>
      </c>
      <c r="M26" s="52">
        <v>89.92</v>
      </c>
      <c r="N26" s="52">
        <v>5.5</v>
      </c>
      <c r="O26" s="52">
        <v>0</v>
      </c>
      <c r="P26" s="52">
        <v>1.47</v>
      </c>
      <c r="Q26" s="52">
        <v>206.61</v>
      </c>
      <c r="R26" s="44"/>
      <c r="S26" s="44"/>
      <c r="T26" s="44"/>
      <c r="U26" s="44"/>
    </row>
    <row r="27" spans="1:21" s="11" customFormat="1" x14ac:dyDescent="0.25">
      <c r="A27" s="51" t="s">
        <v>680</v>
      </c>
      <c r="B27" s="52">
        <v>28.66</v>
      </c>
      <c r="C27" s="52">
        <v>168.73</v>
      </c>
      <c r="D27" s="52">
        <v>113.84</v>
      </c>
      <c r="E27" s="52">
        <v>5.01</v>
      </c>
      <c r="F27" s="52">
        <v>0.93</v>
      </c>
      <c r="G27" s="52">
        <v>90.34</v>
      </c>
      <c r="H27" s="52">
        <v>31.36</v>
      </c>
      <c r="I27" s="52">
        <v>0.52</v>
      </c>
      <c r="J27" s="52">
        <v>0.2</v>
      </c>
      <c r="K27" s="52">
        <v>205.55</v>
      </c>
      <c r="L27" s="52">
        <v>21.66</v>
      </c>
      <c r="M27" s="52">
        <v>68.069999999999993</v>
      </c>
      <c r="N27" s="52">
        <v>1.2</v>
      </c>
      <c r="O27" s="52">
        <v>0</v>
      </c>
      <c r="P27" s="52">
        <v>1.78</v>
      </c>
      <c r="Q27" s="52">
        <v>242.44</v>
      </c>
      <c r="R27" s="44"/>
      <c r="S27" s="44"/>
      <c r="T27" s="44"/>
      <c r="U27" s="44"/>
    </row>
    <row r="28" spans="1:21" s="11" customFormat="1" x14ac:dyDescent="0.25">
      <c r="A28" s="51" t="s">
        <v>681</v>
      </c>
      <c r="B28" s="52">
        <v>65.72</v>
      </c>
      <c r="C28" s="52">
        <v>195.66</v>
      </c>
      <c r="D28" s="52">
        <v>160.68</v>
      </c>
      <c r="E28" s="52">
        <v>4.9000000000000004</v>
      </c>
      <c r="F28" s="52">
        <v>0.82</v>
      </c>
      <c r="G28" s="52">
        <v>175.97</v>
      </c>
      <c r="H28" s="52">
        <v>34.22</v>
      </c>
      <c r="I28" s="52">
        <v>0.77</v>
      </c>
      <c r="J28" s="52">
        <v>0.16</v>
      </c>
      <c r="K28" s="52">
        <v>212.26</v>
      </c>
      <c r="L28" s="52">
        <v>19.149999999999999</v>
      </c>
      <c r="M28" s="52">
        <v>83.3</v>
      </c>
      <c r="N28" s="52">
        <v>1</v>
      </c>
      <c r="O28" s="52">
        <v>0</v>
      </c>
      <c r="P28" s="52">
        <v>2.38</v>
      </c>
      <c r="Q28" s="52">
        <v>291.44</v>
      </c>
      <c r="R28" s="44"/>
      <c r="S28" s="44"/>
      <c r="T28" s="44"/>
      <c r="U28" s="44"/>
    </row>
    <row r="29" spans="1:21" s="11" customFormat="1" x14ac:dyDescent="0.25">
      <c r="A29" s="51" t="s">
        <v>682</v>
      </c>
      <c r="B29" s="52">
        <v>142.72999999999999</v>
      </c>
      <c r="C29" s="52">
        <v>260.05</v>
      </c>
      <c r="D29" s="52">
        <v>257.97000000000003</v>
      </c>
      <c r="E29" s="52">
        <v>6.06</v>
      </c>
      <c r="F29" s="52">
        <v>0.76</v>
      </c>
      <c r="G29" s="52">
        <v>218.69</v>
      </c>
      <c r="H29" s="52">
        <v>45.25</v>
      </c>
      <c r="I29" s="52">
        <v>1.1499999999999999</v>
      </c>
      <c r="J29" s="52">
        <v>0.18</v>
      </c>
      <c r="K29" s="52">
        <v>227.91</v>
      </c>
      <c r="L29" s="52">
        <v>18.16</v>
      </c>
      <c r="M29" s="52">
        <v>88.08</v>
      </c>
      <c r="N29" s="52">
        <v>1.1000000000000001</v>
      </c>
      <c r="O29" s="52">
        <v>0</v>
      </c>
      <c r="P29" s="52">
        <v>3.39</v>
      </c>
      <c r="Q29" s="52">
        <v>388.36</v>
      </c>
      <c r="R29" s="44"/>
      <c r="S29" s="44"/>
      <c r="T29" s="44"/>
      <c r="U29" s="44"/>
    </row>
    <row r="30" spans="1:21" s="11" customFormat="1" x14ac:dyDescent="0.25">
      <c r="A30" s="51" t="s">
        <v>683</v>
      </c>
      <c r="B30" s="52">
        <v>210.27</v>
      </c>
      <c r="C30" s="52">
        <v>309.70999999999998</v>
      </c>
      <c r="D30" s="52">
        <v>339.54</v>
      </c>
      <c r="E30" s="52">
        <v>7.13</v>
      </c>
      <c r="F30" s="52">
        <v>0.77</v>
      </c>
      <c r="G30" s="59" t="s">
        <v>15</v>
      </c>
      <c r="H30" s="52">
        <v>52.82</v>
      </c>
      <c r="I30" s="52">
        <v>1.78</v>
      </c>
      <c r="J30" s="52">
        <v>0.21</v>
      </c>
      <c r="K30" s="52">
        <v>239.88</v>
      </c>
      <c r="L30" s="52">
        <v>17.48</v>
      </c>
      <c r="M30" s="52">
        <v>85.14</v>
      </c>
      <c r="N30" s="52">
        <v>0.7</v>
      </c>
      <c r="O30" s="52">
        <v>0</v>
      </c>
      <c r="P30" s="52">
        <v>4.03</v>
      </c>
      <c r="Q30" s="59" t="s">
        <v>15</v>
      </c>
      <c r="R30" s="44"/>
      <c r="S30" s="44"/>
      <c r="T30" s="44"/>
      <c r="U30" s="44"/>
    </row>
    <row r="31" spans="1:21" s="11" customFormat="1" x14ac:dyDescent="0.25">
      <c r="A31" s="51" t="s">
        <v>684</v>
      </c>
      <c r="B31" s="52">
        <v>212.35</v>
      </c>
      <c r="C31" s="52">
        <v>306.10000000000002</v>
      </c>
      <c r="D31" s="52">
        <v>339.21</v>
      </c>
      <c r="E31" s="52">
        <v>6.75</v>
      </c>
      <c r="F31" s="52">
        <v>0.75</v>
      </c>
      <c r="G31" s="52">
        <v>245.83</v>
      </c>
      <c r="H31" s="52">
        <v>58.07</v>
      </c>
      <c r="I31" s="52">
        <v>1.84</v>
      </c>
      <c r="J31" s="52">
        <v>0.25</v>
      </c>
      <c r="K31" s="52">
        <v>240.92</v>
      </c>
      <c r="L31" s="52">
        <v>17.420000000000002</v>
      </c>
      <c r="M31" s="52">
        <v>76.31</v>
      </c>
      <c r="N31" s="52">
        <v>1.1000000000000001</v>
      </c>
      <c r="O31" s="52">
        <v>0</v>
      </c>
      <c r="P31" s="52">
        <v>3.99</v>
      </c>
      <c r="Q31" s="59" t="s">
        <v>15</v>
      </c>
      <c r="R31" s="44"/>
      <c r="S31" s="44"/>
      <c r="T31" s="44"/>
      <c r="U31" s="44"/>
    </row>
    <row r="32" spans="1:21" s="11" customFormat="1" x14ac:dyDescent="0.25">
      <c r="A32" s="51" t="s">
        <v>685</v>
      </c>
      <c r="B32" s="52">
        <v>187.51</v>
      </c>
      <c r="C32" s="52">
        <v>270.88</v>
      </c>
      <c r="D32" s="52">
        <v>299.68</v>
      </c>
      <c r="E32" s="52">
        <v>7.04</v>
      </c>
      <c r="F32" s="52">
        <v>0.74</v>
      </c>
      <c r="G32" s="52">
        <v>133.25</v>
      </c>
      <c r="H32" s="52">
        <v>52.15</v>
      </c>
      <c r="I32" s="52">
        <v>1.52</v>
      </c>
      <c r="J32" s="52">
        <v>0.17</v>
      </c>
      <c r="K32" s="52">
        <v>258.83</v>
      </c>
      <c r="L32" s="52">
        <v>15.88</v>
      </c>
      <c r="M32" s="52">
        <v>90.41</v>
      </c>
      <c r="N32" s="52">
        <v>1</v>
      </c>
      <c r="O32" s="52">
        <v>0</v>
      </c>
      <c r="P32" s="52">
        <v>3.52</v>
      </c>
      <c r="Q32" s="59" t="s">
        <v>15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7.85</v>
      </c>
      <c r="C34" s="28">
        <f t="shared" si="0"/>
        <v>118.02</v>
      </c>
      <c r="D34" s="28">
        <f t="shared" si="0"/>
        <v>71.98</v>
      </c>
      <c r="E34" s="28">
        <f t="shared" si="0"/>
        <v>4.88</v>
      </c>
      <c r="F34" s="28">
        <f t="shared" si="0"/>
        <v>0.53</v>
      </c>
      <c r="G34" s="28">
        <f t="shared" si="0"/>
        <v>54.35</v>
      </c>
      <c r="H34" s="28">
        <f t="shared" si="0"/>
        <v>28.5</v>
      </c>
      <c r="I34" s="28">
        <f t="shared" si="0"/>
        <v>0.28999999999999998</v>
      </c>
      <c r="J34" s="28">
        <f t="shared" si="0"/>
        <v>0.16</v>
      </c>
      <c r="K34" s="28">
        <f t="shared" si="0"/>
        <v>86.7</v>
      </c>
      <c r="L34" s="28">
        <f t="shared" si="0"/>
        <v>14.28</v>
      </c>
      <c r="M34" s="28">
        <f t="shared" si="0"/>
        <v>51.79</v>
      </c>
      <c r="N34" s="28">
        <f t="shared" si="0"/>
        <v>0.7</v>
      </c>
      <c r="O34" s="28">
        <f t="shared" si="0"/>
        <v>0</v>
      </c>
      <c r="P34" s="28">
        <f t="shared" si="0"/>
        <v>0.88</v>
      </c>
      <c r="Q34" s="28">
        <f t="shared" si="0"/>
        <v>167.35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212.35</v>
      </c>
      <c r="C35" s="29">
        <f t="shared" si="1"/>
        <v>309.70999999999998</v>
      </c>
      <c r="D35" s="29">
        <f t="shared" si="1"/>
        <v>339.54</v>
      </c>
      <c r="E35" s="29">
        <f t="shared" si="1"/>
        <v>19.84</v>
      </c>
      <c r="F35" s="29">
        <f t="shared" si="1"/>
        <v>6.89</v>
      </c>
      <c r="G35" s="29">
        <f t="shared" si="1"/>
        <v>245.83</v>
      </c>
      <c r="H35" s="29">
        <f t="shared" si="1"/>
        <v>58.07</v>
      </c>
      <c r="I35" s="29">
        <f t="shared" si="1"/>
        <v>1.84</v>
      </c>
      <c r="J35" s="29">
        <f t="shared" si="1"/>
        <v>1.35</v>
      </c>
      <c r="K35" s="29">
        <f t="shared" si="1"/>
        <v>290.60000000000002</v>
      </c>
      <c r="L35" s="29">
        <f t="shared" si="1"/>
        <v>31.11</v>
      </c>
      <c r="M35" s="29">
        <f t="shared" si="1"/>
        <v>95.77</v>
      </c>
      <c r="N35" s="29">
        <f t="shared" si="1"/>
        <v>522.1</v>
      </c>
      <c r="O35" s="29">
        <f t="shared" si="1"/>
        <v>0</v>
      </c>
      <c r="P35" s="29">
        <f t="shared" si="1"/>
        <v>4.03</v>
      </c>
      <c r="Q35" s="29">
        <f t="shared" si="1"/>
        <v>388.36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69.707916666666662</v>
      </c>
      <c r="C36" s="28">
        <f t="shared" si="2"/>
        <v>178.90291666666667</v>
      </c>
      <c r="D36" s="28">
        <f t="shared" si="2"/>
        <v>153.66333333333333</v>
      </c>
      <c r="E36" s="28">
        <f t="shared" si="2"/>
        <v>8.1987499999999986</v>
      </c>
      <c r="F36" s="28">
        <f t="shared" si="2"/>
        <v>2.1833333333333336</v>
      </c>
      <c r="G36" s="28">
        <f t="shared" si="2"/>
        <v>109.53869565217391</v>
      </c>
      <c r="H36" s="28">
        <f t="shared" si="2"/>
        <v>38.59291666666666</v>
      </c>
      <c r="I36" s="28">
        <f t="shared" si="2"/>
        <v>0.77916666666666667</v>
      </c>
      <c r="J36" s="28">
        <f t="shared" si="2"/>
        <v>0.58583333333333321</v>
      </c>
      <c r="K36" s="28">
        <f t="shared" si="2"/>
        <v>196.04833333333332</v>
      </c>
      <c r="L36" s="28">
        <f t="shared" si="2"/>
        <v>21.461250000000007</v>
      </c>
      <c r="M36" s="28">
        <f t="shared" si="2"/>
        <v>79.440416666666678</v>
      </c>
      <c r="N36" s="28">
        <f t="shared" si="2"/>
        <v>152.74583333333331</v>
      </c>
      <c r="O36" s="28">
        <f t="shared" si="2"/>
        <v>0</v>
      </c>
      <c r="P36" s="28">
        <f t="shared" si="2"/>
        <v>1.9954166666666666</v>
      </c>
      <c r="Q36" s="28">
        <f t="shared" si="2"/>
        <v>254.05999999999989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61.29782377718513</v>
      </c>
      <c r="C37" s="28">
        <f t="shared" ref="C37:Q37" si="3">STDEV(C9:C32)</f>
        <v>54.774175959048051</v>
      </c>
      <c r="D37" s="28">
        <f t="shared" si="3"/>
        <v>78.146337234629314</v>
      </c>
      <c r="E37" s="28">
        <f t="shared" si="3"/>
        <v>4.4401902745167394</v>
      </c>
      <c r="F37" s="28">
        <f t="shared" si="3"/>
        <v>2.1475925179578188</v>
      </c>
      <c r="G37" s="28">
        <f t="shared" si="3"/>
        <v>52.663210835402644</v>
      </c>
      <c r="H37" s="28">
        <f t="shared" si="3"/>
        <v>7.9740876426011269</v>
      </c>
      <c r="I37" s="28">
        <f t="shared" si="3"/>
        <v>0.4825648563454556</v>
      </c>
      <c r="J37" s="28">
        <f t="shared" si="3"/>
        <v>0.42785528502933845</v>
      </c>
      <c r="K37" s="28">
        <f t="shared" si="3"/>
        <v>71.478538017375939</v>
      </c>
      <c r="L37" s="28">
        <f t="shared" si="3"/>
        <v>5.907854986666309</v>
      </c>
      <c r="M37" s="28">
        <f t="shared" si="3"/>
        <v>10.862571350310132</v>
      </c>
      <c r="N37" s="28">
        <f t="shared" si="3"/>
        <v>210.5073477580888</v>
      </c>
      <c r="O37" s="28">
        <f t="shared" si="3"/>
        <v>0</v>
      </c>
      <c r="P37" s="28">
        <f t="shared" si="3"/>
        <v>0.9718605158760395</v>
      </c>
      <c r="Q37" s="28">
        <f t="shared" si="3"/>
        <v>56.161760300048066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P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</f>
        <v>23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</f>
        <v>21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299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1" ySplit="8" topLeftCell="B15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27-11-2022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61" t="s">
        <v>686</v>
      </c>
      <c r="B9" s="21">
        <v>188.48</v>
      </c>
      <c r="C9" s="21">
        <v>269.60000000000002</v>
      </c>
      <c r="D9" s="21">
        <v>299.93</v>
      </c>
      <c r="E9" s="21">
        <v>5.2</v>
      </c>
      <c r="F9" s="21">
        <v>0.74</v>
      </c>
      <c r="G9" s="21">
        <v>160.77000000000001</v>
      </c>
      <c r="H9" s="21">
        <v>47.64</v>
      </c>
      <c r="I9" s="21">
        <v>1.37</v>
      </c>
      <c r="J9" s="21">
        <v>0.2</v>
      </c>
      <c r="K9" s="21">
        <v>257.79000000000002</v>
      </c>
      <c r="L9" s="21">
        <v>15.16</v>
      </c>
      <c r="M9" s="21">
        <v>91.08</v>
      </c>
      <c r="N9" s="21">
        <v>0.9</v>
      </c>
      <c r="O9" s="21">
        <v>0</v>
      </c>
      <c r="P9" s="21">
        <v>3.18</v>
      </c>
      <c r="Q9" s="9" t="s">
        <v>15</v>
      </c>
      <c r="R9" s="44"/>
      <c r="S9" s="44"/>
      <c r="T9" s="44"/>
      <c r="U9" s="44"/>
    </row>
    <row r="10" spans="1:21" s="11" customFormat="1" x14ac:dyDescent="0.25">
      <c r="A10" s="61" t="s">
        <v>687</v>
      </c>
      <c r="B10" s="21">
        <v>162.72</v>
      </c>
      <c r="C10" s="21">
        <v>244.56</v>
      </c>
      <c r="D10" s="21">
        <v>265.45</v>
      </c>
      <c r="E10" s="21">
        <v>5.08</v>
      </c>
      <c r="F10" s="21">
        <v>0.77</v>
      </c>
      <c r="G10" s="21">
        <v>137.85</v>
      </c>
      <c r="H10" s="21">
        <v>46.21</v>
      </c>
      <c r="I10" s="21">
        <v>1.24</v>
      </c>
      <c r="J10" s="21">
        <v>0.21</v>
      </c>
      <c r="K10" s="21">
        <v>265.52</v>
      </c>
      <c r="L10" s="21">
        <v>15.03</v>
      </c>
      <c r="M10" s="21">
        <v>85.44</v>
      </c>
      <c r="N10" s="21">
        <v>0.9</v>
      </c>
      <c r="O10" s="21">
        <v>0</v>
      </c>
      <c r="P10" s="21">
        <v>2.56</v>
      </c>
      <c r="Q10" s="9" t="s">
        <v>15</v>
      </c>
      <c r="R10" s="44"/>
      <c r="S10" s="44"/>
      <c r="T10" s="44"/>
      <c r="U10" s="44"/>
    </row>
    <row r="11" spans="1:21" s="11" customFormat="1" x14ac:dyDescent="0.25">
      <c r="A11" s="61" t="s">
        <v>688</v>
      </c>
      <c r="B11" s="21">
        <v>125.15</v>
      </c>
      <c r="C11" s="21">
        <v>203.67</v>
      </c>
      <c r="D11" s="21">
        <v>212.76</v>
      </c>
      <c r="E11" s="21">
        <v>4.67</v>
      </c>
      <c r="F11" s="21">
        <v>0.8</v>
      </c>
      <c r="G11" s="21">
        <v>95.37</v>
      </c>
      <c r="H11" s="21">
        <v>43.87</v>
      </c>
      <c r="I11" s="21">
        <v>1.03</v>
      </c>
      <c r="J11" s="21">
        <v>0.16</v>
      </c>
      <c r="K11" s="21">
        <v>269.55</v>
      </c>
      <c r="L11" s="21">
        <v>14.97</v>
      </c>
      <c r="M11" s="21">
        <v>75.87</v>
      </c>
      <c r="N11" s="21">
        <v>0.8</v>
      </c>
      <c r="O11" s="21">
        <v>0</v>
      </c>
      <c r="P11" s="21">
        <v>2.27</v>
      </c>
      <c r="Q11" s="21">
        <v>362.12</v>
      </c>
      <c r="R11" s="44"/>
      <c r="S11" s="44"/>
      <c r="T11" s="44"/>
      <c r="U11" s="44"/>
    </row>
    <row r="12" spans="1:21" s="11" customFormat="1" x14ac:dyDescent="0.25">
      <c r="A12" s="61" t="s">
        <v>689</v>
      </c>
      <c r="B12" s="21">
        <v>94.39</v>
      </c>
      <c r="C12" s="21">
        <v>173.88</v>
      </c>
      <c r="D12" s="21">
        <v>171.66</v>
      </c>
      <c r="E12" s="21">
        <v>4.4400000000000004</v>
      </c>
      <c r="F12" s="21">
        <v>0.84</v>
      </c>
      <c r="G12" s="21">
        <v>81.19</v>
      </c>
      <c r="H12" s="21">
        <v>40.94</v>
      </c>
      <c r="I12" s="21">
        <v>0.88</v>
      </c>
      <c r="J12" s="21">
        <v>0.37</v>
      </c>
      <c r="K12" s="21">
        <v>259.79000000000002</v>
      </c>
      <c r="L12" s="21">
        <v>15.15</v>
      </c>
      <c r="M12" s="21">
        <v>89.75</v>
      </c>
      <c r="N12" s="21">
        <v>1</v>
      </c>
      <c r="O12" s="21">
        <v>0</v>
      </c>
      <c r="P12" s="21">
        <v>1.96</v>
      </c>
      <c r="Q12" s="21">
        <v>325.52</v>
      </c>
      <c r="R12" s="44"/>
      <c r="S12" s="44"/>
      <c r="T12" s="44"/>
      <c r="U12" s="44"/>
    </row>
    <row r="13" spans="1:21" s="11" customFormat="1" x14ac:dyDescent="0.25">
      <c r="A13" s="61" t="s">
        <v>690</v>
      </c>
      <c r="B13" s="21">
        <v>67.22</v>
      </c>
      <c r="C13" s="21">
        <v>152.94999999999999</v>
      </c>
      <c r="D13" s="21">
        <v>138.32</v>
      </c>
      <c r="E13" s="21">
        <v>5.86</v>
      </c>
      <c r="F13" s="21">
        <v>4.38</v>
      </c>
      <c r="G13" s="21">
        <v>131.44999999999999</v>
      </c>
      <c r="H13" s="21">
        <v>39.270000000000003</v>
      </c>
      <c r="I13" s="21">
        <v>0.77</v>
      </c>
      <c r="J13" s="21">
        <v>0.26</v>
      </c>
      <c r="K13" s="21">
        <v>302.33</v>
      </c>
      <c r="L13" s="21">
        <v>14.5</v>
      </c>
      <c r="M13" s="21">
        <v>76.59</v>
      </c>
      <c r="N13" s="21">
        <v>1</v>
      </c>
      <c r="O13" s="21">
        <v>0</v>
      </c>
      <c r="P13" s="21">
        <v>1.75</v>
      </c>
      <c r="Q13" s="21">
        <v>289.95999999999998</v>
      </c>
      <c r="R13" s="44"/>
      <c r="S13" s="44"/>
      <c r="T13" s="44"/>
      <c r="U13" s="44"/>
    </row>
    <row r="14" spans="1:21" s="11" customFormat="1" x14ac:dyDescent="0.25">
      <c r="A14" s="61" t="s">
        <v>691</v>
      </c>
      <c r="B14" s="21">
        <v>69.67</v>
      </c>
      <c r="C14" s="21">
        <v>140.96</v>
      </c>
      <c r="D14" s="21">
        <v>132.28</v>
      </c>
      <c r="E14" s="21">
        <v>5.47</v>
      </c>
      <c r="F14" s="21">
        <v>0.98</v>
      </c>
      <c r="G14" s="21">
        <v>135.07</v>
      </c>
      <c r="H14" s="21">
        <v>40.24</v>
      </c>
      <c r="I14" s="21">
        <v>0.7</v>
      </c>
      <c r="J14" s="21">
        <v>0.27</v>
      </c>
      <c r="K14" s="21">
        <v>314.33999999999997</v>
      </c>
      <c r="L14" s="21">
        <v>13.65</v>
      </c>
      <c r="M14" s="21">
        <v>80.180000000000007</v>
      </c>
      <c r="N14" s="21">
        <v>1.1000000000000001</v>
      </c>
      <c r="O14" s="21">
        <v>0</v>
      </c>
      <c r="P14" s="21">
        <v>1.61</v>
      </c>
      <c r="Q14" s="21">
        <v>283.58999999999997</v>
      </c>
      <c r="R14" s="44"/>
      <c r="S14" s="44"/>
      <c r="T14" s="44"/>
      <c r="U14" s="44"/>
    </row>
    <row r="15" spans="1:21" s="11" customFormat="1" x14ac:dyDescent="0.25">
      <c r="A15" s="61" t="s">
        <v>692</v>
      </c>
      <c r="B15" s="21">
        <v>82.57</v>
      </c>
      <c r="C15" s="21">
        <v>146.16</v>
      </c>
      <c r="D15" s="21">
        <v>146.87</v>
      </c>
      <c r="E15" s="21">
        <v>5.41</v>
      </c>
      <c r="F15" s="21">
        <v>0.64</v>
      </c>
      <c r="G15" s="21">
        <v>100.32</v>
      </c>
      <c r="H15" s="21">
        <v>38.58</v>
      </c>
      <c r="I15" s="21">
        <v>0.66</v>
      </c>
      <c r="J15" s="21">
        <v>0.33</v>
      </c>
      <c r="K15" s="21">
        <v>318.73</v>
      </c>
      <c r="L15" s="21">
        <v>13.78</v>
      </c>
      <c r="M15" s="21">
        <v>82.75</v>
      </c>
      <c r="N15" s="21">
        <v>25.9</v>
      </c>
      <c r="O15" s="21">
        <v>0</v>
      </c>
      <c r="P15" s="21">
        <v>1.54</v>
      </c>
      <c r="Q15" s="21">
        <v>291.97000000000003</v>
      </c>
      <c r="R15" s="44"/>
      <c r="S15" s="44"/>
      <c r="T15" s="44"/>
      <c r="U15" s="44"/>
    </row>
    <row r="16" spans="1:21" s="11" customFormat="1" x14ac:dyDescent="0.25">
      <c r="A16" s="61" t="s">
        <v>693</v>
      </c>
      <c r="B16" s="21">
        <v>86</v>
      </c>
      <c r="C16" s="21">
        <v>156.93</v>
      </c>
      <c r="D16" s="21">
        <v>152.55000000000001</v>
      </c>
      <c r="E16" s="21">
        <v>5.49</v>
      </c>
      <c r="F16" s="21">
        <v>0.8</v>
      </c>
      <c r="G16" s="21">
        <v>96.03</v>
      </c>
      <c r="H16" s="21">
        <v>37.770000000000003</v>
      </c>
      <c r="I16" s="21">
        <v>0.63</v>
      </c>
      <c r="J16" s="21">
        <v>0.73</v>
      </c>
      <c r="K16" s="21">
        <v>291.64999999999998</v>
      </c>
      <c r="L16" s="21">
        <v>18.27</v>
      </c>
      <c r="M16" s="21">
        <v>54.8</v>
      </c>
      <c r="N16" s="21">
        <v>199.7</v>
      </c>
      <c r="O16" s="21">
        <v>0</v>
      </c>
      <c r="P16" s="21">
        <v>1.56</v>
      </c>
      <c r="Q16" s="21">
        <v>292.69</v>
      </c>
      <c r="R16" s="44"/>
      <c r="S16" s="44"/>
      <c r="T16" s="44"/>
      <c r="U16" s="44"/>
    </row>
    <row r="17" spans="1:21" s="11" customFormat="1" x14ac:dyDescent="0.25">
      <c r="A17" s="61" t="s">
        <v>694</v>
      </c>
      <c r="B17" s="21">
        <v>78.209999999999994</v>
      </c>
      <c r="C17" s="21">
        <v>157.65</v>
      </c>
      <c r="D17" s="21">
        <v>149.72</v>
      </c>
      <c r="E17" s="21">
        <v>5.38</v>
      </c>
      <c r="F17" s="21">
        <v>0.7</v>
      </c>
      <c r="G17" s="21">
        <v>132.81</v>
      </c>
      <c r="H17" s="21">
        <v>44.86</v>
      </c>
      <c r="I17" s="21">
        <v>0.63</v>
      </c>
      <c r="J17" s="21">
        <v>0.91</v>
      </c>
      <c r="K17" s="21">
        <v>213.86</v>
      </c>
      <c r="L17" s="21">
        <v>20.67</v>
      </c>
      <c r="M17" s="21">
        <v>39.86</v>
      </c>
      <c r="N17" s="21">
        <v>349.6</v>
      </c>
      <c r="O17" s="21">
        <v>0</v>
      </c>
      <c r="P17" s="21">
        <v>1.58</v>
      </c>
      <c r="Q17" s="21">
        <v>291.75</v>
      </c>
      <c r="R17" s="44"/>
      <c r="S17" s="44"/>
      <c r="T17" s="44"/>
      <c r="U17" s="44"/>
    </row>
    <row r="18" spans="1:21" s="11" customFormat="1" x14ac:dyDescent="0.25">
      <c r="A18" s="61" t="s">
        <v>695</v>
      </c>
      <c r="B18" s="21">
        <v>58.76</v>
      </c>
      <c r="C18" s="21">
        <v>144.91</v>
      </c>
      <c r="D18" s="21">
        <v>127.09</v>
      </c>
      <c r="E18" s="21">
        <v>5.09</v>
      </c>
      <c r="F18" s="21">
        <v>0.89</v>
      </c>
      <c r="G18" s="21">
        <v>112.5</v>
      </c>
      <c r="H18" s="21">
        <v>43.76</v>
      </c>
      <c r="I18" s="21">
        <v>0.62</v>
      </c>
      <c r="J18" s="21">
        <v>1.02</v>
      </c>
      <c r="K18" s="21">
        <v>173.3</v>
      </c>
      <c r="L18" s="21">
        <v>23.91</v>
      </c>
      <c r="M18" s="21">
        <v>46.92</v>
      </c>
      <c r="N18" s="21">
        <v>429.7</v>
      </c>
      <c r="O18" s="21">
        <v>0</v>
      </c>
      <c r="P18" s="21">
        <v>1.55</v>
      </c>
      <c r="Q18" s="21">
        <v>284.94</v>
      </c>
      <c r="R18" s="44"/>
      <c r="S18" s="44"/>
      <c r="T18" s="44"/>
      <c r="U18" s="44"/>
    </row>
    <row r="19" spans="1:21" s="11" customFormat="1" x14ac:dyDescent="0.25">
      <c r="A19" s="61" t="s">
        <v>696</v>
      </c>
      <c r="B19" s="21">
        <v>35.96</v>
      </c>
      <c r="C19" s="21">
        <v>139.74</v>
      </c>
      <c r="D19" s="21">
        <v>105.96</v>
      </c>
      <c r="E19" s="21">
        <v>6.05</v>
      </c>
      <c r="F19" s="21">
        <v>1.38</v>
      </c>
      <c r="G19" s="21">
        <v>120.75</v>
      </c>
      <c r="H19" s="21">
        <v>47.45</v>
      </c>
      <c r="I19" s="21">
        <v>0.59</v>
      </c>
      <c r="J19" s="21">
        <v>0.81</v>
      </c>
      <c r="K19" s="21">
        <v>143.06</v>
      </c>
      <c r="L19" s="21">
        <v>25.88</v>
      </c>
      <c r="M19" s="21">
        <v>45.66</v>
      </c>
      <c r="N19" s="21">
        <v>470.8</v>
      </c>
      <c r="O19" s="21">
        <v>0</v>
      </c>
      <c r="P19" s="21">
        <v>1.49</v>
      </c>
      <c r="Q19" s="21">
        <v>273.51</v>
      </c>
      <c r="R19" s="44"/>
      <c r="S19" s="44"/>
      <c r="T19" s="44"/>
      <c r="U19" s="44"/>
    </row>
    <row r="20" spans="1:21" s="11" customFormat="1" x14ac:dyDescent="0.25">
      <c r="A20" s="61" t="s">
        <v>697</v>
      </c>
      <c r="B20" s="21">
        <v>17.02</v>
      </c>
      <c r="C20" s="21">
        <v>130.06</v>
      </c>
      <c r="D20" s="21">
        <v>85.43</v>
      </c>
      <c r="E20" s="21">
        <v>5.44</v>
      </c>
      <c r="F20" s="21">
        <v>2.73</v>
      </c>
      <c r="G20" s="21">
        <v>97.91</v>
      </c>
      <c r="H20" s="21">
        <v>44.44</v>
      </c>
      <c r="I20" s="21">
        <v>0.57999999999999996</v>
      </c>
      <c r="J20" s="21">
        <v>0.92</v>
      </c>
      <c r="K20" s="21">
        <v>118.4</v>
      </c>
      <c r="L20" s="21">
        <v>30.54</v>
      </c>
      <c r="M20" s="21">
        <v>81.94</v>
      </c>
      <c r="N20" s="21">
        <v>508.5</v>
      </c>
      <c r="O20" s="21">
        <v>0</v>
      </c>
      <c r="P20" s="21">
        <v>1.41</v>
      </c>
      <c r="Q20" s="21">
        <v>271.51</v>
      </c>
      <c r="R20" s="44"/>
      <c r="S20" s="44"/>
      <c r="T20" s="44"/>
      <c r="U20" s="44"/>
    </row>
    <row r="21" spans="1:21" s="11" customFormat="1" x14ac:dyDescent="0.25">
      <c r="A21" s="61" t="s">
        <v>698</v>
      </c>
      <c r="B21" s="21">
        <v>7.77</v>
      </c>
      <c r="C21" s="21">
        <v>121.64</v>
      </c>
      <c r="D21" s="21">
        <v>73.36</v>
      </c>
      <c r="E21" s="21">
        <v>6.32</v>
      </c>
      <c r="F21" s="21">
        <v>3.1</v>
      </c>
      <c r="G21" s="21">
        <v>75.77</v>
      </c>
      <c r="H21" s="21">
        <v>40.96</v>
      </c>
      <c r="I21" s="21">
        <v>0.56000000000000005</v>
      </c>
      <c r="J21" s="21">
        <v>0.8</v>
      </c>
      <c r="K21" s="21">
        <v>97.05</v>
      </c>
      <c r="L21" s="21">
        <v>30.73</v>
      </c>
      <c r="M21" s="21">
        <v>76.650000000000006</v>
      </c>
      <c r="N21" s="21">
        <v>503.4</v>
      </c>
      <c r="O21" s="21">
        <v>0</v>
      </c>
      <c r="P21" s="21">
        <v>1.34</v>
      </c>
      <c r="Q21" s="21">
        <v>273.41000000000003</v>
      </c>
      <c r="R21" s="44"/>
      <c r="S21" s="44"/>
      <c r="T21" s="44"/>
      <c r="U21" s="44"/>
    </row>
    <row r="22" spans="1:21" s="11" customFormat="1" x14ac:dyDescent="0.25">
      <c r="A22" s="61" t="s">
        <v>699</v>
      </c>
      <c r="B22" s="21">
        <v>3.45</v>
      </c>
      <c r="C22" s="21">
        <v>111.15</v>
      </c>
      <c r="D22" s="21">
        <v>64.11</v>
      </c>
      <c r="E22" s="21">
        <v>6.51</v>
      </c>
      <c r="F22" s="21">
        <v>4.01</v>
      </c>
      <c r="G22" s="21">
        <v>63.33</v>
      </c>
      <c r="H22" s="21">
        <v>36.590000000000003</v>
      </c>
      <c r="I22" s="21">
        <v>0.52</v>
      </c>
      <c r="J22" s="21">
        <v>0.64</v>
      </c>
      <c r="K22" s="21">
        <v>89.25</v>
      </c>
      <c r="L22" s="21">
        <v>31.06</v>
      </c>
      <c r="M22" s="21">
        <v>79.89</v>
      </c>
      <c r="N22" s="21">
        <v>437.5</v>
      </c>
      <c r="O22" s="21">
        <v>0</v>
      </c>
      <c r="P22" s="21">
        <v>1.2</v>
      </c>
      <c r="Q22" s="21">
        <v>253.78</v>
      </c>
      <c r="R22" s="44"/>
      <c r="S22" s="44"/>
      <c r="T22" s="44"/>
      <c r="U22" s="44"/>
    </row>
    <row r="23" spans="1:21" s="11" customFormat="1" x14ac:dyDescent="0.25">
      <c r="A23" s="61" t="s">
        <v>700</v>
      </c>
      <c r="B23" s="21">
        <v>3.68</v>
      </c>
      <c r="C23" s="21">
        <v>102.85</v>
      </c>
      <c r="D23" s="21">
        <v>59.71</v>
      </c>
      <c r="E23" s="21">
        <v>6.57</v>
      </c>
      <c r="F23" s="21">
        <v>4.5999999999999996</v>
      </c>
      <c r="G23" s="21">
        <v>57.46</v>
      </c>
      <c r="H23" s="21">
        <v>32.54</v>
      </c>
      <c r="I23" s="21">
        <v>0.46</v>
      </c>
      <c r="J23" s="21">
        <v>0.64</v>
      </c>
      <c r="K23" s="21">
        <v>85.97</v>
      </c>
      <c r="L23" s="21">
        <v>30.05</v>
      </c>
      <c r="M23" s="21">
        <v>78.48</v>
      </c>
      <c r="N23" s="21">
        <v>364.9</v>
      </c>
      <c r="O23" s="21">
        <v>0</v>
      </c>
      <c r="P23" s="21">
        <v>1.1399999999999999</v>
      </c>
      <c r="Q23" s="21">
        <v>259.89999999999998</v>
      </c>
      <c r="R23" s="44"/>
      <c r="S23" s="44"/>
      <c r="T23" s="44"/>
      <c r="U23" s="44"/>
    </row>
    <row r="24" spans="1:21" s="11" customFormat="1" x14ac:dyDescent="0.25">
      <c r="A24" s="61" t="s">
        <v>701</v>
      </c>
      <c r="B24" s="21">
        <v>4.0999999999999996</v>
      </c>
      <c r="C24" s="21">
        <v>100.66</v>
      </c>
      <c r="D24" s="21">
        <v>58.84</v>
      </c>
      <c r="E24" s="21">
        <v>6.75</v>
      </c>
      <c r="F24" s="21">
        <v>7.25</v>
      </c>
      <c r="G24" s="21">
        <v>60.31</v>
      </c>
      <c r="H24" s="21">
        <v>29.55</v>
      </c>
      <c r="I24" s="21">
        <v>0.45</v>
      </c>
      <c r="J24" s="21">
        <v>0.5</v>
      </c>
      <c r="K24" s="21">
        <v>95.59</v>
      </c>
      <c r="L24" s="21">
        <v>28.56</v>
      </c>
      <c r="M24" s="21">
        <v>87.97</v>
      </c>
      <c r="N24" s="21">
        <v>164.9</v>
      </c>
      <c r="O24" s="21">
        <v>0</v>
      </c>
      <c r="P24" s="21">
        <v>1.1200000000000001</v>
      </c>
      <c r="Q24" s="21">
        <v>276.24</v>
      </c>
      <c r="R24" s="44"/>
      <c r="S24" s="44"/>
      <c r="T24" s="44"/>
      <c r="U24" s="44"/>
    </row>
    <row r="25" spans="1:21" s="11" customFormat="1" x14ac:dyDescent="0.25">
      <c r="A25" s="61" t="s">
        <v>702</v>
      </c>
      <c r="B25" s="21">
        <v>7.45</v>
      </c>
      <c r="C25" s="21">
        <v>123.59</v>
      </c>
      <c r="D25" s="21">
        <v>74.180000000000007</v>
      </c>
      <c r="E25" s="21">
        <v>5.76</v>
      </c>
      <c r="F25" s="21">
        <v>3.06</v>
      </c>
      <c r="G25" s="21">
        <v>59.78</v>
      </c>
      <c r="H25" s="21">
        <v>27.55</v>
      </c>
      <c r="I25" s="21">
        <v>0.46</v>
      </c>
      <c r="J25" s="21">
        <v>0.56000000000000005</v>
      </c>
      <c r="K25" s="21">
        <v>124.38</v>
      </c>
      <c r="L25" s="21">
        <v>26.95</v>
      </c>
      <c r="M25" s="21">
        <v>89.65</v>
      </c>
      <c r="N25" s="21">
        <v>42.7</v>
      </c>
      <c r="O25" s="21">
        <v>0</v>
      </c>
      <c r="P25" s="21">
        <v>1.24</v>
      </c>
      <c r="Q25" s="21">
        <v>273.14</v>
      </c>
      <c r="R25" s="44"/>
      <c r="S25" s="44"/>
      <c r="T25" s="44"/>
      <c r="U25" s="44"/>
    </row>
    <row r="26" spans="1:21" s="11" customFormat="1" x14ac:dyDescent="0.25">
      <c r="A26" s="61" t="s">
        <v>703</v>
      </c>
      <c r="B26" s="21">
        <v>14.31</v>
      </c>
      <c r="C26" s="21">
        <v>144.34</v>
      </c>
      <c r="D26" s="21">
        <v>91.14</v>
      </c>
      <c r="E26" s="21">
        <v>5.28</v>
      </c>
      <c r="F26" s="21">
        <v>1.2</v>
      </c>
      <c r="G26" s="21">
        <v>72.430000000000007</v>
      </c>
      <c r="H26" s="21">
        <v>26.81</v>
      </c>
      <c r="I26" s="21">
        <v>0.49</v>
      </c>
      <c r="J26" s="21">
        <v>0.15</v>
      </c>
      <c r="K26" s="21">
        <v>174.94</v>
      </c>
      <c r="L26" s="21">
        <v>23.89</v>
      </c>
      <c r="M26" s="21">
        <v>74.84</v>
      </c>
      <c r="N26" s="21">
        <v>6</v>
      </c>
      <c r="O26" s="21">
        <v>0</v>
      </c>
      <c r="P26" s="21">
        <v>1.45</v>
      </c>
      <c r="Q26" s="21">
        <v>292.83999999999997</v>
      </c>
      <c r="R26" s="44"/>
      <c r="S26" s="44"/>
      <c r="T26" s="44"/>
      <c r="U26" s="44"/>
    </row>
    <row r="27" spans="1:21" s="11" customFormat="1" x14ac:dyDescent="0.25">
      <c r="A27" s="61" t="s">
        <v>704</v>
      </c>
      <c r="B27" s="21">
        <v>39.200000000000003</v>
      </c>
      <c r="C27" s="21">
        <v>171.7</v>
      </c>
      <c r="D27" s="21">
        <v>126.19</v>
      </c>
      <c r="E27" s="21">
        <v>5.0999999999999996</v>
      </c>
      <c r="F27" s="21">
        <v>1.04</v>
      </c>
      <c r="G27" s="21">
        <v>102.85</v>
      </c>
      <c r="H27" s="21">
        <v>29.53</v>
      </c>
      <c r="I27" s="21">
        <v>0.66</v>
      </c>
      <c r="J27" s="21">
        <v>0.17</v>
      </c>
      <c r="K27" s="21">
        <v>212.28</v>
      </c>
      <c r="L27" s="21">
        <v>20.9</v>
      </c>
      <c r="M27" s="21">
        <v>53.42</v>
      </c>
      <c r="N27" s="21">
        <v>1.1000000000000001</v>
      </c>
      <c r="O27" s="21">
        <v>0</v>
      </c>
      <c r="P27" s="21">
        <v>1.76</v>
      </c>
      <c r="Q27" s="21">
        <v>326.94</v>
      </c>
      <c r="R27" s="44"/>
      <c r="S27" s="44"/>
      <c r="T27" s="44"/>
      <c r="U27" s="44"/>
    </row>
    <row r="28" spans="1:21" s="11" customFormat="1" x14ac:dyDescent="0.25">
      <c r="A28" s="61" t="s">
        <v>705</v>
      </c>
      <c r="B28" s="21">
        <v>54.73</v>
      </c>
      <c r="C28" s="21">
        <v>178.27</v>
      </c>
      <c r="D28" s="21">
        <v>142.04</v>
      </c>
      <c r="E28" s="21">
        <v>5.31</v>
      </c>
      <c r="F28" s="21">
        <v>0.79</v>
      </c>
      <c r="G28" s="21">
        <v>166.9</v>
      </c>
      <c r="H28" s="21">
        <v>33.06</v>
      </c>
      <c r="I28" s="21">
        <v>0.87</v>
      </c>
      <c r="J28" s="21">
        <v>0.17</v>
      </c>
      <c r="K28" s="21">
        <v>249.32</v>
      </c>
      <c r="L28" s="21">
        <v>19.350000000000001</v>
      </c>
      <c r="M28" s="21">
        <v>59.46</v>
      </c>
      <c r="N28" s="21">
        <v>0.9</v>
      </c>
      <c r="O28" s="21">
        <v>0</v>
      </c>
      <c r="P28" s="21">
        <v>2.06</v>
      </c>
      <c r="Q28" s="21">
        <v>352.58</v>
      </c>
      <c r="R28" s="44"/>
      <c r="S28" s="44"/>
      <c r="T28" s="44"/>
      <c r="U28" s="44"/>
    </row>
    <row r="29" spans="1:21" s="11" customFormat="1" x14ac:dyDescent="0.25">
      <c r="A29" s="61" t="s">
        <v>706</v>
      </c>
      <c r="B29" s="21">
        <v>81.8</v>
      </c>
      <c r="C29" s="21">
        <v>201.47</v>
      </c>
      <c r="D29" s="21">
        <v>176.79</v>
      </c>
      <c r="E29" s="21">
        <v>4.95</v>
      </c>
      <c r="F29" s="21">
        <v>0.94</v>
      </c>
      <c r="G29" s="21">
        <v>188.75</v>
      </c>
      <c r="H29" s="21">
        <v>37.26</v>
      </c>
      <c r="I29" s="21">
        <v>1.08</v>
      </c>
      <c r="J29" s="21">
        <v>0.13</v>
      </c>
      <c r="K29" s="21">
        <v>238.98</v>
      </c>
      <c r="L29" s="21">
        <v>18.989999999999998</v>
      </c>
      <c r="M29" s="21">
        <v>95.79</v>
      </c>
      <c r="N29" s="21">
        <v>1.1000000000000001</v>
      </c>
      <c r="O29" s="21">
        <v>0</v>
      </c>
      <c r="P29" s="21">
        <v>2.75</v>
      </c>
      <c r="Q29" s="21">
        <v>376.93</v>
      </c>
      <c r="R29" s="44"/>
      <c r="S29" s="44"/>
      <c r="T29" s="44"/>
      <c r="U29" s="44"/>
    </row>
    <row r="30" spans="1:21" s="11" customFormat="1" x14ac:dyDescent="0.25">
      <c r="A30" s="61" t="s">
        <v>707</v>
      </c>
      <c r="B30" s="21">
        <v>106.37</v>
      </c>
      <c r="C30" s="21">
        <v>226.11</v>
      </c>
      <c r="D30" s="21">
        <v>210.09</v>
      </c>
      <c r="E30" s="21">
        <v>5.65</v>
      </c>
      <c r="F30" s="21">
        <v>0.87</v>
      </c>
      <c r="G30" s="21">
        <v>187.66</v>
      </c>
      <c r="H30" s="21">
        <v>40.39</v>
      </c>
      <c r="I30" s="21">
        <v>1.39</v>
      </c>
      <c r="J30" s="21">
        <v>0.18</v>
      </c>
      <c r="K30" s="21">
        <v>231.58</v>
      </c>
      <c r="L30" s="21">
        <v>18.940000000000001</v>
      </c>
      <c r="M30" s="21">
        <v>88.94</v>
      </c>
      <c r="N30" s="21">
        <v>0.9</v>
      </c>
      <c r="O30" s="21">
        <v>0</v>
      </c>
      <c r="P30" s="21">
        <v>3.14</v>
      </c>
      <c r="Q30" s="9" t="s">
        <v>15</v>
      </c>
      <c r="R30" s="44"/>
      <c r="S30" s="44"/>
      <c r="T30" s="44"/>
      <c r="U30" s="44"/>
    </row>
    <row r="31" spans="1:21" s="11" customFormat="1" x14ac:dyDescent="0.25">
      <c r="A31" s="61" t="s">
        <v>708</v>
      </c>
      <c r="B31" s="21">
        <v>128.6</v>
      </c>
      <c r="C31" s="21">
        <v>244.79</v>
      </c>
      <c r="D31" s="21">
        <v>238.22</v>
      </c>
      <c r="E31" s="21">
        <v>5.96</v>
      </c>
      <c r="F31" s="21">
        <v>1.29</v>
      </c>
      <c r="G31" s="21">
        <v>191.17</v>
      </c>
      <c r="H31" s="21">
        <v>44.14</v>
      </c>
      <c r="I31" s="21">
        <v>1.57</v>
      </c>
      <c r="J31" s="21">
        <v>0.27</v>
      </c>
      <c r="K31" s="21">
        <v>237.39</v>
      </c>
      <c r="L31" s="21">
        <v>17.91</v>
      </c>
      <c r="M31" s="21">
        <v>92.62</v>
      </c>
      <c r="N31" s="21">
        <v>1</v>
      </c>
      <c r="O31" s="21">
        <v>0</v>
      </c>
      <c r="P31" s="21">
        <v>3.46</v>
      </c>
      <c r="Q31" s="9" t="s">
        <v>15</v>
      </c>
      <c r="R31" s="44"/>
      <c r="S31" s="44"/>
      <c r="T31" s="44"/>
      <c r="U31" s="44"/>
    </row>
    <row r="32" spans="1:21" s="11" customFormat="1" x14ac:dyDescent="0.25">
      <c r="A32" s="61" t="s">
        <v>709</v>
      </c>
      <c r="B32" s="21">
        <v>122.36</v>
      </c>
      <c r="C32" s="21">
        <v>230.74</v>
      </c>
      <c r="D32" s="21">
        <v>225.46</v>
      </c>
      <c r="E32" s="21">
        <v>5.82</v>
      </c>
      <c r="F32" s="21">
        <v>1.1200000000000001</v>
      </c>
      <c r="G32" s="21">
        <v>167.98</v>
      </c>
      <c r="H32" s="21">
        <v>48.19</v>
      </c>
      <c r="I32" s="21">
        <v>1.58</v>
      </c>
      <c r="J32" s="21">
        <v>0.18</v>
      </c>
      <c r="K32" s="21">
        <v>250.64</v>
      </c>
      <c r="L32" s="21">
        <v>17.04</v>
      </c>
      <c r="M32" s="21">
        <v>82.03</v>
      </c>
      <c r="N32" s="21">
        <v>1.2</v>
      </c>
      <c r="O32" s="21">
        <v>0</v>
      </c>
      <c r="P32" s="21">
        <v>3.34</v>
      </c>
      <c r="Q32" s="9" t="s">
        <v>15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3.45</v>
      </c>
      <c r="C34" s="28">
        <f t="shared" si="0"/>
        <v>100.66</v>
      </c>
      <c r="D34" s="28">
        <f t="shared" si="0"/>
        <v>58.84</v>
      </c>
      <c r="E34" s="28">
        <f t="shared" si="0"/>
        <v>4.4400000000000004</v>
      </c>
      <c r="F34" s="28">
        <f t="shared" si="0"/>
        <v>0.64</v>
      </c>
      <c r="G34" s="28">
        <f t="shared" si="0"/>
        <v>57.46</v>
      </c>
      <c r="H34" s="28">
        <f t="shared" si="0"/>
        <v>26.81</v>
      </c>
      <c r="I34" s="28">
        <f t="shared" si="0"/>
        <v>0.45</v>
      </c>
      <c r="J34" s="28">
        <f t="shared" si="0"/>
        <v>0.13</v>
      </c>
      <c r="K34" s="28">
        <f t="shared" si="0"/>
        <v>85.97</v>
      </c>
      <c r="L34" s="28">
        <f t="shared" si="0"/>
        <v>13.65</v>
      </c>
      <c r="M34" s="28">
        <f t="shared" si="0"/>
        <v>39.86</v>
      </c>
      <c r="N34" s="28">
        <f t="shared" si="0"/>
        <v>0.8</v>
      </c>
      <c r="O34" s="28">
        <f t="shared" si="0"/>
        <v>0</v>
      </c>
      <c r="P34" s="28">
        <f t="shared" si="0"/>
        <v>1.1200000000000001</v>
      </c>
      <c r="Q34" s="28">
        <f t="shared" si="0"/>
        <v>253.78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188.48</v>
      </c>
      <c r="C35" s="29">
        <f t="shared" si="1"/>
        <v>269.60000000000002</v>
      </c>
      <c r="D35" s="29">
        <f t="shared" si="1"/>
        <v>299.93</v>
      </c>
      <c r="E35" s="29">
        <f t="shared" si="1"/>
        <v>6.75</v>
      </c>
      <c r="F35" s="29">
        <f t="shared" si="1"/>
        <v>7.25</v>
      </c>
      <c r="G35" s="29">
        <f t="shared" si="1"/>
        <v>191.17</v>
      </c>
      <c r="H35" s="29">
        <f t="shared" si="1"/>
        <v>48.19</v>
      </c>
      <c r="I35" s="29">
        <f t="shared" si="1"/>
        <v>1.58</v>
      </c>
      <c r="J35" s="29">
        <f t="shared" si="1"/>
        <v>1.02</v>
      </c>
      <c r="K35" s="29">
        <f t="shared" si="1"/>
        <v>318.73</v>
      </c>
      <c r="L35" s="29">
        <f t="shared" si="1"/>
        <v>31.06</v>
      </c>
      <c r="M35" s="29">
        <f t="shared" si="1"/>
        <v>95.79</v>
      </c>
      <c r="N35" s="29">
        <f t="shared" si="1"/>
        <v>508.5</v>
      </c>
      <c r="O35" s="29">
        <f t="shared" si="1"/>
        <v>0</v>
      </c>
      <c r="P35" s="29">
        <f t="shared" si="1"/>
        <v>3.46</v>
      </c>
      <c r="Q35" s="29">
        <f t="shared" si="1"/>
        <v>376.93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68.33208333333333</v>
      </c>
      <c r="C36" s="28">
        <f t="shared" si="2"/>
        <v>167.4325</v>
      </c>
      <c r="D36" s="28">
        <f t="shared" si="2"/>
        <v>147.00624999999999</v>
      </c>
      <c r="E36" s="28">
        <f t="shared" si="2"/>
        <v>5.5650000000000013</v>
      </c>
      <c r="F36" s="28">
        <f t="shared" si="2"/>
        <v>1.8716666666666668</v>
      </c>
      <c r="G36" s="28">
        <f t="shared" si="2"/>
        <v>116.51708333333333</v>
      </c>
      <c r="H36" s="28">
        <f t="shared" si="2"/>
        <v>39.233333333333327</v>
      </c>
      <c r="I36" s="28">
        <f t="shared" si="2"/>
        <v>0.82458333333333333</v>
      </c>
      <c r="J36" s="28">
        <f t="shared" si="2"/>
        <v>0.44083333333333341</v>
      </c>
      <c r="K36" s="28">
        <f t="shared" si="2"/>
        <v>208.9870833333334</v>
      </c>
      <c r="L36" s="28">
        <f t="shared" si="2"/>
        <v>21.078333333333333</v>
      </c>
      <c r="M36" s="28">
        <f t="shared" si="2"/>
        <v>75.440833333333345</v>
      </c>
      <c r="N36" s="28">
        <f t="shared" si="2"/>
        <v>146.47916666666666</v>
      </c>
      <c r="O36" s="28">
        <f t="shared" si="2"/>
        <v>0</v>
      </c>
      <c r="P36" s="28">
        <f t="shared" si="2"/>
        <v>1.9358333333333331</v>
      </c>
      <c r="Q36" s="28">
        <f t="shared" si="2"/>
        <v>297.54315789473685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52.610623987371419</v>
      </c>
      <c r="C37" s="28">
        <f t="shared" ref="C37:Q37" si="3">STDEV(C9:C32)</f>
        <v>48.030934529104691</v>
      </c>
      <c r="D37" s="28">
        <f t="shared" si="3"/>
        <v>67.393460578934139</v>
      </c>
      <c r="E37" s="28">
        <f t="shared" si="3"/>
        <v>0.58813633438691748</v>
      </c>
      <c r="F37" s="28">
        <f t="shared" si="3"/>
        <v>1.7032645551785361</v>
      </c>
      <c r="G37" s="28">
        <f t="shared" si="3"/>
        <v>43.503214022111315</v>
      </c>
      <c r="H37" s="28">
        <f t="shared" si="3"/>
        <v>6.511805110497539</v>
      </c>
      <c r="I37" s="28">
        <f t="shared" si="3"/>
        <v>0.36203505915583795</v>
      </c>
      <c r="J37" s="28">
        <f t="shared" si="3"/>
        <v>0.2944104893373945</v>
      </c>
      <c r="K37" s="28">
        <f t="shared" si="3"/>
        <v>76.080864158624991</v>
      </c>
      <c r="L37" s="28">
        <f t="shared" si="3"/>
        <v>6.0230446342914199</v>
      </c>
      <c r="M37" s="28">
        <f t="shared" si="3"/>
        <v>16.320457398925591</v>
      </c>
      <c r="N37" s="28">
        <f t="shared" si="3"/>
        <v>199.96995421957701</v>
      </c>
      <c r="O37" s="28">
        <f t="shared" si="3"/>
        <v>0</v>
      </c>
      <c r="P37" s="28">
        <f t="shared" si="3"/>
        <v>0.74041067726937426</v>
      </c>
      <c r="Q37" s="28">
        <f t="shared" si="3"/>
        <v>34.871977456058829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</f>
        <v>24</v>
      </c>
      <c r="C38" s="32">
        <f t="shared" ref="C38:Q38" si="4">COUNT(C9:C32)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19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6692913385826772" right="2.6377952755905514" top="0.19685039370078741" bottom="2.0866141732283467" header="0.31496062992125984" footer="0.15748031496062992"/>
  <pageSetup paperSize="9" scale="9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Q30" sqref="Q30:Q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28-11-2022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710</v>
      </c>
      <c r="B9" s="52">
        <v>103.13</v>
      </c>
      <c r="C9" s="52">
        <v>203.88</v>
      </c>
      <c r="D9" s="52">
        <v>195.22</v>
      </c>
      <c r="E9" s="52">
        <v>5.2</v>
      </c>
      <c r="F9" s="52">
        <v>0.95</v>
      </c>
      <c r="G9" s="52">
        <v>130.94</v>
      </c>
      <c r="H9" s="52">
        <v>44.56</v>
      </c>
      <c r="I9" s="52">
        <v>1.4</v>
      </c>
      <c r="J9" s="52">
        <v>0.21</v>
      </c>
      <c r="K9" s="52">
        <v>278.24</v>
      </c>
      <c r="L9" s="52">
        <v>16.059999999999999</v>
      </c>
      <c r="M9" s="52">
        <v>82</v>
      </c>
      <c r="N9" s="52">
        <v>1</v>
      </c>
      <c r="O9" s="52">
        <v>0</v>
      </c>
      <c r="P9" s="52">
        <v>2.98</v>
      </c>
      <c r="Q9" s="52">
        <v>382.82</v>
      </c>
      <c r="R9" s="44"/>
      <c r="S9" s="44"/>
      <c r="T9" s="44"/>
      <c r="U9" s="44"/>
    </row>
    <row r="10" spans="1:21" s="11" customFormat="1" x14ac:dyDescent="0.25">
      <c r="A10" s="51" t="s">
        <v>711</v>
      </c>
      <c r="B10" s="52">
        <v>81.97</v>
      </c>
      <c r="C10" s="52">
        <v>182.52</v>
      </c>
      <c r="D10" s="52">
        <v>166.47</v>
      </c>
      <c r="E10" s="52">
        <v>4.95</v>
      </c>
      <c r="F10" s="52">
        <v>0.69</v>
      </c>
      <c r="G10" s="52">
        <v>129.31</v>
      </c>
      <c r="H10" s="52">
        <v>43.27</v>
      </c>
      <c r="I10" s="52">
        <v>1.25</v>
      </c>
      <c r="J10" s="52">
        <v>0.22</v>
      </c>
      <c r="K10" s="52">
        <v>288.20999999999998</v>
      </c>
      <c r="L10" s="52">
        <v>15.7</v>
      </c>
      <c r="M10" s="52">
        <v>90</v>
      </c>
      <c r="N10" s="52">
        <v>0.9</v>
      </c>
      <c r="O10" s="52">
        <v>0</v>
      </c>
      <c r="P10" s="52">
        <v>2.59</v>
      </c>
      <c r="Q10" s="52">
        <v>349.14</v>
      </c>
      <c r="R10" s="44"/>
      <c r="S10" s="44"/>
      <c r="T10" s="44"/>
      <c r="U10" s="44"/>
    </row>
    <row r="11" spans="1:21" s="11" customFormat="1" x14ac:dyDescent="0.25">
      <c r="A11" s="51" t="s">
        <v>712</v>
      </c>
      <c r="B11" s="52">
        <v>61.54</v>
      </c>
      <c r="C11" s="52">
        <v>158.49</v>
      </c>
      <c r="D11" s="52">
        <v>136.82</v>
      </c>
      <c r="E11" s="52">
        <v>4.84</v>
      </c>
      <c r="F11" s="52">
        <v>0.73</v>
      </c>
      <c r="G11" s="52">
        <v>100</v>
      </c>
      <c r="H11" s="52">
        <v>41.28</v>
      </c>
      <c r="I11" s="52">
        <v>1.0900000000000001</v>
      </c>
      <c r="J11" s="52">
        <v>0.25</v>
      </c>
      <c r="K11" s="52">
        <v>296.85000000000002</v>
      </c>
      <c r="L11" s="52">
        <v>15.08</v>
      </c>
      <c r="M11" s="52">
        <v>88</v>
      </c>
      <c r="N11" s="52">
        <v>1</v>
      </c>
      <c r="O11" s="52">
        <v>0</v>
      </c>
      <c r="P11" s="52">
        <v>2.42</v>
      </c>
      <c r="Q11" s="52">
        <v>317.45999999999998</v>
      </c>
      <c r="R11" s="44"/>
      <c r="S11" s="44"/>
      <c r="T11" s="44"/>
      <c r="U11" s="44"/>
    </row>
    <row r="12" spans="1:21" s="11" customFormat="1" x14ac:dyDescent="0.25">
      <c r="A12" s="51" t="s">
        <v>713</v>
      </c>
      <c r="B12" s="52">
        <v>56.53</v>
      </c>
      <c r="C12" s="52">
        <v>147.30000000000001</v>
      </c>
      <c r="D12" s="52">
        <v>125.86</v>
      </c>
      <c r="E12" s="52">
        <v>4.9800000000000004</v>
      </c>
      <c r="F12" s="52">
        <v>1.19</v>
      </c>
      <c r="G12" s="52">
        <v>105.01</v>
      </c>
      <c r="H12" s="52">
        <v>41.51</v>
      </c>
      <c r="I12" s="52">
        <v>1</v>
      </c>
      <c r="J12" s="52">
        <v>0.31</v>
      </c>
      <c r="K12" s="52">
        <v>295.87</v>
      </c>
      <c r="L12" s="52">
        <v>15.16</v>
      </c>
      <c r="M12" s="52">
        <v>80</v>
      </c>
      <c r="N12" s="52">
        <v>0.9</v>
      </c>
      <c r="O12" s="52">
        <v>0</v>
      </c>
      <c r="P12" s="52">
        <v>2.2799999999999998</v>
      </c>
      <c r="Q12" s="52">
        <v>306.73</v>
      </c>
      <c r="R12" s="44"/>
      <c r="S12" s="44"/>
      <c r="T12" s="44"/>
      <c r="U12" s="44"/>
    </row>
    <row r="13" spans="1:21" s="11" customFormat="1" x14ac:dyDescent="0.25">
      <c r="A13" s="51" t="s">
        <v>714</v>
      </c>
      <c r="B13" s="52">
        <v>52.64</v>
      </c>
      <c r="C13" s="52">
        <v>135.66999999999999</v>
      </c>
      <c r="D13" s="52">
        <v>117.08</v>
      </c>
      <c r="E13" s="52">
        <v>5.33</v>
      </c>
      <c r="F13" s="52">
        <v>0.82</v>
      </c>
      <c r="G13" s="52">
        <v>83.63</v>
      </c>
      <c r="H13" s="52">
        <v>37.880000000000003</v>
      </c>
      <c r="I13" s="52">
        <v>0.95</v>
      </c>
      <c r="J13" s="52">
        <v>0.23</v>
      </c>
      <c r="K13" s="52">
        <v>320.27999999999997</v>
      </c>
      <c r="L13" s="52">
        <v>14.2</v>
      </c>
      <c r="M13" s="52">
        <v>89</v>
      </c>
      <c r="N13" s="52">
        <v>1</v>
      </c>
      <c r="O13" s="52">
        <v>0</v>
      </c>
      <c r="P13" s="52">
        <v>2.09</v>
      </c>
      <c r="Q13" s="52">
        <v>296.82</v>
      </c>
      <c r="R13" s="44"/>
      <c r="S13" s="44"/>
      <c r="T13" s="44"/>
      <c r="U13" s="44"/>
    </row>
    <row r="14" spans="1:21" s="11" customFormat="1" x14ac:dyDescent="0.25">
      <c r="A14" s="51" t="s">
        <v>715</v>
      </c>
      <c r="B14" s="52">
        <v>53.99</v>
      </c>
      <c r="C14" s="52">
        <v>129.37</v>
      </c>
      <c r="D14" s="52">
        <v>114.69</v>
      </c>
      <c r="E14" s="52">
        <v>5.28</v>
      </c>
      <c r="F14" s="52">
        <v>0.62</v>
      </c>
      <c r="G14" s="52">
        <v>85.51</v>
      </c>
      <c r="H14" s="52">
        <v>35.630000000000003</v>
      </c>
      <c r="I14" s="52">
        <v>0.81</v>
      </c>
      <c r="J14" s="52">
        <v>0.22</v>
      </c>
      <c r="K14" s="52">
        <v>323.25</v>
      </c>
      <c r="L14" s="52">
        <v>13.93</v>
      </c>
      <c r="M14" s="52">
        <v>89</v>
      </c>
      <c r="N14" s="52">
        <v>0.9</v>
      </c>
      <c r="O14" s="52">
        <v>0</v>
      </c>
      <c r="P14" s="52">
        <v>1.89</v>
      </c>
      <c r="Q14" s="52">
        <v>282.14999999999998</v>
      </c>
      <c r="R14" s="44"/>
      <c r="S14" s="44"/>
      <c r="T14" s="44"/>
      <c r="U14" s="44"/>
    </row>
    <row r="15" spans="1:21" s="11" customFormat="1" x14ac:dyDescent="0.25">
      <c r="A15" s="51" t="s">
        <v>716</v>
      </c>
      <c r="B15" s="52">
        <v>52.69</v>
      </c>
      <c r="C15" s="52">
        <v>128.83000000000001</v>
      </c>
      <c r="D15" s="52">
        <v>113.35</v>
      </c>
      <c r="E15" s="52">
        <v>5.08</v>
      </c>
      <c r="F15" s="52">
        <v>0.65</v>
      </c>
      <c r="G15" s="52">
        <v>91.1</v>
      </c>
      <c r="H15" s="52">
        <v>35.51</v>
      </c>
      <c r="I15" s="52">
        <v>0.73</v>
      </c>
      <c r="J15" s="52">
        <v>0.23</v>
      </c>
      <c r="K15" s="52">
        <v>305.77</v>
      </c>
      <c r="L15" s="52">
        <v>13.83</v>
      </c>
      <c r="M15" s="52">
        <v>87</v>
      </c>
      <c r="N15" s="52">
        <v>27.1</v>
      </c>
      <c r="O15" s="52">
        <v>0</v>
      </c>
      <c r="P15" s="52">
        <v>1.77</v>
      </c>
      <c r="Q15" s="52">
        <v>279.72000000000003</v>
      </c>
      <c r="R15" s="44"/>
      <c r="S15" s="44"/>
      <c r="T15" s="44"/>
      <c r="U15" s="44"/>
    </row>
    <row r="16" spans="1:21" s="11" customFormat="1" x14ac:dyDescent="0.25">
      <c r="A16" s="51" t="s">
        <v>717</v>
      </c>
      <c r="B16" s="52">
        <v>57.23</v>
      </c>
      <c r="C16" s="52">
        <v>143.78</v>
      </c>
      <c r="D16" s="52">
        <v>122.87</v>
      </c>
      <c r="E16" s="52">
        <v>5.37</v>
      </c>
      <c r="F16" s="52">
        <v>0.87</v>
      </c>
      <c r="G16" s="52">
        <v>106.16</v>
      </c>
      <c r="H16" s="52">
        <v>35.9</v>
      </c>
      <c r="I16" s="52">
        <v>0.65</v>
      </c>
      <c r="J16" s="52">
        <v>0.5</v>
      </c>
      <c r="K16" s="52">
        <v>278.57</v>
      </c>
      <c r="L16" s="52">
        <v>18.13</v>
      </c>
      <c r="M16" s="52">
        <v>65</v>
      </c>
      <c r="N16" s="52">
        <v>189</v>
      </c>
      <c r="O16" s="52">
        <v>0</v>
      </c>
      <c r="P16" s="52">
        <v>1.75</v>
      </c>
      <c r="Q16" s="52">
        <v>283.37</v>
      </c>
      <c r="R16" s="44"/>
      <c r="S16" s="44"/>
      <c r="T16" s="44"/>
      <c r="U16" s="44"/>
    </row>
    <row r="17" spans="1:21" s="11" customFormat="1" x14ac:dyDescent="0.25">
      <c r="A17" s="51" t="s">
        <v>718</v>
      </c>
      <c r="B17" s="52">
        <v>49.23</v>
      </c>
      <c r="C17" s="52">
        <v>142.12</v>
      </c>
      <c r="D17" s="52">
        <v>117.76</v>
      </c>
      <c r="E17" s="52">
        <v>5.24</v>
      </c>
      <c r="F17" s="52">
        <v>0.72</v>
      </c>
      <c r="G17" s="52">
        <v>102.95</v>
      </c>
      <c r="H17" s="52">
        <v>39.880000000000003</v>
      </c>
      <c r="I17" s="52">
        <v>0.63</v>
      </c>
      <c r="J17" s="52">
        <v>0.46</v>
      </c>
      <c r="K17" s="52">
        <v>220.08</v>
      </c>
      <c r="L17" s="52">
        <v>23.1</v>
      </c>
      <c r="M17" s="52">
        <v>65</v>
      </c>
      <c r="N17" s="52">
        <v>319.5</v>
      </c>
      <c r="O17" s="52">
        <v>0</v>
      </c>
      <c r="P17" s="52">
        <v>1.74</v>
      </c>
      <c r="Q17" s="52">
        <v>276.93</v>
      </c>
      <c r="R17" s="44"/>
      <c r="S17" s="44"/>
      <c r="T17" s="44"/>
      <c r="U17" s="44"/>
    </row>
    <row r="18" spans="1:21" s="11" customFormat="1" x14ac:dyDescent="0.25">
      <c r="A18" s="51" t="s">
        <v>719</v>
      </c>
      <c r="B18" s="52">
        <v>39.18</v>
      </c>
      <c r="C18" s="52">
        <v>151.41999999999999</v>
      </c>
      <c r="D18" s="52">
        <v>111.02</v>
      </c>
      <c r="E18" s="52">
        <v>5.4</v>
      </c>
      <c r="F18" s="52">
        <v>0.98</v>
      </c>
      <c r="G18" s="52">
        <v>104.61</v>
      </c>
      <c r="H18" s="52">
        <v>39.4</v>
      </c>
      <c r="I18" s="52">
        <v>0.64</v>
      </c>
      <c r="J18" s="52">
        <v>0.73</v>
      </c>
      <c r="K18" s="52">
        <v>168.87</v>
      </c>
      <c r="L18" s="52">
        <v>25.81</v>
      </c>
      <c r="M18" s="52">
        <v>86</v>
      </c>
      <c r="N18" s="52">
        <v>406.2</v>
      </c>
      <c r="O18" s="52">
        <v>0</v>
      </c>
      <c r="P18" s="52">
        <v>1.82</v>
      </c>
      <c r="Q18" s="52">
        <v>285.49</v>
      </c>
      <c r="R18" s="44"/>
      <c r="S18" s="44"/>
      <c r="T18" s="44"/>
      <c r="U18" s="44"/>
    </row>
    <row r="19" spans="1:21" s="11" customFormat="1" x14ac:dyDescent="0.25">
      <c r="A19" s="51" t="s">
        <v>720</v>
      </c>
      <c r="B19" s="52">
        <v>25.18</v>
      </c>
      <c r="C19" s="52">
        <v>152.05000000000001</v>
      </c>
      <c r="D19" s="52">
        <v>102.71</v>
      </c>
      <c r="E19" s="52">
        <v>5.23</v>
      </c>
      <c r="F19" s="52">
        <v>1.77</v>
      </c>
      <c r="G19" s="52">
        <v>118.99</v>
      </c>
      <c r="H19" s="52">
        <v>41.61</v>
      </c>
      <c r="I19" s="52">
        <v>0.63</v>
      </c>
      <c r="J19" s="52">
        <v>0.92</v>
      </c>
      <c r="K19" s="52">
        <v>153.91999999999999</v>
      </c>
      <c r="L19" s="52">
        <v>27</v>
      </c>
      <c r="M19" s="52">
        <v>64</v>
      </c>
      <c r="N19" s="52">
        <v>450.2</v>
      </c>
      <c r="O19" s="52">
        <v>0</v>
      </c>
      <c r="P19" s="52">
        <v>1.81</v>
      </c>
      <c r="Q19" s="52">
        <v>280.32</v>
      </c>
      <c r="R19" s="44"/>
      <c r="S19" s="44"/>
      <c r="T19" s="44"/>
      <c r="U19" s="44"/>
    </row>
    <row r="20" spans="1:21" s="11" customFormat="1" x14ac:dyDescent="0.25">
      <c r="A20" s="51" t="s">
        <v>721</v>
      </c>
      <c r="B20" s="52">
        <v>6.17</v>
      </c>
      <c r="C20" s="52">
        <v>141.30000000000001</v>
      </c>
      <c r="D20" s="52">
        <v>82.92</v>
      </c>
      <c r="E20" s="52">
        <v>5.18</v>
      </c>
      <c r="F20" s="52">
        <v>10.72</v>
      </c>
      <c r="G20" s="52">
        <v>97.85</v>
      </c>
      <c r="H20" s="52">
        <v>42.29</v>
      </c>
      <c r="I20" s="52">
        <v>0.6</v>
      </c>
      <c r="J20" s="52">
        <v>0.95</v>
      </c>
      <c r="K20" s="52">
        <v>127.91</v>
      </c>
      <c r="L20" s="52">
        <v>30.2</v>
      </c>
      <c r="M20" s="52">
        <v>80</v>
      </c>
      <c r="N20" s="52">
        <v>464.1</v>
      </c>
      <c r="O20" s="52">
        <v>0</v>
      </c>
      <c r="P20" s="52">
        <v>1.62</v>
      </c>
      <c r="Q20" s="52">
        <v>241.48</v>
      </c>
      <c r="R20" s="44"/>
      <c r="S20" s="44"/>
      <c r="T20" s="44"/>
      <c r="U20" s="44"/>
    </row>
    <row r="21" spans="1:21" s="11" customFormat="1" x14ac:dyDescent="0.25">
      <c r="A21" s="51" t="s">
        <v>722</v>
      </c>
      <c r="B21" s="52">
        <v>2.94</v>
      </c>
      <c r="C21" s="52">
        <v>115.36</v>
      </c>
      <c r="D21" s="52">
        <v>65.569999999999993</v>
      </c>
      <c r="E21" s="52">
        <v>4.83</v>
      </c>
      <c r="F21" s="52">
        <v>3.44</v>
      </c>
      <c r="G21" s="52">
        <v>83.23</v>
      </c>
      <c r="H21" s="52">
        <v>40.15</v>
      </c>
      <c r="I21" s="52">
        <v>0.49</v>
      </c>
      <c r="J21" s="52">
        <v>1.03</v>
      </c>
      <c r="K21" s="52">
        <v>107.38</v>
      </c>
      <c r="L21" s="52">
        <v>31.74</v>
      </c>
      <c r="M21" s="52">
        <v>92</v>
      </c>
      <c r="N21" s="52">
        <v>452.1</v>
      </c>
      <c r="O21" s="52">
        <v>0</v>
      </c>
      <c r="P21" s="52">
        <v>1.41</v>
      </c>
      <c r="Q21" s="52">
        <v>237.51</v>
      </c>
      <c r="R21" s="44"/>
      <c r="S21" s="44"/>
      <c r="T21" s="44"/>
      <c r="U21" s="44"/>
    </row>
    <row r="22" spans="1:21" s="11" customFormat="1" x14ac:dyDescent="0.25">
      <c r="A22" s="51" t="s">
        <v>723</v>
      </c>
      <c r="B22" s="52">
        <v>4.9800000000000004</v>
      </c>
      <c r="C22" s="52">
        <v>122.28</v>
      </c>
      <c r="D22" s="52">
        <v>71.47</v>
      </c>
      <c r="E22" s="52">
        <v>11.46</v>
      </c>
      <c r="F22" s="52">
        <v>16.489999999999998</v>
      </c>
      <c r="G22" s="52">
        <v>76.63</v>
      </c>
      <c r="H22" s="52">
        <v>37.869999999999997</v>
      </c>
      <c r="I22" s="52">
        <v>0.47</v>
      </c>
      <c r="J22" s="52">
        <v>0.84</v>
      </c>
      <c r="K22" s="52">
        <v>104.84</v>
      </c>
      <c r="L22" s="52">
        <v>31.17</v>
      </c>
      <c r="M22" s="52">
        <v>73</v>
      </c>
      <c r="N22" s="52">
        <v>398.1</v>
      </c>
      <c r="O22" s="52">
        <v>0</v>
      </c>
      <c r="P22" s="52">
        <v>1.3</v>
      </c>
      <c r="Q22" s="52">
        <v>244.02</v>
      </c>
      <c r="R22" s="44"/>
      <c r="S22" s="44"/>
      <c r="T22" s="44"/>
      <c r="U22" s="44"/>
    </row>
    <row r="23" spans="1:21" s="11" customFormat="1" x14ac:dyDescent="0.25">
      <c r="A23" s="51" t="s">
        <v>724</v>
      </c>
      <c r="B23" s="52">
        <v>3.14</v>
      </c>
      <c r="C23" s="52">
        <v>124.91</v>
      </c>
      <c r="D23" s="52">
        <v>71.45</v>
      </c>
      <c r="E23" s="52">
        <v>12.7</v>
      </c>
      <c r="F23" s="52">
        <v>28.52</v>
      </c>
      <c r="G23" s="52">
        <v>63.51</v>
      </c>
      <c r="H23" s="52">
        <v>36.83</v>
      </c>
      <c r="I23" s="52">
        <v>0.37</v>
      </c>
      <c r="J23" s="52">
        <v>1.19</v>
      </c>
      <c r="K23" s="52">
        <v>110.62</v>
      </c>
      <c r="L23" s="52">
        <v>28.7</v>
      </c>
      <c r="M23" s="52">
        <v>47</v>
      </c>
      <c r="N23" s="52">
        <v>331.7</v>
      </c>
      <c r="O23" s="52">
        <v>0</v>
      </c>
      <c r="P23" s="52">
        <v>1.0900000000000001</v>
      </c>
      <c r="Q23" s="52">
        <v>209.5</v>
      </c>
      <c r="R23" s="44"/>
      <c r="S23" s="44"/>
      <c r="T23" s="44"/>
      <c r="U23" s="44"/>
    </row>
    <row r="24" spans="1:21" s="11" customFormat="1" x14ac:dyDescent="0.25">
      <c r="A24" s="51" t="s">
        <v>725</v>
      </c>
      <c r="B24" s="52">
        <v>1.87</v>
      </c>
      <c r="C24" s="52">
        <v>94.5</v>
      </c>
      <c r="D24" s="52">
        <v>53.42</v>
      </c>
      <c r="E24" s="52">
        <v>8.5299999999999994</v>
      </c>
      <c r="F24" s="52">
        <v>17.329999999999998</v>
      </c>
      <c r="G24" s="52">
        <v>56.93</v>
      </c>
      <c r="H24" s="52">
        <v>29.59</v>
      </c>
      <c r="I24" s="52">
        <v>0.28000000000000003</v>
      </c>
      <c r="J24" s="52">
        <v>0.68</v>
      </c>
      <c r="K24" s="52">
        <v>112.73</v>
      </c>
      <c r="L24" s="52">
        <v>27.86</v>
      </c>
      <c r="M24" s="52">
        <v>40</v>
      </c>
      <c r="N24" s="52">
        <v>173.7</v>
      </c>
      <c r="O24" s="52">
        <v>0</v>
      </c>
      <c r="P24" s="52">
        <v>0.89</v>
      </c>
      <c r="Q24" s="52">
        <v>187.92</v>
      </c>
      <c r="R24" s="44"/>
      <c r="S24" s="44"/>
      <c r="T24" s="44"/>
      <c r="U24" s="44"/>
    </row>
    <row r="25" spans="1:21" s="11" customFormat="1" x14ac:dyDescent="0.25">
      <c r="A25" s="51" t="s">
        <v>726</v>
      </c>
      <c r="B25" s="52">
        <v>2.72</v>
      </c>
      <c r="C25" s="52">
        <v>93.02</v>
      </c>
      <c r="D25" s="52">
        <v>53.29</v>
      </c>
      <c r="E25" s="52">
        <v>7.45</v>
      </c>
      <c r="F25" s="52">
        <v>11.45</v>
      </c>
      <c r="G25" s="52">
        <v>50.15</v>
      </c>
      <c r="H25" s="52">
        <v>26.31</v>
      </c>
      <c r="I25" s="52">
        <v>0.31</v>
      </c>
      <c r="J25" s="52">
        <v>0.39</v>
      </c>
      <c r="K25" s="52">
        <v>143.81</v>
      </c>
      <c r="L25" s="52">
        <v>26.66</v>
      </c>
      <c r="M25" s="52">
        <v>57</v>
      </c>
      <c r="N25" s="52">
        <v>41.3</v>
      </c>
      <c r="O25" s="52">
        <v>0</v>
      </c>
      <c r="P25" s="52">
        <v>0.84</v>
      </c>
      <c r="Q25" s="52">
        <v>224.63</v>
      </c>
      <c r="R25" s="44"/>
      <c r="S25" s="44"/>
      <c r="T25" s="44"/>
      <c r="U25" s="44"/>
    </row>
    <row r="26" spans="1:21" s="11" customFormat="1" x14ac:dyDescent="0.25">
      <c r="A26" s="51" t="s">
        <v>727</v>
      </c>
      <c r="B26" s="52">
        <v>21.94</v>
      </c>
      <c r="C26" s="52">
        <v>141.93</v>
      </c>
      <c r="D26" s="52">
        <v>95.92</v>
      </c>
      <c r="E26" s="52">
        <v>3.69</v>
      </c>
      <c r="F26" s="52">
        <v>2.68</v>
      </c>
      <c r="G26" s="52">
        <v>52.98</v>
      </c>
      <c r="H26" s="52">
        <v>26.42</v>
      </c>
      <c r="I26" s="52">
        <v>0.4</v>
      </c>
      <c r="J26" s="52">
        <v>0.19</v>
      </c>
      <c r="K26" s="52">
        <v>203.93</v>
      </c>
      <c r="L26" s="52">
        <v>24.08</v>
      </c>
      <c r="M26" s="52">
        <v>71</v>
      </c>
      <c r="N26" s="52">
        <v>6.5</v>
      </c>
      <c r="O26" s="52">
        <v>0</v>
      </c>
      <c r="P26" s="52">
        <v>1.42</v>
      </c>
      <c r="Q26" s="52">
        <v>263.82</v>
      </c>
      <c r="R26" s="44"/>
      <c r="S26" s="44"/>
      <c r="T26" s="44"/>
      <c r="U26" s="44"/>
    </row>
    <row r="27" spans="1:21" s="11" customFormat="1" x14ac:dyDescent="0.25">
      <c r="A27" s="51" t="s">
        <v>728</v>
      </c>
      <c r="B27" s="52">
        <v>44.78</v>
      </c>
      <c r="C27" s="52">
        <v>180.89</v>
      </c>
      <c r="D27" s="52">
        <v>135.74</v>
      </c>
      <c r="E27" s="52">
        <v>4.3</v>
      </c>
      <c r="F27" s="52">
        <v>1.08</v>
      </c>
      <c r="G27" s="52">
        <v>140.85</v>
      </c>
      <c r="H27" s="52">
        <v>26.84</v>
      </c>
      <c r="I27" s="52">
        <v>0.59</v>
      </c>
      <c r="J27" s="52">
        <v>0.17</v>
      </c>
      <c r="K27" s="52">
        <v>223.11</v>
      </c>
      <c r="L27" s="52">
        <v>21.97</v>
      </c>
      <c r="M27" s="52">
        <v>63</v>
      </c>
      <c r="N27" s="52">
        <v>1.1000000000000001</v>
      </c>
      <c r="O27" s="52">
        <v>0</v>
      </c>
      <c r="P27" s="52">
        <v>2.0099999999999998</v>
      </c>
      <c r="Q27" s="52">
        <v>309.52999999999997</v>
      </c>
      <c r="R27" s="44"/>
      <c r="S27" s="44"/>
      <c r="T27" s="44"/>
      <c r="U27" s="44"/>
    </row>
    <row r="28" spans="1:21" s="11" customFormat="1" x14ac:dyDescent="0.25">
      <c r="A28" s="51" t="s">
        <v>729</v>
      </c>
      <c r="B28" s="52">
        <v>67.239999999999995</v>
      </c>
      <c r="C28" s="52">
        <v>200.81</v>
      </c>
      <c r="D28" s="52">
        <v>164.75</v>
      </c>
      <c r="E28" s="52">
        <v>4.57</v>
      </c>
      <c r="F28" s="52">
        <v>1.02</v>
      </c>
      <c r="G28" s="52">
        <v>179.2</v>
      </c>
      <c r="H28" s="52">
        <v>35.17</v>
      </c>
      <c r="I28" s="52">
        <v>0.95</v>
      </c>
      <c r="J28" s="52">
        <v>0.17</v>
      </c>
      <c r="K28" s="52">
        <v>244.86</v>
      </c>
      <c r="L28" s="52">
        <v>20.39</v>
      </c>
      <c r="M28" s="52">
        <v>82</v>
      </c>
      <c r="N28" s="52">
        <v>1</v>
      </c>
      <c r="O28" s="52">
        <v>0</v>
      </c>
      <c r="P28" s="52">
        <v>2.77</v>
      </c>
      <c r="Q28" s="52">
        <v>356.3</v>
      </c>
      <c r="R28" s="44"/>
      <c r="S28" s="44"/>
      <c r="T28" s="44"/>
      <c r="U28" s="44"/>
    </row>
    <row r="29" spans="1:21" s="11" customFormat="1" x14ac:dyDescent="0.25">
      <c r="A29" s="51" t="s">
        <v>730</v>
      </c>
      <c r="B29" s="52">
        <v>80.2</v>
      </c>
      <c r="C29" s="52">
        <v>208.4</v>
      </c>
      <c r="D29" s="52">
        <v>179.32</v>
      </c>
      <c r="E29" s="52">
        <v>5.42</v>
      </c>
      <c r="F29" s="52">
        <v>1.1299999999999999</v>
      </c>
      <c r="G29" s="52">
        <v>162.37</v>
      </c>
      <c r="H29" s="52">
        <v>39.229999999999997</v>
      </c>
      <c r="I29" s="52">
        <v>1.27</v>
      </c>
      <c r="J29" s="52">
        <v>0.13</v>
      </c>
      <c r="K29" s="52">
        <v>227.92</v>
      </c>
      <c r="L29" s="52">
        <v>19.95</v>
      </c>
      <c r="M29" s="52">
        <v>61</v>
      </c>
      <c r="N29" s="52">
        <v>1.1000000000000001</v>
      </c>
      <c r="O29" s="52">
        <v>0</v>
      </c>
      <c r="P29" s="52">
        <v>3.14</v>
      </c>
      <c r="Q29" s="52">
        <v>377.14</v>
      </c>
      <c r="R29" s="44"/>
      <c r="S29" s="44"/>
      <c r="T29" s="44"/>
      <c r="U29" s="44"/>
    </row>
    <row r="30" spans="1:21" s="11" customFormat="1" x14ac:dyDescent="0.25">
      <c r="A30" s="51" t="s">
        <v>731</v>
      </c>
      <c r="B30" s="52">
        <v>113.84</v>
      </c>
      <c r="C30" s="52">
        <v>236.22</v>
      </c>
      <c r="D30" s="52">
        <v>221.65</v>
      </c>
      <c r="E30" s="52">
        <v>5.18</v>
      </c>
      <c r="F30" s="52">
        <v>0.88</v>
      </c>
      <c r="G30" s="52">
        <v>163.79</v>
      </c>
      <c r="H30" s="52">
        <v>41.68</v>
      </c>
      <c r="I30" s="52">
        <v>1.39</v>
      </c>
      <c r="J30" s="52">
        <v>0.2</v>
      </c>
      <c r="K30" s="52">
        <v>257.77999999999997</v>
      </c>
      <c r="L30" s="52">
        <v>19.13</v>
      </c>
      <c r="M30" s="52">
        <v>90</v>
      </c>
      <c r="N30" s="52">
        <v>0.9</v>
      </c>
      <c r="O30" s="52">
        <v>0</v>
      </c>
      <c r="P30" s="52">
        <v>3.59</v>
      </c>
      <c r="Q30" s="9" t="s">
        <v>15</v>
      </c>
      <c r="R30" s="44"/>
      <c r="S30" s="44"/>
      <c r="T30" s="44"/>
      <c r="U30" s="44"/>
    </row>
    <row r="31" spans="1:21" s="11" customFormat="1" x14ac:dyDescent="0.25">
      <c r="A31" s="51" t="s">
        <v>732</v>
      </c>
      <c r="B31" s="52">
        <v>143.91</v>
      </c>
      <c r="C31" s="52">
        <v>265.04000000000002</v>
      </c>
      <c r="D31" s="52">
        <v>261.68</v>
      </c>
      <c r="E31" s="52">
        <v>5.98</v>
      </c>
      <c r="F31" s="52">
        <v>0.7</v>
      </c>
      <c r="G31" s="52">
        <v>184.43</v>
      </c>
      <c r="H31" s="52">
        <v>43.38</v>
      </c>
      <c r="I31" s="52">
        <v>1.61</v>
      </c>
      <c r="J31" s="52">
        <v>0.27</v>
      </c>
      <c r="K31" s="52">
        <v>264.8</v>
      </c>
      <c r="L31" s="52">
        <v>18.16</v>
      </c>
      <c r="M31" s="52">
        <v>92</v>
      </c>
      <c r="N31" s="52">
        <v>1</v>
      </c>
      <c r="O31" s="52">
        <v>0</v>
      </c>
      <c r="P31" s="52">
        <v>3.93</v>
      </c>
      <c r="Q31" s="9" t="s">
        <v>15</v>
      </c>
      <c r="R31" s="44"/>
      <c r="S31" s="44"/>
      <c r="T31" s="44"/>
      <c r="U31" s="44"/>
    </row>
    <row r="32" spans="1:21" s="11" customFormat="1" x14ac:dyDescent="0.25">
      <c r="A32" s="51" t="s">
        <v>733</v>
      </c>
      <c r="B32" s="52">
        <v>147.86000000000001</v>
      </c>
      <c r="C32" s="52">
        <v>267.77</v>
      </c>
      <c r="D32" s="52">
        <v>266.02999999999997</v>
      </c>
      <c r="E32" s="52">
        <v>5.96</v>
      </c>
      <c r="F32" s="52">
        <v>0.72</v>
      </c>
      <c r="G32" s="52">
        <v>165.72</v>
      </c>
      <c r="H32" s="52">
        <v>45.98</v>
      </c>
      <c r="I32" s="52">
        <v>1.65</v>
      </c>
      <c r="J32" s="52">
        <v>0.18</v>
      </c>
      <c r="K32" s="52">
        <v>266.70999999999998</v>
      </c>
      <c r="L32" s="52">
        <v>17.329999999999998</v>
      </c>
      <c r="M32" s="52">
        <v>89</v>
      </c>
      <c r="N32" s="52">
        <v>1</v>
      </c>
      <c r="O32" s="52">
        <v>0</v>
      </c>
      <c r="P32" s="52">
        <v>3.93</v>
      </c>
      <c r="Q32" s="9" t="s">
        <v>15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1.87</v>
      </c>
      <c r="C34" s="28">
        <f t="shared" si="0"/>
        <v>93.02</v>
      </c>
      <c r="D34" s="28">
        <f t="shared" si="0"/>
        <v>53.29</v>
      </c>
      <c r="E34" s="28">
        <f t="shared" si="0"/>
        <v>3.69</v>
      </c>
      <c r="F34" s="28">
        <f t="shared" si="0"/>
        <v>0.62</v>
      </c>
      <c r="G34" s="28">
        <f t="shared" si="0"/>
        <v>50.15</v>
      </c>
      <c r="H34" s="28">
        <f t="shared" si="0"/>
        <v>26.31</v>
      </c>
      <c r="I34" s="28">
        <f t="shared" si="0"/>
        <v>0.28000000000000003</v>
      </c>
      <c r="J34" s="28">
        <f t="shared" si="0"/>
        <v>0.13</v>
      </c>
      <c r="K34" s="28">
        <f t="shared" si="0"/>
        <v>104.84</v>
      </c>
      <c r="L34" s="28">
        <f t="shared" si="0"/>
        <v>13.83</v>
      </c>
      <c r="M34" s="28">
        <f t="shared" si="0"/>
        <v>40</v>
      </c>
      <c r="N34" s="28">
        <f t="shared" si="0"/>
        <v>0.9</v>
      </c>
      <c r="O34" s="28">
        <f t="shared" si="0"/>
        <v>0</v>
      </c>
      <c r="P34" s="28">
        <f t="shared" si="0"/>
        <v>0.84</v>
      </c>
      <c r="Q34" s="28">
        <f t="shared" si="0"/>
        <v>187.92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147.86000000000001</v>
      </c>
      <c r="C35" s="29">
        <f t="shared" si="1"/>
        <v>267.77</v>
      </c>
      <c r="D35" s="29">
        <f t="shared" si="1"/>
        <v>266.02999999999997</v>
      </c>
      <c r="E35" s="29">
        <f t="shared" si="1"/>
        <v>12.7</v>
      </c>
      <c r="F35" s="29">
        <f t="shared" si="1"/>
        <v>28.52</v>
      </c>
      <c r="G35" s="29">
        <f t="shared" si="1"/>
        <v>184.43</v>
      </c>
      <c r="H35" s="29">
        <f t="shared" si="1"/>
        <v>45.98</v>
      </c>
      <c r="I35" s="29">
        <f t="shared" si="1"/>
        <v>1.65</v>
      </c>
      <c r="J35" s="29">
        <f t="shared" si="1"/>
        <v>1.19</v>
      </c>
      <c r="K35" s="29">
        <f t="shared" si="1"/>
        <v>323.25</v>
      </c>
      <c r="L35" s="29">
        <f t="shared" si="1"/>
        <v>31.74</v>
      </c>
      <c r="M35" s="29">
        <f t="shared" si="1"/>
        <v>92</v>
      </c>
      <c r="N35" s="29">
        <f t="shared" si="1"/>
        <v>464.1</v>
      </c>
      <c r="O35" s="29">
        <f t="shared" si="1"/>
        <v>0</v>
      </c>
      <c r="P35" s="29">
        <f t="shared" si="1"/>
        <v>3.93</v>
      </c>
      <c r="Q35" s="29">
        <f t="shared" si="1"/>
        <v>382.82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53.120833333333337</v>
      </c>
      <c r="C36" s="28">
        <f t="shared" si="2"/>
        <v>161.1608333333333</v>
      </c>
      <c r="D36" s="28">
        <f t="shared" si="2"/>
        <v>131.12750000000003</v>
      </c>
      <c r="E36" s="28">
        <f t="shared" si="2"/>
        <v>5.9229166666666666</v>
      </c>
      <c r="F36" s="28">
        <f t="shared" si="2"/>
        <v>4.4229166666666666</v>
      </c>
      <c r="G36" s="28">
        <f t="shared" si="2"/>
        <v>109.82708333333333</v>
      </c>
      <c r="H36" s="28">
        <f t="shared" si="2"/>
        <v>37.840416666666663</v>
      </c>
      <c r="I36" s="28">
        <f t="shared" si="2"/>
        <v>0.84</v>
      </c>
      <c r="J36" s="28">
        <f t="shared" si="2"/>
        <v>0.44458333333333333</v>
      </c>
      <c r="K36" s="28">
        <f t="shared" si="2"/>
        <v>221.92958333333334</v>
      </c>
      <c r="L36" s="28">
        <f t="shared" si="2"/>
        <v>21.4725</v>
      </c>
      <c r="M36" s="28">
        <f t="shared" si="2"/>
        <v>75.916666666666671</v>
      </c>
      <c r="N36" s="28">
        <f t="shared" si="2"/>
        <v>136.30416666666665</v>
      </c>
      <c r="O36" s="28">
        <f t="shared" si="2"/>
        <v>0</v>
      </c>
      <c r="P36" s="28">
        <f t="shared" si="2"/>
        <v>2.1283333333333334</v>
      </c>
      <c r="Q36" s="28">
        <f t="shared" si="2"/>
        <v>285.37142857142862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42.737005135725326</v>
      </c>
      <c r="C37" s="28">
        <f t="shared" ref="C37:Q37" si="3">STDEV(C9:C32)</f>
        <v>47.906813068767256</v>
      </c>
      <c r="D37" s="28">
        <f t="shared" si="3"/>
        <v>59.581692201985774</v>
      </c>
      <c r="E37" s="28">
        <f t="shared" si="3"/>
        <v>2.1290444461361511</v>
      </c>
      <c r="F37" s="28">
        <f t="shared" si="3"/>
        <v>7.2129885738622006</v>
      </c>
      <c r="G37" s="28">
        <f t="shared" si="3"/>
        <v>39.875870711950981</v>
      </c>
      <c r="H37" s="28">
        <f t="shared" si="3"/>
        <v>5.6498145249793055</v>
      </c>
      <c r="I37" s="28">
        <f t="shared" si="3"/>
        <v>0.41158231254513356</v>
      </c>
      <c r="J37" s="28">
        <f t="shared" si="3"/>
        <v>0.32692213095803857</v>
      </c>
      <c r="K37" s="28">
        <f t="shared" si="3"/>
        <v>74.707550836530189</v>
      </c>
      <c r="L37" s="28">
        <f t="shared" si="3"/>
        <v>5.9506640111766469</v>
      </c>
      <c r="M37" s="28">
        <f t="shared" si="3"/>
        <v>15.024376328419473</v>
      </c>
      <c r="N37" s="28">
        <f t="shared" si="3"/>
        <v>184.21930805467957</v>
      </c>
      <c r="O37" s="28">
        <f t="shared" si="3"/>
        <v>0</v>
      </c>
      <c r="P37" s="28">
        <f t="shared" si="3"/>
        <v>0.88550976066437825</v>
      </c>
      <c r="Q37" s="28">
        <f t="shared" si="3"/>
        <v>52.293892596144744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21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topLeftCell="A13" zoomScale="85" zoomScaleNormal="85" workbookViewId="0">
      <selection activeCell="N39" sqref="N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29-11-2022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734</v>
      </c>
      <c r="B9" s="52">
        <v>137.99</v>
      </c>
      <c r="C9" s="52">
        <v>253.39</v>
      </c>
      <c r="D9" s="52">
        <v>250.5</v>
      </c>
      <c r="E9" s="52">
        <v>5.86</v>
      </c>
      <c r="F9" s="52">
        <v>0.72</v>
      </c>
      <c r="G9" s="52">
        <v>154.44</v>
      </c>
      <c r="H9" s="52">
        <v>48.87</v>
      </c>
      <c r="I9" s="52">
        <v>1.62</v>
      </c>
      <c r="J9" s="52">
        <v>0.23</v>
      </c>
      <c r="K9" s="52">
        <v>296.5</v>
      </c>
      <c r="L9" s="52">
        <v>16.760000000000002</v>
      </c>
      <c r="M9" s="52">
        <v>86</v>
      </c>
      <c r="N9" s="52">
        <v>1</v>
      </c>
      <c r="O9" s="52">
        <v>0</v>
      </c>
      <c r="P9" s="52">
        <v>3.72</v>
      </c>
      <c r="Q9" s="9" t="s">
        <v>15</v>
      </c>
      <c r="R9" s="44"/>
      <c r="S9" s="44"/>
      <c r="T9" s="44"/>
      <c r="U9" s="44"/>
    </row>
    <row r="10" spans="1:21" s="11" customFormat="1" x14ac:dyDescent="0.25">
      <c r="A10" s="51" t="s">
        <v>735</v>
      </c>
      <c r="B10" s="52">
        <v>133.15</v>
      </c>
      <c r="C10" s="52">
        <v>236.84</v>
      </c>
      <c r="D10" s="52">
        <v>237.48</v>
      </c>
      <c r="E10" s="52">
        <v>5.58</v>
      </c>
      <c r="F10" s="52">
        <v>0.69</v>
      </c>
      <c r="G10" s="52">
        <v>140.87</v>
      </c>
      <c r="H10" s="52">
        <v>47.64</v>
      </c>
      <c r="I10" s="52">
        <v>1.52</v>
      </c>
      <c r="J10" s="52">
        <v>0.25</v>
      </c>
      <c r="K10" s="52">
        <v>305.67</v>
      </c>
      <c r="L10" s="52">
        <v>16.66</v>
      </c>
      <c r="M10" s="52">
        <v>88</v>
      </c>
      <c r="N10" s="52">
        <v>1.1000000000000001</v>
      </c>
      <c r="O10" s="52">
        <v>0</v>
      </c>
      <c r="P10" s="52">
        <v>3.41</v>
      </c>
      <c r="Q10" s="9" t="s">
        <v>15</v>
      </c>
      <c r="R10" s="44"/>
      <c r="S10" s="44"/>
      <c r="T10" s="44"/>
      <c r="U10" s="44"/>
    </row>
    <row r="11" spans="1:21" s="11" customFormat="1" x14ac:dyDescent="0.25">
      <c r="A11" s="51" t="s">
        <v>736</v>
      </c>
      <c r="B11" s="52">
        <v>119.1</v>
      </c>
      <c r="C11" s="52">
        <v>213.49</v>
      </c>
      <c r="D11" s="52">
        <v>213.33</v>
      </c>
      <c r="E11" s="52">
        <v>5.73</v>
      </c>
      <c r="F11" s="52">
        <v>0.65</v>
      </c>
      <c r="G11" s="52">
        <v>126.54</v>
      </c>
      <c r="H11" s="52">
        <v>44.74</v>
      </c>
      <c r="I11" s="52">
        <v>1.43</v>
      </c>
      <c r="J11" s="52">
        <v>0.22</v>
      </c>
      <c r="K11" s="52">
        <v>303.08999999999997</v>
      </c>
      <c r="L11" s="52">
        <v>16.34</v>
      </c>
      <c r="M11" s="52">
        <v>101</v>
      </c>
      <c r="N11" s="52">
        <v>0.9</v>
      </c>
      <c r="O11" s="52">
        <v>0</v>
      </c>
      <c r="P11" s="52">
        <v>3.2</v>
      </c>
      <c r="Q11" s="52">
        <v>399.06</v>
      </c>
      <c r="R11" s="44"/>
      <c r="S11" s="44"/>
      <c r="T11" s="44"/>
      <c r="U11" s="44"/>
    </row>
    <row r="12" spans="1:21" s="11" customFormat="1" x14ac:dyDescent="0.25">
      <c r="A12" s="51" t="s">
        <v>737</v>
      </c>
      <c r="B12" s="52">
        <v>96.68</v>
      </c>
      <c r="C12" s="52">
        <v>186.01</v>
      </c>
      <c r="D12" s="52">
        <v>180.19</v>
      </c>
      <c r="E12" s="52">
        <v>5.67</v>
      </c>
      <c r="F12" s="52">
        <v>0.79</v>
      </c>
      <c r="G12" s="52">
        <v>111.36</v>
      </c>
      <c r="H12" s="52">
        <v>46.41</v>
      </c>
      <c r="I12" s="52">
        <v>1.34</v>
      </c>
      <c r="J12" s="52">
        <v>0.14000000000000001</v>
      </c>
      <c r="K12" s="52">
        <v>308.33</v>
      </c>
      <c r="L12" s="52">
        <v>15.68</v>
      </c>
      <c r="M12" s="52">
        <v>89</v>
      </c>
      <c r="N12" s="52">
        <v>1</v>
      </c>
      <c r="O12" s="52">
        <v>0</v>
      </c>
      <c r="P12" s="52">
        <v>2.95</v>
      </c>
      <c r="Q12" s="52">
        <v>366.91</v>
      </c>
      <c r="R12" s="44"/>
      <c r="S12" s="44"/>
      <c r="T12" s="44"/>
      <c r="U12" s="44"/>
    </row>
    <row r="13" spans="1:21" s="11" customFormat="1" x14ac:dyDescent="0.25">
      <c r="A13" s="51" t="s">
        <v>738</v>
      </c>
      <c r="B13" s="52">
        <v>80.48</v>
      </c>
      <c r="C13" s="52">
        <v>162.34</v>
      </c>
      <c r="D13" s="52">
        <v>154.13999999999999</v>
      </c>
      <c r="E13" s="52">
        <v>5.52</v>
      </c>
      <c r="F13" s="52">
        <v>0.73</v>
      </c>
      <c r="G13" s="52">
        <v>114.24</v>
      </c>
      <c r="H13" s="52">
        <v>47.62</v>
      </c>
      <c r="I13" s="52">
        <v>1.25</v>
      </c>
      <c r="J13" s="52">
        <v>0.28000000000000003</v>
      </c>
      <c r="K13" s="52">
        <v>310.41000000000003</v>
      </c>
      <c r="L13" s="52">
        <v>15.72</v>
      </c>
      <c r="M13" s="52">
        <v>81</v>
      </c>
      <c r="N13" s="52">
        <v>0.9</v>
      </c>
      <c r="O13" s="52">
        <v>0</v>
      </c>
      <c r="P13" s="52">
        <v>2.73</v>
      </c>
      <c r="Q13" s="52">
        <v>345.06</v>
      </c>
      <c r="R13" s="44"/>
      <c r="S13" s="44"/>
      <c r="T13" s="44"/>
      <c r="U13" s="44"/>
    </row>
    <row r="14" spans="1:21" s="11" customFormat="1" x14ac:dyDescent="0.25">
      <c r="A14" s="51" t="s">
        <v>739</v>
      </c>
      <c r="B14" s="52">
        <v>73.39</v>
      </c>
      <c r="C14" s="52">
        <v>154.77000000000001</v>
      </c>
      <c r="D14" s="52">
        <v>144.27000000000001</v>
      </c>
      <c r="E14" s="52">
        <v>5.77</v>
      </c>
      <c r="F14" s="52">
        <v>0.66</v>
      </c>
      <c r="G14" s="52">
        <v>136.82</v>
      </c>
      <c r="H14" s="52">
        <v>46.63</v>
      </c>
      <c r="I14" s="52">
        <v>1.1399999999999999</v>
      </c>
      <c r="J14" s="52">
        <v>0.36</v>
      </c>
      <c r="K14" s="52">
        <v>277.61</v>
      </c>
      <c r="L14" s="52">
        <v>15.97</v>
      </c>
      <c r="M14" s="52">
        <v>44</v>
      </c>
      <c r="N14" s="52">
        <v>1</v>
      </c>
      <c r="O14" s="52">
        <v>0</v>
      </c>
      <c r="P14" s="52">
        <v>2.4700000000000002</v>
      </c>
      <c r="Q14" s="52">
        <v>335.08</v>
      </c>
      <c r="R14" s="44"/>
      <c r="S14" s="44"/>
      <c r="T14" s="44"/>
      <c r="U14" s="44"/>
    </row>
    <row r="15" spans="1:21" s="11" customFormat="1" x14ac:dyDescent="0.25">
      <c r="A15" s="51" t="s">
        <v>740</v>
      </c>
      <c r="B15" s="52">
        <v>54.88</v>
      </c>
      <c r="C15" s="52">
        <v>142.97999999999999</v>
      </c>
      <c r="D15" s="52">
        <v>122.92</v>
      </c>
      <c r="E15" s="52">
        <v>5.47</v>
      </c>
      <c r="F15" s="52">
        <v>0.59</v>
      </c>
      <c r="G15" s="52">
        <v>130.76</v>
      </c>
      <c r="H15" s="52">
        <v>47.56</v>
      </c>
      <c r="I15" s="52">
        <v>0.97</v>
      </c>
      <c r="J15" s="52">
        <v>0.65</v>
      </c>
      <c r="K15" s="52">
        <v>279.85000000000002</v>
      </c>
      <c r="L15" s="52">
        <v>15.94</v>
      </c>
      <c r="M15" s="52">
        <v>62</v>
      </c>
      <c r="N15" s="52">
        <v>32.700000000000003</v>
      </c>
      <c r="O15" s="52">
        <v>0</v>
      </c>
      <c r="P15" s="52">
        <v>2.25</v>
      </c>
      <c r="Q15" s="52">
        <v>308.36</v>
      </c>
      <c r="R15" s="44"/>
      <c r="S15" s="44"/>
      <c r="T15" s="44"/>
      <c r="U15" s="44"/>
    </row>
    <row r="16" spans="1:21" s="11" customFormat="1" x14ac:dyDescent="0.25">
      <c r="A16" s="51" t="s">
        <v>741</v>
      </c>
      <c r="B16" s="52">
        <v>42.11</v>
      </c>
      <c r="C16" s="52">
        <v>135.58000000000001</v>
      </c>
      <c r="D16" s="52">
        <v>108.59</v>
      </c>
      <c r="E16" s="52">
        <v>5.08</v>
      </c>
      <c r="F16" s="52">
        <v>0.74</v>
      </c>
      <c r="G16" s="52">
        <v>118.49</v>
      </c>
      <c r="H16" s="52">
        <v>47.58</v>
      </c>
      <c r="I16" s="52">
        <v>0.82</v>
      </c>
      <c r="J16" s="52">
        <v>0.75</v>
      </c>
      <c r="K16" s="52">
        <v>272.44</v>
      </c>
      <c r="L16" s="52">
        <v>19.09</v>
      </c>
      <c r="M16" s="52">
        <v>63</v>
      </c>
      <c r="N16" s="52">
        <v>200.9</v>
      </c>
      <c r="O16" s="52">
        <v>0</v>
      </c>
      <c r="P16" s="52">
        <v>2.04</v>
      </c>
      <c r="Q16" s="52">
        <v>291.74</v>
      </c>
      <c r="R16" s="44"/>
      <c r="S16" s="44"/>
      <c r="T16" s="44"/>
      <c r="U16" s="44"/>
    </row>
    <row r="17" spans="1:21" s="11" customFormat="1" x14ac:dyDescent="0.25">
      <c r="A17" s="51" t="s">
        <v>742</v>
      </c>
      <c r="B17" s="52">
        <v>35.159999999999997</v>
      </c>
      <c r="C17" s="52">
        <v>135.21</v>
      </c>
      <c r="D17" s="52">
        <v>100.24</v>
      </c>
      <c r="E17" s="52">
        <v>5.68</v>
      </c>
      <c r="F17" s="52">
        <v>1.27</v>
      </c>
      <c r="G17" s="52">
        <v>97.84</v>
      </c>
      <c r="H17" s="52">
        <v>46.41</v>
      </c>
      <c r="I17" s="52">
        <v>0.73</v>
      </c>
      <c r="J17" s="52">
        <v>0.89</v>
      </c>
      <c r="K17" s="52">
        <v>224.57</v>
      </c>
      <c r="L17" s="52">
        <v>26.26</v>
      </c>
      <c r="M17" s="52">
        <v>91</v>
      </c>
      <c r="N17" s="52">
        <v>339.8</v>
      </c>
      <c r="O17" s="52">
        <v>0</v>
      </c>
      <c r="P17" s="52">
        <v>1.93</v>
      </c>
      <c r="Q17" s="52">
        <v>286.02</v>
      </c>
      <c r="R17" s="44"/>
      <c r="S17" s="44"/>
      <c r="T17" s="44"/>
      <c r="U17" s="44"/>
    </row>
    <row r="18" spans="1:21" s="11" customFormat="1" x14ac:dyDescent="0.25">
      <c r="A18" s="51" t="s">
        <v>743</v>
      </c>
      <c r="B18" s="52">
        <v>23.96</v>
      </c>
      <c r="C18" s="52">
        <v>141.9</v>
      </c>
      <c r="D18" s="52">
        <v>95.76</v>
      </c>
      <c r="E18" s="52">
        <v>5.83</v>
      </c>
      <c r="F18" s="52">
        <v>1.1100000000000001</v>
      </c>
      <c r="G18" s="52">
        <v>101</v>
      </c>
      <c r="H18" s="52">
        <v>43.14</v>
      </c>
      <c r="I18" s="52">
        <v>0.69</v>
      </c>
      <c r="J18" s="52">
        <v>1</v>
      </c>
      <c r="K18" s="52">
        <v>161.05000000000001</v>
      </c>
      <c r="L18" s="52">
        <v>27.63</v>
      </c>
      <c r="M18" s="52">
        <v>99</v>
      </c>
      <c r="N18" s="52">
        <v>404.3</v>
      </c>
      <c r="O18" s="52">
        <v>0</v>
      </c>
      <c r="P18" s="52">
        <v>1.87</v>
      </c>
      <c r="Q18" s="52">
        <v>282.98</v>
      </c>
      <c r="R18" s="44"/>
      <c r="S18" s="44"/>
      <c r="T18" s="44"/>
      <c r="U18" s="44"/>
    </row>
    <row r="19" spans="1:21" s="11" customFormat="1" x14ac:dyDescent="0.25">
      <c r="A19" s="51" t="s">
        <v>744</v>
      </c>
      <c r="B19" s="52">
        <v>13.56</v>
      </c>
      <c r="C19" s="52">
        <v>138.26</v>
      </c>
      <c r="D19" s="52">
        <v>87.17</v>
      </c>
      <c r="E19" s="52">
        <v>6.46</v>
      </c>
      <c r="F19" s="52">
        <v>3.59</v>
      </c>
      <c r="G19" s="52">
        <v>83.69</v>
      </c>
      <c r="H19" s="52">
        <v>42.45</v>
      </c>
      <c r="I19" s="52">
        <v>0.66</v>
      </c>
      <c r="J19" s="52">
        <v>0.88</v>
      </c>
      <c r="K19" s="52">
        <v>147.99</v>
      </c>
      <c r="L19" s="52">
        <v>29.33</v>
      </c>
      <c r="M19" s="52">
        <v>93</v>
      </c>
      <c r="N19" s="52">
        <v>436.8</v>
      </c>
      <c r="O19" s="52">
        <v>0</v>
      </c>
      <c r="P19" s="52">
        <v>1.74</v>
      </c>
      <c r="Q19" s="52">
        <v>285.29000000000002</v>
      </c>
      <c r="R19" s="44"/>
      <c r="S19" s="44"/>
      <c r="T19" s="44"/>
      <c r="U19" s="44"/>
    </row>
    <row r="20" spans="1:21" s="11" customFormat="1" x14ac:dyDescent="0.25">
      <c r="A20" s="51" t="s">
        <v>745</v>
      </c>
      <c r="B20" s="52">
        <v>4.5599999999999996</v>
      </c>
      <c r="C20" s="52">
        <v>126.02</v>
      </c>
      <c r="D20" s="52">
        <v>73.2</v>
      </c>
      <c r="E20" s="52">
        <v>9.25</v>
      </c>
      <c r="F20" s="52">
        <v>8.39</v>
      </c>
      <c r="G20" s="52">
        <v>79.209999999999994</v>
      </c>
      <c r="H20" s="52">
        <v>37.369999999999997</v>
      </c>
      <c r="I20" s="52">
        <v>0.62</v>
      </c>
      <c r="J20" s="52">
        <v>1.55</v>
      </c>
      <c r="K20" s="52">
        <v>150.83000000000001</v>
      </c>
      <c r="L20" s="52">
        <v>27.71</v>
      </c>
      <c r="M20" s="52">
        <v>54</v>
      </c>
      <c r="N20" s="52">
        <v>305.39999999999998</v>
      </c>
      <c r="O20" s="52">
        <v>0</v>
      </c>
      <c r="P20" s="52">
        <v>1.55</v>
      </c>
      <c r="Q20" s="52">
        <v>249.72</v>
      </c>
      <c r="R20" s="44"/>
      <c r="S20" s="44"/>
      <c r="T20" s="44"/>
      <c r="U20" s="44"/>
    </row>
    <row r="21" spans="1:21" s="11" customFormat="1" x14ac:dyDescent="0.25">
      <c r="A21" s="51" t="s">
        <v>746</v>
      </c>
      <c r="B21" s="52">
        <v>2.99</v>
      </c>
      <c r="C21" s="52">
        <v>103.8</v>
      </c>
      <c r="D21" s="52">
        <v>59.68</v>
      </c>
      <c r="E21" s="52">
        <v>9.11</v>
      </c>
      <c r="F21" s="52">
        <v>8.7200000000000006</v>
      </c>
      <c r="G21" s="52">
        <v>75.95</v>
      </c>
      <c r="H21" s="52">
        <v>40.880000000000003</v>
      </c>
      <c r="I21" s="52">
        <v>0.51</v>
      </c>
      <c r="J21" s="52">
        <v>1.41</v>
      </c>
      <c r="K21" s="52">
        <v>142.97</v>
      </c>
      <c r="L21" s="52">
        <v>28.03</v>
      </c>
      <c r="M21" s="52">
        <v>60</v>
      </c>
      <c r="N21" s="52">
        <v>298.39999999999998</v>
      </c>
      <c r="O21" s="52">
        <v>0</v>
      </c>
      <c r="P21" s="52">
        <v>1.23</v>
      </c>
      <c r="Q21" s="52">
        <v>191.08</v>
      </c>
      <c r="R21" s="44"/>
      <c r="S21" s="44"/>
      <c r="T21" s="44"/>
      <c r="U21" s="44"/>
    </row>
    <row r="22" spans="1:21" s="11" customFormat="1" x14ac:dyDescent="0.25">
      <c r="A22" s="51" t="s">
        <v>747</v>
      </c>
      <c r="B22" s="52">
        <v>2.2400000000000002</v>
      </c>
      <c r="C22" s="52">
        <v>94.42</v>
      </c>
      <c r="D22" s="52">
        <v>53.91</v>
      </c>
      <c r="E22" s="52">
        <v>7.7</v>
      </c>
      <c r="F22" s="52">
        <v>6.95</v>
      </c>
      <c r="G22" s="52">
        <v>64.64</v>
      </c>
      <c r="H22" s="52">
        <v>37.25</v>
      </c>
      <c r="I22" s="52">
        <v>0.34</v>
      </c>
      <c r="J22" s="52">
        <v>1.31</v>
      </c>
      <c r="K22" s="52">
        <v>134.51</v>
      </c>
      <c r="L22" s="52">
        <v>28.03</v>
      </c>
      <c r="M22" s="52">
        <v>49</v>
      </c>
      <c r="N22" s="52">
        <v>248.7</v>
      </c>
      <c r="O22" s="52">
        <v>0</v>
      </c>
      <c r="P22" s="52">
        <v>0.92</v>
      </c>
      <c r="Q22" s="52">
        <v>93.98</v>
      </c>
      <c r="R22" s="44"/>
      <c r="S22" s="44"/>
      <c r="T22" s="44"/>
      <c r="U22" s="44"/>
    </row>
    <row r="23" spans="1:21" s="11" customFormat="1" x14ac:dyDescent="0.25">
      <c r="A23" s="51" t="s">
        <v>748</v>
      </c>
      <c r="B23" s="52">
        <v>3.33</v>
      </c>
      <c r="C23" s="52">
        <v>89.64</v>
      </c>
      <c r="D23" s="52">
        <v>52.14</v>
      </c>
      <c r="E23" s="52">
        <v>6.11</v>
      </c>
      <c r="F23" s="52">
        <v>9.44</v>
      </c>
      <c r="G23" s="52">
        <v>62.88</v>
      </c>
      <c r="H23" s="52">
        <v>36.26</v>
      </c>
      <c r="I23" s="52">
        <v>0.31</v>
      </c>
      <c r="J23" s="52">
        <v>0.98</v>
      </c>
      <c r="K23" s="52">
        <v>128.03</v>
      </c>
      <c r="L23" s="52">
        <v>29.08</v>
      </c>
      <c r="M23" s="52">
        <v>72</v>
      </c>
      <c r="N23" s="52">
        <v>196.8</v>
      </c>
      <c r="O23" s="52">
        <v>0</v>
      </c>
      <c r="P23" s="52">
        <v>0.86</v>
      </c>
      <c r="Q23" s="52">
        <v>101.66</v>
      </c>
      <c r="R23" s="44"/>
      <c r="S23" s="44"/>
      <c r="T23" s="44"/>
      <c r="U23" s="44"/>
    </row>
    <row r="24" spans="1:21" s="11" customFormat="1" x14ac:dyDescent="0.25">
      <c r="A24" s="51" t="s">
        <v>749</v>
      </c>
      <c r="B24" s="52">
        <v>3.52</v>
      </c>
      <c r="C24" s="52">
        <v>90.5</v>
      </c>
      <c r="D24" s="52">
        <v>52.77</v>
      </c>
      <c r="E24" s="52">
        <v>5.49</v>
      </c>
      <c r="F24" s="52">
        <v>5.56</v>
      </c>
      <c r="G24" s="52">
        <v>66.040000000000006</v>
      </c>
      <c r="H24" s="52">
        <v>35.24</v>
      </c>
      <c r="I24" s="52">
        <v>0.3</v>
      </c>
      <c r="J24" s="52">
        <v>1.29</v>
      </c>
      <c r="K24" s="52">
        <v>132.28</v>
      </c>
      <c r="L24" s="52">
        <v>27.06</v>
      </c>
      <c r="M24" s="52">
        <v>66</v>
      </c>
      <c r="N24" s="8" t="s">
        <v>8</v>
      </c>
      <c r="O24" s="52">
        <v>0</v>
      </c>
      <c r="P24" s="52">
        <v>0.8</v>
      </c>
      <c r="Q24" s="52">
        <v>103.13</v>
      </c>
      <c r="R24" s="44"/>
      <c r="S24" s="44"/>
      <c r="T24" s="44"/>
      <c r="U24" s="44"/>
    </row>
    <row r="25" spans="1:21" s="11" customFormat="1" x14ac:dyDescent="0.25">
      <c r="A25" s="51" t="s">
        <v>750</v>
      </c>
      <c r="B25" s="52">
        <v>3.66</v>
      </c>
      <c r="C25" s="52">
        <v>90.93</v>
      </c>
      <c r="D25" s="52">
        <v>53.12</v>
      </c>
      <c r="E25" s="52">
        <v>12.23</v>
      </c>
      <c r="F25" s="52">
        <v>18.89</v>
      </c>
      <c r="G25" s="52">
        <v>55.41</v>
      </c>
      <c r="H25" s="52">
        <v>30.02</v>
      </c>
      <c r="I25" s="52">
        <v>0.28999999999999998</v>
      </c>
      <c r="J25" s="52">
        <v>0.79</v>
      </c>
      <c r="K25" s="52">
        <v>145.06</v>
      </c>
      <c r="L25" s="52">
        <v>26.3</v>
      </c>
      <c r="M25" s="52">
        <v>39</v>
      </c>
      <c r="N25" s="8" t="s">
        <v>8</v>
      </c>
      <c r="O25" s="52">
        <v>0</v>
      </c>
      <c r="P25" s="52">
        <v>0.91</v>
      </c>
      <c r="Q25" s="52">
        <v>108.18</v>
      </c>
      <c r="R25" s="44"/>
      <c r="S25" s="44"/>
      <c r="T25" s="44"/>
      <c r="U25" s="44"/>
    </row>
    <row r="26" spans="1:21" s="11" customFormat="1" x14ac:dyDescent="0.25">
      <c r="A26" s="51" t="s">
        <v>751</v>
      </c>
      <c r="B26" s="52">
        <v>10.36</v>
      </c>
      <c r="C26" s="52">
        <v>100.97</v>
      </c>
      <c r="D26" s="52">
        <v>64.03</v>
      </c>
      <c r="E26" s="52">
        <v>11.62</v>
      </c>
      <c r="F26" s="52">
        <v>14.89</v>
      </c>
      <c r="G26" s="52">
        <v>60.23</v>
      </c>
      <c r="H26" s="52">
        <v>29.39</v>
      </c>
      <c r="I26" s="52">
        <v>0.38</v>
      </c>
      <c r="J26" s="52">
        <v>0.16</v>
      </c>
      <c r="K26" s="52">
        <v>205.92</v>
      </c>
      <c r="L26" s="52">
        <v>24.66</v>
      </c>
      <c r="M26" s="52">
        <v>47</v>
      </c>
      <c r="N26" s="8" t="s">
        <v>8</v>
      </c>
      <c r="O26" s="52">
        <v>0</v>
      </c>
      <c r="P26" s="52">
        <v>1.25</v>
      </c>
      <c r="Q26" s="52">
        <v>99.75</v>
      </c>
      <c r="R26" s="44"/>
      <c r="S26" s="44"/>
      <c r="T26" s="44"/>
      <c r="U26" s="44"/>
    </row>
    <row r="27" spans="1:21" s="11" customFormat="1" x14ac:dyDescent="0.25">
      <c r="A27" s="51" t="s">
        <v>752</v>
      </c>
      <c r="B27" s="52">
        <v>31.09</v>
      </c>
      <c r="C27" s="52">
        <v>113.26</v>
      </c>
      <c r="D27" s="52">
        <v>87.43</v>
      </c>
      <c r="E27" s="52">
        <v>3.99</v>
      </c>
      <c r="F27" s="52">
        <v>0.79</v>
      </c>
      <c r="G27" s="52">
        <v>162.4</v>
      </c>
      <c r="H27" s="52">
        <v>35.75</v>
      </c>
      <c r="I27" s="52">
        <v>0.56000000000000005</v>
      </c>
      <c r="J27" s="52">
        <v>0.3</v>
      </c>
      <c r="K27" s="52">
        <v>233.56</v>
      </c>
      <c r="L27" s="52">
        <v>22.06</v>
      </c>
      <c r="M27" s="52">
        <v>79</v>
      </c>
      <c r="N27" s="8" t="s">
        <v>8</v>
      </c>
      <c r="O27" s="52">
        <v>0</v>
      </c>
      <c r="P27" s="52">
        <v>1.82</v>
      </c>
      <c r="Q27" s="52">
        <v>114.49</v>
      </c>
      <c r="R27" s="44"/>
      <c r="S27" s="44"/>
      <c r="T27" s="44"/>
      <c r="U27" s="44"/>
    </row>
    <row r="28" spans="1:21" s="11" customFormat="1" x14ac:dyDescent="0.25">
      <c r="A28" s="51" t="s">
        <v>753</v>
      </c>
      <c r="B28" s="52">
        <v>32.26</v>
      </c>
      <c r="C28" s="52">
        <v>113.73</v>
      </c>
      <c r="D28" s="52">
        <v>88.64</v>
      </c>
      <c r="E28" s="52">
        <v>4.29</v>
      </c>
      <c r="F28" s="52">
        <v>0.95</v>
      </c>
      <c r="G28" s="52">
        <v>160.72999999999999</v>
      </c>
      <c r="H28" s="52">
        <v>38.840000000000003</v>
      </c>
      <c r="I28" s="52">
        <v>0.76</v>
      </c>
      <c r="J28" s="52">
        <v>0.37</v>
      </c>
      <c r="K28" s="52">
        <v>192.91</v>
      </c>
      <c r="L28" s="52">
        <v>22.29</v>
      </c>
      <c r="M28" s="52">
        <v>27</v>
      </c>
      <c r="N28" s="8" t="s">
        <v>8</v>
      </c>
      <c r="O28" s="52">
        <v>0</v>
      </c>
      <c r="P28" s="52">
        <v>2.0699999999999998</v>
      </c>
      <c r="Q28" s="52">
        <v>127.04</v>
      </c>
      <c r="R28" s="44"/>
      <c r="S28" s="44"/>
      <c r="T28" s="44"/>
      <c r="U28" s="44"/>
    </row>
    <row r="29" spans="1:21" s="11" customFormat="1" x14ac:dyDescent="0.25">
      <c r="A29" s="51" t="s">
        <v>754</v>
      </c>
      <c r="B29" s="52">
        <v>38.56</v>
      </c>
      <c r="C29" s="52">
        <v>116.35</v>
      </c>
      <c r="D29" s="52">
        <v>95.13</v>
      </c>
      <c r="E29" s="52">
        <v>4.84</v>
      </c>
      <c r="F29" s="52">
        <v>0.77</v>
      </c>
      <c r="G29" s="52">
        <v>129.74</v>
      </c>
      <c r="H29" s="52">
        <v>39.42</v>
      </c>
      <c r="I29" s="52">
        <v>0.93</v>
      </c>
      <c r="J29" s="52">
        <v>0.23</v>
      </c>
      <c r="K29" s="52">
        <v>235.27</v>
      </c>
      <c r="L29" s="52">
        <v>21.34</v>
      </c>
      <c r="M29" s="52">
        <v>93</v>
      </c>
      <c r="N29" s="8" t="s">
        <v>8</v>
      </c>
      <c r="O29" s="52">
        <v>0</v>
      </c>
      <c r="P29" s="52">
        <v>2.46</v>
      </c>
      <c r="Q29" s="52">
        <v>136.96</v>
      </c>
      <c r="R29" s="44"/>
      <c r="S29" s="44"/>
      <c r="T29" s="44"/>
      <c r="U29" s="44"/>
    </row>
    <row r="30" spans="1:21" s="11" customFormat="1" x14ac:dyDescent="0.25">
      <c r="A30" s="51" t="s">
        <v>755</v>
      </c>
      <c r="B30" s="52">
        <v>66.510000000000005</v>
      </c>
      <c r="C30" s="52">
        <v>127.34</v>
      </c>
      <c r="D30" s="52">
        <v>123.61</v>
      </c>
      <c r="E30" s="52">
        <v>4.99</v>
      </c>
      <c r="F30" s="52">
        <v>0.77</v>
      </c>
      <c r="G30" s="52">
        <v>162.72</v>
      </c>
      <c r="H30" s="52">
        <v>45.05</v>
      </c>
      <c r="I30" s="52">
        <v>1.17</v>
      </c>
      <c r="J30" s="52">
        <v>0.17</v>
      </c>
      <c r="K30" s="52">
        <v>242.89</v>
      </c>
      <c r="L30" s="52">
        <v>19.16</v>
      </c>
      <c r="M30" s="52">
        <v>90</v>
      </c>
      <c r="N30" s="8" t="s">
        <v>8</v>
      </c>
      <c r="O30" s="52">
        <v>0</v>
      </c>
      <c r="P30" s="52">
        <v>2.85</v>
      </c>
      <c r="Q30" s="52">
        <v>150.25</v>
      </c>
      <c r="R30" s="44"/>
      <c r="S30" s="44"/>
      <c r="T30" s="44"/>
      <c r="U30" s="44"/>
    </row>
    <row r="31" spans="1:21" s="11" customFormat="1" x14ac:dyDescent="0.25">
      <c r="A31" s="51" t="s">
        <v>756</v>
      </c>
      <c r="B31" s="52">
        <v>76.45</v>
      </c>
      <c r="C31" s="52">
        <v>128.13999999999999</v>
      </c>
      <c r="D31" s="52">
        <v>132.03</v>
      </c>
      <c r="E31" s="52">
        <v>5.22</v>
      </c>
      <c r="F31" s="52">
        <v>0.79</v>
      </c>
      <c r="G31" s="52">
        <v>187.76</v>
      </c>
      <c r="H31" s="52">
        <v>48.51</v>
      </c>
      <c r="I31" s="52">
        <v>1.23</v>
      </c>
      <c r="J31" s="52">
        <v>0.18</v>
      </c>
      <c r="K31" s="52">
        <v>256.36</v>
      </c>
      <c r="L31" s="52">
        <v>19.11</v>
      </c>
      <c r="M31" s="52">
        <v>85</v>
      </c>
      <c r="N31" s="8" t="s">
        <v>8</v>
      </c>
      <c r="O31" s="52">
        <v>0</v>
      </c>
      <c r="P31" s="52">
        <v>2.98</v>
      </c>
      <c r="Q31" s="52">
        <v>153.91999999999999</v>
      </c>
      <c r="R31" s="44"/>
      <c r="S31" s="44"/>
      <c r="T31" s="44"/>
      <c r="U31" s="44"/>
    </row>
    <row r="32" spans="1:21" s="11" customFormat="1" x14ac:dyDescent="0.25">
      <c r="A32" s="51" t="s">
        <v>757</v>
      </c>
      <c r="B32" s="52">
        <v>86.56</v>
      </c>
      <c r="C32" s="52">
        <v>129.41999999999999</v>
      </c>
      <c r="D32" s="52">
        <v>140.75</v>
      </c>
      <c r="E32" s="52">
        <v>5.31</v>
      </c>
      <c r="F32" s="52">
        <v>0.66</v>
      </c>
      <c r="G32" s="52">
        <v>150.03</v>
      </c>
      <c r="H32" s="52">
        <v>48</v>
      </c>
      <c r="I32" s="52">
        <v>1.28</v>
      </c>
      <c r="J32" s="52">
        <v>0.21</v>
      </c>
      <c r="K32" s="52">
        <v>272.36</v>
      </c>
      <c r="L32" s="52">
        <v>17.91</v>
      </c>
      <c r="M32" s="52">
        <v>83</v>
      </c>
      <c r="N32" s="8" t="s">
        <v>8</v>
      </c>
      <c r="O32" s="52">
        <v>0</v>
      </c>
      <c r="P32" s="52">
        <v>3.1</v>
      </c>
      <c r="Q32" s="52">
        <v>160.21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2.2400000000000002</v>
      </c>
      <c r="C34" s="28">
        <f t="shared" si="0"/>
        <v>89.64</v>
      </c>
      <c r="D34" s="28">
        <f t="shared" si="0"/>
        <v>52.14</v>
      </c>
      <c r="E34" s="28">
        <f t="shared" si="0"/>
        <v>3.99</v>
      </c>
      <c r="F34" s="28">
        <f t="shared" si="0"/>
        <v>0.59</v>
      </c>
      <c r="G34" s="28">
        <f t="shared" si="0"/>
        <v>55.41</v>
      </c>
      <c r="H34" s="28">
        <f t="shared" si="0"/>
        <v>29.39</v>
      </c>
      <c r="I34" s="28">
        <f t="shared" si="0"/>
        <v>0.28999999999999998</v>
      </c>
      <c r="J34" s="28">
        <f t="shared" si="0"/>
        <v>0.14000000000000001</v>
      </c>
      <c r="K34" s="28">
        <f t="shared" si="0"/>
        <v>128.03</v>
      </c>
      <c r="L34" s="28">
        <f t="shared" si="0"/>
        <v>15.68</v>
      </c>
      <c r="M34" s="28">
        <f t="shared" si="0"/>
        <v>27</v>
      </c>
      <c r="N34" s="28">
        <f t="shared" si="0"/>
        <v>0.9</v>
      </c>
      <c r="O34" s="28">
        <f t="shared" si="0"/>
        <v>0</v>
      </c>
      <c r="P34" s="28">
        <f t="shared" si="0"/>
        <v>0.8</v>
      </c>
      <c r="Q34" s="28">
        <f t="shared" si="0"/>
        <v>93.98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137.99</v>
      </c>
      <c r="C35" s="29">
        <f t="shared" si="1"/>
        <v>253.39</v>
      </c>
      <c r="D35" s="29">
        <f t="shared" si="1"/>
        <v>250.5</v>
      </c>
      <c r="E35" s="29">
        <f t="shared" si="1"/>
        <v>12.23</v>
      </c>
      <c r="F35" s="29">
        <f t="shared" si="1"/>
        <v>18.89</v>
      </c>
      <c r="G35" s="29">
        <f t="shared" si="1"/>
        <v>187.76</v>
      </c>
      <c r="H35" s="29">
        <f t="shared" si="1"/>
        <v>48.87</v>
      </c>
      <c r="I35" s="29">
        <f t="shared" si="1"/>
        <v>1.62</v>
      </c>
      <c r="J35" s="29">
        <f t="shared" si="1"/>
        <v>1.55</v>
      </c>
      <c r="K35" s="29">
        <f t="shared" si="1"/>
        <v>310.41000000000003</v>
      </c>
      <c r="L35" s="29">
        <f t="shared" si="1"/>
        <v>29.33</v>
      </c>
      <c r="M35" s="29">
        <f t="shared" si="1"/>
        <v>101</v>
      </c>
      <c r="N35" s="29">
        <f t="shared" si="1"/>
        <v>436.8</v>
      </c>
      <c r="O35" s="29">
        <f t="shared" si="1"/>
        <v>0</v>
      </c>
      <c r="P35" s="29">
        <f t="shared" si="1"/>
        <v>3.72</v>
      </c>
      <c r="Q35" s="29">
        <f t="shared" si="1"/>
        <v>399.06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48.856249999999996</v>
      </c>
      <c r="C36" s="28">
        <f t="shared" si="2"/>
        <v>138.55375000000001</v>
      </c>
      <c r="D36" s="28">
        <f t="shared" si="2"/>
        <v>115.45958333333334</v>
      </c>
      <c r="E36" s="28">
        <f t="shared" si="2"/>
        <v>6.3666666666666671</v>
      </c>
      <c r="F36" s="28">
        <f t="shared" si="2"/>
        <v>3.7129166666666671</v>
      </c>
      <c r="G36" s="28">
        <f t="shared" si="2"/>
        <v>113.90791666666668</v>
      </c>
      <c r="H36" s="28">
        <f t="shared" si="2"/>
        <v>42.126249999999992</v>
      </c>
      <c r="I36" s="28">
        <f t="shared" si="2"/>
        <v>0.86875000000000024</v>
      </c>
      <c r="J36" s="28">
        <f t="shared" si="2"/>
        <v>0.60833333333333339</v>
      </c>
      <c r="K36" s="28">
        <f t="shared" si="2"/>
        <v>223.35249999999999</v>
      </c>
      <c r="L36" s="28">
        <f t="shared" si="2"/>
        <v>22.004999999999999</v>
      </c>
      <c r="M36" s="28">
        <f t="shared" si="2"/>
        <v>72.541666666666671</v>
      </c>
      <c r="N36" s="28">
        <f t="shared" si="2"/>
        <v>164.64666666666665</v>
      </c>
      <c r="O36" s="28">
        <f t="shared" si="2"/>
        <v>0</v>
      </c>
      <c r="P36" s="28">
        <f t="shared" si="2"/>
        <v>2.1295833333333332</v>
      </c>
      <c r="Q36" s="28">
        <f t="shared" si="2"/>
        <v>213.22136363636358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43.284654456435774</v>
      </c>
      <c r="C37" s="28">
        <f t="shared" ref="C37:Q37" si="3">STDEV(C9:C32)</f>
        <v>44.407374222375338</v>
      </c>
      <c r="D37" s="28">
        <f t="shared" si="3"/>
        <v>57.784318805527491</v>
      </c>
      <c r="E37" s="28">
        <f t="shared" si="3"/>
        <v>2.1173520515362827</v>
      </c>
      <c r="F37" s="28">
        <f t="shared" si="3"/>
        <v>5.046983153258525</v>
      </c>
      <c r="G37" s="28">
        <f t="shared" si="3"/>
        <v>38.959526487967764</v>
      </c>
      <c r="H37" s="28">
        <f t="shared" si="3"/>
        <v>5.9396228928018955</v>
      </c>
      <c r="I37" s="28">
        <f t="shared" si="3"/>
        <v>0.41873840022869468</v>
      </c>
      <c r="J37" s="28">
        <f t="shared" si="3"/>
        <v>0.45813104890523892</v>
      </c>
      <c r="K37" s="28">
        <f t="shared" si="3"/>
        <v>65.894165028343764</v>
      </c>
      <c r="L37" s="28">
        <f t="shared" si="3"/>
        <v>5.0768254373908812</v>
      </c>
      <c r="M37" s="28">
        <f t="shared" si="3"/>
        <v>20.880569637962392</v>
      </c>
      <c r="N37" s="28">
        <f t="shared" si="3"/>
        <v>166.35128007007455</v>
      </c>
      <c r="O37" s="28">
        <f t="shared" si="3"/>
        <v>0</v>
      </c>
      <c r="P37" s="28">
        <f t="shared" si="3"/>
        <v>0.86945999816311215</v>
      </c>
      <c r="Q37" s="28">
        <f t="shared" si="3"/>
        <v>102.06510869213673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COUNT(N9:N32)+9</f>
        <v>24</v>
      </c>
      <c r="O38" s="32">
        <f t="shared" si="4"/>
        <v>24</v>
      </c>
      <c r="P38" s="32">
        <f t="shared" si="4"/>
        <v>24</v>
      </c>
      <c r="Q38" s="32">
        <f t="shared" si="4"/>
        <v>22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5" zoomScaleNormal="85" workbookViewId="0">
      <selection activeCell="N25" sqref="N25:N3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57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30-11-2022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758</v>
      </c>
      <c r="B9" s="52">
        <v>88.18</v>
      </c>
      <c r="C9" s="52">
        <v>127.89</v>
      </c>
      <c r="D9" s="52">
        <v>141.29</v>
      </c>
      <c r="E9" s="52">
        <v>5.0199999999999996</v>
      </c>
      <c r="F9" s="52">
        <v>0.56000000000000005</v>
      </c>
      <c r="G9" s="52">
        <v>159.74</v>
      </c>
      <c r="H9" s="52">
        <v>48.68</v>
      </c>
      <c r="I9" s="52">
        <v>1.3</v>
      </c>
      <c r="J9" s="52">
        <v>0.22</v>
      </c>
      <c r="K9" s="52">
        <v>296.81</v>
      </c>
      <c r="L9" s="52">
        <v>17.47</v>
      </c>
      <c r="M9" s="52">
        <v>88</v>
      </c>
      <c r="N9" s="8" t="s">
        <v>8</v>
      </c>
      <c r="O9" s="52">
        <v>0</v>
      </c>
      <c r="P9" s="52">
        <v>3.05</v>
      </c>
      <c r="Q9" s="52">
        <v>160.54</v>
      </c>
      <c r="R9" s="44"/>
      <c r="S9" s="44"/>
      <c r="T9" s="44"/>
      <c r="U9" s="44"/>
    </row>
    <row r="10" spans="1:21" s="11" customFormat="1" x14ac:dyDescent="0.25">
      <c r="A10" s="51" t="s">
        <v>759</v>
      </c>
      <c r="B10" s="52">
        <v>82.59</v>
      </c>
      <c r="C10" s="52">
        <v>113.69</v>
      </c>
      <c r="D10" s="52">
        <v>128.97</v>
      </c>
      <c r="E10" s="52">
        <v>5.15</v>
      </c>
      <c r="F10" s="52">
        <v>0.84</v>
      </c>
      <c r="G10" s="52">
        <v>132.97999999999999</v>
      </c>
      <c r="H10" s="52">
        <v>47.84</v>
      </c>
      <c r="I10" s="52">
        <v>1.25</v>
      </c>
      <c r="J10" s="52">
        <v>0.22</v>
      </c>
      <c r="K10" s="52">
        <v>300.05</v>
      </c>
      <c r="L10" s="52">
        <v>16.920000000000002</v>
      </c>
      <c r="M10" s="52">
        <v>77</v>
      </c>
      <c r="N10" s="8" t="s">
        <v>8</v>
      </c>
      <c r="O10" s="52">
        <v>0</v>
      </c>
      <c r="P10" s="52">
        <v>2.82</v>
      </c>
      <c r="Q10" s="52">
        <v>155.63999999999999</v>
      </c>
      <c r="R10" s="44"/>
      <c r="S10" s="44"/>
      <c r="T10" s="44"/>
      <c r="U10" s="44"/>
    </row>
    <row r="11" spans="1:21" s="11" customFormat="1" x14ac:dyDescent="0.25">
      <c r="A11" s="51" t="s">
        <v>760</v>
      </c>
      <c r="B11" s="52">
        <v>71.739999999999995</v>
      </c>
      <c r="C11" s="52">
        <v>104.53</v>
      </c>
      <c r="D11" s="52">
        <v>115.22</v>
      </c>
      <c r="E11" s="52">
        <v>5.0599999999999996</v>
      </c>
      <c r="F11" s="52">
        <v>0.68</v>
      </c>
      <c r="G11" s="52">
        <v>119.43</v>
      </c>
      <c r="H11" s="52">
        <v>49</v>
      </c>
      <c r="I11" s="52">
        <v>1.19</v>
      </c>
      <c r="J11" s="52">
        <v>0.15</v>
      </c>
      <c r="K11" s="52">
        <v>289.7</v>
      </c>
      <c r="L11" s="52">
        <v>16.78</v>
      </c>
      <c r="M11" s="52">
        <v>72</v>
      </c>
      <c r="N11" s="8" t="s">
        <v>8</v>
      </c>
      <c r="O11" s="52">
        <v>0</v>
      </c>
      <c r="P11" s="52">
        <v>2.72</v>
      </c>
      <c r="Q11" s="52">
        <v>150.13999999999999</v>
      </c>
      <c r="R11" s="44"/>
      <c r="S11" s="44"/>
      <c r="T11" s="44"/>
      <c r="U11" s="44"/>
    </row>
    <row r="12" spans="1:21" s="11" customFormat="1" x14ac:dyDescent="0.25">
      <c r="A12" s="51" t="s">
        <v>761</v>
      </c>
      <c r="B12" s="52">
        <v>57.63</v>
      </c>
      <c r="C12" s="52">
        <v>98.66</v>
      </c>
      <c r="D12" s="52">
        <v>100.66</v>
      </c>
      <c r="E12" s="52">
        <v>5.03</v>
      </c>
      <c r="F12" s="52">
        <v>0.56000000000000005</v>
      </c>
      <c r="G12" s="52">
        <v>132.25</v>
      </c>
      <c r="H12" s="52">
        <v>51.98</v>
      </c>
      <c r="I12" s="52">
        <v>1.1499999999999999</v>
      </c>
      <c r="J12" s="52">
        <v>0.16</v>
      </c>
      <c r="K12" s="52">
        <v>309.02</v>
      </c>
      <c r="L12" s="52">
        <v>16.13</v>
      </c>
      <c r="M12" s="52">
        <v>79</v>
      </c>
      <c r="N12" s="8" t="s">
        <v>8</v>
      </c>
      <c r="O12" s="52">
        <v>0</v>
      </c>
      <c r="P12" s="52">
        <v>2.54</v>
      </c>
      <c r="Q12" s="52">
        <v>145.49</v>
      </c>
      <c r="R12" s="44"/>
      <c r="S12" s="44"/>
      <c r="T12" s="44"/>
      <c r="U12" s="44"/>
    </row>
    <row r="13" spans="1:21" s="11" customFormat="1" x14ac:dyDescent="0.25">
      <c r="A13" s="51" t="s">
        <v>762</v>
      </c>
      <c r="B13" s="52">
        <v>45.73</v>
      </c>
      <c r="C13" s="52">
        <v>91.15</v>
      </c>
      <c r="D13" s="52">
        <v>86.97</v>
      </c>
      <c r="E13" s="52">
        <v>5.13</v>
      </c>
      <c r="F13" s="52">
        <v>0.67</v>
      </c>
      <c r="G13" s="52">
        <v>146.53</v>
      </c>
      <c r="H13" s="52">
        <v>55.58</v>
      </c>
      <c r="I13" s="52">
        <v>1.07</v>
      </c>
      <c r="J13" s="52">
        <v>0.41</v>
      </c>
      <c r="K13" s="52">
        <v>295.04000000000002</v>
      </c>
      <c r="L13" s="52">
        <v>16.64</v>
      </c>
      <c r="M13" s="52">
        <v>40</v>
      </c>
      <c r="N13" s="8" t="s">
        <v>8</v>
      </c>
      <c r="O13" s="52">
        <v>0</v>
      </c>
      <c r="P13" s="52">
        <v>2.39</v>
      </c>
      <c r="Q13" s="52">
        <v>139.58000000000001</v>
      </c>
      <c r="R13" s="44"/>
      <c r="S13" s="44"/>
      <c r="T13" s="44"/>
      <c r="U13" s="44"/>
    </row>
    <row r="14" spans="1:21" s="11" customFormat="1" x14ac:dyDescent="0.25">
      <c r="A14" s="51" t="s">
        <v>763</v>
      </c>
      <c r="B14" s="52">
        <v>36.51</v>
      </c>
      <c r="C14" s="52">
        <v>85.37</v>
      </c>
      <c r="D14" s="52">
        <v>76.39</v>
      </c>
      <c r="E14" s="52">
        <v>4.6399999999999997</v>
      </c>
      <c r="F14" s="52">
        <v>0.75</v>
      </c>
      <c r="G14" s="52">
        <v>160.69</v>
      </c>
      <c r="H14" s="52">
        <v>57.74</v>
      </c>
      <c r="I14" s="52">
        <v>0.96</v>
      </c>
      <c r="J14" s="52">
        <v>0.28999999999999998</v>
      </c>
      <c r="K14" s="52">
        <v>271.76</v>
      </c>
      <c r="L14" s="52">
        <v>16.489999999999998</v>
      </c>
      <c r="M14" s="52">
        <v>41</v>
      </c>
      <c r="N14" s="8" t="s">
        <v>8</v>
      </c>
      <c r="O14" s="52">
        <v>0</v>
      </c>
      <c r="P14" s="52">
        <v>2.27</v>
      </c>
      <c r="Q14" s="52">
        <v>134.44</v>
      </c>
      <c r="R14" s="44"/>
      <c r="S14" s="44"/>
      <c r="T14" s="44"/>
      <c r="U14" s="44"/>
    </row>
    <row r="15" spans="1:21" s="11" customFormat="1" x14ac:dyDescent="0.25">
      <c r="A15" s="51" t="s">
        <v>764</v>
      </c>
      <c r="B15" s="52">
        <v>32.020000000000003</v>
      </c>
      <c r="C15" s="52">
        <v>85.52</v>
      </c>
      <c r="D15" s="52">
        <v>72.87</v>
      </c>
      <c r="E15" s="52">
        <v>4.63</v>
      </c>
      <c r="F15" s="52">
        <v>0.82</v>
      </c>
      <c r="G15" s="52">
        <v>117.84</v>
      </c>
      <c r="H15" s="52">
        <v>51.73</v>
      </c>
      <c r="I15" s="52">
        <v>0.82</v>
      </c>
      <c r="J15" s="52">
        <v>0.27</v>
      </c>
      <c r="K15" s="52">
        <v>289.33</v>
      </c>
      <c r="L15" s="52">
        <v>16.14</v>
      </c>
      <c r="M15" s="52">
        <v>68</v>
      </c>
      <c r="N15" s="8" t="s">
        <v>8</v>
      </c>
      <c r="O15" s="52">
        <v>0</v>
      </c>
      <c r="P15" s="52">
        <v>2.04</v>
      </c>
      <c r="Q15" s="52">
        <v>132.06</v>
      </c>
      <c r="R15" s="44"/>
      <c r="S15" s="44"/>
      <c r="T15" s="44"/>
      <c r="U15" s="44"/>
    </row>
    <row r="16" spans="1:21" s="11" customFormat="1" x14ac:dyDescent="0.25">
      <c r="A16" s="51" t="s">
        <v>765</v>
      </c>
      <c r="B16" s="52">
        <v>43.55</v>
      </c>
      <c r="C16" s="52">
        <v>94.27</v>
      </c>
      <c r="D16" s="52">
        <v>86.95</v>
      </c>
      <c r="E16" s="52">
        <v>5.22</v>
      </c>
      <c r="F16" s="52">
        <v>0.68</v>
      </c>
      <c r="G16" s="52">
        <v>131</v>
      </c>
      <c r="H16" s="52">
        <v>51.13</v>
      </c>
      <c r="I16" s="52">
        <v>0.73</v>
      </c>
      <c r="J16" s="52">
        <v>0.46</v>
      </c>
      <c r="K16" s="52">
        <v>280.39</v>
      </c>
      <c r="L16" s="52">
        <v>20.420000000000002</v>
      </c>
      <c r="M16" s="52">
        <v>85</v>
      </c>
      <c r="N16" s="52">
        <v>71.7</v>
      </c>
      <c r="O16" s="52">
        <v>0</v>
      </c>
      <c r="P16" s="52">
        <v>1.9</v>
      </c>
      <c r="Q16" s="52">
        <v>135.80000000000001</v>
      </c>
      <c r="R16" s="44"/>
      <c r="S16" s="44"/>
      <c r="T16" s="44"/>
      <c r="U16" s="44"/>
    </row>
    <row r="17" spans="1:21" s="11" customFormat="1" x14ac:dyDescent="0.25">
      <c r="A17" s="51" t="s">
        <v>766</v>
      </c>
      <c r="B17" s="52">
        <v>44.08</v>
      </c>
      <c r="C17" s="52">
        <v>95.7</v>
      </c>
      <c r="D17" s="52">
        <v>88.03</v>
      </c>
      <c r="E17" s="52">
        <v>4.51</v>
      </c>
      <c r="F17" s="52">
        <v>0.81</v>
      </c>
      <c r="G17" s="52">
        <v>118.03</v>
      </c>
      <c r="H17" s="52">
        <v>50.6</v>
      </c>
      <c r="I17" s="52">
        <v>0.72</v>
      </c>
      <c r="J17" s="52">
        <v>0.68</v>
      </c>
      <c r="K17" s="52">
        <v>218.19</v>
      </c>
      <c r="L17" s="52">
        <v>22.95</v>
      </c>
      <c r="M17" s="52">
        <v>65</v>
      </c>
      <c r="N17" s="52">
        <v>189.8</v>
      </c>
      <c r="O17" s="52">
        <v>0</v>
      </c>
      <c r="P17" s="52">
        <v>1.85</v>
      </c>
      <c r="Q17" s="52">
        <v>138.07</v>
      </c>
      <c r="R17" s="44"/>
      <c r="S17" s="44"/>
      <c r="T17" s="44"/>
      <c r="U17" s="44"/>
    </row>
    <row r="18" spans="1:21" s="11" customFormat="1" x14ac:dyDescent="0.25">
      <c r="A18" s="51" t="s">
        <v>767</v>
      </c>
      <c r="B18" s="52">
        <v>37.520000000000003</v>
      </c>
      <c r="C18" s="52">
        <v>98.77</v>
      </c>
      <c r="D18" s="52">
        <v>83.01</v>
      </c>
      <c r="E18" s="52">
        <v>5.28</v>
      </c>
      <c r="F18" s="52">
        <v>0.92</v>
      </c>
      <c r="G18" s="52">
        <v>109.99</v>
      </c>
      <c r="H18" s="52">
        <v>49.92</v>
      </c>
      <c r="I18" s="52">
        <v>0.67</v>
      </c>
      <c r="J18" s="52">
        <v>1.41</v>
      </c>
      <c r="K18" s="52">
        <v>188.98</v>
      </c>
      <c r="L18" s="52">
        <v>27.19</v>
      </c>
      <c r="M18" s="52">
        <v>94</v>
      </c>
      <c r="N18" s="52">
        <v>249</v>
      </c>
      <c r="O18" s="52">
        <v>0</v>
      </c>
      <c r="P18" s="52">
        <v>1.74</v>
      </c>
      <c r="Q18" s="52">
        <v>133.77000000000001</v>
      </c>
      <c r="R18" s="44"/>
      <c r="S18" s="44"/>
      <c r="T18" s="44"/>
      <c r="U18" s="44"/>
    </row>
    <row r="19" spans="1:21" s="11" customFormat="1" x14ac:dyDescent="0.25">
      <c r="A19" s="51" t="s">
        <v>768</v>
      </c>
      <c r="B19" s="52">
        <v>27.77</v>
      </c>
      <c r="C19" s="52">
        <v>96.73</v>
      </c>
      <c r="D19" s="52">
        <v>75.66</v>
      </c>
      <c r="E19" s="52">
        <v>5.08</v>
      </c>
      <c r="F19" s="52">
        <v>4.09</v>
      </c>
      <c r="G19" s="52">
        <v>94.03</v>
      </c>
      <c r="H19" s="52">
        <v>46.74</v>
      </c>
      <c r="I19" s="52">
        <v>0.61</v>
      </c>
      <c r="J19" s="52">
        <v>1.35</v>
      </c>
      <c r="K19" s="52">
        <v>172.4</v>
      </c>
      <c r="L19" s="52">
        <v>26.43</v>
      </c>
      <c r="M19" s="52">
        <v>55</v>
      </c>
      <c r="N19" s="52">
        <v>289.8</v>
      </c>
      <c r="O19" s="52">
        <v>0</v>
      </c>
      <c r="P19" s="52">
        <v>1.59</v>
      </c>
      <c r="Q19" s="52">
        <v>132.77000000000001</v>
      </c>
      <c r="R19" s="44"/>
      <c r="S19" s="44"/>
      <c r="T19" s="44"/>
      <c r="U19" s="44"/>
    </row>
    <row r="20" spans="1:21" s="11" customFormat="1" x14ac:dyDescent="0.25">
      <c r="A20" s="51" t="s">
        <v>769</v>
      </c>
      <c r="B20" s="52">
        <v>6.7</v>
      </c>
      <c r="C20" s="52">
        <v>92.89</v>
      </c>
      <c r="D20" s="52">
        <v>56.63</v>
      </c>
      <c r="E20" s="52">
        <v>10.1</v>
      </c>
      <c r="F20" s="52">
        <v>11.31</v>
      </c>
      <c r="G20" s="18" t="s">
        <v>12</v>
      </c>
      <c r="H20" s="18" t="s">
        <v>12</v>
      </c>
      <c r="I20" s="52">
        <v>0.56000000000000005</v>
      </c>
      <c r="J20" s="52">
        <v>1.26</v>
      </c>
      <c r="K20" s="52">
        <v>164.52</v>
      </c>
      <c r="L20" s="52">
        <v>29.87</v>
      </c>
      <c r="M20" s="52">
        <v>77</v>
      </c>
      <c r="N20" s="52">
        <v>304.89999999999998</v>
      </c>
      <c r="O20" s="52">
        <v>0</v>
      </c>
      <c r="P20" s="52">
        <v>1.29</v>
      </c>
      <c r="Q20" s="52">
        <v>112.25</v>
      </c>
      <c r="R20" s="44"/>
      <c r="S20" s="44"/>
      <c r="T20" s="44"/>
      <c r="U20" s="44"/>
    </row>
    <row r="21" spans="1:21" s="11" customFormat="1" x14ac:dyDescent="0.25">
      <c r="A21" s="51" t="s">
        <v>770</v>
      </c>
      <c r="B21" s="52">
        <v>2.08</v>
      </c>
      <c r="C21" s="52">
        <v>75.56</v>
      </c>
      <c r="D21" s="52">
        <v>43.9</v>
      </c>
      <c r="E21" s="52">
        <v>6.27</v>
      </c>
      <c r="F21" s="52">
        <v>10.26</v>
      </c>
      <c r="G21" s="52">
        <v>56.57</v>
      </c>
      <c r="H21" s="52">
        <v>51.81</v>
      </c>
      <c r="I21" s="52">
        <v>0.4</v>
      </c>
      <c r="J21" s="52">
        <v>1.1000000000000001</v>
      </c>
      <c r="K21" s="52">
        <v>147.43</v>
      </c>
      <c r="L21" s="52">
        <v>28.65</v>
      </c>
      <c r="M21" s="52">
        <v>69</v>
      </c>
      <c r="N21" s="52">
        <v>299.2</v>
      </c>
      <c r="O21" s="52">
        <v>0</v>
      </c>
      <c r="P21" s="52">
        <v>1.04</v>
      </c>
      <c r="Q21" s="52">
        <v>88.14</v>
      </c>
      <c r="R21" s="44"/>
      <c r="S21" s="44"/>
      <c r="T21" s="44"/>
      <c r="U21" s="44"/>
    </row>
    <row r="22" spans="1:21" s="11" customFormat="1" x14ac:dyDescent="0.25">
      <c r="A22" s="51" t="s">
        <v>771</v>
      </c>
      <c r="B22" s="52">
        <v>1.75</v>
      </c>
      <c r="C22" s="52">
        <v>68.88</v>
      </c>
      <c r="D22" s="52">
        <v>39.17</v>
      </c>
      <c r="E22" s="52">
        <v>6.79</v>
      </c>
      <c r="F22" s="52">
        <v>10.71</v>
      </c>
      <c r="G22" s="52">
        <v>57.03</v>
      </c>
      <c r="H22" s="52">
        <v>51.81</v>
      </c>
      <c r="I22" s="52">
        <v>0.28000000000000003</v>
      </c>
      <c r="J22" s="52">
        <v>1.39</v>
      </c>
      <c r="K22" s="52">
        <v>142.08000000000001</v>
      </c>
      <c r="L22" s="52">
        <v>30.2</v>
      </c>
      <c r="M22" s="52">
        <v>87</v>
      </c>
      <c r="N22" s="52">
        <v>285.10000000000002</v>
      </c>
      <c r="O22" s="52">
        <v>0</v>
      </c>
      <c r="P22" s="52">
        <v>0.87</v>
      </c>
      <c r="Q22" s="52">
        <v>88.29</v>
      </c>
      <c r="R22" s="44"/>
      <c r="S22" s="44"/>
      <c r="T22" s="44"/>
      <c r="U22" s="44"/>
    </row>
    <row r="23" spans="1:21" s="11" customFormat="1" x14ac:dyDescent="0.25">
      <c r="A23" s="51" t="s">
        <v>772</v>
      </c>
      <c r="B23" s="52">
        <v>2.12</v>
      </c>
      <c r="C23" s="52">
        <v>75.400000000000006</v>
      </c>
      <c r="D23" s="52">
        <v>43.31</v>
      </c>
      <c r="E23" s="52">
        <v>9.31</v>
      </c>
      <c r="F23" s="52">
        <v>19.66</v>
      </c>
      <c r="G23" s="52">
        <v>60.61</v>
      </c>
      <c r="H23" s="52">
        <v>42.49</v>
      </c>
      <c r="I23" s="52">
        <v>0.26</v>
      </c>
      <c r="J23" s="52">
        <v>0.52</v>
      </c>
      <c r="K23" s="52">
        <v>116.67</v>
      </c>
      <c r="L23" s="52">
        <v>31.48</v>
      </c>
      <c r="M23" s="52">
        <v>86</v>
      </c>
      <c r="N23" s="52">
        <v>213.6</v>
      </c>
      <c r="O23" s="52">
        <v>0</v>
      </c>
      <c r="P23" s="52">
        <v>1.02</v>
      </c>
      <c r="Q23" s="52">
        <v>94.4</v>
      </c>
      <c r="R23" s="44"/>
      <c r="S23" s="44"/>
      <c r="T23" s="44"/>
      <c r="U23" s="44"/>
    </row>
    <row r="24" spans="1:21" s="11" customFormat="1" x14ac:dyDescent="0.25">
      <c r="A24" s="51" t="s">
        <v>773</v>
      </c>
      <c r="B24" s="52">
        <v>2.11</v>
      </c>
      <c r="C24" s="52">
        <v>84.32</v>
      </c>
      <c r="D24" s="52">
        <v>47.87</v>
      </c>
      <c r="E24" s="52">
        <v>12.92</v>
      </c>
      <c r="F24" s="52">
        <v>30.69</v>
      </c>
      <c r="G24" s="52">
        <v>60.61</v>
      </c>
      <c r="H24" s="52">
        <v>40.47</v>
      </c>
      <c r="I24" s="52">
        <v>0.28000000000000003</v>
      </c>
      <c r="J24" s="52">
        <v>0.52</v>
      </c>
      <c r="K24" s="52">
        <v>133.93</v>
      </c>
      <c r="L24" s="52">
        <v>30.37</v>
      </c>
      <c r="M24" s="52">
        <v>87</v>
      </c>
      <c r="N24" s="52">
        <v>93.1</v>
      </c>
      <c r="O24" s="52">
        <v>0</v>
      </c>
      <c r="P24" s="52">
        <v>1.02</v>
      </c>
      <c r="Q24" s="52">
        <v>95.94</v>
      </c>
      <c r="R24" s="44"/>
      <c r="S24" s="44"/>
      <c r="T24" s="44"/>
      <c r="U24" s="44"/>
    </row>
    <row r="25" spans="1:21" s="11" customFormat="1" x14ac:dyDescent="0.25">
      <c r="A25" s="51" t="s">
        <v>774</v>
      </c>
      <c r="B25" s="52">
        <v>1.79</v>
      </c>
      <c r="C25" s="52">
        <v>87.66</v>
      </c>
      <c r="D25" s="52">
        <v>49.81</v>
      </c>
      <c r="E25" s="52">
        <v>6.72</v>
      </c>
      <c r="F25" s="52">
        <v>14.53</v>
      </c>
      <c r="G25" s="52">
        <v>60.21</v>
      </c>
      <c r="H25" s="52">
        <v>40.47</v>
      </c>
      <c r="I25" s="52">
        <v>0.27</v>
      </c>
      <c r="J25" s="52">
        <v>0.31</v>
      </c>
      <c r="K25" s="52">
        <v>172.37</v>
      </c>
      <c r="L25" s="52">
        <v>27.62</v>
      </c>
      <c r="M25" s="52">
        <v>81</v>
      </c>
      <c r="N25" s="8" t="s">
        <v>8</v>
      </c>
      <c r="O25" s="52">
        <v>0</v>
      </c>
      <c r="P25" s="52">
        <v>1.02</v>
      </c>
      <c r="Q25" s="52">
        <v>84.3</v>
      </c>
      <c r="R25" s="44"/>
      <c r="S25" s="44"/>
      <c r="T25" s="44"/>
      <c r="U25" s="44"/>
    </row>
    <row r="26" spans="1:21" s="11" customFormat="1" x14ac:dyDescent="0.25">
      <c r="A26" s="51" t="s">
        <v>775</v>
      </c>
      <c r="B26" s="52">
        <v>10.34</v>
      </c>
      <c r="C26" s="52">
        <v>97.07</v>
      </c>
      <c r="D26" s="52">
        <v>61.87</v>
      </c>
      <c r="E26" s="52">
        <v>4.8899999999999997</v>
      </c>
      <c r="F26" s="52">
        <v>3.08</v>
      </c>
      <c r="G26" s="52">
        <v>76.83</v>
      </c>
      <c r="H26" s="52">
        <v>41.36</v>
      </c>
      <c r="I26" s="52">
        <v>0.35</v>
      </c>
      <c r="J26" s="52">
        <v>0.56000000000000005</v>
      </c>
      <c r="K26" s="52">
        <v>196.78</v>
      </c>
      <c r="L26" s="52">
        <v>24.54</v>
      </c>
      <c r="M26" s="52">
        <v>90</v>
      </c>
      <c r="N26" s="8" t="s">
        <v>8</v>
      </c>
      <c r="O26" s="52">
        <v>0</v>
      </c>
      <c r="P26" s="52">
        <v>1.45</v>
      </c>
      <c r="Q26" s="52">
        <v>99.32</v>
      </c>
      <c r="R26" s="44"/>
      <c r="S26" s="44"/>
      <c r="T26" s="44"/>
      <c r="U26" s="44"/>
    </row>
    <row r="27" spans="1:21" s="11" customFormat="1" x14ac:dyDescent="0.25">
      <c r="A27" s="51" t="s">
        <v>776</v>
      </c>
      <c r="B27" s="52">
        <v>18.350000000000001</v>
      </c>
      <c r="C27" s="52">
        <v>102.71</v>
      </c>
      <c r="D27" s="52">
        <v>71.400000000000006</v>
      </c>
      <c r="E27" s="52">
        <v>4.84</v>
      </c>
      <c r="F27" s="52">
        <v>1.1000000000000001</v>
      </c>
      <c r="G27" s="52">
        <v>153.58000000000001</v>
      </c>
      <c r="H27" s="52">
        <v>44.31</v>
      </c>
      <c r="I27" s="52">
        <v>0.51</v>
      </c>
      <c r="J27" s="52">
        <v>0.26</v>
      </c>
      <c r="K27" s="52">
        <v>211.24</v>
      </c>
      <c r="L27" s="52">
        <v>22.98</v>
      </c>
      <c r="M27" s="52">
        <v>90</v>
      </c>
      <c r="N27" s="8" t="s">
        <v>8</v>
      </c>
      <c r="O27" s="52">
        <v>0</v>
      </c>
      <c r="P27" s="52">
        <v>1.83</v>
      </c>
      <c r="Q27" s="52">
        <v>114.07</v>
      </c>
      <c r="R27" s="44"/>
      <c r="S27" s="44"/>
      <c r="T27" s="44"/>
      <c r="U27" s="44"/>
    </row>
    <row r="28" spans="1:21" s="11" customFormat="1" x14ac:dyDescent="0.25">
      <c r="A28" s="51" t="s">
        <v>777</v>
      </c>
      <c r="B28" s="52">
        <v>23.94</v>
      </c>
      <c r="C28" s="52">
        <v>109.34</v>
      </c>
      <c r="D28" s="52">
        <v>79.540000000000006</v>
      </c>
      <c r="E28" s="52">
        <v>4.72</v>
      </c>
      <c r="F28" s="52">
        <v>0.98</v>
      </c>
      <c r="G28" s="52">
        <v>183.72</v>
      </c>
      <c r="H28" s="52">
        <v>51.49</v>
      </c>
      <c r="I28" s="52">
        <v>0.66</v>
      </c>
      <c r="J28" s="52">
        <v>0.31</v>
      </c>
      <c r="K28" s="52">
        <v>211.18</v>
      </c>
      <c r="L28" s="52">
        <v>22.95</v>
      </c>
      <c r="M28" s="52">
        <v>76</v>
      </c>
      <c r="N28" s="8" t="s">
        <v>8</v>
      </c>
      <c r="O28" s="52">
        <v>0</v>
      </c>
      <c r="P28" s="52">
        <v>2.25</v>
      </c>
      <c r="Q28" s="52">
        <v>116.4</v>
      </c>
      <c r="R28" s="44"/>
      <c r="S28" s="44"/>
      <c r="T28" s="44"/>
      <c r="U28" s="44"/>
    </row>
    <row r="29" spans="1:21" s="11" customFormat="1" x14ac:dyDescent="0.25">
      <c r="A29" s="51" t="s">
        <v>778</v>
      </c>
      <c r="B29" s="52">
        <v>34.880000000000003</v>
      </c>
      <c r="C29" s="52">
        <v>118.79</v>
      </c>
      <c r="D29" s="52">
        <v>93.53</v>
      </c>
      <c r="E29" s="52">
        <v>5.1100000000000003</v>
      </c>
      <c r="F29" s="52">
        <v>0.95</v>
      </c>
      <c r="G29" s="52">
        <v>202.59</v>
      </c>
      <c r="H29" s="52">
        <v>57.53</v>
      </c>
      <c r="I29" s="52">
        <v>0.91</v>
      </c>
      <c r="J29" s="52">
        <v>0.3</v>
      </c>
      <c r="K29" s="52">
        <v>215.86</v>
      </c>
      <c r="L29" s="52">
        <v>22.08</v>
      </c>
      <c r="M29" s="52">
        <v>26</v>
      </c>
      <c r="N29" s="8" t="s">
        <v>8</v>
      </c>
      <c r="O29" s="52">
        <v>0</v>
      </c>
      <c r="P29" s="52">
        <v>2.89</v>
      </c>
      <c r="Q29" s="52">
        <v>128.41999999999999</v>
      </c>
      <c r="R29" s="44"/>
      <c r="S29" s="44"/>
      <c r="T29" s="44"/>
      <c r="U29" s="44"/>
    </row>
    <row r="30" spans="1:21" s="11" customFormat="1" x14ac:dyDescent="0.25">
      <c r="A30" s="51" t="s">
        <v>779</v>
      </c>
      <c r="B30" s="52">
        <v>36.65</v>
      </c>
      <c r="C30" s="52">
        <v>120.99</v>
      </c>
      <c r="D30" s="52">
        <v>96.16</v>
      </c>
      <c r="E30" s="52">
        <v>5.31</v>
      </c>
      <c r="F30" s="52">
        <v>0.8</v>
      </c>
      <c r="G30" s="52">
        <v>202.59</v>
      </c>
      <c r="H30" s="52">
        <v>62.17</v>
      </c>
      <c r="I30" s="52">
        <v>1.21</v>
      </c>
      <c r="J30" s="52">
        <v>0.23</v>
      </c>
      <c r="K30" s="52">
        <v>241.36</v>
      </c>
      <c r="L30" s="52">
        <v>21.75</v>
      </c>
      <c r="M30" s="52">
        <v>80</v>
      </c>
      <c r="N30" s="8" t="s">
        <v>8</v>
      </c>
      <c r="O30" s="52">
        <v>0</v>
      </c>
      <c r="P30" s="52">
        <v>3.26</v>
      </c>
      <c r="Q30" s="52">
        <v>133.88</v>
      </c>
      <c r="R30" s="44"/>
      <c r="S30" s="44"/>
      <c r="T30" s="44"/>
      <c r="U30" s="44"/>
    </row>
    <row r="31" spans="1:21" s="11" customFormat="1" x14ac:dyDescent="0.25">
      <c r="A31" s="51" t="s">
        <v>780</v>
      </c>
      <c r="B31" s="52">
        <v>52.34</v>
      </c>
      <c r="C31" s="52">
        <v>124.04</v>
      </c>
      <c r="D31" s="52">
        <v>110.43</v>
      </c>
      <c r="E31" s="52">
        <v>5.3</v>
      </c>
      <c r="F31" s="52">
        <v>0.72</v>
      </c>
      <c r="G31" s="52">
        <v>178.41</v>
      </c>
      <c r="H31" s="52">
        <v>64.5</v>
      </c>
      <c r="I31" s="52">
        <v>1.38</v>
      </c>
      <c r="J31" s="52">
        <v>0.19</v>
      </c>
      <c r="K31" s="52">
        <v>270.58</v>
      </c>
      <c r="L31" s="52">
        <v>20.03</v>
      </c>
      <c r="M31" s="52">
        <v>89</v>
      </c>
      <c r="N31" s="8" t="s">
        <v>8</v>
      </c>
      <c r="O31" s="52">
        <v>0</v>
      </c>
      <c r="P31" s="52">
        <v>3.59</v>
      </c>
      <c r="Q31" s="52">
        <v>137.34</v>
      </c>
      <c r="R31" s="44"/>
      <c r="S31" s="44"/>
      <c r="T31" s="44"/>
      <c r="U31" s="44"/>
    </row>
    <row r="32" spans="1:21" s="11" customFormat="1" x14ac:dyDescent="0.25">
      <c r="A32" s="51" t="s">
        <v>781</v>
      </c>
      <c r="B32" s="52">
        <v>91.04</v>
      </c>
      <c r="C32" s="52">
        <v>136.05000000000001</v>
      </c>
      <c r="D32" s="52">
        <v>148.1</v>
      </c>
      <c r="E32" s="52">
        <v>5.23</v>
      </c>
      <c r="F32" s="52">
        <v>0.8</v>
      </c>
      <c r="G32" s="52">
        <v>223.96</v>
      </c>
      <c r="H32" s="52">
        <v>66.47</v>
      </c>
      <c r="I32" s="52">
        <v>1.46</v>
      </c>
      <c r="J32" s="52">
        <v>0.25</v>
      </c>
      <c r="K32" s="52">
        <v>284.93</v>
      </c>
      <c r="L32" s="52">
        <v>18.59</v>
      </c>
      <c r="M32" s="52">
        <v>87</v>
      </c>
      <c r="N32" s="8" t="s">
        <v>8</v>
      </c>
      <c r="O32" s="52">
        <v>0</v>
      </c>
      <c r="P32" s="52">
        <v>3.82</v>
      </c>
      <c r="Q32" s="52">
        <v>148.26</v>
      </c>
      <c r="R32" s="44"/>
      <c r="S32" s="44"/>
      <c r="T32" s="44"/>
      <c r="U32" s="44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1.75</v>
      </c>
      <c r="C34" s="28">
        <f t="shared" si="0"/>
        <v>68.88</v>
      </c>
      <c r="D34" s="28">
        <f t="shared" si="0"/>
        <v>39.17</v>
      </c>
      <c r="E34" s="28">
        <f t="shared" si="0"/>
        <v>4.51</v>
      </c>
      <c r="F34" s="28">
        <f t="shared" si="0"/>
        <v>0.56000000000000005</v>
      </c>
      <c r="G34" s="28">
        <f t="shared" si="0"/>
        <v>56.57</v>
      </c>
      <c r="H34" s="28">
        <f t="shared" si="0"/>
        <v>40.47</v>
      </c>
      <c r="I34" s="28">
        <f t="shared" si="0"/>
        <v>0.26</v>
      </c>
      <c r="J34" s="28">
        <f t="shared" si="0"/>
        <v>0.15</v>
      </c>
      <c r="K34" s="28">
        <f t="shared" si="0"/>
        <v>116.67</v>
      </c>
      <c r="L34" s="28">
        <f t="shared" si="0"/>
        <v>16.13</v>
      </c>
      <c r="M34" s="28">
        <f t="shared" si="0"/>
        <v>26</v>
      </c>
      <c r="N34" s="28">
        <f t="shared" si="0"/>
        <v>71.7</v>
      </c>
      <c r="O34" s="28">
        <f t="shared" si="0"/>
        <v>0</v>
      </c>
      <c r="P34" s="28">
        <f t="shared" si="0"/>
        <v>0.87</v>
      </c>
      <c r="Q34" s="28">
        <f t="shared" si="0"/>
        <v>84.3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91.04</v>
      </c>
      <c r="C35" s="29">
        <f t="shared" si="1"/>
        <v>136.05000000000001</v>
      </c>
      <c r="D35" s="29">
        <f t="shared" si="1"/>
        <v>148.1</v>
      </c>
      <c r="E35" s="29">
        <f t="shared" si="1"/>
        <v>12.92</v>
      </c>
      <c r="F35" s="29">
        <f t="shared" si="1"/>
        <v>30.69</v>
      </c>
      <c r="G35" s="29">
        <f t="shared" si="1"/>
        <v>223.96</v>
      </c>
      <c r="H35" s="29">
        <f t="shared" si="1"/>
        <v>66.47</v>
      </c>
      <c r="I35" s="29">
        <f t="shared" si="1"/>
        <v>1.46</v>
      </c>
      <c r="J35" s="29">
        <f t="shared" si="1"/>
        <v>1.41</v>
      </c>
      <c r="K35" s="29">
        <f t="shared" si="1"/>
        <v>309.02</v>
      </c>
      <c r="L35" s="29">
        <f t="shared" si="1"/>
        <v>31.48</v>
      </c>
      <c r="M35" s="29">
        <f t="shared" si="1"/>
        <v>94</v>
      </c>
      <c r="N35" s="29">
        <f t="shared" si="1"/>
        <v>304.89999999999998</v>
      </c>
      <c r="O35" s="29">
        <f t="shared" si="1"/>
        <v>0</v>
      </c>
      <c r="P35" s="29">
        <f t="shared" si="1"/>
        <v>3.82</v>
      </c>
      <c r="Q35" s="29">
        <f t="shared" si="1"/>
        <v>160.54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35.475416666666668</v>
      </c>
      <c r="C36" s="28">
        <f t="shared" si="2"/>
        <v>99.415833333333339</v>
      </c>
      <c r="D36" s="28">
        <f t="shared" si="2"/>
        <v>83.239166666666662</v>
      </c>
      <c r="E36" s="28">
        <f t="shared" si="2"/>
        <v>5.9274999999999993</v>
      </c>
      <c r="F36" s="28">
        <f t="shared" si="2"/>
        <v>4.8737500000000002</v>
      </c>
      <c r="G36" s="28">
        <f t="shared" si="2"/>
        <v>127.79217391304347</v>
      </c>
      <c r="H36" s="28">
        <f t="shared" si="2"/>
        <v>51.122608695652183</v>
      </c>
      <c r="I36" s="28">
        <f t="shared" si="2"/>
        <v>0.79166666666666663</v>
      </c>
      <c r="J36" s="28">
        <f t="shared" si="2"/>
        <v>0.53416666666666679</v>
      </c>
      <c r="K36" s="28">
        <f t="shared" si="2"/>
        <v>225.85833333333332</v>
      </c>
      <c r="L36" s="28">
        <f t="shared" si="2"/>
        <v>22.694583333333338</v>
      </c>
      <c r="M36" s="28">
        <f t="shared" si="2"/>
        <v>74.541666666666671</v>
      </c>
      <c r="N36" s="28">
        <f t="shared" si="2"/>
        <v>221.79999999999998</v>
      </c>
      <c r="O36" s="28">
        <f t="shared" si="2"/>
        <v>0</v>
      </c>
      <c r="P36" s="28">
        <f t="shared" si="2"/>
        <v>2.0941666666666667</v>
      </c>
      <c r="Q36" s="28">
        <f t="shared" si="2"/>
        <v>124.97125000000001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27.973117060487024</v>
      </c>
      <c r="C37" s="28">
        <f t="shared" ref="C37:Q37" si="3">STDEV(C9:C32)</f>
        <v>17.369268442622523</v>
      </c>
      <c r="D37" s="28">
        <f t="shared" si="3"/>
        <v>30.245502707972488</v>
      </c>
      <c r="E37" s="28">
        <f t="shared" si="3"/>
        <v>2.0376142272595286</v>
      </c>
      <c r="F37" s="28">
        <f t="shared" si="3"/>
        <v>7.6722185513709134</v>
      </c>
      <c r="G37" s="28">
        <f t="shared" si="3"/>
        <v>51.033068686928338</v>
      </c>
      <c r="H37" s="28">
        <f t="shared" si="3"/>
        <v>7.1630714700730636</v>
      </c>
      <c r="I37" s="28">
        <f t="shared" si="3"/>
        <v>0.38886307712821389</v>
      </c>
      <c r="J37" s="28">
        <f t="shared" si="3"/>
        <v>0.42691936583801876</v>
      </c>
      <c r="K37" s="28">
        <f t="shared" si="3"/>
        <v>61.493288899766561</v>
      </c>
      <c r="L37" s="28">
        <f t="shared" si="3"/>
        <v>5.228045589740562</v>
      </c>
      <c r="M37" s="28">
        <f t="shared" si="3"/>
        <v>17.798336919539693</v>
      </c>
      <c r="N37" s="28">
        <f t="shared" si="3"/>
        <v>88.354428298755977</v>
      </c>
      <c r="O37" s="28">
        <f t="shared" si="3"/>
        <v>0</v>
      </c>
      <c r="P37" s="28">
        <f t="shared" si="3"/>
        <v>0.86136351295447633</v>
      </c>
      <c r="Q37" s="28">
        <f t="shared" si="3"/>
        <v>22.815847336312356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COUNT(C9:C32)+1</f>
        <v>25</v>
      </c>
      <c r="D38" s="32">
        <f t="shared" si="4"/>
        <v>24</v>
      </c>
      <c r="E38" s="32">
        <f>COUNT(E9:E32)+1</f>
        <v>25</v>
      </c>
      <c r="F38" s="32">
        <f>COUNT(F9:F32)+1</f>
        <v>25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9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&lt;90%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LESS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tabSelected="1"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B51" sqref="B51:P51"/>
    </sheetView>
  </sheetViews>
  <sheetFormatPr defaultColWidth="8.85546875" defaultRowHeight="15" x14ac:dyDescent="0.25"/>
  <cols>
    <col min="1" max="1" width="17.42578125" style="11" customWidth="1"/>
    <col min="2" max="2" width="17.85546875" style="11" customWidth="1"/>
    <col min="3" max="3" width="9.85546875" style="11" customWidth="1"/>
    <col min="4" max="4" width="12.5703125" style="11" customWidth="1"/>
    <col min="5" max="5" width="9.7109375" style="11" customWidth="1"/>
    <col min="6" max="6" width="8.85546875" style="11"/>
    <col min="7" max="7" width="11.28515625" style="11" customWidth="1"/>
    <col min="8" max="8" width="12.42578125" style="11" customWidth="1"/>
    <col min="9" max="9" width="13" style="11" customWidth="1"/>
    <col min="10" max="10" width="8.85546875" style="11"/>
    <col min="11" max="11" width="9.7109375" style="11" customWidth="1"/>
    <col min="12" max="12" width="11" style="11" customWidth="1"/>
    <col min="13" max="13" width="10" style="11" customWidth="1"/>
    <col min="14" max="16" width="8.85546875" style="11"/>
    <col min="17" max="17" width="9.7109375" style="11" customWidth="1"/>
    <col min="18" max="18" width="8.85546875" style="11"/>
    <col min="19" max="19" width="12.140625" style="11" customWidth="1"/>
    <col min="20" max="20" width="12.7109375" style="11" customWidth="1"/>
    <col min="21" max="16384" width="8.85546875" style="11"/>
  </cols>
  <sheetData>
    <row r="1" spans="1:21" s="21" customFormat="1" ht="26.25" x14ac:dyDescent="0.25">
      <c r="A1" s="14" t="s">
        <v>2</v>
      </c>
      <c r="B1" s="23" t="s">
        <v>57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01-11-2022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5" t="s">
        <v>41</v>
      </c>
      <c r="C7" s="45" t="s">
        <v>42</v>
      </c>
      <c r="D7" s="45" t="s">
        <v>43</v>
      </c>
      <c r="E7" s="45" t="s">
        <v>44</v>
      </c>
      <c r="F7" s="45" t="s">
        <v>45</v>
      </c>
      <c r="G7" s="45" t="s">
        <v>46</v>
      </c>
      <c r="H7" s="45" t="s">
        <v>47</v>
      </c>
      <c r="I7" s="45" t="s">
        <v>48</v>
      </c>
      <c r="J7" s="45" t="s">
        <v>49</v>
      </c>
      <c r="K7" s="45" t="s">
        <v>50</v>
      </c>
      <c r="L7" s="45" t="s">
        <v>51</v>
      </c>
      <c r="M7" s="45" t="s">
        <v>52</v>
      </c>
      <c r="N7" s="45" t="s">
        <v>53</v>
      </c>
      <c r="O7" s="45" t="s">
        <v>54</v>
      </c>
      <c r="P7" s="45" t="s">
        <v>55</v>
      </c>
      <c r="Q7" s="45" t="s">
        <v>56</v>
      </c>
      <c r="R7" s="27"/>
      <c r="S7" s="29"/>
      <c r="T7" s="27"/>
      <c r="U7" s="27"/>
    </row>
    <row r="8" spans="1:21" s="21" customFormat="1" x14ac:dyDescent="0.25">
      <c r="A8" s="25"/>
      <c r="B8" s="29" t="s">
        <v>22</v>
      </c>
      <c r="C8" s="29" t="s">
        <v>22</v>
      </c>
      <c r="D8" s="29" t="s">
        <v>22</v>
      </c>
      <c r="E8" s="29" t="s">
        <v>22</v>
      </c>
      <c r="F8" s="29" t="s">
        <v>22</v>
      </c>
      <c r="G8" s="29" t="s">
        <v>22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23</v>
      </c>
      <c r="Q8" s="29" t="s">
        <v>22</v>
      </c>
      <c r="R8" s="27"/>
      <c r="S8" s="29"/>
      <c r="T8" s="27"/>
      <c r="U8" s="27"/>
    </row>
    <row r="9" spans="1:21" x14ac:dyDescent="0.25">
      <c r="A9" s="36" t="str">
        <f>'01'!$B$2</f>
        <v>01-11-2022 01:00</v>
      </c>
      <c r="B9" s="24">
        <f>'01'!B36</f>
        <v>39.810833333333328</v>
      </c>
      <c r="C9" s="24">
        <f>'01'!C36</f>
        <v>159.0279166666667</v>
      </c>
      <c r="D9" s="24">
        <f>'01'!D36</f>
        <v>118.93208333333332</v>
      </c>
      <c r="E9" s="24">
        <f>'01'!E36</f>
        <v>70.296666666666667</v>
      </c>
      <c r="F9" s="24">
        <f>'01'!F36</f>
        <v>57.856666666666655</v>
      </c>
      <c r="G9" s="24">
        <f>'01'!G36</f>
        <v>191.17416666666668</v>
      </c>
      <c r="H9" s="24">
        <f>'01'!H36</f>
        <v>75.889166666666668</v>
      </c>
      <c r="I9" s="24">
        <f>'01'!I36</f>
        <v>0.50041666666666673</v>
      </c>
      <c r="J9" s="24">
        <f>'01'!J36</f>
        <v>0.57458333333333311</v>
      </c>
      <c r="K9" s="24">
        <f>'01'!K36</f>
        <v>153.92041666666668</v>
      </c>
      <c r="L9" s="8" t="s">
        <v>8</v>
      </c>
      <c r="M9" s="8" t="s">
        <v>8</v>
      </c>
      <c r="N9" s="24">
        <f>'01'!N36</f>
        <v>197.88750000000002</v>
      </c>
      <c r="O9" s="24">
        <f>'01'!O36</f>
        <v>0</v>
      </c>
      <c r="P9" s="30">
        <f>'01'!$P$36</f>
        <v>1.79125</v>
      </c>
      <c r="Q9" s="24">
        <f>'01'!Q36</f>
        <v>105.52541666666667</v>
      </c>
      <c r="R9" s="46"/>
      <c r="S9" s="46"/>
      <c r="T9" s="46"/>
      <c r="U9" s="47"/>
    </row>
    <row r="10" spans="1:21" s="34" customFormat="1" x14ac:dyDescent="0.25">
      <c r="A10" s="36" t="str">
        <f>'02'!$B$2</f>
        <v>02-11-2022 01:00</v>
      </c>
      <c r="B10" s="33">
        <f>'02'!B36</f>
        <v>29.199000000000002</v>
      </c>
      <c r="C10" s="33">
        <f>'02'!C36</f>
        <v>137.89300000000003</v>
      </c>
      <c r="D10" s="33">
        <f>'02'!D36</f>
        <v>99.251999999999995</v>
      </c>
      <c r="E10" s="33">
        <f>'02'!E36</f>
        <v>101.92700000000001</v>
      </c>
      <c r="F10" s="33">
        <f>'02'!F36</f>
        <v>25.218999999999998</v>
      </c>
      <c r="G10" s="33">
        <f>'02'!G36</f>
        <v>267.62900000000002</v>
      </c>
      <c r="H10" s="33">
        <f>'02'!H36</f>
        <v>104.90599999999999</v>
      </c>
      <c r="I10" s="33">
        <f>'02'!I36</f>
        <v>0.31555555555555553</v>
      </c>
      <c r="J10" s="33">
        <f>'02'!J36</f>
        <v>0.90800000000000003</v>
      </c>
      <c r="K10" s="33">
        <f>'02'!K36</f>
        <v>139.077</v>
      </c>
      <c r="L10" s="8" t="s">
        <v>8</v>
      </c>
      <c r="M10" s="8" t="s">
        <v>8</v>
      </c>
      <c r="N10" s="33">
        <f>'02'!N36</f>
        <v>100.9</v>
      </c>
      <c r="O10" s="33">
        <f>'02'!O36</f>
        <v>0</v>
      </c>
      <c r="P10" s="30">
        <f>'02'!$P$36</f>
        <v>1.6519999999999999</v>
      </c>
      <c r="Q10" s="33">
        <f>'02'!Q36</f>
        <v>135.94800000000001</v>
      </c>
      <c r="R10" s="48"/>
      <c r="S10" s="48"/>
      <c r="T10" s="48"/>
      <c r="U10" s="48"/>
    </row>
    <row r="11" spans="1:21" s="34" customFormat="1" x14ac:dyDescent="0.25">
      <c r="A11" s="36" t="str">
        <f>'03'!$B$2</f>
        <v>03-11-2022 01:00</v>
      </c>
      <c r="B11" s="3" t="s">
        <v>4</v>
      </c>
      <c r="C11" s="3" t="s">
        <v>4</v>
      </c>
      <c r="D11" s="3" t="s">
        <v>4</v>
      </c>
      <c r="E11" s="3" t="s">
        <v>4</v>
      </c>
      <c r="F11" s="3" t="s">
        <v>4</v>
      </c>
      <c r="G11" s="3" t="s">
        <v>4</v>
      </c>
      <c r="H11" s="3" t="s">
        <v>4</v>
      </c>
      <c r="I11" s="3" t="s">
        <v>4</v>
      </c>
      <c r="J11" s="3" t="s">
        <v>4</v>
      </c>
      <c r="K11" s="3" t="s">
        <v>4</v>
      </c>
      <c r="L11" s="3" t="s">
        <v>4</v>
      </c>
      <c r="M11" s="3" t="s">
        <v>4</v>
      </c>
      <c r="N11" s="3" t="s">
        <v>4</v>
      </c>
      <c r="O11" s="3" t="s">
        <v>4</v>
      </c>
      <c r="P11" s="3" t="s">
        <v>4</v>
      </c>
      <c r="Q11" s="3" t="s">
        <v>4</v>
      </c>
      <c r="R11" s="48"/>
      <c r="S11" s="48"/>
      <c r="T11" s="48"/>
      <c r="U11" s="48"/>
    </row>
    <row r="12" spans="1:21" s="34" customFormat="1" x14ac:dyDescent="0.25">
      <c r="A12" s="36" t="str">
        <f>'04'!$B$2</f>
        <v>04-11-2022 01:00</v>
      </c>
      <c r="B12" s="3" t="s">
        <v>4</v>
      </c>
      <c r="C12" s="3" t="s">
        <v>4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48"/>
      <c r="S12" s="48"/>
      <c r="T12" s="48"/>
      <c r="U12" s="48"/>
    </row>
    <row r="13" spans="1:21" s="34" customFormat="1" x14ac:dyDescent="0.25">
      <c r="A13" s="36" t="str">
        <f>'05'!$B$2</f>
        <v>05-11-2022 01:00</v>
      </c>
      <c r="B13" s="3" t="s">
        <v>4</v>
      </c>
      <c r="C13" s="3" t="s">
        <v>4</v>
      </c>
      <c r="D13" s="3" t="s">
        <v>4</v>
      </c>
      <c r="E13" s="3" t="s">
        <v>4</v>
      </c>
      <c r="F13" s="3" t="s">
        <v>4</v>
      </c>
      <c r="G13" s="3" t="s">
        <v>4</v>
      </c>
      <c r="H13" s="3" t="s">
        <v>4</v>
      </c>
      <c r="I13" s="3" t="s">
        <v>4</v>
      </c>
      <c r="J13" s="3" t="s">
        <v>4</v>
      </c>
      <c r="K13" s="3" t="s">
        <v>4</v>
      </c>
      <c r="L13" s="3" t="s">
        <v>4</v>
      </c>
      <c r="M13" s="3" t="s">
        <v>4</v>
      </c>
      <c r="N13" s="3" t="s">
        <v>4</v>
      </c>
      <c r="O13" s="3" t="s">
        <v>4</v>
      </c>
      <c r="P13" s="3" t="s">
        <v>4</v>
      </c>
      <c r="Q13" s="3" t="s">
        <v>4</v>
      </c>
      <c r="R13" s="48"/>
      <c r="S13" s="48"/>
      <c r="T13" s="48"/>
      <c r="U13" s="48"/>
    </row>
    <row r="14" spans="1:21" s="34" customFormat="1" x14ac:dyDescent="0.25">
      <c r="A14" s="36" t="str">
        <f>'06'!$B$2</f>
        <v>06-11-2022 01:00</v>
      </c>
      <c r="B14" s="3" t="s">
        <v>4</v>
      </c>
      <c r="C14" s="3" t="s">
        <v>4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48"/>
      <c r="S14" s="48"/>
      <c r="T14" s="48"/>
      <c r="U14" s="48"/>
    </row>
    <row r="15" spans="1:21" s="34" customFormat="1" x14ac:dyDescent="0.25">
      <c r="A15" s="36" t="str">
        <f>'07'!$B$2</f>
        <v>07-11-2022 01:00</v>
      </c>
      <c r="B15" s="3" t="s">
        <v>4</v>
      </c>
      <c r="C15" s="3" t="s">
        <v>4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48"/>
      <c r="S15" s="48"/>
      <c r="T15" s="48"/>
      <c r="U15" s="48"/>
    </row>
    <row r="16" spans="1:21" s="34" customFormat="1" x14ac:dyDescent="0.25">
      <c r="A16" s="36" t="str">
        <f>'08'!$B$2</f>
        <v>08-11-2022 01:00</v>
      </c>
      <c r="B16" s="3" t="s">
        <v>4</v>
      </c>
      <c r="C16" s="3" t="s">
        <v>4</v>
      </c>
      <c r="D16" s="3" t="s">
        <v>4</v>
      </c>
      <c r="E16" s="3" t="s">
        <v>4</v>
      </c>
      <c r="F16" s="3" t="s">
        <v>4</v>
      </c>
      <c r="G16" s="3" t="s">
        <v>4</v>
      </c>
      <c r="H16" s="3" t="s">
        <v>4</v>
      </c>
      <c r="I16" s="3" t="s">
        <v>4</v>
      </c>
      <c r="J16" s="3" t="s">
        <v>4</v>
      </c>
      <c r="K16" s="3" t="s">
        <v>4</v>
      </c>
      <c r="L16" s="3" t="s">
        <v>4</v>
      </c>
      <c r="M16" s="3" t="s">
        <v>4</v>
      </c>
      <c r="N16" s="3" t="s">
        <v>4</v>
      </c>
      <c r="O16" s="3" t="s">
        <v>4</v>
      </c>
      <c r="P16" s="3" t="s">
        <v>4</v>
      </c>
      <c r="Q16" s="3" t="s">
        <v>4</v>
      </c>
      <c r="R16" s="48"/>
      <c r="S16" s="48"/>
      <c r="T16" s="48"/>
      <c r="U16" s="48"/>
    </row>
    <row r="17" spans="1:24" s="34" customFormat="1" x14ac:dyDescent="0.25">
      <c r="A17" s="36" t="str">
        <f>'09'!$B$2</f>
        <v>09-11-2022 01:00</v>
      </c>
      <c r="B17" s="3" t="s">
        <v>4</v>
      </c>
      <c r="C17" s="3" t="s">
        <v>4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48"/>
      <c r="S17" s="48"/>
      <c r="T17" s="48"/>
      <c r="U17" s="48"/>
      <c r="V17" s="35"/>
      <c r="W17" s="35"/>
      <c r="X17" s="35"/>
    </row>
    <row r="18" spans="1:24" s="34" customFormat="1" x14ac:dyDescent="0.25">
      <c r="A18" s="36" t="str">
        <f>'10'!$B$2</f>
        <v>10-11-2022 01:00</v>
      </c>
      <c r="B18" s="33">
        <f>'10'!B36</f>
        <v>21.094583333333333</v>
      </c>
      <c r="C18" s="33">
        <f>'10'!C36</f>
        <v>91.845416666666665</v>
      </c>
      <c r="D18" s="33">
        <f>'10'!D36</f>
        <v>66.940000000000012</v>
      </c>
      <c r="E18" s="33">
        <f>'10'!E36</f>
        <v>8.74</v>
      </c>
      <c r="F18" s="33">
        <f>'10'!F36</f>
        <v>5.6845833333333333</v>
      </c>
      <c r="G18" s="33">
        <f>'10'!G36</f>
        <v>215.94500000000002</v>
      </c>
      <c r="H18" s="33">
        <f>'10'!H36</f>
        <v>82.881666666666675</v>
      </c>
      <c r="I18" s="33">
        <f>'10'!I36</f>
        <v>0.77124999999999988</v>
      </c>
      <c r="J18" s="33">
        <f>'10'!J36</f>
        <v>1.2816666666666667</v>
      </c>
      <c r="K18" s="33">
        <f>'10'!K36</f>
        <v>164.70124999999999</v>
      </c>
      <c r="L18" s="8" t="s">
        <v>8</v>
      </c>
      <c r="M18" s="8" t="s">
        <v>8</v>
      </c>
      <c r="N18" s="33">
        <f>'10'!N36</f>
        <v>189.76666666666662</v>
      </c>
      <c r="O18" s="33">
        <f>'10'!O36</f>
        <v>0</v>
      </c>
      <c r="P18" s="30">
        <f>'10'!$P$36</f>
        <v>1.4279166666666667</v>
      </c>
      <c r="Q18" s="33">
        <f>'10'!Q36</f>
        <v>190.56999999999994</v>
      </c>
      <c r="R18" s="48"/>
      <c r="S18" s="48"/>
      <c r="T18" s="48"/>
      <c r="U18" s="48"/>
    </row>
    <row r="19" spans="1:24" s="34" customFormat="1" x14ac:dyDescent="0.25">
      <c r="A19" s="36" t="str">
        <f>'11'!$B$2</f>
        <v>11-11-2022 01:00</v>
      </c>
      <c r="B19" s="33">
        <f>'11'!B36</f>
        <v>28.402083333333337</v>
      </c>
      <c r="C19" s="33">
        <f>'11'!C36</f>
        <v>95.670416666666696</v>
      </c>
      <c r="D19" s="33">
        <f>'11'!D36</f>
        <v>75.289583333333326</v>
      </c>
      <c r="E19" s="33">
        <f>'11'!E36</f>
        <v>6.5470833333333331</v>
      </c>
      <c r="F19" s="33">
        <f>'11'!F36</f>
        <v>2.8774999999999999</v>
      </c>
      <c r="G19" s="33">
        <f>'11'!G36</f>
        <v>188.14458333333334</v>
      </c>
      <c r="H19" s="33">
        <f>'11'!H36</f>
        <v>70.773333333333341</v>
      </c>
      <c r="I19" s="33">
        <f>'11'!I36</f>
        <v>0.80875000000000019</v>
      </c>
      <c r="J19" s="33">
        <f>'11'!J36</f>
        <v>0.75083333333333335</v>
      </c>
      <c r="K19" s="33">
        <f>'11'!K36</f>
        <v>168.25041666666667</v>
      </c>
      <c r="L19" s="9" t="s">
        <v>15</v>
      </c>
      <c r="M19" s="9" t="s">
        <v>15</v>
      </c>
      <c r="N19" s="33">
        <f>'11'!N36</f>
        <v>215.76250000000002</v>
      </c>
      <c r="O19" s="33">
        <f>'11'!O36</f>
        <v>0</v>
      </c>
      <c r="P19" s="33">
        <f>'11'!P36</f>
        <v>1.3891666666666669</v>
      </c>
      <c r="Q19" s="33">
        <f>'11'!Q36</f>
        <v>192.9579166666667</v>
      </c>
      <c r="R19" s="48"/>
      <c r="S19" s="48"/>
      <c r="T19" s="48"/>
      <c r="U19" s="48"/>
    </row>
    <row r="20" spans="1:24" s="34" customFormat="1" x14ac:dyDescent="0.25">
      <c r="A20" s="36" t="str">
        <f>'12'!$B$2</f>
        <v>12-11-2022 01:00</v>
      </c>
      <c r="B20" s="33">
        <f>'12'!B36</f>
        <v>19.774583333333329</v>
      </c>
      <c r="C20" s="33">
        <f>'12'!C36</f>
        <v>99.119583333333352</v>
      </c>
      <c r="D20" s="33">
        <f>'12'!D36</f>
        <v>69.744166666666658</v>
      </c>
      <c r="E20" s="33">
        <f>'12'!E36</f>
        <v>6.3554166666666658</v>
      </c>
      <c r="F20" s="33">
        <f>'12'!F36</f>
        <v>3.9958333333333336</v>
      </c>
      <c r="G20" s="33">
        <f>'12'!G36</f>
        <v>207.18999999999997</v>
      </c>
      <c r="H20" s="33">
        <f>'12'!H36</f>
        <v>74.964583333333337</v>
      </c>
      <c r="I20" s="33">
        <f>'12'!I36</f>
        <v>0.72541666666666671</v>
      </c>
      <c r="J20" s="33">
        <f>'12'!J36</f>
        <v>0.73583333333333334</v>
      </c>
      <c r="K20" s="33">
        <f>'12'!K36</f>
        <v>107.90625000000001</v>
      </c>
      <c r="L20" s="9" t="s">
        <v>15</v>
      </c>
      <c r="M20" s="9" t="s">
        <v>15</v>
      </c>
      <c r="N20" s="33">
        <f>'12'!N36</f>
        <v>192.07499999999996</v>
      </c>
      <c r="O20" s="33">
        <f>'12'!O36</f>
        <v>0</v>
      </c>
      <c r="P20" s="33">
        <f>'12'!P36</f>
        <v>1.5816666666666663</v>
      </c>
      <c r="Q20" s="33">
        <f>'12'!Q36</f>
        <v>168.34875</v>
      </c>
      <c r="R20" s="48"/>
      <c r="S20" s="48"/>
      <c r="T20" s="48"/>
      <c r="U20" s="48"/>
    </row>
    <row r="21" spans="1:24" s="34" customFormat="1" x14ac:dyDescent="0.25">
      <c r="A21" s="36" t="str">
        <f>'13'!$B$2</f>
        <v>13-11-2022 01:00</v>
      </c>
      <c r="B21" s="33">
        <f>'13'!B36</f>
        <v>17.489999999999998</v>
      </c>
      <c r="C21" s="33">
        <f>'13'!C36</f>
        <v>91.303749999999994</v>
      </c>
      <c r="D21" s="33">
        <f>'13'!D36</f>
        <v>64.306249999999991</v>
      </c>
      <c r="E21" s="33">
        <f>'13'!E36</f>
        <v>5.1612499999999999</v>
      </c>
      <c r="F21" s="33">
        <f>'13'!F36</f>
        <v>2.5379166666666664</v>
      </c>
      <c r="G21" s="33">
        <f>'13'!G36</f>
        <v>182.81625</v>
      </c>
      <c r="H21" s="33">
        <f>'13'!H36</f>
        <v>71.666249999999991</v>
      </c>
      <c r="I21" s="33">
        <f>'13'!I36</f>
        <v>0.75041666666666673</v>
      </c>
      <c r="J21" s="33">
        <f>'13'!J36</f>
        <v>0.63333333333333319</v>
      </c>
      <c r="K21" s="33">
        <f>'13'!K36</f>
        <v>140.70333333333332</v>
      </c>
      <c r="L21" s="9" t="s">
        <v>15</v>
      </c>
      <c r="M21" s="9" t="s">
        <v>15</v>
      </c>
      <c r="N21" s="33">
        <f>'13'!N36</f>
        <v>206.21666666666667</v>
      </c>
      <c r="O21" s="33">
        <f>'13'!O36</f>
        <v>0</v>
      </c>
      <c r="P21" s="33">
        <f>'13'!P36</f>
        <v>1.6249999999999998</v>
      </c>
      <c r="Q21" s="33">
        <f>'13'!Q36</f>
        <v>154.30791666666667</v>
      </c>
      <c r="R21" s="48"/>
      <c r="S21" s="48"/>
      <c r="T21" s="48"/>
      <c r="U21" s="48"/>
    </row>
    <row r="22" spans="1:24" s="34" customFormat="1" x14ac:dyDescent="0.25">
      <c r="A22" s="36" t="str">
        <f>'14'!$B$2</f>
        <v>14-11-2022 01:00</v>
      </c>
      <c r="B22" s="30">
        <f>'14'!B36</f>
        <v>45.341249999999995</v>
      </c>
      <c r="C22" s="30">
        <f>'14'!C36</f>
        <v>129.30916666666664</v>
      </c>
      <c r="D22" s="30">
        <f>'14'!D36</f>
        <v>107.41458333333333</v>
      </c>
      <c r="E22" s="30">
        <f>'14'!E36</f>
        <v>10.190416666666668</v>
      </c>
      <c r="F22" s="30">
        <f>'14'!F36</f>
        <v>4.5437499999999993</v>
      </c>
      <c r="G22" s="30">
        <f>'14'!G36</f>
        <v>159.90411764705883</v>
      </c>
      <c r="H22" s="30">
        <f>'14'!H36</f>
        <v>73.64</v>
      </c>
      <c r="I22" s="30">
        <f>'14'!I36</f>
        <v>0.73958333333333348</v>
      </c>
      <c r="J22" s="30">
        <f>'14'!J36</f>
        <v>0.58916666666666673</v>
      </c>
      <c r="K22" s="30">
        <f>'14'!K36</f>
        <v>207.41958333333332</v>
      </c>
      <c r="L22" s="9" t="s">
        <v>15</v>
      </c>
      <c r="M22" s="9" t="s">
        <v>15</v>
      </c>
      <c r="N22" s="30">
        <f>'14'!N36</f>
        <v>220.19999999999996</v>
      </c>
      <c r="O22" s="30">
        <f>'14'!O36</f>
        <v>0</v>
      </c>
      <c r="P22" s="30">
        <f>'14'!P36</f>
        <v>1.59</v>
      </c>
      <c r="Q22" s="30">
        <f>'14'!Q36</f>
        <v>146.70499999999998</v>
      </c>
      <c r="R22" s="49"/>
      <c r="S22" s="49"/>
      <c r="T22" s="49"/>
      <c r="U22" s="49"/>
    </row>
    <row r="23" spans="1:24" s="34" customFormat="1" x14ac:dyDescent="0.25">
      <c r="A23" s="36" t="str">
        <f>'15'!$B$2</f>
        <v>15-11-2022 01:00</v>
      </c>
      <c r="B23" s="33">
        <f>'15'!B36</f>
        <v>72.858750000000001</v>
      </c>
      <c r="C23" s="33">
        <f>'15'!C36</f>
        <v>153.45708333333332</v>
      </c>
      <c r="D23" s="33">
        <f>'15'!D36</f>
        <v>142.84583333333333</v>
      </c>
      <c r="E23" s="33">
        <f>'15'!E36</f>
        <v>5.694583333333334</v>
      </c>
      <c r="F23" s="33">
        <f>'15'!F36</f>
        <v>4.3775000000000004</v>
      </c>
      <c r="G23" s="33">
        <f>'15'!G36</f>
        <v>149.59312500000001</v>
      </c>
      <c r="H23" s="33">
        <f>'15'!H36</f>
        <v>73.285624999999982</v>
      </c>
      <c r="I23" s="33">
        <f>'15'!I36</f>
        <v>0.87249999999999972</v>
      </c>
      <c r="J23" s="33">
        <f>'15'!J36</f>
        <v>0.51541666666666675</v>
      </c>
      <c r="K23" s="33">
        <f>'15'!K36</f>
        <v>228.23791666666668</v>
      </c>
      <c r="L23" s="9" t="s">
        <v>15</v>
      </c>
      <c r="M23" s="9" t="s">
        <v>15</v>
      </c>
      <c r="N23" s="33">
        <f>'15'!N36</f>
        <v>203.75000000000003</v>
      </c>
      <c r="O23" s="33">
        <f>'15'!O36</f>
        <v>0</v>
      </c>
      <c r="P23" s="30">
        <f>'15'!P36</f>
        <v>1.8991666666666667</v>
      </c>
      <c r="Q23" s="30">
        <f>'15'!Q36</f>
        <v>174.21</v>
      </c>
      <c r="R23" s="49"/>
      <c r="S23" s="49"/>
      <c r="T23" s="49"/>
      <c r="U23" s="48"/>
    </row>
    <row r="24" spans="1:24" s="34" customFormat="1" x14ac:dyDescent="0.25">
      <c r="A24" s="36" t="str">
        <f>'16'!$B$2</f>
        <v>16-11-2022 01:00</v>
      </c>
      <c r="B24" s="33">
        <f>'16'!B36</f>
        <v>84.977500000000006</v>
      </c>
      <c r="C24" s="33">
        <f>'16'!C36</f>
        <v>161.71041666666665</v>
      </c>
      <c r="D24" s="33">
        <f>'16'!D36</f>
        <v>157.01666666666668</v>
      </c>
      <c r="E24" s="33">
        <f>'16'!E36</f>
        <v>5.8025000000000011</v>
      </c>
      <c r="F24" s="33">
        <f>'16'!F36</f>
        <v>3.1225000000000001</v>
      </c>
      <c r="G24" s="33">
        <f>'16'!G36</f>
        <v>173.23055555555555</v>
      </c>
      <c r="H24" s="33">
        <f>'16'!H36</f>
        <v>74.783333333333331</v>
      </c>
      <c r="I24" s="33">
        <f>'16'!I36</f>
        <v>1.0962500000000002</v>
      </c>
      <c r="J24" s="33">
        <f>'16'!J36</f>
        <v>0.50750000000000006</v>
      </c>
      <c r="K24" s="33">
        <f>'16'!K36</f>
        <v>245.39625000000001</v>
      </c>
      <c r="L24" s="33">
        <f>'16'!L36</f>
        <v>21.536999999999999</v>
      </c>
      <c r="M24" s="33">
        <f>'16'!M36</f>
        <v>63.319999999999993</v>
      </c>
      <c r="N24" s="33">
        <f>'16'!N36</f>
        <v>190.28333333333327</v>
      </c>
      <c r="O24" s="33">
        <f>'16'!O36</f>
        <v>0</v>
      </c>
      <c r="P24" s="30">
        <f>'16'!P36</f>
        <v>2.1783333333333332</v>
      </c>
      <c r="Q24" s="30">
        <f>'16'!Q36</f>
        <v>202.18434782608693</v>
      </c>
      <c r="R24" s="49"/>
      <c r="S24" s="49"/>
      <c r="T24" s="49"/>
      <c r="U24" s="48"/>
    </row>
    <row r="25" spans="1:24" s="34" customFormat="1" x14ac:dyDescent="0.25">
      <c r="A25" s="36" t="str">
        <f>'17'!$B$2</f>
        <v>17-11-2022 01:00</v>
      </c>
      <c r="B25" s="33">
        <f>'17'!B36</f>
        <v>62.82695652173912</v>
      </c>
      <c r="C25" s="33">
        <f>'17'!C36</f>
        <v>143.79782608695655</v>
      </c>
      <c r="D25" s="33">
        <f>'17'!D36</f>
        <v>129.39260869565217</v>
      </c>
      <c r="E25" s="33">
        <f>'17'!E36</f>
        <v>5.692916666666668</v>
      </c>
      <c r="F25" s="33">
        <f>'17'!F36</f>
        <v>2.3129166666666667</v>
      </c>
      <c r="G25" s="33">
        <f>'17'!G36</f>
        <v>177.28300000000002</v>
      </c>
      <c r="H25" s="33">
        <f>'17'!H36</f>
        <v>78.96041666666666</v>
      </c>
      <c r="I25" s="33">
        <f>'17'!I36</f>
        <v>1.13625</v>
      </c>
      <c r="J25" s="33">
        <f>'17'!J36</f>
        <v>0.68124999999999991</v>
      </c>
      <c r="K25" s="33">
        <f>'17'!K36</f>
        <v>229.71958333333325</v>
      </c>
      <c r="L25" s="33">
        <f>'17'!L36</f>
        <v>23.634999999999994</v>
      </c>
      <c r="M25" s="33">
        <f>'17'!M36</f>
        <v>65.252499999999998</v>
      </c>
      <c r="N25" s="33">
        <f>'17'!N36</f>
        <v>167.5</v>
      </c>
      <c r="O25" s="33">
        <f>'17'!O36</f>
        <v>0</v>
      </c>
      <c r="P25" s="30">
        <f>'17'!P36</f>
        <v>2.157083333333333</v>
      </c>
      <c r="Q25" s="30">
        <f>'17'!Q36</f>
        <v>207.29791666666662</v>
      </c>
      <c r="R25" s="49"/>
      <c r="S25" s="49"/>
      <c r="T25" s="49"/>
      <c r="U25" s="48"/>
    </row>
    <row r="26" spans="1:24" s="34" customFormat="1" x14ac:dyDescent="0.25">
      <c r="A26" s="36" t="str">
        <f>'18'!$B$2</f>
        <v>18-11-2022 01:00</v>
      </c>
      <c r="B26" s="33">
        <f>'18'!B36</f>
        <v>41.588749999999997</v>
      </c>
      <c r="C26" s="33">
        <f>'18'!C36</f>
        <v>129.74791666666667</v>
      </c>
      <c r="D26" s="33">
        <f>'18'!D36</f>
        <v>104.5175</v>
      </c>
      <c r="E26" s="33">
        <f>'18'!E36</f>
        <v>21.112083333333334</v>
      </c>
      <c r="F26" s="33">
        <f>'18'!F36</f>
        <v>5.49125</v>
      </c>
      <c r="G26" s="33">
        <f>'18'!G36</f>
        <v>155.46916666666667</v>
      </c>
      <c r="H26" s="33">
        <f>'18'!H36</f>
        <v>52.886666666666663</v>
      </c>
      <c r="I26" s="33">
        <f>'18'!I36</f>
        <v>0.63625000000000009</v>
      </c>
      <c r="J26" s="33">
        <f>'18'!J36</f>
        <v>1.0458333333333336</v>
      </c>
      <c r="K26" s="33">
        <f>'18'!K36</f>
        <v>229.495</v>
      </c>
      <c r="L26" s="33">
        <f>'18'!L36</f>
        <v>23.413750000000004</v>
      </c>
      <c r="M26" s="33">
        <f>'18'!M36</f>
        <v>58.403333333333329</v>
      </c>
      <c r="N26" s="33">
        <f>'18'!N36</f>
        <v>154.47499999999999</v>
      </c>
      <c r="O26" s="33">
        <f>'18'!O36</f>
        <v>0</v>
      </c>
      <c r="P26" s="30">
        <f>'18'!P36</f>
        <v>1.4920833333333334</v>
      </c>
      <c r="Q26" s="30">
        <f>'18'!Q36</f>
        <v>190.11958333333334</v>
      </c>
      <c r="R26" s="49"/>
      <c r="S26" s="49"/>
      <c r="T26" s="49"/>
      <c r="U26" s="48"/>
    </row>
    <row r="27" spans="1:24" s="34" customFormat="1" x14ac:dyDescent="0.25">
      <c r="A27" s="36" t="str">
        <f>'19'!$B$2</f>
        <v>19-11-2022 01:00</v>
      </c>
      <c r="B27" s="33">
        <f>'19'!B36</f>
        <v>51.517083333333325</v>
      </c>
      <c r="C27" s="33">
        <f>'19'!C36</f>
        <v>139.0345833333333</v>
      </c>
      <c r="D27" s="33">
        <f>'19'!D36</f>
        <v>117.95041666666667</v>
      </c>
      <c r="E27" s="33">
        <f>'19'!E36</f>
        <v>12</v>
      </c>
      <c r="F27" s="33">
        <f>'19'!F36</f>
        <v>3.0887500000000006</v>
      </c>
      <c r="G27" s="33">
        <f>'19'!G36</f>
        <v>129.81916666666666</v>
      </c>
      <c r="H27" s="33">
        <f>'19'!H36</f>
        <v>36.660000000000004</v>
      </c>
      <c r="I27" s="33">
        <f>'19'!I36</f>
        <v>0.6691666666666668</v>
      </c>
      <c r="J27" s="33">
        <f>'19'!J36</f>
        <v>0.87166666666666703</v>
      </c>
      <c r="K27" s="33">
        <f>'19'!K36</f>
        <v>229.04250000000002</v>
      </c>
      <c r="L27" s="33">
        <f>'19'!L36</f>
        <v>22.269999999999996</v>
      </c>
      <c r="M27" s="33">
        <f>'19'!M36</f>
        <v>56.672499999999992</v>
      </c>
      <c r="N27" s="33">
        <f>'19'!N36</f>
        <v>158.5958333333333</v>
      </c>
      <c r="O27" s="33">
        <f>'19'!O36</f>
        <v>0</v>
      </c>
      <c r="P27" s="30">
        <f>'19'!P36</f>
        <v>1.5945833333333332</v>
      </c>
      <c r="Q27" s="30">
        <f>'19'!Q36</f>
        <v>167.55315789473684</v>
      </c>
      <c r="R27" s="49"/>
      <c r="S27" s="49"/>
      <c r="T27" s="49"/>
      <c r="U27" s="48"/>
    </row>
    <row r="28" spans="1:24" s="34" customFormat="1" x14ac:dyDescent="0.25">
      <c r="A28" s="36" t="str">
        <f>'20'!$B$2</f>
        <v>20-11-2022 01:00</v>
      </c>
      <c r="B28" s="33">
        <f>'20'!B36</f>
        <v>31.719166666666666</v>
      </c>
      <c r="C28" s="33">
        <f>'20'!C36</f>
        <v>119.49416666666663</v>
      </c>
      <c r="D28" s="33">
        <f>'20'!D36</f>
        <v>91.243749999999991</v>
      </c>
      <c r="E28" s="33">
        <f>'20'!E36</f>
        <v>8.4749999999999996</v>
      </c>
      <c r="F28" s="33">
        <f>'20'!F36</f>
        <v>1.9949999999999999</v>
      </c>
      <c r="G28" s="33">
        <f>'20'!G36</f>
        <v>128.81166666666667</v>
      </c>
      <c r="H28" s="33">
        <f>'20'!H36</f>
        <v>43.044583333333328</v>
      </c>
      <c r="I28" s="33">
        <f>'20'!I36</f>
        <v>0.61083333333333334</v>
      </c>
      <c r="J28" s="33">
        <f>'20'!J36</f>
        <v>0.90416666666666667</v>
      </c>
      <c r="K28" s="33">
        <f>'20'!K36</f>
        <v>229.16541666666674</v>
      </c>
      <c r="L28" s="33">
        <f>'20'!L36</f>
        <v>22.112500000000001</v>
      </c>
      <c r="M28" s="33">
        <f>'20'!M36</f>
        <v>57.246249999999996</v>
      </c>
      <c r="N28" s="33">
        <f>'20'!N36</f>
        <v>173.80416666666667</v>
      </c>
      <c r="O28" s="33">
        <f>'20'!O36</f>
        <v>0</v>
      </c>
      <c r="P28" s="30">
        <f>'20'!P36</f>
        <v>1.5737500000000002</v>
      </c>
      <c r="Q28" s="30">
        <f>'20'!Q36</f>
        <v>237.85124999999996</v>
      </c>
      <c r="R28" s="49"/>
      <c r="S28" s="49"/>
      <c r="T28" s="49"/>
      <c r="U28" s="48"/>
    </row>
    <row r="29" spans="1:24" s="34" customFormat="1" x14ac:dyDescent="0.25">
      <c r="A29" s="36" t="str">
        <f>'21'!$B$2</f>
        <v>21-11-2022 01:00</v>
      </c>
      <c r="B29" s="33">
        <f>'21'!B36</f>
        <v>64.770833333333329</v>
      </c>
      <c r="C29" s="33">
        <f>'21'!C36</f>
        <v>159.18291666666667</v>
      </c>
      <c r="D29" s="33">
        <f>'21'!D36</f>
        <v>139.55708333333337</v>
      </c>
      <c r="E29" s="33">
        <f>'21'!E36</f>
        <v>9.5187500000000007</v>
      </c>
      <c r="F29" s="33">
        <f>'21'!F36</f>
        <v>1.9204166666666669</v>
      </c>
      <c r="G29" s="33">
        <f>'21'!G36</f>
        <v>177.68545454545455</v>
      </c>
      <c r="H29" s="33">
        <f>'21'!H36</f>
        <v>57.245416666666664</v>
      </c>
      <c r="I29" s="33">
        <f>'21'!I36</f>
        <v>0.88916666666666666</v>
      </c>
      <c r="J29" s="33">
        <f>'21'!J36</f>
        <v>1.9479166666666667</v>
      </c>
      <c r="K29" s="33">
        <f>'21'!K36</f>
        <v>238.8716666666667</v>
      </c>
      <c r="L29" s="33">
        <f>'21'!L36</f>
        <v>26.681666666666672</v>
      </c>
      <c r="M29" s="33">
        <f>'21'!M36</f>
        <v>64.888823529411752</v>
      </c>
      <c r="N29" s="33">
        <f>'21'!N36</f>
        <v>151.18333333333331</v>
      </c>
      <c r="O29" s="33">
        <f>'21'!O36</f>
        <v>0</v>
      </c>
      <c r="P29" s="30">
        <f>'21'!P36</f>
        <v>2.3137499999999998</v>
      </c>
      <c r="Q29" s="30">
        <f>'21'!Q36</f>
        <v>249.85</v>
      </c>
      <c r="R29" s="49"/>
      <c r="S29" s="49"/>
      <c r="T29" s="49"/>
      <c r="U29" s="48"/>
    </row>
    <row r="30" spans="1:24" s="34" customFormat="1" x14ac:dyDescent="0.25">
      <c r="A30" s="36" t="str">
        <f>'22'!$B$2</f>
        <v>22-11-2022 01:00</v>
      </c>
      <c r="B30" s="33">
        <f>'22'!B36</f>
        <v>64.585416666666674</v>
      </c>
      <c r="C30" s="33">
        <f>'22'!C36</f>
        <v>161.92875000000001</v>
      </c>
      <c r="D30" s="33">
        <f>'22'!D36</f>
        <v>140.78833333333333</v>
      </c>
      <c r="E30" s="33">
        <f>'22'!E36</f>
        <v>9.0108333333333359</v>
      </c>
      <c r="F30" s="33">
        <f>'22'!F36</f>
        <v>4.0383333333333331</v>
      </c>
      <c r="G30" s="33">
        <f>'22'!G36</f>
        <v>135.89684210526318</v>
      </c>
      <c r="H30" s="33">
        <f>'22'!H36</f>
        <v>56.217727272727274</v>
      </c>
      <c r="I30" s="33">
        <f>'22'!I36</f>
        <v>1.0295833333333333</v>
      </c>
      <c r="J30" s="33">
        <f>'22'!J36</f>
        <v>1.1970833333333333</v>
      </c>
      <c r="K30" s="33">
        <f>'22'!K36</f>
        <v>201.33791666666664</v>
      </c>
      <c r="L30" s="33">
        <f>'22'!L36</f>
        <v>23.404166666666669</v>
      </c>
      <c r="M30" s="33">
        <f>'22'!M36</f>
        <v>69.652857142857144</v>
      </c>
      <c r="N30" s="33">
        <f>'22'!N36</f>
        <v>176.00833333333335</v>
      </c>
      <c r="O30" s="33">
        <f>'22'!O36</f>
        <v>0</v>
      </c>
      <c r="P30" s="30">
        <f>'22'!P36</f>
        <v>2.4745833333333338</v>
      </c>
      <c r="Q30" s="30">
        <f>'22'!Q36</f>
        <v>248.47409090909093</v>
      </c>
      <c r="R30" s="49"/>
      <c r="S30" s="48"/>
      <c r="T30" s="48"/>
      <c r="U30" s="48"/>
    </row>
    <row r="31" spans="1:24" s="34" customFormat="1" x14ac:dyDescent="0.25">
      <c r="A31" s="36" t="str">
        <f>'23'!$B$2</f>
        <v>23-11-2022 01:00</v>
      </c>
      <c r="B31" s="33">
        <f>'23'!B36</f>
        <v>34.788749999999993</v>
      </c>
      <c r="C31" s="33">
        <f>'23'!C36</f>
        <v>131.01333333333332</v>
      </c>
      <c r="D31" s="33">
        <f>'23'!D36</f>
        <v>99.767499999999998</v>
      </c>
      <c r="E31" s="33">
        <f>'23'!E36</f>
        <v>6.7162500000000014</v>
      </c>
      <c r="F31" s="33">
        <f>'23'!F36</f>
        <v>2.5241666666666664</v>
      </c>
      <c r="G31" s="33">
        <f>'23'!G36</f>
        <v>137.20624999999998</v>
      </c>
      <c r="H31" s="33">
        <f>'23'!H36</f>
        <v>47.384999999999998</v>
      </c>
      <c r="I31" s="33">
        <f>'23'!I36</f>
        <v>0.75625000000000009</v>
      </c>
      <c r="J31" s="33">
        <f>'23'!J36</f>
        <v>0.70124999999999993</v>
      </c>
      <c r="K31" s="33">
        <f>'23'!K36</f>
        <v>188.83999999999995</v>
      </c>
      <c r="L31" s="33">
        <f>'23'!L36</f>
        <v>23.730833333333337</v>
      </c>
      <c r="M31" s="33">
        <f>'23'!M36</f>
        <v>70.936666666666667</v>
      </c>
      <c r="N31" s="33">
        <f>'23'!N36</f>
        <v>158.56249999999997</v>
      </c>
      <c r="O31" s="33">
        <f>'23'!O36</f>
        <v>0</v>
      </c>
      <c r="P31" s="33">
        <f>'23'!P36</f>
        <v>1.9025000000000005</v>
      </c>
      <c r="Q31" s="33">
        <f>'23'!Q36</f>
        <v>266.51458333333329</v>
      </c>
      <c r="R31" s="48"/>
      <c r="S31" s="48"/>
      <c r="T31" s="48"/>
      <c r="U31" s="48"/>
    </row>
    <row r="32" spans="1:24" s="34" customFormat="1" x14ac:dyDescent="0.25">
      <c r="A32" s="36" t="str">
        <f>'24'!$B$2</f>
        <v>24-11-2022 01:00</v>
      </c>
      <c r="B32" s="33">
        <f>'24'!B36</f>
        <v>47.104166666666664</v>
      </c>
      <c r="C32" s="33">
        <f>'24'!C36</f>
        <v>149.12708333333333</v>
      </c>
      <c r="D32" s="33">
        <f>'24'!D36</f>
        <v>119.83374999999999</v>
      </c>
      <c r="E32" s="33">
        <f>'24'!E36</f>
        <v>6.8921052631578945</v>
      </c>
      <c r="F32" s="33">
        <f>'24'!F36</f>
        <v>3.2412500000000004</v>
      </c>
      <c r="G32" s="33">
        <f>'24'!G36</f>
        <v>126.41421052631578</v>
      </c>
      <c r="H32" s="33">
        <f>'24'!H36</f>
        <v>47.405000000000001</v>
      </c>
      <c r="I32" s="33">
        <f>'24'!I36</f>
        <v>0.74124999999999996</v>
      </c>
      <c r="J32" s="33">
        <f>'24'!J36</f>
        <v>0.56041666666666679</v>
      </c>
      <c r="K32" s="33">
        <f>'24'!K36</f>
        <v>191.99375000000001</v>
      </c>
      <c r="L32" s="33">
        <f>'24'!L36</f>
        <v>22.78916666666667</v>
      </c>
      <c r="M32" s="33">
        <f>'24'!M36</f>
        <v>71.097499999999997</v>
      </c>
      <c r="N32" s="33">
        <f>'24'!N36</f>
        <v>156.125</v>
      </c>
      <c r="O32" s="33">
        <f>'24'!O36</f>
        <v>0</v>
      </c>
      <c r="P32" s="33">
        <f>'24'!P36</f>
        <v>2.054583333333333</v>
      </c>
      <c r="Q32" s="33">
        <f>'24'!Q36</f>
        <v>246.90363636363642</v>
      </c>
      <c r="R32" s="48"/>
      <c r="S32" s="48"/>
      <c r="T32" s="48"/>
      <c r="U32" s="48"/>
    </row>
    <row r="33" spans="1:21" s="34" customFormat="1" x14ac:dyDescent="0.25">
      <c r="A33" s="36" t="str">
        <f>'25'!$B$2</f>
        <v>25-11-2022 01:00</v>
      </c>
      <c r="B33" s="33">
        <f>'25'!B36</f>
        <v>52.238333333333337</v>
      </c>
      <c r="C33" s="33">
        <f>'25'!C36</f>
        <v>150.92791666666665</v>
      </c>
      <c r="D33" s="33">
        <f>'25'!D36</f>
        <v>125.00374999999997</v>
      </c>
      <c r="E33" s="33">
        <f>'25'!E36</f>
        <v>6.7215384615384615</v>
      </c>
      <c r="F33" s="33">
        <f>'25'!F36</f>
        <v>1.9516666666666669</v>
      </c>
      <c r="G33" s="33">
        <f>'25'!G36</f>
        <v>100.85125000000001</v>
      </c>
      <c r="H33" s="33">
        <f>'25'!H36</f>
        <v>34.374166666666675</v>
      </c>
      <c r="I33" s="33">
        <f>'25'!I36</f>
        <v>0.84458333333333335</v>
      </c>
      <c r="J33" s="33">
        <f>'25'!J36</f>
        <v>0.73541666666666661</v>
      </c>
      <c r="K33" s="33">
        <f>'25'!K36</f>
        <v>184.1866666666667</v>
      </c>
      <c r="L33" s="33">
        <f>'25'!L36</f>
        <v>22.342916666666671</v>
      </c>
      <c r="M33" s="33">
        <f>'25'!M36</f>
        <v>71.626249999999985</v>
      </c>
      <c r="N33" s="33">
        <f>'25'!N36</f>
        <v>153.07083333333335</v>
      </c>
      <c r="O33" s="33">
        <f>'25'!O36</f>
        <v>0</v>
      </c>
      <c r="P33" s="33">
        <f>'25'!P36</f>
        <v>1.8654166666666667</v>
      </c>
      <c r="Q33" s="33">
        <f>'25'!Q36</f>
        <v>278.82727272727271</v>
      </c>
      <c r="R33" s="48"/>
      <c r="S33" s="48"/>
      <c r="T33" s="48"/>
      <c r="U33" s="48"/>
    </row>
    <row r="34" spans="1:21" s="34" customFormat="1" x14ac:dyDescent="0.25">
      <c r="A34" s="36" t="str">
        <f>'26'!$B$2</f>
        <v>26-11-2022 01:00</v>
      </c>
      <c r="B34" s="33">
        <f>'26'!B36</f>
        <v>69.707916666666662</v>
      </c>
      <c r="C34" s="33">
        <f>'26'!C36</f>
        <v>178.90291666666667</v>
      </c>
      <c r="D34" s="33">
        <f>'26'!D36</f>
        <v>153.66333333333333</v>
      </c>
      <c r="E34" s="33">
        <f>'26'!E36</f>
        <v>8.1987499999999986</v>
      </c>
      <c r="F34" s="33">
        <f>'26'!F36</f>
        <v>2.1833333333333336</v>
      </c>
      <c r="G34" s="33">
        <f>'26'!G36</f>
        <v>109.53869565217391</v>
      </c>
      <c r="H34" s="33">
        <f>'26'!H36</f>
        <v>38.59291666666666</v>
      </c>
      <c r="I34" s="33">
        <f>'26'!I36</f>
        <v>0.77916666666666667</v>
      </c>
      <c r="J34" s="33">
        <f>'26'!J36</f>
        <v>0.58583333333333321</v>
      </c>
      <c r="K34" s="33">
        <f>'26'!K36</f>
        <v>196.04833333333332</v>
      </c>
      <c r="L34" s="33">
        <f>'26'!L36</f>
        <v>21.461250000000007</v>
      </c>
      <c r="M34" s="33">
        <f>'26'!M36</f>
        <v>79.440416666666678</v>
      </c>
      <c r="N34" s="33">
        <f>'26'!N36</f>
        <v>152.74583333333331</v>
      </c>
      <c r="O34" s="33">
        <f>'26'!O36</f>
        <v>0</v>
      </c>
      <c r="P34" s="33">
        <f>'26'!P36</f>
        <v>1.9954166666666666</v>
      </c>
      <c r="Q34" s="33">
        <f>'26'!Q36</f>
        <v>254.05999999999989</v>
      </c>
      <c r="R34" s="48"/>
      <c r="S34" s="48"/>
      <c r="T34" s="48"/>
      <c r="U34" s="48"/>
    </row>
    <row r="35" spans="1:21" s="34" customFormat="1" x14ac:dyDescent="0.25">
      <c r="A35" s="36" t="str">
        <f>'27'!$B$2</f>
        <v>27-11-2022 01:00</v>
      </c>
      <c r="B35" s="33">
        <f>'27'!B36</f>
        <v>68.33208333333333</v>
      </c>
      <c r="C35" s="33">
        <f>'27'!C36</f>
        <v>167.4325</v>
      </c>
      <c r="D35" s="33">
        <f>'27'!D36</f>
        <v>147.00624999999999</v>
      </c>
      <c r="E35" s="33">
        <f>'27'!E36</f>
        <v>5.5650000000000013</v>
      </c>
      <c r="F35" s="33">
        <f>'27'!F36</f>
        <v>1.8716666666666668</v>
      </c>
      <c r="G35" s="33">
        <f>'27'!G36</f>
        <v>116.51708333333333</v>
      </c>
      <c r="H35" s="33">
        <f>'27'!H36</f>
        <v>39.233333333333327</v>
      </c>
      <c r="I35" s="33">
        <f>'27'!I36</f>
        <v>0.82458333333333333</v>
      </c>
      <c r="J35" s="33">
        <f>'27'!J36</f>
        <v>0.44083333333333341</v>
      </c>
      <c r="K35" s="33">
        <f>'27'!K36</f>
        <v>208.9870833333334</v>
      </c>
      <c r="L35" s="33">
        <f>'27'!L36</f>
        <v>21.078333333333333</v>
      </c>
      <c r="M35" s="33">
        <f>'27'!M36</f>
        <v>75.440833333333345</v>
      </c>
      <c r="N35" s="33">
        <f>'27'!N36</f>
        <v>146.47916666666666</v>
      </c>
      <c r="O35" s="33">
        <f>'27'!O36</f>
        <v>0</v>
      </c>
      <c r="P35" s="30">
        <f>'27'!P36</f>
        <v>1.9358333333333331</v>
      </c>
      <c r="Q35" s="33">
        <f>'27'!Q36</f>
        <v>297.54315789473685</v>
      </c>
      <c r="R35" s="48"/>
      <c r="S35" s="48"/>
      <c r="T35" s="48"/>
      <c r="U35" s="48"/>
    </row>
    <row r="36" spans="1:21" s="34" customFormat="1" x14ac:dyDescent="0.25">
      <c r="A36" s="36" t="str">
        <f>'28'!$B$2</f>
        <v>28-11-2022 01:00</v>
      </c>
      <c r="B36" s="33">
        <f>'28'!B36</f>
        <v>53.120833333333337</v>
      </c>
      <c r="C36" s="33">
        <f>'28'!C36</f>
        <v>161.1608333333333</v>
      </c>
      <c r="D36" s="33">
        <f>'28'!D36</f>
        <v>131.12750000000003</v>
      </c>
      <c r="E36" s="33">
        <f>'28'!E36</f>
        <v>5.9229166666666666</v>
      </c>
      <c r="F36" s="33">
        <f>'28'!F36</f>
        <v>4.4229166666666666</v>
      </c>
      <c r="G36" s="33">
        <f>'28'!G36</f>
        <v>109.82708333333333</v>
      </c>
      <c r="H36" s="33">
        <f>'28'!H36</f>
        <v>37.840416666666663</v>
      </c>
      <c r="I36" s="33">
        <f>'28'!I36</f>
        <v>0.84</v>
      </c>
      <c r="J36" s="33">
        <f>'28'!J36</f>
        <v>0.44458333333333333</v>
      </c>
      <c r="K36" s="33">
        <f>'28'!K36</f>
        <v>221.92958333333334</v>
      </c>
      <c r="L36" s="33">
        <f>'28'!L36</f>
        <v>21.4725</v>
      </c>
      <c r="M36" s="33">
        <f>'28'!M36</f>
        <v>75.916666666666671</v>
      </c>
      <c r="N36" s="33">
        <f>'28'!N36</f>
        <v>136.30416666666665</v>
      </c>
      <c r="O36" s="33">
        <f>'28'!O36</f>
        <v>0</v>
      </c>
      <c r="P36" s="30">
        <f>'28'!P36</f>
        <v>2.1283333333333334</v>
      </c>
      <c r="Q36" s="33">
        <f>'28'!Q36</f>
        <v>285.37142857142862</v>
      </c>
      <c r="R36" s="48"/>
      <c r="S36" s="48"/>
      <c r="T36" s="48"/>
      <c r="U36" s="48"/>
    </row>
    <row r="37" spans="1:21" s="34" customFormat="1" x14ac:dyDescent="0.25">
      <c r="A37" s="36" t="str">
        <f>'29'!$B$2</f>
        <v>29-11-2022 01:00</v>
      </c>
      <c r="B37" s="33">
        <f>'29'!B36</f>
        <v>48.856249999999996</v>
      </c>
      <c r="C37" s="33">
        <f>'29'!C36</f>
        <v>138.55375000000001</v>
      </c>
      <c r="D37" s="33">
        <f>'29'!D36</f>
        <v>115.45958333333334</v>
      </c>
      <c r="E37" s="33">
        <f>'29'!E36</f>
        <v>6.3666666666666671</v>
      </c>
      <c r="F37" s="33">
        <f>'29'!F36</f>
        <v>3.7129166666666671</v>
      </c>
      <c r="G37" s="33">
        <f>'29'!G36</f>
        <v>113.90791666666668</v>
      </c>
      <c r="H37" s="33">
        <f>'29'!H36</f>
        <v>42.126249999999992</v>
      </c>
      <c r="I37" s="33">
        <f>'29'!I36</f>
        <v>0.86875000000000024</v>
      </c>
      <c r="J37" s="33">
        <f>'29'!J36</f>
        <v>0.60833333333333339</v>
      </c>
      <c r="K37" s="33">
        <f>'29'!K36</f>
        <v>223.35249999999999</v>
      </c>
      <c r="L37" s="33">
        <f>'29'!L36</f>
        <v>22.004999999999999</v>
      </c>
      <c r="M37" s="33">
        <f>'29'!M36</f>
        <v>72.541666666666671</v>
      </c>
      <c r="N37" s="33">
        <f>'29'!N36</f>
        <v>164.64666666666665</v>
      </c>
      <c r="O37" s="33">
        <f>'29'!O36</f>
        <v>0</v>
      </c>
      <c r="P37" s="33">
        <f>'29'!P36</f>
        <v>2.1295833333333332</v>
      </c>
      <c r="Q37" s="33">
        <f>'29'!Q36</f>
        <v>213.22136363636358</v>
      </c>
      <c r="R37" s="48"/>
      <c r="S37" s="48"/>
      <c r="T37" s="48"/>
      <c r="U37" s="48"/>
    </row>
    <row r="38" spans="1:21" s="34" customFormat="1" x14ac:dyDescent="0.25">
      <c r="A38" s="36" t="str">
        <f>'30'!$B$2</f>
        <v>30-11-2022 01:00</v>
      </c>
      <c r="B38" s="33">
        <f>'30'!B36</f>
        <v>35.475416666666668</v>
      </c>
      <c r="C38" s="33">
        <f>'30'!C36</f>
        <v>99.415833333333339</v>
      </c>
      <c r="D38" s="33">
        <f>'30'!D36</f>
        <v>83.239166666666662</v>
      </c>
      <c r="E38" s="33">
        <f>'30'!E36</f>
        <v>5.9274999999999993</v>
      </c>
      <c r="F38" s="33">
        <f>'30'!F36</f>
        <v>4.8737500000000002</v>
      </c>
      <c r="G38" s="33">
        <f>'30'!G36</f>
        <v>127.79217391304347</v>
      </c>
      <c r="H38" s="33">
        <f>'30'!H36</f>
        <v>51.122608695652183</v>
      </c>
      <c r="I38" s="33">
        <f>'30'!I36</f>
        <v>0.79166666666666663</v>
      </c>
      <c r="J38" s="33">
        <f>'30'!J36</f>
        <v>0.53416666666666679</v>
      </c>
      <c r="K38" s="33">
        <f>'30'!K36</f>
        <v>225.85833333333332</v>
      </c>
      <c r="L38" s="33">
        <f>'30'!L36</f>
        <v>22.694583333333338</v>
      </c>
      <c r="M38" s="33">
        <f>'30'!M36</f>
        <v>74.541666666666671</v>
      </c>
      <c r="N38" s="33">
        <f>'30'!N36</f>
        <v>221.79999999999998</v>
      </c>
      <c r="O38" s="33">
        <f>'30'!O36</f>
        <v>0</v>
      </c>
      <c r="P38" s="33">
        <f>'30'!P36</f>
        <v>2.0941666666666667</v>
      </c>
      <c r="Q38" s="33">
        <f>'30'!Q36</f>
        <v>124.97125000000001</v>
      </c>
      <c r="R38" s="48"/>
      <c r="S38" s="48"/>
      <c r="T38" s="48"/>
      <c r="U38" s="48"/>
    </row>
    <row r="39" spans="1:21" x14ac:dyDescent="0.25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0"/>
      <c r="S39" s="20"/>
      <c r="T39" s="20"/>
      <c r="U39" s="50"/>
    </row>
    <row r="40" spans="1:21" s="21" customFormat="1" x14ac:dyDescent="0.25">
      <c r="A40" s="14" t="s">
        <v>30</v>
      </c>
      <c r="B40" s="15">
        <f t="shared" ref="B40:Q40" si="0">MIN(B9:B38)</f>
        <v>17.489999999999998</v>
      </c>
      <c r="C40" s="15">
        <f t="shared" si="0"/>
        <v>91.303749999999994</v>
      </c>
      <c r="D40" s="15">
        <f t="shared" si="0"/>
        <v>64.306249999999991</v>
      </c>
      <c r="E40" s="15">
        <f t="shared" si="0"/>
        <v>5.1612499999999999</v>
      </c>
      <c r="F40" s="15">
        <f t="shared" si="0"/>
        <v>1.8716666666666668</v>
      </c>
      <c r="G40" s="15">
        <f t="shared" si="0"/>
        <v>100.85125000000001</v>
      </c>
      <c r="H40" s="15">
        <f t="shared" si="0"/>
        <v>34.374166666666675</v>
      </c>
      <c r="I40" s="15">
        <f t="shared" si="0"/>
        <v>0.31555555555555553</v>
      </c>
      <c r="J40" s="15">
        <f t="shared" si="0"/>
        <v>0.44083333333333341</v>
      </c>
      <c r="K40" s="15">
        <f t="shared" si="0"/>
        <v>107.90625000000001</v>
      </c>
      <c r="L40" s="15">
        <f t="shared" si="0"/>
        <v>21.078333333333333</v>
      </c>
      <c r="M40" s="15">
        <f t="shared" si="0"/>
        <v>56.672499999999992</v>
      </c>
      <c r="N40" s="15">
        <f t="shared" si="0"/>
        <v>100.9</v>
      </c>
      <c r="O40" s="15">
        <f t="shared" si="0"/>
        <v>0</v>
      </c>
      <c r="P40" s="15">
        <f t="shared" si="0"/>
        <v>1.3891666666666669</v>
      </c>
      <c r="Q40" s="15">
        <f t="shared" si="0"/>
        <v>105.52541666666667</v>
      </c>
      <c r="R40" s="28"/>
      <c r="S40" s="28"/>
      <c r="T40" s="28"/>
      <c r="U40" s="28"/>
    </row>
    <row r="41" spans="1:21" s="21" customFormat="1" x14ac:dyDescent="0.25">
      <c r="A41" s="14" t="s">
        <v>31</v>
      </c>
      <c r="B41" s="15">
        <f t="shared" ref="B41:Q41" si="1">MAX(B9:B38)</f>
        <v>84.977500000000006</v>
      </c>
      <c r="C41" s="15">
        <f t="shared" si="1"/>
        <v>178.90291666666667</v>
      </c>
      <c r="D41" s="15">
        <f t="shared" si="1"/>
        <v>157.01666666666668</v>
      </c>
      <c r="E41" s="15">
        <f t="shared" si="1"/>
        <v>101.92700000000001</v>
      </c>
      <c r="F41" s="15">
        <f t="shared" si="1"/>
        <v>57.856666666666655</v>
      </c>
      <c r="G41" s="15">
        <f t="shared" si="1"/>
        <v>267.62900000000002</v>
      </c>
      <c r="H41" s="15">
        <f t="shared" si="1"/>
        <v>104.90599999999999</v>
      </c>
      <c r="I41" s="15">
        <f t="shared" si="1"/>
        <v>1.13625</v>
      </c>
      <c r="J41" s="15">
        <f t="shared" si="1"/>
        <v>1.9479166666666667</v>
      </c>
      <c r="K41" s="15">
        <f t="shared" si="1"/>
        <v>245.39625000000001</v>
      </c>
      <c r="L41" s="15">
        <f t="shared" si="1"/>
        <v>26.681666666666672</v>
      </c>
      <c r="M41" s="15">
        <f t="shared" si="1"/>
        <v>79.440416666666678</v>
      </c>
      <c r="N41" s="15">
        <f t="shared" si="1"/>
        <v>221.79999999999998</v>
      </c>
      <c r="O41" s="15">
        <f t="shared" si="1"/>
        <v>0</v>
      </c>
      <c r="P41" s="15">
        <f t="shared" si="1"/>
        <v>2.4745833333333338</v>
      </c>
      <c r="Q41" s="15">
        <f t="shared" si="1"/>
        <v>297.54315789473685</v>
      </c>
      <c r="R41" s="28"/>
      <c r="S41" s="28"/>
      <c r="T41" s="28"/>
      <c r="U41" s="28"/>
    </row>
    <row r="42" spans="1:21" s="21" customFormat="1" x14ac:dyDescent="0.25">
      <c r="A42" s="14" t="s">
        <v>32</v>
      </c>
      <c r="B42" s="15">
        <f t="shared" ref="B42:Q42" si="2">AVERAGE(B9:B38)</f>
        <v>47.199153906742289</v>
      </c>
      <c r="C42" s="15">
        <f t="shared" si="2"/>
        <v>136.915525047259</v>
      </c>
      <c r="D42" s="15">
        <f t="shared" si="2"/>
        <v>113.05616052299936</v>
      </c>
      <c r="E42" s="15">
        <f t="shared" si="2"/>
        <v>14.731966393827379</v>
      </c>
      <c r="F42" s="15">
        <f t="shared" si="2"/>
        <v>6.6888514492753632</v>
      </c>
      <c r="G42" s="15">
        <f t="shared" si="2"/>
        <v>155.76725035992166</v>
      </c>
      <c r="H42" s="15">
        <f t="shared" si="2"/>
        <v>59.386280911668671</v>
      </c>
      <c r="I42" s="15">
        <f t="shared" si="2"/>
        <v>0.78250603864734303</v>
      </c>
      <c r="J42" s="15">
        <f t="shared" si="2"/>
        <v>0.77196014492753651</v>
      </c>
      <c r="K42" s="15">
        <f t="shared" si="2"/>
        <v>198.0191630434783</v>
      </c>
      <c r="L42" s="15">
        <f t="shared" si="2"/>
        <v>22.708577777777784</v>
      </c>
      <c r="M42" s="15">
        <f t="shared" si="2"/>
        <v>68.465195378151265</v>
      </c>
      <c r="N42" s="15">
        <f t="shared" si="2"/>
        <v>173.39750000000001</v>
      </c>
      <c r="O42" s="15">
        <f t="shared" si="2"/>
        <v>0</v>
      </c>
      <c r="P42" s="15">
        <f t="shared" si="2"/>
        <v>1.8628768115942027</v>
      </c>
      <c r="Q42" s="15">
        <f t="shared" si="2"/>
        <v>206.05721909376896</v>
      </c>
      <c r="R42" s="28"/>
      <c r="S42" s="28"/>
      <c r="T42" s="28"/>
      <c r="U42" s="28"/>
    </row>
    <row r="43" spans="1:21" s="21" customFormat="1" x14ac:dyDescent="0.25">
      <c r="A43" s="14" t="s">
        <v>38</v>
      </c>
      <c r="B43" s="15">
        <f t="shared" ref="B43:Q43" si="3">STDEV(B9:B38)</f>
        <v>18.574336606329695</v>
      </c>
      <c r="C43" s="15">
        <f t="shared" si="3"/>
        <v>26.351756223038318</v>
      </c>
      <c r="D43" s="15">
        <f t="shared" si="3"/>
        <v>28.269382120625863</v>
      </c>
      <c r="E43" s="15">
        <f t="shared" si="3"/>
        <v>23.265008234894157</v>
      </c>
      <c r="F43" s="15">
        <f t="shared" si="3"/>
        <v>12.101827191506185</v>
      </c>
      <c r="G43" s="15">
        <f t="shared" si="3"/>
        <v>41.261641378064866</v>
      </c>
      <c r="H43" s="15">
        <f t="shared" si="3"/>
        <v>18.900051411498016</v>
      </c>
      <c r="I43" s="15">
        <f t="shared" si="3"/>
        <v>0.17725416833054378</v>
      </c>
      <c r="J43" s="15">
        <f t="shared" si="3"/>
        <v>0.341622380601382</v>
      </c>
      <c r="K43" s="15">
        <f t="shared" si="3"/>
        <v>36.988584643895557</v>
      </c>
      <c r="L43" s="15">
        <f t="shared" si="3"/>
        <v>1.3878785782205876</v>
      </c>
      <c r="M43" s="15">
        <f t="shared" si="3"/>
        <v>7.1632938750601802</v>
      </c>
      <c r="N43" s="15">
        <f t="shared" si="3"/>
        <v>29.948114977735884</v>
      </c>
      <c r="O43" s="15">
        <f t="shared" si="3"/>
        <v>0</v>
      </c>
      <c r="P43" s="15">
        <f t="shared" si="3"/>
        <v>0.30057153351754645</v>
      </c>
      <c r="Q43" s="15">
        <f t="shared" si="3"/>
        <v>54.25577507950014</v>
      </c>
      <c r="R43" s="28"/>
      <c r="S43" s="28"/>
      <c r="T43" s="28"/>
      <c r="U43" s="28"/>
    </row>
    <row r="44" spans="1:21" s="21" customFormat="1" x14ac:dyDescent="0.25">
      <c r="A44" s="14" t="s">
        <v>33</v>
      </c>
      <c r="B44" s="15">
        <f>COUNT(B9:B38)+7</f>
        <v>30</v>
      </c>
      <c r="C44" s="15">
        <f t="shared" ref="C44:Q44" si="4">COUNT(C9:C38)+7</f>
        <v>30</v>
      </c>
      <c r="D44" s="15">
        <f t="shared" si="4"/>
        <v>30</v>
      </c>
      <c r="E44" s="15">
        <f t="shared" si="4"/>
        <v>30</v>
      </c>
      <c r="F44" s="15">
        <f t="shared" si="4"/>
        <v>30</v>
      </c>
      <c r="G44" s="15">
        <f t="shared" si="4"/>
        <v>30</v>
      </c>
      <c r="H44" s="15">
        <f t="shared" si="4"/>
        <v>30</v>
      </c>
      <c r="I44" s="15">
        <f t="shared" si="4"/>
        <v>30</v>
      </c>
      <c r="J44" s="15">
        <f t="shared" si="4"/>
        <v>30</v>
      </c>
      <c r="K44" s="15">
        <f t="shared" si="4"/>
        <v>30</v>
      </c>
      <c r="L44" s="15">
        <f t="shared" si="4"/>
        <v>22</v>
      </c>
      <c r="M44" s="15">
        <f t="shared" si="4"/>
        <v>22</v>
      </c>
      <c r="N44" s="15">
        <f t="shared" si="4"/>
        <v>30</v>
      </c>
      <c r="O44" s="15">
        <f t="shared" si="4"/>
        <v>30</v>
      </c>
      <c r="P44" s="15">
        <f t="shared" si="4"/>
        <v>30</v>
      </c>
      <c r="Q44" s="15">
        <f t="shared" si="4"/>
        <v>30</v>
      </c>
      <c r="R44" s="29"/>
      <c r="S44" s="29"/>
      <c r="T44" s="29"/>
      <c r="U44" s="29"/>
    </row>
    <row r="45" spans="1:21" s="21" customFormat="1" x14ac:dyDescent="0.25">
      <c r="A45" s="14" t="s">
        <v>34</v>
      </c>
      <c r="B45" s="12" t="str">
        <f>IF(B44&gt;=28,"&gt;90%",IF(B44&lt;=28,"&lt;90%"))</f>
        <v>&gt;90%</v>
      </c>
      <c r="C45" s="12" t="str">
        <f t="shared" ref="C45:Q45" si="5">IF(C44&gt;=28,"&gt;90%",IF(C44&lt;=28,"&lt;90%"))</f>
        <v>&gt;90%</v>
      </c>
      <c r="D45" s="12" t="str">
        <f t="shared" si="5"/>
        <v>&gt;90%</v>
      </c>
      <c r="E45" s="12" t="str">
        <f t="shared" si="5"/>
        <v>&gt;90%</v>
      </c>
      <c r="F45" s="12" t="str">
        <f t="shared" si="5"/>
        <v>&gt;90%</v>
      </c>
      <c r="G45" s="12" t="str">
        <f t="shared" si="5"/>
        <v>&gt;90%</v>
      </c>
      <c r="H45" s="12" t="str">
        <f t="shared" si="5"/>
        <v>&gt;90%</v>
      </c>
      <c r="I45" s="12" t="str">
        <f t="shared" si="5"/>
        <v>&gt;90%</v>
      </c>
      <c r="J45" s="12" t="str">
        <f t="shared" si="5"/>
        <v>&gt;90%</v>
      </c>
      <c r="K45" s="12" t="str">
        <f t="shared" si="5"/>
        <v>&gt;90%</v>
      </c>
      <c r="L45" s="12" t="str">
        <f t="shared" si="5"/>
        <v>&lt;90%</v>
      </c>
      <c r="M45" s="12" t="str">
        <f t="shared" si="5"/>
        <v>&lt;90%</v>
      </c>
      <c r="N45" s="12" t="str">
        <f t="shared" si="5"/>
        <v>&gt;90%</v>
      </c>
      <c r="O45" s="12" t="str">
        <f t="shared" si="5"/>
        <v>&gt;90%</v>
      </c>
      <c r="P45" s="12" t="str">
        <f t="shared" si="5"/>
        <v>&gt;90%</v>
      </c>
      <c r="Q45" s="12" t="str">
        <f t="shared" si="5"/>
        <v>&gt;90%</v>
      </c>
      <c r="R45" s="29"/>
      <c r="S45" s="29"/>
      <c r="T45" s="29"/>
      <c r="U45" s="29"/>
    </row>
    <row r="46" spans="1:21" s="21" customFormat="1" x14ac:dyDescent="0.25">
      <c r="A46" s="14" t="s">
        <v>1</v>
      </c>
      <c r="B46" s="12" t="str">
        <f>IF(B44&gt;=28,"OK",IF(B44&lt;=28,"LESS"))</f>
        <v>OK</v>
      </c>
      <c r="C46" s="12" t="str">
        <f t="shared" ref="C46:Q46" si="6">IF(C44&gt;=28,"OK",IF(C44&lt;=28,"LESS"))</f>
        <v>OK</v>
      </c>
      <c r="D46" s="12" t="str">
        <f t="shared" si="6"/>
        <v>OK</v>
      </c>
      <c r="E46" s="12" t="str">
        <f t="shared" si="6"/>
        <v>OK</v>
      </c>
      <c r="F46" s="12" t="str">
        <f t="shared" si="6"/>
        <v>OK</v>
      </c>
      <c r="G46" s="12" t="str">
        <f t="shared" si="6"/>
        <v>OK</v>
      </c>
      <c r="H46" s="12" t="str">
        <f t="shared" si="6"/>
        <v>OK</v>
      </c>
      <c r="I46" s="12" t="str">
        <f t="shared" si="6"/>
        <v>OK</v>
      </c>
      <c r="J46" s="12" t="str">
        <f t="shared" si="6"/>
        <v>OK</v>
      </c>
      <c r="K46" s="12" t="str">
        <f t="shared" si="6"/>
        <v>OK</v>
      </c>
      <c r="L46" s="12" t="str">
        <f t="shared" si="6"/>
        <v>LESS</v>
      </c>
      <c r="M46" s="12" t="str">
        <f t="shared" si="6"/>
        <v>LESS</v>
      </c>
      <c r="N46" s="12" t="str">
        <f t="shared" si="6"/>
        <v>OK</v>
      </c>
      <c r="O46" s="12" t="str">
        <f t="shared" si="6"/>
        <v>OK</v>
      </c>
      <c r="P46" s="12" t="str">
        <f t="shared" si="6"/>
        <v>OK</v>
      </c>
      <c r="Q46" s="12" t="str">
        <f t="shared" si="6"/>
        <v>OK</v>
      </c>
      <c r="R46" s="29"/>
      <c r="S46" s="29"/>
      <c r="T46" s="29"/>
      <c r="U46" s="29"/>
    </row>
    <row r="47" spans="1:21" x14ac:dyDescent="0.2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9" spans="1:16" x14ac:dyDescent="0.25">
      <c r="A49" s="14" t="s">
        <v>35</v>
      </c>
      <c r="B49" s="40" t="s">
        <v>299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x14ac:dyDescent="0.25">
      <c r="A50" s="13"/>
      <c r="B50" s="21"/>
      <c r="C50" s="21"/>
      <c r="D50" s="1"/>
      <c r="E50" s="1"/>
      <c r="F50" s="1"/>
      <c r="G50" s="1"/>
      <c r="H50" s="1"/>
      <c r="I50" s="1"/>
      <c r="J50" s="21"/>
      <c r="K50" s="21"/>
      <c r="L50" s="21"/>
      <c r="M50" s="21"/>
      <c r="N50" s="21"/>
      <c r="O50" s="21"/>
      <c r="P50" s="21"/>
    </row>
    <row r="51" spans="1:16" ht="15.75" x14ac:dyDescent="0.25">
      <c r="A51" s="17" t="s">
        <v>36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</row>
    <row r="52" spans="1:16" x14ac:dyDescent="0.25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x14ac:dyDescent="0.2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x14ac:dyDescent="0.2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</sheetData>
  <mergeCells count="1">
    <mergeCell ref="B51:P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2024-08-30T15:34:07Z</dcterms:modified>
</cp:coreProperties>
</file>