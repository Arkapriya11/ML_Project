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1890" yWindow="300" windowWidth="20730" windowHeight="11760" tabRatio="814" firstSheet="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4" r:id="rId33"/>
    <sheet name="MONTHLY 31" sheetId="39" r:id="rId34"/>
    <sheet name="CALIBRATION REPORT" sheetId="6" r:id="rId35"/>
    <sheet name="POWER OFF" sheetId="5" r:id="rId36"/>
    <sheet name="MUX SIGNALS" sheetId="43" r:id="rId37"/>
  </sheets>
  <definedNames/>
  <calcPr calcId="144525"/>
</workbook>
</file>

<file path=xl/calcChain.xml><?xml version="1.0" encoding="utf-8"?>
<calcChain xmlns="http://schemas.openxmlformats.org/spreadsheetml/2006/main">
  <c r="B2" i="22" l="1"/>
</calcChain>
</file>

<file path=xl/sharedStrings.xml><?xml version="1.0" encoding="utf-8"?>
<sst xmlns="http://schemas.openxmlformats.org/spreadsheetml/2006/main" count="10580" uniqueCount="3222">
  <si>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</si>
  <si>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</si>
  <si>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</si>
  <si>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</si>
  <si>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</si>
  <si>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</si>
  <si>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</si>
  <si>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</si>
  <si>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</si>
  <si>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</si>
  <si>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</si>
  <si>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</si>
  <si>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</si>
  <si>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</si>
  <si>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</si>
  <si>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</si>
  <si>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</si>
  <si>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</si>
  <si>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</si>
  <si>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</si>
  <si>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</si>
  <si>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</si>
  <si>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</si>
  <si>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</si>
  <si>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</si>
  <si>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</si>
  <si>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</si>
  <si>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</si>
  <si>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</si>
  <si>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</si>
  <si>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</si>
  <si>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</si>
  <si>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</si>
  <si>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</si>
  <si>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</si>
  <si>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</si>
  <si>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</si>
  <si>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</si>
  <si>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</si>
  <si>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</si>
  <si>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</si>
  <si>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</si>
  <si>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</si>
  <si>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</si>
  <si>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</si>
  <si>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</si>
  <si>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</si>
  <si>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</si>
  <si>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</si>
  <si>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</si>
  <si>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</si>
  <si>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</si>
  <si>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</si>
  <si>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</si>
  <si>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</si>
  <si>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</si>
  <si>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</si>
  <si>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</si>
  <si>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</si>
  <si>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</si>
  <si>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</si>
  <si>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</si>
  <si>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</si>
  <si>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</si>
  <si>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</si>
  <si>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</si>
  <si>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</si>
  <si>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</si>
  <si>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</si>
  <si>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</si>
  <si>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</si>
  <si>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</si>
  <si>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</si>
  <si>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</si>
  <si>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</si>
  <si>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</si>
  <si>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</si>
  <si>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</si>
  <si>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</si>
  <si>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</si>
  <si>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</si>
  <si>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</si>
  <si>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</si>
  <si>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</si>
  <si>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</si>
  <si>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</si>
  <si>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</si>
  <si>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</si>
  <si>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</si>
  <si>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</si>
  <si>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</si>
  <si>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</si>
  <si>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</si>
  <si>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</si>
  <si>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</si>
  <si>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</si>
  <si>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</si>
  <si>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</si>
  <si>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</si>
  <si>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</si>
  <si>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</si>
  <si>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</si>
  <si>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</si>
  <si>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</si>
  <si>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</si>
  <si>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</si>
  <si>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</si>
  <si>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</si>
  <si>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</si>
  <si>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</si>
  <si>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</si>
  <si>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</si>
  <si>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</si>
  <si>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</si>
  <si>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</si>
  <si>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</si>
  <si>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</si>
  <si>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</si>
  <si>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</si>
  <si>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</si>
  <si>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</si>
  <si>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</si>
  <si>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</si>
  <si>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</si>
  <si>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</si>
  <si>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</si>
  <si>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</si>
  <si>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</si>
  <si>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</si>
  <si>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</si>
  <si>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</si>
  <si>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</si>
  <si>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</si>
  <si>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</si>
  <si>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</si>
  <si>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</si>
  <si>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</si>
  <si>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</si>
  <si>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</si>
  <si>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</si>
  <si>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</si>
  <si>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</si>
  <si>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</si>
  <si>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</si>
  <si>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</si>
  <si>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</si>
  <si>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</si>
  <si>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</si>
  <si>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</si>
  <si>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</si>
  <si>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</si>
  <si>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</si>
  <si>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</si>
  <si>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</si>
  <si>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</si>
  <si>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</si>
  <si>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</si>
  <si>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</si>
  <si>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</si>
  <si>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</si>
  <si>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</si>
  <si>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</si>
  <si>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</si>
  <si>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</si>
  <si>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</si>
  <si>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</si>
  <si>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</si>
  <si>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</si>
  <si>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</si>
  <si>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</si>
  <si>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</si>
  <si>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</si>
  <si>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</si>
  <si>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</si>
  <si>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</si>
  <si>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</si>
  <si>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</si>
  <si>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</si>
  <si>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</si>
  <si>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</si>
  <si>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</si>
  <si>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</si>
  <si>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</si>
  <si>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</si>
  <si>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</si>
  <si>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</si>
  <si>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</si>
  <si>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</si>
  <si>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</si>
  <si>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</si>
  <si>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</si>
  <si>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</si>
  <si>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</si>
  <si>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</si>
  <si>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</si>
  <si>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</si>
  <si>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</si>
  <si>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</si>
  <si>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</si>
  <si>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</si>
  <si>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</si>
  <si>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</si>
  <si>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</si>
  <si>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</si>
  <si>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</si>
  <si>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</si>
  <si>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</si>
  <si>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</si>
  <si>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</si>
  <si>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</si>
  <si>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</si>
  <si>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</si>
  <si>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</si>
  <si>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</si>
  <si>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</si>
  <si>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snehashis</t>
  </si>
  <si>
    <t>01/06/2022 00:15 - 30/06/2022 00:00</t>
  </si>
  <si>
    <t>RK</t>
  </si>
  <si>
    <t>807 ug/cm2</t>
  </si>
  <si>
    <t>801 ug/cm2</t>
  </si>
  <si>
    <t>4mv</t>
  </si>
  <si>
    <t>ON</t>
  </si>
  <si>
    <t>OFF</t>
  </si>
  <si>
    <t>Calibration report Of KUNJEMURA, RAIGARH</t>
  </si>
  <si>
    <t>POWER OFF REPORT OF KUNJEMURA, RAIGARH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</si>
  <si>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</si>
  <si>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</si>
  <si>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</si>
  <si>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</si>
  <si>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</si>
  <si>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</si>
  <si>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</si>
  <si>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</si>
  <si>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</si>
  <si>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</si>
  <si>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</si>
  <si>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</si>
  <si>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</si>
  <si>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</si>
  <si>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</si>
  <si>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</si>
  <si>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</si>
  <si>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</si>
  <si>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</si>
  <si>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01-07-2022 00:15</t>
  </si>
  <si>
    <t>01-07-2022 00:30</t>
  </si>
  <si>
    <t>01-07-2022 00:45</t>
  </si>
  <si>
    <t>01-07-2022 01:00</t>
  </si>
  <si>
    <t>01-07-2022 01:15</t>
  </si>
  <si>
    <t>01-07-2022 01:30</t>
  </si>
  <si>
    <t>01-07-2022 01:45</t>
  </si>
  <si>
    <t>01-07-2022 02:00</t>
  </si>
  <si>
    <t>01-07-2022 02:15</t>
  </si>
  <si>
    <t>01-07-2022 02:30</t>
  </si>
  <si>
    <t>01-07-2022 02:45</t>
  </si>
  <si>
    <t>01-07-2022 03:00</t>
  </si>
  <si>
    <t>01-07-2022 03:15</t>
  </si>
  <si>
    <t>01-07-2022 03:30</t>
  </si>
  <si>
    <t>01-07-2022 03:45</t>
  </si>
  <si>
    <t>01-07-2022 04:00</t>
  </si>
  <si>
    <t>01-07-2022 04:15</t>
  </si>
  <si>
    <t>01-07-2022 04:30</t>
  </si>
  <si>
    <t>01-07-2022 04:45</t>
  </si>
  <si>
    <t>01-07-2022 05:00</t>
  </si>
  <si>
    <t>01-07-2022 05:15</t>
  </si>
  <si>
    <t>01-07-2022 05:30</t>
  </si>
  <si>
    <t>01-07-2022 05:45</t>
  </si>
  <si>
    <t>01-07-2022 06:00</t>
  </si>
  <si>
    <t>01-07-2022 06:15</t>
  </si>
  <si>
    <t>01-07-2022 06:30</t>
  </si>
  <si>
    <t>01-07-2022 06:45</t>
  </si>
  <si>
    <t>01-07-2022 07:00</t>
  </si>
  <si>
    <t>01-07-2022 07:15</t>
  </si>
  <si>
    <t>01-07-2022 07:30</t>
  </si>
  <si>
    <t>01-07-2022 07:45</t>
  </si>
  <si>
    <t>01-07-2022 08:00</t>
  </si>
  <si>
    <t>01-07-2022 08:15</t>
  </si>
  <si>
    <t>01-07-2022 08:30</t>
  </si>
  <si>
    <t>01-07-2022 08:45</t>
  </si>
  <si>
    <t>01-07-2022 09:00</t>
  </si>
  <si>
    <t>01-07-2022 09:15</t>
  </si>
  <si>
    <t>01-07-2022 09:30</t>
  </si>
  <si>
    <t>01-07-2022 09:45</t>
  </si>
  <si>
    <t>01-07-2022 10:00</t>
  </si>
  <si>
    <t>01-07-2022 10:15</t>
  </si>
  <si>
    <t>01-07-2022 10:30</t>
  </si>
  <si>
    <t>01-07-2022 10:45</t>
  </si>
  <si>
    <t>01-07-2022 11:00</t>
  </si>
  <si>
    <t>01-07-2022 11:15</t>
  </si>
  <si>
    <t>01-07-2022 11:30</t>
  </si>
  <si>
    <t>01-07-2022 11:45</t>
  </si>
  <si>
    <t>01-07-2022 12:00</t>
  </si>
  <si>
    <t>01-07-2022 12:15</t>
  </si>
  <si>
    <t>01-07-2022 12:30</t>
  </si>
  <si>
    <t>01-07-2022 12:45</t>
  </si>
  <si>
    <t>01-07-2022 13:00</t>
  </si>
  <si>
    <t>01-07-2022 13:15</t>
  </si>
  <si>
    <t>01-07-2022 13:30</t>
  </si>
  <si>
    <t>01-07-2022 13:45</t>
  </si>
  <si>
    <t>01-07-2022 14:00</t>
  </si>
  <si>
    <t>01-07-2022 14:15</t>
  </si>
  <si>
    <t>01-07-2022 14:30</t>
  </si>
  <si>
    <t>01-07-2022 14:45</t>
  </si>
  <si>
    <t>01-07-2022 15:00</t>
  </si>
  <si>
    <t>01-07-2022 15:15</t>
  </si>
  <si>
    <t>01-07-2022 15:30</t>
  </si>
  <si>
    <t>01-07-2022 15:45</t>
  </si>
  <si>
    <t>01-07-2022 16:00</t>
  </si>
  <si>
    <t>01-07-2022 16:15</t>
  </si>
  <si>
    <t>01-07-2022 16:30</t>
  </si>
  <si>
    <t>01-07-2022 16:45</t>
  </si>
  <si>
    <t>01-07-2022 17:00</t>
  </si>
  <si>
    <t>01-07-2022 17:15</t>
  </si>
  <si>
    <t>01-07-2022 17:30</t>
  </si>
  <si>
    <t>01-07-2022 17:45</t>
  </si>
  <si>
    <t>01-07-2022 18:00</t>
  </si>
  <si>
    <t>01-07-2022 18:15</t>
  </si>
  <si>
    <t>01-07-2022 18:30</t>
  </si>
  <si>
    <t>01-07-2022 18:45</t>
  </si>
  <si>
    <t>01-07-2022 19:00</t>
  </si>
  <si>
    <t>01-07-2022 19:15</t>
  </si>
  <si>
    <t>01-07-2022 19:30</t>
  </si>
  <si>
    <t>01-07-2022 19:45</t>
  </si>
  <si>
    <t>01-07-2022 20:00</t>
  </si>
  <si>
    <t>01-07-2022 20:15</t>
  </si>
  <si>
    <t>01-07-2022 20:30</t>
  </si>
  <si>
    <t>01-07-2022 20:45</t>
  </si>
  <si>
    <t>01-07-2022 21:00</t>
  </si>
  <si>
    <t>01-07-2022 21:15</t>
  </si>
  <si>
    <t>01-07-2022 21:30</t>
  </si>
  <si>
    <t>01-07-2022 21:45</t>
  </si>
  <si>
    <t>01-07-2022 22:00</t>
  </si>
  <si>
    <t>01-07-2022 22:15</t>
  </si>
  <si>
    <t>01-07-2022 22:30</t>
  </si>
  <si>
    <t>01-07-2022 22:45</t>
  </si>
  <si>
    <t>01-07-2022 23:00</t>
  </si>
  <si>
    <t>01-07-2022 23:15</t>
  </si>
  <si>
    <t>01-07-2022 23:30</t>
  </si>
  <si>
    <t>01-07-2022 23:45</t>
  </si>
  <si>
    <t>01-07-2022 24:00</t>
  </si>
  <si>
    <t>02-07-2022 00:15</t>
  </si>
  <si>
    <t>02-07-2022 00:30</t>
  </si>
  <si>
    <t>02-07-2022 00:45</t>
  </si>
  <si>
    <t>02-07-2022 01:00</t>
  </si>
  <si>
    <t>02-07-2022 01:15</t>
  </si>
  <si>
    <t>02-07-2022 01:30</t>
  </si>
  <si>
    <t>02-07-2022 01:45</t>
  </si>
  <si>
    <t>02-07-2022 02:00</t>
  </si>
  <si>
    <t>02-07-2022 02:15</t>
  </si>
  <si>
    <t>02-07-2022 02:30</t>
  </si>
  <si>
    <t>02-07-2022 02:45</t>
  </si>
  <si>
    <t>02-07-2022 03:00</t>
  </si>
  <si>
    <t>02-07-2022 03:15</t>
  </si>
  <si>
    <t>02-07-2022 03:30</t>
  </si>
  <si>
    <t>02-07-2022 03:45</t>
  </si>
  <si>
    <t>02-07-2022 04:00</t>
  </si>
  <si>
    <t>02-07-2022 04:15</t>
  </si>
  <si>
    <t>02-07-2022 04:30</t>
  </si>
  <si>
    <t>02-07-2022 04:45</t>
  </si>
  <si>
    <t>02-07-2022 05:00</t>
  </si>
  <si>
    <t>02-07-2022 05:15</t>
  </si>
  <si>
    <t>02-07-2022 05:30</t>
  </si>
  <si>
    <t>02-07-2022 05:45</t>
  </si>
  <si>
    <t>02-07-2022 06:00</t>
  </si>
  <si>
    <t>02-07-2022 06:15</t>
  </si>
  <si>
    <t>02-07-2022 06:30</t>
  </si>
  <si>
    <t>02-07-2022 06:45</t>
  </si>
  <si>
    <t>02-07-2022 07:00</t>
  </si>
  <si>
    <t>02-07-2022 07:15</t>
  </si>
  <si>
    <t>02-07-2022 07:30</t>
  </si>
  <si>
    <t>02-07-2022 07:45</t>
  </si>
  <si>
    <t>02-07-2022 08:00</t>
  </si>
  <si>
    <t>02-07-2022 08:15</t>
  </si>
  <si>
    <t>02-07-2022 08:30</t>
  </si>
  <si>
    <t>02-07-2022 08:45</t>
  </si>
  <si>
    <t>02-07-2022 09:00</t>
  </si>
  <si>
    <t>02-07-2022 09:15</t>
  </si>
  <si>
    <t>02-07-2022 09:30</t>
  </si>
  <si>
    <t>02-07-2022 09:45</t>
  </si>
  <si>
    <t>02-07-2022 10:00</t>
  </si>
  <si>
    <t>02-07-2022 10:15</t>
  </si>
  <si>
    <t>02-07-2022 10:30</t>
  </si>
  <si>
    <t>02-07-2022 10:45</t>
  </si>
  <si>
    <t>02-07-2022 11:00</t>
  </si>
  <si>
    <t>02-07-2022 11:15</t>
  </si>
  <si>
    <t>02-07-2022 11:30</t>
  </si>
  <si>
    <t>02-07-2022 11:45</t>
  </si>
  <si>
    <t>02-07-2022 12:00</t>
  </si>
  <si>
    <t>02-07-2022 12:15</t>
  </si>
  <si>
    <t>02-07-2022 12:30</t>
  </si>
  <si>
    <t>02-07-2022 12:45</t>
  </si>
  <si>
    <t>02-07-2022 13:00</t>
  </si>
  <si>
    <t>02-07-2022 13:15</t>
  </si>
  <si>
    <t>02-07-2022 13:30</t>
  </si>
  <si>
    <t>02-07-2022 13:45</t>
  </si>
  <si>
    <t>02-07-2022 14:00</t>
  </si>
  <si>
    <t>02-07-2022 14:15</t>
  </si>
  <si>
    <t>02-07-2022 14:30</t>
  </si>
  <si>
    <t>02-07-2022 14:45</t>
  </si>
  <si>
    <t>02-07-2022 15:00</t>
  </si>
  <si>
    <t>02-07-2022 15:15</t>
  </si>
  <si>
    <t>02-07-2022 15:30</t>
  </si>
  <si>
    <t>02-07-2022 15:45</t>
  </si>
  <si>
    <t>02-07-2022 16:00</t>
  </si>
  <si>
    <t>02-07-2022 16:15</t>
  </si>
  <si>
    <t>02-07-2022 16:30</t>
  </si>
  <si>
    <t>02-07-2022 16:45</t>
  </si>
  <si>
    <t>02-07-2022 17:00</t>
  </si>
  <si>
    <t>02-07-2022 17:15</t>
  </si>
  <si>
    <t>02-07-2022 17:30</t>
  </si>
  <si>
    <t>02-07-2022 17:45</t>
  </si>
  <si>
    <t>02-07-2022 18:00</t>
  </si>
  <si>
    <t>02-07-2022 18:15</t>
  </si>
  <si>
    <t>02-07-2022 18:30</t>
  </si>
  <si>
    <t>02-07-2022 18:45</t>
  </si>
  <si>
    <t>02-07-2022 19:00</t>
  </si>
  <si>
    <t>02-07-2022 19:15</t>
  </si>
  <si>
    <t>02-07-2022 19:30</t>
  </si>
  <si>
    <t>02-07-2022 19:45</t>
  </si>
  <si>
    <t>02-07-2022 20:00</t>
  </si>
  <si>
    <t>02-07-2022 20:15</t>
  </si>
  <si>
    <t>02-07-2022 20:30</t>
  </si>
  <si>
    <t>02-07-2022 20:45</t>
  </si>
  <si>
    <t>02-07-2022 21:00</t>
  </si>
  <si>
    <t>02-07-2022 21:15</t>
  </si>
  <si>
    <t>02-07-2022 21:30</t>
  </si>
  <si>
    <t>02-07-2022 21:45</t>
  </si>
  <si>
    <t>02-07-2022 22:00</t>
  </si>
  <si>
    <t>02-07-2022 22:15</t>
  </si>
  <si>
    <t>02-07-2022 22:30</t>
  </si>
  <si>
    <t>02-07-2022 22:45</t>
  </si>
  <si>
    <t>02-07-2022 23:00</t>
  </si>
  <si>
    <t>02-07-2022 23:15</t>
  </si>
  <si>
    <t>02-07-2022 23:30</t>
  </si>
  <si>
    <t>02-07-2022 23:45</t>
  </si>
  <si>
    <t>02-07-2022 24:00</t>
  </si>
  <si>
    <t>03-07-2022 00:15</t>
  </si>
  <si>
    <t>03-07-2022 00:30</t>
  </si>
  <si>
    <t>03-07-2022 00:45</t>
  </si>
  <si>
    <t>03-07-2022 01:00</t>
  </si>
  <si>
    <t>03-07-2022 01:15</t>
  </si>
  <si>
    <t>03-07-2022 01:30</t>
  </si>
  <si>
    <t>03-07-2022 01:45</t>
  </si>
  <si>
    <t>03-07-2022 02:00</t>
  </si>
  <si>
    <t>03-07-2022 02:15</t>
  </si>
  <si>
    <t>03-07-2022 02:30</t>
  </si>
  <si>
    <t>03-07-2022 02:45</t>
  </si>
  <si>
    <t>03-07-2022 03:00</t>
  </si>
  <si>
    <t>03-07-2022 03:15</t>
  </si>
  <si>
    <t>03-07-2022 03:30</t>
  </si>
  <si>
    <t>03-07-2022 03:45</t>
  </si>
  <si>
    <t>03-07-2022 04:00</t>
  </si>
  <si>
    <t>03-07-2022 04:15</t>
  </si>
  <si>
    <t>03-07-2022 04:30</t>
  </si>
  <si>
    <t>03-07-2022 04:45</t>
  </si>
  <si>
    <t>03-07-2022 05:00</t>
  </si>
  <si>
    <t>03-07-2022 05:15</t>
  </si>
  <si>
    <t>03-07-2022 05:30</t>
  </si>
  <si>
    <t>03-07-2022 05:45</t>
  </si>
  <si>
    <t>03-07-2022 06:00</t>
  </si>
  <si>
    <t>03-07-2022 06:15</t>
  </si>
  <si>
    <t>03-07-2022 06:30</t>
  </si>
  <si>
    <t>03-07-2022 06:45</t>
  </si>
  <si>
    <t>03-07-2022 07:00</t>
  </si>
  <si>
    <t>03-07-2022 07:15</t>
  </si>
  <si>
    <t>03-07-2022 07:30</t>
  </si>
  <si>
    <t>03-07-2022 07:45</t>
  </si>
  <si>
    <t>03-07-2022 08:00</t>
  </si>
  <si>
    <t>03-07-2022 08:15</t>
  </si>
  <si>
    <t>03-07-2022 08:30</t>
  </si>
  <si>
    <t>03-07-2022 08:45</t>
  </si>
  <si>
    <t>03-07-2022 09:00</t>
  </si>
  <si>
    <t>03-07-2022 09:15</t>
  </si>
  <si>
    <t>03-07-2022 09:30</t>
  </si>
  <si>
    <t>03-07-2022 09:45</t>
  </si>
  <si>
    <t>03-07-2022 10:00</t>
  </si>
  <si>
    <t>03-07-2022 10:15</t>
  </si>
  <si>
    <t>03-07-2022 10:30</t>
  </si>
  <si>
    <t>03-07-2022 10:45</t>
  </si>
  <si>
    <t>03-07-2022 11:00</t>
  </si>
  <si>
    <t>03-07-2022 11:15</t>
  </si>
  <si>
    <t>03-07-2022 11:30</t>
  </si>
  <si>
    <t>03-07-2022 11:45</t>
  </si>
  <si>
    <t>03-07-2022 12:00</t>
  </si>
  <si>
    <t>03-07-2022 12:15</t>
  </si>
  <si>
    <t>03-07-2022 12:30</t>
  </si>
  <si>
    <t>03-07-2022 12:45</t>
  </si>
  <si>
    <t>03-07-2022 13:00</t>
  </si>
  <si>
    <t>03-07-2022 13:15</t>
  </si>
  <si>
    <t>03-07-2022 13:30</t>
  </si>
  <si>
    <t>03-07-2022 13:45</t>
  </si>
  <si>
    <t>03-07-2022 14:00</t>
  </si>
  <si>
    <t>03-07-2022 14:15</t>
  </si>
  <si>
    <t>03-07-2022 14:30</t>
  </si>
  <si>
    <t>03-07-2022 14:45</t>
  </si>
  <si>
    <t>03-07-2022 15:00</t>
  </si>
  <si>
    <t>03-07-2022 15:15</t>
  </si>
  <si>
    <t>03-07-2022 15:30</t>
  </si>
  <si>
    <t>03-07-2022 15:45</t>
  </si>
  <si>
    <t>03-07-2022 16:00</t>
  </si>
  <si>
    <t>03-07-2022 16:15</t>
  </si>
  <si>
    <t>03-07-2022 16:30</t>
  </si>
  <si>
    <t>03-07-2022 16:45</t>
  </si>
  <si>
    <t>03-07-2022 17:00</t>
  </si>
  <si>
    <t>03-07-2022 17:15</t>
  </si>
  <si>
    <t>03-07-2022 17:30</t>
  </si>
  <si>
    <t>03-07-2022 17:45</t>
  </si>
  <si>
    <t>03-07-2022 18:00</t>
  </si>
  <si>
    <t>03-07-2022 18:15</t>
  </si>
  <si>
    <t>03-07-2022 18:30</t>
  </si>
  <si>
    <t>03-07-2022 18:45</t>
  </si>
  <si>
    <t>03-07-2022 19:00</t>
  </si>
  <si>
    <t>03-07-2022 19:15</t>
  </si>
  <si>
    <t>03-07-2022 19:30</t>
  </si>
  <si>
    <t>03-07-2022 19:45</t>
  </si>
  <si>
    <t>03-07-2022 20:00</t>
  </si>
  <si>
    <t>03-07-2022 20:15</t>
  </si>
  <si>
    <t>03-07-2022 20:30</t>
  </si>
  <si>
    <t>03-07-2022 20:45</t>
  </si>
  <si>
    <t>03-07-2022 21:00</t>
  </si>
  <si>
    <t>03-07-2022 21:15</t>
  </si>
  <si>
    <t>03-07-2022 21:30</t>
  </si>
  <si>
    <t>03-07-2022 21:45</t>
  </si>
  <si>
    <t>03-07-2022 22:00</t>
  </si>
  <si>
    <t>03-07-2022 22:15</t>
  </si>
  <si>
    <t>03-07-2022 22:30</t>
  </si>
  <si>
    <t>03-07-2022 22:45</t>
  </si>
  <si>
    <t>03-07-2022 23:00</t>
  </si>
  <si>
    <t>03-07-2022 23:15</t>
  </si>
  <si>
    <t>03-07-2022 23:30</t>
  </si>
  <si>
    <t>03-07-2022 23:45</t>
  </si>
  <si>
    <t>03-07-2022 24:00</t>
  </si>
  <si>
    <t>04-07-2022 00:15</t>
  </si>
  <si>
    <t>04-07-2022 00:30</t>
  </si>
  <si>
    <t>04-07-2022 00:45</t>
  </si>
  <si>
    <t>04-07-2022 01:00</t>
  </si>
  <si>
    <t>04-07-2022 01:15</t>
  </si>
  <si>
    <t>04-07-2022 01:30</t>
  </si>
  <si>
    <t>04-07-2022 01:45</t>
  </si>
  <si>
    <t>04-07-2022 02:00</t>
  </si>
  <si>
    <t>04-07-2022 02:15</t>
  </si>
  <si>
    <t>04-07-2022 02:30</t>
  </si>
  <si>
    <t>04-07-2022 02:45</t>
  </si>
  <si>
    <t>04-07-2022 03:00</t>
  </si>
  <si>
    <t>04-07-2022 03:15</t>
  </si>
  <si>
    <t>04-07-2022 03:30</t>
  </si>
  <si>
    <t>04-07-2022 03:45</t>
  </si>
  <si>
    <t>04-07-2022 04:00</t>
  </si>
  <si>
    <t>04-07-2022 04:15</t>
  </si>
  <si>
    <t>04-07-2022 04:30</t>
  </si>
  <si>
    <t>04-07-2022 04:45</t>
  </si>
  <si>
    <t>04-07-2022 05:00</t>
  </si>
  <si>
    <t>04-07-2022 05:15</t>
  </si>
  <si>
    <t>04-07-2022 05:30</t>
  </si>
  <si>
    <t>04-07-2022 05:45</t>
  </si>
  <si>
    <t>04-07-2022 06:00</t>
  </si>
  <si>
    <t>04-07-2022 06:15</t>
  </si>
  <si>
    <t>04-07-2022 06:30</t>
  </si>
  <si>
    <t>04-07-2022 06:45</t>
  </si>
  <si>
    <t>04-07-2022 07:00</t>
  </si>
  <si>
    <t>04-07-2022 07:15</t>
  </si>
  <si>
    <t>04-07-2022 07:30</t>
  </si>
  <si>
    <t>04-07-2022 07:45</t>
  </si>
  <si>
    <t>04-07-2022 08:00</t>
  </si>
  <si>
    <t>04-07-2022 08:15</t>
  </si>
  <si>
    <t>04-07-2022 08:30</t>
  </si>
  <si>
    <t>04-07-2022 08:45</t>
  </si>
  <si>
    <t>04-07-2022 09:00</t>
  </si>
  <si>
    <t>04-07-2022 09:15</t>
  </si>
  <si>
    <t>04-07-2022 09:30</t>
  </si>
  <si>
    <t>04-07-2022 09:45</t>
  </si>
  <si>
    <t>04-07-2022 10:00</t>
  </si>
  <si>
    <t>04-07-2022 10:15</t>
  </si>
  <si>
    <t>04-07-2022 10:30</t>
  </si>
  <si>
    <t>04-07-2022 10:45</t>
  </si>
  <si>
    <t>04-07-2022 11:00</t>
  </si>
  <si>
    <t>04-07-2022 11:15</t>
  </si>
  <si>
    <t>04-07-2022 11:30</t>
  </si>
  <si>
    <t>04-07-2022 11:45</t>
  </si>
  <si>
    <t>04-07-2022 12:00</t>
  </si>
  <si>
    <t>04-07-2022 12:15</t>
  </si>
  <si>
    <t>04-07-2022 12:30</t>
  </si>
  <si>
    <t>04-07-2022 12:45</t>
  </si>
  <si>
    <t>04-07-2022 13:00</t>
  </si>
  <si>
    <t>04-07-2022 13:15</t>
  </si>
  <si>
    <t>04-07-2022 13:30</t>
  </si>
  <si>
    <t>04-07-2022 13:45</t>
  </si>
  <si>
    <t>04-07-2022 14:00</t>
  </si>
  <si>
    <t>04-07-2022 14:15</t>
  </si>
  <si>
    <t>04-07-2022 14:30</t>
  </si>
  <si>
    <t>04-07-2022 14:45</t>
  </si>
  <si>
    <t>04-07-2022 15:00</t>
  </si>
  <si>
    <t>04-07-2022 15:15</t>
  </si>
  <si>
    <t>04-07-2022 15:30</t>
  </si>
  <si>
    <t>04-07-2022 15:45</t>
  </si>
  <si>
    <t>04-07-2022 16:00</t>
  </si>
  <si>
    <t>04-07-2022 16:15</t>
  </si>
  <si>
    <t>04-07-2022 16:30</t>
  </si>
  <si>
    <t>04-07-2022 16:45</t>
  </si>
  <si>
    <t>04-07-2022 17:00</t>
  </si>
  <si>
    <t>04-07-2022 17:15</t>
  </si>
  <si>
    <t>04-07-2022 17:30</t>
  </si>
  <si>
    <t>04-07-2022 17:45</t>
  </si>
  <si>
    <t>04-07-2022 18:00</t>
  </si>
  <si>
    <t>04-07-2022 18:15</t>
  </si>
  <si>
    <t>04-07-2022 18:30</t>
  </si>
  <si>
    <t>04-07-2022 18:45</t>
  </si>
  <si>
    <t>04-07-2022 19:00</t>
  </si>
  <si>
    <t>04-07-2022 19:15</t>
  </si>
  <si>
    <t>04-07-2022 19:30</t>
  </si>
  <si>
    <t>04-07-2022 19:45</t>
  </si>
  <si>
    <t>04-07-2022 20:00</t>
  </si>
  <si>
    <t>04-07-2022 20:15</t>
  </si>
  <si>
    <t>04-07-2022 20:30</t>
  </si>
  <si>
    <t>04-07-2022 20:45</t>
  </si>
  <si>
    <t>04-07-2022 21:00</t>
  </si>
  <si>
    <t>04-07-2022 21:15</t>
  </si>
  <si>
    <t>04-07-2022 21:30</t>
  </si>
  <si>
    <t>04-07-2022 21:45</t>
  </si>
  <si>
    <t>04-07-2022 22:00</t>
  </si>
  <si>
    <t>04-07-2022 22:15</t>
  </si>
  <si>
    <t>04-07-2022 22:30</t>
  </si>
  <si>
    <t>04-07-2022 22:45</t>
  </si>
  <si>
    <t>04-07-2022 23:00</t>
  </si>
  <si>
    <t>04-07-2022 23:15</t>
  </si>
  <si>
    <t>04-07-2022 23:30</t>
  </si>
  <si>
    <t>04-07-2022 23:45</t>
  </si>
  <si>
    <t>04-07-2022 24:00</t>
  </si>
  <si>
    <t>rk</t>
  </si>
  <si>
    <t>05-07-2022 00:15</t>
  </si>
  <si>
    <t>05-07-2022 00:30</t>
  </si>
  <si>
    <t>05-07-2022 00:45</t>
  </si>
  <si>
    <t>05-07-2022 01:00</t>
  </si>
  <si>
    <t>05-07-2022 01:15</t>
  </si>
  <si>
    <t>05-07-2022 01:30</t>
  </si>
  <si>
    <t>05-07-2022 01:45</t>
  </si>
  <si>
    <t>05-07-2022 02:00</t>
  </si>
  <si>
    <t>05-07-2022 02:15</t>
  </si>
  <si>
    <t>05-07-2022 02:30</t>
  </si>
  <si>
    <t>05-07-2022 02:45</t>
  </si>
  <si>
    <t>05-07-2022 03:00</t>
  </si>
  <si>
    <t>05-07-2022 03:15</t>
  </si>
  <si>
    <t>05-07-2022 03:30</t>
  </si>
  <si>
    <t>05-07-2022 03:45</t>
  </si>
  <si>
    <t>05-07-2022 04:00</t>
  </si>
  <si>
    <t>05-07-2022 04:15</t>
  </si>
  <si>
    <t>05-07-2022 04:30</t>
  </si>
  <si>
    <t>05-07-2022 04:45</t>
  </si>
  <si>
    <t>05-07-2022 05:00</t>
  </si>
  <si>
    <t>05-07-2022 05:15</t>
  </si>
  <si>
    <t>05-07-2022 05:30</t>
  </si>
  <si>
    <t>05-07-2022 05:45</t>
  </si>
  <si>
    <t>05-07-2022 06:00</t>
  </si>
  <si>
    <t>05-07-2022 06:15</t>
  </si>
  <si>
    <t>05-07-2022 06:30</t>
  </si>
  <si>
    <t>05-07-2022 06:45</t>
  </si>
  <si>
    <t>05-07-2022 07:00</t>
  </si>
  <si>
    <t>05-07-2022 07:15</t>
  </si>
  <si>
    <t>05-07-2022 07:30</t>
  </si>
  <si>
    <t>05-07-2022 07:45</t>
  </si>
  <si>
    <t>05-07-2022 08:00</t>
  </si>
  <si>
    <t>05-07-2022 08:15</t>
  </si>
  <si>
    <t>05-07-2022 08:30</t>
  </si>
  <si>
    <t>05-07-2022 08:45</t>
  </si>
  <si>
    <t>05-07-2022 09:00</t>
  </si>
  <si>
    <t>05-07-2022 09:15</t>
  </si>
  <si>
    <t>05-07-2022 09:30</t>
  </si>
  <si>
    <t>05-07-2022 09:45</t>
  </si>
  <si>
    <t>05-07-2022 10:00</t>
  </si>
  <si>
    <t>05-07-2022 10:15</t>
  </si>
  <si>
    <t>05-07-2022 10:30</t>
  </si>
  <si>
    <t>05-07-2022 10:45</t>
  </si>
  <si>
    <t>05-07-2022 11:00</t>
  </si>
  <si>
    <t>05-07-2022 11:15</t>
  </si>
  <si>
    <t>05-07-2022 11:30</t>
  </si>
  <si>
    <t>05-07-2022 11:45</t>
  </si>
  <si>
    <t>05-07-2022 12:00</t>
  </si>
  <si>
    <t>05-07-2022 12:15</t>
  </si>
  <si>
    <t>05-07-2022 12:30</t>
  </si>
  <si>
    <t>05-07-2022 12:45</t>
  </si>
  <si>
    <t>05-07-2022 13:00</t>
  </si>
  <si>
    <t>05-07-2022 13:15</t>
  </si>
  <si>
    <t>05-07-2022 13:30</t>
  </si>
  <si>
    <t>05-07-2022 13:45</t>
  </si>
  <si>
    <t>05-07-2022 14:00</t>
  </si>
  <si>
    <t>05-07-2022 14:15</t>
  </si>
  <si>
    <t>05-07-2022 14:30</t>
  </si>
  <si>
    <t>05-07-2022 14:45</t>
  </si>
  <si>
    <t>05-07-2022 15:00</t>
  </si>
  <si>
    <t>05-07-2022 15:15</t>
  </si>
  <si>
    <t>05-07-2022 15:30</t>
  </si>
  <si>
    <t>05-07-2022 15:45</t>
  </si>
  <si>
    <t>05-07-2022 16:00</t>
  </si>
  <si>
    <t>05-07-2022 16:15</t>
  </si>
  <si>
    <t>05-07-2022 16:30</t>
  </si>
  <si>
    <t>05-07-2022 16:45</t>
  </si>
  <si>
    <t>05-07-2022 17:00</t>
  </si>
  <si>
    <t>05-07-2022 17:15</t>
  </si>
  <si>
    <t>05-07-2022 17:30</t>
  </si>
  <si>
    <t>05-07-2022 17:45</t>
  </si>
  <si>
    <t>05-07-2022 18:00</t>
  </si>
  <si>
    <t>05-07-2022 18:15</t>
  </si>
  <si>
    <t>05-07-2022 18:30</t>
  </si>
  <si>
    <t>05-07-2022 18:45</t>
  </si>
  <si>
    <t>05-07-2022 19:00</t>
  </si>
  <si>
    <t>05-07-2022 19:15</t>
  </si>
  <si>
    <t>05-07-2022 19:30</t>
  </si>
  <si>
    <t>05-07-2022 19:45</t>
  </si>
  <si>
    <t>05-07-2022 20:00</t>
  </si>
  <si>
    <t>05-07-2022 20:15</t>
  </si>
  <si>
    <t>05-07-2022 20:30</t>
  </si>
  <si>
    <t>05-07-2022 20:45</t>
  </si>
  <si>
    <t>05-07-2022 21:00</t>
  </si>
  <si>
    <t>05-07-2022 21:15</t>
  </si>
  <si>
    <t>05-07-2022 21:30</t>
  </si>
  <si>
    <t>05-07-2022 21:45</t>
  </si>
  <si>
    <t>05-07-2022 22:00</t>
  </si>
  <si>
    <t>05-07-2022 22:15</t>
  </si>
  <si>
    <t>05-07-2022 22:30</t>
  </si>
  <si>
    <t>05-07-2022 22:45</t>
  </si>
  <si>
    <t>05-07-2022 23:00</t>
  </si>
  <si>
    <t>05-07-2022 23:15</t>
  </si>
  <si>
    <t>05-07-2022 23:30</t>
  </si>
  <si>
    <t>05-07-2022 23:45</t>
  </si>
  <si>
    <t>05-07-2022 24:00</t>
  </si>
  <si>
    <t>06-07-2022 00:15</t>
  </si>
  <si>
    <t>06-07-2022 00:30</t>
  </si>
  <si>
    <t>06-07-2022 00:45</t>
  </si>
  <si>
    <t>06-07-2022 01:00</t>
  </si>
  <si>
    <t>06-07-2022 01:15</t>
  </si>
  <si>
    <t>06-07-2022 01:30</t>
  </si>
  <si>
    <t>06-07-2022 01:45</t>
  </si>
  <si>
    <t>06-07-2022 02:00</t>
  </si>
  <si>
    <t>06-07-2022 02:15</t>
  </si>
  <si>
    <t>06-07-2022 02:30</t>
  </si>
  <si>
    <t>06-07-2022 02:45</t>
  </si>
  <si>
    <t>06-07-2022 03:00</t>
  </si>
  <si>
    <t>06-07-2022 03:15</t>
  </si>
  <si>
    <t>06-07-2022 03:30</t>
  </si>
  <si>
    <t>06-07-2022 03:45</t>
  </si>
  <si>
    <t>06-07-2022 04:00</t>
  </si>
  <si>
    <t>06-07-2022 04:15</t>
  </si>
  <si>
    <t>06-07-2022 04:30</t>
  </si>
  <si>
    <t>06-07-2022 04:45</t>
  </si>
  <si>
    <t>06-07-2022 05:00</t>
  </si>
  <si>
    <t>06-07-2022 05:15</t>
  </si>
  <si>
    <t>06-07-2022 05:30</t>
  </si>
  <si>
    <t>06-07-2022 05:45</t>
  </si>
  <si>
    <t>06-07-2022 06:00</t>
  </si>
  <si>
    <t>06-07-2022 06:15</t>
  </si>
  <si>
    <t>06-07-2022 06:30</t>
  </si>
  <si>
    <t>06-07-2022 06:45</t>
  </si>
  <si>
    <t>06-07-2022 07:00</t>
  </si>
  <si>
    <t>06-07-2022 07:15</t>
  </si>
  <si>
    <t>06-07-2022 07:30</t>
  </si>
  <si>
    <t>06-07-2022 07:45</t>
  </si>
  <si>
    <t>06-07-2022 08:00</t>
  </si>
  <si>
    <t>06-07-2022 08:15</t>
  </si>
  <si>
    <t>06-07-2022 08:30</t>
  </si>
  <si>
    <t>06-07-2022 08:45</t>
  </si>
  <si>
    <t>06-07-2022 09:00</t>
  </si>
  <si>
    <t>06-07-2022 09:15</t>
  </si>
  <si>
    <t>06-07-2022 09:30</t>
  </si>
  <si>
    <t>06-07-2022 09:45</t>
  </si>
  <si>
    <t>06-07-2022 10:00</t>
  </si>
  <si>
    <t>06-07-2022 10:15</t>
  </si>
  <si>
    <t>06-07-2022 10:30</t>
  </si>
  <si>
    <t>06-07-2022 10:45</t>
  </si>
  <si>
    <t>06-07-2022 11:00</t>
  </si>
  <si>
    <t>06-07-2022 11:15</t>
  </si>
  <si>
    <t>06-07-2022 11:30</t>
  </si>
  <si>
    <t>06-07-2022 11:45</t>
  </si>
  <si>
    <t>06-07-2022 12:00</t>
  </si>
  <si>
    <t>06-07-2022 12:15</t>
  </si>
  <si>
    <t>06-07-2022 12:30</t>
  </si>
  <si>
    <t>06-07-2022 12:45</t>
  </si>
  <si>
    <t>06-07-2022 13:00</t>
  </si>
  <si>
    <t>06-07-2022 13:15</t>
  </si>
  <si>
    <t>06-07-2022 13:30</t>
  </si>
  <si>
    <t>06-07-2022 13:45</t>
  </si>
  <si>
    <t>06-07-2022 14:00</t>
  </si>
  <si>
    <t>06-07-2022 14:15</t>
  </si>
  <si>
    <t>06-07-2022 14:30</t>
  </si>
  <si>
    <t>06-07-2022 14:45</t>
  </si>
  <si>
    <t>06-07-2022 15:00</t>
  </si>
  <si>
    <t>06-07-2022 15:15</t>
  </si>
  <si>
    <t>06-07-2022 15:30</t>
  </si>
  <si>
    <t>06-07-2022 15:45</t>
  </si>
  <si>
    <t>06-07-2022 16:00</t>
  </si>
  <si>
    <t>06-07-2022 16:15</t>
  </si>
  <si>
    <t>06-07-2022 16:30</t>
  </si>
  <si>
    <t>06-07-2022 16:45</t>
  </si>
  <si>
    <t>06-07-2022 17:00</t>
  </si>
  <si>
    <t>06-07-2022 17:15</t>
  </si>
  <si>
    <t>06-07-2022 17:30</t>
  </si>
  <si>
    <t>06-07-2022 17:45</t>
  </si>
  <si>
    <t>06-07-2022 18:00</t>
  </si>
  <si>
    <t>06-07-2022 18:15</t>
  </si>
  <si>
    <t>06-07-2022 18:30</t>
  </si>
  <si>
    <t>06-07-2022 18:45</t>
  </si>
  <si>
    <t>06-07-2022 19:00</t>
  </si>
  <si>
    <t>06-07-2022 19:15</t>
  </si>
  <si>
    <t>06-07-2022 19:30</t>
  </si>
  <si>
    <t>06-07-2022 19:45</t>
  </si>
  <si>
    <t>06-07-2022 20:00</t>
  </si>
  <si>
    <t>06-07-2022 20:15</t>
  </si>
  <si>
    <t>06-07-2022 20:30</t>
  </si>
  <si>
    <t>06-07-2022 20:45</t>
  </si>
  <si>
    <t>06-07-2022 21:00</t>
  </si>
  <si>
    <t>06-07-2022 21:15</t>
  </si>
  <si>
    <t>06-07-2022 21:30</t>
  </si>
  <si>
    <t>06-07-2022 21:45</t>
  </si>
  <si>
    <t>06-07-2022 22:00</t>
  </si>
  <si>
    <t>06-07-2022 22:15</t>
  </si>
  <si>
    <t>06-07-2022 22:30</t>
  </si>
  <si>
    <t>06-07-2022 22:45</t>
  </si>
  <si>
    <t>06-07-2022 23:00</t>
  </si>
  <si>
    <t>06-07-2022 23:15</t>
  </si>
  <si>
    <t>06-07-2022 23:30</t>
  </si>
  <si>
    <t>06-07-2022 23:45</t>
  </si>
  <si>
    <t>06-07-2022 24:00</t>
  </si>
  <si>
    <t>07-07-2022 00:15</t>
  </si>
  <si>
    <t>07-07-2022 00:30</t>
  </si>
  <si>
    <t>07-07-2022 00:45</t>
  </si>
  <si>
    <t>07-07-2022 01:00</t>
  </si>
  <si>
    <t>07-07-2022 01:15</t>
  </si>
  <si>
    <t>07-07-2022 01:30</t>
  </si>
  <si>
    <t>07-07-2022 01:45</t>
  </si>
  <si>
    <t>07-07-2022 02:00</t>
  </si>
  <si>
    <t>07-07-2022 02:15</t>
  </si>
  <si>
    <t>07-07-2022 02:30</t>
  </si>
  <si>
    <t>07-07-2022 02:45</t>
  </si>
  <si>
    <t>07-07-2022 03:00</t>
  </si>
  <si>
    <t>07-07-2022 03:15</t>
  </si>
  <si>
    <t>07-07-2022 03:30</t>
  </si>
  <si>
    <t>07-07-2022 03:45</t>
  </si>
  <si>
    <t>07-07-2022 04:00</t>
  </si>
  <si>
    <t>07-07-2022 04:15</t>
  </si>
  <si>
    <t>07-07-2022 04:30</t>
  </si>
  <si>
    <t>07-07-2022 04:45</t>
  </si>
  <si>
    <t>07-07-2022 05:00</t>
  </si>
  <si>
    <t>07-07-2022 05:15</t>
  </si>
  <si>
    <t>07-07-2022 05:30</t>
  </si>
  <si>
    <t>07-07-2022 05:45</t>
  </si>
  <si>
    <t>07-07-2022 06:00</t>
  </si>
  <si>
    <t>07-07-2022 06:15</t>
  </si>
  <si>
    <t>07-07-2022 06:30</t>
  </si>
  <si>
    <t>07-07-2022 06:45</t>
  </si>
  <si>
    <t>07-07-2022 07:00</t>
  </si>
  <si>
    <t>07-07-2022 07:15</t>
  </si>
  <si>
    <t>07-07-2022 07:30</t>
  </si>
  <si>
    <t>07-07-2022 07:45</t>
  </si>
  <si>
    <t>07-07-2022 08:00</t>
  </si>
  <si>
    <t>07-07-2022 08:15</t>
  </si>
  <si>
    <t>07-07-2022 08:30</t>
  </si>
  <si>
    <t>07-07-2022 08:45</t>
  </si>
  <si>
    <t>07-07-2022 09:00</t>
  </si>
  <si>
    <t>07-07-2022 09:15</t>
  </si>
  <si>
    <t>07-07-2022 09:30</t>
  </si>
  <si>
    <t>07-07-2022 09:45</t>
  </si>
  <si>
    <t>07-07-2022 10:00</t>
  </si>
  <si>
    <t>07-07-2022 10:15</t>
  </si>
  <si>
    <t>07-07-2022 10:30</t>
  </si>
  <si>
    <t>07-07-2022 10:45</t>
  </si>
  <si>
    <t>07-07-2022 11:00</t>
  </si>
  <si>
    <t>07-07-2022 11:15</t>
  </si>
  <si>
    <t>07-07-2022 11:30</t>
  </si>
  <si>
    <t>07-07-2022 11:45</t>
  </si>
  <si>
    <t>07-07-2022 12:00</t>
  </si>
  <si>
    <t>07-07-2022 12:15</t>
  </si>
  <si>
    <t>07-07-2022 12:30</t>
  </si>
  <si>
    <t>07-07-2022 12:45</t>
  </si>
  <si>
    <t>07-07-2022 13:00</t>
  </si>
  <si>
    <t>07-07-2022 13:15</t>
  </si>
  <si>
    <t>07-07-2022 13:30</t>
  </si>
  <si>
    <t>07-07-2022 13:45</t>
  </si>
  <si>
    <t>07-07-2022 14:00</t>
  </si>
  <si>
    <t>07-07-2022 14:15</t>
  </si>
  <si>
    <t>07-07-2022 14:30</t>
  </si>
  <si>
    <t>07-07-2022 14:45</t>
  </si>
  <si>
    <t>07-07-2022 15:00</t>
  </si>
  <si>
    <t>07-07-2022 15:15</t>
  </si>
  <si>
    <t>07-07-2022 15:30</t>
  </si>
  <si>
    <t>07-07-2022 15:45</t>
  </si>
  <si>
    <t>07-07-2022 16:00</t>
  </si>
  <si>
    <t>07-07-2022 16:15</t>
  </si>
  <si>
    <t>07-07-2022 16:30</t>
  </si>
  <si>
    <t>07-07-2022 16:45</t>
  </si>
  <si>
    <t>07-07-2022 17:00</t>
  </si>
  <si>
    <t>07-07-2022 17:15</t>
  </si>
  <si>
    <t>07-07-2022 17:30</t>
  </si>
  <si>
    <t>07-07-2022 17:45</t>
  </si>
  <si>
    <t>07-07-2022 18:00</t>
  </si>
  <si>
    <t>07-07-2022 18:15</t>
  </si>
  <si>
    <t>07-07-2022 18:30</t>
  </si>
  <si>
    <t>07-07-2022 18:45</t>
  </si>
  <si>
    <t>07-07-2022 19:00</t>
  </si>
  <si>
    <t>07-07-2022 19:15</t>
  </si>
  <si>
    <t>07-07-2022 19:30</t>
  </si>
  <si>
    <t>07-07-2022 19:45</t>
  </si>
  <si>
    <t>07-07-2022 20:00</t>
  </si>
  <si>
    <t>07-07-2022 20:15</t>
  </si>
  <si>
    <t>07-07-2022 20:30</t>
  </si>
  <si>
    <t>07-07-2022 20:45</t>
  </si>
  <si>
    <t>07-07-2022 21:00</t>
  </si>
  <si>
    <t>07-07-2022 21:15</t>
  </si>
  <si>
    <t>07-07-2022 21:30</t>
  </si>
  <si>
    <t>07-07-2022 21:45</t>
  </si>
  <si>
    <t>07-07-2022 22:00</t>
  </si>
  <si>
    <t>07-07-2022 22:15</t>
  </si>
  <si>
    <t>07-07-2022 22:30</t>
  </si>
  <si>
    <t>07-07-2022 22:45</t>
  </si>
  <si>
    <t>07-07-2022 23:00</t>
  </si>
  <si>
    <t>07-07-2022 23:15</t>
  </si>
  <si>
    <t>07-07-2022 23:30</t>
  </si>
  <si>
    <t>07-07-2022 23:45</t>
  </si>
  <si>
    <t>07-07-2022 24:00</t>
  </si>
  <si>
    <t>08-07-2022 00:15</t>
  </si>
  <si>
    <t>08-07-2022 00:30</t>
  </si>
  <si>
    <t>08-07-2022 00:45</t>
  </si>
  <si>
    <t>08-07-2022 01:00</t>
  </si>
  <si>
    <t>08-07-2022 01:15</t>
  </si>
  <si>
    <t>08-07-2022 01:30</t>
  </si>
  <si>
    <t>08-07-2022 01:45</t>
  </si>
  <si>
    <t>08-07-2022 02:00</t>
  </si>
  <si>
    <t>08-07-2022 02:15</t>
  </si>
  <si>
    <t>08-07-2022 02:30</t>
  </si>
  <si>
    <t>08-07-2022 02:45</t>
  </si>
  <si>
    <t>08-07-2022 03:00</t>
  </si>
  <si>
    <t>08-07-2022 03:15</t>
  </si>
  <si>
    <t>08-07-2022 03:30</t>
  </si>
  <si>
    <t>08-07-2022 03:45</t>
  </si>
  <si>
    <t>08-07-2022 04:00</t>
  </si>
  <si>
    <t>08-07-2022 04:15</t>
  </si>
  <si>
    <t>08-07-2022 04:30</t>
  </si>
  <si>
    <t>08-07-2022 04:45</t>
  </si>
  <si>
    <t>08-07-2022 05:00</t>
  </si>
  <si>
    <t>08-07-2022 05:15</t>
  </si>
  <si>
    <t>08-07-2022 05:30</t>
  </si>
  <si>
    <t>08-07-2022 05:45</t>
  </si>
  <si>
    <t>08-07-2022 06:00</t>
  </si>
  <si>
    <t>08-07-2022 06:15</t>
  </si>
  <si>
    <t>08-07-2022 06:30</t>
  </si>
  <si>
    <t>08-07-2022 06:45</t>
  </si>
  <si>
    <t>08-07-2022 07:00</t>
  </si>
  <si>
    <t>08-07-2022 07:15</t>
  </si>
  <si>
    <t>08-07-2022 07:30</t>
  </si>
  <si>
    <t>08-07-2022 07:45</t>
  </si>
  <si>
    <t>08-07-2022 08:00</t>
  </si>
  <si>
    <t>08-07-2022 08:15</t>
  </si>
  <si>
    <t>08-07-2022 08:30</t>
  </si>
  <si>
    <t>08-07-2022 08:45</t>
  </si>
  <si>
    <t>08-07-2022 09:00</t>
  </si>
  <si>
    <t>08-07-2022 09:15</t>
  </si>
  <si>
    <t>08-07-2022 09:30</t>
  </si>
  <si>
    <t>08-07-2022 09:45</t>
  </si>
  <si>
    <t>08-07-2022 10:00</t>
  </si>
  <si>
    <t>08-07-2022 10:15</t>
  </si>
  <si>
    <t>08-07-2022 10:30</t>
  </si>
  <si>
    <t>08-07-2022 10:45</t>
  </si>
  <si>
    <t>08-07-2022 11:00</t>
  </si>
  <si>
    <t>08-07-2022 11:15</t>
  </si>
  <si>
    <t>08-07-2022 11:30</t>
  </si>
  <si>
    <t>08-07-2022 11:45</t>
  </si>
  <si>
    <t>08-07-2022 12:00</t>
  </si>
  <si>
    <t>08-07-2022 12:15</t>
  </si>
  <si>
    <t>08-07-2022 12:30</t>
  </si>
  <si>
    <t>08-07-2022 12:45</t>
  </si>
  <si>
    <t>08-07-2022 13:00</t>
  </si>
  <si>
    <t>08-07-2022 13:15</t>
  </si>
  <si>
    <t>08-07-2022 13:30</t>
  </si>
  <si>
    <t>08-07-2022 13:45</t>
  </si>
  <si>
    <t>08-07-2022 14:00</t>
  </si>
  <si>
    <t>08-07-2022 14:15</t>
  </si>
  <si>
    <t>08-07-2022 14:30</t>
  </si>
  <si>
    <t>08-07-2022 14:45</t>
  </si>
  <si>
    <t>08-07-2022 15:00</t>
  </si>
  <si>
    <t>08-07-2022 15:15</t>
  </si>
  <si>
    <t>08-07-2022 15:30</t>
  </si>
  <si>
    <t>08-07-2022 15:45</t>
  </si>
  <si>
    <t>08-07-2022 16:00</t>
  </si>
  <si>
    <t>08-07-2022 16:15</t>
  </si>
  <si>
    <t>08-07-2022 16:30</t>
  </si>
  <si>
    <t>08-07-2022 16:45</t>
  </si>
  <si>
    <t>08-07-2022 17:00</t>
  </si>
  <si>
    <t>08-07-2022 17:15</t>
  </si>
  <si>
    <t>08-07-2022 17:30</t>
  </si>
  <si>
    <t>08-07-2022 17:45</t>
  </si>
  <si>
    <t>08-07-2022 18:00</t>
  </si>
  <si>
    <t>08-07-2022 18:15</t>
  </si>
  <si>
    <t>08-07-2022 18:30</t>
  </si>
  <si>
    <t>08-07-2022 18:45</t>
  </si>
  <si>
    <t>08-07-2022 19:00</t>
  </si>
  <si>
    <t>08-07-2022 19:15</t>
  </si>
  <si>
    <t>08-07-2022 19:30</t>
  </si>
  <si>
    <t>08-07-2022 19:45</t>
  </si>
  <si>
    <t>08-07-2022 20:00</t>
  </si>
  <si>
    <t>08-07-2022 20:15</t>
  </si>
  <si>
    <t>08-07-2022 20:30</t>
  </si>
  <si>
    <t>08-07-2022 20:45</t>
  </si>
  <si>
    <t>08-07-2022 21:00</t>
  </si>
  <si>
    <t>08-07-2022 21:15</t>
  </si>
  <si>
    <t>08-07-2022 21:30</t>
  </si>
  <si>
    <t>08-07-2022 21:45</t>
  </si>
  <si>
    <t>08-07-2022 22:00</t>
  </si>
  <si>
    <t>08-07-2022 22:15</t>
  </si>
  <si>
    <t>08-07-2022 22:30</t>
  </si>
  <si>
    <t>08-07-2022 22:45</t>
  </si>
  <si>
    <t>08-07-2022 23:00</t>
  </si>
  <si>
    <t>08-07-2022 23:15</t>
  </si>
  <si>
    <t>08-07-2022 23:30</t>
  </si>
  <si>
    <t>08-07-2022 23:45</t>
  </si>
  <si>
    <t>08-07-2022 24:00</t>
  </si>
  <si>
    <t>09-07-2022 00:15</t>
  </si>
  <si>
    <t>09-07-2022 00:30</t>
  </si>
  <si>
    <t>09-07-2022 00:45</t>
  </si>
  <si>
    <t>09-07-2022 01:00</t>
  </si>
  <si>
    <t>09-07-2022 01:15</t>
  </si>
  <si>
    <t>09-07-2022 01:30</t>
  </si>
  <si>
    <t>09-07-2022 01:45</t>
  </si>
  <si>
    <t>09-07-2022 02:00</t>
  </si>
  <si>
    <t>09-07-2022 02:15</t>
  </si>
  <si>
    <t>09-07-2022 02:30</t>
  </si>
  <si>
    <t>09-07-2022 02:45</t>
  </si>
  <si>
    <t>09-07-2022 03:00</t>
  </si>
  <si>
    <t>09-07-2022 03:15</t>
  </si>
  <si>
    <t>09-07-2022 03:30</t>
  </si>
  <si>
    <t>09-07-2022 03:45</t>
  </si>
  <si>
    <t>09-07-2022 04:00</t>
  </si>
  <si>
    <t>09-07-2022 04:15</t>
  </si>
  <si>
    <t>09-07-2022 04:30</t>
  </si>
  <si>
    <t>09-07-2022 04:45</t>
  </si>
  <si>
    <t>09-07-2022 05:00</t>
  </si>
  <si>
    <t>09-07-2022 05:15</t>
  </si>
  <si>
    <t>09-07-2022 05:30</t>
  </si>
  <si>
    <t>09-07-2022 05:45</t>
  </si>
  <si>
    <t>09-07-2022 06:00</t>
  </si>
  <si>
    <t>09-07-2022 06:15</t>
  </si>
  <si>
    <t>09-07-2022 06:30</t>
  </si>
  <si>
    <t>09-07-2022 06:45</t>
  </si>
  <si>
    <t>09-07-2022 07:00</t>
  </si>
  <si>
    <t>09-07-2022 07:15</t>
  </si>
  <si>
    <t>09-07-2022 07:30</t>
  </si>
  <si>
    <t>09-07-2022 07:45</t>
  </si>
  <si>
    <t>09-07-2022 08:00</t>
  </si>
  <si>
    <t>09-07-2022 08:15</t>
  </si>
  <si>
    <t>09-07-2022 08:30</t>
  </si>
  <si>
    <t>09-07-2022 08:45</t>
  </si>
  <si>
    <t>09-07-2022 09:00</t>
  </si>
  <si>
    <t>09-07-2022 09:15</t>
  </si>
  <si>
    <t>09-07-2022 09:30</t>
  </si>
  <si>
    <t>09-07-2022 09:45</t>
  </si>
  <si>
    <t>09-07-2022 10:00</t>
  </si>
  <si>
    <t>09-07-2022 10:15</t>
  </si>
  <si>
    <t>09-07-2022 10:30</t>
  </si>
  <si>
    <t>09-07-2022 10:45</t>
  </si>
  <si>
    <t>09-07-2022 11:00</t>
  </si>
  <si>
    <t>09-07-2022 11:15</t>
  </si>
  <si>
    <t>09-07-2022 11:30</t>
  </si>
  <si>
    <t>09-07-2022 11:45</t>
  </si>
  <si>
    <t>09-07-2022 12:00</t>
  </si>
  <si>
    <t>09-07-2022 12:15</t>
  </si>
  <si>
    <t>09-07-2022 12:30</t>
  </si>
  <si>
    <t>09-07-2022 12:45</t>
  </si>
  <si>
    <t>09-07-2022 13:00</t>
  </si>
  <si>
    <t>09-07-2022 13:15</t>
  </si>
  <si>
    <t>09-07-2022 13:30</t>
  </si>
  <si>
    <t>09-07-2022 13:45</t>
  </si>
  <si>
    <t>09-07-2022 14:00</t>
  </si>
  <si>
    <t>09-07-2022 14:15</t>
  </si>
  <si>
    <t>09-07-2022 14:30</t>
  </si>
  <si>
    <t>09-07-2022 14:45</t>
  </si>
  <si>
    <t>09-07-2022 15:00</t>
  </si>
  <si>
    <t>09-07-2022 15:15</t>
  </si>
  <si>
    <t>09-07-2022 15:30</t>
  </si>
  <si>
    <t>09-07-2022 15:45</t>
  </si>
  <si>
    <t>09-07-2022 16:00</t>
  </si>
  <si>
    <t>09-07-2022 16:15</t>
  </si>
  <si>
    <t>09-07-2022 16:30</t>
  </si>
  <si>
    <t>09-07-2022 16:45</t>
  </si>
  <si>
    <t>09-07-2022 17:00</t>
  </si>
  <si>
    <t>09-07-2022 17:15</t>
  </si>
  <si>
    <t>09-07-2022 17:30</t>
  </si>
  <si>
    <t>09-07-2022 17:45</t>
  </si>
  <si>
    <t>09-07-2022 18:00</t>
  </si>
  <si>
    <t>09-07-2022 18:15</t>
  </si>
  <si>
    <t>09-07-2022 18:30</t>
  </si>
  <si>
    <t>09-07-2022 18:45</t>
  </si>
  <si>
    <t>09-07-2022 19:00</t>
  </si>
  <si>
    <t>09-07-2022 19:15</t>
  </si>
  <si>
    <t>09-07-2022 19:30</t>
  </si>
  <si>
    <t>09-07-2022 19:45</t>
  </si>
  <si>
    <t>09-07-2022 20:00</t>
  </si>
  <si>
    <t>09-07-2022 20:15</t>
  </si>
  <si>
    <t>09-07-2022 20:30</t>
  </si>
  <si>
    <t>09-07-2022 20:45</t>
  </si>
  <si>
    <t>09-07-2022 21:00</t>
  </si>
  <si>
    <t>09-07-2022 21:15</t>
  </si>
  <si>
    <t>09-07-2022 21:30</t>
  </si>
  <si>
    <t>09-07-2022 21:45</t>
  </si>
  <si>
    <t>09-07-2022 22:00</t>
  </si>
  <si>
    <t>09-07-2022 22:15</t>
  </si>
  <si>
    <t>09-07-2022 22:30</t>
  </si>
  <si>
    <t>09-07-2022 22:45</t>
  </si>
  <si>
    <t>09-07-2022 23:00</t>
  </si>
  <si>
    <t>09-07-2022 23:15</t>
  </si>
  <si>
    <t>09-07-2022 23:30</t>
  </si>
  <si>
    <t>09-07-2022 23:45</t>
  </si>
  <si>
    <t>09-07-2022 24:00</t>
  </si>
  <si>
    <t>10-07-2022 00:15</t>
  </si>
  <si>
    <t>10-07-2022 00:30</t>
  </si>
  <si>
    <t>10-07-2022 00:45</t>
  </si>
  <si>
    <t>10-07-2022 01:00</t>
  </si>
  <si>
    <t>10-07-2022 01:15</t>
  </si>
  <si>
    <t>10-07-2022 01:30</t>
  </si>
  <si>
    <t>10-07-2022 01:45</t>
  </si>
  <si>
    <t>10-07-2022 02:00</t>
  </si>
  <si>
    <t>10-07-2022 02:15</t>
  </si>
  <si>
    <t>10-07-2022 02:30</t>
  </si>
  <si>
    <t>10-07-2022 02:45</t>
  </si>
  <si>
    <t>10-07-2022 03:00</t>
  </si>
  <si>
    <t>10-07-2022 03:15</t>
  </si>
  <si>
    <t>10-07-2022 03:30</t>
  </si>
  <si>
    <t>10-07-2022 03:45</t>
  </si>
  <si>
    <t>10-07-2022 04:00</t>
  </si>
  <si>
    <t>10-07-2022 04:15</t>
  </si>
  <si>
    <t>10-07-2022 04:30</t>
  </si>
  <si>
    <t>10-07-2022 04:45</t>
  </si>
  <si>
    <t>10-07-2022 05:00</t>
  </si>
  <si>
    <t>10-07-2022 05:15</t>
  </si>
  <si>
    <t>10-07-2022 05:30</t>
  </si>
  <si>
    <t>10-07-2022 05:45</t>
  </si>
  <si>
    <t>10-07-2022 06:00</t>
  </si>
  <si>
    <t>10-07-2022 06:15</t>
  </si>
  <si>
    <t>10-07-2022 06:30</t>
  </si>
  <si>
    <t>10-07-2022 06:45</t>
  </si>
  <si>
    <t>10-07-2022 07:00</t>
  </si>
  <si>
    <t>10-07-2022 07:15</t>
  </si>
  <si>
    <t>10-07-2022 07:30</t>
  </si>
  <si>
    <t>10-07-2022 07:45</t>
  </si>
  <si>
    <t>10-07-2022 08:00</t>
  </si>
  <si>
    <t>10-07-2022 08:15</t>
  </si>
  <si>
    <t>10-07-2022 08:30</t>
  </si>
  <si>
    <t>10-07-2022 08:45</t>
  </si>
  <si>
    <t>10-07-2022 09:00</t>
  </si>
  <si>
    <t>10-07-2022 09:15</t>
  </si>
  <si>
    <t>10-07-2022 09:30</t>
  </si>
  <si>
    <t>10-07-2022 09:45</t>
  </si>
  <si>
    <t>10-07-2022 10:00</t>
  </si>
  <si>
    <t>10-07-2022 10:15</t>
  </si>
  <si>
    <t>10-07-2022 10:30</t>
  </si>
  <si>
    <t>10-07-2022 10:45</t>
  </si>
  <si>
    <t>10-07-2022 11:00</t>
  </si>
  <si>
    <t>10-07-2022 11:15</t>
  </si>
  <si>
    <t>10-07-2022 11:30</t>
  </si>
  <si>
    <t>10-07-2022 11:45</t>
  </si>
  <si>
    <t>10-07-2022 12:00</t>
  </si>
  <si>
    <t>10-07-2022 12:15</t>
  </si>
  <si>
    <t>10-07-2022 12:30</t>
  </si>
  <si>
    <t>10-07-2022 12:45</t>
  </si>
  <si>
    <t>10-07-2022 13:00</t>
  </si>
  <si>
    <t>10-07-2022 13:15</t>
  </si>
  <si>
    <t>10-07-2022 13:30</t>
  </si>
  <si>
    <t>10-07-2022 13:45</t>
  </si>
  <si>
    <t>10-07-2022 14:00</t>
  </si>
  <si>
    <t>10-07-2022 14:15</t>
  </si>
  <si>
    <t>10-07-2022 14:30</t>
  </si>
  <si>
    <t>10-07-2022 14:45</t>
  </si>
  <si>
    <t>10-07-2022 15:00</t>
  </si>
  <si>
    <t>10-07-2022 15:15</t>
  </si>
  <si>
    <t>10-07-2022 15:30</t>
  </si>
  <si>
    <t>10-07-2022 15:45</t>
  </si>
  <si>
    <t>10-07-2022 16:00</t>
  </si>
  <si>
    <t>10-07-2022 16:15</t>
  </si>
  <si>
    <t>10-07-2022 16:30</t>
  </si>
  <si>
    <t>10-07-2022 16:45</t>
  </si>
  <si>
    <t>10-07-2022 17:00</t>
  </si>
  <si>
    <t>10-07-2022 17:15</t>
  </si>
  <si>
    <t>10-07-2022 17:30</t>
  </si>
  <si>
    <t>10-07-2022 17:45</t>
  </si>
  <si>
    <t>10-07-2022 18:00</t>
  </si>
  <si>
    <t>10-07-2022 18:15</t>
  </si>
  <si>
    <t>10-07-2022 18:30</t>
  </si>
  <si>
    <t>10-07-2022 18:45</t>
  </si>
  <si>
    <t>10-07-2022 19:00</t>
  </si>
  <si>
    <t>10-07-2022 19:15</t>
  </si>
  <si>
    <t>10-07-2022 19:30</t>
  </si>
  <si>
    <t>10-07-2022 19:45</t>
  </si>
  <si>
    <t>10-07-2022 20:00</t>
  </si>
  <si>
    <t>10-07-2022 20:15</t>
  </si>
  <si>
    <t>10-07-2022 20:30</t>
  </si>
  <si>
    <t>10-07-2022 20:45</t>
  </si>
  <si>
    <t>10-07-2022 21:00</t>
  </si>
  <si>
    <t>10-07-2022 21:15</t>
  </si>
  <si>
    <t>10-07-2022 21:30</t>
  </si>
  <si>
    <t>10-07-2022 21:45</t>
  </si>
  <si>
    <t>10-07-2022 22:00</t>
  </si>
  <si>
    <t>10-07-2022 22:15</t>
  </si>
  <si>
    <t>10-07-2022 22:30</t>
  </si>
  <si>
    <t>10-07-2022 22:45</t>
  </si>
  <si>
    <t>10-07-2022 23:00</t>
  </si>
  <si>
    <t>10-07-2022 23:15</t>
  </si>
  <si>
    <t>10-07-2022 23:30</t>
  </si>
  <si>
    <t>10-07-2022 23:45</t>
  </si>
  <si>
    <t>10-07-2022 24:00</t>
  </si>
  <si>
    <t>11-07-2022 00:15</t>
  </si>
  <si>
    <t>11-07-2022 00:30</t>
  </si>
  <si>
    <t>11-07-2022 00:45</t>
  </si>
  <si>
    <t>11-07-2022 01:00</t>
  </si>
  <si>
    <t>11-07-2022 01:15</t>
  </si>
  <si>
    <t>11-07-2022 01:30</t>
  </si>
  <si>
    <t>11-07-2022 01:45</t>
  </si>
  <si>
    <t>11-07-2022 02:00</t>
  </si>
  <si>
    <t>11-07-2022 02:15</t>
  </si>
  <si>
    <t>11-07-2022 02:30</t>
  </si>
  <si>
    <t>11-07-2022 02:45</t>
  </si>
  <si>
    <t>11-07-2022 03:00</t>
  </si>
  <si>
    <t>11-07-2022 03:15</t>
  </si>
  <si>
    <t>11-07-2022 03:30</t>
  </si>
  <si>
    <t>11-07-2022 03:45</t>
  </si>
  <si>
    <t>11-07-2022 04:00</t>
  </si>
  <si>
    <t>11-07-2022 04:15</t>
  </si>
  <si>
    <t>11-07-2022 04:30</t>
  </si>
  <si>
    <t>11-07-2022 04:45</t>
  </si>
  <si>
    <t>11-07-2022 05:00</t>
  </si>
  <si>
    <t>11-07-2022 05:15</t>
  </si>
  <si>
    <t>11-07-2022 05:30</t>
  </si>
  <si>
    <t>11-07-2022 05:45</t>
  </si>
  <si>
    <t>11-07-2022 06:00</t>
  </si>
  <si>
    <t>11-07-2022 06:15</t>
  </si>
  <si>
    <t>11-07-2022 06:30</t>
  </si>
  <si>
    <t>11-07-2022 06:45</t>
  </si>
  <si>
    <t>11-07-2022 07:00</t>
  </si>
  <si>
    <t>11-07-2022 07:15</t>
  </si>
  <si>
    <t>11-07-2022 07:30</t>
  </si>
  <si>
    <t>11-07-2022 07:45</t>
  </si>
  <si>
    <t>11-07-2022 08:00</t>
  </si>
  <si>
    <t>11-07-2022 08:15</t>
  </si>
  <si>
    <t>11-07-2022 08:30</t>
  </si>
  <si>
    <t>11-07-2022 08:45</t>
  </si>
  <si>
    <t>11-07-2022 09:00</t>
  </si>
  <si>
    <t>11-07-2022 09:15</t>
  </si>
  <si>
    <t>11-07-2022 09:30</t>
  </si>
  <si>
    <t>11-07-2022 09:45</t>
  </si>
  <si>
    <t>11-07-2022 10:00</t>
  </si>
  <si>
    <t>11-07-2022 10:15</t>
  </si>
  <si>
    <t>11-07-2022 10:30</t>
  </si>
  <si>
    <t>11-07-2022 10:45</t>
  </si>
  <si>
    <t>11-07-2022 11:00</t>
  </si>
  <si>
    <t>11-07-2022 11:15</t>
  </si>
  <si>
    <t>11-07-2022 11:30</t>
  </si>
  <si>
    <t>11-07-2022 11:45</t>
  </si>
  <si>
    <t>11-07-2022 12:00</t>
  </si>
  <si>
    <t>11-07-2022 12:15</t>
  </si>
  <si>
    <t>11-07-2022 12:30</t>
  </si>
  <si>
    <t>11-07-2022 12:45</t>
  </si>
  <si>
    <t>11-07-2022 13:00</t>
  </si>
  <si>
    <t>11-07-2022 13:15</t>
  </si>
  <si>
    <t>11-07-2022 13:30</t>
  </si>
  <si>
    <t>11-07-2022 13:45</t>
  </si>
  <si>
    <t>11-07-2022 14:00</t>
  </si>
  <si>
    <t>11-07-2022 14:15</t>
  </si>
  <si>
    <t>11-07-2022 14:30</t>
  </si>
  <si>
    <t>11-07-2022 14:45</t>
  </si>
  <si>
    <t>11-07-2022 15:00</t>
  </si>
  <si>
    <t>11-07-2022 15:15</t>
  </si>
  <si>
    <t>11-07-2022 15:30</t>
  </si>
  <si>
    <t>11-07-2022 15:45</t>
  </si>
  <si>
    <t>11-07-2022 16:00</t>
  </si>
  <si>
    <t>11-07-2022 16:15</t>
  </si>
  <si>
    <t>11-07-2022 16:30</t>
  </si>
  <si>
    <t>11-07-2022 16:45</t>
  </si>
  <si>
    <t>11-07-2022 17:00</t>
  </si>
  <si>
    <t>11-07-2022 17:15</t>
  </si>
  <si>
    <t>11-07-2022 17:30</t>
  </si>
  <si>
    <t>11-07-2022 17:45</t>
  </si>
  <si>
    <t>11-07-2022 18:00</t>
  </si>
  <si>
    <t>11-07-2022 18:15</t>
  </si>
  <si>
    <t>11-07-2022 18:30</t>
  </si>
  <si>
    <t>11-07-2022 18:45</t>
  </si>
  <si>
    <t>11-07-2022 19:00</t>
  </si>
  <si>
    <t>11-07-2022 19:15</t>
  </si>
  <si>
    <t>11-07-2022 19:30</t>
  </si>
  <si>
    <t>11-07-2022 19:45</t>
  </si>
  <si>
    <t>11-07-2022 20:00</t>
  </si>
  <si>
    <t>11-07-2022 20:15</t>
  </si>
  <si>
    <t>11-07-2022 20:30</t>
  </si>
  <si>
    <t>11-07-2022 20:45</t>
  </si>
  <si>
    <t>11-07-2022 21:00</t>
  </si>
  <si>
    <t>11-07-2022 21:15</t>
  </si>
  <si>
    <t>11-07-2022 21:30</t>
  </si>
  <si>
    <t>11-07-2022 21:45</t>
  </si>
  <si>
    <t>11-07-2022 22:00</t>
  </si>
  <si>
    <t>11-07-2022 22:15</t>
  </si>
  <si>
    <t>11-07-2022 22:30</t>
  </si>
  <si>
    <t>11-07-2022 22:45</t>
  </si>
  <si>
    <t>11-07-2022 23:00</t>
  </si>
  <si>
    <t>11-07-2022 23:15</t>
  </si>
  <si>
    <t>11-07-2022 23:30</t>
  </si>
  <si>
    <t>11-07-2022 23:45</t>
  </si>
  <si>
    <t>11-07-2022 24:00</t>
  </si>
  <si>
    <t>12-07-2022 00:15</t>
  </si>
  <si>
    <t>12-07-2022 00:30</t>
  </si>
  <si>
    <t>12-07-2022 00:45</t>
  </si>
  <si>
    <t>12-07-2022 01:00</t>
  </si>
  <si>
    <t>12-07-2022 01:15</t>
  </si>
  <si>
    <t>12-07-2022 01:30</t>
  </si>
  <si>
    <t>12-07-2022 01:45</t>
  </si>
  <si>
    <t>12-07-2022 02:00</t>
  </si>
  <si>
    <t>12-07-2022 02:15</t>
  </si>
  <si>
    <t>12-07-2022 02:30</t>
  </si>
  <si>
    <t>12-07-2022 02:45</t>
  </si>
  <si>
    <t>12-07-2022 03:00</t>
  </si>
  <si>
    <t>12-07-2022 03:15</t>
  </si>
  <si>
    <t>12-07-2022 03:30</t>
  </si>
  <si>
    <t>12-07-2022 03:45</t>
  </si>
  <si>
    <t>12-07-2022 04:00</t>
  </si>
  <si>
    <t>12-07-2022 04:15</t>
  </si>
  <si>
    <t>12-07-2022 04:30</t>
  </si>
  <si>
    <t>12-07-2022 04:45</t>
  </si>
  <si>
    <t>12-07-2022 05:00</t>
  </si>
  <si>
    <t>12-07-2022 05:15</t>
  </si>
  <si>
    <t>12-07-2022 05:30</t>
  </si>
  <si>
    <t>12-07-2022 05:45</t>
  </si>
  <si>
    <t>12-07-2022 06:00</t>
  </si>
  <si>
    <t>12-07-2022 06:15</t>
  </si>
  <si>
    <t>12-07-2022 06:30</t>
  </si>
  <si>
    <t>12-07-2022 06:45</t>
  </si>
  <si>
    <t>12-07-2022 07:00</t>
  </si>
  <si>
    <t>12-07-2022 07:15</t>
  </si>
  <si>
    <t>12-07-2022 07:30</t>
  </si>
  <si>
    <t>12-07-2022 07:45</t>
  </si>
  <si>
    <t>12-07-2022 08:00</t>
  </si>
  <si>
    <t>12-07-2022 08:15</t>
  </si>
  <si>
    <t>12-07-2022 08:30</t>
  </si>
  <si>
    <t>12-07-2022 08:45</t>
  </si>
  <si>
    <t>12-07-2022 09:00</t>
  </si>
  <si>
    <t>12-07-2022 09:15</t>
  </si>
  <si>
    <t>12-07-2022 09:30</t>
  </si>
  <si>
    <t>12-07-2022 09:45</t>
  </si>
  <si>
    <t>12-07-2022 10:00</t>
  </si>
  <si>
    <t>12-07-2022 10:15</t>
  </si>
  <si>
    <t>12-07-2022 10:30</t>
  </si>
  <si>
    <t>12-07-2022 10:45</t>
  </si>
  <si>
    <t>12-07-2022 11:00</t>
  </si>
  <si>
    <t>12-07-2022 11:15</t>
  </si>
  <si>
    <t>12-07-2022 11:30</t>
  </si>
  <si>
    <t>12-07-2022 11:45</t>
  </si>
  <si>
    <t>12-07-2022 12:00</t>
  </si>
  <si>
    <t>12-07-2022 12:15</t>
  </si>
  <si>
    <t>12-07-2022 12:30</t>
  </si>
  <si>
    <t>12-07-2022 12:45</t>
  </si>
  <si>
    <t>12-07-2022 13:00</t>
  </si>
  <si>
    <t>12-07-2022 13:15</t>
  </si>
  <si>
    <t>12-07-2022 13:30</t>
  </si>
  <si>
    <t>12-07-2022 13:45</t>
  </si>
  <si>
    <t>12-07-2022 14:00</t>
  </si>
  <si>
    <t>12-07-2022 14:15</t>
  </si>
  <si>
    <t>12-07-2022 14:30</t>
  </si>
  <si>
    <t>12-07-2022 14:45</t>
  </si>
  <si>
    <t>12-07-2022 15:00</t>
  </si>
  <si>
    <t>12-07-2022 15:15</t>
  </si>
  <si>
    <t>12-07-2022 15:30</t>
  </si>
  <si>
    <t>12-07-2022 15:45</t>
  </si>
  <si>
    <t>12-07-2022 16:00</t>
  </si>
  <si>
    <t>12-07-2022 16:15</t>
  </si>
  <si>
    <t>12-07-2022 16:30</t>
  </si>
  <si>
    <t>12-07-2022 16:45</t>
  </si>
  <si>
    <t>12-07-2022 17:00</t>
  </si>
  <si>
    <t>12-07-2022 17:15</t>
  </si>
  <si>
    <t>12-07-2022 17:30</t>
  </si>
  <si>
    <t>12-07-2022 17:45</t>
  </si>
  <si>
    <t>12-07-2022 18:00</t>
  </si>
  <si>
    <t>12-07-2022 18:15</t>
  </si>
  <si>
    <t>12-07-2022 18:30</t>
  </si>
  <si>
    <t>12-07-2022 18:45</t>
  </si>
  <si>
    <t>12-07-2022 19:00</t>
  </si>
  <si>
    <t>12-07-2022 19:15</t>
  </si>
  <si>
    <t>12-07-2022 19:30</t>
  </si>
  <si>
    <t>12-07-2022 19:45</t>
  </si>
  <si>
    <t>12-07-2022 20:00</t>
  </si>
  <si>
    <t>12-07-2022 20:15</t>
  </si>
  <si>
    <t>12-07-2022 20:30</t>
  </si>
  <si>
    <t>12-07-2022 20:45</t>
  </si>
  <si>
    <t>12-07-2022 21:00</t>
  </si>
  <si>
    <t>12-07-2022 21:15</t>
  </si>
  <si>
    <t>12-07-2022 21:30</t>
  </si>
  <si>
    <t>12-07-2022 21:45</t>
  </si>
  <si>
    <t>12-07-2022 22:00</t>
  </si>
  <si>
    <t>12-07-2022 22:15</t>
  </si>
  <si>
    <t>12-07-2022 22:30</t>
  </si>
  <si>
    <t>12-07-2022 22:45</t>
  </si>
  <si>
    <t>12-07-2022 23:00</t>
  </si>
  <si>
    <t>12-07-2022 23:15</t>
  </si>
  <si>
    <t>12-07-2022 23:30</t>
  </si>
  <si>
    <t>12-07-2022 23:45</t>
  </si>
  <si>
    <t>12-07-2022 24:00</t>
  </si>
  <si>
    <t>13-07-2022 00:15</t>
  </si>
  <si>
    <t>13-07-2022 00:30</t>
  </si>
  <si>
    <t>13-07-2022 00:45</t>
  </si>
  <si>
    <t>13-07-2022 01:00</t>
  </si>
  <si>
    <t>13-07-2022 01:15</t>
  </si>
  <si>
    <t>13-07-2022 01:30</t>
  </si>
  <si>
    <t>13-07-2022 01:45</t>
  </si>
  <si>
    <t>13-07-2022 02:00</t>
  </si>
  <si>
    <t>13-07-2022 02:15</t>
  </si>
  <si>
    <t>13-07-2022 02:30</t>
  </si>
  <si>
    <t>13-07-2022 02:45</t>
  </si>
  <si>
    <t>13-07-2022 03:00</t>
  </si>
  <si>
    <t>13-07-2022 03:15</t>
  </si>
  <si>
    <t>13-07-2022 03:30</t>
  </si>
  <si>
    <t>13-07-2022 03:45</t>
  </si>
  <si>
    <t>13-07-2022 04:00</t>
  </si>
  <si>
    <t>13-07-2022 04:15</t>
  </si>
  <si>
    <t>13-07-2022 04:30</t>
  </si>
  <si>
    <t>13-07-2022 04:45</t>
  </si>
  <si>
    <t>13-07-2022 05:00</t>
  </si>
  <si>
    <t>13-07-2022 05:15</t>
  </si>
  <si>
    <t>13-07-2022 05:30</t>
  </si>
  <si>
    <t>13-07-2022 05:45</t>
  </si>
  <si>
    <t>13-07-2022 06:00</t>
  </si>
  <si>
    <t>13-07-2022 06:15</t>
  </si>
  <si>
    <t>13-07-2022 06:30</t>
  </si>
  <si>
    <t>13-07-2022 06:45</t>
  </si>
  <si>
    <t>13-07-2022 07:00</t>
  </si>
  <si>
    <t>13-07-2022 07:15</t>
  </si>
  <si>
    <t>13-07-2022 07:30</t>
  </si>
  <si>
    <t>13-07-2022 07:45</t>
  </si>
  <si>
    <t>13-07-2022 08:00</t>
  </si>
  <si>
    <t>13-07-2022 08:15</t>
  </si>
  <si>
    <t>13-07-2022 08:30</t>
  </si>
  <si>
    <t>13-07-2022 08:45</t>
  </si>
  <si>
    <t>13-07-2022 09:00</t>
  </si>
  <si>
    <t>13-07-2022 09:15</t>
  </si>
  <si>
    <t>13-07-2022 09:30</t>
  </si>
  <si>
    <t>13-07-2022 09:45</t>
  </si>
  <si>
    <t>13-07-2022 10:00</t>
  </si>
  <si>
    <t>13-07-2022 10:15</t>
  </si>
  <si>
    <t>13-07-2022 10:30</t>
  </si>
  <si>
    <t>13-07-2022 10:45</t>
  </si>
  <si>
    <t>13-07-2022 11:00</t>
  </si>
  <si>
    <t>13-07-2022 11:15</t>
  </si>
  <si>
    <t>13-07-2022 11:30</t>
  </si>
  <si>
    <t>13-07-2022 11:45</t>
  </si>
  <si>
    <t>13-07-2022 12:00</t>
  </si>
  <si>
    <t>13-07-2022 12:15</t>
  </si>
  <si>
    <t>13-07-2022 12:30</t>
  </si>
  <si>
    <t>13-07-2022 12:45</t>
  </si>
  <si>
    <t>13-07-2022 13:00</t>
  </si>
  <si>
    <t>13-07-2022 13:15</t>
  </si>
  <si>
    <t>13-07-2022 13:30</t>
  </si>
  <si>
    <t>13-07-2022 13:45</t>
  </si>
  <si>
    <t>13-07-2022 14:00</t>
  </si>
  <si>
    <t>13-07-2022 14:15</t>
  </si>
  <si>
    <t>13-07-2022 14:30</t>
  </si>
  <si>
    <t>13-07-2022 14:45</t>
  </si>
  <si>
    <t>13-07-2022 15:00</t>
  </si>
  <si>
    <t>13-07-2022 15:15</t>
  </si>
  <si>
    <t>13-07-2022 15:30</t>
  </si>
  <si>
    <t>13-07-2022 15:45</t>
  </si>
  <si>
    <t>13-07-2022 16:00</t>
  </si>
  <si>
    <t>13-07-2022 16:15</t>
  </si>
  <si>
    <t>13-07-2022 16:30</t>
  </si>
  <si>
    <t>13-07-2022 16:45</t>
  </si>
  <si>
    <t>13-07-2022 17:00</t>
  </si>
  <si>
    <t>13-07-2022 17:15</t>
  </si>
  <si>
    <t>13-07-2022 17:30</t>
  </si>
  <si>
    <t>13-07-2022 17:45</t>
  </si>
  <si>
    <t>13-07-2022 18:00</t>
  </si>
  <si>
    <t>13-07-2022 18:15</t>
  </si>
  <si>
    <t>13-07-2022 18:30</t>
  </si>
  <si>
    <t>13-07-2022 18:45</t>
  </si>
  <si>
    <t>13-07-2022 19:00</t>
  </si>
  <si>
    <t>13-07-2022 19:15</t>
  </si>
  <si>
    <t>13-07-2022 19:30</t>
  </si>
  <si>
    <t>13-07-2022 19:45</t>
  </si>
  <si>
    <t>13-07-2022 20:00</t>
  </si>
  <si>
    <t>13-07-2022 20:15</t>
  </si>
  <si>
    <t>13-07-2022 20:30</t>
  </si>
  <si>
    <t>13-07-2022 20:45</t>
  </si>
  <si>
    <t>13-07-2022 21:00</t>
  </si>
  <si>
    <t>13-07-2022 21:15</t>
  </si>
  <si>
    <t>13-07-2022 21:30</t>
  </si>
  <si>
    <t>13-07-2022 21:45</t>
  </si>
  <si>
    <t>13-07-2022 22:00</t>
  </si>
  <si>
    <t>13-07-2022 22:15</t>
  </si>
  <si>
    <t>13-07-2022 22:30</t>
  </si>
  <si>
    <t>13-07-2022 22:45</t>
  </si>
  <si>
    <t>13-07-2022 23:00</t>
  </si>
  <si>
    <t>13-07-2022 23:15</t>
  </si>
  <si>
    <t>13-07-2022 23:30</t>
  </si>
  <si>
    <t>13-07-2022 23:45</t>
  </si>
  <si>
    <t>13-07-2022 24:00</t>
  </si>
  <si>
    <t>14-07-2022 00:15</t>
  </si>
  <si>
    <t>14-07-2022 00:30</t>
  </si>
  <si>
    <t>14-07-2022 00:45</t>
  </si>
  <si>
    <t>14-07-2022 01:00</t>
  </si>
  <si>
    <t>14-07-2022 01:15</t>
  </si>
  <si>
    <t>14-07-2022 01:30</t>
  </si>
  <si>
    <t>14-07-2022 01:45</t>
  </si>
  <si>
    <t>14-07-2022 02:00</t>
  </si>
  <si>
    <t>14-07-2022 02:15</t>
  </si>
  <si>
    <t>14-07-2022 02:30</t>
  </si>
  <si>
    <t>14-07-2022 02:45</t>
  </si>
  <si>
    <t>14-07-2022 03:00</t>
  </si>
  <si>
    <t>14-07-2022 03:15</t>
  </si>
  <si>
    <t>14-07-2022 03:30</t>
  </si>
  <si>
    <t>14-07-2022 03:45</t>
  </si>
  <si>
    <t>14-07-2022 04:00</t>
  </si>
  <si>
    <t>14-07-2022 04:15</t>
  </si>
  <si>
    <t>14-07-2022 04:30</t>
  </si>
  <si>
    <t>14-07-2022 04:45</t>
  </si>
  <si>
    <t>14-07-2022 05:00</t>
  </si>
  <si>
    <t>14-07-2022 05:15</t>
  </si>
  <si>
    <t>14-07-2022 05:30</t>
  </si>
  <si>
    <t>14-07-2022 05:45</t>
  </si>
  <si>
    <t>14-07-2022 06:00</t>
  </si>
  <si>
    <t>14-07-2022 06:15</t>
  </si>
  <si>
    <t>14-07-2022 06:30</t>
  </si>
  <si>
    <t>14-07-2022 06:45</t>
  </si>
  <si>
    <t>14-07-2022 07:00</t>
  </si>
  <si>
    <t>14-07-2022 07:15</t>
  </si>
  <si>
    <t>14-07-2022 07:30</t>
  </si>
  <si>
    <t>14-07-2022 07:45</t>
  </si>
  <si>
    <t>14-07-2022 08:00</t>
  </si>
  <si>
    <t>14-07-2022 08:15</t>
  </si>
  <si>
    <t>14-07-2022 08:30</t>
  </si>
  <si>
    <t>14-07-2022 08:45</t>
  </si>
  <si>
    <t>14-07-2022 09:00</t>
  </si>
  <si>
    <t>14-07-2022 09:15</t>
  </si>
  <si>
    <t>14-07-2022 09:30</t>
  </si>
  <si>
    <t>14-07-2022 09:45</t>
  </si>
  <si>
    <t>14-07-2022 10:00</t>
  </si>
  <si>
    <t>14-07-2022 10:15</t>
  </si>
  <si>
    <t>14-07-2022 10:30</t>
  </si>
  <si>
    <t>14-07-2022 10:45</t>
  </si>
  <si>
    <t>14-07-2022 11:00</t>
  </si>
  <si>
    <t>14-07-2022 11:15</t>
  </si>
  <si>
    <t>14-07-2022 11:30</t>
  </si>
  <si>
    <t>14-07-2022 11:45</t>
  </si>
  <si>
    <t>14-07-2022 12:00</t>
  </si>
  <si>
    <t>14-07-2022 12:15</t>
  </si>
  <si>
    <t>14-07-2022 12:30</t>
  </si>
  <si>
    <t>14-07-2022 12:45</t>
  </si>
  <si>
    <t>14-07-2022 13:00</t>
  </si>
  <si>
    <t>14-07-2022 13:15</t>
  </si>
  <si>
    <t>14-07-2022 13:30</t>
  </si>
  <si>
    <t>14-07-2022 13:45</t>
  </si>
  <si>
    <t>14-07-2022 14:00</t>
  </si>
  <si>
    <t>14-07-2022 14:15</t>
  </si>
  <si>
    <t>14-07-2022 14:30</t>
  </si>
  <si>
    <t>14-07-2022 14:45</t>
  </si>
  <si>
    <t>14-07-2022 15:00</t>
  </si>
  <si>
    <t>14-07-2022 15:15</t>
  </si>
  <si>
    <t>14-07-2022 15:30</t>
  </si>
  <si>
    <t>14-07-2022 15:45</t>
  </si>
  <si>
    <t>14-07-2022 16:00</t>
  </si>
  <si>
    <t>14-07-2022 16:15</t>
  </si>
  <si>
    <t>14-07-2022 16:30</t>
  </si>
  <si>
    <t>14-07-2022 16:45</t>
  </si>
  <si>
    <t>14-07-2022 17:00</t>
  </si>
  <si>
    <t>14-07-2022 17:15</t>
  </si>
  <si>
    <t>14-07-2022 17:30</t>
  </si>
  <si>
    <t>14-07-2022 17:45</t>
  </si>
  <si>
    <t>14-07-2022 18:00</t>
  </si>
  <si>
    <t>14-07-2022 18:15</t>
  </si>
  <si>
    <t>14-07-2022 18:30</t>
  </si>
  <si>
    <t>14-07-2022 18:45</t>
  </si>
  <si>
    <t>14-07-2022 19:00</t>
  </si>
  <si>
    <t>14-07-2022 19:15</t>
  </si>
  <si>
    <t>14-07-2022 19:30</t>
  </si>
  <si>
    <t>14-07-2022 19:45</t>
  </si>
  <si>
    <t>14-07-2022 20:00</t>
  </si>
  <si>
    <t>14-07-2022 20:15</t>
  </si>
  <si>
    <t>14-07-2022 20:30</t>
  </si>
  <si>
    <t>14-07-2022 20:45</t>
  </si>
  <si>
    <t>14-07-2022 21:00</t>
  </si>
  <si>
    <t>14-07-2022 21:15</t>
  </si>
  <si>
    <t>14-07-2022 21:30</t>
  </si>
  <si>
    <t>14-07-2022 21:45</t>
  </si>
  <si>
    <t>14-07-2022 22:00</t>
  </si>
  <si>
    <t>14-07-2022 22:15</t>
  </si>
  <si>
    <t>14-07-2022 22:30</t>
  </si>
  <si>
    <t>14-07-2022 22:45</t>
  </si>
  <si>
    <t>14-07-2022 23:00</t>
  </si>
  <si>
    <t>14-07-2022 23:15</t>
  </si>
  <si>
    <t>14-07-2022 23:30</t>
  </si>
  <si>
    <t>14-07-2022 23:45</t>
  </si>
  <si>
    <t>14-07-2022 24:00</t>
  </si>
  <si>
    <t>15-07-2022 00:15</t>
  </si>
  <si>
    <t>15-07-2022 00:30</t>
  </si>
  <si>
    <t>15-07-2022 00:45</t>
  </si>
  <si>
    <t>15-07-2022 01:00</t>
  </si>
  <si>
    <t>15-07-2022 01:15</t>
  </si>
  <si>
    <t>15-07-2022 01:30</t>
  </si>
  <si>
    <t>15-07-2022 01:45</t>
  </si>
  <si>
    <t>15-07-2022 02:00</t>
  </si>
  <si>
    <t>15-07-2022 02:15</t>
  </si>
  <si>
    <t>15-07-2022 02:30</t>
  </si>
  <si>
    <t>15-07-2022 02:45</t>
  </si>
  <si>
    <t>15-07-2022 03:00</t>
  </si>
  <si>
    <t>15-07-2022 03:15</t>
  </si>
  <si>
    <t>15-07-2022 03:30</t>
  </si>
  <si>
    <t>15-07-2022 03:45</t>
  </si>
  <si>
    <t>15-07-2022 04:00</t>
  </si>
  <si>
    <t>15-07-2022 04:15</t>
  </si>
  <si>
    <t>15-07-2022 04:30</t>
  </si>
  <si>
    <t>15-07-2022 04:45</t>
  </si>
  <si>
    <t>15-07-2022 05:00</t>
  </si>
  <si>
    <t>15-07-2022 05:15</t>
  </si>
  <si>
    <t>15-07-2022 05:30</t>
  </si>
  <si>
    <t>15-07-2022 05:45</t>
  </si>
  <si>
    <t>15-07-2022 06:00</t>
  </si>
  <si>
    <t>15-07-2022 06:15</t>
  </si>
  <si>
    <t>15-07-2022 06:30</t>
  </si>
  <si>
    <t>15-07-2022 06:45</t>
  </si>
  <si>
    <t>15-07-2022 07:00</t>
  </si>
  <si>
    <t>15-07-2022 07:15</t>
  </si>
  <si>
    <t>15-07-2022 07:30</t>
  </si>
  <si>
    <t>15-07-2022 07:45</t>
  </si>
  <si>
    <t>15-07-2022 08:00</t>
  </si>
  <si>
    <t>15-07-2022 08:15</t>
  </si>
  <si>
    <t>15-07-2022 08:30</t>
  </si>
  <si>
    <t>15-07-2022 08:45</t>
  </si>
  <si>
    <t>15-07-2022 09:00</t>
  </si>
  <si>
    <t>15-07-2022 09:15</t>
  </si>
  <si>
    <t>15-07-2022 09:30</t>
  </si>
  <si>
    <t>15-07-2022 09:45</t>
  </si>
  <si>
    <t>15-07-2022 10:00</t>
  </si>
  <si>
    <t>15-07-2022 10:15</t>
  </si>
  <si>
    <t>15-07-2022 10:30</t>
  </si>
  <si>
    <t>15-07-2022 10:45</t>
  </si>
  <si>
    <t>15-07-2022 11:00</t>
  </si>
  <si>
    <t>15-07-2022 11:15</t>
  </si>
  <si>
    <t>15-07-2022 11:30</t>
  </si>
  <si>
    <t>15-07-2022 11:45</t>
  </si>
  <si>
    <t>15-07-2022 12:00</t>
  </si>
  <si>
    <t>15-07-2022 12:15</t>
  </si>
  <si>
    <t>15-07-2022 12:30</t>
  </si>
  <si>
    <t>15-07-2022 12:45</t>
  </si>
  <si>
    <t>15-07-2022 13:00</t>
  </si>
  <si>
    <t>15-07-2022 13:15</t>
  </si>
  <si>
    <t>15-07-2022 13:30</t>
  </si>
  <si>
    <t>15-07-2022 13:45</t>
  </si>
  <si>
    <t>15-07-2022 14:00</t>
  </si>
  <si>
    <t>15-07-2022 14:15</t>
  </si>
  <si>
    <t>15-07-2022 14:30</t>
  </si>
  <si>
    <t>15-07-2022 14:45</t>
  </si>
  <si>
    <t>15-07-2022 15:00</t>
  </si>
  <si>
    <t>15-07-2022 15:15</t>
  </si>
  <si>
    <t>15-07-2022 15:30</t>
  </si>
  <si>
    <t>15-07-2022 15:45</t>
  </si>
  <si>
    <t>15-07-2022 16:00</t>
  </si>
  <si>
    <t>15-07-2022 16:15</t>
  </si>
  <si>
    <t>15-07-2022 16:30</t>
  </si>
  <si>
    <t>15-07-2022 16:45</t>
  </si>
  <si>
    <t>15-07-2022 17:00</t>
  </si>
  <si>
    <t>15-07-2022 17:15</t>
  </si>
  <si>
    <t>15-07-2022 17:30</t>
  </si>
  <si>
    <t>15-07-2022 17:45</t>
  </si>
  <si>
    <t>15-07-2022 18:00</t>
  </si>
  <si>
    <t>15-07-2022 18:15</t>
  </si>
  <si>
    <t>15-07-2022 18:30</t>
  </si>
  <si>
    <t>15-07-2022 18:45</t>
  </si>
  <si>
    <t>15-07-2022 19:00</t>
  </si>
  <si>
    <t>15-07-2022 19:15</t>
  </si>
  <si>
    <t>15-07-2022 19:30</t>
  </si>
  <si>
    <t>15-07-2022 19:45</t>
  </si>
  <si>
    <t>15-07-2022 20:00</t>
  </si>
  <si>
    <t>15-07-2022 20:15</t>
  </si>
  <si>
    <t>15-07-2022 20:30</t>
  </si>
  <si>
    <t>15-07-2022 20:45</t>
  </si>
  <si>
    <t>15-07-2022 21:00</t>
  </si>
  <si>
    <t>15-07-2022 21:15</t>
  </si>
  <si>
    <t>15-07-2022 21:30</t>
  </si>
  <si>
    <t>15-07-2022 21:45</t>
  </si>
  <si>
    <t>15-07-2022 22:00</t>
  </si>
  <si>
    <t>15-07-2022 22:15</t>
  </si>
  <si>
    <t>15-07-2022 22:30</t>
  </si>
  <si>
    <t>15-07-2022 22:45</t>
  </si>
  <si>
    <t>15-07-2022 23:00</t>
  </si>
  <si>
    <t>15-07-2022 23:15</t>
  </si>
  <si>
    <t>15-07-2022 23:30</t>
  </si>
  <si>
    <t>15-07-2022 23:45</t>
  </si>
  <si>
    <t>15-07-2022 24:00</t>
  </si>
  <si>
    <t>16-07-2022 00:15</t>
  </si>
  <si>
    <t>16-07-2022 00:30</t>
  </si>
  <si>
    <t>16-07-2022 00:45</t>
  </si>
  <si>
    <t>16-07-2022 01:00</t>
  </si>
  <si>
    <t>16-07-2022 01:15</t>
  </si>
  <si>
    <t>16-07-2022 01:30</t>
  </si>
  <si>
    <t>16-07-2022 01:45</t>
  </si>
  <si>
    <t>16-07-2022 02:00</t>
  </si>
  <si>
    <t>16-07-2022 02:15</t>
  </si>
  <si>
    <t>16-07-2022 02:30</t>
  </si>
  <si>
    <t>16-07-2022 02:45</t>
  </si>
  <si>
    <t>16-07-2022 03:00</t>
  </si>
  <si>
    <t>16-07-2022 03:15</t>
  </si>
  <si>
    <t>16-07-2022 03:30</t>
  </si>
  <si>
    <t>16-07-2022 03:45</t>
  </si>
  <si>
    <t>16-07-2022 04:00</t>
  </si>
  <si>
    <t>16-07-2022 04:15</t>
  </si>
  <si>
    <t>16-07-2022 04:30</t>
  </si>
  <si>
    <t>16-07-2022 04:45</t>
  </si>
  <si>
    <t>16-07-2022 05:00</t>
  </si>
  <si>
    <t>16-07-2022 05:15</t>
  </si>
  <si>
    <t>16-07-2022 05:30</t>
  </si>
  <si>
    <t>16-07-2022 05:45</t>
  </si>
  <si>
    <t>16-07-2022 06:00</t>
  </si>
  <si>
    <t>16-07-2022 06:15</t>
  </si>
  <si>
    <t>16-07-2022 06:30</t>
  </si>
  <si>
    <t>16-07-2022 06:45</t>
  </si>
  <si>
    <t>16-07-2022 07:00</t>
  </si>
  <si>
    <t>16-07-2022 07:15</t>
  </si>
  <si>
    <t>16-07-2022 07:30</t>
  </si>
  <si>
    <t>16-07-2022 07:45</t>
  </si>
  <si>
    <t>16-07-2022 08:00</t>
  </si>
  <si>
    <t>16-07-2022 08:15</t>
  </si>
  <si>
    <t>16-07-2022 08:30</t>
  </si>
  <si>
    <t>16-07-2022 08:45</t>
  </si>
  <si>
    <t>16-07-2022 09:00</t>
  </si>
  <si>
    <t>16-07-2022 09:15</t>
  </si>
  <si>
    <t>16-07-2022 09:30</t>
  </si>
  <si>
    <t>16-07-2022 09:45</t>
  </si>
  <si>
    <t>16-07-2022 10:00</t>
  </si>
  <si>
    <t>16-07-2022 10:15</t>
  </si>
  <si>
    <t>16-07-2022 10:30</t>
  </si>
  <si>
    <t>16-07-2022 10:45</t>
  </si>
  <si>
    <t>16-07-2022 11:00</t>
  </si>
  <si>
    <t>16-07-2022 11:15</t>
  </si>
  <si>
    <t>16-07-2022 11:30</t>
  </si>
  <si>
    <t>16-07-2022 11:45</t>
  </si>
  <si>
    <t>16-07-2022 12:00</t>
  </si>
  <si>
    <t>16-07-2022 12:15</t>
  </si>
  <si>
    <t>16-07-2022 12:30</t>
  </si>
  <si>
    <t>16-07-2022 12:45</t>
  </si>
  <si>
    <t>16-07-2022 13:00</t>
  </si>
  <si>
    <t>16-07-2022 13:15</t>
  </si>
  <si>
    <t>16-07-2022 13:30</t>
  </si>
  <si>
    <t>16-07-2022 13:45</t>
  </si>
  <si>
    <t>16-07-2022 14:00</t>
  </si>
  <si>
    <t>16-07-2022 14:15</t>
  </si>
  <si>
    <t>16-07-2022 14:30</t>
  </si>
  <si>
    <t>16-07-2022 14:45</t>
  </si>
  <si>
    <t>16-07-2022 15:00</t>
  </si>
  <si>
    <t>16-07-2022 15:15</t>
  </si>
  <si>
    <t>16-07-2022 15:30</t>
  </si>
  <si>
    <t>16-07-2022 15:45</t>
  </si>
  <si>
    <t>16-07-2022 16:00</t>
  </si>
  <si>
    <t>16-07-2022 16:15</t>
  </si>
  <si>
    <t>16-07-2022 16:30</t>
  </si>
  <si>
    <t>16-07-2022 16:45</t>
  </si>
  <si>
    <t>16-07-2022 17:00</t>
  </si>
  <si>
    <t>16-07-2022 17:15</t>
  </si>
  <si>
    <t>16-07-2022 17:30</t>
  </si>
  <si>
    <t>16-07-2022 17:45</t>
  </si>
  <si>
    <t>16-07-2022 18:00</t>
  </si>
  <si>
    <t>16-07-2022 18:15</t>
  </si>
  <si>
    <t>16-07-2022 18:30</t>
  </si>
  <si>
    <t>16-07-2022 18:45</t>
  </si>
  <si>
    <t>16-07-2022 19:00</t>
  </si>
  <si>
    <t>16-07-2022 19:15</t>
  </si>
  <si>
    <t>16-07-2022 19:30</t>
  </si>
  <si>
    <t>16-07-2022 19:45</t>
  </si>
  <si>
    <t>16-07-2022 20:00</t>
  </si>
  <si>
    <t>16-07-2022 20:15</t>
  </si>
  <si>
    <t>16-07-2022 20:30</t>
  </si>
  <si>
    <t>16-07-2022 20:45</t>
  </si>
  <si>
    <t>16-07-2022 21:00</t>
  </si>
  <si>
    <t>16-07-2022 21:15</t>
  </si>
  <si>
    <t>16-07-2022 21:30</t>
  </si>
  <si>
    <t>16-07-2022 21:45</t>
  </si>
  <si>
    <t>16-07-2022 22:00</t>
  </si>
  <si>
    <t>16-07-2022 22:15</t>
  </si>
  <si>
    <t>16-07-2022 22:30</t>
  </si>
  <si>
    <t>16-07-2022 22:45</t>
  </si>
  <si>
    <t>16-07-2022 23:00</t>
  </si>
  <si>
    <t>16-07-2022 23:15</t>
  </si>
  <si>
    <t>16-07-2022 23:30</t>
  </si>
  <si>
    <t>16-07-2022 23:45</t>
  </si>
  <si>
    <t>16-07-2022 24:00</t>
  </si>
  <si>
    <t>17-07-2022 00:15</t>
  </si>
  <si>
    <t>17-07-2022 00:30</t>
  </si>
  <si>
    <t>17-07-2022 00:45</t>
  </si>
  <si>
    <t>17-07-2022 01:00</t>
  </si>
  <si>
    <t>17-07-2022 01:15</t>
  </si>
  <si>
    <t>17-07-2022 01:30</t>
  </si>
  <si>
    <t>17-07-2022 01:45</t>
  </si>
  <si>
    <t>17-07-2022 02:00</t>
  </si>
  <si>
    <t>17-07-2022 02:15</t>
  </si>
  <si>
    <t>17-07-2022 02:30</t>
  </si>
  <si>
    <t>17-07-2022 02:45</t>
  </si>
  <si>
    <t>17-07-2022 03:00</t>
  </si>
  <si>
    <t>17-07-2022 03:15</t>
  </si>
  <si>
    <t>17-07-2022 03:30</t>
  </si>
  <si>
    <t>17-07-2022 03:45</t>
  </si>
  <si>
    <t>17-07-2022 04:00</t>
  </si>
  <si>
    <t>17-07-2022 04:15</t>
  </si>
  <si>
    <t>17-07-2022 04:30</t>
  </si>
  <si>
    <t>17-07-2022 04:45</t>
  </si>
  <si>
    <t>17-07-2022 05:00</t>
  </si>
  <si>
    <t>17-07-2022 05:15</t>
  </si>
  <si>
    <t>17-07-2022 05:30</t>
  </si>
  <si>
    <t>17-07-2022 05:45</t>
  </si>
  <si>
    <t>17-07-2022 06:00</t>
  </si>
  <si>
    <t>17-07-2022 06:15</t>
  </si>
  <si>
    <t>17-07-2022 06:30</t>
  </si>
  <si>
    <t>17-07-2022 06:45</t>
  </si>
  <si>
    <t>17-07-2022 07:00</t>
  </si>
  <si>
    <t>17-07-2022 07:15</t>
  </si>
  <si>
    <t>17-07-2022 07:30</t>
  </si>
  <si>
    <t>17-07-2022 07:45</t>
  </si>
  <si>
    <t>17-07-2022 08:00</t>
  </si>
  <si>
    <t>17-07-2022 08:15</t>
  </si>
  <si>
    <t>17-07-2022 08:30</t>
  </si>
  <si>
    <t>17-07-2022 08:45</t>
  </si>
  <si>
    <t>17-07-2022 09:00</t>
  </si>
  <si>
    <t>17-07-2022 09:15</t>
  </si>
  <si>
    <t>17-07-2022 09:30</t>
  </si>
  <si>
    <t>17-07-2022 09:45</t>
  </si>
  <si>
    <t>17-07-2022 10:00</t>
  </si>
  <si>
    <t>17-07-2022 10:15</t>
  </si>
  <si>
    <t>17-07-2022 10:30</t>
  </si>
  <si>
    <t>17-07-2022 10:45</t>
  </si>
  <si>
    <t>17-07-2022 11:00</t>
  </si>
  <si>
    <t>17-07-2022 11:15</t>
  </si>
  <si>
    <t>17-07-2022 11:30</t>
  </si>
  <si>
    <t>17-07-2022 11:45</t>
  </si>
  <si>
    <t>17-07-2022 12:00</t>
  </si>
  <si>
    <t>17-07-2022 12:15</t>
  </si>
  <si>
    <t>17-07-2022 12:30</t>
  </si>
  <si>
    <t>17-07-2022 12:45</t>
  </si>
  <si>
    <t>17-07-2022 13:00</t>
  </si>
  <si>
    <t>17-07-2022 13:15</t>
  </si>
  <si>
    <t>17-07-2022 13:30</t>
  </si>
  <si>
    <t>17-07-2022 13:45</t>
  </si>
  <si>
    <t>17-07-2022 14:00</t>
  </si>
  <si>
    <t>17-07-2022 14:15</t>
  </si>
  <si>
    <t>17-07-2022 14:30</t>
  </si>
  <si>
    <t>17-07-2022 14:45</t>
  </si>
  <si>
    <t>17-07-2022 15:00</t>
  </si>
  <si>
    <t>17-07-2022 15:15</t>
  </si>
  <si>
    <t>17-07-2022 15:30</t>
  </si>
  <si>
    <t>17-07-2022 15:45</t>
  </si>
  <si>
    <t>17-07-2022 16:00</t>
  </si>
  <si>
    <t>17-07-2022 16:15</t>
  </si>
  <si>
    <t>17-07-2022 16:30</t>
  </si>
  <si>
    <t>17-07-2022 16:45</t>
  </si>
  <si>
    <t>17-07-2022 17:00</t>
  </si>
  <si>
    <t>17-07-2022 17:15</t>
  </si>
  <si>
    <t>17-07-2022 17:30</t>
  </si>
  <si>
    <t>17-07-2022 17:45</t>
  </si>
  <si>
    <t>17-07-2022 18:00</t>
  </si>
  <si>
    <t>17-07-2022 18:15</t>
  </si>
  <si>
    <t>17-07-2022 18:30</t>
  </si>
  <si>
    <t>17-07-2022 18:45</t>
  </si>
  <si>
    <t>17-07-2022 19:00</t>
  </si>
  <si>
    <t>17-07-2022 19:15</t>
  </si>
  <si>
    <t>17-07-2022 19:30</t>
  </si>
  <si>
    <t>17-07-2022 19:45</t>
  </si>
  <si>
    <t>17-07-2022 20:00</t>
  </si>
  <si>
    <t>17-07-2022 20:15</t>
  </si>
  <si>
    <t>17-07-2022 20:30</t>
  </si>
  <si>
    <t>17-07-2022 20:45</t>
  </si>
  <si>
    <t>17-07-2022 21:00</t>
  </si>
  <si>
    <t>17-07-2022 21:15</t>
  </si>
  <si>
    <t>17-07-2022 21:30</t>
  </si>
  <si>
    <t>17-07-2022 21:45</t>
  </si>
  <si>
    <t>17-07-2022 22:00</t>
  </si>
  <si>
    <t>17-07-2022 22:15</t>
  </si>
  <si>
    <t>17-07-2022 22:30</t>
  </si>
  <si>
    <t>17-07-2022 22:45</t>
  </si>
  <si>
    <t>17-07-2022 23:00</t>
  </si>
  <si>
    <t>17-07-2022 23:15</t>
  </si>
  <si>
    <t>17-07-2022 23:30</t>
  </si>
  <si>
    <t>17-07-2022 23:45</t>
  </si>
  <si>
    <t>17-07-2022 24:00</t>
  </si>
  <si>
    <t>18-07-2022 00:15</t>
  </si>
  <si>
    <t>18-07-2022 00:30</t>
  </si>
  <si>
    <t>18-07-2022 00:45</t>
  </si>
  <si>
    <t>18-07-2022 01:00</t>
  </si>
  <si>
    <t>18-07-2022 01:15</t>
  </si>
  <si>
    <t>18-07-2022 01:30</t>
  </si>
  <si>
    <t>18-07-2022 01:45</t>
  </si>
  <si>
    <t>18-07-2022 02:00</t>
  </si>
  <si>
    <t>18-07-2022 02:15</t>
  </si>
  <si>
    <t>18-07-2022 02:30</t>
  </si>
  <si>
    <t>18-07-2022 02:45</t>
  </si>
  <si>
    <t>18-07-2022 03:00</t>
  </si>
  <si>
    <t>18-07-2022 03:15</t>
  </si>
  <si>
    <t>18-07-2022 03:30</t>
  </si>
  <si>
    <t>18-07-2022 03:45</t>
  </si>
  <si>
    <t>18-07-2022 04:00</t>
  </si>
  <si>
    <t>18-07-2022 04:15</t>
  </si>
  <si>
    <t>18-07-2022 04:30</t>
  </si>
  <si>
    <t>18-07-2022 04:45</t>
  </si>
  <si>
    <t>18-07-2022 05:00</t>
  </si>
  <si>
    <t>18-07-2022 05:15</t>
  </si>
  <si>
    <t>18-07-2022 05:30</t>
  </si>
  <si>
    <t>18-07-2022 05:45</t>
  </si>
  <si>
    <t>18-07-2022 06:00</t>
  </si>
  <si>
    <t>18-07-2022 06:15</t>
  </si>
  <si>
    <t>18-07-2022 06:30</t>
  </si>
  <si>
    <t>18-07-2022 06:45</t>
  </si>
  <si>
    <t>18-07-2022 07:00</t>
  </si>
  <si>
    <t>18-07-2022 07:15</t>
  </si>
  <si>
    <t>18-07-2022 07:30</t>
  </si>
  <si>
    <t>18-07-2022 07:45</t>
  </si>
  <si>
    <t>18-07-2022 08:00</t>
  </si>
  <si>
    <t>18-07-2022 08:15</t>
  </si>
  <si>
    <t>18-07-2022 08:30</t>
  </si>
  <si>
    <t>18-07-2022 08:45</t>
  </si>
  <si>
    <t>18-07-2022 09:00</t>
  </si>
  <si>
    <t>18-07-2022 09:15</t>
  </si>
  <si>
    <t>18-07-2022 09:30</t>
  </si>
  <si>
    <t>18-07-2022 09:45</t>
  </si>
  <si>
    <t>18-07-2022 10:00</t>
  </si>
  <si>
    <t>18-07-2022 10:15</t>
  </si>
  <si>
    <t>18-07-2022 10:30</t>
  </si>
  <si>
    <t>18-07-2022 10:45</t>
  </si>
  <si>
    <t>18-07-2022 11:00</t>
  </si>
  <si>
    <t>18-07-2022 11:15</t>
  </si>
  <si>
    <t>18-07-2022 11:30</t>
  </si>
  <si>
    <t>18-07-2022 11:45</t>
  </si>
  <si>
    <t>18-07-2022 12:00</t>
  </si>
  <si>
    <t>18-07-2022 12:15</t>
  </si>
  <si>
    <t>18-07-2022 12:30</t>
  </si>
  <si>
    <t>18-07-2022 12:45</t>
  </si>
  <si>
    <t>18-07-2022 13:00</t>
  </si>
  <si>
    <t>18-07-2022 13:15</t>
  </si>
  <si>
    <t>18-07-2022 13:30</t>
  </si>
  <si>
    <t>18-07-2022 13:45</t>
  </si>
  <si>
    <t>18-07-2022 14:00</t>
  </si>
  <si>
    <t>18-07-2022 14:15</t>
  </si>
  <si>
    <t>18-07-2022 14:30</t>
  </si>
  <si>
    <t>18-07-2022 14:45</t>
  </si>
  <si>
    <t>18-07-2022 15:00</t>
  </si>
  <si>
    <t>18-07-2022 15:15</t>
  </si>
  <si>
    <t>18-07-2022 15:30</t>
  </si>
  <si>
    <t>18-07-2022 15:45</t>
  </si>
  <si>
    <t>18-07-2022 16:00</t>
  </si>
  <si>
    <t>18-07-2022 16:15</t>
  </si>
  <si>
    <t>18-07-2022 16:30</t>
  </si>
  <si>
    <t>18-07-2022 16:45</t>
  </si>
  <si>
    <t>18-07-2022 17:00</t>
  </si>
  <si>
    <t>18-07-2022 17:15</t>
  </si>
  <si>
    <t>18-07-2022 17:30</t>
  </si>
  <si>
    <t>18-07-2022 17:45</t>
  </si>
  <si>
    <t>18-07-2022 18:00</t>
  </si>
  <si>
    <t>18-07-2022 18:15</t>
  </si>
  <si>
    <t>18-07-2022 18:30</t>
  </si>
  <si>
    <t>18-07-2022 18:45</t>
  </si>
  <si>
    <t>18-07-2022 19:00</t>
  </si>
  <si>
    <t>18-07-2022 19:15</t>
  </si>
  <si>
    <t>18-07-2022 19:30</t>
  </si>
  <si>
    <t>18-07-2022 19:45</t>
  </si>
  <si>
    <t>18-07-2022 20:00</t>
  </si>
  <si>
    <t>18-07-2022 20:15</t>
  </si>
  <si>
    <t>18-07-2022 20:30</t>
  </si>
  <si>
    <t>18-07-2022 20:45</t>
  </si>
  <si>
    <t>18-07-2022 21:00</t>
  </si>
  <si>
    <t>18-07-2022 21:15</t>
  </si>
  <si>
    <t>18-07-2022 21:30</t>
  </si>
  <si>
    <t>18-07-2022 21:45</t>
  </si>
  <si>
    <t>18-07-2022 22:00</t>
  </si>
  <si>
    <t>18-07-2022 22:15</t>
  </si>
  <si>
    <t>18-07-2022 22:30</t>
  </si>
  <si>
    <t>18-07-2022 22:45</t>
  </si>
  <si>
    <t>18-07-2022 23:00</t>
  </si>
  <si>
    <t>18-07-2022 23:15</t>
  </si>
  <si>
    <t>18-07-2022 23:30</t>
  </si>
  <si>
    <t>18-07-2022 23:45</t>
  </si>
  <si>
    <t>18-07-2022 24:00</t>
  </si>
  <si>
    <t>19-07-2022 00:15</t>
  </si>
  <si>
    <t>19-07-2022 00:30</t>
  </si>
  <si>
    <t>19-07-2022 00:45</t>
  </si>
  <si>
    <t>19-07-2022 01:00</t>
  </si>
  <si>
    <t>19-07-2022 01:15</t>
  </si>
  <si>
    <t>19-07-2022 01:30</t>
  </si>
  <si>
    <t>19-07-2022 01:45</t>
  </si>
  <si>
    <t>19-07-2022 02:00</t>
  </si>
  <si>
    <t>19-07-2022 02:15</t>
  </si>
  <si>
    <t>19-07-2022 02:30</t>
  </si>
  <si>
    <t>19-07-2022 02:45</t>
  </si>
  <si>
    <t>19-07-2022 03:00</t>
  </si>
  <si>
    <t>19-07-2022 03:15</t>
  </si>
  <si>
    <t>19-07-2022 03:30</t>
  </si>
  <si>
    <t>19-07-2022 03:45</t>
  </si>
  <si>
    <t>19-07-2022 04:00</t>
  </si>
  <si>
    <t>19-07-2022 04:15</t>
  </si>
  <si>
    <t>19-07-2022 04:30</t>
  </si>
  <si>
    <t>19-07-2022 04:45</t>
  </si>
  <si>
    <t>19-07-2022 05:00</t>
  </si>
  <si>
    <t>19-07-2022 05:15</t>
  </si>
  <si>
    <t>19-07-2022 05:30</t>
  </si>
  <si>
    <t>19-07-2022 05:45</t>
  </si>
  <si>
    <t>19-07-2022 06:00</t>
  </si>
  <si>
    <t>19-07-2022 06:15</t>
  </si>
  <si>
    <t>19-07-2022 06:30</t>
  </si>
  <si>
    <t>19-07-2022 06:45</t>
  </si>
  <si>
    <t>19-07-2022 07:00</t>
  </si>
  <si>
    <t>19-07-2022 07:15</t>
  </si>
  <si>
    <t>19-07-2022 07:30</t>
  </si>
  <si>
    <t>19-07-2022 07:45</t>
  </si>
  <si>
    <t>19-07-2022 08:00</t>
  </si>
  <si>
    <t>19-07-2022 08:15</t>
  </si>
  <si>
    <t>19-07-2022 08:30</t>
  </si>
  <si>
    <t>19-07-2022 08:45</t>
  </si>
  <si>
    <t>19-07-2022 09:00</t>
  </si>
  <si>
    <t>19-07-2022 09:15</t>
  </si>
  <si>
    <t>19-07-2022 09:30</t>
  </si>
  <si>
    <t>19-07-2022 09:45</t>
  </si>
  <si>
    <t>19-07-2022 10:00</t>
  </si>
  <si>
    <t>19-07-2022 10:15</t>
  </si>
  <si>
    <t>19-07-2022 10:30</t>
  </si>
  <si>
    <t>19-07-2022 10:45</t>
  </si>
  <si>
    <t>19-07-2022 11:00</t>
  </si>
  <si>
    <t>19-07-2022 11:15</t>
  </si>
  <si>
    <t>19-07-2022 11:30</t>
  </si>
  <si>
    <t>19-07-2022 11:45</t>
  </si>
  <si>
    <t>19-07-2022 12:00</t>
  </si>
  <si>
    <t>19-07-2022 12:15</t>
  </si>
  <si>
    <t>19-07-2022 12:30</t>
  </si>
  <si>
    <t>19-07-2022 12:45</t>
  </si>
  <si>
    <t>19-07-2022 13:00</t>
  </si>
  <si>
    <t>19-07-2022 13:15</t>
  </si>
  <si>
    <t>19-07-2022 13:30</t>
  </si>
  <si>
    <t>19-07-2022 13:45</t>
  </si>
  <si>
    <t>19-07-2022 14:00</t>
  </si>
  <si>
    <t>19-07-2022 14:15</t>
  </si>
  <si>
    <t>19-07-2022 14:30</t>
  </si>
  <si>
    <t>19-07-2022 14:45</t>
  </si>
  <si>
    <t>19-07-2022 15:00</t>
  </si>
  <si>
    <t>19-07-2022 15:15</t>
  </si>
  <si>
    <t>19-07-2022 15:30</t>
  </si>
  <si>
    <t>19-07-2022 15:45</t>
  </si>
  <si>
    <t>19-07-2022 16:00</t>
  </si>
  <si>
    <t>19-07-2022 16:15</t>
  </si>
  <si>
    <t>19-07-2022 16:30</t>
  </si>
  <si>
    <t>19-07-2022 16:45</t>
  </si>
  <si>
    <t>19-07-2022 17:00</t>
  </si>
  <si>
    <t>19-07-2022 17:15</t>
  </si>
  <si>
    <t>19-07-2022 17:30</t>
  </si>
  <si>
    <t>19-07-2022 17:45</t>
  </si>
  <si>
    <t>19-07-2022 18:00</t>
  </si>
  <si>
    <t>19-07-2022 18:15</t>
  </si>
  <si>
    <t>19-07-2022 18:30</t>
  </si>
  <si>
    <t>19-07-2022 18:45</t>
  </si>
  <si>
    <t>19-07-2022 19:00</t>
  </si>
  <si>
    <t>19-07-2022 19:15</t>
  </si>
  <si>
    <t>19-07-2022 19:30</t>
  </si>
  <si>
    <t>19-07-2022 19:45</t>
  </si>
  <si>
    <t>19-07-2022 20:00</t>
  </si>
  <si>
    <t>19-07-2022 20:15</t>
  </si>
  <si>
    <t>19-07-2022 20:30</t>
  </si>
  <si>
    <t>19-07-2022 20:45</t>
  </si>
  <si>
    <t>19-07-2022 21:00</t>
  </si>
  <si>
    <t>19-07-2022 21:15</t>
  </si>
  <si>
    <t>19-07-2022 21:30</t>
  </si>
  <si>
    <t>19-07-2022 21:45</t>
  </si>
  <si>
    <t>19-07-2022 22:00</t>
  </si>
  <si>
    <t>19-07-2022 22:15</t>
  </si>
  <si>
    <t>19-07-2022 22:30</t>
  </si>
  <si>
    <t>19-07-2022 22:45</t>
  </si>
  <si>
    <t>19-07-2022 23:00</t>
  </si>
  <si>
    <t>19-07-2022 23:15</t>
  </si>
  <si>
    <t>19-07-2022 23:30</t>
  </si>
  <si>
    <t>19-07-2022 23:45</t>
  </si>
  <si>
    <t>19-07-2022 24:00</t>
  </si>
  <si>
    <t>20-07-2022 00:15</t>
  </si>
  <si>
    <t>20-07-2022 00:30</t>
  </si>
  <si>
    <t>20-07-2022 00:45</t>
  </si>
  <si>
    <t>20-07-2022 01:00</t>
  </si>
  <si>
    <t>20-07-2022 01:15</t>
  </si>
  <si>
    <t>20-07-2022 01:30</t>
  </si>
  <si>
    <t>20-07-2022 01:45</t>
  </si>
  <si>
    <t>20-07-2022 02:00</t>
  </si>
  <si>
    <t>20-07-2022 02:15</t>
  </si>
  <si>
    <t>20-07-2022 02:30</t>
  </si>
  <si>
    <t>20-07-2022 02:45</t>
  </si>
  <si>
    <t>20-07-2022 03:00</t>
  </si>
  <si>
    <t>20-07-2022 03:15</t>
  </si>
  <si>
    <t>20-07-2022 03:30</t>
  </si>
  <si>
    <t>20-07-2022 03:45</t>
  </si>
  <si>
    <t>20-07-2022 04:00</t>
  </si>
  <si>
    <t>20-07-2022 04:15</t>
  </si>
  <si>
    <t>20-07-2022 04:30</t>
  </si>
  <si>
    <t>20-07-2022 04:45</t>
  </si>
  <si>
    <t>20-07-2022 05:00</t>
  </si>
  <si>
    <t>20-07-2022 05:15</t>
  </si>
  <si>
    <t>20-07-2022 05:30</t>
  </si>
  <si>
    <t>20-07-2022 05:45</t>
  </si>
  <si>
    <t>20-07-2022 06:00</t>
  </si>
  <si>
    <t>20-07-2022 06:15</t>
  </si>
  <si>
    <t>20-07-2022 06:30</t>
  </si>
  <si>
    <t>20-07-2022 06:45</t>
  </si>
  <si>
    <t>20-07-2022 07:00</t>
  </si>
  <si>
    <t>20-07-2022 07:15</t>
  </si>
  <si>
    <t>20-07-2022 07:30</t>
  </si>
  <si>
    <t>20-07-2022 07:45</t>
  </si>
  <si>
    <t>20-07-2022 08:00</t>
  </si>
  <si>
    <t>20-07-2022 08:15</t>
  </si>
  <si>
    <t>20-07-2022 08:30</t>
  </si>
  <si>
    <t>20-07-2022 08:45</t>
  </si>
  <si>
    <t>20-07-2022 09:00</t>
  </si>
  <si>
    <t>20-07-2022 09:15</t>
  </si>
  <si>
    <t>20-07-2022 09:30</t>
  </si>
  <si>
    <t>20-07-2022 09:45</t>
  </si>
  <si>
    <t>20-07-2022 10:00</t>
  </si>
  <si>
    <t>20-07-2022 10:15</t>
  </si>
  <si>
    <t>20-07-2022 10:30</t>
  </si>
  <si>
    <t>20-07-2022 10:45</t>
  </si>
  <si>
    <t>20-07-2022 11:00</t>
  </si>
  <si>
    <t>20-07-2022 11:15</t>
  </si>
  <si>
    <t>20-07-2022 11:30</t>
  </si>
  <si>
    <t>20-07-2022 11:45</t>
  </si>
  <si>
    <t>20-07-2022 12:00</t>
  </si>
  <si>
    <t>20-07-2022 12:15</t>
  </si>
  <si>
    <t>20-07-2022 12:30</t>
  </si>
  <si>
    <t>20-07-2022 12:45</t>
  </si>
  <si>
    <t>20-07-2022 13:00</t>
  </si>
  <si>
    <t>20-07-2022 13:15</t>
  </si>
  <si>
    <t>20-07-2022 13:30</t>
  </si>
  <si>
    <t>20-07-2022 13:45</t>
  </si>
  <si>
    <t>20-07-2022 14:00</t>
  </si>
  <si>
    <t>20-07-2022 14:15</t>
  </si>
  <si>
    <t>20-07-2022 14:30</t>
  </si>
  <si>
    <t>20-07-2022 14:45</t>
  </si>
  <si>
    <t>20-07-2022 15:00</t>
  </si>
  <si>
    <t>20-07-2022 15:15</t>
  </si>
  <si>
    <t>20-07-2022 15:30</t>
  </si>
  <si>
    <t>20-07-2022 15:45</t>
  </si>
  <si>
    <t>20-07-2022 16:00</t>
  </si>
  <si>
    <t>20-07-2022 16:15</t>
  </si>
  <si>
    <t>20-07-2022 16:30</t>
  </si>
  <si>
    <t>20-07-2022 16:45</t>
  </si>
  <si>
    <t>20-07-2022 17:00</t>
  </si>
  <si>
    <t>20-07-2022 17:15</t>
  </si>
  <si>
    <t>20-07-2022 17:30</t>
  </si>
  <si>
    <t>20-07-2022 17:45</t>
  </si>
  <si>
    <t>20-07-2022 18:00</t>
  </si>
  <si>
    <t>20-07-2022 18:15</t>
  </si>
  <si>
    <t>20-07-2022 18:30</t>
  </si>
  <si>
    <t>20-07-2022 18:45</t>
  </si>
  <si>
    <t>20-07-2022 19:00</t>
  </si>
  <si>
    <t>20-07-2022 19:15</t>
  </si>
  <si>
    <t>20-07-2022 19:30</t>
  </si>
  <si>
    <t>20-07-2022 19:45</t>
  </si>
  <si>
    <t>20-07-2022 20:00</t>
  </si>
  <si>
    <t>20-07-2022 20:15</t>
  </si>
  <si>
    <t>20-07-2022 20:30</t>
  </si>
  <si>
    <t>20-07-2022 20:45</t>
  </si>
  <si>
    <t>20-07-2022 21:00</t>
  </si>
  <si>
    <t>20-07-2022 21:15</t>
  </si>
  <si>
    <t>20-07-2022 21:30</t>
  </si>
  <si>
    <t>20-07-2022 21:45</t>
  </si>
  <si>
    <t>20-07-2022 22:00</t>
  </si>
  <si>
    <t>20-07-2022 22:15</t>
  </si>
  <si>
    <t>20-07-2022 22:30</t>
  </si>
  <si>
    <t>20-07-2022 22:45</t>
  </si>
  <si>
    <t>20-07-2022 23:00</t>
  </si>
  <si>
    <t>20-07-2022 23:15</t>
  </si>
  <si>
    <t>20-07-2022 23:30</t>
  </si>
  <si>
    <t>20-07-2022 23:45</t>
  </si>
  <si>
    <t>20-07-2022 24:00</t>
  </si>
  <si>
    <t>21-07-2022 00:15</t>
  </si>
  <si>
    <t>21-07-2022 00:30</t>
  </si>
  <si>
    <t>21-07-2022 00:45</t>
  </si>
  <si>
    <t>21-07-2022 01:00</t>
  </si>
  <si>
    <t>21-07-2022 01:15</t>
  </si>
  <si>
    <t>21-07-2022 01:30</t>
  </si>
  <si>
    <t>21-07-2022 01:45</t>
  </si>
  <si>
    <t>21-07-2022 02:00</t>
  </si>
  <si>
    <t>21-07-2022 02:15</t>
  </si>
  <si>
    <t>21-07-2022 02:30</t>
  </si>
  <si>
    <t>21-07-2022 02:45</t>
  </si>
  <si>
    <t>21-07-2022 03:00</t>
  </si>
  <si>
    <t>21-07-2022 03:15</t>
  </si>
  <si>
    <t>21-07-2022 03:30</t>
  </si>
  <si>
    <t>21-07-2022 03:45</t>
  </si>
  <si>
    <t>21-07-2022 04:00</t>
  </si>
  <si>
    <t>21-07-2022 04:15</t>
  </si>
  <si>
    <t>21-07-2022 04:30</t>
  </si>
  <si>
    <t>21-07-2022 04:45</t>
  </si>
  <si>
    <t>21-07-2022 05:00</t>
  </si>
  <si>
    <t>21-07-2022 05:15</t>
  </si>
  <si>
    <t>21-07-2022 05:30</t>
  </si>
  <si>
    <t>21-07-2022 05:45</t>
  </si>
  <si>
    <t>21-07-2022 06:00</t>
  </si>
  <si>
    <t>21-07-2022 06:15</t>
  </si>
  <si>
    <t>21-07-2022 06:30</t>
  </si>
  <si>
    <t>21-07-2022 06:45</t>
  </si>
  <si>
    <t>21-07-2022 07:00</t>
  </si>
  <si>
    <t>21-07-2022 07:15</t>
  </si>
  <si>
    <t>21-07-2022 07:30</t>
  </si>
  <si>
    <t>21-07-2022 07:45</t>
  </si>
  <si>
    <t>21-07-2022 08:00</t>
  </si>
  <si>
    <t>21-07-2022 08:15</t>
  </si>
  <si>
    <t>21-07-2022 08:30</t>
  </si>
  <si>
    <t>21-07-2022 08:45</t>
  </si>
  <si>
    <t>21-07-2022 09:00</t>
  </si>
  <si>
    <t>21-07-2022 09:15</t>
  </si>
  <si>
    <t>21-07-2022 09:30</t>
  </si>
  <si>
    <t>21-07-2022 09:45</t>
  </si>
  <si>
    <t>21-07-2022 10:00</t>
  </si>
  <si>
    <t>21-07-2022 10:15</t>
  </si>
  <si>
    <t>21-07-2022 10:30</t>
  </si>
  <si>
    <t>21-07-2022 10:45</t>
  </si>
  <si>
    <t>21-07-2022 11:00</t>
  </si>
  <si>
    <t>21-07-2022 11:15</t>
  </si>
  <si>
    <t>21-07-2022 11:30</t>
  </si>
  <si>
    <t>21-07-2022 11:45</t>
  </si>
  <si>
    <t>21-07-2022 12:00</t>
  </si>
  <si>
    <t>21-07-2022 12:15</t>
  </si>
  <si>
    <t>21-07-2022 12:30</t>
  </si>
  <si>
    <t>21-07-2022 12:45</t>
  </si>
  <si>
    <t>21-07-2022 13:00</t>
  </si>
  <si>
    <t>21-07-2022 13:15</t>
  </si>
  <si>
    <t>21-07-2022 13:30</t>
  </si>
  <si>
    <t>21-07-2022 13:45</t>
  </si>
  <si>
    <t>21-07-2022 14:00</t>
  </si>
  <si>
    <t>21-07-2022 14:15</t>
  </si>
  <si>
    <t>21-07-2022 14:30</t>
  </si>
  <si>
    <t>21-07-2022 14:45</t>
  </si>
  <si>
    <t>21-07-2022 15:00</t>
  </si>
  <si>
    <t>21-07-2022 15:15</t>
  </si>
  <si>
    <t>21-07-2022 15:30</t>
  </si>
  <si>
    <t>21-07-2022 15:45</t>
  </si>
  <si>
    <t>21-07-2022 16:00</t>
  </si>
  <si>
    <t>21-07-2022 16:15</t>
  </si>
  <si>
    <t>21-07-2022 16:30</t>
  </si>
  <si>
    <t>21-07-2022 16:45</t>
  </si>
  <si>
    <t>21-07-2022 17:00</t>
  </si>
  <si>
    <t>21-07-2022 17:15</t>
  </si>
  <si>
    <t>21-07-2022 17:30</t>
  </si>
  <si>
    <t>21-07-2022 17:45</t>
  </si>
  <si>
    <t>21-07-2022 18:00</t>
  </si>
  <si>
    <t>21-07-2022 18:15</t>
  </si>
  <si>
    <t>21-07-2022 18:30</t>
  </si>
  <si>
    <t>21-07-2022 18:45</t>
  </si>
  <si>
    <t>21-07-2022 19:00</t>
  </si>
  <si>
    <t>21-07-2022 19:15</t>
  </si>
  <si>
    <t>21-07-2022 19:30</t>
  </si>
  <si>
    <t>21-07-2022 19:45</t>
  </si>
  <si>
    <t>21-07-2022 20:00</t>
  </si>
  <si>
    <t>21-07-2022 20:15</t>
  </si>
  <si>
    <t>21-07-2022 20:30</t>
  </si>
  <si>
    <t>21-07-2022 20:45</t>
  </si>
  <si>
    <t>21-07-2022 21:00</t>
  </si>
  <si>
    <t>21-07-2022 21:15</t>
  </si>
  <si>
    <t>21-07-2022 21:30</t>
  </si>
  <si>
    <t>21-07-2022 21:45</t>
  </si>
  <si>
    <t>21-07-2022 22:00</t>
  </si>
  <si>
    <t>21-07-2022 22:15</t>
  </si>
  <si>
    <t>21-07-2022 22:30</t>
  </si>
  <si>
    <t>21-07-2022 22:45</t>
  </si>
  <si>
    <t>21-07-2022 23:00</t>
  </si>
  <si>
    <t>21-07-2022 23:15</t>
  </si>
  <si>
    <t>21-07-2022 23:30</t>
  </si>
  <si>
    <t>21-07-2022 23:45</t>
  </si>
  <si>
    <t>21-07-2022 24:00</t>
  </si>
  <si>
    <t>22-07-2022 00:15</t>
  </si>
  <si>
    <t>22-07-2022 00:30</t>
  </si>
  <si>
    <t>22-07-2022 00:45</t>
  </si>
  <si>
    <t>22-07-2022 01:00</t>
  </si>
  <si>
    <t>22-07-2022 01:15</t>
  </si>
  <si>
    <t>22-07-2022 01:30</t>
  </si>
  <si>
    <t>22-07-2022 01:45</t>
  </si>
  <si>
    <t>22-07-2022 02:00</t>
  </si>
  <si>
    <t>22-07-2022 02:15</t>
  </si>
  <si>
    <t>22-07-2022 02:30</t>
  </si>
  <si>
    <t>22-07-2022 02:45</t>
  </si>
  <si>
    <t>22-07-2022 03:00</t>
  </si>
  <si>
    <t>22-07-2022 03:15</t>
  </si>
  <si>
    <t>22-07-2022 03:30</t>
  </si>
  <si>
    <t>22-07-2022 03:45</t>
  </si>
  <si>
    <t>22-07-2022 04:00</t>
  </si>
  <si>
    <t>22-07-2022 04:15</t>
  </si>
  <si>
    <t>22-07-2022 04:30</t>
  </si>
  <si>
    <t>22-07-2022 04:45</t>
  </si>
  <si>
    <t>22-07-2022 05:00</t>
  </si>
  <si>
    <t>22-07-2022 05:15</t>
  </si>
  <si>
    <t>22-07-2022 05:30</t>
  </si>
  <si>
    <t>22-07-2022 05:45</t>
  </si>
  <si>
    <t>22-07-2022 06:00</t>
  </si>
  <si>
    <t>22-07-2022 06:15</t>
  </si>
  <si>
    <t>22-07-2022 06:30</t>
  </si>
  <si>
    <t>22-07-2022 06:45</t>
  </si>
  <si>
    <t>22-07-2022 07:00</t>
  </si>
  <si>
    <t>22-07-2022 07:15</t>
  </si>
  <si>
    <t>22-07-2022 07:30</t>
  </si>
  <si>
    <t>22-07-2022 07:45</t>
  </si>
  <si>
    <t>22-07-2022 08:00</t>
  </si>
  <si>
    <t>22-07-2022 08:15</t>
  </si>
  <si>
    <t>22-07-2022 08:30</t>
  </si>
  <si>
    <t>22-07-2022 08:45</t>
  </si>
  <si>
    <t>22-07-2022 09:00</t>
  </si>
  <si>
    <t>22-07-2022 09:15</t>
  </si>
  <si>
    <t>22-07-2022 09:30</t>
  </si>
  <si>
    <t>22-07-2022 09:45</t>
  </si>
  <si>
    <t>22-07-2022 10:00</t>
  </si>
  <si>
    <t>22-07-2022 10:15</t>
  </si>
  <si>
    <t>22-07-2022 10:30</t>
  </si>
  <si>
    <t>22-07-2022 10:45</t>
  </si>
  <si>
    <t>22-07-2022 11:00</t>
  </si>
  <si>
    <t>22-07-2022 11:15</t>
  </si>
  <si>
    <t>22-07-2022 11:30</t>
  </si>
  <si>
    <t>22-07-2022 11:45</t>
  </si>
  <si>
    <t>22-07-2022 12:00</t>
  </si>
  <si>
    <t>22-07-2022 12:15</t>
  </si>
  <si>
    <t>22-07-2022 12:30</t>
  </si>
  <si>
    <t>22-07-2022 12:45</t>
  </si>
  <si>
    <t>22-07-2022 13:00</t>
  </si>
  <si>
    <t>22-07-2022 13:15</t>
  </si>
  <si>
    <t>22-07-2022 13:30</t>
  </si>
  <si>
    <t>22-07-2022 13:45</t>
  </si>
  <si>
    <t>22-07-2022 14:00</t>
  </si>
  <si>
    <t>22-07-2022 14:15</t>
  </si>
  <si>
    <t>22-07-2022 14:30</t>
  </si>
  <si>
    <t>22-07-2022 14:45</t>
  </si>
  <si>
    <t>22-07-2022 15:00</t>
  </si>
  <si>
    <t>22-07-2022 15:15</t>
  </si>
  <si>
    <t>22-07-2022 15:30</t>
  </si>
  <si>
    <t>22-07-2022 15:45</t>
  </si>
  <si>
    <t>22-07-2022 16:00</t>
  </si>
  <si>
    <t>22-07-2022 16:15</t>
  </si>
  <si>
    <t>22-07-2022 16:30</t>
  </si>
  <si>
    <t>22-07-2022 16:45</t>
  </si>
  <si>
    <t>22-07-2022 17:00</t>
  </si>
  <si>
    <t>22-07-2022 17:15</t>
  </si>
  <si>
    <t>22-07-2022 17:30</t>
  </si>
  <si>
    <t>22-07-2022 17:45</t>
  </si>
  <si>
    <t>22-07-2022 18:00</t>
  </si>
  <si>
    <t>22-07-2022 18:15</t>
  </si>
  <si>
    <t>22-07-2022 18:30</t>
  </si>
  <si>
    <t>22-07-2022 18:45</t>
  </si>
  <si>
    <t>22-07-2022 19:00</t>
  </si>
  <si>
    <t>22-07-2022 19:15</t>
  </si>
  <si>
    <t>22-07-2022 19:30</t>
  </si>
  <si>
    <t>22-07-2022 19:45</t>
  </si>
  <si>
    <t>22-07-2022 20:00</t>
  </si>
  <si>
    <t>22-07-2022 20:15</t>
  </si>
  <si>
    <t>22-07-2022 20:30</t>
  </si>
  <si>
    <t>22-07-2022 20:45</t>
  </si>
  <si>
    <t>22-07-2022 21:00</t>
  </si>
  <si>
    <t>22-07-2022 21:15</t>
  </si>
  <si>
    <t>22-07-2022 21:30</t>
  </si>
  <si>
    <t>22-07-2022 21:45</t>
  </si>
  <si>
    <t>22-07-2022 22:00</t>
  </si>
  <si>
    <t>22-07-2022 22:15</t>
  </si>
  <si>
    <t>22-07-2022 22:30</t>
  </si>
  <si>
    <t>22-07-2022 22:45</t>
  </si>
  <si>
    <t>22-07-2022 23:00</t>
  </si>
  <si>
    <t>22-07-2022 23:15</t>
  </si>
  <si>
    <t>22-07-2022 23:30</t>
  </si>
  <si>
    <t>22-07-2022 23:45</t>
  </si>
  <si>
    <t>22-07-2022 24:00</t>
  </si>
  <si>
    <t>23-07-2022 00:15</t>
  </si>
  <si>
    <t>23-07-2022 00:30</t>
  </si>
  <si>
    <t>23-07-2022 00:45</t>
  </si>
  <si>
    <t>23-07-2022 01:00</t>
  </si>
  <si>
    <t>23-07-2022 01:15</t>
  </si>
  <si>
    <t>23-07-2022 01:30</t>
  </si>
  <si>
    <t>23-07-2022 01:45</t>
  </si>
  <si>
    <t>23-07-2022 02:00</t>
  </si>
  <si>
    <t>23-07-2022 02:15</t>
  </si>
  <si>
    <t>23-07-2022 02:30</t>
  </si>
  <si>
    <t>23-07-2022 02:45</t>
  </si>
  <si>
    <t>23-07-2022 03:00</t>
  </si>
  <si>
    <t>23-07-2022 03:15</t>
  </si>
  <si>
    <t>23-07-2022 03:30</t>
  </si>
  <si>
    <t>23-07-2022 03:45</t>
  </si>
  <si>
    <t>23-07-2022 04:00</t>
  </si>
  <si>
    <t>23-07-2022 04:15</t>
  </si>
  <si>
    <t>23-07-2022 04:30</t>
  </si>
  <si>
    <t>23-07-2022 04:45</t>
  </si>
  <si>
    <t>23-07-2022 05:00</t>
  </si>
  <si>
    <t>23-07-2022 05:15</t>
  </si>
  <si>
    <t>23-07-2022 05:30</t>
  </si>
  <si>
    <t>23-07-2022 05:45</t>
  </si>
  <si>
    <t>23-07-2022 06:00</t>
  </si>
  <si>
    <t>23-07-2022 06:15</t>
  </si>
  <si>
    <t>23-07-2022 06:30</t>
  </si>
  <si>
    <t>23-07-2022 06:45</t>
  </si>
  <si>
    <t>23-07-2022 07:00</t>
  </si>
  <si>
    <t>23-07-2022 07:15</t>
  </si>
  <si>
    <t>23-07-2022 07:30</t>
  </si>
  <si>
    <t>23-07-2022 07:45</t>
  </si>
  <si>
    <t>23-07-2022 08:00</t>
  </si>
  <si>
    <t>23-07-2022 08:15</t>
  </si>
  <si>
    <t>23-07-2022 08:30</t>
  </si>
  <si>
    <t>23-07-2022 08:45</t>
  </si>
  <si>
    <t>23-07-2022 09:00</t>
  </si>
  <si>
    <t>23-07-2022 09:15</t>
  </si>
  <si>
    <t>23-07-2022 09:30</t>
  </si>
  <si>
    <t>23-07-2022 09:45</t>
  </si>
  <si>
    <t>23-07-2022 10:00</t>
  </si>
  <si>
    <t>23-07-2022 10:15</t>
  </si>
  <si>
    <t>23-07-2022 10:30</t>
  </si>
  <si>
    <t>23-07-2022 10:45</t>
  </si>
  <si>
    <t>23-07-2022 11:00</t>
  </si>
  <si>
    <t>23-07-2022 11:15</t>
  </si>
  <si>
    <t>23-07-2022 11:30</t>
  </si>
  <si>
    <t>23-07-2022 11:45</t>
  </si>
  <si>
    <t>23-07-2022 12:00</t>
  </si>
  <si>
    <t>23-07-2022 12:15</t>
  </si>
  <si>
    <t>23-07-2022 12:30</t>
  </si>
  <si>
    <t>23-07-2022 12:45</t>
  </si>
  <si>
    <t>23-07-2022 13:00</t>
  </si>
  <si>
    <t>23-07-2022 13:15</t>
  </si>
  <si>
    <t>23-07-2022 13:30</t>
  </si>
  <si>
    <t>23-07-2022 13:45</t>
  </si>
  <si>
    <t>23-07-2022 14:00</t>
  </si>
  <si>
    <t>23-07-2022 14:15</t>
  </si>
  <si>
    <t>23-07-2022 14:30</t>
  </si>
  <si>
    <t>23-07-2022 14:45</t>
  </si>
  <si>
    <t>23-07-2022 15:00</t>
  </si>
  <si>
    <t>23-07-2022 15:15</t>
  </si>
  <si>
    <t>23-07-2022 15:30</t>
  </si>
  <si>
    <t>23-07-2022 15:45</t>
  </si>
  <si>
    <t>23-07-2022 16:00</t>
  </si>
  <si>
    <t>23-07-2022 16:15</t>
  </si>
  <si>
    <t>23-07-2022 16:30</t>
  </si>
  <si>
    <t>23-07-2022 16:45</t>
  </si>
  <si>
    <t>23-07-2022 17:00</t>
  </si>
  <si>
    <t>23-07-2022 17:15</t>
  </si>
  <si>
    <t>23-07-2022 17:30</t>
  </si>
  <si>
    <t>23-07-2022 17:45</t>
  </si>
  <si>
    <t>23-07-2022 18:00</t>
  </si>
  <si>
    <t>23-07-2022 18:15</t>
  </si>
  <si>
    <t>23-07-2022 18:30</t>
  </si>
  <si>
    <t>23-07-2022 18:45</t>
  </si>
  <si>
    <t>23-07-2022 19:00</t>
  </si>
  <si>
    <t>23-07-2022 19:15</t>
  </si>
  <si>
    <t>23-07-2022 19:30</t>
  </si>
  <si>
    <t>23-07-2022 19:45</t>
  </si>
  <si>
    <t>23-07-2022 20:00</t>
  </si>
  <si>
    <t>23-07-2022 20:15</t>
  </si>
  <si>
    <t>23-07-2022 20:30</t>
  </si>
  <si>
    <t>23-07-2022 20:45</t>
  </si>
  <si>
    <t>23-07-2022 21:00</t>
  </si>
  <si>
    <t>23-07-2022 21:15</t>
  </si>
  <si>
    <t>23-07-2022 21:30</t>
  </si>
  <si>
    <t>23-07-2022 21:45</t>
  </si>
  <si>
    <t>23-07-2022 22:00</t>
  </si>
  <si>
    <t>23-07-2022 22:15</t>
  </si>
  <si>
    <t>23-07-2022 22:30</t>
  </si>
  <si>
    <t>23-07-2022 22:45</t>
  </si>
  <si>
    <t>23-07-2022 23:00</t>
  </si>
  <si>
    <t>23-07-2022 23:15</t>
  </si>
  <si>
    <t>23-07-2022 23:30</t>
  </si>
  <si>
    <t>23-07-2022 23:45</t>
  </si>
  <si>
    <t>23-07-2022 24:00</t>
  </si>
  <si>
    <t>24-07-2022 00:15</t>
  </si>
  <si>
    <t>24-07-2022 00:30</t>
  </si>
  <si>
    <t>24-07-2022 00:45</t>
  </si>
  <si>
    <t>24-07-2022 01:00</t>
  </si>
  <si>
    <t>24-07-2022 01:15</t>
  </si>
  <si>
    <t>24-07-2022 01:30</t>
  </si>
  <si>
    <t>24-07-2022 01:45</t>
  </si>
  <si>
    <t>24-07-2022 02:00</t>
  </si>
  <si>
    <t>24-07-2022 02:15</t>
  </si>
  <si>
    <t>24-07-2022 02:30</t>
  </si>
  <si>
    <t>24-07-2022 02:45</t>
  </si>
  <si>
    <t>24-07-2022 03:00</t>
  </si>
  <si>
    <t>24-07-2022 03:15</t>
  </si>
  <si>
    <t>24-07-2022 03:30</t>
  </si>
  <si>
    <t>24-07-2022 03:45</t>
  </si>
  <si>
    <t>24-07-2022 04:00</t>
  </si>
  <si>
    <t>24-07-2022 04:15</t>
  </si>
  <si>
    <t>24-07-2022 04:30</t>
  </si>
  <si>
    <t>24-07-2022 04:45</t>
  </si>
  <si>
    <t>24-07-2022 05:00</t>
  </si>
  <si>
    <t>24-07-2022 05:15</t>
  </si>
  <si>
    <t>24-07-2022 05:30</t>
  </si>
  <si>
    <t>24-07-2022 05:45</t>
  </si>
  <si>
    <t>24-07-2022 06:00</t>
  </si>
  <si>
    <t>24-07-2022 06:15</t>
  </si>
  <si>
    <t>24-07-2022 06:30</t>
  </si>
  <si>
    <t>24-07-2022 06:45</t>
  </si>
  <si>
    <t>24-07-2022 07:00</t>
  </si>
  <si>
    <t>24-07-2022 07:15</t>
  </si>
  <si>
    <t>24-07-2022 07:30</t>
  </si>
  <si>
    <t>24-07-2022 07:45</t>
  </si>
  <si>
    <t>24-07-2022 08:00</t>
  </si>
  <si>
    <t>24-07-2022 08:15</t>
  </si>
  <si>
    <t>24-07-2022 08:30</t>
  </si>
  <si>
    <t>24-07-2022 08:45</t>
  </si>
  <si>
    <t>24-07-2022 09:00</t>
  </si>
  <si>
    <t>24-07-2022 09:15</t>
  </si>
  <si>
    <t>24-07-2022 09:30</t>
  </si>
  <si>
    <t>24-07-2022 09:45</t>
  </si>
  <si>
    <t>24-07-2022 10:00</t>
  </si>
  <si>
    <t>24-07-2022 10:15</t>
  </si>
  <si>
    <t>24-07-2022 10:30</t>
  </si>
  <si>
    <t>24-07-2022 10:45</t>
  </si>
  <si>
    <t>24-07-2022 11:00</t>
  </si>
  <si>
    <t>24-07-2022 11:15</t>
  </si>
  <si>
    <t>24-07-2022 11:30</t>
  </si>
  <si>
    <t>24-07-2022 11:45</t>
  </si>
  <si>
    <t>24-07-2022 12:00</t>
  </si>
  <si>
    <t>24-07-2022 12:15</t>
  </si>
  <si>
    <t>24-07-2022 12:30</t>
  </si>
  <si>
    <t>24-07-2022 12:45</t>
  </si>
  <si>
    <t>24-07-2022 13:00</t>
  </si>
  <si>
    <t>24-07-2022 13:15</t>
  </si>
  <si>
    <t>24-07-2022 13:30</t>
  </si>
  <si>
    <t>24-07-2022 13:45</t>
  </si>
  <si>
    <t>24-07-2022 14:00</t>
  </si>
  <si>
    <t>24-07-2022 14:15</t>
  </si>
  <si>
    <t>24-07-2022 14:30</t>
  </si>
  <si>
    <t>24-07-2022 14:45</t>
  </si>
  <si>
    <t>24-07-2022 15:00</t>
  </si>
  <si>
    <t>24-07-2022 15:15</t>
  </si>
  <si>
    <t>24-07-2022 15:30</t>
  </si>
  <si>
    <t>24-07-2022 15:45</t>
  </si>
  <si>
    <t>24-07-2022 16:00</t>
  </si>
  <si>
    <t>24-07-2022 16:15</t>
  </si>
  <si>
    <t>24-07-2022 16:30</t>
  </si>
  <si>
    <t>24-07-2022 16:45</t>
  </si>
  <si>
    <t>24-07-2022 17:00</t>
  </si>
  <si>
    <t>24-07-2022 17:15</t>
  </si>
  <si>
    <t>24-07-2022 17:30</t>
  </si>
  <si>
    <t>24-07-2022 17:45</t>
  </si>
  <si>
    <t>24-07-2022 18:00</t>
  </si>
  <si>
    <t>24-07-2022 18:15</t>
  </si>
  <si>
    <t>24-07-2022 18:30</t>
  </si>
  <si>
    <t>24-07-2022 18:45</t>
  </si>
  <si>
    <t>24-07-2022 19:00</t>
  </si>
  <si>
    <t>24-07-2022 19:15</t>
  </si>
  <si>
    <t>24-07-2022 19:30</t>
  </si>
  <si>
    <t>24-07-2022 19:45</t>
  </si>
  <si>
    <t>24-07-2022 20:00</t>
  </si>
  <si>
    <t>24-07-2022 20:15</t>
  </si>
  <si>
    <t>24-07-2022 20:30</t>
  </si>
  <si>
    <t>24-07-2022 20:45</t>
  </si>
  <si>
    <t>24-07-2022 21:00</t>
  </si>
  <si>
    <t>24-07-2022 21:15</t>
  </si>
  <si>
    <t>24-07-2022 21:30</t>
  </si>
  <si>
    <t>24-07-2022 21:45</t>
  </si>
  <si>
    <t>24-07-2022 22:00</t>
  </si>
  <si>
    <t>24-07-2022 22:15</t>
  </si>
  <si>
    <t>24-07-2022 22:30</t>
  </si>
  <si>
    <t>24-07-2022 22:45</t>
  </si>
  <si>
    <t>24-07-2022 23:00</t>
  </si>
  <si>
    <t>24-07-2022 23:15</t>
  </si>
  <si>
    <t>24-07-2022 23:30</t>
  </si>
  <si>
    <t>24-07-2022 23:45</t>
  </si>
  <si>
    <t>24-07-2022 24:00</t>
  </si>
  <si>
    <t>25-07-2022 00:15</t>
  </si>
  <si>
    <t>25-07-2022 00:30</t>
  </si>
  <si>
    <t>25-07-2022 00:45</t>
  </si>
  <si>
    <t>25-07-2022 01:00</t>
  </si>
  <si>
    <t>25-07-2022 01:15</t>
  </si>
  <si>
    <t>25-07-2022 01:30</t>
  </si>
  <si>
    <t>25-07-2022 01:45</t>
  </si>
  <si>
    <t>25-07-2022 02:00</t>
  </si>
  <si>
    <t>25-07-2022 02:15</t>
  </si>
  <si>
    <t>25-07-2022 02:30</t>
  </si>
  <si>
    <t>25-07-2022 02:45</t>
  </si>
  <si>
    <t>25-07-2022 03:00</t>
  </si>
  <si>
    <t>25-07-2022 03:15</t>
  </si>
  <si>
    <t>25-07-2022 03:30</t>
  </si>
  <si>
    <t>25-07-2022 03:45</t>
  </si>
  <si>
    <t>25-07-2022 04:00</t>
  </si>
  <si>
    <t>25-07-2022 04:15</t>
  </si>
  <si>
    <t>25-07-2022 04:30</t>
  </si>
  <si>
    <t>25-07-2022 04:45</t>
  </si>
  <si>
    <t>25-07-2022 05:00</t>
  </si>
  <si>
    <t>25-07-2022 05:15</t>
  </si>
  <si>
    <t>25-07-2022 05:30</t>
  </si>
  <si>
    <t>25-07-2022 05:45</t>
  </si>
  <si>
    <t>25-07-2022 06:00</t>
  </si>
  <si>
    <t>25-07-2022 06:15</t>
  </si>
  <si>
    <t>25-07-2022 06:30</t>
  </si>
  <si>
    <t>25-07-2022 06:45</t>
  </si>
  <si>
    <t>25-07-2022 07:00</t>
  </si>
  <si>
    <t>25-07-2022 07:15</t>
  </si>
  <si>
    <t>25-07-2022 07:30</t>
  </si>
  <si>
    <t>25-07-2022 07:45</t>
  </si>
  <si>
    <t>25-07-2022 08:00</t>
  </si>
  <si>
    <t>25-07-2022 08:15</t>
  </si>
  <si>
    <t>25-07-2022 08:30</t>
  </si>
  <si>
    <t>25-07-2022 08:45</t>
  </si>
  <si>
    <t>25-07-2022 09:00</t>
  </si>
  <si>
    <t>25-07-2022 09:15</t>
  </si>
  <si>
    <t>25-07-2022 09:30</t>
  </si>
  <si>
    <t>25-07-2022 09:45</t>
  </si>
  <si>
    <t>25-07-2022 10:00</t>
  </si>
  <si>
    <t>25-07-2022 10:15</t>
  </si>
  <si>
    <t>25-07-2022 10:30</t>
  </si>
  <si>
    <t>25-07-2022 10:45</t>
  </si>
  <si>
    <t>25-07-2022 11:00</t>
  </si>
  <si>
    <t>25-07-2022 11:15</t>
  </si>
  <si>
    <t>25-07-2022 11:30</t>
  </si>
  <si>
    <t>25-07-2022 11:45</t>
  </si>
  <si>
    <t>25-07-2022 12:00</t>
  </si>
  <si>
    <t>25-07-2022 12:15</t>
  </si>
  <si>
    <t>25-07-2022 12:30</t>
  </si>
  <si>
    <t>25-07-2022 12:45</t>
  </si>
  <si>
    <t>25-07-2022 13:00</t>
  </si>
  <si>
    <t>25-07-2022 13:15</t>
  </si>
  <si>
    <t>25-07-2022 13:30</t>
  </si>
  <si>
    <t>25-07-2022 13:45</t>
  </si>
  <si>
    <t>25-07-2022 14:00</t>
  </si>
  <si>
    <t>25-07-2022 14:15</t>
  </si>
  <si>
    <t>25-07-2022 14:30</t>
  </si>
  <si>
    <t>25-07-2022 14:45</t>
  </si>
  <si>
    <t>25-07-2022 15:00</t>
  </si>
  <si>
    <t>25-07-2022 15:15</t>
  </si>
  <si>
    <t>25-07-2022 15:30</t>
  </si>
  <si>
    <t>25-07-2022 15:45</t>
  </si>
  <si>
    <t>25-07-2022 16:00</t>
  </si>
  <si>
    <t>25-07-2022 16:15</t>
  </si>
  <si>
    <t>25-07-2022 16:30</t>
  </si>
  <si>
    <t>25-07-2022 16:45</t>
  </si>
  <si>
    <t>25-07-2022 17:00</t>
  </si>
  <si>
    <t>25-07-2022 17:15</t>
  </si>
  <si>
    <t>25-07-2022 17:30</t>
  </si>
  <si>
    <t>25-07-2022 17:45</t>
  </si>
  <si>
    <t>25-07-2022 18:00</t>
  </si>
  <si>
    <t>25-07-2022 18:15</t>
  </si>
  <si>
    <t>25-07-2022 18:30</t>
  </si>
  <si>
    <t>25-07-2022 18:45</t>
  </si>
  <si>
    <t>25-07-2022 19:00</t>
  </si>
  <si>
    <t>25-07-2022 19:15</t>
  </si>
  <si>
    <t>25-07-2022 19:30</t>
  </si>
  <si>
    <t>25-07-2022 19:45</t>
  </si>
  <si>
    <t>25-07-2022 20:00</t>
  </si>
  <si>
    <t>25-07-2022 20:15</t>
  </si>
  <si>
    <t>25-07-2022 20:30</t>
  </si>
  <si>
    <t>25-07-2022 20:45</t>
  </si>
  <si>
    <t>25-07-2022 21:00</t>
  </si>
  <si>
    <t>25-07-2022 21:15</t>
  </si>
  <si>
    <t>25-07-2022 21:30</t>
  </si>
  <si>
    <t>25-07-2022 21:45</t>
  </si>
  <si>
    <t>25-07-2022 22:00</t>
  </si>
  <si>
    <t>25-07-2022 22:15</t>
  </si>
  <si>
    <t>25-07-2022 22:30</t>
  </si>
  <si>
    <t>25-07-2022 22:45</t>
  </si>
  <si>
    <t>25-07-2022 23:00</t>
  </si>
  <si>
    <t>25-07-2022 23:15</t>
  </si>
  <si>
    <t>25-07-2022 23:30</t>
  </si>
  <si>
    <t>25-07-2022 23:45</t>
  </si>
  <si>
    <t>25-07-2022 24:00</t>
  </si>
  <si>
    <t>26-07-2022 00:15</t>
  </si>
  <si>
    <t>26-07-2022 00:30</t>
  </si>
  <si>
    <t>26-07-2022 00:45</t>
  </si>
  <si>
    <t>26-07-2022 01:00</t>
  </si>
  <si>
    <t>26-07-2022 01:15</t>
  </si>
  <si>
    <t>26-07-2022 01:30</t>
  </si>
  <si>
    <t>26-07-2022 01:45</t>
  </si>
  <si>
    <t>26-07-2022 02:00</t>
  </si>
  <si>
    <t>26-07-2022 02:15</t>
  </si>
  <si>
    <t>26-07-2022 02:30</t>
  </si>
  <si>
    <t>26-07-2022 02:45</t>
  </si>
  <si>
    <t>26-07-2022 03:00</t>
  </si>
  <si>
    <t>26-07-2022 03:15</t>
  </si>
  <si>
    <t>26-07-2022 03:30</t>
  </si>
  <si>
    <t>26-07-2022 03:45</t>
  </si>
  <si>
    <t>26-07-2022 04:00</t>
  </si>
  <si>
    <t>26-07-2022 04:15</t>
  </si>
  <si>
    <t>26-07-2022 04:30</t>
  </si>
  <si>
    <t>26-07-2022 04:45</t>
  </si>
  <si>
    <t>26-07-2022 05:00</t>
  </si>
  <si>
    <t>26-07-2022 05:15</t>
  </si>
  <si>
    <t>26-07-2022 05:30</t>
  </si>
  <si>
    <t>26-07-2022 05:45</t>
  </si>
  <si>
    <t>26-07-2022 06:00</t>
  </si>
  <si>
    <t>26-07-2022 06:15</t>
  </si>
  <si>
    <t>26-07-2022 06:30</t>
  </si>
  <si>
    <t>26-07-2022 06:45</t>
  </si>
  <si>
    <t>26-07-2022 07:00</t>
  </si>
  <si>
    <t>26-07-2022 07:15</t>
  </si>
  <si>
    <t>26-07-2022 07:30</t>
  </si>
  <si>
    <t>26-07-2022 07:45</t>
  </si>
  <si>
    <t>26-07-2022 08:00</t>
  </si>
  <si>
    <t>26-07-2022 08:15</t>
  </si>
  <si>
    <t>26-07-2022 08:30</t>
  </si>
  <si>
    <t>26-07-2022 08:45</t>
  </si>
  <si>
    <t>26-07-2022 09:00</t>
  </si>
  <si>
    <t>26-07-2022 09:15</t>
  </si>
  <si>
    <t>26-07-2022 09:30</t>
  </si>
  <si>
    <t>26-07-2022 09:45</t>
  </si>
  <si>
    <t>26-07-2022 10:00</t>
  </si>
  <si>
    <t>26-07-2022 10:15</t>
  </si>
  <si>
    <t>26-07-2022 10:30</t>
  </si>
  <si>
    <t>26-07-2022 10:45</t>
  </si>
  <si>
    <t>26-07-2022 11:00</t>
  </si>
  <si>
    <t>26-07-2022 11:15</t>
  </si>
  <si>
    <t>26-07-2022 11:30</t>
  </si>
  <si>
    <t>26-07-2022 11:45</t>
  </si>
  <si>
    <t>26-07-2022 12:00</t>
  </si>
  <si>
    <t>26-07-2022 12:15</t>
  </si>
  <si>
    <t>26-07-2022 12:30</t>
  </si>
  <si>
    <t>26-07-2022 12:45</t>
  </si>
  <si>
    <t>26-07-2022 13:00</t>
  </si>
  <si>
    <t>26-07-2022 13:15</t>
  </si>
  <si>
    <t>26-07-2022 13:30</t>
  </si>
  <si>
    <t>26-07-2022 13:45</t>
  </si>
  <si>
    <t>26-07-2022 14:00</t>
  </si>
  <si>
    <t>26-07-2022 14:15</t>
  </si>
  <si>
    <t>26-07-2022 14:30</t>
  </si>
  <si>
    <t>26-07-2022 14:45</t>
  </si>
  <si>
    <t>26-07-2022 15:00</t>
  </si>
  <si>
    <t>26-07-2022 15:15</t>
  </si>
  <si>
    <t>26-07-2022 15:30</t>
  </si>
  <si>
    <t>26-07-2022 15:45</t>
  </si>
  <si>
    <t>26-07-2022 16:00</t>
  </si>
  <si>
    <t>26-07-2022 16:15</t>
  </si>
  <si>
    <t>26-07-2022 16:30</t>
  </si>
  <si>
    <t>26-07-2022 16:45</t>
  </si>
  <si>
    <t>26-07-2022 17:00</t>
  </si>
  <si>
    <t>26-07-2022 17:15</t>
  </si>
  <si>
    <t>26-07-2022 17:30</t>
  </si>
  <si>
    <t>26-07-2022 17:45</t>
  </si>
  <si>
    <t>26-07-2022 18:00</t>
  </si>
  <si>
    <t>26-07-2022 18:15</t>
  </si>
  <si>
    <t>26-07-2022 18:30</t>
  </si>
  <si>
    <t>26-07-2022 18:45</t>
  </si>
  <si>
    <t>26-07-2022 19:00</t>
  </si>
  <si>
    <t>26-07-2022 19:15</t>
  </si>
  <si>
    <t>26-07-2022 19:30</t>
  </si>
  <si>
    <t>26-07-2022 19:45</t>
  </si>
  <si>
    <t>26-07-2022 20:00</t>
  </si>
  <si>
    <t>26-07-2022 20:15</t>
  </si>
  <si>
    <t>26-07-2022 20:30</t>
  </si>
  <si>
    <t>26-07-2022 20:45</t>
  </si>
  <si>
    <t>26-07-2022 21:00</t>
  </si>
  <si>
    <t>26-07-2022 21:15</t>
  </si>
  <si>
    <t>26-07-2022 21:30</t>
  </si>
  <si>
    <t>26-07-2022 21:45</t>
  </si>
  <si>
    <t>26-07-2022 22:00</t>
  </si>
  <si>
    <t>26-07-2022 22:15</t>
  </si>
  <si>
    <t>26-07-2022 22:30</t>
  </si>
  <si>
    <t>26-07-2022 22:45</t>
  </si>
  <si>
    <t>26-07-2022 23:00</t>
  </si>
  <si>
    <t>26-07-2022 23:15</t>
  </si>
  <si>
    <t>26-07-2022 23:30</t>
  </si>
  <si>
    <t>26-07-2022 23:45</t>
  </si>
  <si>
    <t>26-07-2022 24:00</t>
  </si>
  <si>
    <t>27-07-2022 00:15</t>
  </si>
  <si>
    <t>27-07-2022 00:30</t>
  </si>
  <si>
    <t>27-07-2022 00:45</t>
  </si>
  <si>
    <t>27-07-2022 01:00</t>
  </si>
  <si>
    <t>27-07-2022 01:15</t>
  </si>
  <si>
    <t>27-07-2022 01:30</t>
  </si>
  <si>
    <t>27-07-2022 01:45</t>
  </si>
  <si>
    <t>27-07-2022 02:00</t>
  </si>
  <si>
    <t>27-07-2022 02:15</t>
  </si>
  <si>
    <t>27-07-2022 02:30</t>
  </si>
  <si>
    <t>27-07-2022 02:45</t>
  </si>
  <si>
    <t>27-07-2022 03:00</t>
  </si>
  <si>
    <t>27-07-2022 03:15</t>
  </si>
  <si>
    <t>27-07-2022 03:30</t>
  </si>
  <si>
    <t>27-07-2022 03:45</t>
  </si>
  <si>
    <t>27-07-2022 04:00</t>
  </si>
  <si>
    <t>27-07-2022 04:15</t>
  </si>
  <si>
    <t>27-07-2022 04:30</t>
  </si>
  <si>
    <t>27-07-2022 04:45</t>
  </si>
  <si>
    <t>27-07-2022 05:00</t>
  </si>
  <si>
    <t>27-07-2022 05:15</t>
  </si>
  <si>
    <t>27-07-2022 05:30</t>
  </si>
  <si>
    <t>27-07-2022 05:45</t>
  </si>
  <si>
    <t>27-07-2022 06:00</t>
  </si>
  <si>
    <t>27-07-2022 06:15</t>
  </si>
  <si>
    <t>27-07-2022 06:30</t>
  </si>
  <si>
    <t>27-07-2022 06:45</t>
  </si>
  <si>
    <t>27-07-2022 07:00</t>
  </si>
  <si>
    <t>27-07-2022 07:15</t>
  </si>
  <si>
    <t>27-07-2022 07:30</t>
  </si>
  <si>
    <t>27-07-2022 07:45</t>
  </si>
  <si>
    <t>27-07-2022 08:00</t>
  </si>
  <si>
    <t>27-07-2022 08:15</t>
  </si>
  <si>
    <t>27-07-2022 08:30</t>
  </si>
  <si>
    <t>27-07-2022 08:45</t>
  </si>
  <si>
    <t>27-07-2022 09:00</t>
  </si>
  <si>
    <t>27-07-2022 09:15</t>
  </si>
  <si>
    <t>27-07-2022 09:30</t>
  </si>
  <si>
    <t>27-07-2022 09:45</t>
  </si>
  <si>
    <t>27-07-2022 10:00</t>
  </si>
  <si>
    <t>27-07-2022 10:15</t>
  </si>
  <si>
    <t>27-07-2022 10:30</t>
  </si>
  <si>
    <t>27-07-2022 10:45</t>
  </si>
  <si>
    <t>27-07-2022 11:00</t>
  </si>
  <si>
    <t>27-07-2022 11:15</t>
  </si>
  <si>
    <t>27-07-2022 11:30</t>
  </si>
  <si>
    <t>27-07-2022 11:45</t>
  </si>
  <si>
    <t>27-07-2022 12:00</t>
  </si>
  <si>
    <t>27-07-2022 12:15</t>
  </si>
  <si>
    <t>27-07-2022 12:30</t>
  </si>
  <si>
    <t>27-07-2022 12:45</t>
  </si>
  <si>
    <t>27-07-2022 13:00</t>
  </si>
  <si>
    <t>27-07-2022 13:15</t>
  </si>
  <si>
    <t>27-07-2022 13:30</t>
  </si>
  <si>
    <t>27-07-2022 13:45</t>
  </si>
  <si>
    <t>27-07-2022 14:00</t>
  </si>
  <si>
    <t>27-07-2022 14:15</t>
  </si>
  <si>
    <t>27-07-2022 14:30</t>
  </si>
  <si>
    <t>27-07-2022 14:45</t>
  </si>
  <si>
    <t>27-07-2022 15:00</t>
  </si>
  <si>
    <t>27-07-2022 15:15</t>
  </si>
  <si>
    <t>27-07-2022 15:30</t>
  </si>
  <si>
    <t>27-07-2022 15:45</t>
  </si>
  <si>
    <t>27-07-2022 16:00</t>
  </si>
  <si>
    <t>27-07-2022 16:15</t>
  </si>
  <si>
    <t>27-07-2022 16:30</t>
  </si>
  <si>
    <t>27-07-2022 16:45</t>
  </si>
  <si>
    <t>27-07-2022 17:00</t>
  </si>
  <si>
    <t>27-07-2022 17:15</t>
  </si>
  <si>
    <t>27-07-2022 17:30</t>
  </si>
  <si>
    <t>27-07-2022 17:45</t>
  </si>
  <si>
    <t>27-07-2022 18:00</t>
  </si>
  <si>
    <t>27-07-2022 18:15</t>
  </si>
  <si>
    <t>27-07-2022 18:30</t>
  </si>
  <si>
    <t>27-07-2022 18:45</t>
  </si>
  <si>
    <t>27-07-2022 19:00</t>
  </si>
  <si>
    <t>27-07-2022 19:15</t>
  </si>
  <si>
    <t>27-07-2022 19:30</t>
  </si>
  <si>
    <t>27-07-2022 19:45</t>
  </si>
  <si>
    <t>27-07-2022 20:00</t>
  </si>
  <si>
    <t>27-07-2022 20:15</t>
  </si>
  <si>
    <t>27-07-2022 20:30</t>
  </si>
  <si>
    <t>27-07-2022 20:45</t>
  </si>
  <si>
    <t>27-07-2022 21:00</t>
  </si>
  <si>
    <t>27-07-2022 21:15</t>
  </si>
  <si>
    <t>27-07-2022 21:30</t>
  </si>
  <si>
    <t>27-07-2022 21:45</t>
  </si>
  <si>
    <t>27-07-2022 22:00</t>
  </si>
  <si>
    <t>27-07-2022 22:15</t>
  </si>
  <si>
    <t>27-07-2022 22:30</t>
  </si>
  <si>
    <t>27-07-2022 22:45</t>
  </si>
  <si>
    <t>27-07-2022 23:00</t>
  </si>
  <si>
    <t>27-07-2022 23:15</t>
  </si>
  <si>
    <t>27-07-2022 23:30</t>
  </si>
  <si>
    <t>27-07-2022 23:45</t>
  </si>
  <si>
    <t>27-07-2022 24:00</t>
  </si>
  <si>
    <t>28-07-2022 00:15</t>
  </si>
  <si>
    <t>28-07-2022 00:30</t>
  </si>
  <si>
    <t>28-07-2022 00:45</t>
  </si>
  <si>
    <t>28-07-2022 01:00</t>
  </si>
  <si>
    <t>28-07-2022 01:15</t>
  </si>
  <si>
    <t>28-07-2022 01:30</t>
  </si>
  <si>
    <t>28-07-2022 01:45</t>
  </si>
  <si>
    <t>28-07-2022 02:00</t>
  </si>
  <si>
    <t>28-07-2022 02:15</t>
  </si>
  <si>
    <t>28-07-2022 02:30</t>
  </si>
  <si>
    <t>28-07-2022 02:45</t>
  </si>
  <si>
    <t>28-07-2022 03:00</t>
  </si>
  <si>
    <t>28-07-2022 03:15</t>
  </si>
  <si>
    <t>28-07-2022 03:30</t>
  </si>
  <si>
    <t>28-07-2022 03:45</t>
  </si>
  <si>
    <t>28-07-2022 04:00</t>
  </si>
  <si>
    <t>28-07-2022 04:15</t>
  </si>
  <si>
    <t>28-07-2022 04:30</t>
  </si>
  <si>
    <t>28-07-2022 04:45</t>
  </si>
  <si>
    <t>28-07-2022 05:00</t>
  </si>
  <si>
    <t>28-07-2022 05:15</t>
  </si>
  <si>
    <t>28-07-2022 05:30</t>
  </si>
  <si>
    <t>28-07-2022 05:45</t>
  </si>
  <si>
    <t>28-07-2022 06:00</t>
  </si>
  <si>
    <t>28-07-2022 06:15</t>
  </si>
  <si>
    <t>28-07-2022 06:30</t>
  </si>
  <si>
    <t>28-07-2022 06:45</t>
  </si>
  <si>
    <t>28-07-2022 07:00</t>
  </si>
  <si>
    <t>28-07-2022 07:15</t>
  </si>
  <si>
    <t>28-07-2022 07:30</t>
  </si>
  <si>
    <t>28-07-2022 07:45</t>
  </si>
  <si>
    <t>28-07-2022 08:00</t>
  </si>
  <si>
    <t>28-07-2022 08:15</t>
  </si>
  <si>
    <t>28-07-2022 08:30</t>
  </si>
  <si>
    <t>28-07-2022 08:45</t>
  </si>
  <si>
    <t>28-07-2022 09:00</t>
  </si>
  <si>
    <t>28-07-2022 09:15</t>
  </si>
  <si>
    <t>28-07-2022 09:30</t>
  </si>
  <si>
    <t>28-07-2022 09:45</t>
  </si>
  <si>
    <t>28-07-2022 10:00</t>
  </si>
  <si>
    <t>28-07-2022 10:15</t>
  </si>
  <si>
    <t>28-07-2022 10:30</t>
  </si>
  <si>
    <t>28-07-2022 10:45</t>
  </si>
  <si>
    <t>28-07-2022 11:00</t>
  </si>
  <si>
    <t>28-07-2022 11:15</t>
  </si>
  <si>
    <t>28-07-2022 11:30</t>
  </si>
  <si>
    <t>28-07-2022 11:45</t>
  </si>
  <si>
    <t>28-07-2022 12:00</t>
  </si>
  <si>
    <t>28-07-2022 12:15</t>
  </si>
  <si>
    <t>28-07-2022 12:30</t>
  </si>
  <si>
    <t>28-07-2022 12:45</t>
  </si>
  <si>
    <t>28-07-2022 13:00</t>
  </si>
  <si>
    <t>28-07-2022 13:15</t>
  </si>
  <si>
    <t>28-07-2022 13:30</t>
  </si>
  <si>
    <t>28-07-2022 13:45</t>
  </si>
  <si>
    <t>28-07-2022 14:00</t>
  </si>
  <si>
    <t>28-07-2022 14:15</t>
  </si>
  <si>
    <t>28-07-2022 14:30</t>
  </si>
  <si>
    <t>28-07-2022 14:45</t>
  </si>
  <si>
    <t>28-07-2022 15:00</t>
  </si>
  <si>
    <t>28-07-2022 15:15</t>
  </si>
  <si>
    <t>28-07-2022 15:30</t>
  </si>
  <si>
    <t>28-07-2022 15:45</t>
  </si>
  <si>
    <t>28-07-2022 16:00</t>
  </si>
  <si>
    <t>28-07-2022 16:15</t>
  </si>
  <si>
    <t>28-07-2022 16:30</t>
  </si>
  <si>
    <t>28-07-2022 16:45</t>
  </si>
  <si>
    <t>28-07-2022 17:00</t>
  </si>
  <si>
    <t>28-07-2022 17:15</t>
  </si>
  <si>
    <t>28-07-2022 17:30</t>
  </si>
  <si>
    <t>28-07-2022 17:45</t>
  </si>
  <si>
    <t>28-07-2022 18:00</t>
  </si>
  <si>
    <t>28-07-2022 18:15</t>
  </si>
  <si>
    <t>28-07-2022 18:30</t>
  </si>
  <si>
    <t>28-07-2022 18:45</t>
  </si>
  <si>
    <t>28-07-2022 19:00</t>
  </si>
  <si>
    <t>28-07-2022 19:15</t>
  </si>
  <si>
    <t>28-07-2022 19:30</t>
  </si>
  <si>
    <t>28-07-2022 19:45</t>
  </si>
  <si>
    <t>28-07-2022 20:00</t>
  </si>
  <si>
    <t>28-07-2022 20:15</t>
  </si>
  <si>
    <t>28-07-2022 20:30</t>
  </si>
  <si>
    <t>28-07-2022 20:45</t>
  </si>
  <si>
    <t>28-07-2022 21:00</t>
  </si>
  <si>
    <t>28-07-2022 21:15</t>
  </si>
  <si>
    <t>28-07-2022 21:30</t>
  </si>
  <si>
    <t>28-07-2022 21:45</t>
  </si>
  <si>
    <t>28-07-2022 22:00</t>
  </si>
  <si>
    <t>28-07-2022 22:15</t>
  </si>
  <si>
    <t>28-07-2022 22:30</t>
  </si>
  <si>
    <t>28-07-2022 22:45</t>
  </si>
  <si>
    <t>28-07-2022 23:00</t>
  </si>
  <si>
    <t>28-07-2022 23:15</t>
  </si>
  <si>
    <t>28-07-2022 23:30</t>
  </si>
  <si>
    <t>28-07-2022 23:45</t>
  </si>
  <si>
    <t>28-07-2022 24:00</t>
  </si>
  <si>
    <t>29-07-2022 00:15</t>
  </si>
  <si>
    <t>29-07-2022 00:30</t>
  </si>
  <si>
    <t>29-07-2022 00:45</t>
  </si>
  <si>
    <t>29-07-2022 01:00</t>
  </si>
  <si>
    <t>29-07-2022 01:15</t>
  </si>
  <si>
    <t>29-07-2022 01:30</t>
  </si>
  <si>
    <t>29-07-2022 01:45</t>
  </si>
  <si>
    <t>29-07-2022 02:00</t>
  </si>
  <si>
    <t>29-07-2022 02:15</t>
  </si>
  <si>
    <t>29-07-2022 02:30</t>
  </si>
  <si>
    <t>29-07-2022 02:45</t>
  </si>
  <si>
    <t>29-07-2022 03:00</t>
  </si>
  <si>
    <t>29-07-2022 03:15</t>
  </si>
  <si>
    <t>29-07-2022 03:30</t>
  </si>
  <si>
    <t>29-07-2022 03:45</t>
  </si>
  <si>
    <t>29-07-2022 04:00</t>
  </si>
  <si>
    <t>29-07-2022 04:15</t>
  </si>
  <si>
    <t>29-07-2022 04:30</t>
  </si>
  <si>
    <t>29-07-2022 04:45</t>
  </si>
  <si>
    <t>29-07-2022 05:00</t>
  </si>
  <si>
    <t>29-07-2022 05:15</t>
  </si>
  <si>
    <t>29-07-2022 05:30</t>
  </si>
  <si>
    <t>29-07-2022 05:45</t>
  </si>
  <si>
    <t>29-07-2022 06:00</t>
  </si>
  <si>
    <t>29-07-2022 06:15</t>
  </si>
  <si>
    <t>29-07-2022 06:30</t>
  </si>
  <si>
    <t>29-07-2022 06:45</t>
  </si>
  <si>
    <t>29-07-2022 07:00</t>
  </si>
  <si>
    <t>29-07-2022 07:15</t>
  </si>
  <si>
    <t>29-07-2022 07:30</t>
  </si>
  <si>
    <t>29-07-2022 07:45</t>
  </si>
  <si>
    <t>29-07-2022 08:00</t>
  </si>
  <si>
    <t>29-07-2022 08:15</t>
  </si>
  <si>
    <t>29-07-2022 08:30</t>
  </si>
  <si>
    <t>29-07-2022 08:45</t>
  </si>
  <si>
    <t>29-07-2022 09:00</t>
  </si>
  <si>
    <t>29-07-2022 09:15</t>
  </si>
  <si>
    <t>29-07-2022 09:30</t>
  </si>
  <si>
    <t>29-07-2022 09:45</t>
  </si>
  <si>
    <t>29-07-2022 10:00</t>
  </si>
  <si>
    <t>29-07-2022 10:15</t>
  </si>
  <si>
    <t>29-07-2022 10:30</t>
  </si>
  <si>
    <t>29-07-2022 10:45</t>
  </si>
  <si>
    <t>29-07-2022 11:00</t>
  </si>
  <si>
    <t>29-07-2022 11:15</t>
  </si>
  <si>
    <t>29-07-2022 11:30</t>
  </si>
  <si>
    <t>29-07-2022 11:45</t>
  </si>
  <si>
    <t>29-07-2022 12:00</t>
  </si>
  <si>
    <t>29-07-2022 12:15</t>
  </si>
  <si>
    <t>29-07-2022 12:30</t>
  </si>
  <si>
    <t>29-07-2022 12:45</t>
  </si>
  <si>
    <t>29-07-2022 13:00</t>
  </si>
  <si>
    <t>29-07-2022 13:15</t>
  </si>
  <si>
    <t>29-07-2022 13:30</t>
  </si>
  <si>
    <t>29-07-2022 13:45</t>
  </si>
  <si>
    <t>29-07-2022 14:00</t>
  </si>
  <si>
    <t>29-07-2022 14:15</t>
  </si>
  <si>
    <t>29-07-2022 14:30</t>
  </si>
  <si>
    <t>29-07-2022 14:45</t>
  </si>
  <si>
    <t>29-07-2022 15:00</t>
  </si>
  <si>
    <t>29-07-2022 15:15</t>
  </si>
  <si>
    <t>29-07-2022 15:30</t>
  </si>
  <si>
    <t>29-07-2022 15:45</t>
  </si>
  <si>
    <t>29-07-2022 16:00</t>
  </si>
  <si>
    <t>29-07-2022 16:15</t>
  </si>
  <si>
    <t>29-07-2022 16:30</t>
  </si>
  <si>
    <t>29-07-2022 16:45</t>
  </si>
  <si>
    <t>29-07-2022 17:00</t>
  </si>
  <si>
    <t>29-07-2022 17:15</t>
  </si>
  <si>
    <t>29-07-2022 17:30</t>
  </si>
  <si>
    <t>29-07-2022 17:45</t>
  </si>
  <si>
    <t>29-07-2022 18:00</t>
  </si>
  <si>
    <t>29-07-2022 18:15</t>
  </si>
  <si>
    <t>29-07-2022 18:30</t>
  </si>
  <si>
    <t>29-07-2022 18:45</t>
  </si>
  <si>
    <t>29-07-2022 19:00</t>
  </si>
  <si>
    <t>29-07-2022 19:15</t>
  </si>
  <si>
    <t>29-07-2022 19:30</t>
  </si>
  <si>
    <t>29-07-2022 19:45</t>
  </si>
  <si>
    <t>29-07-2022 20:00</t>
  </si>
  <si>
    <t>29-07-2022 20:15</t>
  </si>
  <si>
    <t>29-07-2022 20:30</t>
  </si>
  <si>
    <t>29-07-2022 20:45</t>
  </si>
  <si>
    <t>29-07-2022 21:00</t>
  </si>
  <si>
    <t>29-07-2022 21:15</t>
  </si>
  <si>
    <t>29-07-2022 21:30</t>
  </si>
  <si>
    <t>29-07-2022 21:45</t>
  </si>
  <si>
    <t>29-07-2022 22:00</t>
  </si>
  <si>
    <t>29-07-2022 22:15</t>
  </si>
  <si>
    <t>29-07-2022 22:30</t>
  </si>
  <si>
    <t>29-07-2022 22:45</t>
  </si>
  <si>
    <t>29-07-2022 23:00</t>
  </si>
  <si>
    <t>29-07-2022 23:15</t>
  </si>
  <si>
    <t>29-07-2022 23:30</t>
  </si>
  <si>
    <t>29-07-2022 23:45</t>
  </si>
  <si>
    <t>29-07-2022 24:00</t>
  </si>
  <si>
    <t>30-07-2022 00:15</t>
  </si>
  <si>
    <t>30-07-2022 00:30</t>
  </si>
  <si>
    <t>30-07-2022 00:45</t>
  </si>
  <si>
    <t>30-07-2022 01:00</t>
  </si>
  <si>
    <t>30-07-2022 01:15</t>
  </si>
  <si>
    <t>30-07-2022 01:30</t>
  </si>
  <si>
    <t>30-07-2022 01:45</t>
  </si>
  <si>
    <t>30-07-2022 02:00</t>
  </si>
  <si>
    <t>30-07-2022 02:15</t>
  </si>
  <si>
    <t>30-07-2022 02:30</t>
  </si>
  <si>
    <t>30-07-2022 02:45</t>
  </si>
  <si>
    <t>30-07-2022 03:00</t>
  </si>
  <si>
    <t>30-07-2022 03:15</t>
  </si>
  <si>
    <t>30-07-2022 03:30</t>
  </si>
  <si>
    <t>30-07-2022 03:45</t>
  </si>
  <si>
    <t>30-07-2022 04:00</t>
  </si>
  <si>
    <t>30-07-2022 04:15</t>
  </si>
  <si>
    <t>30-07-2022 04:30</t>
  </si>
  <si>
    <t>30-07-2022 04:45</t>
  </si>
  <si>
    <t>30-07-2022 05:00</t>
  </si>
  <si>
    <t>30-07-2022 05:15</t>
  </si>
  <si>
    <t>30-07-2022 05:30</t>
  </si>
  <si>
    <t>30-07-2022 05:45</t>
  </si>
  <si>
    <t>30-07-2022 06:00</t>
  </si>
  <si>
    <t>30-07-2022 06:15</t>
  </si>
  <si>
    <t>30-07-2022 06:30</t>
  </si>
  <si>
    <t>30-07-2022 06:45</t>
  </si>
  <si>
    <t>30-07-2022 07:00</t>
  </si>
  <si>
    <t>30-07-2022 07:15</t>
  </si>
  <si>
    <t>30-07-2022 07:30</t>
  </si>
  <si>
    <t>30-07-2022 07:45</t>
  </si>
  <si>
    <t>30-07-2022 08:00</t>
  </si>
  <si>
    <t>30-07-2022 08:15</t>
  </si>
  <si>
    <t>30-07-2022 08:30</t>
  </si>
  <si>
    <t>30-07-2022 08:45</t>
  </si>
  <si>
    <t>30-07-2022 09:00</t>
  </si>
  <si>
    <t>30-07-2022 09:15</t>
  </si>
  <si>
    <t>30-07-2022 09:30</t>
  </si>
  <si>
    <t>30-07-2022 09:45</t>
  </si>
  <si>
    <t>30-07-2022 10:00</t>
  </si>
  <si>
    <t>30-07-2022 10:15</t>
  </si>
  <si>
    <t>30-07-2022 10:30</t>
  </si>
  <si>
    <t>30-07-2022 10:45</t>
  </si>
  <si>
    <t>30-07-2022 11:00</t>
  </si>
  <si>
    <t>30-07-2022 11:15</t>
  </si>
  <si>
    <t>30-07-2022 11:30</t>
  </si>
  <si>
    <t>30-07-2022 11:45</t>
  </si>
  <si>
    <t>30-07-2022 12:00</t>
  </si>
  <si>
    <t>30-07-2022 12:15</t>
  </si>
  <si>
    <t>30-07-2022 12:30</t>
  </si>
  <si>
    <t>30-07-2022 12:45</t>
  </si>
  <si>
    <t>30-07-2022 13:00</t>
  </si>
  <si>
    <t>30-07-2022 13:15</t>
  </si>
  <si>
    <t>30-07-2022 13:30</t>
  </si>
  <si>
    <t>30-07-2022 13:45</t>
  </si>
  <si>
    <t>30-07-2022 14:00</t>
  </si>
  <si>
    <t>30-07-2022 14:15</t>
  </si>
  <si>
    <t>30-07-2022 14:30</t>
  </si>
  <si>
    <t>30-07-2022 14:45</t>
  </si>
  <si>
    <t>30-07-2022 15:00</t>
  </si>
  <si>
    <t>30-07-2022 15:15</t>
  </si>
  <si>
    <t>30-07-2022 15:30</t>
  </si>
  <si>
    <t>30-07-2022 15:45</t>
  </si>
  <si>
    <t>30-07-2022 16:00</t>
  </si>
  <si>
    <t>30-07-2022 16:15</t>
  </si>
  <si>
    <t>30-07-2022 16:30</t>
  </si>
  <si>
    <t>30-07-2022 16:45</t>
  </si>
  <si>
    <t>30-07-2022 17:00</t>
  </si>
  <si>
    <t>30-07-2022 17:15</t>
  </si>
  <si>
    <t>30-07-2022 17:30</t>
  </si>
  <si>
    <t>30-07-2022 17:45</t>
  </si>
  <si>
    <t>30-07-2022 18:00</t>
  </si>
  <si>
    <t>30-07-2022 18:15</t>
  </si>
  <si>
    <t>30-07-2022 18:30</t>
  </si>
  <si>
    <t>30-07-2022 18:45</t>
  </si>
  <si>
    <t>30-07-2022 19:00</t>
  </si>
  <si>
    <t>30-07-2022 19:15</t>
  </si>
  <si>
    <t>30-07-2022 19:30</t>
  </si>
  <si>
    <t>30-07-2022 19:45</t>
  </si>
  <si>
    <t>30-07-2022 20:00</t>
  </si>
  <si>
    <t>30-07-2022 20:15</t>
  </si>
  <si>
    <t>30-07-2022 20:30</t>
  </si>
  <si>
    <t>30-07-2022 20:45</t>
  </si>
  <si>
    <t>30-07-2022 21:00</t>
  </si>
  <si>
    <t>30-07-2022 21:15</t>
  </si>
  <si>
    <t>30-07-2022 21:30</t>
  </si>
  <si>
    <t>30-07-2022 21:45</t>
  </si>
  <si>
    <t>30-07-2022 22:00</t>
  </si>
  <si>
    <t>30-07-2022 22:15</t>
  </si>
  <si>
    <t>30-07-2022 22:30</t>
  </si>
  <si>
    <t>30-07-2022 22:45</t>
  </si>
  <si>
    <t>30-07-2022 23:00</t>
  </si>
  <si>
    <t>30-07-2022 23:15</t>
  </si>
  <si>
    <t>30-07-2022 23:30</t>
  </si>
  <si>
    <t>30-07-2022 23:45</t>
  </si>
  <si>
    <t>30-07-2022 24:00</t>
  </si>
  <si>
    <t>31-07-2022 00:15</t>
  </si>
  <si>
    <t>31-07-2022 00:30</t>
  </si>
  <si>
    <t>31-07-2022 00:45</t>
  </si>
  <si>
    <t>31-07-2022 01:00</t>
  </si>
  <si>
    <t>31-07-2022 01:15</t>
  </si>
  <si>
    <t>31-07-2022 01:30</t>
  </si>
  <si>
    <t>31-07-2022 01:45</t>
  </si>
  <si>
    <t>31-07-2022 02:00</t>
  </si>
  <si>
    <t>31-07-2022 02:15</t>
  </si>
  <si>
    <t>31-07-2022 02:30</t>
  </si>
  <si>
    <t>31-07-2022 02:45</t>
  </si>
  <si>
    <t>31-07-2022 03:00</t>
  </si>
  <si>
    <t>31-07-2022 03:15</t>
  </si>
  <si>
    <t>31-07-2022 03:30</t>
  </si>
  <si>
    <t>31-07-2022 03:45</t>
  </si>
  <si>
    <t>31-07-2022 04:00</t>
  </si>
  <si>
    <t>31-07-2022 04:15</t>
  </si>
  <si>
    <t>31-07-2022 04:30</t>
  </si>
  <si>
    <t>31-07-2022 04:45</t>
  </si>
  <si>
    <t>31-07-2022 05:00</t>
  </si>
  <si>
    <t>31-07-2022 05:15</t>
  </si>
  <si>
    <t>31-07-2022 05:30</t>
  </si>
  <si>
    <t>31-07-2022 05:45</t>
  </si>
  <si>
    <t>31-07-2022 06:00</t>
  </si>
  <si>
    <t>31-07-2022 06:15</t>
  </si>
  <si>
    <t>31-07-2022 06:30</t>
  </si>
  <si>
    <t>31-07-2022 06:45</t>
  </si>
  <si>
    <t>31-07-2022 07:00</t>
  </si>
  <si>
    <t>31-07-2022 07:15</t>
  </si>
  <si>
    <t>31-07-2022 07:30</t>
  </si>
  <si>
    <t>31-07-2022 07:45</t>
  </si>
  <si>
    <t>31-07-2022 08:00</t>
  </si>
  <si>
    <t>31-07-2022 08:15</t>
  </si>
  <si>
    <t>31-07-2022 08:30</t>
  </si>
  <si>
    <t>31-07-2022 08:45</t>
  </si>
  <si>
    <t>31-07-2022 09:00</t>
  </si>
  <si>
    <t>31-07-2022 09:15</t>
  </si>
  <si>
    <t>31-07-2022 09:30</t>
  </si>
  <si>
    <t>31-07-2022 09:45</t>
  </si>
  <si>
    <t>31-07-2022 10:00</t>
  </si>
  <si>
    <t>31-07-2022 10:15</t>
  </si>
  <si>
    <t>31-07-2022 10:30</t>
  </si>
  <si>
    <t>31-07-2022 10:45</t>
  </si>
  <si>
    <t>31-07-2022 11:00</t>
  </si>
  <si>
    <t>31-07-2022 11:15</t>
  </si>
  <si>
    <t>31-07-2022 11:30</t>
  </si>
  <si>
    <t>31-07-2022 11:45</t>
  </si>
  <si>
    <t>31-07-2022 12:00</t>
  </si>
  <si>
    <t>31-07-2022 12:15</t>
  </si>
  <si>
    <t>31-07-2022 12:30</t>
  </si>
  <si>
    <t>31-07-2022 12:45</t>
  </si>
  <si>
    <t>31-07-2022 13:00</t>
  </si>
  <si>
    <t>31-07-2022 13:15</t>
  </si>
  <si>
    <t>31-07-2022 13:30</t>
  </si>
  <si>
    <t>31-07-2022 13:45</t>
  </si>
  <si>
    <t>31-07-2022 14:00</t>
  </si>
  <si>
    <t>31-07-2022 14:15</t>
  </si>
  <si>
    <t>31-07-2022 14:30</t>
  </si>
  <si>
    <t>31-07-2022 14:45</t>
  </si>
  <si>
    <t>31-07-2022 15:00</t>
  </si>
  <si>
    <t>31-07-2022 15:15</t>
  </si>
  <si>
    <t>31-07-2022 15:30</t>
  </si>
  <si>
    <t>31-07-2022 15:45</t>
  </si>
  <si>
    <t>31-07-2022 16:00</t>
  </si>
  <si>
    <t>31-07-2022 16:15</t>
  </si>
  <si>
    <t>31-07-2022 16:30</t>
  </si>
  <si>
    <t>31-07-2022 16:45</t>
  </si>
  <si>
    <t>31-07-2022 17:00</t>
  </si>
  <si>
    <t>31-07-2022 17:15</t>
  </si>
  <si>
    <t>31-07-2022 17:30</t>
  </si>
  <si>
    <t>31-07-2022 17:45</t>
  </si>
  <si>
    <t>31-07-2022 18:00</t>
  </si>
  <si>
    <t>31-07-2022 18:15</t>
  </si>
  <si>
    <t>31-07-2022 18:30</t>
  </si>
  <si>
    <t>31-07-2022 18:45</t>
  </si>
  <si>
    <t>31-07-2022 19:00</t>
  </si>
  <si>
    <t>31-07-2022 19:15</t>
  </si>
  <si>
    <t>31-07-2022 19:30</t>
  </si>
  <si>
    <t>31-07-2022 19:45</t>
  </si>
  <si>
    <t>31-07-2022 20:00</t>
  </si>
  <si>
    <t>31-07-2022 20:15</t>
  </si>
  <si>
    <t>31-07-2022 20:30</t>
  </si>
  <si>
    <t>31-07-2022 20:45</t>
  </si>
  <si>
    <t>31-07-2022 21:00</t>
  </si>
  <si>
    <t>31-07-2022 21:15</t>
  </si>
  <si>
    <t>31-07-2022 21:30</t>
  </si>
  <si>
    <t>31-07-2022 21:45</t>
  </si>
  <si>
    <t>31-07-2022 22:00</t>
  </si>
  <si>
    <t>31-07-2022 22:15</t>
  </si>
  <si>
    <t>31-07-2022 22:30</t>
  </si>
  <si>
    <t>31-07-2022 22:45</t>
  </si>
  <si>
    <t>31-07-2022 23:00</t>
  </si>
  <si>
    <t>31-07-2022 23:15</t>
  </si>
  <si>
    <t>31-07-2022 23:30</t>
  </si>
  <si>
    <t>31-07-2022 23:45</t>
  </si>
  <si>
    <t>31-07-2022 24:00</t>
  </si>
  <si>
    <t>BHATAGAON,RAIPUR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</si>
</sst>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mmmm\-yyyy"/>
    <numFmt numFmtId="166" formatCode="0.000"/>
  </numFmts>
  <fonts count="4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b/>
      <sz val="10"/>
      <color theme="2" tint="-0.899980008602142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80008602142"/>
      <name val="Arial"/>
      <family val="2"/>
    </font>
    <font>
      <b/>
      <sz val="11"/>
      <color rgb="FFFF0000"/>
      <name val="Arial"/>
      <family val="2"/>
    </font>
    <font>
      <sz val="11"/>
      <color theme="3" tint="0.39998000860214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80008602142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8000860214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3" tint="-0.249970003962517"/>
        <bgColor indexed="64"/>
      </patternFill>
    </fill>
    <fill>
      <patternFill patternType="solid">
        <fgColor theme="3" tint="0.599990010261536"/>
        <bgColor indexed="64"/>
      </patternFill>
    </fill>
    <fill>
      <patternFill patternType="solid">
        <fgColor theme="3" tint="0.3999800086021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 style="medium">
        <color auto="1"/>
      </right>
      <top/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 style="thin">
        <color auto="1"/>
      </top>
      <bottom/>
    </border>
    <border>
      <left style="medium">
        <color auto="1"/>
      </left>
      <right/>
      <top/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 style="thin">
        <color auto="1"/>
      </bottom>
    </border>
    <border>
      <left/>
      <right/>
      <top/>
      <bottom style="thin">
        <color auto="1"/>
      </bottom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/>
      <right/>
      <top style="medium">
        <color auto="1"/>
      </top>
      <bottom style="thin">
        <color auto="1"/>
      </bottom>
    </border>
    <border>
      <left/>
      <right style="medium">
        <color auto="1"/>
      </right>
      <top style="medium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4">
    <xf numFmtId="0" fontId="0" fillId="0" borderId="0" xfId="0"/>
    <xf numFmtId="22" fontId="0" fillId="0" borderId="0" xfId="0" applyNumberFormat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2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6" fontId="7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2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2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3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3" fillId="0" borderId="5" xfId="0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/>
    </xf>
    <xf numFmtId="14" fontId="3" fillId="0" borderId="0" xfId="0" applyNumberFormat="1" applyFont="1" applyFill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3" fillId="0" borderId="0" xfId="0" applyFont="1" applyAlignment="1">
      <alignment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7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  <xf numFmtId="0" fontId="15" fillId="7" borderId="0" xfId="0" applyFont="1" applyFill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15" fillId="7" borderId="34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17" fillId="8" borderId="0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2" borderId="0" xfId="0" applyFont="1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0" fontId="15" fillId="12" borderId="7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5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7" fillId="12" borderId="29" xfId="0" applyFont="1" applyFill="1" applyBorder="1" applyAlignment="1">
      <alignment horizontal="center"/>
    </xf>
    <xf numFmtId="0" fontId="43" fillId="12" borderId="38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7" fillId="12" borderId="39" xfId="0" applyFont="1" applyFill="1" applyBorder="1" applyAlignment="1">
      <alignment horizontal="center"/>
    </xf>
    <xf numFmtId="0" fontId="7" fillId="12" borderId="40" xfId="0" applyFont="1" applyFill="1" applyBorder="1" applyAlignment="1">
      <alignment horizontal="center"/>
    </xf>
    <xf numFmtId="0" fontId="41" fillId="12" borderId="38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19" Type="http://schemas.openxmlformats.org/officeDocument/2006/relationships/worksheet" Target="worksheets/sheet17.xml" /><Relationship Id="rId15" Type="http://schemas.openxmlformats.org/officeDocument/2006/relationships/worksheet" Target="worksheets/sheet13.xml" /><Relationship Id="rId21" Type="http://schemas.openxmlformats.org/officeDocument/2006/relationships/worksheet" Target="worksheets/sheet19.xml" /><Relationship Id="rId33" Type="http://schemas.openxmlformats.org/officeDocument/2006/relationships/worksheet" Target="worksheets/sheet31.xml" /><Relationship Id="rId6" Type="http://schemas.openxmlformats.org/officeDocument/2006/relationships/worksheet" Target="worksheets/sheet4.xml" /><Relationship Id="rId32" Type="http://schemas.openxmlformats.org/officeDocument/2006/relationships/worksheet" Target="worksheets/sheet30.xml" /><Relationship Id="rId5" Type="http://schemas.openxmlformats.org/officeDocument/2006/relationships/worksheet" Target="worksheets/sheet3.xml" /><Relationship Id="rId17" Type="http://schemas.openxmlformats.org/officeDocument/2006/relationships/worksheet" Target="worksheets/sheet15.xml" /><Relationship Id="rId22" Type="http://schemas.openxmlformats.org/officeDocument/2006/relationships/worksheet" Target="worksheets/sheet20.xml" /><Relationship Id="rId16" Type="http://schemas.openxmlformats.org/officeDocument/2006/relationships/worksheet" Target="worksheets/sheet14.xml" /><Relationship Id="rId23" Type="http://schemas.openxmlformats.org/officeDocument/2006/relationships/worksheet" Target="worksheets/sheet21.xml" /><Relationship Id="rId20" Type="http://schemas.openxmlformats.org/officeDocument/2006/relationships/worksheet" Target="worksheets/sheet18.xml" /><Relationship Id="rId36" Type="http://schemas.openxmlformats.org/officeDocument/2006/relationships/worksheet" Target="worksheets/sheet34.xml" /><Relationship Id="rId31" Type="http://schemas.openxmlformats.org/officeDocument/2006/relationships/worksheet" Target="worksheets/sheet29.xml" /><Relationship Id="rId1" Type="http://schemas.openxmlformats.org/officeDocument/2006/relationships/theme" Target="theme/theme1.xml" /><Relationship Id="rId26" Type="http://schemas.openxmlformats.org/officeDocument/2006/relationships/worksheet" Target="worksheets/sheet24.xml" /><Relationship Id="rId13" Type="http://schemas.openxmlformats.org/officeDocument/2006/relationships/worksheet" Target="worksheets/sheet11.xml" /><Relationship Id="rId39" Type="http://schemas.openxmlformats.org/officeDocument/2006/relationships/calcChain" Target="calcChain.xml" /><Relationship Id="rId18" Type="http://schemas.openxmlformats.org/officeDocument/2006/relationships/worksheet" Target="worksheets/sheet16.xml" /><Relationship Id="rId38" Type="http://schemas.openxmlformats.org/officeDocument/2006/relationships/sharedStrings" Target="sharedStrings.xml" /><Relationship Id="rId14" Type="http://schemas.openxmlformats.org/officeDocument/2006/relationships/worksheet" Target="worksheets/sheet12.xml" /><Relationship Id="rId30" Type="http://schemas.openxmlformats.org/officeDocument/2006/relationships/worksheet" Target="worksheets/sheet28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24" Type="http://schemas.openxmlformats.org/officeDocument/2006/relationships/worksheet" Target="worksheets/sheet22.xml" /><Relationship Id="rId10" Type="http://schemas.openxmlformats.org/officeDocument/2006/relationships/worksheet" Target="worksheets/sheet8.xml" /><Relationship Id="rId34" Type="http://schemas.openxmlformats.org/officeDocument/2006/relationships/worksheet" Target="worksheets/sheet32.xml" /><Relationship Id="rId12" Type="http://schemas.openxmlformats.org/officeDocument/2006/relationships/worksheet" Target="worksheets/sheet10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37" Type="http://schemas.openxmlformats.org/officeDocument/2006/relationships/worksheet" Target="worksheets/sheet35.xml" /><Relationship Id="rId35" Type="http://schemas.openxmlformats.org/officeDocument/2006/relationships/worksheet" Target="worksheets/sheet33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9573e9-7c8d-4bd3-aa9e-d4ea3f604823}">
  <sheetPr codeName=""/>
  <dimension ref="A1:AG117"/>
  <sheetViews>
    <sheetView workbookViewId="0" topLeftCell="A1">
      <pane xSplit="1" ySplit="8" topLeftCell="B96" activePane="bottomRight" state="frozen"/>
      <selection pane="topLeft" activeCell="A9" sqref="A9:U104"/>
      <selection pane="topRight" activeCell="A9" sqref="A9:U104"/>
      <selection pane="bottomLeft" activeCell="A9" sqref="A9:U104"/>
      <selection pane="bottomRight" activeCell="A9" sqref="A9:Q104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243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01-07-2022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6" t="s">
        <v>244</v>
      </c>
      <c r="B9" s="54">
        <v>1.39</v>
      </c>
      <c r="C9" s="54">
        <v>16.03</v>
      </c>
      <c r="D9" s="54">
        <v>17.43</v>
      </c>
      <c r="E9" s="54">
        <v>5.57</v>
      </c>
      <c r="F9" s="54">
        <v>1.38</v>
      </c>
      <c r="G9" s="9" t="s">
        <v>36</v>
      </c>
      <c r="H9" s="54">
        <v>15.67</v>
      </c>
      <c r="I9" s="54">
        <v>5.46</v>
      </c>
      <c r="J9" s="54">
        <v>2.4300000000000002</v>
      </c>
      <c r="K9" s="54">
        <v>189.40</v>
      </c>
      <c r="L9" s="54">
        <v>25.38</v>
      </c>
      <c r="M9" s="54">
        <v>84.71</v>
      </c>
      <c r="N9" s="54">
        <v>291.30</v>
      </c>
      <c r="O9" s="54">
        <v>0</v>
      </c>
      <c r="P9" s="54">
        <v>3.18</v>
      </c>
      <c r="Q9" s="54">
        <v>27.51</v>
      </c>
      <c r="R9" s="194"/>
      <c r="S9" s="194"/>
      <c r="T9" s="194"/>
      <c r="U9" s="194"/>
    </row>
    <row r="10" spans="1:21" s="12" customFormat="1" ht="15">
      <c r="A10" s="206" t="s">
        <v>245</v>
      </c>
      <c r="B10" s="54">
        <v>1.1000000000000001</v>
      </c>
      <c r="C10" s="54">
        <v>14.90</v>
      </c>
      <c r="D10" s="54">
        <v>16</v>
      </c>
      <c r="E10" s="54">
        <v>5.05</v>
      </c>
      <c r="F10" s="54">
        <v>1.61</v>
      </c>
      <c r="G10" s="9" t="s">
        <v>36</v>
      </c>
      <c r="H10" s="54">
        <v>15.30</v>
      </c>
      <c r="I10" s="54">
        <v>5.39</v>
      </c>
      <c r="J10" s="54">
        <v>2.98</v>
      </c>
      <c r="K10" s="54">
        <v>174.12</v>
      </c>
      <c r="L10" s="54">
        <v>27.26</v>
      </c>
      <c r="M10" s="54">
        <v>85.03</v>
      </c>
      <c r="N10" s="54">
        <v>275.10000000000002</v>
      </c>
      <c r="O10" s="54">
        <v>0</v>
      </c>
      <c r="P10" s="54">
        <v>3.20</v>
      </c>
      <c r="Q10" s="54">
        <v>28.98</v>
      </c>
      <c r="R10" s="194"/>
      <c r="S10" s="194"/>
      <c r="T10" s="194"/>
      <c r="U10" s="194"/>
    </row>
    <row r="11" spans="1:21" s="12" customFormat="1" ht="15">
      <c r="A11" s="206" t="s">
        <v>246</v>
      </c>
      <c r="B11" s="54">
        <v>0.84</v>
      </c>
      <c r="C11" s="54">
        <v>14.12</v>
      </c>
      <c r="D11" s="54">
        <v>14.96</v>
      </c>
      <c r="E11" s="54">
        <v>5.28</v>
      </c>
      <c r="F11" s="54">
        <v>1.52</v>
      </c>
      <c r="G11" s="9" t="s">
        <v>36</v>
      </c>
      <c r="H11" s="54">
        <v>15.30</v>
      </c>
      <c r="I11" s="54">
        <v>5.16</v>
      </c>
      <c r="J11" s="54">
        <v>2.4300000000000002</v>
      </c>
      <c r="K11" s="54">
        <v>175.51</v>
      </c>
      <c r="L11" s="54">
        <v>23.28</v>
      </c>
      <c r="M11" s="54">
        <v>85.08</v>
      </c>
      <c r="N11" s="54">
        <v>272</v>
      </c>
      <c r="O11" s="54">
        <v>0</v>
      </c>
      <c r="P11" s="54">
        <v>3.22</v>
      </c>
      <c r="Q11" s="54">
        <v>28.44</v>
      </c>
      <c r="R11" s="194"/>
      <c r="S11" s="194"/>
      <c r="T11" s="194"/>
      <c r="U11" s="194"/>
    </row>
    <row r="12" spans="1:21" s="12" customFormat="1" ht="15">
      <c r="A12" s="206" t="s">
        <v>247</v>
      </c>
      <c r="B12" s="54">
        <v>0.66</v>
      </c>
      <c r="C12" s="54">
        <v>13.45</v>
      </c>
      <c r="D12" s="54">
        <v>14.11</v>
      </c>
      <c r="E12" s="54">
        <v>5.40</v>
      </c>
      <c r="F12" s="54">
        <v>1.60</v>
      </c>
      <c r="G12" s="9" t="s">
        <v>36</v>
      </c>
      <c r="H12" s="54">
        <v>15.30</v>
      </c>
      <c r="I12" s="54">
        <v>4.97</v>
      </c>
      <c r="J12" s="54">
        <v>3.63</v>
      </c>
      <c r="K12" s="54">
        <v>158.60</v>
      </c>
      <c r="L12" s="54">
        <v>22.38</v>
      </c>
      <c r="M12" s="54">
        <v>84.82</v>
      </c>
      <c r="N12" s="54">
        <v>282.70</v>
      </c>
      <c r="O12" s="54">
        <v>0</v>
      </c>
      <c r="P12" s="54">
        <v>3.23</v>
      </c>
      <c r="Q12" s="54">
        <v>27.17</v>
      </c>
      <c r="R12" s="194"/>
      <c r="S12" s="194"/>
      <c r="T12" s="194"/>
      <c r="U12" s="194"/>
    </row>
    <row r="13" spans="1:21" s="12" customFormat="1" ht="15">
      <c r="A13" s="206" t="s">
        <v>248</v>
      </c>
      <c r="B13" s="54">
        <v>0.53</v>
      </c>
      <c r="C13" s="54">
        <v>12.74</v>
      </c>
      <c r="D13" s="54">
        <v>13.27</v>
      </c>
      <c r="E13" s="54">
        <v>5.1100000000000003</v>
      </c>
      <c r="F13" s="54">
        <v>2.10</v>
      </c>
      <c r="G13" s="9" t="s">
        <v>36</v>
      </c>
      <c r="H13" s="54">
        <v>14.02</v>
      </c>
      <c r="I13" s="54">
        <v>4.78</v>
      </c>
      <c r="J13" s="54">
        <v>3.75</v>
      </c>
      <c r="K13" s="54">
        <v>162.69</v>
      </c>
      <c r="L13" s="54">
        <v>22.24</v>
      </c>
      <c r="M13" s="54">
        <v>84.46</v>
      </c>
      <c r="N13" s="54">
        <v>287.39999999999998</v>
      </c>
      <c r="O13" s="54">
        <v>0</v>
      </c>
      <c r="P13" s="54">
        <v>3.26</v>
      </c>
      <c r="Q13" s="54">
        <v>25.84</v>
      </c>
      <c r="R13" s="194"/>
      <c r="S13" s="194"/>
      <c r="T13" s="194"/>
      <c r="U13" s="194"/>
    </row>
    <row r="14" spans="1:21" s="12" customFormat="1" ht="15">
      <c r="A14" s="206" t="s">
        <v>249</v>
      </c>
      <c r="B14" s="54">
        <v>0.42</v>
      </c>
      <c r="C14" s="54">
        <v>12.17</v>
      </c>
      <c r="D14" s="54">
        <v>12.59</v>
      </c>
      <c r="E14" s="54">
        <v>5.35</v>
      </c>
      <c r="F14" s="54">
        <v>2.0499999999999998</v>
      </c>
      <c r="G14" s="9" t="s">
        <v>36</v>
      </c>
      <c r="H14" s="54">
        <v>10.85</v>
      </c>
      <c r="I14" s="54">
        <v>4.62</v>
      </c>
      <c r="J14" s="54">
        <v>3.43</v>
      </c>
      <c r="K14" s="54">
        <v>165.38</v>
      </c>
      <c r="L14" s="54">
        <v>21.40</v>
      </c>
      <c r="M14" s="54">
        <v>84.87</v>
      </c>
      <c r="N14" s="54">
        <v>281.60000000000002</v>
      </c>
      <c r="O14" s="54">
        <v>0</v>
      </c>
      <c r="P14" s="54">
        <v>3.27</v>
      </c>
      <c r="Q14" s="54">
        <v>24.56</v>
      </c>
      <c r="R14" s="194"/>
      <c r="S14" s="194"/>
      <c r="T14" s="194"/>
      <c r="U14" s="194"/>
    </row>
    <row r="15" spans="1:21" s="12" customFormat="1" ht="15">
      <c r="A15" s="206" t="s">
        <v>250</v>
      </c>
      <c r="B15" s="54">
        <v>0.36</v>
      </c>
      <c r="C15" s="54">
        <v>11.83</v>
      </c>
      <c r="D15" s="54">
        <v>12.19</v>
      </c>
      <c r="E15" s="54">
        <v>4.96</v>
      </c>
      <c r="F15" s="54">
        <v>1.81</v>
      </c>
      <c r="G15" s="9" t="s">
        <v>36</v>
      </c>
      <c r="H15" s="54">
        <v>10.85</v>
      </c>
      <c r="I15" s="54">
        <v>4.43</v>
      </c>
      <c r="J15" s="54">
        <v>3.20</v>
      </c>
      <c r="K15" s="54">
        <v>179.95</v>
      </c>
      <c r="L15" s="54">
        <v>22.62</v>
      </c>
      <c r="M15" s="54">
        <v>85.99</v>
      </c>
      <c r="N15" s="54">
        <v>278.70</v>
      </c>
      <c r="O15" s="54">
        <v>0</v>
      </c>
      <c r="P15" s="54">
        <v>3.29</v>
      </c>
      <c r="Q15" s="54">
        <v>23.74</v>
      </c>
      <c r="R15" s="194"/>
      <c r="S15" s="194"/>
      <c r="T15" s="194"/>
      <c r="U15" s="194"/>
    </row>
    <row r="16" spans="1:21" s="12" customFormat="1" ht="15">
      <c r="A16" s="206" t="s">
        <v>251</v>
      </c>
      <c r="B16" s="54">
        <v>0.33</v>
      </c>
      <c r="C16" s="54">
        <v>11.58</v>
      </c>
      <c r="D16" s="54">
        <v>11.91</v>
      </c>
      <c r="E16" s="54">
        <v>4.83</v>
      </c>
      <c r="F16" s="54">
        <v>1.77</v>
      </c>
      <c r="G16" s="9" t="s">
        <v>36</v>
      </c>
      <c r="H16" s="54">
        <v>10.85</v>
      </c>
      <c r="I16" s="54">
        <v>4.22</v>
      </c>
      <c r="J16" s="54">
        <v>3.59</v>
      </c>
      <c r="K16" s="54">
        <v>172.05</v>
      </c>
      <c r="L16" s="54">
        <v>20.43</v>
      </c>
      <c r="M16" s="54">
        <v>88.20</v>
      </c>
      <c r="N16" s="54">
        <v>278.5</v>
      </c>
      <c r="O16" s="54">
        <v>0</v>
      </c>
      <c r="P16" s="54">
        <v>3.29</v>
      </c>
      <c r="Q16" s="54">
        <v>23.20</v>
      </c>
      <c r="R16" s="194"/>
      <c r="S16" s="194"/>
      <c r="T16" s="194"/>
      <c r="U16" s="194"/>
    </row>
    <row r="17" spans="1:21" s="12" customFormat="1" ht="15">
      <c r="A17" s="206" t="s">
        <v>252</v>
      </c>
      <c r="B17" s="54">
        <v>0.36</v>
      </c>
      <c r="C17" s="54">
        <v>11.38</v>
      </c>
      <c r="D17" s="54">
        <v>11.74</v>
      </c>
      <c r="E17" s="54">
        <v>5.13</v>
      </c>
      <c r="F17" s="54">
        <v>1.58</v>
      </c>
      <c r="G17" s="9" t="s">
        <v>36</v>
      </c>
      <c r="H17" s="54">
        <v>10.31</v>
      </c>
      <c r="I17" s="54">
        <v>4.0999999999999996</v>
      </c>
      <c r="J17" s="54">
        <v>2.84</v>
      </c>
      <c r="K17" s="54">
        <v>198.28</v>
      </c>
      <c r="L17" s="54">
        <v>19.45</v>
      </c>
      <c r="M17" s="54">
        <v>90.01</v>
      </c>
      <c r="N17" s="54">
        <v>283.10000000000002</v>
      </c>
      <c r="O17" s="54">
        <v>0</v>
      </c>
      <c r="P17" s="54">
        <v>3.26</v>
      </c>
      <c r="Q17" s="54">
        <v>22.58</v>
      </c>
      <c r="R17" s="194"/>
      <c r="S17" s="194"/>
      <c r="T17" s="194"/>
      <c r="U17" s="194"/>
    </row>
    <row r="18" spans="1:21" s="12" customFormat="1" ht="15">
      <c r="A18" s="206" t="s">
        <v>253</v>
      </c>
      <c r="B18" s="54">
        <v>0.46</v>
      </c>
      <c r="C18" s="54">
        <v>11.29</v>
      </c>
      <c r="D18" s="54">
        <v>11.75</v>
      </c>
      <c r="E18" s="54">
        <v>5.33</v>
      </c>
      <c r="F18" s="54">
        <v>1.29</v>
      </c>
      <c r="G18" s="9" t="s">
        <v>36</v>
      </c>
      <c r="H18" s="54">
        <v>8.99</v>
      </c>
      <c r="I18" s="54">
        <v>3.92</v>
      </c>
      <c r="J18" s="54">
        <v>2.39</v>
      </c>
      <c r="K18" s="54">
        <v>207.55</v>
      </c>
      <c r="L18" s="54">
        <v>19.600000000000001</v>
      </c>
      <c r="M18" s="54">
        <v>90.35</v>
      </c>
      <c r="N18" s="54">
        <v>291.30</v>
      </c>
      <c r="O18" s="54">
        <v>0</v>
      </c>
      <c r="P18" s="54">
        <v>3.16</v>
      </c>
      <c r="Q18" s="54">
        <v>20.67</v>
      </c>
      <c r="R18" s="194"/>
      <c r="S18" s="194"/>
      <c r="T18" s="194"/>
      <c r="U18" s="194"/>
    </row>
    <row r="19" spans="1:21" s="12" customFormat="1" ht="15">
      <c r="A19" s="206" t="s">
        <v>254</v>
      </c>
      <c r="B19" s="54">
        <v>0.59</v>
      </c>
      <c r="C19" s="54">
        <v>11.32</v>
      </c>
      <c r="D19" s="54">
        <v>11.91</v>
      </c>
      <c r="E19" s="54">
        <v>5.59</v>
      </c>
      <c r="F19" s="54">
        <v>1.01</v>
      </c>
      <c r="G19" s="9" t="s">
        <v>36</v>
      </c>
      <c r="H19" s="54">
        <v>8.99</v>
      </c>
      <c r="I19" s="54">
        <v>3.5</v>
      </c>
      <c r="J19" s="54">
        <v>2.06</v>
      </c>
      <c r="K19" s="54">
        <v>208.70</v>
      </c>
      <c r="L19" s="54">
        <v>18.37</v>
      </c>
      <c r="M19" s="54">
        <v>90.81</v>
      </c>
      <c r="N19" s="54">
        <v>292.89999999999998</v>
      </c>
      <c r="O19" s="54">
        <v>0</v>
      </c>
      <c r="P19" s="54">
        <v>3.10</v>
      </c>
      <c r="Q19" s="54">
        <v>18.52</v>
      </c>
      <c r="R19" s="194"/>
      <c r="S19" s="194"/>
      <c r="T19" s="194"/>
      <c r="U19" s="194"/>
    </row>
    <row r="20" spans="1:21" s="12" customFormat="1" ht="15">
      <c r="A20" s="206" t="s">
        <v>255</v>
      </c>
      <c r="B20" s="54">
        <v>0.71</v>
      </c>
      <c r="C20" s="54">
        <v>11.42</v>
      </c>
      <c r="D20" s="54">
        <v>12.13</v>
      </c>
      <c r="E20" s="54">
        <v>5.82</v>
      </c>
      <c r="F20" s="54">
        <v>1.01</v>
      </c>
      <c r="G20" s="9" t="s">
        <v>36</v>
      </c>
      <c r="H20" s="54">
        <v>8.99</v>
      </c>
      <c r="I20" s="54">
        <v>3.15</v>
      </c>
      <c r="J20" s="54">
        <v>2.44</v>
      </c>
      <c r="K20" s="54">
        <v>205.43</v>
      </c>
      <c r="L20" s="54">
        <v>17.850000000000001</v>
      </c>
      <c r="M20" s="54">
        <v>91.90</v>
      </c>
      <c r="N20" s="54">
        <v>288.60000000000002</v>
      </c>
      <c r="O20" s="54">
        <v>0</v>
      </c>
      <c r="P20" s="54">
        <v>3.04</v>
      </c>
      <c r="Q20" s="54">
        <v>16.850000000000001</v>
      </c>
      <c r="R20" s="194"/>
      <c r="S20" s="194"/>
      <c r="T20" s="194"/>
      <c r="U20" s="194"/>
    </row>
    <row r="21" spans="1:21" s="12" customFormat="1" ht="15">
      <c r="A21" s="206" t="s">
        <v>256</v>
      </c>
      <c r="B21" s="54">
        <v>0.84</v>
      </c>
      <c r="C21" s="54">
        <v>11.51</v>
      </c>
      <c r="D21" s="54">
        <v>12.35</v>
      </c>
      <c r="E21" s="54">
        <v>6.29</v>
      </c>
      <c r="F21" s="54">
        <v>0.91</v>
      </c>
      <c r="G21" s="9" t="s">
        <v>36</v>
      </c>
      <c r="H21" s="54">
        <v>8.25</v>
      </c>
      <c r="I21" s="54">
        <v>3.16</v>
      </c>
      <c r="J21" s="54">
        <v>2.16</v>
      </c>
      <c r="K21" s="54">
        <v>206.40</v>
      </c>
      <c r="L21" s="54">
        <v>18.43</v>
      </c>
      <c r="M21" s="54">
        <v>92.23</v>
      </c>
      <c r="N21" s="54">
        <v>293.39999999999998</v>
      </c>
      <c r="O21" s="54">
        <v>0</v>
      </c>
      <c r="P21" s="54">
        <v>2.98</v>
      </c>
      <c r="Q21" s="54">
        <v>15.66</v>
      </c>
      <c r="R21" s="194"/>
      <c r="S21" s="194"/>
      <c r="T21" s="194"/>
      <c r="U21" s="194"/>
    </row>
    <row r="22" spans="1:21" s="12" customFormat="1" ht="15">
      <c r="A22" s="206" t="s">
        <v>257</v>
      </c>
      <c r="B22" s="54">
        <v>1</v>
      </c>
      <c r="C22" s="54">
        <v>11.54</v>
      </c>
      <c r="D22" s="54">
        <v>12.54</v>
      </c>
      <c r="E22" s="54">
        <v>5.98</v>
      </c>
      <c r="F22" s="54">
        <v>0.82</v>
      </c>
      <c r="G22" s="9" t="s">
        <v>36</v>
      </c>
      <c r="H22" s="54">
        <v>6.43</v>
      </c>
      <c r="I22" s="54">
        <v>3.07</v>
      </c>
      <c r="J22" s="54">
        <v>0.26</v>
      </c>
      <c r="K22" s="54">
        <v>7.71</v>
      </c>
      <c r="L22" s="54">
        <v>20.28</v>
      </c>
      <c r="M22" s="54">
        <v>92.03</v>
      </c>
      <c r="N22" s="54">
        <v>286.70</v>
      </c>
      <c r="O22" s="54">
        <v>0</v>
      </c>
      <c r="P22" s="54">
        <v>2.95</v>
      </c>
      <c r="Q22" s="54">
        <v>14.84</v>
      </c>
      <c r="R22" s="194"/>
      <c r="S22" s="194"/>
      <c r="T22" s="194"/>
      <c r="U22" s="194"/>
    </row>
    <row r="23" spans="1:21" s="12" customFormat="1" ht="15">
      <c r="A23" s="206" t="s">
        <v>258</v>
      </c>
      <c r="B23" s="54">
        <v>1.06</v>
      </c>
      <c r="C23" s="54">
        <v>11.72</v>
      </c>
      <c r="D23" s="54">
        <v>12.78</v>
      </c>
      <c r="E23" s="54">
        <v>6.31</v>
      </c>
      <c r="F23" s="54">
        <v>0.64</v>
      </c>
      <c r="G23" s="9" t="s">
        <v>36</v>
      </c>
      <c r="H23" s="54">
        <v>6.43</v>
      </c>
      <c r="I23" s="54">
        <v>3</v>
      </c>
      <c r="J23" s="54">
        <v>0.79</v>
      </c>
      <c r="K23" s="54">
        <v>76.20</v>
      </c>
      <c r="L23" s="54">
        <v>21.69</v>
      </c>
      <c r="M23" s="54">
        <v>91.61</v>
      </c>
      <c r="N23" s="54">
        <v>282.80</v>
      </c>
      <c r="O23" s="54">
        <v>0</v>
      </c>
      <c r="P23" s="54">
        <v>2.91</v>
      </c>
      <c r="Q23" s="54">
        <v>14.05</v>
      </c>
      <c r="R23" s="194"/>
      <c r="S23" s="194"/>
      <c r="T23" s="194"/>
      <c r="U23" s="194"/>
    </row>
    <row r="24" spans="1:21" s="12" customFormat="1" ht="15">
      <c r="A24" s="206" t="s">
        <v>259</v>
      </c>
      <c r="B24" s="54">
        <v>1.1100000000000001</v>
      </c>
      <c r="C24" s="54">
        <v>12.03</v>
      </c>
      <c r="D24" s="54">
        <v>13.15</v>
      </c>
      <c r="E24" s="54">
        <v>3.77</v>
      </c>
      <c r="F24" s="54">
        <v>0.77</v>
      </c>
      <c r="G24" s="9" t="s">
        <v>36</v>
      </c>
      <c r="H24" s="54">
        <v>6.43</v>
      </c>
      <c r="I24" s="54">
        <v>3.20</v>
      </c>
      <c r="J24" s="54">
        <v>1.70</v>
      </c>
      <c r="K24" s="54">
        <v>22.61</v>
      </c>
      <c r="L24" s="54">
        <v>18.600000000000001</v>
      </c>
      <c r="M24" s="54">
        <v>92.51</v>
      </c>
      <c r="N24" s="54">
        <v>301.60000000000002</v>
      </c>
      <c r="O24" s="54">
        <v>0</v>
      </c>
      <c r="P24" s="54">
        <v>2.85</v>
      </c>
      <c r="Q24" s="54">
        <v>13.27</v>
      </c>
      <c r="R24" s="194"/>
      <c r="S24" s="194"/>
      <c r="T24" s="194"/>
      <c r="U24" s="194"/>
    </row>
    <row r="25" spans="1:21" s="12" customFormat="1" ht="15">
      <c r="A25" s="206" t="s">
        <v>260</v>
      </c>
      <c r="B25" s="54">
        <v>1.17</v>
      </c>
      <c r="C25" s="54">
        <v>12.21</v>
      </c>
      <c r="D25" s="54">
        <v>13.38</v>
      </c>
      <c r="E25" s="54">
        <v>7.40</v>
      </c>
      <c r="F25" s="54">
        <v>0.71</v>
      </c>
      <c r="G25" s="9" t="s">
        <v>36</v>
      </c>
      <c r="H25" s="54">
        <v>7.45</v>
      </c>
      <c r="I25" s="54">
        <v>3.58</v>
      </c>
      <c r="J25" s="54">
        <v>1.20</v>
      </c>
      <c r="K25" s="54">
        <v>33.72</v>
      </c>
      <c r="L25" s="54">
        <v>19.850000000000001</v>
      </c>
      <c r="M25" s="54">
        <v>92.62</v>
      </c>
      <c r="N25" s="54">
        <v>303.70</v>
      </c>
      <c r="O25" s="54">
        <v>0</v>
      </c>
      <c r="P25" s="54">
        <v>2.84</v>
      </c>
      <c r="Q25" s="54">
        <v>0</v>
      </c>
      <c r="R25" s="194"/>
      <c r="S25" s="194"/>
      <c r="T25" s="194"/>
      <c r="U25" s="194"/>
    </row>
    <row r="26" spans="1:21" s="12" customFormat="1" ht="15">
      <c r="A26" s="206" t="s">
        <v>261</v>
      </c>
      <c r="B26" s="54">
        <v>1.1100000000000001</v>
      </c>
      <c r="C26" s="54">
        <v>12.39</v>
      </c>
      <c r="D26" s="54">
        <v>13.5</v>
      </c>
      <c r="E26" s="54">
        <v>6.92</v>
      </c>
      <c r="F26" s="54">
        <v>1</v>
      </c>
      <c r="G26" s="9" t="s">
        <v>36</v>
      </c>
      <c r="H26" s="54">
        <v>8.9600000000000009</v>
      </c>
      <c r="I26" s="54">
        <v>3.63</v>
      </c>
      <c r="J26" s="54">
        <v>0.36</v>
      </c>
      <c r="K26" s="54">
        <v>220.90</v>
      </c>
      <c r="L26" s="54">
        <v>20</v>
      </c>
      <c r="M26" s="54">
        <v>92.80</v>
      </c>
      <c r="N26" s="54">
        <v>300.60000000000002</v>
      </c>
      <c r="O26" s="54">
        <v>0</v>
      </c>
      <c r="P26" s="54">
        <v>2.88</v>
      </c>
      <c r="Q26" s="54">
        <v>14.53</v>
      </c>
      <c r="R26" s="194"/>
      <c r="S26" s="194"/>
      <c r="T26" s="194"/>
      <c r="U26" s="194"/>
    </row>
    <row r="27" spans="1:21" s="12" customFormat="1" ht="15">
      <c r="A27" s="206" t="s">
        <v>262</v>
      </c>
      <c r="B27" s="54">
        <v>1.1399999999999999</v>
      </c>
      <c r="C27" s="54">
        <v>12.71</v>
      </c>
      <c r="D27" s="54">
        <v>13.85</v>
      </c>
      <c r="E27" s="54">
        <v>7.12</v>
      </c>
      <c r="F27" s="54">
        <v>0.97</v>
      </c>
      <c r="G27" s="9" t="s">
        <v>36</v>
      </c>
      <c r="H27" s="54">
        <v>8.9600000000000009</v>
      </c>
      <c r="I27" s="54">
        <v>3.71</v>
      </c>
      <c r="J27" s="54">
        <v>1.23</v>
      </c>
      <c r="K27" s="54">
        <v>328.22</v>
      </c>
      <c r="L27" s="54">
        <v>17.91</v>
      </c>
      <c r="M27" s="54">
        <v>92.68</v>
      </c>
      <c r="N27" s="54">
        <v>305.89999999999998</v>
      </c>
      <c r="O27" s="54">
        <v>0</v>
      </c>
      <c r="P27" s="54">
        <v>2.91</v>
      </c>
      <c r="Q27" s="54">
        <v>16.36</v>
      </c>
      <c r="R27" s="194"/>
      <c r="S27" s="194"/>
      <c r="T27" s="194"/>
      <c r="U27" s="194"/>
    </row>
    <row r="28" spans="1:21" s="12" customFormat="1" ht="15">
      <c r="A28" s="206" t="s">
        <v>263</v>
      </c>
      <c r="B28" s="54">
        <v>1.5</v>
      </c>
      <c r="C28" s="54">
        <v>13.23</v>
      </c>
      <c r="D28" s="54">
        <v>14.73</v>
      </c>
      <c r="E28" s="54">
        <v>6.98</v>
      </c>
      <c r="F28" s="54">
        <v>1.19</v>
      </c>
      <c r="G28" s="9" t="s">
        <v>36</v>
      </c>
      <c r="H28" s="54">
        <v>8.9600000000000009</v>
      </c>
      <c r="I28" s="54">
        <v>3.65</v>
      </c>
      <c r="J28" s="54">
        <v>1.32</v>
      </c>
      <c r="K28" s="54">
        <v>325.25</v>
      </c>
      <c r="L28" s="54">
        <v>16.18</v>
      </c>
      <c r="M28" s="54">
        <v>93</v>
      </c>
      <c r="N28" s="54">
        <v>311.80</v>
      </c>
      <c r="O28" s="54">
        <v>0</v>
      </c>
      <c r="P28" s="54">
        <v>2.95</v>
      </c>
      <c r="Q28" s="54">
        <v>18.71</v>
      </c>
      <c r="R28" s="194"/>
      <c r="S28" s="194"/>
      <c r="T28" s="194"/>
      <c r="U28" s="194"/>
    </row>
    <row r="29" spans="1:21" s="12" customFormat="1" ht="15">
      <c r="A29" s="206" t="s">
        <v>264</v>
      </c>
      <c r="B29" s="54">
        <v>1.79</v>
      </c>
      <c r="C29" s="54">
        <v>13.79</v>
      </c>
      <c r="D29" s="54">
        <v>15.58</v>
      </c>
      <c r="E29" s="54">
        <v>6.78</v>
      </c>
      <c r="F29" s="54">
        <v>1.31</v>
      </c>
      <c r="G29" s="9" t="s">
        <v>36</v>
      </c>
      <c r="H29" s="54">
        <v>9.06</v>
      </c>
      <c r="I29" s="54">
        <v>3.57</v>
      </c>
      <c r="J29" s="54">
        <v>2.64</v>
      </c>
      <c r="K29" s="54">
        <v>323.47000000000003</v>
      </c>
      <c r="L29" s="54">
        <v>16.07</v>
      </c>
      <c r="M29" s="54">
        <v>93.18</v>
      </c>
      <c r="N29" s="54">
        <v>306.60000000000002</v>
      </c>
      <c r="O29" s="54">
        <v>0</v>
      </c>
      <c r="P29" s="54">
        <v>2.99</v>
      </c>
      <c r="Q29" s="54">
        <v>20.62</v>
      </c>
      <c r="R29" s="194"/>
      <c r="S29" s="194"/>
      <c r="T29" s="194"/>
      <c r="U29" s="194"/>
    </row>
    <row r="30" spans="1:21" s="12" customFormat="1" ht="15">
      <c r="A30" s="206" t="s">
        <v>265</v>
      </c>
      <c r="B30" s="54">
        <v>2.17</v>
      </c>
      <c r="C30" s="54">
        <v>14.42</v>
      </c>
      <c r="D30" s="54">
        <v>16.59</v>
      </c>
      <c r="E30" s="54">
        <v>6.87</v>
      </c>
      <c r="F30" s="54">
        <v>1.1499999999999999</v>
      </c>
      <c r="G30" s="9" t="s">
        <v>36</v>
      </c>
      <c r="H30" s="54">
        <v>9.31</v>
      </c>
      <c r="I30" s="54">
        <v>3.55</v>
      </c>
      <c r="J30" s="54">
        <v>1.37</v>
      </c>
      <c r="K30" s="54">
        <v>346.70</v>
      </c>
      <c r="L30" s="54">
        <v>19.010000000000002</v>
      </c>
      <c r="M30" s="54">
        <v>93.02</v>
      </c>
      <c r="N30" s="54">
        <v>307.70</v>
      </c>
      <c r="O30" s="54">
        <v>0</v>
      </c>
      <c r="P30" s="54">
        <v>3.02</v>
      </c>
      <c r="Q30" s="54">
        <v>21.69</v>
      </c>
      <c r="R30" s="194"/>
      <c r="S30" s="194"/>
      <c r="T30" s="194"/>
      <c r="U30" s="194"/>
    </row>
    <row r="31" spans="1:21" s="12" customFormat="1" ht="15">
      <c r="A31" s="206" t="s">
        <v>266</v>
      </c>
      <c r="B31" s="54">
        <v>2.4500000000000002</v>
      </c>
      <c r="C31" s="54">
        <v>15.12</v>
      </c>
      <c r="D31" s="54">
        <v>17.57</v>
      </c>
      <c r="E31" s="54">
        <v>6.87</v>
      </c>
      <c r="F31" s="54">
        <v>1.01</v>
      </c>
      <c r="G31" s="9" t="s">
        <v>36</v>
      </c>
      <c r="H31" s="54">
        <v>9.31</v>
      </c>
      <c r="I31" s="54">
        <v>3.55</v>
      </c>
      <c r="J31" s="54">
        <v>2.46</v>
      </c>
      <c r="K31" s="54">
        <v>323.10000000000002</v>
      </c>
      <c r="L31" s="54">
        <v>20.34</v>
      </c>
      <c r="M31" s="54">
        <v>93.01</v>
      </c>
      <c r="N31" s="54">
        <v>327</v>
      </c>
      <c r="O31" s="54">
        <v>0</v>
      </c>
      <c r="P31" s="54">
        <v>3.06</v>
      </c>
      <c r="Q31" s="54">
        <v>22.24</v>
      </c>
      <c r="R31" s="194"/>
      <c r="S31" s="194"/>
      <c r="T31" s="194"/>
      <c r="U31" s="194"/>
    </row>
    <row r="32" spans="1:21" s="12" customFormat="1" ht="15">
      <c r="A32" s="206" t="s">
        <v>267</v>
      </c>
      <c r="B32" s="54">
        <v>2.68</v>
      </c>
      <c r="C32" s="54">
        <v>15.60</v>
      </c>
      <c r="D32" s="54">
        <v>18.29</v>
      </c>
      <c r="E32" s="54">
        <v>6.58</v>
      </c>
      <c r="F32" s="54">
        <v>1.05</v>
      </c>
      <c r="G32" s="9" t="s">
        <v>36</v>
      </c>
      <c r="H32" s="54">
        <v>9.31</v>
      </c>
      <c r="I32" s="54">
        <v>3.67</v>
      </c>
      <c r="J32" s="54">
        <v>1.97</v>
      </c>
      <c r="K32" s="54">
        <v>348.95</v>
      </c>
      <c r="L32" s="54">
        <v>20.14</v>
      </c>
      <c r="M32" s="54">
        <v>92.15</v>
      </c>
      <c r="N32" s="54">
        <v>345.40</v>
      </c>
      <c r="O32" s="54">
        <v>0</v>
      </c>
      <c r="P32" s="54">
        <v>3.08</v>
      </c>
      <c r="Q32" s="54">
        <v>22.40</v>
      </c>
      <c r="R32" s="194"/>
      <c r="S32" s="194"/>
      <c r="T32" s="194"/>
      <c r="U32" s="194"/>
    </row>
    <row r="33" spans="1:21" s="12" customFormat="1" ht="15">
      <c r="A33" s="206" t="s">
        <v>268</v>
      </c>
      <c r="B33" s="54">
        <v>3.17</v>
      </c>
      <c r="C33" s="54">
        <v>16.350000000000001</v>
      </c>
      <c r="D33" s="54">
        <v>19.52</v>
      </c>
      <c r="E33" s="54">
        <v>6.48</v>
      </c>
      <c r="F33" s="54">
        <v>1.03</v>
      </c>
      <c r="G33" s="9" t="s">
        <v>36</v>
      </c>
      <c r="H33" s="54">
        <v>8.61</v>
      </c>
      <c r="I33" s="54">
        <v>3.84</v>
      </c>
      <c r="J33" s="54">
        <v>1.32</v>
      </c>
      <c r="K33" s="54">
        <v>16.34</v>
      </c>
      <c r="L33" s="54">
        <v>18.95</v>
      </c>
      <c r="M33" s="54">
        <v>91.17</v>
      </c>
      <c r="N33" s="54">
        <v>375.80</v>
      </c>
      <c r="O33" s="54">
        <v>0</v>
      </c>
      <c r="P33" s="54">
        <v>3.11</v>
      </c>
      <c r="Q33" s="54">
        <v>22.44</v>
      </c>
      <c r="R33" s="194"/>
      <c r="S33" s="194"/>
      <c r="T33" s="194"/>
      <c r="U33" s="194"/>
    </row>
    <row r="34" spans="1:21" s="12" customFormat="1" ht="15">
      <c r="A34" s="206" t="s">
        <v>269</v>
      </c>
      <c r="B34" s="54">
        <v>3.89</v>
      </c>
      <c r="C34" s="54">
        <v>17.170000000000002</v>
      </c>
      <c r="D34" s="54">
        <v>21.07</v>
      </c>
      <c r="E34" s="54">
        <v>6.99</v>
      </c>
      <c r="F34" s="54">
        <v>1.0900000000000001</v>
      </c>
      <c r="G34" s="9" t="s">
        <v>36</v>
      </c>
      <c r="H34" s="54">
        <v>6.90</v>
      </c>
      <c r="I34" s="54">
        <v>3.93</v>
      </c>
      <c r="J34" s="54">
        <v>0.96</v>
      </c>
      <c r="K34" s="54">
        <v>246.72</v>
      </c>
      <c r="L34" s="54">
        <v>20.85</v>
      </c>
      <c r="M34" s="54">
        <v>90.65</v>
      </c>
      <c r="N34" s="54">
        <v>417.70</v>
      </c>
      <c r="O34" s="54">
        <v>0</v>
      </c>
      <c r="P34" s="54">
        <v>3.14</v>
      </c>
      <c r="Q34" s="54">
        <v>22.44</v>
      </c>
      <c r="R34" s="194"/>
      <c r="S34" s="194"/>
      <c r="T34" s="194"/>
      <c r="U34" s="194"/>
    </row>
    <row r="35" spans="1:21" s="12" customFormat="1" ht="15">
      <c r="A35" s="206" t="s">
        <v>270</v>
      </c>
      <c r="B35" s="54">
        <v>4.01</v>
      </c>
      <c r="C35" s="54">
        <v>17.420000000000002</v>
      </c>
      <c r="D35" s="54">
        <v>21.43</v>
      </c>
      <c r="E35" s="54">
        <v>7.02</v>
      </c>
      <c r="F35" s="54">
        <v>1.0900000000000001</v>
      </c>
      <c r="G35" s="9" t="s">
        <v>36</v>
      </c>
      <c r="H35" s="54">
        <v>6.90</v>
      </c>
      <c r="I35" s="54">
        <v>3.99</v>
      </c>
      <c r="J35" s="54">
        <v>1.21</v>
      </c>
      <c r="K35" s="54">
        <v>209.91</v>
      </c>
      <c r="L35" s="54">
        <v>19.55</v>
      </c>
      <c r="M35" s="54">
        <v>90.71</v>
      </c>
      <c r="N35" s="54">
        <v>459.70</v>
      </c>
      <c r="O35" s="54">
        <v>0</v>
      </c>
      <c r="P35" s="54">
        <v>3.11</v>
      </c>
      <c r="Q35" s="54">
        <v>21.88</v>
      </c>
      <c r="R35" s="194"/>
      <c r="S35" s="194"/>
      <c r="T35" s="194"/>
      <c r="U35" s="194"/>
    </row>
    <row r="36" spans="1:21" s="12" customFormat="1" ht="15">
      <c r="A36" s="206" t="s">
        <v>271</v>
      </c>
      <c r="B36" s="54">
        <v>4.4800000000000004</v>
      </c>
      <c r="C36" s="54">
        <v>17.170000000000002</v>
      </c>
      <c r="D36" s="54">
        <v>21.65</v>
      </c>
      <c r="E36" s="54">
        <v>7.41</v>
      </c>
      <c r="F36" s="54">
        <v>0.49</v>
      </c>
      <c r="G36" s="9" t="s">
        <v>36</v>
      </c>
      <c r="H36" s="54">
        <v>6.90</v>
      </c>
      <c r="I36" s="54">
        <v>4.1100000000000003</v>
      </c>
      <c r="J36" s="54">
        <v>2.46</v>
      </c>
      <c r="K36" s="54">
        <v>202.45</v>
      </c>
      <c r="L36" s="54">
        <v>20</v>
      </c>
      <c r="M36" s="54">
        <v>91</v>
      </c>
      <c r="N36" s="54">
        <v>510.60</v>
      </c>
      <c r="O36" s="54">
        <v>0</v>
      </c>
      <c r="P36" s="54">
        <v>3.08</v>
      </c>
      <c r="Q36" s="54">
        <v>20.16</v>
      </c>
      <c r="R36" s="194"/>
      <c r="S36" s="194"/>
      <c r="T36" s="194"/>
      <c r="U36" s="194"/>
    </row>
    <row r="37" spans="1:21" s="12" customFormat="1" ht="15">
      <c r="A37" s="206" t="s">
        <v>272</v>
      </c>
      <c r="B37" s="54">
        <v>4.54</v>
      </c>
      <c r="C37" s="54">
        <v>16.829999999999998</v>
      </c>
      <c r="D37" s="54">
        <v>21.37</v>
      </c>
      <c r="E37" s="54">
        <v>7.28</v>
      </c>
      <c r="F37" s="54">
        <v>0.44</v>
      </c>
      <c r="G37" s="9" t="s">
        <v>36</v>
      </c>
      <c r="H37" s="54">
        <v>7.17</v>
      </c>
      <c r="I37" s="54">
        <v>4.17</v>
      </c>
      <c r="J37" s="54">
        <v>1.07</v>
      </c>
      <c r="K37" s="54">
        <v>207.78</v>
      </c>
      <c r="L37" s="54">
        <v>20.37</v>
      </c>
      <c r="M37" s="54">
        <v>89.42</v>
      </c>
      <c r="N37" s="54">
        <v>541.90</v>
      </c>
      <c r="O37" s="54">
        <v>0</v>
      </c>
      <c r="P37" s="54">
        <v>3.05</v>
      </c>
      <c r="Q37" s="54">
        <v>18.170000000000002</v>
      </c>
      <c r="R37" s="194"/>
      <c r="S37" s="194"/>
      <c r="T37" s="194"/>
      <c r="U37" s="194"/>
    </row>
    <row r="38" spans="1:21" s="12" customFormat="1" ht="15">
      <c r="A38" s="206" t="s">
        <v>273</v>
      </c>
      <c r="B38" s="54">
        <v>4.32</v>
      </c>
      <c r="C38" s="54">
        <v>17.04</v>
      </c>
      <c r="D38" s="54">
        <v>21.36</v>
      </c>
      <c r="E38" s="54">
        <v>7.29</v>
      </c>
      <c r="F38" s="54">
        <v>0.40</v>
      </c>
      <c r="G38" s="9" t="s">
        <v>36</v>
      </c>
      <c r="H38" s="54">
        <v>7.82</v>
      </c>
      <c r="I38" s="54">
        <v>4.20</v>
      </c>
      <c r="J38" s="54">
        <v>0.68</v>
      </c>
      <c r="K38" s="54">
        <v>238.49</v>
      </c>
      <c r="L38" s="54">
        <v>20.25</v>
      </c>
      <c r="M38" s="54">
        <v>87.31</v>
      </c>
      <c r="N38" s="54">
        <v>623.5</v>
      </c>
      <c r="O38" s="54">
        <v>0</v>
      </c>
      <c r="P38" s="54">
        <v>3</v>
      </c>
      <c r="Q38" s="54">
        <v>16.38</v>
      </c>
      <c r="R38" s="194"/>
      <c r="S38" s="194"/>
      <c r="T38" s="194"/>
      <c r="U38" s="194"/>
    </row>
    <row r="39" spans="1:21" s="12" customFormat="1" ht="15">
      <c r="A39" s="206" t="s">
        <v>274</v>
      </c>
      <c r="B39" s="54">
        <v>4.0199999999999996</v>
      </c>
      <c r="C39" s="54">
        <v>17.440000000000001</v>
      </c>
      <c r="D39" s="54">
        <v>21.46</v>
      </c>
      <c r="E39" s="54">
        <v>7.08</v>
      </c>
      <c r="F39" s="54">
        <v>0.32</v>
      </c>
      <c r="G39" s="9" t="s">
        <v>36</v>
      </c>
      <c r="H39" s="54">
        <v>7.82</v>
      </c>
      <c r="I39" s="54">
        <v>4.4800000000000004</v>
      </c>
      <c r="J39" s="54">
        <v>0.38</v>
      </c>
      <c r="K39" s="54">
        <v>235.86</v>
      </c>
      <c r="L39" s="54">
        <v>22.11</v>
      </c>
      <c r="M39" s="54">
        <v>85.57</v>
      </c>
      <c r="N39" s="54">
        <v>694.10</v>
      </c>
      <c r="O39" s="54">
        <v>0</v>
      </c>
      <c r="P39" s="54">
        <v>2.94</v>
      </c>
      <c r="Q39" s="54">
        <v>14.92</v>
      </c>
      <c r="R39" s="194"/>
      <c r="S39" s="194"/>
      <c r="T39" s="194"/>
      <c r="U39" s="194"/>
    </row>
    <row r="40" spans="1:21" s="12" customFormat="1" ht="15">
      <c r="A40" s="206" t="s">
        <v>275</v>
      </c>
      <c r="B40" s="54">
        <v>3.87</v>
      </c>
      <c r="C40" s="54">
        <v>17.87</v>
      </c>
      <c r="D40" s="54">
        <v>21.74</v>
      </c>
      <c r="E40" s="54">
        <v>3.44</v>
      </c>
      <c r="F40" s="54">
        <v>0.40</v>
      </c>
      <c r="G40" s="9" t="s">
        <v>36</v>
      </c>
      <c r="H40" s="54">
        <v>7.82</v>
      </c>
      <c r="I40" s="54">
        <v>4.47</v>
      </c>
      <c r="J40" s="54">
        <v>0.57999999999999996</v>
      </c>
      <c r="K40" s="54">
        <v>216.12</v>
      </c>
      <c r="L40" s="54">
        <v>24.63</v>
      </c>
      <c r="M40" s="54">
        <v>83.70</v>
      </c>
      <c r="N40" s="54">
        <v>730.60</v>
      </c>
      <c r="O40" s="54">
        <v>0</v>
      </c>
      <c r="P40" s="54">
        <v>2.90</v>
      </c>
      <c r="Q40" s="54">
        <v>13.91</v>
      </c>
      <c r="R40" s="194"/>
      <c r="S40" s="194"/>
      <c r="T40" s="194"/>
      <c r="U40" s="194"/>
    </row>
    <row r="41" spans="1:21" s="12" customFormat="1" ht="15">
      <c r="A41" s="206" t="s">
        <v>276</v>
      </c>
      <c r="B41" s="54">
        <v>3.70</v>
      </c>
      <c r="C41" s="54">
        <v>18.54</v>
      </c>
      <c r="D41" s="54">
        <v>22.24</v>
      </c>
      <c r="E41" s="54">
        <v>6.69</v>
      </c>
      <c r="F41" s="54">
        <v>0.61</v>
      </c>
      <c r="G41" s="9" t="s">
        <v>36</v>
      </c>
      <c r="H41" s="54">
        <v>9.56</v>
      </c>
      <c r="I41" s="54">
        <v>4.3899999999999997</v>
      </c>
      <c r="J41" s="54">
        <v>1.24</v>
      </c>
      <c r="K41" s="54">
        <v>43.73</v>
      </c>
      <c r="L41" s="54">
        <v>23.55</v>
      </c>
      <c r="M41" s="54">
        <v>80.95</v>
      </c>
      <c r="N41" s="54">
        <v>757.90</v>
      </c>
      <c r="O41" s="54">
        <v>0</v>
      </c>
      <c r="P41" s="54">
        <v>2.85</v>
      </c>
      <c r="Q41" s="54">
        <v>12.98</v>
      </c>
      <c r="R41" s="194"/>
      <c r="S41" s="194"/>
      <c r="T41" s="194"/>
      <c r="U41" s="194"/>
    </row>
    <row r="42" spans="1:21" s="12" customFormat="1" ht="15">
      <c r="A42" s="206" t="s">
        <v>277</v>
      </c>
      <c r="B42" s="54">
        <v>3.46</v>
      </c>
      <c r="C42" s="54">
        <v>19.36</v>
      </c>
      <c r="D42" s="54">
        <v>22.82</v>
      </c>
      <c r="E42" s="54">
        <v>6.56</v>
      </c>
      <c r="F42" s="54">
        <v>0.83</v>
      </c>
      <c r="G42" s="9" t="s">
        <v>36</v>
      </c>
      <c r="H42" s="54">
        <v>13.84</v>
      </c>
      <c r="I42" s="54">
        <v>4.4800000000000004</v>
      </c>
      <c r="J42" s="54">
        <v>0.54</v>
      </c>
      <c r="K42" s="54">
        <v>263.18</v>
      </c>
      <c r="L42" s="54">
        <v>23.98</v>
      </c>
      <c r="M42" s="54">
        <v>82.70</v>
      </c>
      <c r="N42" s="54">
        <v>698.90</v>
      </c>
      <c r="O42" s="54">
        <v>0</v>
      </c>
      <c r="P42" s="54">
        <v>2.79</v>
      </c>
      <c r="Q42" s="54">
        <v>12.32</v>
      </c>
      <c r="R42" s="194"/>
      <c r="S42" s="194"/>
      <c r="T42" s="194"/>
      <c r="U42" s="194"/>
    </row>
    <row r="43" spans="1:21" s="12" customFormat="1" ht="15">
      <c r="A43" s="206" t="s">
        <v>278</v>
      </c>
      <c r="B43" s="54">
        <v>3.12</v>
      </c>
      <c r="C43" s="54">
        <v>19.87</v>
      </c>
      <c r="D43" s="54">
        <v>23</v>
      </c>
      <c r="E43" s="54">
        <v>6.34</v>
      </c>
      <c r="F43" s="54">
        <v>0.89</v>
      </c>
      <c r="G43" s="9" t="s">
        <v>36</v>
      </c>
      <c r="H43" s="54">
        <v>13.84</v>
      </c>
      <c r="I43" s="54">
        <v>4.46</v>
      </c>
      <c r="J43" s="54">
        <v>0.64</v>
      </c>
      <c r="K43" s="54">
        <v>51.02</v>
      </c>
      <c r="L43" s="54">
        <v>22.16</v>
      </c>
      <c r="M43" s="54">
        <v>80.80</v>
      </c>
      <c r="N43" s="54">
        <v>778.5</v>
      </c>
      <c r="O43" s="54">
        <v>0</v>
      </c>
      <c r="P43" s="54">
        <v>2.80</v>
      </c>
      <c r="Q43" s="54">
        <v>12.26</v>
      </c>
      <c r="R43" s="194"/>
      <c r="S43" s="194"/>
      <c r="T43" s="194"/>
      <c r="U43" s="194"/>
    </row>
    <row r="44" spans="1:21" s="12" customFormat="1" ht="15">
      <c r="A44" s="206" t="s">
        <v>279</v>
      </c>
      <c r="B44" s="54">
        <v>2.90</v>
      </c>
      <c r="C44" s="54">
        <v>20.170000000000002</v>
      </c>
      <c r="D44" s="54">
        <v>23.07</v>
      </c>
      <c r="E44" s="54">
        <v>6.55</v>
      </c>
      <c r="F44" s="54">
        <v>1.18</v>
      </c>
      <c r="G44" s="9" t="s">
        <v>36</v>
      </c>
      <c r="H44" s="54">
        <v>13.84</v>
      </c>
      <c r="I44" s="54">
        <v>4.4400000000000004</v>
      </c>
      <c r="J44" s="54">
        <v>1.98</v>
      </c>
      <c r="K44" s="54">
        <v>345.55</v>
      </c>
      <c r="L44" s="54">
        <v>23.09</v>
      </c>
      <c r="M44" s="54">
        <v>78.48</v>
      </c>
      <c r="N44" s="54">
        <v>949.40</v>
      </c>
      <c r="O44" s="54">
        <v>0</v>
      </c>
      <c r="P44" s="54">
        <v>2.81</v>
      </c>
      <c r="Q44" s="54">
        <v>13.01</v>
      </c>
      <c r="R44" s="194"/>
      <c r="S44" s="194"/>
      <c r="T44" s="194"/>
      <c r="U44" s="194"/>
    </row>
    <row r="45" spans="1:21" s="12" customFormat="1" ht="15">
      <c r="A45" s="206" t="s">
        <v>280</v>
      </c>
      <c r="B45" s="54">
        <v>3.05</v>
      </c>
      <c r="C45" s="54">
        <v>20.62</v>
      </c>
      <c r="D45" s="54">
        <v>23.68</v>
      </c>
      <c r="E45" s="54">
        <v>6.57</v>
      </c>
      <c r="F45" s="54">
        <v>1.08</v>
      </c>
      <c r="G45" s="9" t="s">
        <v>36</v>
      </c>
      <c r="H45" s="54">
        <v>13.18</v>
      </c>
      <c r="I45" s="54">
        <v>4.46</v>
      </c>
      <c r="J45" s="54">
        <v>1.39</v>
      </c>
      <c r="K45" s="54">
        <v>12.11</v>
      </c>
      <c r="L45" s="54">
        <v>28.35</v>
      </c>
      <c r="M45" s="54">
        <v>76.30</v>
      </c>
      <c r="N45" s="54">
        <v>1047.5</v>
      </c>
      <c r="O45" s="54">
        <v>0</v>
      </c>
      <c r="P45" s="54">
        <v>2.87</v>
      </c>
      <c r="Q45" s="54">
        <v>14.5</v>
      </c>
      <c r="R45" s="194"/>
      <c r="S45" s="194"/>
      <c r="T45" s="194"/>
      <c r="U45" s="194"/>
    </row>
    <row r="46" spans="1:21" s="12" customFormat="1" ht="15">
      <c r="A46" s="206" t="s">
        <v>281</v>
      </c>
      <c r="B46" s="54">
        <v>3.53</v>
      </c>
      <c r="C46" s="54">
        <v>21.52</v>
      </c>
      <c r="D46" s="54">
        <v>25.06</v>
      </c>
      <c r="E46" s="54">
        <v>6.31</v>
      </c>
      <c r="F46" s="54">
        <v>0.87</v>
      </c>
      <c r="G46" s="9" t="s">
        <v>36</v>
      </c>
      <c r="H46" s="54">
        <v>11.55</v>
      </c>
      <c r="I46" s="54">
        <v>4.4800000000000004</v>
      </c>
      <c r="J46" s="54">
        <v>1.1399999999999999</v>
      </c>
      <c r="K46" s="54">
        <v>343.73</v>
      </c>
      <c r="L46" s="54">
        <v>27.38</v>
      </c>
      <c r="M46" s="54">
        <v>74.44</v>
      </c>
      <c r="N46" s="54">
        <v>1036.0999999999999</v>
      </c>
      <c r="O46" s="54">
        <v>0</v>
      </c>
      <c r="P46" s="54">
        <v>2.92</v>
      </c>
      <c r="Q46" s="54">
        <v>16.20</v>
      </c>
      <c r="R46" s="194"/>
      <c r="S46" s="194"/>
      <c r="T46" s="194"/>
      <c r="U46" s="194"/>
    </row>
    <row r="47" spans="1:21" s="12" customFormat="1" ht="15">
      <c r="A47" s="206" t="s">
        <v>282</v>
      </c>
      <c r="B47" s="54">
        <v>3.65</v>
      </c>
      <c r="C47" s="54">
        <v>22.52</v>
      </c>
      <c r="D47" s="54">
        <v>26.18</v>
      </c>
      <c r="E47" s="54">
        <v>6.37</v>
      </c>
      <c r="F47" s="54">
        <v>0.92</v>
      </c>
      <c r="G47" s="9" t="s">
        <v>36</v>
      </c>
      <c r="H47" s="54">
        <v>11.55</v>
      </c>
      <c r="I47" s="54">
        <v>4.6100000000000003</v>
      </c>
      <c r="J47" s="54">
        <v>1.06</v>
      </c>
      <c r="K47" s="54">
        <v>217.80</v>
      </c>
      <c r="L47" s="54">
        <v>27.65</v>
      </c>
      <c r="M47" s="54">
        <v>75.95</v>
      </c>
      <c r="N47" s="54">
        <v>996.90</v>
      </c>
      <c r="O47" s="54">
        <v>0</v>
      </c>
      <c r="P47" s="54">
        <v>3</v>
      </c>
      <c r="Q47" s="54">
        <v>18.010000000000002</v>
      </c>
      <c r="R47" s="194"/>
      <c r="S47" s="194"/>
      <c r="T47" s="194"/>
      <c r="U47" s="194"/>
    </row>
    <row r="48" spans="1:21" s="12" customFormat="1" ht="15">
      <c r="A48" s="206" t="s">
        <v>283</v>
      </c>
      <c r="B48" s="54">
        <v>3.20</v>
      </c>
      <c r="C48" s="54">
        <v>23.22</v>
      </c>
      <c r="D48" s="54">
        <v>26.42</v>
      </c>
      <c r="E48" s="54">
        <v>7.03</v>
      </c>
      <c r="F48" s="54">
        <v>1.21</v>
      </c>
      <c r="G48" s="9" t="s">
        <v>36</v>
      </c>
      <c r="H48" s="54">
        <v>11.55</v>
      </c>
      <c r="I48" s="54">
        <v>4.93</v>
      </c>
      <c r="J48" s="54">
        <v>0.81</v>
      </c>
      <c r="K48" s="54">
        <v>350.02</v>
      </c>
      <c r="L48" s="54">
        <v>26.39</v>
      </c>
      <c r="M48" s="54">
        <v>74.099999999999994</v>
      </c>
      <c r="N48" s="54">
        <v>1198.4000000000001</v>
      </c>
      <c r="O48" s="54">
        <v>0</v>
      </c>
      <c r="P48" s="54">
        <v>3.07</v>
      </c>
      <c r="Q48" s="54">
        <v>19.559999999999999</v>
      </c>
      <c r="R48" s="194"/>
      <c r="S48" s="194"/>
      <c r="T48" s="194"/>
      <c r="U48" s="194"/>
    </row>
    <row r="49" spans="1:21" s="12" customFormat="1" ht="15">
      <c r="A49" s="206" t="s">
        <v>284</v>
      </c>
      <c r="B49" s="54">
        <v>2.88</v>
      </c>
      <c r="C49" s="54">
        <v>24.07</v>
      </c>
      <c r="D49" s="54">
        <v>26.95</v>
      </c>
      <c r="E49" s="54">
        <v>6.54</v>
      </c>
      <c r="F49" s="54">
        <v>1.48</v>
      </c>
      <c r="G49" s="9" t="s">
        <v>36</v>
      </c>
      <c r="H49" s="54">
        <v>12.87</v>
      </c>
      <c r="I49" s="54">
        <v>5.67</v>
      </c>
      <c r="J49" s="54">
        <v>0.90</v>
      </c>
      <c r="K49" s="54">
        <v>206.85</v>
      </c>
      <c r="L49" s="54">
        <v>28.92</v>
      </c>
      <c r="M49" s="54">
        <v>73.260000000000005</v>
      </c>
      <c r="N49" s="54">
        <v>1154.5</v>
      </c>
      <c r="O49" s="54">
        <v>0</v>
      </c>
      <c r="P49" s="54">
        <v>3.14</v>
      </c>
      <c r="Q49" s="54">
        <v>21.04</v>
      </c>
      <c r="R49" s="194"/>
      <c r="S49" s="194"/>
      <c r="T49" s="194"/>
      <c r="U49" s="194"/>
    </row>
    <row r="50" spans="1:21" s="12" customFormat="1" ht="15">
      <c r="A50" s="206" t="s">
        <v>285</v>
      </c>
      <c r="B50" s="54">
        <v>2.4500000000000002</v>
      </c>
      <c r="C50" s="54">
        <v>24.48</v>
      </c>
      <c r="D50" s="54">
        <v>26.93</v>
      </c>
      <c r="E50" s="54">
        <v>6.86</v>
      </c>
      <c r="F50" s="54">
        <v>1.57</v>
      </c>
      <c r="G50" s="9" t="s">
        <v>36</v>
      </c>
      <c r="H50" s="54">
        <v>16.149999999999999</v>
      </c>
      <c r="I50" s="54">
        <v>6.46</v>
      </c>
      <c r="J50" s="54">
        <v>1.17</v>
      </c>
      <c r="K50" s="54">
        <v>310.44</v>
      </c>
      <c r="L50" s="54">
        <v>28.24</v>
      </c>
      <c r="M50" s="54">
        <v>68.680000000000007</v>
      </c>
      <c r="N50" s="54">
        <v>1342</v>
      </c>
      <c r="O50" s="54">
        <v>0</v>
      </c>
      <c r="P50" s="54">
        <v>3.19</v>
      </c>
      <c r="Q50" s="54">
        <v>21.88</v>
      </c>
      <c r="R50" s="194"/>
      <c r="S50" s="194"/>
      <c r="T50" s="194"/>
      <c r="U50" s="194"/>
    </row>
    <row r="51" spans="1:21" s="12" customFormat="1" ht="15">
      <c r="A51" s="206" t="s">
        <v>286</v>
      </c>
      <c r="B51" s="54">
        <v>2.60</v>
      </c>
      <c r="C51" s="54">
        <v>25.30</v>
      </c>
      <c r="D51" s="54">
        <v>27.90</v>
      </c>
      <c r="E51" s="54">
        <v>6.99</v>
      </c>
      <c r="F51" s="54">
        <v>1.81</v>
      </c>
      <c r="G51" s="9" t="s">
        <v>36</v>
      </c>
      <c r="H51" s="54">
        <v>16.149999999999999</v>
      </c>
      <c r="I51" s="54">
        <v>7.18</v>
      </c>
      <c r="J51" s="54">
        <v>2.71</v>
      </c>
      <c r="K51" s="54">
        <v>315.36</v>
      </c>
      <c r="L51" s="54">
        <v>29.06</v>
      </c>
      <c r="M51" s="54">
        <v>65.44</v>
      </c>
      <c r="N51" s="54">
        <v>1413.80</v>
      </c>
      <c r="O51" s="54">
        <v>0</v>
      </c>
      <c r="P51" s="54">
        <v>3.26</v>
      </c>
      <c r="Q51" s="54">
        <v>22.93</v>
      </c>
      <c r="R51" s="194"/>
      <c r="S51" s="194"/>
      <c r="T51" s="194"/>
      <c r="U51" s="194"/>
    </row>
    <row r="52" spans="1:21" s="12" customFormat="1" ht="15">
      <c r="A52" s="206" t="s">
        <v>287</v>
      </c>
      <c r="B52" s="54">
        <v>2.4900000000000002</v>
      </c>
      <c r="C52" s="54">
        <v>26.51</v>
      </c>
      <c r="D52" s="54">
        <v>29</v>
      </c>
      <c r="E52" s="54">
        <v>7.81</v>
      </c>
      <c r="F52" s="54">
        <v>1.88</v>
      </c>
      <c r="G52" s="9" t="s">
        <v>36</v>
      </c>
      <c r="H52" s="54">
        <v>16.149999999999999</v>
      </c>
      <c r="I52" s="54">
        <v>7.72</v>
      </c>
      <c r="J52" s="54">
        <v>0.48</v>
      </c>
      <c r="K52" s="54">
        <v>329.31</v>
      </c>
      <c r="L52" s="54">
        <v>27.39</v>
      </c>
      <c r="M52" s="54">
        <v>65.209999999999994</v>
      </c>
      <c r="N52" s="54">
        <v>1358.10</v>
      </c>
      <c r="O52" s="54">
        <v>0</v>
      </c>
      <c r="P52" s="54">
        <v>3.34</v>
      </c>
      <c r="Q52" s="54">
        <v>24.19</v>
      </c>
      <c r="R52" s="194"/>
      <c r="S52" s="194"/>
      <c r="T52" s="194"/>
      <c r="U52" s="194"/>
    </row>
    <row r="53" spans="1:21" s="12" customFormat="1" ht="15">
      <c r="A53" s="206" t="s">
        <v>288</v>
      </c>
      <c r="B53" s="54">
        <v>2.17</v>
      </c>
      <c r="C53" s="54">
        <v>25.16</v>
      </c>
      <c r="D53" s="54">
        <v>27.33</v>
      </c>
      <c r="E53" s="54">
        <v>6.88</v>
      </c>
      <c r="F53" s="54">
        <v>2.34</v>
      </c>
      <c r="G53" s="9" t="s">
        <v>36</v>
      </c>
      <c r="H53" s="54">
        <v>17.329999999999998</v>
      </c>
      <c r="I53" s="54">
        <v>8.2200000000000006</v>
      </c>
      <c r="J53" s="54">
        <v>0.93</v>
      </c>
      <c r="K53" s="54">
        <v>325.92</v>
      </c>
      <c r="L53" s="54">
        <v>28.02</v>
      </c>
      <c r="M53" s="54">
        <v>67.209999999999994</v>
      </c>
      <c r="N53" s="54">
        <v>1113.9000000000001</v>
      </c>
      <c r="O53" s="54">
        <v>0</v>
      </c>
      <c r="P53" s="54">
        <v>3.33</v>
      </c>
      <c r="Q53" s="54">
        <v>24.01</v>
      </c>
      <c r="R53" s="194"/>
      <c r="S53" s="194"/>
      <c r="T53" s="194"/>
      <c r="U53" s="194"/>
    </row>
    <row r="54" spans="1:21" s="12" customFormat="1" ht="15">
      <c r="A54" s="206" t="s">
        <v>289</v>
      </c>
      <c r="B54" s="54">
        <v>1.90</v>
      </c>
      <c r="C54" s="54">
        <v>24.06</v>
      </c>
      <c r="D54" s="54">
        <v>25.96</v>
      </c>
      <c r="E54" s="54">
        <v>6.97</v>
      </c>
      <c r="F54" s="54">
        <v>2.64</v>
      </c>
      <c r="G54" s="9" t="s">
        <v>36</v>
      </c>
      <c r="H54" s="54">
        <v>20.23</v>
      </c>
      <c r="I54" s="54">
        <v>8.7100000000000009</v>
      </c>
      <c r="J54" s="54">
        <v>1.43</v>
      </c>
      <c r="K54" s="54">
        <v>281.57</v>
      </c>
      <c r="L54" s="54">
        <v>27.20</v>
      </c>
      <c r="M54" s="54">
        <v>67.98</v>
      </c>
      <c r="N54" s="54">
        <v>1217.20</v>
      </c>
      <c r="O54" s="54">
        <v>0</v>
      </c>
      <c r="P54" s="54">
        <v>3.31</v>
      </c>
      <c r="Q54" s="54">
        <v>20.64</v>
      </c>
      <c r="R54" s="194"/>
      <c r="S54" s="194"/>
      <c r="T54" s="194"/>
      <c r="U54" s="194"/>
    </row>
    <row r="55" spans="1:21" s="12" customFormat="1" ht="15">
      <c r="A55" s="206" t="s">
        <v>290</v>
      </c>
      <c r="B55" s="54">
        <v>1.52</v>
      </c>
      <c r="C55" s="54">
        <v>24.41</v>
      </c>
      <c r="D55" s="54">
        <v>25.92</v>
      </c>
      <c r="E55" s="54">
        <v>6.77</v>
      </c>
      <c r="F55" s="54">
        <v>1.91</v>
      </c>
      <c r="G55" s="9" t="s">
        <v>36</v>
      </c>
      <c r="H55" s="54">
        <v>20.23</v>
      </c>
      <c r="I55" s="54">
        <v>8.73</v>
      </c>
      <c r="J55" s="54">
        <v>1.86</v>
      </c>
      <c r="K55" s="54">
        <v>323.87</v>
      </c>
      <c r="L55" s="54">
        <v>27.18</v>
      </c>
      <c r="M55" s="54">
        <v>63.84</v>
      </c>
      <c r="N55" s="54">
        <v>1169.0999999999999</v>
      </c>
      <c r="O55" s="54">
        <v>0</v>
      </c>
      <c r="P55" s="54">
        <v>3.28</v>
      </c>
      <c r="Q55" s="54">
        <v>17.45</v>
      </c>
      <c r="R55" s="194"/>
      <c r="S55" s="194"/>
      <c r="T55" s="194"/>
      <c r="U55" s="194"/>
    </row>
    <row r="56" spans="1:21" s="12" customFormat="1" ht="15">
      <c r="A56" s="206" t="s">
        <v>291</v>
      </c>
      <c r="B56" s="54">
        <v>1.37</v>
      </c>
      <c r="C56" s="54">
        <v>24.83</v>
      </c>
      <c r="D56" s="54">
        <v>26.20</v>
      </c>
      <c r="E56" s="54">
        <v>3.5</v>
      </c>
      <c r="F56" s="54">
        <v>1.91</v>
      </c>
      <c r="G56" s="9" t="s">
        <v>36</v>
      </c>
      <c r="H56" s="54">
        <v>20.23</v>
      </c>
      <c r="I56" s="54">
        <v>8.77</v>
      </c>
      <c r="J56" s="54">
        <v>0.51</v>
      </c>
      <c r="K56" s="54">
        <v>262.20999999999998</v>
      </c>
      <c r="L56" s="54">
        <v>28.08</v>
      </c>
      <c r="M56" s="54">
        <v>65.39</v>
      </c>
      <c r="N56" s="54">
        <v>908.30</v>
      </c>
      <c r="O56" s="54">
        <v>0</v>
      </c>
      <c r="P56" s="54">
        <v>3.24</v>
      </c>
      <c r="Q56" s="54">
        <v>15.67</v>
      </c>
      <c r="R56" s="194"/>
      <c r="S56" s="194"/>
      <c r="T56" s="194"/>
      <c r="U56" s="194"/>
    </row>
    <row r="57" spans="1:21" s="12" customFormat="1" ht="15">
      <c r="A57" s="206" t="s">
        <v>292</v>
      </c>
      <c r="B57" s="54">
        <v>1.23</v>
      </c>
      <c r="C57" s="54">
        <v>24.74</v>
      </c>
      <c r="D57" s="54">
        <v>25.96</v>
      </c>
      <c r="E57" s="54">
        <v>6.13</v>
      </c>
      <c r="F57" s="54">
        <v>1.97</v>
      </c>
      <c r="G57" s="9" t="s">
        <v>36</v>
      </c>
      <c r="H57" s="54">
        <v>21.29</v>
      </c>
      <c r="I57" s="54">
        <v>8.7799999999999994</v>
      </c>
      <c r="J57" s="54">
        <v>1.29</v>
      </c>
      <c r="K57" s="54">
        <v>348.79</v>
      </c>
      <c r="L57" s="54">
        <v>30.33</v>
      </c>
      <c r="M57" s="54">
        <v>64.70</v>
      </c>
      <c r="N57" s="54">
        <v>1124.70</v>
      </c>
      <c r="O57" s="54">
        <v>0</v>
      </c>
      <c r="P57" s="54">
        <v>3.18</v>
      </c>
      <c r="Q57" s="54">
        <v>14.38</v>
      </c>
      <c r="R57" s="194"/>
      <c r="S57" s="194"/>
      <c r="T57" s="194"/>
      <c r="U57" s="194"/>
    </row>
    <row r="58" spans="1:21" s="12" customFormat="1" ht="15">
      <c r="A58" s="206" t="s">
        <v>293</v>
      </c>
      <c r="B58" s="54">
        <v>1.1100000000000001</v>
      </c>
      <c r="C58" s="54">
        <v>25.04</v>
      </c>
      <c r="D58" s="54">
        <v>26.15</v>
      </c>
      <c r="E58" s="54">
        <v>6.94</v>
      </c>
      <c r="F58" s="54">
        <v>2.0299999999999998</v>
      </c>
      <c r="G58" s="9" t="s">
        <v>36</v>
      </c>
      <c r="H58" s="54">
        <v>23.91</v>
      </c>
      <c r="I58" s="54">
        <v>8.75</v>
      </c>
      <c r="J58" s="54">
        <v>1.1399999999999999</v>
      </c>
      <c r="K58" s="54">
        <v>331.20</v>
      </c>
      <c r="L58" s="54">
        <v>29.27</v>
      </c>
      <c r="M58" s="54">
        <v>65.17</v>
      </c>
      <c r="N58" s="54">
        <v>1046.4000000000001</v>
      </c>
      <c r="O58" s="54">
        <v>0</v>
      </c>
      <c r="P58" s="54">
        <v>3.15</v>
      </c>
      <c r="Q58" s="54">
        <v>13.79</v>
      </c>
      <c r="R58" s="194"/>
      <c r="S58" s="194"/>
      <c r="T58" s="194"/>
      <c r="U58" s="194"/>
    </row>
    <row r="59" spans="1:21" s="12" customFormat="1" ht="15">
      <c r="A59" s="206" t="s">
        <v>294</v>
      </c>
      <c r="B59" s="54">
        <v>0.99</v>
      </c>
      <c r="C59" s="54">
        <v>25.17</v>
      </c>
      <c r="D59" s="54">
        <v>26.16</v>
      </c>
      <c r="E59" s="54">
        <v>6.31</v>
      </c>
      <c r="F59" s="54">
        <v>2.08</v>
      </c>
      <c r="G59" s="9" t="s">
        <v>36</v>
      </c>
      <c r="H59" s="54">
        <v>23.91</v>
      </c>
      <c r="I59" s="54">
        <v>8.69</v>
      </c>
      <c r="J59" s="54">
        <v>0.11</v>
      </c>
      <c r="K59" s="54">
        <v>297.12</v>
      </c>
      <c r="L59" s="54">
        <v>26.75</v>
      </c>
      <c r="M59" s="54">
        <v>66.099999999999994</v>
      </c>
      <c r="N59" s="54">
        <v>1001.30</v>
      </c>
      <c r="O59" s="54">
        <v>0</v>
      </c>
      <c r="P59" s="54">
        <v>3.13</v>
      </c>
      <c r="Q59" s="54">
        <v>13.27</v>
      </c>
      <c r="R59" s="194"/>
      <c r="S59" s="194"/>
      <c r="T59" s="194"/>
      <c r="U59" s="194"/>
    </row>
    <row r="60" spans="1:21" s="12" customFormat="1" ht="15">
      <c r="A60" s="206" t="s">
        <v>295</v>
      </c>
      <c r="B60" s="54">
        <v>0.84</v>
      </c>
      <c r="C60" s="54">
        <v>25.04</v>
      </c>
      <c r="D60" s="54">
        <v>25.87</v>
      </c>
      <c r="E60" s="54">
        <v>6.63</v>
      </c>
      <c r="F60" s="54">
        <v>2.5099999999999998</v>
      </c>
      <c r="G60" s="9" t="s">
        <v>36</v>
      </c>
      <c r="H60" s="54">
        <v>23.91</v>
      </c>
      <c r="I60" s="54">
        <v>8.68</v>
      </c>
      <c r="J60" s="54">
        <v>0.96</v>
      </c>
      <c r="K60" s="54">
        <v>357.74</v>
      </c>
      <c r="L60" s="54">
        <v>23.98</v>
      </c>
      <c r="M60" s="54">
        <v>65.790000000000006</v>
      </c>
      <c r="N60" s="54">
        <v>1043.5</v>
      </c>
      <c r="O60" s="54">
        <v>0</v>
      </c>
      <c r="P60" s="54">
        <v>3.12</v>
      </c>
      <c r="Q60" s="54">
        <v>12.71</v>
      </c>
      <c r="R60" s="194"/>
      <c r="S60" s="194"/>
      <c r="T60" s="194"/>
      <c r="U60" s="194"/>
    </row>
    <row r="61" spans="1:21" s="12" customFormat="1" ht="15">
      <c r="A61" s="206" t="s">
        <v>296</v>
      </c>
      <c r="B61" s="54">
        <v>0.68</v>
      </c>
      <c r="C61" s="54">
        <v>24.63</v>
      </c>
      <c r="D61" s="54">
        <v>25.30</v>
      </c>
      <c r="E61" s="54">
        <v>6.29</v>
      </c>
      <c r="F61" s="54">
        <v>2.76</v>
      </c>
      <c r="G61" s="9" t="s">
        <v>36</v>
      </c>
      <c r="H61" s="54">
        <v>22.78</v>
      </c>
      <c r="I61" s="54">
        <v>8.90</v>
      </c>
      <c r="J61" s="54">
        <v>1.74</v>
      </c>
      <c r="K61" s="54">
        <v>310.93</v>
      </c>
      <c r="L61" s="54">
        <v>24.24</v>
      </c>
      <c r="M61" s="54">
        <v>64.39</v>
      </c>
      <c r="N61" s="54">
        <v>991.80</v>
      </c>
      <c r="O61" s="54">
        <v>0</v>
      </c>
      <c r="P61" s="54">
        <v>3.11</v>
      </c>
      <c r="Q61" s="54">
        <v>12.77</v>
      </c>
      <c r="R61" s="194"/>
      <c r="S61" s="194"/>
      <c r="T61" s="194"/>
      <c r="U61" s="194"/>
    </row>
    <row r="62" spans="1:21" s="12" customFormat="1" ht="15">
      <c r="A62" s="206" t="s">
        <v>297</v>
      </c>
      <c r="B62" s="54">
        <v>0.56999999999999995</v>
      </c>
      <c r="C62" s="54">
        <v>25</v>
      </c>
      <c r="D62" s="54">
        <v>25.56</v>
      </c>
      <c r="E62" s="54">
        <v>6.54</v>
      </c>
      <c r="F62" s="54">
        <v>2.62</v>
      </c>
      <c r="G62" s="9" t="s">
        <v>36</v>
      </c>
      <c r="H62" s="54">
        <v>19.989999999999998</v>
      </c>
      <c r="I62" s="54">
        <v>9.02</v>
      </c>
      <c r="J62" s="54">
        <v>0.88</v>
      </c>
      <c r="K62" s="54">
        <v>345.86</v>
      </c>
      <c r="L62" s="54">
        <v>24</v>
      </c>
      <c r="M62" s="54">
        <v>63.72</v>
      </c>
      <c r="N62" s="54">
        <v>948.80</v>
      </c>
      <c r="O62" s="54">
        <v>0</v>
      </c>
      <c r="P62" s="54">
        <v>3.13</v>
      </c>
      <c r="Q62" s="54">
        <v>13.93</v>
      </c>
      <c r="R62" s="194"/>
      <c r="S62" s="194"/>
      <c r="T62" s="194"/>
      <c r="U62" s="194"/>
    </row>
    <row r="63" spans="1:21" s="12" customFormat="1" ht="15">
      <c r="A63" s="206" t="s">
        <v>298</v>
      </c>
      <c r="B63" s="54">
        <v>0.61</v>
      </c>
      <c r="C63" s="54">
        <v>25.87</v>
      </c>
      <c r="D63" s="54">
        <v>26.48</v>
      </c>
      <c r="E63" s="54">
        <v>6.69</v>
      </c>
      <c r="F63" s="54">
        <v>2.2999999999999998</v>
      </c>
      <c r="G63" s="9" t="s">
        <v>36</v>
      </c>
      <c r="H63" s="54">
        <v>19.989999999999998</v>
      </c>
      <c r="I63" s="54">
        <v>9.14</v>
      </c>
      <c r="J63" s="54">
        <v>2.72</v>
      </c>
      <c r="K63" s="54">
        <v>320.45999999999998</v>
      </c>
      <c r="L63" s="54">
        <v>24.92</v>
      </c>
      <c r="M63" s="54">
        <v>62.41</v>
      </c>
      <c r="N63" s="54">
        <v>984.60</v>
      </c>
      <c r="O63" s="54">
        <v>0</v>
      </c>
      <c r="P63" s="54">
        <v>3.12</v>
      </c>
      <c r="Q63" s="54">
        <v>16.079999999999998</v>
      </c>
      <c r="R63" s="194"/>
      <c r="S63" s="194"/>
      <c r="T63" s="194"/>
      <c r="U63" s="194"/>
    </row>
    <row r="64" spans="1:21" s="12" customFormat="1" ht="15">
      <c r="A64" s="206" t="s">
        <v>299</v>
      </c>
      <c r="B64" s="54">
        <v>0.77</v>
      </c>
      <c r="C64" s="54">
        <v>26.88</v>
      </c>
      <c r="D64" s="54">
        <v>27.65</v>
      </c>
      <c r="E64" s="54">
        <v>6.79</v>
      </c>
      <c r="F64" s="54">
        <v>2.17</v>
      </c>
      <c r="G64" s="9" t="s">
        <v>36</v>
      </c>
      <c r="H64" s="54">
        <v>19.989999999999998</v>
      </c>
      <c r="I64" s="54">
        <v>9.2200000000000006</v>
      </c>
      <c r="J64" s="54">
        <v>1.35</v>
      </c>
      <c r="K64" s="54">
        <v>312.85000000000002</v>
      </c>
      <c r="L64" s="54">
        <v>24.66</v>
      </c>
      <c r="M64" s="54">
        <v>62.80</v>
      </c>
      <c r="N64" s="54">
        <v>1008.5</v>
      </c>
      <c r="O64" s="54">
        <v>0</v>
      </c>
      <c r="P64" s="54">
        <v>3.15</v>
      </c>
      <c r="Q64" s="54">
        <v>19.28</v>
      </c>
      <c r="R64" s="194"/>
      <c r="S64" s="194"/>
      <c r="T64" s="194"/>
      <c r="U64" s="194"/>
    </row>
    <row r="65" spans="1:21" s="12" customFormat="1" ht="15">
      <c r="A65" s="206" t="s">
        <v>300</v>
      </c>
      <c r="B65" s="54">
        <v>0.82</v>
      </c>
      <c r="C65" s="54">
        <v>27.76</v>
      </c>
      <c r="D65" s="54">
        <v>28.59</v>
      </c>
      <c r="E65" s="54">
        <v>6.78</v>
      </c>
      <c r="F65" s="54">
        <v>2.2599999999999998</v>
      </c>
      <c r="G65" s="9" t="s">
        <v>36</v>
      </c>
      <c r="H65" s="54">
        <v>21.44</v>
      </c>
      <c r="I65" s="54">
        <v>9.48</v>
      </c>
      <c r="J65" s="54">
        <v>1.24</v>
      </c>
      <c r="K65" s="54">
        <v>303.87</v>
      </c>
      <c r="L65" s="54">
        <v>25.16</v>
      </c>
      <c r="M65" s="54">
        <v>62.67</v>
      </c>
      <c r="N65" s="54">
        <v>1136</v>
      </c>
      <c r="O65" s="54">
        <v>0</v>
      </c>
      <c r="P65" s="54">
        <v>3.20</v>
      </c>
      <c r="Q65" s="54">
        <v>23</v>
      </c>
      <c r="R65" s="194"/>
      <c r="S65" s="194"/>
      <c r="T65" s="194"/>
      <c r="U65" s="194"/>
    </row>
    <row r="66" spans="1:21" s="12" customFormat="1" ht="15">
      <c r="A66" s="206" t="s">
        <v>301</v>
      </c>
      <c r="B66" s="54">
        <v>0.92</v>
      </c>
      <c r="C66" s="54">
        <v>28.71</v>
      </c>
      <c r="D66" s="54">
        <v>29.63</v>
      </c>
      <c r="E66" s="54">
        <v>7.42</v>
      </c>
      <c r="F66" s="54">
        <v>2.21</v>
      </c>
      <c r="G66" s="9" t="s">
        <v>36</v>
      </c>
      <c r="H66" s="54">
        <v>25</v>
      </c>
      <c r="I66" s="54">
        <v>9.59</v>
      </c>
      <c r="J66" s="54">
        <v>0.79</v>
      </c>
      <c r="K66" s="54">
        <v>276.01</v>
      </c>
      <c r="L66" s="54">
        <v>25.82</v>
      </c>
      <c r="M66" s="54">
        <v>60.51</v>
      </c>
      <c r="N66" s="54">
        <v>1134.70</v>
      </c>
      <c r="O66" s="54">
        <v>0</v>
      </c>
      <c r="P66" s="54">
        <v>3.24</v>
      </c>
      <c r="Q66" s="54">
        <v>27.03</v>
      </c>
      <c r="R66" s="194"/>
      <c r="S66" s="194"/>
      <c r="T66" s="194"/>
      <c r="U66" s="194"/>
    </row>
    <row r="67" spans="1:21" s="12" customFormat="1" ht="15">
      <c r="A67" s="206" t="s">
        <v>302</v>
      </c>
      <c r="B67" s="54">
        <v>0.67</v>
      </c>
      <c r="C67" s="54">
        <v>28.98</v>
      </c>
      <c r="D67" s="54">
        <v>29.65</v>
      </c>
      <c r="E67" s="54">
        <v>7.78</v>
      </c>
      <c r="F67" s="54">
        <v>2.5499999999999998</v>
      </c>
      <c r="G67" s="9" t="s">
        <v>36</v>
      </c>
      <c r="H67" s="54">
        <v>25</v>
      </c>
      <c r="I67" s="54">
        <v>9.66</v>
      </c>
      <c r="J67" s="54">
        <v>1.23</v>
      </c>
      <c r="K67" s="54">
        <v>230.77</v>
      </c>
      <c r="L67" s="54">
        <v>26.91</v>
      </c>
      <c r="M67" s="54">
        <v>61.68</v>
      </c>
      <c r="N67" s="54">
        <v>1143.30</v>
      </c>
      <c r="O67" s="54">
        <v>0</v>
      </c>
      <c r="P67" s="54">
        <v>3.23</v>
      </c>
      <c r="Q67" s="54">
        <v>30.23</v>
      </c>
      <c r="R67" s="194"/>
      <c r="S67" s="194"/>
      <c r="T67" s="194"/>
      <c r="U67" s="194"/>
    </row>
    <row r="68" spans="1:21" s="12" customFormat="1" ht="15">
      <c r="A68" s="206" t="s">
        <v>303</v>
      </c>
      <c r="B68" s="54">
        <v>0.59</v>
      </c>
      <c r="C68" s="54">
        <v>29</v>
      </c>
      <c r="D68" s="54">
        <v>29.59</v>
      </c>
      <c r="E68" s="54">
        <v>8.19</v>
      </c>
      <c r="F68" s="54">
        <v>2.4900000000000002</v>
      </c>
      <c r="G68" s="9" t="s">
        <v>36</v>
      </c>
      <c r="H68" s="54">
        <v>25</v>
      </c>
      <c r="I68" s="54">
        <v>9.84</v>
      </c>
      <c r="J68" s="54">
        <v>0.79</v>
      </c>
      <c r="K68" s="54">
        <v>287.27999999999997</v>
      </c>
      <c r="L68" s="54">
        <v>27.55</v>
      </c>
      <c r="M68" s="54">
        <v>61.04</v>
      </c>
      <c r="N68" s="54">
        <v>1066.9000000000001</v>
      </c>
      <c r="O68" s="54">
        <v>0</v>
      </c>
      <c r="P68" s="54">
        <v>3.23</v>
      </c>
      <c r="Q68" s="54">
        <v>33.97</v>
      </c>
      <c r="R68" s="194"/>
      <c r="S68" s="194"/>
      <c r="T68" s="194"/>
      <c r="U68" s="194"/>
    </row>
    <row r="69" spans="1:21" s="12" customFormat="1" ht="15">
      <c r="A69" s="206" t="s">
        <v>304</v>
      </c>
      <c r="B69" s="54">
        <v>0.88</v>
      </c>
      <c r="C69" s="54">
        <v>29.96</v>
      </c>
      <c r="D69" s="54">
        <v>30.84</v>
      </c>
      <c r="E69" s="54">
        <v>8.7100000000000009</v>
      </c>
      <c r="F69" s="54">
        <v>2.4500000000000002</v>
      </c>
      <c r="G69" s="9" t="s">
        <v>36</v>
      </c>
      <c r="H69" s="54">
        <v>23.92</v>
      </c>
      <c r="I69" s="54">
        <v>10.039999999999999</v>
      </c>
      <c r="J69" s="54">
        <v>1.45</v>
      </c>
      <c r="K69" s="54">
        <v>302.08999999999997</v>
      </c>
      <c r="L69" s="54">
        <v>28.48</v>
      </c>
      <c r="M69" s="54">
        <v>58.51</v>
      </c>
      <c r="N69" s="54">
        <v>1280.4000000000001</v>
      </c>
      <c r="O69" s="54">
        <v>0</v>
      </c>
      <c r="P69" s="54">
        <v>3.28</v>
      </c>
      <c r="Q69" s="54">
        <v>37.119999999999997</v>
      </c>
      <c r="R69" s="194"/>
      <c r="S69" s="194"/>
      <c r="T69" s="194"/>
      <c r="U69" s="194"/>
    </row>
    <row r="70" spans="1:21" s="12" customFormat="1" ht="15">
      <c r="A70" s="206" t="s">
        <v>305</v>
      </c>
      <c r="B70" s="54">
        <v>0.82</v>
      </c>
      <c r="C70" s="54">
        <v>30.77</v>
      </c>
      <c r="D70" s="54">
        <v>31.58</v>
      </c>
      <c r="E70" s="54">
        <v>8.7899999999999991</v>
      </c>
      <c r="F70" s="54">
        <v>2.5</v>
      </c>
      <c r="G70" s="9" t="s">
        <v>36</v>
      </c>
      <c r="H70" s="54">
        <v>21.23</v>
      </c>
      <c r="I70" s="54">
        <v>10.210000000000001</v>
      </c>
      <c r="J70" s="54">
        <v>0.18</v>
      </c>
      <c r="K70" s="54">
        <v>222.98</v>
      </c>
      <c r="L70" s="54">
        <v>28.69</v>
      </c>
      <c r="M70" s="54">
        <v>58.52</v>
      </c>
      <c r="N70" s="54">
        <v>1156</v>
      </c>
      <c r="O70" s="54">
        <v>0</v>
      </c>
      <c r="P70" s="54">
        <v>3.26</v>
      </c>
      <c r="Q70" s="54">
        <v>39.71</v>
      </c>
      <c r="R70" s="194"/>
      <c r="S70" s="194"/>
      <c r="T70" s="194"/>
      <c r="U70" s="194"/>
    </row>
    <row r="71" spans="1:21" s="12" customFormat="1" ht="15">
      <c r="A71" s="206" t="s">
        <v>306</v>
      </c>
      <c r="B71" s="54">
        <v>0.68</v>
      </c>
      <c r="C71" s="54">
        <v>25.55</v>
      </c>
      <c r="D71" s="54">
        <v>26.22</v>
      </c>
      <c r="E71" s="54">
        <v>8.4700000000000006</v>
      </c>
      <c r="F71" s="54">
        <v>4.21</v>
      </c>
      <c r="G71" s="9" t="s">
        <v>36</v>
      </c>
      <c r="H71" s="54">
        <v>21.23</v>
      </c>
      <c r="I71" s="54">
        <v>10.36</v>
      </c>
      <c r="J71" s="54">
        <v>0.56999999999999995</v>
      </c>
      <c r="K71" s="54">
        <v>347.48</v>
      </c>
      <c r="L71" s="54">
        <v>25.25</v>
      </c>
      <c r="M71" s="54">
        <v>59.84</v>
      </c>
      <c r="N71" s="54">
        <v>898.70</v>
      </c>
      <c r="O71" s="54">
        <v>0</v>
      </c>
      <c r="P71" s="54">
        <v>3.21</v>
      </c>
      <c r="Q71" s="54">
        <v>39.979999999999997</v>
      </c>
      <c r="R71" s="194"/>
      <c r="S71" s="194"/>
      <c r="T71" s="194"/>
      <c r="U71" s="194"/>
    </row>
    <row r="72" spans="1:21" s="12" customFormat="1" ht="15">
      <c r="A72" s="206" t="s">
        <v>307</v>
      </c>
      <c r="B72" s="54">
        <v>0.74</v>
      </c>
      <c r="C72" s="54">
        <v>21.64</v>
      </c>
      <c r="D72" s="54">
        <v>22.38</v>
      </c>
      <c r="E72" s="54">
        <v>4.68</v>
      </c>
      <c r="F72" s="54">
        <v>3.91</v>
      </c>
      <c r="G72" s="9" t="s">
        <v>36</v>
      </c>
      <c r="H72" s="54">
        <v>21.23</v>
      </c>
      <c r="I72" s="54">
        <v>10.28</v>
      </c>
      <c r="J72" s="54">
        <v>2.02</v>
      </c>
      <c r="K72" s="54">
        <v>309.01</v>
      </c>
      <c r="L72" s="54">
        <v>26.10</v>
      </c>
      <c r="M72" s="54">
        <v>59.27</v>
      </c>
      <c r="N72" s="54">
        <v>1105.4000000000001</v>
      </c>
      <c r="O72" s="54">
        <v>0</v>
      </c>
      <c r="P72" s="54">
        <v>3.17</v>
      </c>
      <c r="Q72" s="54">
        <v>35.35</v>
      </c>
      <c r="R72" s="194"/>
      <c r="S72" s="194"/>
      <c r="T72" s="194"/>
      <c r="U72" s="194"/>
    </row>
    <row r="73" spans="1:21" s="12" customFormat="1" ht="15">
      <c r="A73" s="206" t="s">
        <v>308</v>
      </c>
      <c r="B73" s="54">
        <v>1.25</v>
      </c>
      <c r="C73" s="54">
        <v>21.63</v>
      </c>
      <c r="D73" s="54">
        <v>22.88</v>
      </c>
      <c r="E73" s="54">
        <v>8.73</v>
      </c>
      <c r="F73" s="54">
        <v>2.75</v>
      </c>
      <c r="G73" s="9" t="s">
        <v>36</v>
      </c>
      <c r="H73" s="54">
        <v>23.60</v>
      </c>
      <c r="I73" s="54">
        <v>9.6999999999999993</v>
      </c>
      <c r="J73" s="54">
        <v>3.34</v>
      </c>
      <c r="K73" s="54">
        <v>315.97000000000003</v>
      </c>
      <c r="L73" s="54">
        <v>30.35</v>
      </c>
      <c r="M73" s="54">
        <v>57.98</v>
      </c>
      <c r="N73" s="54">
        <v>1029.9000000000001</v>
      </c>
      <c r="O73" s="54">
        <v>0</v>
      </c>
      <c r="P73" s="54">
        <v>3.15</v>
      </c>
      <c r="Q73" s="54">
        <v>29.07</v>
      </c>
      <c r="R73" s="194"/>
      <c r="S73" s="194"/>
      <c r="T73" s="194"/>
      <c r="U73" s="194"/>
    </row>
    <row r="74" spans="1:21" s="12" customFormat="1" ht="15">
      <c r="A74" s="206" t="s">
        <v>309</v>
      </c>
      <c r="B74" s="54">
        <v>2.57</v>
      </c>
      <c r="C74" s="54">
        <v>24.02</v>
      </c>
      <c r="D74" s="54">
        <v>26.59</v>
      </c>
      <c r="E74" s="54">
        <v>9.14</v>
      </c>
      <c r="F74" s="54">
        <v>1.87</v>
      </c>
      <c r="G74" s="9" t="s">
        <v>36</v>
      </c>
      <c r="H74" s="54">
        <v>29.41</v>
      </c>
      <c r="I74" s="54">
        <v>9.2899999999999991</v>
      </c>
      <c r="J74" s="54">
        <v>1.21</v>
      </c>
      <c r="K74" s="54">
        <v>353.90</v>
      </c>
      <c r="L74" s="54">
        <v>26.38</v>
      </c>
      <c r="M74" s="54">
        <v>58.5</v>
      </c>
      <c r="N74" s="54">
        <v>1000.90</v>
      </c>
      <c r="O74" s="54">
        <v>0</v>
      </c>
      <c r="P74" s="54">
        <v>3.13</v>
      </c>
      <c r="Q74" s="54">
        <v>25.83</v>
      </c>
      <c r="R74" s="194"/>
      <c r="S74" s="194"/>
      <c r="T74" s="194"/>
      <c r="U74" s="194"/>
    </row>
    <row r="75" spans="1:21" s="12" customFormat="1" ht="15">
      <c r="A75" s="206" t="s">
        <v>310</v>
      </c>
      <c r="B75" s="54">
        <v>2.25</v>
      </c>
      <c r="C75" s="54">
        <v>24.82</v>
      </c>
      <c r="D75" s="54">
        <v>27.07</v>
      </c>
      <c r="E75" s="54">
        <v>8.8800000000000008</v>
      </c>
      <c r="F75" s="54">
        <v>2.0299999999999998</v>
      </c>
      <c r="G75" s="9" t="s">
        <v>36</v>
      </c>
      <c r="H75" s="54">
        <v>29.41</v>
      </c>
      <c r="I75" s="54">
        <v>9.2100000000000009</v>
      </c>
      <c r="J75" s="54">
        <v>0.53</v>
      </c>
      <c r="K75" s="54">
        <v>335.06</v>
      </c>
      <c r="L75" s="54">
        <v>24.94</v>
      </c>
      <c r="M75" s="54">
        <v>59.21</v>
      </c>
      <c r="N75" s="54">
        <v>768.20</v>
      </c>
      <c r="O75" s="54">
        <v>0</v>
      </c>
      <c r="P75" s="54">
        <v>3.09</v>
      </c>
      <c r="Q75" s="54">
        <v>22.07</v>
      </c>
      <c r="R75" s="194"/>
      <c r="S75" s="194"/>
      <c r="T75" s="194"/>
      <c r="U75" s="194"/>
    </row>
    <row r="76" spans="1:21" s="12" customFormat="1" ht="15">
      <c r="A76" s="206" t="s">
        <v>311</v>
      </c>
      <c r="B76" s="54">
        <v>1.77</v>
      </c>
      <c r="C76" s="54">
        <v>26.04</v>
      </c>
      <c r="D76" s="54">
        <v>27.81</v>
      </c>
      <c r="E76" s="54">
        <v>8.8000000000000007</v>
      </c>
      <c r="F76" s="54">
        <v>1.68</v>
      </c>
      <c r="G76" s="9" t="s">
        <v>36</v>
      </c>
      <c r="H76" s="54">
        <v>29.41</v>
      </c>
      <c r="I76" s="54">
        <v>8.98</v>
      </c>
      <c r="J76" s="54">
        <v>0.49</v>
      </c>
      <c r="K76" s="54">
        <v>34.15</v>
      </c>
      <c r="L76" s="54">
        <v>24.90</v>
      </c>
      <c r="M76" s="54">
        <v>59.66</v>
      </c>
      <c r="N76" s="54">
        <v>785.70</v>
      </c>
      <c r="O76" s="54">
        <v>0</v>
      </c>
      <c r="P76" s="54">
        <v>3.05</v>
      </c>
      <c r="Q76" s="54">
        <v>19.399999999999999</v>
      </c>
      <c r="R76" s="194"/>
      <c r="S76" s="194"/>
      <c r="T76" s="194"/>
      <c r="U76" s="194"/>
    </row>
    <row r="77" spans="1:21" s="12" customFormat="1" ht="15">
      <c r="A77" s="206" t="s">
        <v>312</v>
      </c>
      <c r="B77" s="54">
        <v>1.47</v>
      </c>
      <c r="C77" s="54">
        <v>25.87</v>
      </c>
      <c r="D77" s="54">
        <v>27.34</v>
      </c>
      <c r="E77" s="54">
        <v>9.0299999999999994</v>
      </c>
      <c r="F77" s="54">
        <v>1.81</v>
      </c>
      <c r="G77" s="9" t="s">
        <v>36</v>
      </c>
      <c r="H77" s="54">
        <v>29.96</v>
      </c>
      <c r="I77" s="54">
        <v>8.6199999999999992</v>
      </c>
      <c r="J77" s="54">
        <v>0.54</v>
      </c>
      <c r="K77" s="54">
        <v>271.45999999999998</v>
      </c>
      <c r="L77" s="54">
        <v>24.5</v>
      </c>
      <c r="M77" s="54">
        <v>60.08</v>
      </c>
      <c r="N77" s="54">
        <v>747.70</v>
      </c>
      <c r="O77" s="54">
        <v>0</v>
      </c>
      <c r="P77" s="54">
        <v>3.04</v>
      </c>
      <c r="Q77" s="54">
        <v>17.86</v>
      </c>
      <c r="R77" s="194"/>
      <c r="S77" s="194"/>
      <c r="T77" s="194"/>
      <c r="U77" s="194"/>
    </row>
    <row r="78" spans="1:21" s="12" customFormat="1" ht="15">
      <c r="A78" s="206" t="s">
        <v>313</v>
      </c>
      <c r="B78" s="54">
        <v>1.23</v>
      </c>
      <c r="C78" s="54">
        <v>25.54</v>
      </c>
      <c r="D78" s="54">
        <v>26.78</v>
      </c>
      <c r="E78" s="54">
        <v>8.5</v>
      </c>
      <c r="F78" s="54">
        <v>2.2000000000000002</v>
      </c>
      <c r="G78" s="9" t="s">
        <v>36</v>
      </c>
      <c r="H78" s="54">
        <v>31.29</v>
      </c>
      <c r="I78" s="54">
        <v>8.52</v>
      </c>
      <c r="J78" s="54">
        <v>0.44</v>
      </c>
      <c r="K78" s="54">
        <v>264.63</v>
      </c>
      <c r="L78" s="54">
        <v>25.19</v>
      </c>
      <c r="M78" s="54">
        <v>60.21</v>
      </c>
      <c r="N78" s="54">
        <v>650.20000000000005</v>
      </c>
      <c r="O78" s="54">
        <v>0</v>
      </c>
      <c r="P78" s="54">
        <v>3.03</v>
      </c>
      <c r="Q78" s="54">
        <v>17.41</v>
      </c>
      <c r="R78" s="194"/>
      <c r="S78" s="194"/>
      <c r="T78" s="194"/>
      <c r="U78" s="194"/>
    </row>
    <row r="79" spans="1:21" s="12" customFormat="1" ht="15">
      <c r="A79" s="206" t="s">
        <v>314</v>
      </c>
      <c r="B79" s="54">
        <v>1.1599999999999999</v>
      </c>
      <c r="C79" s="54">
        <v>26.02</v>
      </c>
      <c r="D79" s="54">
        <v>27.18</v>
      </c>
      <c r="E79" s="54">
        <v>8.73</v>
      </c>
      <c r="F79" s="54">
        <v>2.21</v>
      </c>
      <c r="G79" s="9" t="s">
        <v>36</v>
      </c>
      <c r="H79" s="54">
        <v>31.29</v>
      </c>
      <c r="I79" s="54">
        <v>8.8800000000000008</v>
      </c>
      <c r="J79" s="54">
        <v>0.98</v>
      </c>
      <c r="K79" s="54">
        <v>13.17</v>
      </c>
      <c r="L79" s="54">
        <v>26.08</v>
      </c>
      <c r="M79" s="54">
        <v>60.08</v>
      </c>
      <c r="N79" s="54">
        <v>680.70</v>
      </c>
      <c r="O79" s="54">
        <v>0</v>
      </c>
      <c r="P79" s="54">
        <v>3.03</v>
      </c>
      <c r="Q79" s="54">
        <v>17.97</v>
      </c>
      <c r="R79" s="194"/>
      <c r="S79" s="194"/>
      <c r="T79" s="194"/>
      <c r="U79" s="194"/>
    </row>
    <row r="80" spans="1:21" s="12" customFormat="1" ht="15">
      <c r="A80" s="206" t="s">
        <v>315</v>
      </c>
      <c r="B80" s="54">
        <v>1.5</v>
      </c>
      <c r="C80" s="54">
        <v>28.04</v>
      </c>
      <c r="D80" s="54">
        <v>29.54</v>
      </c>
      <c r="E80" s="54">
        <v>8.68</v>
      </c>
      <c r="F80" s="54">
        <v>1.75</v>
      </c>
      <c r="G80" s="9" t="s">
        <v>36</v>
      </c>
      <c r="H80" s="54">
        <v>31.29</v>
      </c>
      <c r="I80" s="54">
        <v>9.26</v>
      </c>
      <c r="J80" s="54">
        <v>2.2400000000000002</v>
      </c>
      <c r="K80" s="54">
        <v>336.76</v>
      </c>
      <c r="L80" s="54">
        <v>26.48</v>
      </c>
      <c r="M80" s="54">
        <v>61.04</v>
      </c>
      <c r="N80" s="54">
        <v>637.90</v>
      </c>
      <c r="O80" s="54">
        <v>0</v>
      </c>
      <c r="P80" s="54">
        <v>3.05</v>
      </c>
      <c r="Q80" s="54">
        <v>20.92</v>
      </c>
      <c r="R80" s="194"/>
      <c r="S80" s="194"/>
      <c r="T80" s="194"/>
      <c r="U80" s="194"/>
    </row>
    <row r="81" spans="1:21" s="12" customFormat="1" ht="15">
      <c r="A81" s="206" t="s">
        <v>316</v>
      </c>
      <c r="B81" s="54">
        <v>1.83</v>
      </c>
      <c r="C81" s="54">
        <v>29.46</v>
      </c>
      <c r="D81" s="54">
        <v>31.29</v>
      </c>
      <c r="E81" s="54">
        <v>8.61</v>
      </c>
      <c r="F81" s="54">
        <v>1.18</v>
      </c>
      <c r="G81" s="9" t="s">
        <v>36</v>
      </c>
      <c r="H81" s="54">
        <v>30.18</v>
      </c>
      <c r="I81" s="54">
        <v>9.59</v>
      </c>
      <c r="J81" s="54">
        <v>1.61</v>
      </c>
      <c r="K81" s="54">
        <v>16.87</v>
      </c>
      <c r="L81" s="54">
        <v>27.41</v>
      </c>
      <c r="M81" s="54">
        <v>60.96</v>
      </c>
      <c r="N81" s="54">
        <v>643.40</v>
      </c>
      <c r="O81" s="54">
        <v>0</v>
      </c>
      <c r="P81" s="54">
        <v>3.07</v>
      </c>
      <c r="Q81" s="54">
        <v>24.69</v>
      </c>
      <c r="R81" s="194"/>
      <c r="S81" s="194"/>
      <c r="T81" s="194"/>
      <c r="U81" s="194"/>
    </row>
    <row r="82" spans="1:21" s="12" customFormat="1" ht="15">
      <c r="A82" s="206" t="s">
        <v>317</v>
      </c>
      <c r="B82" s="54">
        <v>2.25</v>
      </c>
      <c r="C82" s="54">
        <v>31.11</v>
      </c>
      <c r="D82" s="54">
        <v>33.36</v>
      </c>
      <c r="E82" s="54">
        <v>8.48</v>
      </c>
      <c r="F82" s="54">
        <v>0.83</v>
      </c>
      <c r="G82" s="9" t="s">
        <v>36</v>
      </c>
      <c r="H82" s="54">
        <v>27.44</v>
      </c>
      <c r="I82" s="54">
        <v>9.81</v>
      </c>
      <c r="J82" s="54">
        <v>1.32</v>
      </c>
      <c r="K82" s="54">
        <v>339.90</v>
      </c>
      <c r="L82" s="54">
        <v>27.67</v>
      </c>
      <c r="M82" s="54">
        <v>61.99</v>
      </c>
      <c r="N82" s="54">
        <v>647.29999999999995</v>
      </c>
      <c r="O82" s="54">
        <v>0</v>
      </c>
      <c r="P82" s="54">
        <v>3.11</v>
      </c>
      <c r="Q82" s="54">
        <v>28.91</v>
      </c>
      <c r="R82" s="194"/>
      <c r="S82" s="194"/>
      <c r="T82" s="194"/>
      <c r="U82" s="194"/>
    </row>
    <row r="83" spans="1:21" s="12" customFormat="1" ht="15">
      <c r="A83" s="206" t="s">
        <v>318</v>
      </c>
      <c r="B83" s="54">
        <v>2.59</v>
      </c>
      <c r="C83" s="54">
        <v>32.43</v>
      </c>
      <c r="D83" s="54">
        <v>35.01</v>
      </c>
      <c r="E83" s="54">
        <v>8.6300000000000008</v>
      </c>
      <c r="F83" s="54">
        <v>0.85</v>
      </c>
      <c r="G83" s="9" t="s">
        <v>36</v>
      </c>
      <c r="H83" s="54">
        <v>27.44</v>
      </c>
      <c r="I83" s="54">
        <v>10.029999999999999</v>
      </c>
      <c r="J83" s="54">
        <v>0.52</v>
      </c>
      <c r="K83" s="54">
        <v>338.24</v>
      </c>
      <c r="L83" s="54">
        <v>27.71</v>
      </c>
      <c r="M83" s="54">
        <v>63.20</v>
      </c>
      <c r="N83" s="54">
        <v>654.5</v>
      </c>
      <c r="O83" s="54">
        <v>0</v>
      </c>
      <c r="P83" s="54">
        <v>3.14</v>
      </c>
      <c r="Q83" s="54">
        <v>33.17</v>
      </c>
      <c r="R83" s="194"/>
      <c r="S83" s="194"/>
      <c r="T83" s="194"/>
      <c r="U83" s="194"/>
    </row>
    <row r="84" spans="1:21" s="12" customFormat="1" ht="15">
      <c r="A84" s="206" t="s">
        <v>319</v>
      </c>
      <c r="B84" s="54">
        <v>2.66</v>
      </c>
      <c r="C84" s="54">
        <v>33.159999999999997</v>
      </c>
      <c r="D84" s="54">
        <v>35.83</v>
      </c>
      <c r="E84" s="54">
        <v>8.9499999999999993</v>
      </c>
      <c r="F84" s="54">
        <v>0.60</v>
      </c>
      <c r="G84" s="9" t="s">
        <v>36</v>
      </c>
      <c r="H84" s="54">
        <v>27.44</v>
      </c>
      <c r="I84" s="54">
        <v>10.36</v>
      </c>
      <c r="J84" s="54">
        <v>1.1100000000000001</v>
      </c>
      <c r="K84" s="54">
        <v>32.24</v>
      </c>
      <c r="L84" s="54">
        <v>25.37</v>
      </c>
      <c r="M84" s="54">
        <v>64.41</v>
      </c>
      <c r="N84" s="54">
        <v>660</v>
      </c>
      <c r="O84" s="54">
        <v>0</v>
      </c>
      <c r="P84" s="54">
        <v>3.20</v>
      </c>
      <c r="Q84" s="54">
        <v>38.56</v>
      </c>
      <c r="R84" s="194"/>
      <c r="S84" s="194"/>
      <c r="T84" s="194"/>
      <c r="U84" s="194"/>
    </row>
    <row r="85" spans="1:21" s="12" customFormat="1" ht="15">
      <c r="A85" s="206" t="s">
        <v>320</v>
      </c>
      <c r="B85" s="54">
        <v>2.85</v>
      </c>
      <c r="C85" s="54">
        <v>33.94</v>
      </c>
      <c r="D85" s="54">
        <v>36.79</v>
      </c>
      <c r="E85" s="54">
        <v>9.5500000000000007</v>
      </c>
      <c r="F85" s="54">
        <v>0.88</v>
      </c>
      <c r="G85" s="9" t="s">
        <v>36</v>
      </c>
      <c r="H85" s="54">
        <v>27.92</v>
      </c>
      <c r="I85" s="54">
        <v>10.89</v>
      </c>
      <c r="J85" s="54">
        <v>0.73</v>
      </c>
      <c r="K85" s="54">
        <v>16.21</v>
      </c>
      <c r="L85" s="54">
        <v>24.69</v>
      </c>
      <c r="M85" s="54">
        <v>64.78</v>
      </c>
      <c r="N85" s="54">
        <v>655.10</v>
      </c>
      <c r="O85" s="54">
        <v>0</v>
      </c>
      <c r="P85" s="54">
        <v>3.25</v>
      </c>
      <c r="Q85" s="54">
        <v>40.67</v>
      </c>
      <c r="R85" s="194"/>
      <c r="S85" s="194"/>
      <c r="T85" s="194"/>
      <c r="U85" s="194"/>
    </row>
    <row r="86" spans="1:21" s="12" customFormat="1" ht="15">
      <c r="A86" s="206" t="s">
        <v>321</v>
      </c>
      <c r="B86" s="54">
        <v>3.19</v>
      </c>
      <c r="C86" s="54">
        <v>34.229999999999997</v>
      </c>
      <c r="D86" s="54">
        <v>37.42</v>
      </c>
      <c r="E86" s="54">
        <v>9.7200000000000006</v>
      </c>
      <c r="F86" s="54">
        <v>1.20</v>
      </c>
      <c r="G86" s="9" t="s">
        <v>36</v>
      </c>
      <c r="H86" s="54">
        <v>29.11</v>
      </c>
      <c r="I86" s="54">
        <v>11.39</v>
      </c>
      <c r="J86" s="54">
        <v>1.25</v>
      </c>
      <c r="K86" s="54">
        <v>25.73</v>
      </c>
      <c r="L86" s="54">
        <v>27.78</v>
      </c>
      <c r="M86" s="54">
        <v>65.34</v>
      </c>
      <c r="N86" s="54">
        <v>654.79999999999995</v>
      </c>
      <c r="O86" s="54">
        <v>0</v>
      </c>
      <c r="P86" s="54">
        <v>3.25</v>
      </c>
      <c r="Q86" s="54">
        <v>42.77</v>
      </c>
      <c r="R86" s="194"/>
      <c r="S86" s="194"/>
      <c r="T86" s="194"/>
      <c r="U86" s="194"/>
    </row>
    <row r="87" spans="1:21" s="12" customFormat="1" ht="15">
      <c r="A87" s="206" t="s">
        <v>322</v>
      </c>
      <c r="B87" s="54">
        <v>3.88</v>
      </c>
      <c r="C87" s="54">
        <v>34.770000000000003</v>
      </c>
      <c r="D87" s="54">
        <v>38.64</v>
      </c>
      <c r="E87" s="54">
        <v>9.84</v>
      </c>
      <c r="F87" s="54">
        <v>0.96</v>
      </c>
      <c r="G87" s="9" t="s">
        <v>36</v>
      </c>
      <c r="H87" s="54">
        <v>29.11</v>
      </c>
      <c r="I87" s="54">
        <v>11.61</v>
      </c>
      <c r="J87" s="54">
        <v>0.98</v>
      </c>
      <c r="K87" s="54">
        <v>7.55</v>
      </c>
      <c r="L87" s="54">
        <v>28.73</v>
      </c>
      <c r="M87" s="54">
        <v>65.459999999999994</v>
      </c>
      <c r="N87" s="54">
        <v>657.30</v>
      </c>
      <c r="O87" s="54">
        <v>0</v>
      </c>
      <c r="P87" s="54">
        <v>3.27</v>
      </c>
      <c r="Q87" s="54">
        <v>44.47</v>
      </c>
      <c r="R87" s="194"/>
      <c r="S87" s="194"/>
      <c r="T87" s="194"/>
      <c r="U87" s="194"/>
    </row>
    <row r="88" spans="1:21" s="12" customFormat="1" ht="15">
      <c r="A88" s="206" t="s">
        <v>323</v>
      </c>
      <c r="B88" s="54">
        <v>4.5199999999999996</v>
      </c>
      <c r="C88" s="54">
        <v>35.369999999999997</v>
      </c>
      <c r="D88" s="54">
        <v>39.89</v>
      </c>
      <c r="E88" s="54">
        <v>4.9400000000000004</v>
      </c>
      <c r="F88" s="54">
        <v>1.0900000000000001</v>
      </c>
      <c r="G88" s="9" t="s">
        <v>36</v>
      </c>
      <c r="H88" s="54">
        <v>29.11</v>
      </c>
      <c r="I88" s="54">
        <v>11.52</v>
      </c>
      <c r="J88" s="54">
        <v>0.86</v>
      </c>
      <c r="K88" s="54">
        <v>252.36</v>
      </c>
      <c r="L88" s="54">
        <v>21.03</v>
      </c>
      <c r="M88" s="54">
        <v>65.989999999999995</v>
      </c>
      <c r="N88" s="54">
        <v>690.5</v>
      </c>
      <c r="O88" s="54">
        <v>0</v>
      </c>
      <c r="P88" s="54">
        <v>3.25</v>
      </c>
      <c r="Q88" s="54">
        <v>45.25</v>
      </c>
      <c r="R88" s="194"/>
      <c r="S88" s="194"/>
      <c r="T88" s="194"/>
      <c r="U88" s="194"/>
    </row>
    <row r="89" spans="1:21" s="12" customFormat="1" ht="15">
      <c r="A89" s="206" t="s">
        <v>324</v>
      </c>
      <c r="B89" s="54">
        <v>4.68</v>
      </c>
      <c r="C89" s="54">
        <v>28.46</v>
      </c>
      <c r="D89" s="54">
        <v>33.15</v>
      </c>
      <c r="E89" s="54">
        <v>9</v>
      </c>
      <c r="F89" s="54">
        <v>3.09</v>
      </c>
      <c r="G89" s="9" t="s">
        <v>36</v>
      </c>
      <c r="H89" s="54">
        <v>29.11</v>
      </c>
      <c r="I89" s="54">
        <v>11.30</v>
      </c>
      <c r="J89" s="54">
        <v>1.31</v>
      </c>
      <c r="K89" s="54">
        <v>220.09</v>
      </c>
      <c r="L89" s="54">
        <v>22.81</v>
      </c>
      <c r="M89" s="54">
        <v>67.180000000000007</v>
      </c>
      <c r="N89" s="54">
        <v>699.30</v>
      </c>
      <c r="O89" s="54">
        <v>0</v>
      </c>
      <c r="P89" s="54">
        <v>3.23</v>
      </c>
      <c r="Q89" s="54">
        <v>43.88</v>
      </c>
      <c r="R89" s="194"/>
      <c r="S89" s="194"/>
      <c r="T89" s="194"/>
      <c r="U89" s="194"/>
    </row>
    <row r="90" spans="1:21" s="12" customFormat="1" ht="15">
      <c r="A90" s="206" t="s">
        <v>325</v>
      </c>
      <c r="B90" s="54">
        <v>4.87</v>
      </c>
      <c r="C90" s="54">
        <v>25.18</v>
      </c>
      <c r="D90" s="54">
        <v>30.05</v>
      </c>
      <c r="E90" s="54">
        <v>9.0399999999999991</v>
      </c>
      <c r="F90" s="54">
        <v>2.12</v>
      </c>
      <c r="G90" s="9" t="s">
        <v>36</v>
      </c>
      <c r="H90" s="54">
        <v>29.11</v>
      </c>
      <c r="I90" s="54">
        <v>10.73</v>
      </c>
      <c r="J90" s="54">
        <v>1.75</v>
      </c>
      <c r="K90" s="54">
        <v>335.17</v>
      </c>
      <c r="L90" s="54">
        <v>22.03</v>
      </c>
      <c r="M90" s="54">
        <v>68.81</v>
      </c>
      <c r="N90" s="54">
        <v>704.70</v>
      </c>
      <c r="O90" s="54">
        <v>0</v>
      </c>
      <c r="P90" s="54">
        <v>3.27</v>
      </c>
      <c r="Q90" s="54">
        <v>31.34</v>
      </c>
      <c r="R90" s="194"/>
      <c r="S90" s="194"/>
      <c r="T90" s="194"/>
      <c r="U90" s="194"/>
    </row>
    <row r="91" spans="1:21" s="12" customFormat="1" ht="15">
      <c r="A91" s="206" t="s">
        <v>326</v>
      </c>
      <c r="B91" s="54">
        <v>6.02</v>
      </c>
      <c r="C91" s="54">
        <v>24.82</v>
      </c>
      <c r="D91" s="54">
        <v>30.84</v>
      </c>
      <c r="E91" s="54">
        <v>9.75</v>
      </c>
      <c r="F91" s="54">
        <v>1.01</v>
      </c>
      <c r="G91" s="9" t="s">
        <v>36</v>
      </c>
      <c r="H91" s="54">
        <v>29.11</v>
      </c>
      <c r="I91" s="54">
        <v>9.7799999999999994</v>
      </c>
      <c r="J91" s="54">
        <v>1.1399999999999999</v>
      </c>
      <c r="K91" s="54">
        <v>262.38</v>
      </c>
      <c r="L91" s="54">
        <v>22.16</v>
      </c>
      <c r="M91" s="54">
        <v>69.02</v>
      </c>
      <c r="N91" s="54">
        <v>709.30</v>
      </c>
      <c r="O91" s="54">
        <v>0</v>
      </c>
      <c r="P91" s="54">
        <v>3.32</v>
      </c>
      <c r="Q91" s="54">
        <v>23.57</v>
      </c>
      <c r="R91" s="194"/>
      <c r="S91" s="194"/>
      <c r="T91" s="194"/>
      <c r="U91" s="194"/>
    </row>
    <row r="92" spans="1:21" s="12" customFormat="1" ht="15">
      <c r="A92" s="206" t="s">
        <v>327</v>
      </c>
      <c r="B92" s="54">
        <v>7.21</v>
      </c>
      <c r="C92" s="54">
        <v>25.14</v>
      </c>
      <c r="D92" s="54">
        <v>32.36</v>
      </c>
      <c r="E92" s="54">
        <v>9.42</v>
      </c>
      <c r="F92" s="54">
        <v>0.59</v>
      </c>
      <c r="G92" s="9" t="s">
        <v>36</v>
      </c>
      <c r="H92" s="54">
        <v>29.11</v>
      </c>
      <c r="I92" s="54">
        <v>9.3000000000000007</v>
      </c>
      <c r="J92" s="54">
        <v>1.80</v>
      </c>
      <c r="K92" s="54">
        <v>333.42</v>
      </c>
      <c r="L92" s="54">
        <v>21.48</v>
      </c>
      <c r="M92" s="54">
        <v>70.69</v>
      </c>
      <c r="N92" s="54">
        <v>720.10</v>
      </c>
      <c r="O92" s="54">
        <v>0</v>
      </c>
      <c r="P92" s="54">
        <v>3.39</v>
      </c>
      <c r="Q92" s="54">
        <v>20.03</v>
      </c>
      <c r="R92" s="194"/>
      <c r="S92" s="194"/>
      <c r="T92" s="194"/>
      <c r="U92" s="194"/>
    </row>
    <row r="93" spans="1:21" s="12" customFormat="1" ht="15">
      <c r="A93" s="206" t="s">
        <v>328</v>
      </c>
      <c r="B93" s="54">
        <v>8.52</v>
      </c>
      <c r="C93" s="54">
        <v>25.12</v>
      </c>
      <c r="D93" s="54">
        <v>33.64</v>
      </c>
      <c r="E93" s="54">
        <v>9.67</v>
      </c>
      <c r="F93" s="54">
        <v>0.45</v>
      </c>
      <c r="G93" s="9" t="s">
        <v>36</v>
      </c>
      <c r="H93" s="54">
        <v>28.84</v>
      </c>
      <c r="I93" s="54">
        <v>9.0399999999999991</v>
      </c>
      <c r="J93" s="54">
        <v>1.83</v>
      </c>
      <c r="K93" s="54">
        <v>299.98</v>
      </c>
      <c r="L93" s="54">
        <v>21.58</v>
      </c>
      <c r="M93" s="54">
        <v>71.97</v>
      </c>
      <c r="N93" s="54">
        <v>720.70</v>
      </c>
      <c r="O93" s="54">
        <v>0</v>
      </c>
      <c r="P93" s="54">
        <v>3.38</v>
      </c>
      <c r="Q93" s="54">
        <v>18.440000000000001</v>
      </c>
      <c r="R93" s="194"/>
      <c r="S93" s="194"/>
      <c r="T93" s="194"/>
      <c r="U93" s="194"/>
    </row>
    <row r="94" spans="1:21" s="12" customFormat="1" ht="15">
      <c r="A94" s="206" t="s">
        <v>329</v>
      </c>
      <c r="B94" s="54">
        <v>9.8800000000000008</v>
      </c>
      <c r="C94" s="54">
        <v>24.86</v>
      </c>
      <c r="D94" s="54">
        <v>34.74</v>
      </c>
      <c r="E94" s="54">
        <v>10.01</v>
      </c>
      <c r="F94" s="54">
        <v>0.49</v>
      </c>
      <c r="G94" s="9" t="s">
        <v>36</v>
      </c>
      <c r="H94" s="54">
        <v>28.17</v>
      </c>
      <c r="I94" s="54">
        <v>9.43</v>
      </c>
      <c r="J94" s="54">
        <v>0.68</v>
      </c>
      <c r="K94" s="54">
        <v>5.17</v>
      </c>
      <c r="L94" s="54">
        <v>21.85</v>
      </c>
      <c r="M94" s="54">
        <v>71.92</v>
      </c>
      <c r="N94" s="54">
        <v>729.60</v>
      </c>
      <c r="O94" s="54">
        <v>0</v>
      </c>
      <c r="P94" s="54">
        <v>3.34</v>
      </c>
      <c r="Q94" s="54">
        <v>17.809999999999999</v>
      </c>
      <c r="R94" s="194"/>
      <c r="S94" s="194"/>
      <c r="T94" s="194"/>
      <c r="U94" s="194"/>
    </row>
    <row r="95" spans="1:21" s="12" customFormat="1" ht="15">
      <c r="A95" s="206" t="s">
        <v>330</v>
      </c>
      <c r="B95" s="54">
        <v>10.38</v>
      </c>
      <c r="C95" s="54">
        <v>24.75</v>
      </c>
      <c r="D95" s="54">
        <v>35.130000000000003</v>
      </c>
      <c r="E95" s="54">
        <v>9.68</v>
      </c>
      <c r="F95" s="54">
        <v>0.46</v>
      </c>
      <c r="G95" s="9" t="s">
        <v>36</v>
      </c>
      <c r="H95" s="54">
        <v>28.17</v>
      </c>
      <c r="I95" s="54">
        <v>8.76</v>
      </c>
      <c r="J95" s="54">
        <v>1.04</v>
      </c>
      <c r="K95" s="54">
        <v>29.65</v>
      </c>
      <c r="L95" s="54">
        <v>21.68</v>
      </c>
      <c r="M95" s="54">
        <v>72.5</v>
      </c>
      <c r="N95" s="54">
        <v>738.60</v>
      </c>
      <c r="O95" s="54">
        <v>0</v>
      </c>
      <c r="P95" s="54">
        <v>3.35</v>
      </c>
      <c r="Q95" s="54">
        <v>17.170000000000002</v>
      </c>
      <c r="R95" s="194"/>
      <c r="S95" s="194"/>
      <c r="T95" s="194"/>
      <c r="U95" s="194"/>
    </row>
    <row r="96" spans="1:26" s="12" customFormat="1" ht="15">
      <c r="A96" s="206" t="s">
        <v>331</v>
      </c>
      <c r="B96" s="54">
        <v>10.15</v>
      </c>
      <c r="C96" s="54">
        <v>25.35</v>
      </c>
      <c r="D96" s="54">
        <v>35.5</v>
      </c>
      <c r="E96" s="54">
        <v>9.90</v>
      </c>
      <c r="F96" s="54">
        <v>0.31</v>
      </c>
      <c r="G96" s="9" t="s">
        <v>36</v>
      </c>
      <c r="H96" s="54">
        <v>28.17</v>
      </c>
      <c r="I96" s="54">
        <v>8.08</v>
      </c>
      <c r="J96" s="54">
        <v>0.41</v>
      </c>
      <c r="K96" s="54">
        <v>359.09</v>
      </c>
      <c r="L96" s="54">
        <v>21.76</v>
      </c>
      <c r="M96" s="54">
        <v>73.099999999999994</v>
      </c>
      <c r="N96" s="54">
        <v>730.10</v>
      </c>
      <c r="O96" s="54">
        <v>0</v>
      </c>
      <c r="P96" s="54">
        <v>3.33</v>
      </c>
      <c r="Q96" s="54">
        <v>17.29</v>
      </c>
      <c r="R96" s="194"/>
      <c r="S96" s="194"/>
      <c r="T96" s="194"/>
      <c r="U96" s="194"/>
      <c r="Z96" s="105"/>
    </row>
    <row r="97" spans="1:21" s="12" customFormat="1" ht="15">
      <c r="A97" s="206" t="s">
        <v>332</v>
      </c>
      <c r="B97" s="54">
        <v>9.08</v>
      </c>
      <c r="C97" s="54">
        <v>26.44</v>
      </c>
      <c r="D97" s="54">
        <v>35.520000000000003</v>
      </c>
      <c r="E97" s="54">
        <v>9.68</v>
      </c>
      <c r="F97" s="54">
        <v>0.73</v>
      </c>
      <c r="G97" s="9" t="s">
        <v>36</v>
      </c>
      <c r="H97" s="54">
        <v>28.55</v>
      </c>
      <c r="I97" s="54">
        <v>9.16</v>
      </c>
      <c r="J97" s="54">
        <v>0.59</v>
      </c>
      <c r="K97" s="54">
        <v>217.78</v>
      </c>
      <c r="L97" s="54">
        <v>21.70</v>
      </c>
      <c r="M97" s="54">
        <v>73.73</v>
      </c>
      <c r="N97" s="54">
        <v>734.30</v>
      </c>
      <c r="O97" s="54">
        <v>0</v>
      </c>
      <c r="P97" s="54">
        <v>3.29</v>
      </c>
      <c r="Q97" s="54">
        <v>18.20</v>
      </c>
      <c r="R97" s="194"/>
      <c r="S97" s="194"/>
      <c r="T97" s="194"/>
      <c r="U97" s="194"/>
    </row>
    <row r="98" spans="1:21" s="12" customFormat="1" ht="15">
      <c r="A98" s="206" t="s">
        <v>333</v>
      </c>
      <c r="B98" s="54">
        <v>7.99</v>
      </c>
      <c r="C98" s="54">
        <v>27.35</v>
      </c>
      <c r="D98" s="54">
        <v>35.340000000000003</v>
      </c>
      <c r="E98" s="54">
        <v>9.3699999999999992</v>
      </c>
      <c r="F98" s="54">
        <v>0.45</v>
      </c>
      <c r="G98" s="9" t="s">
        <v>36</v>
      </c>
      <c r="H98" s="54">
        <v>29.47</v>
      </c>
      <c r="I98" s="54">
        <v>9.7200000000000006</v>
      </c>
      <c r="J98" s="54">
        <v>0.57999999999999996</v>
      </c>
      <c r="K98" s="54">
        <v>285.27</v>
      </c>
      <c r="L98" s="54">
        <v>25.98</v>
      </c>
      <c r="M98" s="54">
        <v>74.52</v>
      </c>
      <c r="N98" s="54">
        <v>739.20</v>
      </c>
      <c r="O98" s="54">
        <v>0</v>
      </c>
      <c r="P98" s="54">
        <v>3.25</v>
      </c>
      <c r="Q98" s="54">
        <v>19.59</v>
      </c>
      <c r="R98" s="194"/>
      <c r="S98" s="194"/>
      <c r="T98" s="194"/>
      <c r="U98" s="194"/>
    </row>
    <row r="99" spans="1:21" s="12" customFormat="1" ht="15">
      <c r="A99" s="206" t="s">
        <v>334</v>
      </c>
      <c r="B99" s="54">
        <v>7</v>
      </c>
      <c r="C99" s="54">
        <v>27.91</v>
      </c>
      <c r="D99" s="54">
        <v>34.909999999999997</v>
      </c>
      <c r="E99" s="54">
        <v>8.83</v>
      </c>
      <c r="F99" s="54">
        <v>0.35</v>
      </c>
      <c r="G99" s="9" t="s">
        <v>36</v>
      </c>
      <c r="H99" s="54">
        <v>29.47</v>
      </c>
      <c r="I99" s="54">
        <v>9.66</v>
      </c>
      <c r="J99" s="54">
        <v>1.43</v>
      </c>
      <c r="K99" s="54">
        <v>11.96</v>
      </c>
      <c r="L99" s="54">
        <v>25.95</v>
      </c>
      <c r="M99" s="54">
        <v>76.42</v>
      </c>
      <c r="N99" s="54">
        <v>749.70</v>
      </c>
      <c r="O99" s="54">
        <v>0</v>
      </c>
      <c r="P99" s="54">
        <v>3.21</v>
      </c>
      <c r="Q99" s="54">
        <v>20.94</v>
      </c>
      <c r="R99" s="194"/>
      <c r="S99" s="194"/>
      <c r="T99" s="194"/>
      <c r="U99" s="194"/>
    </row>
    <row r="100" spans="1:33" s="12" customFormat="1" ht="15">
      <c r="A100" s="206" t="s">
        <v>335</v>
      </c>
      <c r="B100" s="54">
        <v>6.55</v>
      </c>
      <c r="C100" s="54">
        <v>28.18</v>
      </c>
      <c r="D100" s="54">
        <v>34.729999999999997</v>
      </c>
      <c r="E100" s="54">
        <v>9.11</v>
      </c>
      <c r="F100" s="54">
        <v>0.42</v>
      </c>
      <c r="G100" s="9" t="s">
        <v>36</v>
      </c>
      <c r="H100" s="54">
        <v>29.47</v>
      </c>
      <c r="I100" s="54">
        <v>9.49</v>
      </c>
      <c r="J100" s="54">
        <v>0.44</v>
      </c>
      <c r="K100" s="54">
        <v>359.45</v>
      </c>
      <c r="L100" s="54">
        <v>27.57</v>
      </c>
      <c r="M100" s="54">
        <v>77.38</v>
      </c>
      <c r="N100" s="54">
        <v>749.20</v>
      </c>
      <c r="O100" s="54">
        <v>0</v>
      </c>
      <c r="P100" s="54">
        <v>3.20</v>
      </c>
      <c r="Q100" s="54">
        <v>22.77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6" t="s">
        <v>336</v>
      </c>
      <c r="B101" s="54">
        <v>6.17</v>
      </c>
      <c r="C101" s="54">
        <v>28.25</v>
      </c>
      <c r="D101" s="54">
        <v>34.42</v>
      </c>
      <c r="E101" s="54">
        <v>9.16</v>
      </c>
      <c r="F101" s="54">
        <v>0.30</v>
      </c>
      <c r="G101" s="9" t="s">
        <v>36</v>
      </c>
      <c r="H101" s="54">
        <v>28.11</v>
      </c>
      <c r="I101" s="54">
        <v>9.32</v>
      </c>
      <c r="J101" s="54">
        <v>1.18</v>
      </c>
      <c r="K101" s="54">
        <v>3.26</v>
      </c>
      <c r="L101" s="54">
        <v>27.33</v>
      </c>
      <c r="M101" s="54">
        <v>77.12</v>
      </c>
      <c r="N101" s="54">
        <v>743.70</v>
      </c>
      <c r="O101" s="54">
        <v>0</v>
      </c>
      <c r="P101" s="54">
        <v>3.14</v>
      </c>
      <c r="Q101" s="54">
        <v>24.53</v>
      </c>
      <c r="R101" s="194"/>
      <c r="S101" s="194"/>
      <c r="T101" s="194"/>
      <c r="U101" s="194"/>
    </row>
    <row r="102" spans="1:21" s="12" customFormat="1" ht="15">
      <c r="A102" s="206" t="s">
        <v>337</v>
      </c>
      <c r="B102" s="54">
        <v>5.46</v>
      </c>
      <c r="C102" s="54">
        <v>28.28</v>
      </c>
      <c r="D102" s="54">
        <v>33.729999999999997</v>
      </c>
      <c r="E102" s="54">
        <v>8.94</v>
      </c>
      <c r="F102" s="54">
        <v>0.57999999999999996</v>
      </c>
      <c r="G102" s="9" t="s">
        <v>36</v>
      </c>
      <c r="H102" s="54">
        <v>24.77</v>
      </c>
      <c r="I102" s="54">
        <v>9.11</v>
      </c>
      <c r="J102" s="54">
        <v>1.84</v>
      </c>
      <c r="K102" s="54">
        <v>5.01</v>
      </c>
      <c r="L102" s="54">
        <v>24.91</v>
      </c>
      <c r="M102" s="54">
        <v>78.53</v>
      </c>
      <c r="N102" s="54">
        <v>751</v>
      </c>
      <c r="O102" s="54">
        <v>0</v>
      </c>
      <c r="P102" s="54">
        <v>3.08</v>
      </c>
      <c r="Q102" s="54">
        <v>25.78</v>
      </c>
      <c r="R102" s="194"/>
      <c r="S102" s="194"/>
      <c r="T102" s="194"/>
      <c r="U102" s="194"/>
    </row>
    <row r="103" spans="1:21" s="12" customFormat="1" ht="15">
      <c r="A103" s="206" t="s">
        <v>338</v>
      </c>
      <c r="B103" s="54">
        <v>4.5599999999999996</v>
      </c>
      <c r="C103" s="54">
        <v>28.07</v>
      </c>
      <c r="D103" s="54">
        <v>32.619999999999997</v>
      </c>
      <c r="E103" s="54">
        <v>9.84</v>
      </c>
      <c r="F103" s="54">
        <v>0.44</v>
      </c>
      <c r="G103" s="9" t="s">
        <v>36</v>
      </c>
      <c r="H103" s="54">
        <v>24.77</v>
      </c>
      <c r="I103" s="54">
        <v>8.85</v>
      </c>
      <c r="J103" s="54">
        <v>1.57</v>
      </c>
      <c r="K103" s="54">
        <v>4.9800000000000004</v>
      </c>
      <c r="L103" s="54">
        <v>24.31</v>
      </c>
      <c r="M103" s="54">
        <v>79.290000000000006</v>
      </c>
      <c r="N103" s="54">
        <v>770.60</v>
      </c>
      <c r="O103" s="54">
        <v>0</v>
      </c>
      <c r="P103" s="54">
        <v>3.03</v>
      </c>
      <c r="Q103" s="54">
        <v>27.04</v>
      </c>
      <c r="R103" s="194"/>
      <c r="S103" s="194"/>
      <c r="T103" s="194"/>
      <c r="U103" s="194"/>
    </row>
    <row r="104" spans="1:21" s="12" customFormat="1" ht="15">
      <c r="A104" s="206" t="s">
        <v>339</v>
      </c>
      <c r="B104" s="54">
        <v>3.85</v>
      </c>
      <c r="C104" s="54">
        <v>27.64</v>
      </c>
      <c r="D104" s="54">
        <v>31.49</v>
      </c>
      <c r="E104" s="54">
        <v>4.70</v>
      </c>
      <c r="F104" s="54">
        <v>0.43</v>
      </c>
      <c r="G104" s="9" t="s">
        <v>36</v>
      </c>
      <c r="H104" s="54">
        <v>24.77</v>
      </c>
      <c r="I104" s="54">
        <v>8.61</v>
      </c>
      <c r="J104" s="54">
        <v>2.0299999999999998</v>
      </c>
      <c r="K104" s="54">
        <v>341.32</v>
      </c>
      <c r="L104" s="54">
        <v>25.59</v>
      </c>
      <c r="M104" s="54">
        <v>79.34</v>
      </c>
      <c r="N104" s="54">
        <v>709.30</v>
      </c>
      <c r="O104" s="54">
        <v>0</v>
      </c>
      <c r="P104" s="54">
        <v>2.99</v>
      </c>
      <c r="Q104" s="54">
        <v>28.39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0.33000000000000002</v>
      </c>
      <c r="C106" s="67">
        <f>MIN(C9:C104)</f>
        <v>11.289999999999999</v>
      </c>
      <c r="D106" s="67">
        <f t="shared" si="0" ref="D106:Q106">MIN(D9:D104)</f>
        <v>11.74</v>
      </c>
      <c r="E106" s="67">
        <f t="shared" si="0"/>
        <v>3.4399999999999999</v>
      </c>
      <c r="F106" s="67">
        <f t="shared" si="0"/>
        <v>0.29999999999999999</v>
      </c>
      <c r="G106" s="67">
        <f t="shared" si="0"/>
        <v>0</v>
      </c>
      <c r="H106" s="67">
        <f t="shared" si="0"/>
        <v>6.4299999999999997</v>
      </c>
      <c r="I106" s="67">
        <f t="shared" si="0"/>
        <v>3</v>
      </c>
      <c r="J106" s="67">
        <f t="shared" si="0"/>
        <v>0.11</v>
      </c>
      <c r="K106" s="67">
        <f t="shared" si="0"/>
        <v>3.2599999999999998</v>
      </c>
      <c r="L106" s="67">
        <f t="shared" si="0"/>
        <v>16.07</v>
      </c>
      <c r="M106" s="67">
        <f t="shared" si="0"/>
        <v>57.979999999999997</v>
      </c>
      <c r="N106" s="67">
        <f t="shared" si="0"/>
        <v>272</v>
      </c>
      <c r="O106" s="67">
        <f t="shared" si="0"/>
        <v>0</v>
      </c>
      <c r="P106" s="67">
        <f t="shared" si="0"/>
        <v>2.79</v>
      </c>
      <c r="Q106" s="67">
        <f t="shared" si="0"/>
        <v>0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10.380000000000001</v>
      </c>
      <c r="C107" s="66">
        <f t="shared" si="1" ref="C107:Q107">MAX(C9:C104)</f>
        <v>35.369999999999997</v>
      </c>
      <c r="D107" s="66">
        <f t="shared" si="1"/>
        <v>39.890000000000001</v>
      </c>
      <c r="E107" s="66">
        <f t="shared" si="1"/>
        <v>10.01</v>
      </c>
      <c r="F107" s="66">
        <f t="shared" si="1"/>
        <v>4.21</v>
      </c>
      <c r="G107" s="66">
        <f t="shared" si="1"/>
        <v>0</v>
      </c>
      <c r="H107" s="66">
        <f t="shared" si="1"/>
        <v>31.289999999999999</v>
      </c>
      <c r="I107" s="66">
        <f t="shared" si="1"/>
        <v>11.609999999999999</v>
      </c>
      <c r="J107" s="66">
        <f t="shared" si="1"/>
        <v>3.75</v>
      </c>
      <c r="K107" s="66">
        <f t="shared" si="1"/>
        <v>359.44999999999999</v>
      </c>
      <c r="L107" s="66">
        <f t="shared" si="1"/>
        <v>30.350000000000001</v>
      </c>
      <c r="M107" s="66">
        <f t="shared" si="1"/>
        <v>93.180000000000007</v>
      </c>
      <c r="N107" s="66">
        <f t="shared" si="1"/>
        <v>1413.8</v>
      </c>
      <c r="O107" s="66">
        <f t="shared" si="1"/>
        <v>0</v>
      </c>
      <c r="P107" s="66">
        <f t="shared" si="1"/>
        <v>3.3900000000000001</v>
      </c>
      <c r="Q107" s="66">
        <f t="shared" si="1"/>
        <v>45.25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2.7533333333333339</v>
      </c>
      <c r="C108" s="67">
        <f t="shared" si="2" ref="C108:Q108">AVERAGE(C9:C104)</f>
        <v>22.160625</v>
      </c>
      <c r="D108" s="67">
        <f t="shared" si="2"/>
        <v>24.914166666666659</v>
      </c>
      <c r="E108" s="67">
        <f t="shared" si="2"/>
        <v>7.2653125000000012</v>
      </c>
      <c r="F108" s="67">
        <f t="shared" si="2"/>
        <v>1.4143749999999997</v>
      </c>
      <c r="G108" s="67" t="e">
        <f t="shared" si="2"/>
        <v>#DIV/0!</v>
      </c>
      <c r="H108" s="67">
        <f t="shared" si="2"/>
        <v>18.904895833333324</v>
      </c>
      <c r="I108" s="67">
        <f t="shared" si="2"/>
        <v>7.1310416666666638</v>
      </c>
      <c r="J108" s="67">
        <f t="shared" si="2"/>
        <v>1.4198958333333336</v>
      </c>
      <c r="K108" s="67">
        <f t="shared" si="2"/>
        <v>221.35260416666662</v>
      </c>
      <c r="L108" s="67">
        <f t="shared" si="2"/>
        <v>23.980416666666667</v>
      </c>
      <c r="M108" s="67">
        <f t="shared" si="2"/>
        <v>74.946458333333354</v>
      </c>
      <c r="N108" s="67">
        <f t="shared" si="2"/>
        <v>717.7635416666667</v>
      </c>
      <c r="O108" s="67">
        <f t="shared" si="2"/>
        <v>0</v>
      </c>
      <c r="P108" s="67">
        <f t="shared" si="2"/>
        <v>3.1278124999999992</v>
      </c>
      <c r="Q108" s="67">
        <f t="shared" si="2"/>
        <v>22.372604166666665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2.3784703915560454</v>
      </c>
      <c r="C109" s="67">
        <f t="shared" si="3" ref="C109:Q109">STDEV(C9:C104)</f>
        <v>6.691813508034703</v>
      </c>
      <c r="D109" s="67">
        <f t="shared" si="3"/>
        <v>7.7562520339423813</v>
      </c>
      <c r="E109" s="67">
        <f t="shared" si="3"/>
        <v>1.6179551442126598</v>
      </c>
      <c r="F109" s="67">
        <f t="shared" si="3"/>
        <v>0.81867648324019171</v>
      </c>
      <c r="G109" s="67" t="e">
        <f t="shared" si="3"/>
        <v>#DIV/0!</v>
      </c>
      <c r="H109" s="67">
        <f t="shared" si="3"/>
        <v>8.467441295592133</v>
      </c>
      <c r="I109" s="67">
        <f t="shared" si="3"/>
        <v>2.7267943311811131</v>
      </c>
      <c r="J109" s="67">
        <f t="shared" si="3"/>
        <v>0.86197752418087004</v>
      </c>
      <c r="K109" s="67">
        <f t="shared" si="3"/>
        <v>119.43268717033013</v>
      </c>
      <c r="L109" s="67">
        <f t="shared" si="3"/>
        <v>3.4618899361222861</v>
      </c>
      <c r="M109" s="67">
        <f t="shared" si="3"/>
        <v>11.983991513169407</v>
      </c>
      <c r="N109" s="67">
        <f t="shared" si="3"/>
        <v>319.21435270455447</v>
      </c>
      <c r="O109" s="67">
        <f t="shared" si="3"/>
        <v>0</v>
      </c>
      <c r="P109" s="67">
        <f t="shared" si="3"/>
        <v>0.14608723511367408</v>
      </c>
      <c r="Q109" s="67">
        <f t="shared" si="3"/>
        <v>8.3619391159293315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6eec93-2243-4de6-a2bd-577610597f42}">
  <sheetPr codeName=""/>
  <dimension ref="A1:AG117"/>
  <sheetViews>
    <sheetView workbookViewId="0" topLeftCell="A1">
      <pane xSplit="1" ySplit="8" topLeftCell="B9" activePane="bottomRight" state="frozen"/>
      <selection pane="topLeft" activeCell="A9" sqref="A9:U104"/>
      <selection pane="topRight" activeCell="A9" sqref="A9:U104"/>
      <selection pane="bottomLeft" activeCell="A9" sqref="A9:U104"/>
      <selection pane="bottomRight" activeCell="A9" sqref="A9:Q104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02-07-2022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6" t="s">
        <v>340</v>
      </c>
      <c r="B9" s="54">
        <v>3.44</v>
      </c>
      <c r="C9" s="54">
        <v>27.24</v>
      </c>
      <c r="D9" s="54">
        <v>30.68</v>
      </c>
      <c r="E9" s="54">
        <v>9.2799999999999994</v>
      </c>
      <c r="F9" s="54">
        <v>0.71</v>
      </c>
      <c r="G9" s="9" t="s">
        <v>36</v>
      </c>
      <c r="H9" s="54">
        <v>23.46</v>
      </c>
      <c r="I9" s="54">
        <v>8.6199999999999992</v>
      </c>
      <c r="J9" s="54">
        <v>2.4900000000000002</v>
      </c>
      <c r="K9" s="54">
        <v>328.24</v>
      </c>
      <c r="L9" s="54">
        <v>22.29</v>
      </c>
      <c r="M9" s="54">
        <v>78.72</v>
      </c>
      <c r="N9" s="54">
        <v>705.40</v>
      </c>
      <c r="O9" s="54">
        <v>0</v>
      </c>
      <c r="P9" s="54">
        <v>2.96</v>
      </c>
      <c r="Q9" s="54">
        <v>29.51</v>
      </c>
      <c r="R9" s="194"/>
      <c r="S9" s="194"/>
      <c r="T9" s="194"/>
      <c r="U9" s="194"/>
    </row>
    <row r="10" spans="1:21" s="12" customFormat="1" ht="15">
      <c r="A10" s="206" t="s">
        <v>341</v>
      </c>
      <c r="B10" s="54">
        <v>3.15</v>
      </c>
      <c r="C10" s="54">
        <v>25.85</v>
      </c>
      <c r="D10" s="54">
        <v>29</v>
      </c>
      <c r="E10" s="54">
        <v>9.67</v>
      </c>
      <c r="F10" s="54">
        <v>1.46</v>
      </c>
      <c r="G10" s="9" t="s">
        <v>36</v>
      </c>
      <c r="H10" s="54">
        <v>20.260000000000002</v>
      </c>
      <c r="I10" s="54">
        <v>8.68</v>
      </c>
      <c r="J10" s="54">
        <v>2.04</v>
      </c>
      <c r="K10" s="54">
        <v>10.029999999999999</v>
      </c>
      <c r="L10" s="54">
        <v>25.91</v>
      </c>
      <c r="M10" s="54">
        <v>77.989999999999995</v>
      </c>
      <c r="N10" s="54">
        <v>616.29999999999995</v>
      </c>
      <c r="O10" s="54">
        <v>0</v>
      </c>
      <c r="P10" s="54">
        <v>2.91</v>
      </c>
      <c r="Q10" s="54">
        <v>29.86</v>
      </c>
      <c r="R10" s="194"/>
      <c r="S10" s="194"/>
      <c r="T10" s="194"/>
      <c r="U10" s="194"/>
    </row>
    <row r="11" spans="1:21" s="12" customFormat="1" ht="15">
      <c r="A11" s="206" t="s">
        <v>342</v>
      </c>
      <c r="B11" s="54">
        <v>3.12</v>
      </c>
      <c r="C11" s="54">
        <v>20.04</v>
      </c>
      <c r="D11" s="54">
        <v>23.16</v>
      </c>
      <c r="E11" s="54">
        <v>9.73</v>
      </c>
      <c r="F11" s="54">
        <v>2.75</v>
      </c>
      <c r="G11" s="9" t="s">
        <v>36</v>
      </c>
      <c r="H11" s="54">
        <v>20.260000000000002</v>
      </c>
      <c r="I11" s="54">
        <v>8.64</v>
      </c>
      <c r="J11" s="54">
        <v>0.85</v>
      </c>
      <c r="K11" s="54">
        <v>36.130000000000003</v>
      </c>
      <c r="L11" s="54">
        <v>23.24</v>
      </c>
      <c r="M11" s="54">
        <v>76.150000000000006</v>
      </c>
      <c r="N11" s="54">
        <v>641.5</v>
      </c>
      <c r="O11" s="54">
        <v>0</v>
      </c>
      <c r="P11" s="54">
        <v>2.89</v>
      </c>
      <c r="Q11" s="54">
        <v>26.42</v>
      </c>
      <c r="R11" s="194"/>
      <c r="S11" s="194"/>
      <c r="T11" s="194"/>
      <c r="U11" s="194"/>
    </row>
    <row r="12" spans="1:21" s="12" customFormat="1" ht="15">
      <c r="A12" s="206" t="s">
        <v>343</v>
      </c>
      <c r="B12" s="54">
        <v>3.06</v>
      </c>
      <c r="C12" s="54">
        <v>19.02</v>
      </c>
      <c r="D12" s="54">
        <v>22.08</v>
      </c>
      <c r="E12" s="54">
        <v>9.4499999999999993</v>
      </c>
      <c r="F12" s="54">
        <v>1.60</v>
      </c>
      <c r="G12" s="9" t="s">
        <v>36</v>
      </c>
      <c r="H12" s="54">
        <v>20.260000000000002</v>
      </c>
      <c r="I12" s="54">
        <v>8.1999999999999993</v>
      </c>
      <c r="J12" s="54">
        <v>1.75</v>
      </c>
      <c r="K12" s="54">
        <v>16.829999999999998</v>
      </c>
      <c r="L12" s="54">
        <v>23.86</v>
      </c>
      <c r="M12" s="54">
        <v>76.48</v>
      </c>
      <c r="N12" s="54">
        <v>679.60</v>
      </c>
      <c r="O12" s="54">
        <v>0</v>
      </c>
      <c r="P12" s="54">
        <v>2.86</v>
      </c>
      <c r="Q12" s="54">
        <v>19.21</v>
      </c>
      <c r="R12" s="194"/>
      <c r="S12" s="194"/>
      <c r="T12" s="194"/>
      <c r="U12" s="194"/>
    </row>
    <row r="13" spans="1:21" s="12" customFormat="1" ht="15">
      <c r="A13" s="206" t="s">
        <v>344</v>
      </c>
      <c r="B13" s="54">
        <v>2.91</v>
      </c>
      <c r="C13" s="54">
        <v>19.190000000000001</v>
      </c>
      <c r="D13" s="54">
        <v>22.09</v>
      </c>
      <c r="E13" s="54">
        <v>9.6300000000000008</v>
      </c>
      <c r="F13" s="54">
        <v>0.91</v>
      </c>
      <c r="G13" s="9" t="s">
        <v>36</v>
      </c>
      <c r="H13" s="54">
        <v>20.309999999999999</v>
      </c>
      <c r="I13" s="54">
        <v>7.72</v>
      </c>
      <c r="J13" s="54">
        <v>1.85</v>
      </c>
      <c r="K13" s="54">
        <v>17.399999999999999</v>
      </c>
      <c r="L13" s="54">
        <v>22.75</v>
      </c>
      <c r="M13" s="54">
        <v>77.650000000000006</v>
      </c>
      <c r="N13" s="54">
        <v>701.90</v>
      </c>
      <c r="O13" s="54">
        <v>0</v>
      </c>
      <c r="P13" s="54">
        <v>2.80</v>
      </c>
      <c r="Q13" s="54">
        <v>15.02</v>
      </c>
      <c r="R13" s="194"/>
      <c r="S13" s="194"/>
      <c r="T13" s="194"/>
      <c r="U13" s="194"/>
    </row>
    <row r="14" spans="1:21" s="12" customFormat="1" ht="15">
      <c r="A14" s="206" t="s">
        <v>345</v>
      </c>
      <c r="B14" s="54">
        <v>2.76</v>
      </c>
      <c r="C14" s="54">
        <v>18.920000000000002</v>
      </c>
      <c r="D14" s="54">
        <v>21.68</v>
      </c>
      <c r="E14" s="54">
        <v>9.42</v>
      </c>
      <c r="F14" s="54">
        <v>0.75</v>
      </c>
      <c r="G14" s="9" t="s">
        <v>36</v>
      </c>
      <c r="H14" s="54">
        <v>20.41</v>
      </c>
      <c r="I14" s="54">
        <v>7.13</v>
      </c>
      <c r="J14" s="54">
        <v>1.80</v>
      </c>
      <c r="K14" s="54">
        <v>347.51</v>
      </c>
      <c r="L14" s="54">
        <v>20.93</v>
      </c>
      <c r="M14" s="54">
        <v>78.91</v>
      </c>
      <c r="N14" s="54">
        <v>672.70</v>
      </c>
      <c r="O14" s="54">
        <v>0</v>
      </c>
      <c r="P14" s="54">
        <v>2.79</v>
      </c>
      <c r="Q14" s="54">
        <v>13.02</v>
      </c>
      <c r="R14" s="194"/>
      <c r="S14" s="194"/>
      <c r="T14" s="194"/>
      <c r="U14" s="194"/>
    </row>
    <row r="15" spans="1:21" s="12" customFormat="1" ht="15">
      <c r="A15" s="206" t="s">
        <v>346</v>
      </c>
      <c r="B15" s="54">
        <v>2.68</v>
      </c>
      <c r="C15" s="54">
        <v>18.440000000000001</v>
      </c>
      <c r="D15" s="54">
        <v>21.12</v>
      </c>
      <c r="E15" s="54">
        <v>9.73</v>
      </c>
      <c r="F15" s="54">
        <v>0.78</v>
      </c>
      <c r="G15" s="9" t="s">
        <v>36</v>
      </c>
      <c r="H15" s="54">
        <v>20.41</v>
      </c>
      <c r="I15" s="54">
        <v>6.19</v>
      </c>
      <c r="J15" s="54">
        <v>0.18</v>
      </c>
      <c r="K15" s="54">
        <v>40.619999999999997</v>
      </c>
      <c r="L15" s="54">
        <v>21.51</v>
      </c>
      <c r="M15" s="54">
        <v>79.36</v>
      </c>
      <c r="N15" s="54">
        <v>727</v>
      </c>
      <c r="O15" s="54">
        <v>0</v>
      </c>
      <c r="P15" s="54">
        <v>2.75</v>
      </c>
      <c r="Q15" s="54">
        <v>12.07</v>
      </c>
      <c r="R15" s="194"/>
      <c r="S15" s="194"/>
      <c r="T15" s="194"/>
      <c r="U15" s="194"/>
    </row>
    <row r="16" spans="1:21" s="12" customFormat="1" ht="15">
      <c r="A16" s="206" t="s">
        <v>347</v>
      </c>
      <c r="B16" s="54">
        <v>2.74</v>
      </c>
      <c r="C16" s="54">
        <v>17.96</v>
      </c>
      <c r="D16" s="54">
        <v>20.70</v>
      </c>
      <c r="E16" s="54">
        <v>9.9499999999999993</v>
      </c>
      <c r="F16" s="54">
        <v>0.69</v>
      </c>
      <c r="G16" s="9" t="s">
        <v>36</v>
      </c>
      <c r="H16" s="54">
        <v>20.41</v>
      </c>
      <c r="I16" s="54">
        <v>6.81</v>
      </c>
      <c r="J16" s="54">
        <v>0.17</v>
      </c>
      <c r="K16" s="54">
        <v>236.28</v>
      </c>
      <c r="L16" s="54">
        <v>23.31</v>
      </c>
      <c r="M16" s="54">
        <v>80.05</v>
      </c>
      <c r="N16" s="54">
        <v>736.20</v>
      </c>
      <c r="O16" s="54">
        <v>0</v>
      </c>
      <c r="P16" s="54">
        <v>2.76</v>
      </c>
      <c r="Q16" s="54">
        <v>11.59</v>
      </c>
      <c r="R16" s="194"/>
      <c r="S16" s="194"/>
      <c r="T16" s="194"/>
      <c r="U16" s="194"/>
    </row>
    <row r="17" spans="1:21" s="12" customFormat="1" ht="15">
      <c r="A17" s="206" t="s">
        <v>348</v>
      </c>
      <c r="B17" s="54">
        <v>2.77</v>
      </c>
      <c r="C17" s="54">
        <v>17.600000000000001</v>
      </c>
      <c r="D17" s="54">
        <v>20.38</v>
      </c>
      <c r="E17" s="54">
        <v>9.7200000000000006</v>
      </c>
      <c r="F17" s="54">
        <v>0.35</v>
      </c>
      <c r="G17" s="9" t="s">
        <v>36</v>
      </c>
      <c r="H17" s="54">
        <v>20.05</v>
      </c>
      <c r="I17" s="54">
        <v>6.69</v>
      </c>
      <c r="J17" s="54">
        <v>0.62</v>
      </c>
      <c r="K17" s="54">
        <v>335.45</v>
      </c>
      <c r="L17" s="54">
        <v>23.06</v>
      </c>
      <c r="M17" s="54">
        <v>81.459999999999994</v>
      </c>
      <c r="N17" s="54">
        <v>732.20</v>
      </c>
      <c r="O17" s="54">
        <v>0</v>
      </c>
      <c r="P17" s="54">
        <v>2.74</v>
      </c>
      <c r="Q17" s="54">
        <v>11.26</v>
      </c>
      <c r="R17" s="194"/>
      <c r="S17" s="194"/>
      <c r="T17" s="194"/>
      <c r="U17" s="194"/>
    </row>
    <row r="18" spans="1:21" s="12" customFormat="1" ht="15">
      <c r="A18" s="206" t="s">
        <v>349</v>
      </c>
      <c r="B18" s="54">
        <v>2.71</v>
      </c>
      <c r="C18" s="54">
        <v>16.989999999999998</v>
      </c>
      <c r="D18" s="54">
        <v>19.690000000000001</v>
      </c>
      <c r="E18" s="54">
        <v>9.6999999999999993</v>
      </c>
      <c r="F18" s="54">
        <v>0.76</v>
      </c>
      <c r="G18" s="9" t="s">
        <v>36</v>
      </c>
      <c r="H18" s="54">
        <v>19.16</v>
      </c>
      <c r="I18" s="54">
        <v>7.42</v>
      </c>
      <c r="J18" s="54">
        <v>0.36</v>
      </c>
      <c r="K18" s="54">
        <v>14.33</v>
      </c>
      <c r="L18" s="54">
        <v>21.87</v>
      </c>
      <c r="M18" s="54">
        <v>82.22</v>
      </c>
      <c r="N18" s="54">
        <v>724.60</v>
      </c>
      <c r="O18" s="54">
        <v>0</v>
      </c>
      <c r="P18" s="54">
        <v>2.74</v>
      </c>
      <c r="Q18" s="54">
        <v>11.59</v>
      </c>
      <c r="R18" s="194"/>
      <c r="S18" s="194"/>
      <c r="T18" s="194"/>
      <c r="U18" s="194"/>
    </row>
    <row r="19" spans="1:21" s="12" customFormat="1" ht="15">
      <c r="A19" s="206" t="s">
        <v>350</v>
      </c>
      <c r="B19" s="54">
        <v>2.23</v>
      </c>
      <c r="C19" s="54">
        <v>17.239999999999998</v>
      </c>
      <c r="D19" s="54">
        <v>19.48</v>
      </c>
      <c r="E19" s="54">
        <v>8.92</v>
      </c>
      <c r="F19" s="54">
        <v>1.04</v>
      </c>
      <c r="G19" s="9" t="s">
        <v>36</v>
      </c>
      <c r="H19" s="54">
        <v>19.16</v>
      </c>
      <c r="I19" s="54">
        <v>7.17</v>
      </c>
      <c r="J19" s="54">
        <v>0.89</v>
      </c>
      <c r="K19" s="54">
        <v>13.21</v>
      </c>
      <c r="L19" s="54">
        <v>22.23</v>
      </c>
      <c r="M19" s="54">
        <v>81.94</v>
      </c>
      <c r="N19" s="54">
        <v>744.30</v>
      </c>
      <c r="O19" s="54">
        <v>0</v>
      </c>
      <c r="P19" s="54">
        <v>2.71</v>
      </c>
      <c r="Q19" s="54">
        <v>12.73</v>
      </c>
      <c r="R19" s="194"/>
      <c r="S19" s="194"/>
      <c r="T19" s="194"/>
      <c r="U19" s="194"/>
    </row>
    <row r="20" spans="1:21" s="12" customFormat="1" ht="15">
      <c r="A20" s="206" t="s">
        <v>351</v>
      </c>
      <c r="B20" s="54">
        <v>1.82</v>
      </c>
      <c r="C20" s="54">
        <v>17.79</v>
      </c>
      <c r="D20" s="54">
        <v>19.61</v>
      </c>
      <c r="E20" s="54">
        <v>9.11</v>
      </c>
      <c r="F20" s="54">
        <v>1.0900000000000001</v>
      </c>
      <c r="G20" s="9" t="s">
        <v>36</v>
      </c>
      <c r="H20" s="54">
        <v>19.16</v>
      </c>
      <c r="I20" s="54">
        <v>7.52</v>
      </c>
      <c r="J20" s="54">
        <v>1.24</v>
      </c>
      <c r="K20" s="54">
        <v>315.95</v>
      </c>
      <c r="L20" s="54">
        <v>23.12</v>
      </c>
      <c r="M20" s="54">
        <v>82.54</v>
      </c>
      <c r="N20" s="54">
        <v>717.90</v>
      </c>
      <c r="O20" s="54">
        <v>0</v>
      </c>
      <c r="P20" s="54">
        <v>2.69</v>
      </c>
      <c r="Q20" s="54">
        <v>14.44</v>
      </c>
      <c r="R20" s="194"/>
      <c r="S20" s="194"/>
      <c r="T20" s="194"/>
      <c r="U20" s="194"/>
    </row>
    <row r="21" spans="1:21" s="12" customFormat="1" ht="15">
      <c r="A21" s="206" t="s">
        <v>352</v>
      </c>
      <c r="B21" s="54">
        <v>1.57</v>
      </c>
      <c r="C21" s="54">
        <v>18.28</v>
      </c>
      <c r="D21" s="54">
        <v>19.86</v>
      </c>
      <c r="E21" s="54">
        <v>9.16</v>
      </c>
      <c r="F21" s="54">
        <v>1.1100000000000001</v>
      </c>
      <c r="G21" s="9" t="s">
        <v>36</v>
      </c>
      <c r="H21" s="54">
        <v>18.70</v>
      </c>
      <c r="I21" s="54">
        <v>7.38</v>
      </c>
      <c r="J21" s="54">
        <v>2.29</v>
      </c>
      <c r="K21" s="54">
        <v>323.60000000000002</v>
      </c>
      <c r="L21" s="54">
        <v>25.48</v>
      </c>
      <c r="M21" s="54">
        <v>82.45</v>
      </c>
      <c r="N21" s="54">
        <v>719.30</v>
      </c>
      <c r="O21" s="54">
        <v>0</v>
      </c>
      <c r="P21" s="54">
        <v>2.66</v>
      </c>
      <c r="Q21" s="54">
        <v>16.239999999999998</v>
      </c>
      <c r="R21" s="194"/>
      <c r="S21" s="194"/>
      <c r="T21" s="194"/>
      <c r="U21" s="194"/>
    </row>
    <row r="22" spans="1:21" s="12" customFormat="1" ht="15">
      <c r="A22" s="206" t="s">
        <v>353</v>
      </c>
      <c r="B22" s="54">
        <v>1.41</v>
      </c>
      <c r="C22" s="54">
        <v>18.71</v>
      </c>
      <c r="D22" s="54">
        <v>20.12</v>
      </c>
      <c r="E22" s="54">
        <v>9.02</v>
      </c>
      <c r="F22" s="54">
        <v>0.90</v>
      </c>
      <c r="G22" s="9" t="s">
        <v>36</v>
      </c>
      <c r="H22" s="54">
        <v>17.57</v>
      </c>
      <c r="I22" s="54">
        <v>7.25</v>
      </c>
      <c r="J22" s="54">
        <v>2.36</v>
      </c>
      <c r="K22" s="54">
        <v>328.27</v>
      </c>
      <c r="L22" s="54">
        <v>28.65</v>
      </c>
      <c r="M22" s="54">
        <v>81.13</v>
      </c>
      <c r="N22" s="54">
        <v>698.20</v>
      </c>
      <c r="O22" s="54">
        <v>0</v>
      </c>
      <c r="P22" s="54">
        <v>2.64</v>
      </c>
      <c r="Q22" s="54">
        <v>17.95</v>
      </c>
      <c r="R22" s="194"/>
      <c r="S22" s="194"/>
      <c r="T22" s="194"/>
      <c r="U22" s="194"/>
    </row>
    <row r="23" spans="1:21" s="12" customFormat="1" ht="15">
      <c r="A23" s="206" t="s">
        <v>354</v>
      </c>
      <c r="B23" s="54">
        <v>1.36</v>
      </c>
      <c r="C23" s="54">
        <v>19.30</v>
      </c>
      <c r="D23" s="54">
        <v>20.66</v>
      </c>
      <c r="E23" s="54">
        <v>9.2200000000000006</v>
      </c>
      <c r="F23" s="54">
        <v>0.62</v>
      </c>
      <c r="G23" s="9" t="s">
        <v>36</v>
      </c>
      <c r="H23" s="54">
        <v>17.57</v>
      </c>
      <c r="I23" s="54">
        <v>7.19</v>
      </c>
      <c r="J23" s="54">
        <v>1.1299999999999999</v>
      </c>
      <c r="K23" s="54">
        <v>322.79000000000002</v>
      </c>
      <c r="L23" s="54">
        <v>30.34</v>
      </c>
      <c r="M23" s="54">
        <v>80.069999999999993</v>
      </c>
      <c r="N23" s="54">
        <v>605.20000000000005</v>
      </c>
      <c r="O23" s="54">
        <v>0</v>
      </c>
      <c r="P23" s="54">
        <v>2.62</v>
      </c>
      <c r="Q23" s="54">
        <v>19.71</v>
      </c>
      <c r="R23" s="194"/>
      <c r="S23" s="194"/>
      <c r="T23" s="194"/>
      <c r="U23" s="194"/>
    </row>
    <row r="24" spans="1:21" s="12" customFormat="1" ht="15">
      <c r="A24" s="206" t="s">
        <v>355</v>
      </c>
      <c r="B24" s="54">
        <v>1.39</v>
      </c>
      <c r="C24" s="54">
        <v>19.87</v>
      </c>
      <c r="D24" s="54">
        <v>21.26</v>
      </c>
      <c r="E24" s="54">
        <v>4.29</v>
      </c>
      <c r="F24" s="54">
        <v>0.59</v>
      </c>
      <c r="G24" s="9" t="s">
        <v>36</v>
      </c>
      <c r="H24" s="54">
        <v>17.57</v>
      </c>
      <c r="I24" s="54">
        <v>7.16</v>
      </c>
      <c r="J24" s="54">
        <v>0.67</v>
      </c>
      <c r="K24" s="54">
        <v>274.52999999999997</v>
      </c>
      <c r="L24" s="54">
        <v>20.149999999999999</v>
      </c>
      <c r="M24" s="54">
        <v>79.650000000000006</v>
      </c>
      <c r="N24" s="54">
        <v>679.20</v>
      </c>
      <c r="O24" s="54">
        <v>0</v>
      </c>
      <c r="P24" s="54">
        <v>2.59</v>
      </c>
      <c r="Q24" s="54">
        <v>21.56</v>
      </c>
      <c r="R24" s="194"/>
      <c r="S24" s="194"/>
      <c r="T24" s="194"/>
      <c r="U24" s="194"/>
    </row>
    <row r="25" spans="1:21" s="12" customFormat="1" ht="15">
      <c r="A25" s="206" t="s">
        <v>356</v>
      </c>
      <c r="B25" s="54">
        <v>1.56</v>
      </c>
      <c r="C25" s="54">
        <v>20.399999999999999</v>
      </c>
      <c r="D25" s="54">
        <v>21.96</v>
      </c>
      <c r="E25" s="54">
        <v>9.6300000000000008</v>
      </c>
      <c r="F25" s="54">
        <v>0.46</v>
      </c>
      <c r="G25" s="9" t="s">
        <v>36</v>
      </c>
      <c r="H25" s="54">
        <v>18.25</v>
      </c>
      <c r="I25" s="54">
        <v>7.06</v>
      </c>
      <c r="J25" s="54">
        <v>1.95</v>
      </c>
      <c r="K25" s="54">
        <v>210.68</v>
      </c>
      <c r="L25" s="54">
        <v>18.68</v>
      </c>
      <c r="M25" s="54">
        <v>81.93</v>
      </c>
      <c r="N25" s="54">
        <v>722.20</v>
      </c>
      <c r="O25" s="54">
        <v>0</v>
      </c>
      <c r="P25" s="54">
        <v>2.57</v>
      </c>
      <c r="Q25" s="54">
        <v>23.16</v>
      </c>
      <c r="R25" s="194"/>
      <c r="S25" s="194"/>
      <c r="T25" s="194"/>
      <c r="U25" s="194"/>
    </row>
    <row r="26" spans="1:21" s="12" customFormat="1" ht="15">
      <c r="A26" s="206" t="s">
        <v>357</v>
      </c>
      <c r="B26" s="54">
        <v>1.78</v>
      </c>
      <c r="C26" s="54">
        <v>20.77</v>
      </c>
      <c r="D26" s="54">
        <v>22.55</v>
      </c>
      <c r="E26" s="54">
        <v>10.050000000000001</v>
      </c>
      <c r="F26" s="54">
        <v>0.42</v>
      </c>
      <c r="G26" s="9" t="s">
        <v>36</v>
      </c>
      <c r="H26" s="54">
        <v>19.920000000000002</v>
      </c>
      <c r="I26" s="54">
        <v>6.99</v>
      </c>
      <c r="J26" s="54">
        <v>2.66</v>
      </c>
      <c r="K26" s="54">
        <v>225.52</v>
      </c>
      <c r="L26" s="54">
        <v>17.14</v>
      </c>
      <c r="M26" s="54">
        <v>83.62</v>
      </c>
      <c r="N26" s="54">
        <v>687.90</v>
      </c>
      <c r="O26" s="54">
        <v>0</v>
      </c>
      <c r="P26" s="54">
        <v>2.57</v>
      </c>
      <c r="Q26" s="54">
        <v>24.09</v>
      </c>
      <c r="R26" s="194"/>
      <c r="S26" s="194"/>
      <c r="T26" s="194"/>
      <c r="U26" s="194"/>
    </row>
    <row r="27" spans="1:21" s="12" customFormat="1" ht="15">
      <c r="A27" s="206" t="s">
        <v>358</v>
      </c>
      <c r="B27" s="54">
        <v>2.0099999999999998</v>
      </c>
      <c r="C27" s="54">
        <v>21.33</v>
      </c>
      <c r="D27" s="54">
        <v>23.34</v>
      </c>
      <c r="E27" s="54">
        <v>10.57</v>
      </c>
      <c r="F27" s="54">
        <v>0.46</v>
      </c>
      <c r="G27" s="9" t="s">
        <v>36</v>
      </c>
      <c r="H27" s="54">
        <v>19.920000000000002</v>
      </c>
      <c r="I27" s="54">
        <v>7.02</v>
      </c>
      <c r="J27" s="54">
        <v>1.78</v>
      </c>
      <c r="K27" s="54">
        <v>227.71</v>
      </c>
      <c r="L27" s="54">
        <v>16.16</v>
      </c>
      <c r="M27" s="54">
        <v>83.81</v>
      </c>
      <c r="N27" s="54">
        <v>727.70</v>
      </c>
      <c r="O27" s="54">
        <v>0</v>
      </c>
      <c r="P27" s="54">
        <v>2.56</v>
      </c>
      <c r="Q27" s="54">
        <v>24.98</v>
      </c>
      <c r="R27" s="194"/>
      <c r="S27" s="194"/>
      <c r="T27" s="194"/>
      <c r="U27" s="194"/>
    </row>
    <row r="28" spans="1:21" s="12" customFormat="1" ht="15">
      <c r="A28" s="206" t="s">
        <v>359</v>
      </c>
      <c r="B28" s="54">
        <v>2.2999999999999998</v>
      </c>
      <c r="C28" s="54">
        <v>18.920000000000002</v>
      </c>
      <c r="D28" s="54">
        <v>21.22</v>
      </c>
      <c r="E28" s="54">
        <v>10.56</v>
      </c>
      <c r="F28" s="54">
        <v>2.06</v>
      </c>
      <c r="G28" s="9" t="s">
        <v>36</v>
      </c>
      <c r="H28" s="54">
        <v>19.920000000000002</v>
      </c>
      <c r="I28" s="54">
        <v>7.15</v>
      </c>
      <c r="J28" s="54">
        <v>0.72</v>
      </c>
      <c r="K28" s="54">
        <v>270.64999999999998</v>
      </c>
      <c r="L28" s="54">
        <v>16.739999999999998</v>
      </c>
      <c r="M28" s="54">
        <v>84.40</v>
      </c>
      <c r="N28" s="54">
        <v>747.70</v>
      </c>
      <c r="O28" s="54">
        <v>0</v>
      </c>
      <c r="P28" s="54">
        <v>2.5299999999999998</v>
      </c>
      <c r="Q28" s="54">
        <v>25.19</v>
      </c>
      <c r="R28" s="194"/>
      <c r="S28" s="194"/>
      <c r="T28" s="194"/>
      <c r="U28" s="194"/>
    </row>
    <row r="29" spans="1:21" s="12" customFormat="1" ht="15">
      <c r="A29" s="206" t="s">
        <v>360</v>
      </c>
      <c r="B29" s="54">
        <v>2.83</v>
      </c>
      <c r="C29" s="54">
        <v>15.43</v>
      </c>
      <c r="D29" s="54">
        <v>18.25</v>
      </c>
      <c r="E29" s="54">
        <v>10.68</v>
      </c>
      <c r="F29" s="54">
        <v>1.74</v>
      </c>
      <c r="G29" s="9" t="s">
        <v>36</v>
      </c>
      <c r="H29" s="54">
        <v>18.29</v>
      </c>
      <c r="I29" s="54">
        <v>7.13</v>
      </c>
      <c r="J29" s="54">
        <v>0.34</v>
      </c>
      <c r="K29" s="54">
        <v>146.97999999999999</v>
      </c>
      <c r="L29" s="54">
        <v>17.46</v>
      </c>
      <c r="M29" s="54">
        <v>85.14</v>
      </c>
      <c r="N29" s="54">
        <v>753.20</v>
      </c>
      <c r="O29" s="54">
        <v>0</v>
      </c>
      <c r="P29" s="54">
        <v>2.5299999999999998</v>
      </c>
      <c r="Q29" s="54">
        <v>21.11</v>
      </c>
      <c r="R29" s="194"/>
      <c r="S29" s="194"/>
      <c r="T29" s="194"/>
      <c r="U29" s="194"/>
    </row>
    <row r="30" spans="1:21" s="12" customFormat="1" ht="15">
      <c r="A30" s="206" t="s">
        <v>361</v>
      </c>
      <c r="B30" s="54">
        <v>3.24</v>
      </c>
      <c r="C30" s="54">
        <v>15.81</v>
      </c>
      <c r="D30" s="54">
        <v>19.05</v>
      </c>
      <c r="E30" s="54">
        <v>10.76</v>
      </c>
      <c r="F30" s="54">
        <v>0.35</v>
      </c>
      <c r="G30" s="9" t="s">
        <v>36</v>
      </c>
      <c r="H30" s="54">
        <v>14.26</v>
      </c>
      <c r="I30" s="54">
        <v>6.46</v>
      </c>
      <c r="J30" s="54">
        <v>1.1200000000000001</v>
      </c>
      <c r="K30" s="54">
        <v>18.829999999999998</v>
      </c>
      <c r="L30" s="54">
        <v>19.62</v>
      </c>
      <c r="M30" s="54">
        <v>86.42</v>
      </c>
      <c r="N30" s="54">
        <v>718.20</v>
      </c>
      <c r="O30" s="54">
        <v>0</v>
      </c>
      <c r="P30" s="54">
        <v>2.5299999999999998</v>
      </c>
      <c r="Q30" s="54">
        <v>15.82</v>
      </c>
      <c r="R30" s="194"/>
      <c r="S30" s="194"/>
      <c r="T30" s="194"/>
      <c r="U30" s="194"/>
    </row>
    <row r="31" spans="1:21" s="12" customFormat="1" ht="15">
      <c r="A31" s="206" t="s">
        <v>362</v>
      </c>
      <c r="B31" s="54">
        <v>3.68</v>
      </c>
      <c r="C31" s="54">
        <v>15.94</v>
      </c>
      <c r="D31" s="54">
        <v>19.61</v>
      </c>
      <c r="E31" s="54">
        <v>11</v>
      </c>
      <c r="F31" s="54">
        <v>0.18</v>
      </c>
      <c r="G31" s="9" t="s">
        <v>36</v>
      </c>
      <c r="H31" s="54">
        <v>14.26</v>
      </c>
      <c r="I31" s="54">
        <v>5.89</v>
      </c>
      <c r="J31" s="54">
        <v>1.64</v>
      </c>
      <c r="K31" s="54">
        <v>25.95</v>
      </c>
      <c r="L31" s="54">
        <v>21.37</v>
      </c>
      <c r="M31" s="54">
        <v>88.37</v>
      </c>
      <c r="N31" s="54">
        <v>731.90</v>
      </c>
      <c r="O31" s="54">
        <v>0</v>
      </c>
      <c r="P31" s="54">
        <v>2.52</v>
      </c>
      <c r="Q31" s="54">
        <v>13.18</v>
      </c>
      <c r="R31" s="194"/>
      <c r="S31" s="194"/>
      <c r="T31" s="194"/>
      <c r="U31" s="194"/>
    </row>
    <row r="32" spans="1:21" s="12" customFormat="1" ht="15">
      <c r="A32" s="206" t="s">
        <v>363</v>
      </c>
      <c r="B32" s="54">
        <v>4.2699999999999996</v>
      </c>
      <c r="C32" s="54">
        <v>16.02</v>
      </c>
      <c r="D32" s="54">
        <v>20.29</v>
      </c>
      <c r="E32" s="54">
        <v>10.71</v>
      </c>
      <c r="F32" s="54">
        <v>0.37</v>
      </c>
      <c r="G32" s="9" t="s">
        <v>36</v>
      </c>
      <c r="H32" s="54">
        <v>14.26</v>
      </c>
      <c r="I32" s="54">
        <v>5.70</v>
      </c>
      <c r="J32" s="54">
        <v>1.41</v>
      </c>
      <c r="K32" s="54">
        <v>299.75</v>
      </c>
      <c r="L32" s="54">
        <v>18.059999999999999</v>
      </c>
      <c r="M32" s="54">
        <v>89.70</v>
      </c>
      <c r="N32" s="54">
        <v>727</v>
      </c>
      <c r="O32" s="54">
        <v>0</v>
      </c>
      <c r="P32" s="54">
        <v>2.5299999999999998</v>
      </c>
      <c r="Q32" s="54">
        <v>12.15</v>
      </c>
      <c r="R32" s="194"/>
      <c r="S32" s="194"/>
      <c r="T32" s="194"/>
      <c r="U32" s="194"/>
    </row>
    <row r="33" spans="1:21" s="12" customFormat="1" ht="15">
      <c r="A33" s="206" t="s">
        <v>364</v>
      </c>
      <c r="B33" s="54">
        <v>4.88</v>
      </c>
      <c r="C33" s="54">
        <v>16.010000000000002</v>
      </c>
      <c r="D33" s="54">
        <v>20.88</v>
      </c>
      <c r="E33" s="54">
        <v>10.75</v>
      </c>
      <c r="F33" s="54">
        <v>0.49</v>
      </c>
      <c r="G33" s="9" t="s">
        <v>36</v>
      </c>
      <c r="H33" s="54">
        <v>14.75</v>
      </c>
      <c r="I33" s="54">
        <v>5.87</v>
      </c>
      <c r="J33" s="54">
        <v>0.37</v>
      </c>
      <c r="K33" s="54">
        <v>284.63</v>
      </c>
      <c r="L33" s="54">
        <v>17.350000000000001</v>
      </c>
      <c r="M33" s="54">
        <v>90.65</v>
      </c>
      <c r="N33" s="54">
        <v>679.60</v>
      </c>
      <c r="O33" s="54">
        <v>0</v>
      </c>
      <c r="P33" s="54">
        <v>2.52</v>
      </c>
      <c r="Q33" s="54">
        <v>11.68</v>
      </c>
      <c r="R33" s="194"/>
      <c r="S33" s="194"/>
      <c r="T33" s="194"/>
      <c r="U33" s="194"/>
    </row>
    <row r="34" spans="1:21" s="12" customFormat="1" ht="15">
      <c r="A34" s="206" t="s">
        <v>365</v>
      </c>
      <c r="B34" s="54">
        <v>5.34</v>
      </c>
      <c r="C34" s="54">
        <v>15.93</v>
      </c>
      <c r="D34" s="54">
        <v>21.28</v>
      </c>
      <c r="E34" s="54">
        <v>11.31</v>
      </c>
      <c r="F34" s="54">
        <v>0.35</v>
      </c>
      <c r="G34" s="9" t="s">
        <v>36</v>
      </c>
      <c r="H34" s="54">
        <v>15.97</v>
      </c>
      <c r="I34" s="54">
        <v>5.34</v>
      </c>
      <c r="J34" s="54">
        <v>1.45</v>
      </c>
      <c r="K34" s="54">
        <v>347.42</v>
      </c>
      <c r="L34" s="54">
        <v>17.89</v>
      </c>
      <c r="M34" s="54">
        <v>91.25</v>
      </c>
      <c r="N34" s="54">
        <v>756.90</v>
      </c>
      <c r="O34" s="54">
        <v>0.20</v>
      </c>
      <c r="P34" s="54">
        <v>2.5299999999999998</v>
      </c>
      <c r="Q34" s="54">
        <v>11.51</v>
      </c>
      <c r="R34" s="194"/>
      <c r="S34" s="194"/>
      <c r="T34" s="194"/>
      <c r="U34" s="194"/>
    </row>
    <row r="35" spans="1:21" s="12" customFormat="1" ht="15">
      <c r="A35" s="206" t="s">
        <v>366</v>
      </c>
      <c r="B35" s="54">
        <v>5.88</v>
      </c>
      <c r="C35" s="54">
        <v>16.59</v>
      </c>
      <c r="D35" s="54">
        <v>22.47</v>
      </c>
      <c r="E35" s="54">
        <v>11.23</v>
      </c>
      <c r="F35" s="54">
        <v>0.17</v>
      </c>
      <c r="G35" s="9" t="s">
        <v>36</v>
      </c>
      <c r="H35" s="54">
        <v>15.97</v>
      </c>
      <c r="I35" s="54">
        <v>5.19</v>
      </c>
      <c r="J35" s="54">
        <v>-0.66</v>
      </c>
      <c r="K35" s="54">
        <v>-0.76</v>
      </c>
      <c r="L35" s="54">
        <v>18.260000000000002</v>
      </c>
      <c r="M35" s="54">
        <v>90.42</v>
      </c>
      <c r="N35" s="54">
        <v>774.70</v>
      </c>
      <c r="O35" s="54">
        <v>0</v>
      </c>
      <c r="P35" s="54">
        <v>2.5299999999999998</v>
      </c>
      <c r="Q35" s="54">
        <v>11.65</v>
      </c>
      <c r="R35" s="194"/>
      <c r="S35" s="194"/>
      <c r="T35" s="194"/>
      <c r="U35" s="194"/>
    </row>
    <row r="36" spans="1:21" s="12" customFormat="1" ht="15">
      <c r="A36" s="206" t="s">
        <v>367</v>
      </c>
      <c r="B36" s="54">
        <v>6.22</v>
      </c>
      <c r="C36" s="54">
        <v>18.18</v>
      </c>
      <c r="D36" s="54">
        <v>24.12</v>
      </c>
      <c r="E36" s="54">
        <v>10.94</v>
      </c>
      <c r="F36" s="54">
        <v>0.23</v>
      </c>
      <c r="G36" s="9" t="s">
        <v>36</v>
      </c>
      <c r="H36" s="54">
        <v>15.97</v>
      </c>
      <c r="I36" s="54">
        <v>5.64</v>
      </c>
      <c r="J36" s="54">
        <v>2.09</v>
      </c>
      <c r="K36" s="54">
        <v>160.13</v>
      </c>
      <c r="L36" s="54">
        <v>18.170000000000002</v>
      </c>
      <c r="M36" s="54">
        <v>90.75</v>
      </c>
      <c r="N36" s="54">
        <v>821.30</v>
      </c>
      <c r="O36" s="54">
        <v>0</v>
      </c>
      <c r="P36" s="54">
        <v>2.54</v>
      </c>
      <c r="Q36" s="54">
        <v>12.80</v>
      </c>
      <c r="R36" s="194"/>
      <c r="S36" s="194"/>
      <c r="T36" s="194"/>
      <c r="U36" s="194"/>
    </row>
    <row r="37" spans="1:21" s="12" customFormat="1" ht="15">
      <c r="A37" s="206" t="s">
        <v>368</v>
      </c>
      <c r="B37" s="54">
        <v>6.77</v>
      </c>
      <c r="C37" s="54">
        <v>19.25</v>
      </c>
      <c r="D37" s="54">
        <v>26.03</v>
      </c>
      <c r="E37" s="54">
        <v>10.92</v>
      </c>
      <c r="F37" s="54">
        <v>0.52</v>
      </c>
      <c r="G37" s="9" t="s">
        <v>36</v>
      </c>
      <c r="H37" s="54">
        <v>15.89</v>
      </c>
      <c r="I37" s="54">
        <v>6.48</v>
      </c>
      <c r="J37" s="54">
        <v>2.94</v>
      </c>
      <c r="K37" s="54">
        <v>177.53</v>
      </c>
      <c r="L37" s="54">
        <v>17.87</v>
      </c>
      <c r="M37" s="54">
        <v>90.45</v>
      </c>
      <c r="N37" s="54">
        <v>810.40</v>
      </c>
      <c r="O37" s="54">
        <v>0</v>
      </c>
      <c r="P37" s="54">
        <v>2.5499999999999998</v>
      </c>
      <c r="Q37" s="54">
        <v>14.87</v>
      </c>
      <c r="R37" s="194"/>
      <c r="S37" s="194"/>
      <c r="T37" s="194"/>
      <c r="U37" s="194"/>
    </row>
    <row r="38" spans="1:21" s="12" customFormat="1" ht="15">
      <c r="A38" s="206" t="s">
        <v>369</v>
      </c>
      <c r="B38" s="54">
        <v>6.64</v>
      </c>
      <c r="C38" s="54">
        <v>19.97</v>
      </c>
      <c r="D38" s="54">
        <v>26.61</v>
      </c>
      <c r="E38" s="54">
        <v>10.84</v>
      </c>
      <c r="F38" s="54">
        <v>0.45</v>
      </c>
      <c r="G38" s="9" t="s">
        <v>36</v>
      </c>
      <c r="H38" s="54">
        <v>15.72</v>
      </c>
      <c r="I38" s="54">
        <v>6.69</v>
      </c>
      <c r="J38" s="54">
        <v>2.23</v>
      </c>
      <c r="K38" s="54">
        <v>151.61000000000001</v>
      </c>
      <c r="L38" s="54">
        <v>18.34</v>
      </c>
      <c r="M38" s="54">
        <v>89.64</v>
      </c>
      <c r="N38" s="54">
        <v>782.80</v>
      </c>
      <c r="O38" s="54">
        <v>0</v>
      </c>
      <c r="P38" s="54">
        <v>2.5499999999999998</v>
      </c>
      <c r="Q38" s="54">
        <v>16.690000000000001</v>
      </c>
      <c r="R38" s="194"/>
      <c r="S38" s="194"/>
      <c r="T38" s="194"/>
      <c r="U38" s="194"/>
    </row>
    <row r="39" spans="1:21" s="12" customFormat="1" ht="15">
      <c r="A39" s="206" t="s">
        <v>370</v>
      </c>
      <c r="B39" s="54">
        <v>6.31</v>
      </c>
      <c r="C39" s="54">
        <v>20.52</v>
      </c>
      <c r="D39" s="54">
        <v>26.83</v>
      </c>
      <c r="E39" s="54">
        <v>10.57</v>
      </c>
      <c r="F39" s="54">
        <v>0.31</v>
      </c>
      <c r="G39" s="9" t="s">
        <v>36</v>
      </c>
      <c r="H39" s="54">
        <v>15.72</v>
      </c>
      <c r="I39" s="54">
        <v>6.67</v>
      </c>
      <c r="J39" s="54">
        <v>2.87</v>
      </c>
      <c r="K39" s="54">
        <v>187.12</v>
      </c>
      <c r="L39" s="54">
        <v>18.079999999999998</v>
      </c>
      <c r="M39" s="54">
        <v>88.69</v>
      </c>
      <c r="N39" s="54">
        <v>745.80</v>
      </c>
      <c r="O39" s="54">
        <v>0</v>
      </c>
      <c r="P39" s="54">
        <v>2.54</v>
      </c>
      <c r="Q39" s="54">
        <v>18.809999999999999</v>
      </c>
      <c r="R39" s="194"/>
      <c r="S39" s="194"/>
      <c r="T39" s="194"/>
      <c r="U39" s="194"/>
    </row>
    <row r="40" spans="1:21" s="12" customFormat="1" ht="15">
      <c r="A40" s="206" t="s">
        <v>371</v>
      </c>
      <c r="B40" s="54">
        <v>5.71</v>
      </c>
      <c r="C40" s="54">
        <v>20.80</v>
      </c>
      <c r="D40" s="54">
        <v>26.51</v>
      </c>
      <c r="E40" s="54">
        <v>4.8600000000000003</v>
      </c>
      <c r="F40" s="54">
        <v>0.03</v>
      </c>
      <c r="G40" s="9" t="s">
        <v>36</v>
      </c>
      <c r="H40" s="54">
        <v>15.72</v>
      </c>
      <c r="I40" s="54">
        <v>6.61</v>
      </c>
      <c r="J40" s="54">
        <v>0.82</v>
      </c>
      <c r="K40" s="54">
        <v>207.56</v>
      </c>
      <c r="L40" s="54">
        <v>18.399999999999999</v>
      </c>
      <c r="M40" s="54">
        <v>88.22</v>
      </c>
      <c r="N40" s="54">
        <v>835.60</v>
      </c>
      <c r="O40" s="54">
        <v>0</v>
      </c>
      <c r="P40" s="54">
        <v>2.54</v>
      </c>
      <c r="Q40" s="54">
        <v>20.98</v>
      </c>
      <c r="R40" s="194"/>
      <c r="S40" s="194"/>
      <c r="T40" s="194"/>
      <c r="U40" s="194"/>
    </row>
    <row r="41" spans="1:21" s="12" customFormat="1" ht="15">
      <c r="A41" s="206" t="s">
        <v>372</v>
      </c>
      <c r="B41" s="54">
        <v>5.19</v>
      </c>
      <c r="C41" s="54">
        <v>21.11</v>
      </c>
      <c r="D41" s="54">
        <v>26.30</v>
      </c>
      <c r="E41" s="54">
        <v>9.64</v>
      </c>
      <c r="F41" s="54">
        <v>0.04</v>
      </c>
      <c r="G41" s="9" t="s">
        <v>36</v>
      </c>
      <c r="H41" s="54">
        <v>15.07</v>
      </c>
      <c r="I41" s="54">
        <v>6.56</v>
      </c>
      <c r="J41" s="54">
        <v>1.77</v>
      </c>
      <c r="K41" s="54">
        <v>212.20</v>
      </c>
      <c r="L41" s="54">
        <v>18.690000000000001</v>
      </c>
      <c r="M41" s="54">
        <v>86.77</v>
      </c>
      <c r="N41" s="54">
        <v>930.40</v>
      </c>
      <c r="O41" s="54">
        <v>0</v>
      </c>
      <c r="P41" s="54">
        <v>2.54</v>
      </c>
      <c r="Q41" s="54">
        <v>23.12</v>
      </c>
      <c r="R41" s="194"/>
      <c r="S41" s="194"/>
      <c r="T41" s="194"/>
      <c r="U41" s="194"/>
    </row>
    <row r="42" spans="1:21" s="12" customFormat="1" ht="15">
      <c r="A42" s="206" t="s">
        <v>373</v>
      </c>
      <c r="B42" s="54">
        <v>4.59</v>
      </c>
      <c r="C42" s="54">
        <v>21.34</v>
      </c>
      <c r="D42" s="54">
        <v>25.93</v>
      </c>
      <c r="E42" s="54">
        <v>10.14</v>
      </c>
      <c r="F42" s="54">
        <v>0.28999999999999998</v>
      </c>
      <c r="G42" s="9" t="s">
        <v>36</v>
      </c>
      <c r="H42" s="54">
        <v>13.48</v>
      </c>
      <c r="I42" s="54">
        <v>6.48</v>
      </c>
      <c r="J42" s="54">
        <v>1.66</v>
      </c>
      <c r="K42" s="54">
        <v>213.77</v>
      </c>
      <c r="L42" s="54">
        <v>18.149999999999999</v>
      </c>
      <c r="M42" s="54">
        <v>84.73</v>
      </c>
      <c r="N42" s="54">
        <v>960.10</v>
      </c>
      <c r="O42" s="54">
        <v>0</v>
      </c>
      <c r="P42" s="54">
        <v>2.5299999999999998</v>
      </c>
      <c r="Q42" s="54">
        <v>24.71</v>
      </c>
      <c r="R42" s="194"/>
      <c r="S42" s="194"/>
      <c r="T42" s="194"/>
      <c r="U42" s="194"/>
    </row>
    <row r="43" spans="1:21" s="12" customFormat="1" ht="15">
      <c r="A43" s="206" t="s">
        <v>374</v>
      </c>
      <c r="B43" s="54">
        <v>4.29</v>
      </c>
      <c r="C43" s="54">
        <v>21.92</v>
      </c>
      <c r="D43" s="54">
        <v>26.22</v>
      </c>
      <c r="E43" s="54">
        <v>10.130000000000001</v>
      </c>
      <c r="F43" s="54">
        <v>0.35</v>
      </c>
      <c r="G43" s="9" t="s">
        <v>36</v>
      </c>
      <c r="H43" s="54">
        <v>13.48</v>
      </c>
      <c r="I43" s="54">
        <v>6.49</v>
      </c>
      <c r="J43" s="54">
        <v>0.38</v>
      </c>
      <c r="K43" s="54">
        <v>206.17</v>
      </c>
      <c r="L43" s="54">
        <v>18.38</v>
      </c>
      <c r="M43" s="54">
        <v>82.74</v>
      </c>
      <c r="N43" s="54">
        <v>822.80</v>
      </c>
      <c r="O43" s="54">
        <v>0</v>
      </c>
      <c r="P43" s="54">
        <v>2.54</v>
      </c>
      <c r="Q43" s="54">
        <v>26.30</v>
      </c>
      <c r="R43" s="194"/>
      <c r="S43" s="194"/>
      <c r="T43" s="194"/>
      <c r="U43" s="194"/>
    </row>
    <row r="44" spans="1:21" s="12" customFormat="1" ht="15">
      <c r="A44" s="206" t="s">
        <v>375</v>
      </c>
      <c r="B44" s="54">
        <v>4.22</v>
      </c>
      <c r="C44" s="54">
        <v>22.57</v>
      </c>
      <c r="D44" s="54">
        <v>26.79</v>
      </c>
      <c r="E44" s="54">
        <v>10.199999999999999</v>
      </c>
      <c r="F44" s="54">
        <v>0.32</v>
      </c>
      <c r="G44" s="9" t="s">
        <v>36</v>
      </c>
      <c r="H44" s="54">
        <v>13.48</v>
      </c>
      <c r="I44" s="54">
        <v>6.47</v>
      </c>
      <c r="J44" s="54">
        <v>0.42</v>
      </c>
      <c r="K44" s="54">
        <v>0.76</v>
      </c>
      <c r="L44" s="54">
        <v>17.75</v>
      </c>
      <c r="M44" s="54">
        <v>82.41</v>
      </c>
      <c r="N44" s="54">
        <v>857.80</v>
      </c>
      <c r="O44" s="54">
        <v>0</v>
      </c>
      <c r="P44" s="54">
        <v>2.56</v>
      </c>
      <c r="Q44" s="54">
        <v>28.08</v>
      </c>
      <c r="R44" s="194"/>
      <c r="S44" s="194"/>
      <c r="T44" s="194"/>
      <c r="U44" s="194"/>
    </row>
    <row r="45" spans="1:21" s="12" customFormat="1" ht="15">
      <c r="A45" s="206" t="s">
        <v>376</v>
      </c>
      <c r="B45" s="54">
        <v>4.0599999999999996</v>
      </c>
      <c r="C45" s="54">
        <v>23.27</v>
      </c>
      <c r="D45" s="54">
        <v>27.33</v>
      </c>
      <c r="E45" s="54">
        <v>10.45</v>
      </c>
      <c r="F45" s="54">
        <v>0.60</v>
      </c>
      <c r="G45" s="9" t="s">
        <v>36</v>
      </c>
      <c r="H45" s="54">
        <v>13.36</v>
      </c>
      <c r="I45" s="54">
        <v>6.54</v>
      </c>
      <c r="J45" s="54">
        <v>1.24</v>
      </c>
      <c r="K45" s="54">
        <v>323.18</v>
      </c>
      <c r="L45" s="54">
        <v>18.190000000000001</v>
      </c>
      <c r="M45" s="54">
        <v>81.569999999999993</v>
      </c>
      <c r="N45" s="54">
        <v>907.60</v>
      </c>
      <c r="O45" s="54">
        <v>0</v>
      </c>
      <c r="P45" s="54">
        <v>2.58</v>
      </c>
      <c r="Q45" s="54">
        <v>29.15</v>
      </c>
      <c r="R45" s="194"/>
      <c r="S45" s="194"/>
      <c r="T45" s="194"/>
      <c r="U45" s="194"/>
    </row>
    <row r="46" spans="1:21" s="12" customFormat="1" ht="15">
      <c r="A46" s="206" t="s">
        <v>377</v>
      </c>
      <c r="B46" s="54">
        <v>4.45</v>
      </c>
      <c r="C46" s="54">
        <v>19.02</v>
      </c>
      <c r="D46" s="54">
        <v>23.47</v>
      </c>
      <c r="E46" s="54">
        <v>10.84</v>
      </c>
      <c r="F46" s="54">
        <v>2.84</v>
      </c>
      <c r="G46" s="9" t="s">
        <v>36</v>
      </c>
      <c r="H46" s="54">
        <v>13.07</v>
      </c>
      <c r="I46" s="54">
        <v>6.63</v>
      </c>
      <c r="J46" s="54">
        <v>0.34</v>
      </c>
      <c r="K46" s="54">
        <v>327.83</v>
      </c>
      <c r="L46" s="54">
        <v>18.80</v>
      </c>
      <c r="M46" s="54">
        <v>80.56</v>
      </c>
      <c r="N46" s="54">
        <v>876.70</v>
      </c>
      <c r="O46" s="54">
        <v>0</v>
      </c>
      <c r="P46" s="54">
        <v>2.57</v>
      </c>
      <c r="Q46" s="54">
        <v>28.83</v>
      </c>
      <c r="R46" s="194"/>
      <c r="S46" s="194"/>
      <c r="T46" s="194"/>
      <c r="U46" s="194"/>
    </row>
    <row r="47" spans="1:21" s="12" customFormat="1" ht="15">
      <c r="A47" s="206" t="s">
        <v>378</v>
      </c>
      <c r="B47" s="54">
        <v>4.80</v>
      </c>
      <c r="C47" s="54">
        <v>16.59</v>
      </c>
      <c r="D47" s="54">
        <v>21.40</v>
      </c>
      <c r="E47" s="54">
        <v>10.58</v>
      </c>
      <c r="F47" s="54">
        <v>1.81</v>
      </c>
      <c r="G47" s="9" t="s">
        <v>36</v>
      </c>
      <c r="H47" s="54">
        <v>13.07</v>
      </c>
      <c r="I47" s="54">
        <v>6.56</v>
      </c>
      <c r="J47" s="54">
        <v>0.96</v>
      </c>
      <c r="K47" s="54">
        <v>270.45</v>
      </c>
      <c r="L47" s="54">
        <v>19.420000000000002</v>
      </c>
      <c r="M47" s="54">
        <v>79.459999999999994</v>
      </c>
      <c r="N47" s="54">
        <v>667.10</v>
      </c>
      <c r="O47" s="54">
        <v>0</v>
      </c>
      <c r="P47" s="54">
        <v>2.60</v>
      </c>
      <c r="Q47" s="54">
        <v>22.62</v>
      </c>
      <c r="R47" s="194"/>
      <c r="S47" s="194"/>
      <c r="T47" s="194"/>
      <c r="U47" s="194"/>
    </row>
    <row r="48" spans="1:21" s="12" customFormat="1" ht="15">
      <c r="A48" s="206" t="s">
        <v>379</v>
      </c>
      <c r="B48" s="54">
        <v>4.5599999999999996</v>
      </c>
      <c r="C48" s="54">
        <v>17.14</v>
      </c>
      <c r="D48" s="54">
        <v>21.70</v>
      </c>
      <c r="E48" s="54">
        <v>9.83</v>
      </c>
      <c r="F48" s="54">
        <v>0.5</v>
      </c>
      <c r="G48" s="9" t="s">
        <v>36</v>
      </c>
      <c r="H48" s="54">
        <v>13.07</v>
      </c>
      <c r="I48" s="54">
        <v>6.16</v>
      </c>
      <c r="J48" s="54">
        <v>1.05</v>
      </c>
      <c r="K48" s="54">
        <v>318.05</v>
      </c>
      <c r="L48" s="54">
        <v>19.55</v>
      </c>
      <c r="M48" s="54">
        <v>80.17</v>
      </c>
      <c r="N48" s="54">
        <v>684</v>
      </c>
      <c r="O48" s="54">
        <v>0</v>
      </c>
      <c r="P48" s="54">
        <v>2.59</v>
      </c>
      <c r="Q48" s="54">
        <v>16.850000000000001</v>
      </c>
      <c r="R48" s="194"/>
      <c r="S48" s="194"/>
      <c r="T48" s="194"/>
      <c r="U48" s="194"/>
    </row>
    <row r="49" spans="1:21" s="12" customFormat="1" ht="15">
      <c r="A49" s="206" t="s">
        <v>380</v>
      </c>
      <c r="B49" s="54">
        <v>4.30</v>
      </c>
      <c r="C49" s="54">
        <v>17.350000000000001</v>
      </c>
      <c r="D49" s="54">
        <v>21.65</v>
      </c>
      <c r="E49" s="54">
        <v>10.55</v>
      </c>
      <c r="F49" s="54">
        <v>0.56000000000000005</v>
      </c>
      <c r="G49" s="9" t="s">
        <v>36</v>
      </c>
      <c r="H49" s="54">
        <v>14.07</v>
      </c>
      <c r="I49" s="54">
        <v>5.98</v>
      </c>
      <c r="J49" s="54">
        <v>0.70</v>
      </c>
      <c r="K49" s="54">
        <v>36.950000000000003</v>
      </c>
      <c r="L49" s="54">
        <v>19.70</v>
      </c>
      <c r="M49" s="54">
        <v>78.14</v>
      </c>
      <c r="N49" s="54">
        <v>783.80</v>
      </c>
      <c r="O49" s="54">
        <v>0</v>
      </c>
      <c r="P49" s="54">
        <v>2.61</v>
      </c>
      <c r="Q49" s="54">
        <v>14.02</v>
      </c>
      <c r="R49" s="194"/>
      <c r="S49" s="194"/>
      <c r="T49" s="194"/>
      <c r="U49" s="194"/>
    </row>
    <row r="50" spans="1:21" s="12" customFormat="1" ht="15">
      <c r="A50" s="206" t="s">
        <v>381</v>
      </c>
      <c r="B50" s="54">
        <v>3.97</v>
      </c>
      <c r="C50" s="54">
        <v>17.989999999999998</v>
      </c>
      <c r="D50" s="54">
        <v>21.96</v>
      </c>
      <c r="E50" s="54">
        <v>10.01</v>
      </c>
      <c r="F50" s="54">
        <v>0.54</v>
      </c>
      <c r="G50" s="9" t="s">
        <v>36</v>
      </c>
      <c r="H50" s="54">
        <v>16.55</v>
      </c>
      <c r="I50" s="54">
        <v>5.91</v>
      </c>
      <c r="J50" s="54">
        <v>0.98</v>
      </c>
      <c r="K50" s="54">
        <v>32.28</v>
      </c>
      <c r="L50" s="54">
        <v>19.80</v>
      </c>
      <c r="M50" s="54">
        <v>77.650000000000006</v>
      </c>
      <c r="N50" s="54">
        <v>784.20</v>
      </c>
      <c r="O50" s="54">
        <v>0</v>
      </c>
      <c r="P50" s="54">
        <v>2.61</v>
      </c>
      <c r="Q50" s="54">
        <v>12.71</v>
      </c>
      <c r="R50" s="194"/>
      <c r="S50" s="194"/>
      <c r="T50" s="194"/>
      <c r="U50" s="194"/>
    </row>
    <row r="51" spans="1:21" s="12" customFormat="1" ht="15">
      <c r="A51" s="206" t="s">
        <v>382</v>
      </c>
      <c r="B51" s="54">
        <v>3.83</v>
      </c>
      <c r="C51" s="54">
        <v>18.93</v>
      </c>
      <c r="D51" s="54">
        <v>22.77</v>
      </c>
      <c r="E51" s="54">
        <v>10.25</v>
      </c>
      <c r="F51" s="54">
        <v>0.55000000000000004</v>
      </c>
      <c r="G51" s="9" t="s">
        <v>36</v>
      </c>
      <c r="H51" s="54">
        <v>16.55</v>
      </c>
      <c r="I51" s="54">
        <v>6.10</v>
      </c>
      <c r="J51" s="54">
        <v>0.30</v>
      </c>
      <c r="K51" s="54">
        <v>41.01</v>
      </c>
      <c r="L51" s="54">
        <v>19.55</v>
      </c>
      <c r="M51" s="54">
        <v>76.989999999999995</v>
      </c>
      <c r="N51" s="54">
        <v>793.70</v>
      </c>
      <c r="O51" s="54">
        <v>0</v>
      </c>
      <c r="P51" s="54">
        <v>2.64</v>
      </c>
      <c r="Q51" s="54">
        <v>12.16</v>
      </c>
      <c r="R51" s="194"/>
      <c r="S51" s="194"/>
      <c r="T51" s="194"/>
      <c r="U51" s="194"/>
    </row>
    <row r="52" spans="1:21" s="12" customFormat="1" ht="15">
      <c r="A52" s="206" t="s">
        <v>383</v>
      </c>
      <c r="B52" s="54">
        <v>3.65</v>
      </c>
      <c r="C52" s="54">
        <v>19.79</v>
      </c>
      <c r="D52" s="54">
        <v>23.44</v>
      </c>
      <c r="E52" s="54">
        <v>9.61</v>
      </c>
      <c r="F52" s="54">
        <v>0.71</v>
      </c>
      <c r="G52" s="9" t="s">
        <v>36</v>
      </c>
      <c r="H52" s="54">
        <v>16.55</v>
      </c>
      <c r="I52" s="54">
        <v>6.39</v>
      </c>
      <c r="J52" s="54">
        <v>0.25</v>
      </c>
      <c r="K52" s="54">
        <v>63.77</v>
      </c>
      <c r="L52" s="54">
        <v>19.27</v>
      </c>
      <c r="M52" s="54">
        <v>77.34</v>
      </c>
      <c r="N52" s="54">
        <v>916.70</v>
      </c>
      <c r="O52" s="54">
        <v>0</v>
      </c>
      <c r="P52" s="54">
        <v>2.65</v>
      </c>
      <c r="Q52" s="54">
        <v>11.84</v>
      </c>
      <c r="R52" s="194"/>
      <c r="S52" s="194"/>
      <c r="T52" s="194"/>
      <c r="U52" s="194"/>
    </row>
    <row r="53" spans="1:21" s="12" customFormat="1" ht="15">
      <c r="A53" s="206" t="s">
        <v>384</v>
      </c>
      <c r="B53" s="54">
        <v>3.55</v>
      </c>
      <c r="C53" s="54">
        <v>20.64</v>
      </c>
      <c r="D53" s="54">
        <v>24.19</v>
      </c>
      <c r="E53" s="54">
        <v>9.51</v>
      </c>
      <c r="F53" s="54">
        <v>0.95</v>
      </c>
      <c r="G53" s="9" t="s">
        <v>36</v>
      </c>
      <c r="H53" s="54">
        <v>16.93</v>
      </c>
      <c r="I53" s="54">
        <v>6.99</v>
      </c>
      <c r="J53" s="54">
        <v>2.16</v>
      </c>
      <c r="K53" s="54">
        <v>332.67</v>
      </c>
      <c r="L53" s="54">
        <v>20.46</v>
      </c>
      <c r="M53" s="54">
        <v>74.31</v>
      </c>
      <c r="N53" s="54">
        <v>977.20</v>
      </c>
      <c r="O53" s="54">
        <v>0</v>
      </c>
      <c r="P53" s="54">
        <v>2.69</v>
      </c>
      <c r="Q53" s="54">
        <v>12.12</v>
      </c>
      <c r="R53" s="194"/>
      <c r="S53" s="194"/>
      <c r="T53" s="194"/>
      <c r="U53" s="194"/>
    </row>
    <row r="54" spans="1:21" s="12" customFormat="1" ht="15">
      <c r="A54" s="206" t="s">
        <v>385</v>
      </c>
      <c r="B54" s="54">
        <v>3.29</v>
      </c>
      <c r="C54" s="54">
        <v>22.21</v>
      </c>
      <c r="D54" s="54">
        <v>25.5</v>
      </c>
      <c r="E54" s="54">
        <v>9.44</v>
      </c>
      <c r="F54" s="54">
        <v>1.30</v>
      </c>
      <c r="G54" s="9" t="s">
        <v>36</v>
      </c>
      <c r="H54" s="54">
        <v>17.88</v>
      </c>
      <c r="I54" s="54">
        <v>6.99</v>
      </c>
      <c r="J54" s="54">
        <v>0.66</v>
      </c>
      <c r="K54" s="54">
        <v>30.48</v>
      </c>
      <c r="L54" s="54">
        <v>20.64</v>
      </c>
      <c r="M54" s="54">
        <v>72.19</v>
      </c>
      <c r="N54" s="54">
        <v>890.20</v>
      </c>
      <c r="O54" s="54">
        <v>0</v>
      </c>
      <c r="P54" s="54">
        <v>2.72</v>
      </c>
      <c r="Q54" s="54">
        <v>13.41</v>
      </c>
      <c r="R54" s="194"/>
      <c r="S54" s="194"/>
      <c r="T54" s="194"/>
      <c r="U54" s="194"/>
    </row>
    <row r="55" spans="1:21" s="12" customFormat="1" ht="15">
      <c r="A55" s="206" t="s">
        <v>386</v>
      </c>
      <c r="B55" s="54">
        <v>2.77</v>
      </c>
      <c r="C55" s="54">
        <v>24.18</v>
      </c>
      <c r="D55" s="54">
        <v>26.95</v>
      </c>
      <c r="E55" s="54">
        <v>8.9499999999999993</v>
      </c>
      <c r="F55" s="54">
        <v>1.24</v>
      </c>
      <c r="G55" s="9" t="s">
        <v>36</v>
      </c>
      <c r="H55" s="54">
        <v>17.88</v>
      </c>
      <c r="I55" s="54">
        <v>7.27</v>
      </c>
      <c r="J55" s="54">
        <v>0.61</v>
      </c>
      <c r="K55" s="54">
        <v>16.38</v>
      </c>
      <c r="L55" s="54">
        <v>20.18</v>
      </c>
      <c r="M55" s="54">
        <v>72.92</v>
      </c>
      <c r="N55" s="54">
        <v>835.20</v>
      </c>
      <c r="O55" s="54">
        <v>0</v>
      </c>
      <c r="P55" s="54">
        <v>2.71</v>
      </c>
      <c r="Q55" s="54">
        <v>15.28</v>
      </c>
      <c r="R55" s="194"/>
      <c r="S55" s="194"/>
      <c r="T55" s="194"/>
      <c r="U55" s="194"/>
    </row>
    <row r="56" spans="1:21" s="12" customFormat="1" ht="15">
      <c r="A56" s="206" t="s">
        <v>387</v>
      </c>
      <c r="B56" s="54">
        <v>2.52</v>
      </c>
      <c r="C56" s="54">
        <v>25.74</v>
      </c>
      <c r="D56" s="54">
        <v>28.26</v>
      </c>
      <c r="E56" s="54">
        <v>4.0199999999999996</v>
      </c>
      <c r="F56" s="54">
        <v>1.84</v>
      </c>
      <c r="G56" s="9" t="s">
        <v>36</v>
      </c>
      <c r="H56" s="54">
        <v>17.88</v>
      </c>
      <c r="I56" s="54">
        <v>7.30</v>
      </c>
      <c r="J56" s="54">
        <v>2.29</v>
      </c>
      <c r="K56" s="54">
        <v>356.59</v>
      </c>
      <c r="L56" s="54">
        <v>21.08</v>
      </c>
      <c r="M56" s="54">
        <v>71.040000000000006</v>
      </c>
      <c r="N56" s="54">
        <v>955.30</v>
      </c>
      <c r="O56" s="54">
        <v>0</v>
      </c>
      <c r="P56" s="54">
        <v>2.71</v>
      </c>
      <c r="Q56" s="54">
        <v>17.739999999999998</v>
      </c>
      <c r="R56" s="194"/>
      <c r="S56" s="194"/>
      <c r="T56" s="194"/>
      <c r="U56" s="194"/>
    </row>
    <row r="57" spans="1:21" s="12" customFormat="1" ht="15">
      <c r="A57" s="206" t="s">
        <v>388</v>
      </c>
      <c r="B57" s="54">
        <v>2.48</v>
      </c>
      <c r="C57" s="54">
        <v>26.88</v>
      </c>
      <c r="D57" s="54">
        <v>29.36</v>
      </c>
      <c r="E57" s="54">
        <v>8.15</v>
      </c>
      <c r="F57" s="54">
        <v>1.1100000000000001</v>
      </c>
      <c r="G57" s="9" t="s">
        <v>36</v>
      </c>
      <c r="H57" s="54">
        <v>17.16</v>
      </c>
      <c r="I57" s="54">
        <v>7.16</v>
      </c>
      <c r="J57" s="54">
        <v>0.19</v>
      </c>
      <c r="K57" s="54">
        <v>286.81</v>
      </c>
      <c r="L57" s="54">
        <v>22.38</v>
      </c>
      <c r="M57" s="54">
        <v>70.599999999999994</v>
      </c>
      <c r="N57" s="54">
        <v>935.30</v>
      </c>
      <c r="O57" s="54">
        <v>0</v>
      </c>
      <c r="P57" s="54">
        <v>2.71</v>
      </c>
      <c r="Q57" s="54">
        <v>20.329999999999998</v>
      </c>
      <c r="R57" s="194"/>
      <c r="S57" s="194"/>
      <c r="T57" s="194"/>
      <c r="U57" s="194"/>
    </row>
    <row r="58" spans="1:21" s="12" customFormat="1" ht="15">
      <c r="A58" s="206" t="s">
        <v>389</v>
      </c>
      <c r="B58" s="54">
        <v>2.52</v>
      </c>
      <c r="C58" s="54">
        <v>27.73</v>
      </c>
      <c r="D58" s="54">
        <v>30.25</v>
      </c>
      <c r="E58" s="54">
        <v>8.33</v>
      </c>
      <c r="F58" s="54">
        <v>0.64</v>
      </c>
      <c r="G58" s="9" t="s">
        <v>36</v>
      </c>
      <c r="H58" s="54">
        <v>15.39</v>
      </c>
      <c r="I58" s="54">
        <v>7.11</v>
      </c>
      <c r="J58" s="54">
        <v>0.96</v>
      </c>
      <c r="K58" s="54">
        <v>328.16</v>
      </c>
      <c r="L58" s="54">
        <v>21.66</v>
      </c>
      <c r="M58" s="54">
        <v>69.91</v>
      </c>
      <c r="N58" s="54">
        <v>984</v>
      </c>
      <c r="O58" s="54">
        <v>0</v>
      </c>
      <c r="P58" s="54">
        <v>2.71</v>
      </c>
      <c r="Q58" s="54">
        <v>22.73</v>
      </c>
      <c r="R58" s="194"/>
      <c r="S58" s="194"/>
      <c r="T58" s="194"/>
      <c r="U58" s="194"/>
    </row>
    <row r="59" spans="1:21" s="12" customFormat="1" ht="15">
      <c r="A59" s="206" t="s">
        <v>390</v>
      </c>
      <c r="B59" s="54">
        <v>2.5299999999999998</v>
      </c>
      <c r="C59" s="54">
        <v>27.91</v>
      </c>
      <c r="D59" s="54">
        <v>30.44</v>
      </c>
      <c r="E59" s="54">
        <v>8.73</v>
      </c>
      <c r="F59" s="54">
        <v>0.61</v>
      </c>
      <c r="G59" s="9" t="s">
        <v>36</v>
      </c>
      <c r="H59" s="54">
        <v>15.39</v>
      </c>
      <c r="I59" s="54">
        <v>7.06</v>
      </c>
      <c r="J59" s="54">
        <v>1.73</v>
      </c>
      <c r="K59" s="54">
        <v>310.33999999999997</v>
      </c>
      <c r="L59" s="54">
        <v>22.5</v>
      </c>
      <c r="M59" s="54">
        <v>66.80</v>
      </c>
      <c r="N59" s="54">
        <v>973.80</v>
      </c>
      <c r="O59" s="54">
        <v>0</v>
      </c>
      <c r="P59" s="54">
        <v>2.71</v>
      </c>
      <c r="Q59" s="54">
        <v>24.89</v>
      </c>
      <c r="R59" s="194"/>
      <c r="S59" s="194"/>
      <c r="T59" s="194"/>
      <c r="U59" s="194"/>
    </row>
    <row r="60" spans="1:21" s="12" customFormat="1" ht="15">
      <c r="A60" s="206" t="s">
        <v>391</v>
      </c>
      <c r="B60" s="54">
        <v>2.2000000000000002</v>
      </c>
      <c r="C60" s="54">
        <v>27.36</v>
      </c>
      <c r="D60" s="54">
        <v>29.56</v>
      </c>
      <c r="E60" s="54">
        <v>9.11</v>
      </c>
      <c r="F60" s="54">
        <v>1.1000000000000001</v>
      </c>
      <c r="G60" s="9" t="s">
        <v>36</v>
      </c>
      <c r="H60" s="54">
        <v>15.39</v>
      </c>
      <c r="I60" s="54">
        <v>7.03</v>
      </c>
      <c r="J60" s="54">
        <v>1.47</v>
      </c>
      <c r="K60" s="54">
        <v>322.39</v>
      </c>
      <c r="L60" s="54">
        <v>23.28</v>
      </c>
      <c r="M60" s="54">
        <v>65.72</v>
      </c>
      <c r="N60" s="54">
        <v>1234.4000000000001</v>
      </c>
      <c r="O60" s="54">
        <v>0</v>
      </c>
      <c r="P60" s="54">
        <v>2.70</v>
      </c>
      <c r="Q60" s="54">
        <v>27.21</v>
      </c>
      <c r="R60" s="194"/>
      <c r="S60" s="194"/>
      <c r="T60" s="194"/>
      <c r="U60" s="194"/>
    </row>
    <row r="61" spans="1:21" s="12" customFormat="1" ht="15">
      <c r="A61" s="206" t="s">
        <v>392</v>
      </c>
      <c r="B61" s="54">
        <v>1.72</v>
      </c>
      <c r="C61" s="54">
        <v>26.55</v>
      </c>
      <c r="D61" s="54">
        <v>28.27</v>
      </c>
      <c r="E61" s="54">
        <v>9.61</v>
      </c>
      <c r="F61" s="54">
        <v>1.28</v>
      </c>
      <c r="G61" s="9" t="s">
        <v>36</v>
      </c>
      <c r="H61" s="54">
        <v>15.32</v>
      </c>
      <c r="I61" s="54">
        <v>6.98</v>
      </c>
      <c r="J61" s="54">
        <v>1.96</v>
      </c>
      <c r="K61" s="54">
        <v>303.10000000000002</v>
      </c>
      <c r="L61" s="54">
        <v>23.51</v>
      </c>
      <c r="M61" s="54">
        <v>61.95</v>
      </c>
      <c r="N61" s="54">
        <v>1161.0999999999999</v>
      </c>
      <c r="O61" s="54">
        <v>0</v>
      </c>
      <c r="P61" s="54">
        <v>2.69</v>
      </c>
      <c r="Q61" s="54">
        <v>27.99</v>
      </c>
      <c r="R61" s="194"/>
      <c r="S61" s="194"/>
      <c r="T61" s="194"/>
      <c r="U61" s="194"/>
    </row>
    <row r="62" spans="1:21" s="12" customFormat="1" ht="15">
      <c r="A62" s="206" t="s">
        <v>393</v>
      </c>
      <c r="B62" s="54">
        <v>1.36</v>
      </c>
      <c r="C62" s="54">
        <v>26</v>
      </c>
      <c r="D62" s="54">
        <v>27.36</v>
      </c>
      <c r="E62" s="54">
        <v>9.52</v>
      </c>
      <c r="F62" s="54">
        <v>1.73</v>
      </c>
      <c r="G62" s="9" t="s">
        <v>36</v>
      </c>
      <c r="H62" s="54">
        <v>15.14</v>
      </c>
      <c r="I62" s="54">
        <v>6.94</v>
      </c>
      <c r="J62" s="54">
        <v>3.19</v>
      </c>
      <c r="K62" s="54">
        <v>330.08</v>
      </c>
      <c r="L62" s="54">
        <v>25.64</v>
      </c>
      <c r="M62" s="54">
        <v>57.51</v>
      </c>
      <c r="N62" s="54">
        <v>1197</v>
      </c>
      <c r="O62" s="54">
        <v>0</v>
      </c>
      <c r="P62" s="54">
        <v>2.67</v>
      </c>
      <c r="Q62" s="54">
        <v>28.74</v>
      </c>
      <c r="R62" s="194"/>
      <c r="S62" s="194"/>
      <c r="T62" s="194"/>
      <c r="U62" s="194"/>
    </row>
    <row r="63" spans="1:21" s="12" customFormat="1" ht="15">
      <c r="A63" s="206" t="s">
        <v>394</v>
      </c>
      <c r="B63" s="54">
        <v>1.1599999999999999</v>
      </c>
      <c r="C63" s="54">
        <v>25.91</v>
      </c>
      <c r="D63" s="54">
        <v>27.07</v>
      </c>
      <c r="E63" s="54">
        <v>9.58</v>
      </c>
      <c r="F63" s="54">
        <v>2.15</v>
      </c>
      <c r="G63" s="9" t="s">
        <v>36</v>
      </c>
      <c r="H63" s="54">
        <v>15.14</v>
      </c>
      <c r="I63" s="54">
        <v>6.85</v>
      </c>
      <c r="J63" s="54">
        <v>0.69</v>
      </c>
      <c r="K63" s="54">
        <v>92.45</v>
      </c>
      <c r="L63" s="54">
        <v>23.5</v>
      </c>
      <c r="M63" s="54">
        <v>61.46</v>
      </c>
      <c r="N63" s="54">
        <v>799.90</v>
      </c>
      <c r="O63" s="54">
        <v>0</v>
      </c>
      <c r="P63" s="54">
        <v>2.66</v>
      </c>
      <c r="Q63" s="54">
        <v>29.41</v>
      </c>
      <c r="R63" s="194"/>
      <c r="S63" s="194"/>
      <c r="T63" s="194"/>
      <c r="U63" s="194"/>
    </row>
    <row r="64" spans="1:21" s="12" customFormat="1" ht="15">
      <c r="A64" s="206" t="s">
        <v>395</v>
      </c>
      <c r="B64" s="54">
        <v>1.30</v>
      </c>
      <c r="C64" s="54">
        <v>21.34</v>
      </c>
      <c r="D64" s="54">
        <v>22.64</v>
      </c>
      <c r="E64" s="54">
        <v>9.4499999999999993</v>
      </c>
      <c r="F64" s="54">
        <v>3.80</v>
      </c>
      <c r="G64" s="9" t="s">
        <v>36</v>
      </c>
      <c r="H64" s="54">
        <v>15.14</v>
      </c>
      <c r="I64" s="54">
        <v>6.76</v>
      </c>
      <c r="J64" s="54">
        <v>2.74</v>
      </c>
      <c r="K64" s="54">
        <v>334.33</v>
      </c>
      <c r="L64" s="54">
        <v>26.35</v>
      </c>
      <c r="M64" s="54">
        <v>58.98</v>
      </c>
      <c r="N64" s="54">
        <v>776.60</v>
      </c>
      <c r="O64" s="54">
        <v>0</v>
      </c>
      <c r="P64" s="54">
        <v>2.63</v>
      </c>
      <c r="Q64" s="54">
        <v>29.28</v>
      </c>
      <c r="R64" s="194"/>
      <c r="S64" s="194"/>
      <c r="T64" s="194"/>
      <c r="U64" s="194"/>
    </row>
    <row r="65" spans="1:21" s="12" customFormat="1" ht="15">
      <c r="A65" s="206" t="s">
        <v>396</v>
      </c>
      <c r="B65" s="54">
        <v>1.69</v>
      </c>
      <c r="C65" s="54">
        <v>19.89</v>
      </c>
      <c r="D65" s="54">
        <v>21.58</v>
      </c>
      <c r="E65" s="54">
        <v>9.2100000000000009</v>
      </c>
      <c r="F65" s="54">
        <v>2.34</v>
      </c>
      <c r="G65" s="9" t="s">
        <v>36</v>
      </c>
      <c r="H65" s="54">
        <v>15.77</v>
      </c>
      <c r="I65" s="54">
        <v>6.5</v>
      </c>
      <c r="J65" s="54">
        <v>1.60</v>
      </c>
      <c r="K65" s="54">
        <v>192.12</v>
      </c>
      <c r="L65" s="54">
        <v>22.98</v>
      </c>
      <c r="M65" s="54">
        <v>59.67</v>
      </c>
      <c r="N65" s="54">
        <v>784</v>
      </c>
      <c r="O65" s="54">
        <v>0</v>
      </c>
      <c r="P65" s="54">
        <v>2.64</v>
      </c>
      <c r="Q65" s="54">
        <v>20.75</v>
      </c>
      <c r="R65" s="194"/>
      <c r="S65" s="194"/>
      <c r="T65" s="194"/>
      <c r="U65" s="194"/>
    </row>
    <row r="66" spans="1:21" s="12" customFormat="1" ht="15">
      <c r="A66" s="206" t="s">
        <v>397</v>
      </c>
      <c r="B66" s="54">
        <v>1.52</v>
      </c>
      <c r="C66" s="54">
        <v>19.30</v>
      </c>
      <c r="D66" s="54">
        <v>20.82</v>
      </c>
      <c r="E66" s="54">
        <v>9.32</v>
      </c>
      <c r="F66" s="54">
        <v>1.87</v>
      </c>
      <c r="G66" s="9" t="s">
        <v>36</v>
      </c>
      <c r="H66" s="54">
        <v>17.32</v>
      </c>
      <c r="I66" s="54">
        <v>5.89</v>
      </c>
      <c r="J66" s="54">
        <v>2.46</v>
      </c>
      <c r="K66" s="54">
        <v>184.53</v>
      </c>
      <c r="L66" s="54">
        <v>19.97</v>
      </c>
      <c r="M66" s="54">
        <v>62.10</v>
      </c>
      <c r="N66" s="54">
        <v>671</v>
      </c>
      <c r="O66" s="54">
        <v>0</v>
      </c>
      <c r="P66" s="54">
        <v>2.63</v>
      </c>
      <c r="Q66" s="54">
        <v>15.01</v>
      </c>
      <c r="R66" s="194"/>
      <c r="S66" s="194"/>
      <c r="T66" s="194"/>
      <c r="U66" s="194"/>
    </row>
    <row r="67" spans="1:21" s="12" customFormat="1" ht="15">
      <c r="A67" s="206" t="s">
        <v>398</v>
      </c>
      <c r="B67" s="54">
        <v>1.19</v>
      </c>
      <c r="C67" s="54">
        <v>19.02</v>
      </c>
      <c r="D67" s="54">
        <v>20.21</v>
      </c>
      <c r="E67" s="54">
        <v>9.8000000000000007</v>
      </c>
      <c r="F67" s="54">
        <v>1.65</v>
      </c>
      <c r="G67" s="9" t="s">
        <v>36</v>
      </c>
      <c r="H67" s="54">
        <v>17.32</v>
      </c>
      <c r="I67" s="54">
        <v>5.29</v>
      </c>
      <c r="J67" s="54">
        <v>2.67</v>
      </c>
      <c r="K67" s="54">
        <v>162.52000000000001</v>
      </c>
      <c r="L67" s="54">
        <v>18.63</v>
      </c>
      <c r="M67" s="54">
        <v>62.15</v>
      </c>
      <c r="N67" s="54">
        <v>575</v>
      </c>
      <c r="O67" s="54">
        <v>0</v>
      </c>
      <c r="P67" s="54">
        <v>2.64</v>
      </c>
      <c r="Q67" s="54">
        <v>12.11</v>
      </c>
      <c r="R67" s="194"/>
      <c r="S67" s="194"/>
      <c r="T67" s="194"/>
      <c r="U67" s="194"/>
    </row>
    <row r="68" spans="1:21" s="12" customFormat="1" ht="15">
      <c r="A68" s="206" t="s">
        <v>399</v>
      </c>
      <c r="B68" s="54">
        <v>1.1000000000000001</v>
      </c>
      <c r="C68" s="54">
        <v>18.48</v>
      </c>
      <c r="D68" s="54">
        <v>19.57</v>
      </c>
      <c r="E68" s="54">
        <v>9.40</v>
      </c>
      <c r="F68" s="54">
        <v>1.51</v>
      </c>
      <c r="G68" s="9" t="s">
        <v>36</v>
      </c>
      <c r="H68" s="54">
        <v>17.32</v>
      </c>
      <c r="I68" s="54">
        <v>5.89</v>
      </c>
      <c r="J68" s="54">
        <v>0.87</v>
      </c>
      <c r="K68" s="54">
        <v>261.26</v>
      </c>
      <c r="L68" s="54">
        <v>19.510000000000002</v>
      </c>
      <c r="M68" s="54">
        <v>61.94</v>
      </c>
      <c r="N68" s="54">
        <v>564</v>
      </c>
      <c r="O68" s="54">
        <v>0</v>
      </c>
      <c r="P68" s="54">
        <v>2.63</v>
      </c>
      <c r="Q68" s="54">
        <v>10.98</v>
      </c>
      <c r="R68" s="194"/>
      <c r="S68" s="194"/>
      <c r="T68" s="194"/>
      <c r="U68" s="194"/>
    </row>
    <row r="69" spans="1:21" s="12" customFormat="1" ht="15">
      <c r="A69" s="206" t="s">
        <v>400</v>
      </c>
      <c r="B69" s="54">
        <v>1.23</v>
      </c>
      <c r="C69" s="54">
        <v>18.760000000000002</v>
      </c>
      <c r="D69" s="54">
        <v>19.989999999999998</v>
      </c>
      <c r="E69" s="54">
        <v>9.5500000000000007</v>
      </c>
      <c r="F69" s="54">
        <v>1.1399999999999999</v>
      </c>
      <c r="G69" s="9" t="s">
        <v>36</v>
      </c>
      <c r="H69" s="54">
        <v>17.16</v>
      </c>
      <c r="I69" s="54">
        <v>6.48</v>
      </c>
      <c r="J69" s="54">
        <v>1.34</v>
      </c>
      <c r="K69" s="54">
        <v>255.90</v>
      </c>
      <c r="L69" s="54">
        <v>20.13</v>
      </c>
      <c r="M69" s="54">
        <v>62.42</v>
      </c>
      <c r="N69" s="54">
        <v>500.80</v>
      </c>
      <c r="O69" s="54">
        <v>0</v>
      </c>
      <c r="P69" s="54">
        <v>2.65</v>
      </c>
      <c r="Q69" s="54">
        <v>10.54</v>
      </c>
      <c r="R69" s="194"/>
      <c r="S69" s="194"/>
      <c r="T69" s="194"/>
      <c r="U69" s="194"/>
    </row>
    <row r="70" spans="1:21" s="12" customFormat="1" ht="15">
      <c r="A70" s="206" t="s">
        <v>401</v>
      </c>
      <c r="B70" s="54">
        <v>1.5</v>
      </c>
      <c r="C70" s="54">
        <v>19.309999999999999</v>
      </c>
      <c r="D70" s="54">
        <v>20.80</v>
      </c>
      <c r="E70" s="54">
        <v>9.5399999999999991</v>
      </c>
      <c r="F70" s="54">
        <v>1.03</v>
      </c>
      <c r="G70" s="9" t="s">
        <v>36</v>
      </c>
      <c r="H70" s="54">
        <v>16.77</v>
      </c>
      <c r="I70" s="54">
        <v>7.81</v>
      </c>
      <c r="J70" s="54">
        <v>1.37</v>
      </c>
      <c r="K70" s="54">
        <v>311.05</v>
      </c>
      <c r="L70" s="54">
        <v>20.30</v>
      </c>
      <c r="M70" s="54">
        <v>62.89</v>
      </c>
      <c r="N70" s="54">
        <v>428.30</v>
      </c>
      <c r="O70" s="54">
        <v>0</v>
      </c>
      <c r="P70" s="54">
        <v>2.67</v>
      </c>
      <c r="Q70" s="54">
        <v>10.47</v>
      </c>
      <c r="R70" s="194"/>
      <c r="S70" s="194"/>
      <c r="T70" s="194"/>
      <c r="U70" s="194"/>
    </row>
    <row r="71" spans="1:21" s="12" customFormat="1" ht="15">
      <c r="A71" s="206" t="s">
        <v>402</v>
      </c>
      <c r="B71" s="54">
        <v>1.61</v>
      </c>
      <c r="C71" s="54">
        <v>19.70</v>
      </c>
      <c r="D71" s="54">
        <v>21.31</v>
      </c>
      <c r="E71" s="54">
        <v>9.10</v>
      </c>
      <c r="F71" s="54">
        <v>1.85</v>
      </c>
      <c r="G71" s="9" t="s">
        <v>36</v>
      </c>
      <c r="H71" s="54">
        <v>16.77</v>
      </c>
      <c r="I71" s="54">
        <v>7.71</v>
      </c>
      <c r="J71" s="54">
        <v>1.1499999999999999</v>
      </c>
      <c r="K71" s="54">
        <v>181.90</v>
      </c>
      <c r="L71" s="54">
        <v>20.11</v>
      </c>
      <c r="M71" s="54">
        <v>62.21</v>
      </c>
      <c r="N71" s="54">
        <v>478.60</v>
      </c>
      <c r="O71" s="54">
        <v>0</v>
      </c>
      <c r="P71" s="54">
        <v>2.67</v>
      </c>
      <c r="Q71" s="54">
        <v>11.24</v>
      </c>
      <c r="R71" s="194"/>
      <c r="S71" s="194"/>
      <c r="T71" s="194"/>
      <c r="U71" s="194"/>
    </row>
    <row r="72" spans="1:21" s="12" customFormat="1" ht="15">
      <c r="A72" s="206" t="s">
        <v>403</v>
      </c>
      <c r="B72" s="54">
        <v>1.23</v>
      </c>
      <c r="C72" s="54">
        <v>20.55</v>
      </c>
      <c r="D72" s="54">
        <v>21.78</v>
      </c>
      <c r="E72" s="54">
        <v>4.0199999999999996</v>
      </c>
      <c r="F72" s="54">
        <v>2.12</v>
      </c>
      <c r="G72" s="9" t="s">
        <v>36</v>
      </c>
      <c r="H72" s="54">
        <v>16.77</v>
      </c>
      <c r="I72" s="54">
        <v>7.52</v>
      </c>
      <c r="J72" s="54">
        <v>1.61</v>
      </c>
      <c r="K72" s="54">
        <v>200.58</v>
      </c>
      <c r="L72" s="54">
        <v>20.61</v>
      </c>
      <c r="M72" s="54">
        <v>61.28</v>
      </c>
      <c r="N72" s="54">
        <v>735.90</v>
      </c>
      <c r="O72" s="54">
        <v>0</v>
      </c>
      <c r="P72" s="54">
        <v>2.67</v>
      </c>
      <c r="Q72" s="54">
        <v>12.55</v>
      </c>
      <c r="R72" s="194"/>
      <c r="S72" s="194"/>
      <c r="T72" s="194"/>
      <c r="U72" s="194"/>
    </row>
    <row r="73" spans="1:21" s="12" customFormat="1" ht="15">
      <c r="A73" s="206" t="s">
        <v>404</v>
      </c>
      <c r="B73" s="54">
        <v>0.86</v>
      </c>
      <c r="C73" s="54">
        <v>20.74</v>
      </c>
      <c r="D73" s="54">
        <v>21.60</v>
      </c>
      <c r="E73" s="54">
        <v>8.68</v>
      </c>
      <c r="F73" s="54">
        <v>2.02</v>
      </c>
      <c r="G73" s="9" t="s">
        <v>36</v>
      </c>
      <c r="H73" s="54">
        <v>15.99</v>
      </c>
      <c r="I73" s="54">
        <v>7.60</v>
      </c>
      <c r="J73" s="54">
        <v>1.21</v>
      </c>
      <c r="K73" s="54">
        <v>199.32</v>
      </c>
      <c r="L73" s="54">
        <v>21.27</v>
      </c>
      <c r="M73" s="54">
        <v>60.04</v>
      </c>
      <c r="N73" s="54">
        <v>735</v>
      </c>
      <c r="O73" s="54">
        <v>0</v>
      </c>
      <c r="P73" s="54">
        <v>2.65</v>
      </c>
      <c r="Q73" s="54">
        <v>14.12</v>
      </c>
      <c r="R73" s="194"/>
      <c r="S73" s="194"/>
      <c r="T73" s="194"/>
      <c r="U73" s="194"/>
    </row>
    <row r="74" spans="1:21" s="12" customFormat="1" ht="15">
      <c r="A74" s="206" t="s">
        <v>405</v>
      </c>
      <c r="B74" s="54">
        <v>0.62</v>
      </c>
      <c r="C74" s="54">
        <v>20.98</v>
      </c>
      <c r="D74" s="54">
        <v>21.59</v>
      </c>
      <c r="E74" s="54">
        <v>8.58</v>
      </c>
      <c r="F74" s="54">
        <v>1.53</v>
      </c>
      <c r="G74" s="9" t="s">
        <v>36</v>
      </c>
      <c r="H74" s="54">
        <v>14.08</v>
      </c>
      <c r="I74" s="54">
        <v>7.65</v>
      </c>
      <c r="J74" s="54">
        <v>2.21</v>
      </c>
      <c r="K74" s="54">
        <v>176.75</v>
      </c>
      <c r="L74" s="54">
        <v>20.85</v>
      </c>
      <c r="M74" s="54">
        <v>61.30</v>
      </c>
      <c r="N74" s="54">
        <v>433.90</v>
      </c>
      <c r="O74" s="54">
        <v>0</v>
      </c>
      <c r="P74" s="54">
        <v>2.63</v>
      </c>
      <c r="Q74" s="54">
        <v>15.70</v>
      </c>
      <c r="R74" s="194"/>
      <c r="S74" s="194"/>
      <c r="T74" s="194"/>
      <c r="U74" s="194"/>
    </row>
    <row r="75" spans="1:21" s="12" customFormat="1" ht="15">
      <c r="A75" s="206" t="s">
        <v>406</v>
      </c>
      <c r="B75" s="54">
        <v>0.61</v>
      </c>
      <c r="C75" s="54">
        <v>20.99</v>
      </c>
      <c r="D75" s="54">
        <v>21.60</v>
      </c>
      <c r="E75" s="54">
        <v>8.33</v>
      </c>
      <c r="F75" s="54">
        <v>1.54</v>
      </c>
      <c r="G75" s="9" t="s">
        <v>36</v>
      </c>
      <c r="H75" s="54">
        <v>14.08</v>
      </c>
      <c r="I75" s="54">
        <v>7.67</v>
      </c>
      <c r="J75" s="54">
        <v>1.29</v>
      </c>
      <c r="K75" s="54">
        <v>232.44</v>
      </c>
      <c r="L75" s="54">
        <v>20.72</v>
      </c>
      <c r="M75" s="54">
        <v>62.52</v>
      </c>
      <c r="N75" s="54">
        <v>387.90</v>
      </c>
      <c r="O75" s="54">
        <v>0</v>
      </c>
      <c r="P75" s="54">
        <v>2.63</v>
      </c>
      <c r="Q75" s="54">
        <v>17.5</v>
      </c>
      <c r="R75" s="194"/>
      <c r="S75" s="194"/>
      <c r="T75" s="194"/>
      <c r="U75" s="194"/>
    </row>
    <row r="76" spans="1:21" s="12" customFormat="1" ht="15">
      <c r="A76" s="206" t="s">
        <v>407</v>
      </c>
      <c r="B76" s="54">
        <v>0.80</v>
      </c>
      <c r="C76" s="54">
        <v>21.53</v>
      </c>
      <c r="D76" s="54">
        <v>22.32</v>
      </c>
      <c r="E76" s="54">
        <v>8.89</v>
      </c>
      <c r="F76" s="54">
        <v>1.59</v>
      </c>
      <c r="G76" s="9" t="s">
        <v>36</v>
      </c>
      <c r="H76" s="54">
        <v>14.08</v>
      </c>
      <c r="I76" s="54">
        <v>7.57</v>
      </c>
      <c r="J76" s="54">
        <v>1.33</v>
      </c>
      <c r="K76" s="54">
        <v>299.35000000000002</v>
      </c>
      <c r="L76" s="54">
        <v>20.27</v>
      </c>
      <c r="M76" s="54">
        <v>65.150000000000006</v>
      </c>
      <c r="N76" s="54">
        <v>301.60000000000002</v>
      </c>
      <c r="O76" s="54">
        <v>0</v>
      </c>
      <c r="P76" s="54">
        <v>2.61</v>
      </c>
      <c r="Q76" s="54">
        <v>19.91</v>
      </c>
      <c r="R76" s="194"/>
      <c r="S76" s="194"/>
      <c r="T76" s="194"/>
      <c r="U76" s="194"/>
    </row>
    <row r="77" spans="1:21" s="12" customFormat="1" ht="15">
      <c r="A77" s="206" t="s">
        <v>408</v>
      </c>
      <c r="B77" s="54">
        <v>1.1200000000000001</v>
      </c>
      <c r="C77" s="54">
        <v>22.64</v>
      </c>
      <c r="D77" s="54">
        <v>23.76</v>
      </c>
      <c r="E77" s="54">
        <v>9.08</v>
      </c>
      <c r="F77" s="54">
        <v>1.81</v>
      </c>
      <c r="G77" s="9" t="s">
        <v>36</v>
      </c>
      <c r="H77" s="54">
        <v>13.09</v>
      </c>
      <c r="I77" s="54">
        <v>7.46</v>
      </c>
      <c r="J77" s="54">
        <v>5.93</v>
      </c>
      <c r="K77" s="54">
        <v>316.29000000000002</v>
      </c>
      <c r="L77" s="54">
        <v>19.62</v>
      </c>
      <c r="M77" s="54">
        <v>68.73</v>
      </c>
      <c r="N77" s="54">
        <v>333.80</v>
      </c>
      <c r="O77" s="54">
        <v>0</v>
      </c>
      <c r="P77" s="54">
        <v>2.63</v>
      </c>
      <c r="Q77" s="54">
        <v>23.09</v>
      </c>
      <c r="R77" s="194"/>
      <c r="S77" s="194"/>
      <c r="T77" s="194"/>
      <c r="U77" s="194"/>
    </row>
    <row r="78" spans="1:21" s="12" customFormat="1" ht="15">
      <c r="A78" s="206" t="s">
        <v>409</v>
      </c>
      <c r="B78" s="54">
        <v>1.25</v>
      </c>
      <c r="C78" s="54">
        <v>24.24</v>
      </c>
      <c r="D78" s="54">
        <v>25.49</v>
      </c>
      <c r="E78" s="54">
        <v>9.43</v>
      </c>
      <c r="F78" s="54">
        <v>2.41</v>
      </c>
      <c r="G78" s="9" t="s">
        <v>36</v>
      </c>
      <c r="H78" s="54">
        <v>10.66</v>
      </c>
      <c r="I78" s="54">
        <v>7.35</v>
      </c>
      <c r="J78" s="54">
        <v>6.08</v>
      </c>
      <c r="K78" s="54">
        <v>321.63</v>
      </c>
      <c r="L78" s="54">
        <v>17.350000000000001</v>
      </c>
      <c r="M78" s="54">
        <v>73.849999999999994</v>
      </c>
      <c r="N78" s="54">
        <v>356.60</v>
      </c>
      <c r="O78" s="54">
        <v>0</v>
      </c>
      <c r="P78" s="54">
        <v>2.61</v>
      </c>
      <c r="Q78" s="54">
        <v>24.23</v>
      </c>
      <c r="R78" s="194"/>
      <c r="S78" s="194"/>
      <c r="T78" s="194"/>
      <c r="U78" s="194"/>
    </row>
    <row r="79" spans="1:21" s="12" customFormat="1" ht="15">
      <c r="A79" s="206" t="s">
        <v>410</v>
      </c>
      <c r="B79" s="54">
        <v>1.24</v>
      </c>
      <c r="C79" s="54">
        <v>25.47</v>
      </c>
      <c r="D79" s="54">
        <v>26.72</v>
      </c>
      <c r="E79" s="54">
        <v>10.41</v>
      </c>
      <c r="F79" s="54">
        <v>2.1800000000000002</v>
      </c>
      <c r="G79" s="9" t="s">
        <v>36</v>
      </c>
      <c r="H79" s="54">
        <v>10.66</v>
      </c>
      <c r="I79" s="54">
        <v>7.25</v>
      </c>
      <c r="J79" s="54">
        <v>5.27</v>
      </c>
      <c r="K79" s="54">
        <v>319.04000000000002</v>
      </c>
      <c r="L79" s="54">
        <v>16.79</v>
      </c>
      <c r="M79" s="54">
        <v>74.650000000000006</v>
      </c>
      <c r="N79" s="54">
        <v>372.5</v>
      </c>
      <c r="O79" s="54">
        <v>0</v>
      </c>
      <c r="P79" s="54">
        <v>2.61</v>
      </c>
      <c r="Q79" s="54">
        <v>25.75</v>
      </c>
      <c r="R79" s="194"/>
      <c r="S79" s="194"/>
      <c r="T79" s="194"/>
      <c r="U79" s="194"/>
    </row>
    <row r="80" spans="1:21" s="12" customFormat="1" ht="15">
      <c r="A80" s="206" t="s">
        <v>411</v>
      </c>
      <c r="B80" s="54">
        <v>1.48</v>
      </c>
      <c r="C80" s="54">
        <v>26.31</v>
      </c>
      <c r="D80" s="54">
        <v>27.79</v>
      </c>
      <c r="E80" s="54">
        <v>10.18</v>
      </c>
      <c r="F80" s="54">
        <v>2.16</v>
      </c>
      <c r="G80" s="9" t="s">
        <v>36</v>
      </c>
      <c r="H80" s="54">
        <v>10.66</v>
      </c>
      <c r="I80" s="54">
        <v>6.88</v>
      </c>
      <c r="J80" s="54">
        <v>3.96</v>
      </c>
      <c r="K80" s="54">
        <v>312.06</v>
      </c>
      <c r="L80" s="54">
        <v>16.43</v>
      </c>
      <c r="M80" s="54">
        <v>81.63</v>
      </c>
      <c r="N80" s="54">
        <v>334.40</v>
      </c>
      <c r="O80" s="54">
        <v>0</v>
      </c>
      <c r="P80" s="54">
        <v>2.62</v>
      </c>
      <c r="Q80" s="54">
        <v>27.01</v>
      </c>
      <c r="R80" s="194"/>
      <c r="S80" s="194"/>
      <c r="T80" s="194"/>
      <c r="U80" s="194"/>
    </row>
    <row r="81" spans="1:21" s="12" customFormat="1" ht="15">
      <c r="A81" s="206" t="s">
        <v>412</v>
      </c>
      <c r="B81" s="54">
        <v>1.71</v>
      </c>
      <c r="C81" s="54">
        <v>26.25</v>
      </c>
      <c r="D81" s="54">
        <v>27.96</v>
      </c>
      <c r="E81" s="54">
        <v>10.55</v>
      </c>
      <c r="F81" s="54">
        <v>2.76</v>
      </c>
      <c r="G81" s="9" t="s">
        <v>36</v>
      </c>
      <c r="H81" s="54">
        <v>9.76</v>
      </c>
      <c r="I81" s="54">
        <v>6.62</v>
      </c>
      <c r="J81" s="54">
        <v>3.68</v>
      </c>
      <c r="K81" s="54">
        <v>317.99</v>
      </c>
      <c r="L81" s="54">
        <v>15.44</v>
      </c>
      <c r="M81" s="54">
        <v>85.68</v>
      </c>
      <c r="N81" s="54">
        <v>343.60</v>
      </c>
      <c r="O81" s="54">
        <v>0</v>
      </c>
      <c r="P81" s="54">
        <v>2.59</v>
      </c>
      <c r="Q81" s="54">
        <v>27.48</v>
      </c>
      <c r="R81" s="194"/>
      <c r="S81" s="194"/>
      <c r="T81" s="194"/>
      <c r="U81" s="194"/>
    </row>
    <row r="82" spans="1:21" s="12" customFormat="1" ht="15">
      <c r="A82" s="206" t="s">
        <v>413</v>
      </c>
      <c r="B82" s="54">
        <v>3.39</v>
      </c>
      <c r="C82" s="54">
        <v>22.92</v>
      </c>
      <c r="D82" s="54">
        <v>26.31</v>
      </c>
      <c r="E82" s="54">
        <v>10.08</v>
      </c>
      <c r="F82" s="54">
        <v>3.42</v>
      </c>
      <c r="G82" s="9" t="s">
        <v>36</v>
      </c>
      <c r="H82" s="54">
        <v>7.54</v>
      </c>
      <c r="I82" s="54">
        <v>6.44</v>
      </c>
      <c r="J82" s="54">
        <v>1.90</v>
      </c>
      <c r="K82" s="54">
        <v>347.25</v>
      </c>
      <c r="L82" s="54">
        <v>15.46</v>
      </c>
      <c r="M82" s="54">
        <v>86.08</v>
      </c>
      <c r="N82" s="54">
        <v>317.80</v>
      </c>
      <c r="O82" s="54">
        <v>0</v>
      </c>
      <c r="P82" s="54">
        <v>2.57</v>
      </c>
      <c r="Q82" s="54">
        <v>23.19</v>
      </c>
      <c r="R82" s="194"/>
      <c r="S82" s="194"/>
      <c r="T82" s="194"/>
      <c r="U82" s="194"/>
    </row>
    <row r="83" spans="1:21" s="12" customFormat="1" ht="15">
      <c r="A83" s="206" t="s">
        <v>414</v>
      </c>
      <c r="B83" s="54">
        <v>5.18</v>
      </c>
      <c r="C83" s="54">
        <v>24.06</v>
      </c>
      <c r="D83" s="54">
        <v>29.24</v>
      </c>
      <c r="E83" s="54">
        <v>10.30</v>
      </c>
      <c r="F83" s="54">
        <v>1.44</v>
      </c>
      <c r="G83" s="9" t="s">
        <v>36</v>
      </c>
      <c r="H83" s="54">
        <v>7.54</v>
      </c>
      <c r="I83" s="54">
        <v>5.99</v>
      </c>
      <c r="J83" s="54">
        <v>2.71</v>
      </c>
      <c r="K83" s="54">
        <v>335.62</v>
      </c>
      <c r="L83" s="54">
        <v>15.91</v>
      </c>
      <c r="M83" s="54">
        <v>83.38</v>
      </c>
      <c r="N83" s="54">
        <v>301.70</v>
      </c>
      <c r="O83" s="54">
        <v>0</v>
      </c>
      <c r="P83" s="54">
        <v>2.58</v>
      </c>
      <c r="Q83" s="54">
        <v>17.899999999999999</v>
      </c>
      <c r="R83" s="194"/>
      <c r="S83" s="194"/>
      <c r="T83" s="194"/>
      <c r="U83" s="194"/>
    </row>
    <row r="84" spans="1:21" s="12" customFormat="1" ht="15">
      <c r="A84" s="206" t="s">
        <v>415</v>
      </c>
      <c r="B84" s="54">
        <v>6.73</v>
      </c>
      <c r="C84" s="54">
        <v>26.04</v>
      </c>
      <c r="D84" s="54">
        <v>32.770000000000003</v>
      </c>
      <c r="E84" s="54">
        <v>9.83</v>
      </c>
      <c r="F84" s="54">
        <v>0.71</v>
      </c>
      <c r="G84" s="9" t="s">
        <v>36</v>
      </c>
      <c r="H84" s="54">
        <v>7.54</v>
      </c>
      <c r="I84" s="54">
        <v>5.56</v>
      </c>
      <c r="J84" s="54">
        <v>2.5099999999999998</v>
      </c>
      <c r="K84" s="54">
        <v>340.93</v>
      </c>
      <c r="L84" s="54">
        <v>16.239999999999998</v>
      </c>
      <c r="M84" s="54">
        <v>83.92</v>
      </c>
      <c r="N84" s="54">
        <v>339</v>
      </c>
      <c r="O84" s="54">
        <v>0</v>
      </c>
      <c r="P84" s="54">
        <v>2.58</v>
      </c>
      <c r="Q84" s="54">
        <v>15.10</v>
      </c>
      <c r="R84" s="194"/>
      <c r="S84" s="194"/>
      <c r="T84" s="194"/>
      <c r="U84" s="194"/>
    </row>
    <row r="85" spans="1:21" s="12" customFormat="1" ht="15">
      <c r="A85" s="206" t="s">
        <v>416</v>
      </c>
      <c r="B85" s="54">
        <v>6.12</v>
      </c>
      <c r="C85" s="54">
        <v>27.17</v>
      </c>
      <c r="D85" s="54">
        <v>33.299999999999997</v>
      </c>
      <c r="E85" s="54">
        <v>9.41</v>
      </c>
      <c r="F85" s="54">
        <v>0.28000000000000003</v>
      </c>
      <c r="G85" s="9" t="s">
        <v>36</v>
      </c>
      <c r="H85" s="54">
        <v>9.0299999999999994</v>
      </c>
      <c r="I85" s="54">
        <v>5.53</v>
      </c>
      <c r="J85" s="54">
        <v>1.67</v>
      </c>
      <c r="K85" s="54">
        <v>26.78</v>
      </c>
      <c r="L85" s="54">
        <v>16.39</v>
      </c>
      <c r="M85" s="54">
        <v>85.15</v>
      </c>
      <c r="N85" s="54">
        <v>364</v>
      </c>
      <c r="O85" s="54">
        <v>0</v>
      </c>
      <c r="P85" s="54">
        <v>2.58</v>
      </c>
      <c r="Q85" s="54">
        <v>13.43</v>
      </c>
      <c r="R85" s="194"/>
      <c r="S85" s="194"/>
      <c r="T85" s="194"/>
      <c r="U85" s="194"/>
    </row>
    <row r="86" spans="1:21" s="12" customFormat="1" ht="15">
      <c r="A86" s="206" t="s">
        <v>417</v>
      </c>
      <c r="B86" s="54">
        <v>5.21</v>
      </c>
      <c r="C86" s="54">
        <v>28.80</v>
      </c>
      <c r="D86" s="54">
        <v>34.020000000000003</v>
      </c>
      <c r="E86" s="54">
        <v>8.9499999999999993</v>
      </c>
      <c r="F86" s="54">
        <v>0.59</v>
      </c>
      <c r="G86" s="9" t="s">
        <v>36</v>
      </c>
      <c r="H86" s="54">
        <v>12.71</v>
      </c>
      <c r="I86" s="54">
        <v>5.5</v>
      </c>
      <c r="J86" s="54">
        <v>2.5099999999999998</v>
      </c>
      <c r="K86" s="54">
        <v>346.84</v>
      </c>
      <c r="L86" s="54">
        <v>16.43</v>
      </c>
      <c r="M86" s="54">
        <v>87.49</v>
      </c>
      <c r="N86" s="54">
        <v>323.70</v>
      </c>
      <c r="O86" s="54">
        <v>0</v>
      </c>
      <c r="P86" s="54">
        <v>2.60</v>
      </c>
      <c r="Q86" s="54">
        <v>12.64</v>
      </c>
      <c r="R86" s="194"/>
      <c r="S86" s="194"/>
      <c r="T86" s="194"/>
      <c r="U86" s="194"/>
    </row>
    <row r="87" spans="1:21" s="12" customFormat="1" ht="15">
      <c r="A87" s="206" t="s">
        <v>418</v>
      </c>
      <c r="B87" s="54">
        <v>4.9800000000000004</v>
      </c>
      <c r="C87" s="54">
        <v>29.29</v>
      </c>
      <c r="D87" s="54">
        <v>34.28</v>
      </c>
      <c r="E87" s="54">
        <v>8.11</v>
      </c>
      <c r="F87" s="54">
        <v>0.64</v>
      </c>
      <c r="G87" s="9" t="s">
        <v>36</v>
      </c>
      <c r="H87" s="54">
        <v>12.71</v>
      </c>
      <c r="I87" s="54">
        <v>5.56</v>
      </c>
      <c r="J87" s="54">
        <v>2.34</v>
      </c>
      <c r="K87" s="54">
        <v>355.61</v>
      </c>
      <c r="L87" s="54">
        <v>16.48</v>
      </c>
      <c r="M87" s="54">
        <v>88.11</v>
      </c>
      <c r="N87" s="54">
        <v>314.30</v>
      </c>
      <c r="O87" s="54">
        <v>0</v>
      </c>
      <c r="P87" s="54">
        <v>2.67</v>
      </c>
      <c r="Q87" s="54">
        <v>12.25</v>
      </c>
      <c r="R87" s="194"/>
      <c r="S87" s="194"/>
      <c r="T87" s="194"/>
      <c r="U87" s="194"/>
    </row>
    <row r="88" spans="1:21" s="12" customFormat="1" ht="15">
      <c r="A88" s="206" t="s">
        <v>419</v>
      </c>
      <c r="B88" s="54">
        <v>5.21</v>
      </c>
      <c r="C88" s="54">
        <v>29.16</v>
      </c>
      <c r="D88" s="54">
        <v>34.369999999999997</v>
      </c>
      <c r="E88" s="54">
        <v>4.9400000000000004</v>
      </c>
      <c r="F88" s="54">
        <v>0.11</v>
      </c>
      <c r="G88" s="9" t="s">
        <v>36</v>
      </c>
      <c r="H88" s="54">
        <v>12.71</v>
      </c>
      <c r="I88" s="54">
        <v>5.69</v>
      </c>
      <c r="J88" s="54">
        <v>2.74</v>
      </c>
      <c r="K88" s="54">
        <v>337.52</v>
      </c>
      <c r="L88" s="54">
        <v>16.61</v>
      </c>
      <c r="M88" s="54">
        <v>87.44</v>
      </c>
      <c r="N88" s="54">
        <v>307</v>
      </c>
      <c r="O88" s="54">
        <v>0</v>
      </c>
      <c r="P88" s="54">
        <v>2.78</v>
      </c>
      <c r="Q88" s="54">
        <v>12.15</v>
      </c>
      <c r="R88" s="194"/>
      <c r="S88" s="194"/>
      <c r="T88" s="194"/>
      <c r="U88" s="194"/>
    </row>
    <row r="89" spans="1:21" s="12" customFormat="1" ht="15">
      <c r="A89" s="206" t="s">
        <v>420</v>
      </c>
      <c r="B89" s="54">
        <v>6.04</v>
      </c>
      <c r="C89" s="54">
        <v>29.03</v>
      </c>
      <c r="D89" s="54">
        <v>35.07</v>
      </c>
      <c r="E89" s="54">
        <v>7.98</v>
      </c>
      <c r="F89" s="54">
        <v>0.70</v>
      </c>
      <c r="G89" s="9" t="s">
        <v>36</v>
      </c>
      <c r="H89" s="54">
        <v>11.64</v>
      </c>
      <c r="I89" s="54">
        <v>6.25</v>
      </c>
      <c r="J89" s="54">
        <v>2.60</v>
      </c>
      <c r="K89" s="54">
        <v>337.99</v>
      </c>
      <c r="L89" s="54">
        <v>16.52</v>
      </c>
      <c r="M89" s="54">
        <v>87.62</v>
      </c>
      <c r="N89" s="54">
        <v>290.70</v>
      </c>
      <c r="O89" s="54">
        <v>0</v>
      </c>
      <c r="P89" s="54">
        <v>2.82</v>
      </c>
      <c r="Q89" s="54">
        <v>13.10</v>
      </c>
      <c r="R89" s="194"/>
      <c r="S89" s="194"/>
      <c r="T89" s="194"/>
      <c r="U89" s="194"/>
    </row>
    <row r="90" spans="1:21" s="12" customFormat="1" ht="15">
      <c r="A90" s="206" t="s">
        <v>421</v>
      </c>
      <c r="B90" s="54">
        <v>6.27</v>
      </c>
      <c r="C90" s="54">
        <v>29.05</v>
      </c>
      <c r="D90" s="54">
        <v>35.32</v>
      </c>
      <c r="E90" s="54">
        <v>7.95</v>
      </c>
      <c r="F90" s="54">
        <v>1</v>
      </c>
      <c r="G90" s="9" t="s">
        <v>36</v>
      </c>
      <c r="H90" s="54">
        <v>8.99</v>
      </c>
      <c r="I90" s="54">
        <v>7.55</v>
      </c>
      <c r="J90" s="54">
        <v>3.01</v>
      </c>
      <c r="K90" s="54">
        <v>321.58</v>
      </c>
      <c r="L90" s="54">
        <v>16.64</v>
      </c>
      <c r="M90" s="54">
        <v>90.68</v>
      </c>
      <c r="N90" s="54">
        <v>287.89999999999998</v>
      </c>
      <c r="O90" s="54">
        <v>0</v>
      </c>
      <c r="P90" s="54">
        <v>2.80</v>
      </c>
      <c r="Q90" s="54">
        <v>14.15</v>
      </c>
      <c r="R90" s="194"/>
      <c r="S90" s="194"/>
      <c r="T90" s="194"/>
      <c r="U90" s="194"/>
    </row>
    <row r="91" spans="1:21" s="12" customFormat="1" ht="15">
      <c r="A91" s="206" t="s">
        <v>422</v>
      </c>
      <c r="B91" s="54">
        <v>5.89</v>
      </c>
      <c r="C91" s="54">
        <v>29.37</v>
      </c>
      <c r="D91" s="54">
        <v>35.26</v>
      </c>
      <c r="E91" s="54">
        <v>8.14</v>
      </c>
      <c r="F91" s="54">
        <v>0.62</v>
      </c>
      <c r="G91" s="9" t="s">
        <v>36</v>
      </c>
      <c r="H91" s="54">
        <v>8.99</v>
      </c>
      <c r="I91" s="54">
        <v>7.96</v>
      </c>
      <c r="J91" s="54">
        <v>1.95</v>
      </c>
      <c r="K91" s="54">
        <v>3.67</v>
      </c>
      <c r="L91" s="54">
        <v>16.920000000000002</v>
      </c>
      <c r="M91" s="54">
        <v>91.27</v>
      </c>
      <c r="N91" s="54">
        <v>334.70</v>
      </c>
      <c r="O91" s="54">
        <v>0</v>
      </c>
      <c r="P91" s="54">
        <v>2.80</v>
      </c>
      <c r="Q91" s="54">
        <v>15.37</v>
      </c>
      <c r="R91" s="194"/>
      <c r="S91" s="194"/>
      <c r="T91" s="194"/>
      <c r="U91" s="194"/>
    </row>
    <row r="92" spans="1:21" s="12" customFormat="1" ht="15">
      <c r="A92" s="206" t="s">
        <v>423</v>
      </c>
      <c r="B92" s="54">
        <v>5.93</v>
      </c>
      <c r="C92" s="54">
        <v>29.73</v>
      </c>
      <c r="D92" s="54">
        <v>35.67</v>
      </c>
      <c r="E92" s="54">
        <v>8.1999999999999993</v>
      </c>
      <c r="F92" s="54">
        <v>0.54</v>
      </c>
      <c r="G92" s="9" t="s">
        <v>36</v>
      </c>
      <c r="H92" s="54">
        <v>8.99</v>
      </c>
      <c r="I92" s="54">
        <v>7.65</v>
      </c>
      <c r="J92" s="54">
        <v>1.76</v>
      </c>
      <c r="K92" s="54">
        <v>326.16000000000003</v>
      </c>
      <c r="L92" s="54">
        <v>17.86</v>
      </c>
      <c r="M92" s="54">
        <v>91.83</v>
      </c>
      <c r="N92" s="54">
        <v>338.90</v>
      </c>
      <c r="O92" s="54">
        <v>0</v>
      </c>
      <c r="P92" s="54">
        <v>2.80</v>
      </c>
      <c r="Q92" s="54">
        <v>17.09</v>
      </c>
      <c r="R92" s="194"/>
      <c r="S92" s="194"/>
      <c r="T92" s="194"/>
      <c r="U92" s="194"/>
    </row>
    <row r="93" spans="1:21" s="12" customFormat="1" ht="15">
      <c r="A93" s="206" t="s">
        <v>424</v>
      </c>
      <c r="B93" s="54">
        <v>6.64</v>
      </c>
      <c r="C93" s="54">
        <v>30.03</v>
      </c>
      <c r="D93" s="54">
        <v>36.67</v>
      </c>
      <c r="E93" s="54">
        <v>8.2100000000000009</v>
      </c>
      <c r="F93" s="54">
        <v>0.45</v>
      </c>
      <c r="G93" s="9" t="s">
        <v>36</v>
      </c>
      <c r="H93" s="54">
        <v>8.49</v>
      </c>
      <c r="I93" s="54">
        <v>7.47</v>
      </c>
      <c r="J93" s="54">
        <v>2.2999999999999998</v>
      </c>
      <c r="K93" s="54">
        <v>307.77</v>
      </c>
      <c r="L93" s="54">
        <v>15.62</v>
      </c>
      <c r="M93" s="54">
        <v>91.65</v>
      </c>
      <c r="N93" s="54">
        <v>344.90</v>
      </c>
      <c r="O93" s="54">
        <v>0</v>
      </c>
      <c r="P93" s="54">
        <v>2.83</v>
      </c>
      <c r="Q93" s="54">
        <v>19.20</v>
      </c>
      <c r="R93" s="194"/>
      <c r="S93" s="194"/>
      <c r="T93" s="194"/>
      <c r="U93" s="194"/>
    </row>
    <row r="94" spans="1:21" s="12" customFormat="1" ht="15">
      <c r="A94" s="206" t="s">
        <v>425</v>
      </c>
      <c r="B94" s="54">
        <v>7.77</v>
      </c>
      <c r="C94" s="54">
        <v>30.28</v>
      </c>
      <c r="D94" s="54">
        <v>38.04</v>
      </c>
      <c r="E94" s="54">
        <v>8.7200000000000006</v>
      </c>
      <c r="F94" s="54">
        <v>0.070000000000000007</v>
      </c>
      <c r="G94" s="9" t="s">
        <v>36</v>
      </c>
      <c r="H94" s="54">
        <v>7.25</v>
      </c>
      <c r="I94" s="54">
        <v>7.48</v>
      </c>
      <c r="J94" s="54">
        <v>1.98</v>
      </c>
      <c r="K94" s="54">
        <v>291.52999999999997</v>
      </c>
      <c r="L94" s="54">
        <v>15.92</v>
      </c>
      <c r="M94" s="54">
        <v>90.45</v>
      </c>
      <c r="N94" s="54">
        <v>296.20</v>
      </c>
      <c r="O94" s="54">
        <v>0</v>
      </c>
      <c r="P94" s="54">
        <v>2.86</v>
      </c>
      <c r="Q94" s="54">
        <v>21.47</v>
      </c>
      <c r="R94" s="194"/>
      <c r="S94" s="194"/>
      <c r="T94" s="194"/>
      <c r="U94" s="194"/>
    </row>
    <row r="95" spans="1:21" s="12" customFormat="1" ht="15">
      <c r="A95" s="206" t="s">
        <v>426</v>
      </c>
      <c r="B95" s="54">
        <v>8.3699999999999992</v>
      </c>
      <c r="C95" s="54">
        <v>30.41</v>
      </c>
      <c r="D95" s="54">
        <v>38.770000000000003</v>
      </c>
      <c r="E95" s="54">
        <v>8.82</v>
      </c>
      <c r="F95" s="54">
        <v>0.15</v>
      </c>
      <c r="G95" s="9" t="s">
        <v>36</v>
      </c>
      <c r="H95" s="54">
        <v>7.25</v>
      </c>
      <c r="I95" s="54">
        <v>7.49</v>
      </c>
      <c r="J95" s="54">
        <v>0.83</v>
      </c>
      <c r="K95" s="54">
        <v>255.84</v>
      </c>
      <c r="L95" s="54">
        <v>16.80</v>
      </c>
      <c r="M95" s="54">
        <v>88.46</v>
      </c>
      <c r="N95" s="54">
        <v>358.80</v>
      </c>
      <c r="O95" s="54">
        <v>0</v>
      </c>
      <c r="P95" s="54">
        <v>2.86</v>
      </c>
      <c r="Q95" s="54">
        <v>23.74</v>
      </c>
      <c r="R95" s="194"/>
      <c r="S95" s="194"/>
      <c r="T95" s="194"/>
      <c r="U95" s="194"/>
    </row>
    <row r="96" spans="1:26" s="12" customFormat="1" ht="15">
      <c r="A96" s="206" t="s">
        <v>427</v>
      </c>
      <c r="B96" s="54">
        <v>7.90</v>
      </c>
      <c r="C96" s="54">
        <v>29.92</v>
      </c>
      <c r="D96" s="54">
        <v>37.83</v>
      </c>
      <c r="E96" s="54">
        <v>9.15</v>
      </c>
      <c r="F96" s="54">
        <v>0.45</v>
      </c>
      <c r="G96" s="9" t="s">
        <v>36</v>
      </c>
      <c r="H96" s="54">
        <v>7.25</v>
      </c>
      <c r="I96" s="54">
        <v>7.56</v>
      </c>
      <c r="J96" s="54">
        <v>1.44</v>
      </c>
      <c r="K96" s="54">
        <v>206.96</v>
      </c>
      <c r="L96" s="54">
        <v>17.29</v>
      </c>
      <c r="M96" s="54">
        <v>87.21</v>
      </c>
      <c r="N96" s="54">
        <v>295.20</v>
      </c>
      <c r="O96" s="54">
        <v>0</v>
      </c>
      <c r="P96" s="54">
        <v>2.83</v>
      </c>
      <c r="Q96" s="54">
        <v>25.97</v>
      </c>
      <c r="R96" s="194"/>
      <c r="S96" s="194"/>
      <c r="T96" s="194"/>
      <c r="U96" s="194"/>
      <c r="Z96" s="105"/>
    </row>
    <row r="97" spans="1:21" s="12" customFormat="1" ht="15">
      <c r="A97" s="206" t="s">
        <v>428</v>
      </c>
      <c r="B97" s="54">
        <v>7.20</v>
      </c>
      <c r="C97" s="54">
        <v>29.37</v>
      </c>
      <c r="D97" s="54">
        <v>36.58</v>
      </c>
      <c r="E97" s="54">
        <v>9.66</v>
      </c>
      <c r="F97" s="54">
        <v>0.51</v>
      </c>
      <c r="G97" s="9" t="s">
        <v>36</v>
      </c>
      <c r="H97" s="54">
        <v>7.04</v>
      </c>
      <c r="I97" s="54">
        <v>7.56</v>
      </c>
      <c r="J97" s="54">
        <v>2.4700000000000002</v>
      </c>
      <c r="K97" s="54">
        <v>198.01</v>
      </c>
      <c r="L97" s="54">
        <v>18.88</v>
      </c>
      <c r="M97" s="54">
        <v>88.75</v>
      </c>
      <c r="N97" s="54">
        <v>361.5</v>
      </c>
      <c r="O97" s="54">
        <v>0</v>
      </c>
      <c r="P97" s="54">
        <v>2.79</v>
      </c>
      <c r="Q97" s="54">
        <v>26.76</v>
      </c>
      <c r="R97" s="194"/>
      <c r="S97" s="194"/>
      <c r="T97" s="194"/>
      <c r="U97" s="194"/>
    </row>
    <row r="98" spans="1:21" s="12" customFormat="1" ht="15">
      <c r="A98" s="206" t="s">
        <v>429</v>
      </c>
      <c r="B98" s="54">
        <v>6.74</v>
      </c>
      <c r="C98" s="54">
        <v>28.77</v>
      </c>
      <c r="D98" s="54">
        <v>35.51</v>
      </c>
      <c r="E98" s="54">
        <v>9.66</v>
      </c>
      <c r="F98" s="54">
        <v>0.64</v>
      </c>
      <c r="G98" s="9" t="s">
        <v>36</v>
      </c>
      <c r="H98" s="54">
        <v>6.48</v>
      </c>
      <c r="I98" s="54">
        <v>7.49</v>
      </c>
      <c r="J98" s="54">
        <v>3.09</v>
      </c>
      <c r="K98" s="54">
        <v>201.17</v>
      </c>
      <c r="L98" s="54">
        <v>19.350000000000001</v>
      </c>
      <c r="M98" s="54">
        <v>91.21</v>
      </c>
      <c r="N98" s="54">
        <v>335.40</v>
      </c>
      <c r="O98" s="54">
        <v>0</v>
      </c>
      <c r="P98" s="54">
        <v>2.78</v>
      </c>
      <c r="Q98" s="54">
        <v>27.27</v>
      </c>
      <c r="R98" s="194"/>
      <c r="S98" s="194"/>
      <c r="T98" s="194"/>
      <c r="U98" s="194"/>
    </row>
    <row r="99" spans="1:21" s="12" customFormat="1" ht="15">
      <c r="A99" s="206" t="s">
        <v>430</v>
      </c>
      <c r="B99" s="54">
        <v>6.18</v>
      </c>
      <c r="C99" s="54">
        <v>24.84</v>
      </c>
      <c r="D99" s="54">
        <v>31.01</v>
      </c>
      <c r="E99" s="54">
        <v>10.039999999999999</v>
      </c>
      <c r="F99" s="54">
        <v>2.59</v>
      </c>
      <c r="G99" s="9" t="s">
        <v>36</v>
      </c>
      <c r="H99" s="54">
        <v>6.48</v>
      </c>
      <c r="I99" s="54">
        <v>7.39</v>
      </c>
      <c r="J99" s="54">
        <v>2.0499999999999998</v>
      </c>
      <c r="K99" s="54">
        <v>215.04</v>
      </c>
      <c r="L99" s="54">
        <v>19.91</v>
      </c>
      <c r="M99" s="54">
        <v>91.51</v>
      </c>
      <c r="N99" s="54">
        <v>326.10000000000002</v>
      </c>
      <c r="O99" s="54">
        <v>0</v>
      </c>
      <c r="P99" s="54">
        <v>2.72</v>
      </c>
      <c r="Q99" s="54">
        <v>26.86</v>
      </c>
      <c r="R99" s="194"/>
      <c r="S99" s="194"/>
      <c r="T99" s="194"/>
      <c r="U99" s="194"/>
    </row>
    <row r="100" spans="1:33" s="12" customFormat="1" ht="15">
      <c r="A100" s="206" t="s">
        <v>431</v>
      </c>
      <c r="B100" s="54">
        <v>5.33</v>
      </c>
      <c r="C100" s="54">
        <v>20.84</v>
      </c>
      <c r="D100" s="54">
        <v>26.17</v>
      </c>
      <c r="E100" s="54">
        <v>9.6999999999999993</v>
      </c>
      <c r="F100" s="54">
        <v>2.41</v>
      </c>
      <c r="G100" s="9" t="s">
        <v>36</v>
      </c>
      <c r="H100" s="54">
        <v>6.48</v>
      </c>
      <c r="I100" s="54">
        <v>7.23</v>
      </c>
      <c r="J100" s="54">
        <v>0.40</v>
      </c>
      <c r="K100" s="54">
        <v>180.51</v>
      </c>
      <c r="L100" s="54">
        <v>19.84</v>
      </c>
      <c r="M100" s="54">
        <v>91.09</v>
      </c>
      <c r="N100" s="54">
        <v>304.80</v>
      </c>
      <c r="O100" s="54">
        <v>0</v>
      </c>
      <c r="P100" s="54">
        <v>2.69</v>
      </c>
      <c r="Q100" s="54">
        <v>20.99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6" t="s">
        <v>432</v>
      </c>
      <c r="B101" s="54">
        <v>4.3099999999999996</v>
      </c>
      <c r="C101" s="54">
        <v>21.22</v>
      </c>
      <c r="D101" s="54">
        <v>25.53</v>
      </c>
      <c r="E101" s="54">
        <v>9.6999999999999993</v>
      </c>
      <c r="F101" s="54">
        <v>1.1100000000000001</v>
      </c>
      <c r="G101" s="9" t="s">
        <v>36</v>
      </c>
      <c r="H101" s="54">
        <v>6.79</v>
      </c>
      <c r="I101" s="54">
        <v>6.70</v>
      </c>
      <c r="J101" s="54">
        <v>0.35</v>
      </c>
      <c r="K101" s="54">
        <v>89.10</v>
      </c>
      <c r="L101" s="54">
        <v>18.309999999999999</v>
      </c>
      <c r="M101" s="54">
        <v>91.59</v>
      </c>
      <c r="N101" s="54">
        <v>307.70</v>
      </c>
      <c r="O101" s="54">
        <v>0</v>
      </c>
      <c r="P101" s="54">
        <v>2.65</v>
      </c>
      <c r="Q101" s="54">
        <v>15.56</v>
      </c>
      <c r="R101" s="194"/>
      <c r="S101" s="194"/>
      <c r="T101" s="194"/>
      <c r="U101" s="194"/>
    </row>
    <row r="102" spans="1:21" s="12" customFormat="1" ht="15">
      <c r="A102" s="206" t="s">
        <v>433</v>
      </c>
      <c r="B102" s="54">
        <v>3.07</v>
      </c>
      <c r="C102" s="54">
        <v>21.35</v>
      </c>
      <c r="D102" s="54">
        <v>24.42</v>
      </c>
      <c r="E102" s="54">
        <v>9.26</v>
      </c>
      <c r="F102" s="54">
        <v>1.04</v>
      </c>
      <c r="G102" s="9" t="s">
        <v>36</v>
      </c>
      <c r="H102" s="54">
        <v>7.53</v>
      </c>
      <c r="I102" s="54">
        <v>6.36</v>
      </c>
      <c r="J102" s="54">
        <v>1.29</v>
      </c>
      <c r="K102" s="54">
        <v>225.23</v>
      </c>
      <c r="L102" s="54">
        <v>20.309999999999999</v>
      </c>
      <c r="M102" s="54">
        <v>93.34</v>
      </c>
      <c r="N102" s="54">
        <v>313.70</v>
      </c>
      <c r="O102" s="54">
        <v>0.20</v>
      </c>
      <c r="P102" s="54">
        <v>2.61</v>
      </c>
      <c r="Q102" s="54">
        <v>12.37</v>
      </c>
      <c r="R102" s="194"/>
      <c r="S102" s="194"/>
      <c r="T102" s="194"/>
      <c r="U102" s="194"/>
    </row>
    <row r="103" spans="1:21" s="12" customFormat="1" ht="15">
      <c r="A103" s="206" t="s">
        <v>434</v>
      </c>
      <c r="B103" s="54">
        <v>2.2400000000000002</v>
      </c>
      <c r="C103" s="54">
        <v>20.53</v>
      </c>
      <c r="D103" s="54">
        <v>22.77</v>
      </c>
      <c r="E103" s="54">
        <v>8.75</v>
      </c>
      <c r="F103" s="54">
        <v>0.93</v>
      </c>
      <c r="G103" s="9" t="s">
        <v>36</v>
      </c>
      <c r="H103" s="54">
        <v>7.53</v>
      </c>
      <c r="I103" s="54">
        <v>6.08</v>
      </c>
      <c r="J103" s="54">
        <v>1.17</v>
      </c>
      <c r="K103" s="54">
        <v>235.47</v>
      </c>
      <c r="L103" s="54">
        <v>19.78</v>
      </c>
      <c r="M103" s="54">
        <v>94.83</v>
      </c>
      <c r="N103" s="54">
        <v>266.30</v>
      </c>
      <c r="O103" s="54">
        <v>0.20</v>
      </c>
      <c r="P103" s="54">
        <v>2.57</v>
      </c>
      <c r="Q103" s="54">
        <v>10.72</v>
      </c>
      <c r="R103" s="194"/>
      <c r="S103" s="194"/>
      <c r="T103" s="194"/>
      <c r="U103" s="194"/>
    </row>
    <row r="104" spans="1:21" s="12" customFormat="1" ht="15">
      <c r="A104" s="206" t="s">
        <v>435</v>
      </c>
      <c r="B104" s="54">
        <v>1.75</v>
      </c>
      <c r="C104" s="54">
        <v>19.47</v>
      </c>
      <c r="D104" s="54">
        <v>21.21</v>
      </c>
      <c r="E104" s="54">
        <v>3.64</v>
      </c>
      <c r="F104" s="54">
        <v>0.66</v>
      </c>
      <c r="G104" s="9" t="s">
        <v>36</v>
      </c>
      <c r="H104" s="54">
        <v>7.53</v>
      </c>
      <c r="I104" s="54">
        <v>5.68</v>
      </c>
      <c r="J104" s="54">
        <v>0.74</v>
      </c>
      <c r="K104" s="54">
        <v>240.63</v>
      </c>
      <c r="L104" s="54">
        <v>20.54</v>
      </c>
      <c r="M104" s="54">
        <v>95.92</v>
      </c>
      <c r="N104" s="54">
        <v>265</v>
      </c>
      <c r="O104" s="54">
        <v>0</v>
      </c>
      <c r="P104" s="54">
        <v>2.54</v>
      </c>
      <c r="Q104" s="54">
        <v>9.75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0.60999999999999999</v>
      </c>
      <c r="C106" s="67">
        <f>MIN(C9:C104)</f>
        <v>15.43</v>
      </c>
      <c r="D106" s="67">
        <f t="shared" si="0" ref="D106:Q106">MIN(D9:D104)</f>
        <v>18.25</v>
      </c>
      <c r="E106" s="67">
        <f t="shared" si="0"/>
        <v>3.6400000000000001</v>
      </c>
      <c r="F106" s="67">
        <f t="shared" si="0"/>
        <v>0.029999999999999999</v>
      </c>
      <c r="G106" s="67">
        <f>MIN(G9:G104)</f>
        <v>0</v>
      </c>
      <c r="H106" s="67">
        <f t="shared" si="0"/>
        <v>6.4800000000000004</v>
      </c>
      <c r="I106" s="67">
        <f t="shared" si="0"/>
        <v>5.1900000000000004</v>
      </c>
      <c r="J106" s="67">
        <f t="shared" si="0"/>
        <v>-0.66000000000000003</v>
      </c>
      <c r="K106" s="67">
        <f t="shared" si="0"/>
        <v>-0.76000000000000001</v>
      </c>
      <c r="L106" s="67">
        <f t="shared" si="0"/>
        <v>15.44</v>
      </c>
      <c r="M106" s="67">
        <f t="shared" si="0"/>
        <v>57.509999999999998</v>
      </c>
      <c r="N106" s="67">
        <f t="shared" si="0"/>
        <v>265</v>
      </c>
      <c r="O106" s="67">
        <f t="shared" si="0"/>
        <v>0</v>
      </c>
      <c r="P106" s="67">
        <f t="shared" si="0"/>
        <v>2.52</v>
      </c>
      <c r="Q106" s="67">
        <f t="shared" si="0"/>
        <v>9.75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8.3699999999999992</v>
      </c>
      <c r="C107" s="66">
        <f t="shared" si="1" ref="C107:Q107">MAX(C9:C104)</f>
        <v>30.41</v>
      </c>
      <c r="D107" s="66">
        <f t="shared" si="1"/>
        <v>38.770000000000003</v>
      </c>
      <c r="E107" s="66">
        <f t="shared" si="1"/>
        <v>11.31</v>
      </c>
      <c r="F107" s="66">
        <f t="shared" si="1"/>
        <v>3.7999999999999998</v>
      </c>
      <c r="G107" s="66">
        <f>MAX(G9:G104)</f>
        <v>0</v>
      </c>
      <c r="H107" s="66">
        <f t="shared" si="1"/>
        <v>23.460000000000001</v>
      </c>
      <c r="I107" s="66">
        <f t="shared" si="1"/>
        <v>8.6799999999999997</v>
      </c>
      <c r="J107" s="66">
        <f t="shared" si="1"/>
        <v>6.0800000000000001</v>
      </c>
      <c r="K107" s="66">
        <f t="shared" si="1"/>
        <v>356.58999999999997</v>
      </c>
      <c r="L107" s="66">
        <f t="shared" si="1"/>
        <v>30.34</v>
      </c>
      <c r="M107" s="66">
        <f t="shared" si="1"/>
        <v>95.920000000000002</v>
      </c>
      <c r="N107" s="66">
        <f t="shared" si="1"/>
        <v>1234.4000000000001</v>
      </c>
      <c r="O107" s="66">
        <f t="shared" si="1"/>
        <v>0.20000000000000001</v>
      </c>
      <c r="P107" s="66">
        <f t="shared" si="1"/>
        <v>2.96</v>
      </c>
      <c r="Q107" s="66">
        <f t="shared" si="1"/>
        <v>29.859999999999999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3.5110416666666668</v>
      </c>
      <c r="C108" s="67">
        <f t="shared" si="2" ref="C108:Q108">AVERAGE(C9:C104)</f>
        <v>22.079062499999992</v>
      </c>
      <c r="D108" s="67">
        <f t="shared" si="2"/>
        <v>25.587395833333328</v>
      </c>
      <c r="E108" s="67">
        <f t="shared" si="2"/>
        <v>9.2841666666666676</v>
      </c>
      <c r="F108" s="67">
        <f t="shared" si="2"/>
        <v>1.0846875000000005</v>
      </c>
      <c r="G108" s="67" t="e">
        <f>AVERAGE(G9:G104)</f>
        <v>#DIV/0!</v>
      </c>
      <c r="H108" s="67">
        <f t="shared" si="2"/>
        <v>14.465625000000003</v>
      </c>
      <c r="I108" s="67">
        <f t="shared" si="2"/>
        <v>6.8299999999999992</v>
      </c>
      <c r="J108" s="67">
        <f t="shared" si="2"/>
        <v>1.6766666666666661</v>
      </c>
      <c r="K108" s="67">
        <f t="shared" si="2"/>
        <v>218.38145833333331</v>
      </c>
      <c r="L108" s="67">
        <f t="shared" si="2"/>
        <v>19.809479166666662</v>
      </c>
      <c r="M108" s="67">
        <f t="shared" si="2"/>
        <v>79.576458333333321</v>
      </c>
      <c r="N108" s="67">
        <f t="shared" si="2"/>
        <v>629.80729166666663</v>
      </c>
      <c r="O108" s="67">
        <f t="shared" si="2"/>
        <v>0.0062500000000000012</v>
      </c>
      <c r="P108" s="67">
        <f t="shared" si="2"/>
        <v>2.6580208333333339</v>
      </c>
      <c r="Q108" s="67">
        <f t="shared" si="2"/>
        <v>18.602499999999999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1.995930849538718</v>
      </c>
      <c r="C109" s="67">
        <f t="shared" si="3" ref="C109:Q109">STDEV(C9:C104)</f>
        <v>4.2871234566892342</v>
      </c>
      <c r="D109" s="67">
        <f t="shared" si="3"/>
        <v>5.325567772012529</v>
      </c>
      <c r="E109" s="67">
        <f t="shared" si="3"/>
        <v>1.5153201271412104</v>
      </c>
      <c r="F109" s="67">
        <f t="shared" si="3"/>
        <v>0.80477254468837944</v>
      </c>
      <c r="G109" s="67" t="e">
        <f>STDEV(G9:G104)</f>
        <v>#DIV/0!</v>
      </c>
      <c r="H109" s="67">
        <f t="shared" si="3"/>
        <v>4.2502653322747772</v>
      </c>
      <c r="I109" s="67">
        <f t="shared" si="3"/>
        <v>0.76767317607375551</v>
      </c>
      <c r="J109" s="67">
        <f t="shared" si="3"/>
        <v>1.1589774682580443</v>
      </c>
      <c r="K109" s="67">
        <f t="shared" si="3"/>
        <v>115.08320268835401</v>
      </c>
      <c r="L109" s="67">
        <f t="shared" si="3"/>
        <v>2.9152439167757835</v>
      </c>
      <c r="M109" s="67">
        <f t="shared" si="3"/>
        <v>10.324487802171824</v>
      </c>
      <c r="N109" s="67">
        <f t="shared" si="3"/>
        <v>243.7097601849992</v>
      </c>
      <c r="O109" s="67">
        <f t="shared" si="3"/>
        <v>0.034981197957278651</v>
      </c>
      <c r="P109" s="67">
        <f t="shared" si="3"/>
        <v>0.10310566671513229</v>
      </c>
      <c r="Q109" s="67">
        <f t="shared" si="3"/>
        <v>6.169796891649729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ded0f7-8f0f-436a-9bb6-c5ff1ed0d090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03-07-2022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436</v>
      </c>
      <c r="B9" s="135">
        <v>1.39</v>
      </c>
      <c r="C9" s="135">
        <v>18.350000000000001</v>
      </c>
      <c r="D9" s="135">
        <v>19.73</v>
      </c>
      <c r="E9" s="135">
        <v>8.35</v>
      </c>
      <c r="F9" s="135">
        <v>1.07</v>
      </c>
      <c r="G9" s="208" t="s">
        <v>36</v>
      </c>
      <c r="H9" s="135">
        <v>7.07</v>
      </c>
      <c r="I9" s="135">
        <v>5.30</v>
      </c>
      <c r="J9" s="135">
        <v>1.79</v>
      </c>
      <c r="K9" s="135">
        <v>233.74</v>
      </c>
      <c r="L9" s="135">
        <v>21.32</v>
      </c>
      <c r="M9" s="135">
        <v>96.40</v>
      </c>
      <c r="N9" s="135">
        <v>267</v>
      </c>
      <c r="O9" s="135">
        <v>0.20</v>
      </c>
      <c r="P9" s="135">
        <v>2.5</v>
      </c>
      <c r="Q9" s="135">
        <v>9.10</v>
      </c>
      <c r="R9" s="194"/>
      <c r="S9" s="194"/>
      <c r="T9" s="194"/>
      <c r="U9" s="194"/>
    </row>
    <row r="10" spans="1:21" s="12" customFormat="1" ht="15">
      <c r="A10" s="207" t="s">
        <v>437</v>
      </c>
      <c r="B10" s="135">
        <v>1.35</v>
      </c>
      <c r="C10" s="135">
        <v>17.350000000000001</v>
      </c>
      <c r="D10" s="135">
        <v>18.70</v>
      </c>
      <c r="E10" s="135">
        <v>8.5500000000000007</v>
      </c>
      <c r="F10" s="135">
        <v>0.73</v>
      </c>
      <c r="G10" s="208" t="s">
        <v>36</v>
      </c>
      <c r="H10" s="135">
        <v>5.96</v>
      </c>
      <c r="I10" s="135">
        <v>5.16</v>
      </c>
      <c r="J10" s="135">
        <v>1.72</v>
      </c>
      <c r="K10" s="135">
        <v>207.82</v>
      </c>
      <c r="L10" s="135">
        <v>21.24</v>
      </c>
      <c r="M10" s="135">
        <v>96.74</v>
      </c>
      <c r="N10" s="135">
        <v>253.90</v>
      </c>
      <c r="O10" s="135">
        <v>0.20</v>
      </c>
      <c r="P10" s="135">
        <v>2.48</v>
      </c>
      <c r="Q10" s="135">
        <v>8.94</v>
      </c>
      <c r="R10" s="194"/>
      <c r="S10" s="194"/>
      <c r="T10" s="194"/>
      <c r="U10" s="194"/>
    </row>
    <row r="11" spans="1:21" s="12" customFormat="1" ht="15">
      <c r="A11" s="207" t="s">
        <v>438</v>
      </c>
      <c r="B11" s="135">
        <v>1.24</v>
      </c>
      <c r="C11" s="135">
        <v>16.61</v>
      </c>
      <c r="D11" s="135">
        <v>17.84</v>
      </c>
      <c r="E11" s="135">
        <v>8.5399999999999991</v>
      </c>
      <c r="F11" s="135">
        <v>1.1599999999999999</v>
      </c>
      <c r="G11" s="208" t="s">
        <v>36</v>
      </c>
      <c r="H11" s="135">
        <v>5.96</v>
      </c>
      <c r="I11" s="135">
        <v>4.7699999999999996</v>
      </c>
      <c r="J11" s="135">
        <v>1.72</v>
      </c>
      <c r="K11" s="135">
        <v>216.23</v>
      </c>
      <c r="L11" s="135">
        <v>19.28</v>
      </c>
      <c r="M11" s="135">
        <v>96.94</v>
      </c>
      <c r="N11" s="135">
        <v>229.5</v>
      </c>
      <c r="O11" s="135">
        <v>0</v>
      </c>
      <c r="P11" s="135">
        <v>2.4700000000000002</v>
      </c>
      <c r="Q11" s="135">
        <v>9.8000000000000007</v>
      </c>
      <c r="R11" s="194"/>
      <c r="S11" s="194"/>
      <c r="T11" s="194"/>
      <c r="U11" s="194"/>
    </row>
    <row r="12" spans="1:21" s="12" customFormat="1" ht="15">
      <c r="A12" s="207" t="s">
        <v>439</v>
      </c>
      <c r="B12" s="135">
        <v>1.08</v>
      </c>
      <c r="C12" s="135">
        <v>16.46</v>
      </c>
      <c r="D12" s="135">
        <v>17.55</v>
      </c>
      <c r="E12" s="135">
        <v>8.4499999999999993</v>
      </c>
      <c r="F12" s="135">
        <v>1.40</v>
      </c>
      <c r="G12" s="208" t="s">
        <v>36</v>
      </c>
      <c r="H12" s="135">
        <v>5.96</v>
      </c>
      <c r="I12" s="135">
        <v>4.63</v>
      </c>
      <c r="J12" s="135">
        <v>1.76</v>
      </c>
      <c r="K12" s="135">
        <v>221.46</v>
      </c>
      <c r="L12" s="135">
        <v>19.73</v>
      </c>
      <c r="M12" s="135">
        <v>96.65</v>
      </c>
      <c r="N12" s="135">
        <v>244.5</v>
      </c>
      <c r="O12" s="135">
        <v>0</v>
      </c>
      <c r="P12" s="135">
        <v>2.46</v>
      </c>
      <c r="Q12" s="135">
        <v>11.14</v>
      </c>
      <c r="R12" s="194"/>
      <c r="S12" s="194"/>
      <c r="T12" s="194"/>
      <c r="U12" s="194"/>
    </row>
    <row r="13" spans="1:21" s="12" customFormat="1" ht="15">
      <c r="A13" s="207" t="s">
        <v>440</v>
      </c>
      <c r="B13" s="135">
        <v>0.95</v>
      </c>
      <c r="C13" s="135">
        <v>16.52</v>
      </c>
      <c r="D13" s="135">
        <v>17.47</v>
      </c>
      <c r="E13" s="135">
        <v>8.23</v>
      </c>
      <c r="F13" s="135">
        <v>0.97</v>
      </c>
      <c r="G13" s="208" t="s">
        <v>36</v>
      </c>
      <c r="H13" s="135">
        <v>5.64</v>
      </c>
      <c r="I13" s="135">
        <v>4.91</v>
      </c>
      <c r="J13" s="135">
        <v>1.92</v>
      </c>
      <c r="K13" s="135">
        <v>219.48</v>
      </c>
      <c r="L13" s="135">
        <v>20.80</v>
      </c>
      <c r="M13" s="135">
        <v>96.52</v>
      </c>
      <c r="N13" s="135">
        <v>243.5</v>
      </c>
      <c r="O13" s="135">
        <v>0</v>
      </c>
      <c r="P13" s="135">
        <v>2.44</v>
      </c>
      <c r="Q13" s="135">
        <v>12.77</v>
      </c>
      <c r="R13" s="194"/>
      <c r="S13" s="194"/>
      <c r="T13" s="194"/>
      <c r="U13" s="194"/>
    </row>
    <row r="14" spans="1:21" s="12" customFormat="1" ht="15">
      <c r="A14" s="207" t="s">
        <v>441</v>
      </c>
      <c r="B14" s="135">
        <v>0.88</v>
      </c>
      <c r="C14" s="135">
        <v>16.63</v>
      </c>
      <c r="D14" s="135">
        <v>17.510000000000002</v>
      </c>
      <c r="E14" s="135">
        <v>8.1199999999999992</v>
      </c>
      <c r="F14" s="135">
        <v>1.1599999999999999</v>
      </c>
      <c r="G14" s="208" t="s">
        <v>36</v>
      </c>
      <c r="H14" s="135">
        <v>4.8499999999999996</v>
      </c>
      <c r="I14" s="135">
        <v>4.87</v>
      </c>
      <c r="J14" s="135">
        <v>2.15</v>
      </c>
      <c r="K14" s="135">
        <v>215.53</v>
      </c>
      <c r="L14" s="135">
        <v>21.02</v>
      </c>
      <c r="M14" s="135">
        <v>96</v>
      </c>
      <c r="N14" s="135">
        <v>257.5</v>
      </c>
      <c r="O14" s="135">
        <v>0</v>
      </c>
      <c r="P14" s="135">
        <v>2.42</v>
      </c>
      <c r="Q14" s="135">
        <v>14.29</v>
      </c>
      <c r="R14" s="194"/>
      <c r="S14" s="194"/>
      <c r="T14" s="194"/>
      <c r="U14" s="194"/>
    </row>
    <row r="15" spans="1:21" s="12" customFormat="1" ht="15">
      <c r="A15" s="207" t="s">
        <v>442</v>
      </c>
      <c r="B15" s="135">
        <v>0.83</v>
      </c>
      <c r="C15" s="135">
        <v>16.760000000000002</v>
      </c>
      <c r="D15" s="135">
        <v>17.59</v>
      </c>
      <c r="E15" s="135">
        <v>7.88</v>
      </c>
      <c r="F15" s="135">
        <v>0.91</v>
      </c>
      <c r="G15" s="208" t="s">
        <v>36</v>
      </c>
      <c r="H15" s="135">
        <v>4.8499999999999996</v>
      </c>
      <c r="I15" s="135">
        <v>4.83</v>
      </c>
      <c r="J15" s="135">
        <v>1.84</v>
      </c>
      <c r="K15" s="135">
        <v>221.68</v>
      </c>
      <c r="L15" s="135">
        <v>21.05</v>
      </c>
      <c r="M15" s="135">
        <v>96.05</v>
      </c>
      <c r="N15" s="135">
        <v>247.90</v>
      </c>
      <c r="O15" s="135">
        <v>0</v>
      </c>
      <c r="P15" s="135">
        <v>2.40</v>
      </c>
      <c r="Q15" s="135">
        <v>15.83</v>
      </c>
      <c r="R15" s="194"/>
      <c r="S15" s="194"/>
      <c r="T15" s="194"/>
      <c r="U15" s="194"/>
    </row>
    <row r="16" spans="1:21" s="12" customFormat="1" ht="15">
      <c r="A16" s="207" t="s">
        <v>443</v>
      </c>
      <c r="B16" s="135">
        <v>0.87</v>
      </c>
      <c r="C16" s="135">
        <v>16.79</v>
      </c>
      <c r="D16" s="135">
        <v>17.649999999999999</v>
      </c>
      <c r="E16" s="135">
        <v>8.09</v>
      </c>
      <c r="F16" s="135">
        <v>0.90</v>
      </c>
      <c r="G16" s="208" t="s">
        <v>36</v>
      </c>
      <c r="H16" s="135">
        <v>4.8499999999999996</v>
      </c>
      <c r="I16" s="135">
        <v>4.7699999999999996</v>
      </c>
      <c r="J16" s="135">
        <v>2.83</v>
      </c>
      <c r="K16" s="135">
        <v>203.02</v>
      </c>
      <c r="L16" s="135">
        <v>22.21</v>
      </c>
      <c r="M16" s="135">
        <v>96.07</v>
      </c>
      <c r="N16" s="135">
        <v>246.70</v>
      </c>
      <c r="O16" s="135">
        <v>0</v>
      </c>
      <c r="P16" s="135">
        <v>2.39</v>
      </c>
      <c r="Q16" s="135">
        <v>17.54</v>
      </c>
      <c r="R16" s="194"/>
      <c r="S16" s="194"/>
      <c r="T16" s="194"/>
      <c r="U16" s="194"/>
    </row>
    <row r="17" spans="1:21" s="12" customFormat="1" ht="15">
      <c r="A17" s="207" t="s">
        <v>444</v>
      </c>
      <c r="B17" s="135">
        <v>0.92</v>
      </c>
      <c r="C17" s="135">
        <v>16.940000000000001</v>
      </c>
      <c r="D17" s="135">
        <v>17.86</v>
      </c>
      <c r="E17" s="135">
        <v>8.93</v>
      </c>
      <c r="F17" s="135">
        <v>0.94</v>
      </c>
      <c r="G17" s="208" t="s">
        <v>36</v>
      </c>
      <c r="H17" s="135">
        <v>4.47</v>
      </c>
      <c r="I17" s="135">
        <v>4.7300000000000004</v>
      </c>
      <c r="J17" s="135">
        <v>3.04</v>
      </c>
      <c r="K17" s="135">
        <v>201.39</v>
      </c>
      <c r="L17" s="135">
        <v>20.98</v>
      </c>
      <c r="M17" s="135">
        <v>96.21</v>
      </c>
      <c r="N17" s="135">
        <v>246.10</v>
      </c>
      <c r="O17" s="135">
        <v>0</v>
      </c>
      <c r="P17" s="135">
        <v>2.38</v>
      </c>
      <c r="Q17" s="135">
        <v>19.14</v>
      </c>
      <c r="R17" s="194"/>
      <c r="S17" s="194"/>
      <c r="T17" s="194"/>
      <c r="U17" s="194"/>
    </row>
    <row r="18" spans="1:21" s="12" customFormat="1" ht="15">
      <c r="A18" s="207" t="s">
        <v>445</v>
      </c>
      <c r="B18" s="135">
        <v>1.01</v>
      </c>
      <c r="C18" s="135">
        <v>17.059999999999999</v>
      </c>
      <c r="D18" s="135">
        <v>18.07</v>
      </c>
      <c r="E18" s="135">
        <v>8.84</v>
      </c>
      <c r="F18" s="135">
        <v>0.93</v>
      </c>
      <c r="G18" s="208" t="s">
        <v>36</v>
      </c>
      <c r="H18" s="135">
        <v>3.53</v>
      </c>
      <c r="I18" s="135">
        <v>4.6900000000000004</v>
      </c>
      <c r="J18" s="135">
        <v>2.09</v>
      </c>
      <c r="K18" s="135">
        <v>201.42</v>
      </c>
      <c r="L18" s="135">
        <v>19.809999999999999</v>
      </c>
      <c r="M18" s="135">
        <v>96.31</v>
      </c>
      <c r="N18" s="135">
        <v>265.10000000000002</v>
      </c>
      <c r="O18" s="135">
        <v>0</v>
      </c>
      <c r="P18" s="135">
        <v>2.37</v>
      </c>
      <c r="Q18" s="135">
        <v>20.29</v>
      </c>
      <c r="R18" s="194"/>
      <c r="S18" s="194"/>
      <c r="T18" s="194"/>
      <c r="U18" s="194"/>
    </row>
    <row r="19" spans="1:21" s="12" customFormat="1" ht="15">
      <c r="A19" s="207" t="s">
        <v>446</v>
      </c>
      <c r="B19" s="135">
        <v>1.0900000000000001</v>
      </c>
      <c r="C19" s="135">
        <v>17.22</v>
      </c>
      <c r="D19" s="135">
        <v>18.32</v>
      </c>
      <c r="E19" s="135">
        <v>9.43</v>
      </c>
      <c r="F19" s="135">
        <v>0.78</v>
      </c>
      <c r="G19" s="208" t="s">
        <v>36</v>
      </c>
      <c r="H19" s="135">
        <v>3.53</v>
      </c>
      <c r="I19" s="135">
        <v>4.66</v>
      </c>
      <c r="J19" s="135">
        <v>2.67</v>
      </c>
      <c r="K19" s="135">
        <v>193.26</v>
      </c>
      <c r="L19" s="135">
        <v>22.17</v>
      </c>
      <c r="M19" s="135">
        <v>96.18</v>
      </c>
      <c r="N19" s="135">
        <v>281.89999999999998</v>
      </c>
      <c r="O19" s="135">
        <v>0.20</v>
      </c>
      <c r="P19" s="135">
        <v>2.35</v>
      </c>
      <c r="Q19" s="135">
        <v>21.17</v>
      </c>
      <c r="R19" s="194"/>
      <c r="S19" s="194"/>
      <c r="T19" s="194"/>
      <c r="U19" s="194"/>
    </row>
    <row r="20" spans="1:21" s="12" customFormat="1" ht="15">
      <c r="A20" s="207" t="s">
        <v>447</v>
      </c>
      <c r="B20" s="135">
        <v>1.1599999999999999</v>
      </c>
      <c r="C20" s="135">
        <v>17.510000000000002</v>
      </c>
      <c r="D20" s="135">
        <v>18.670000000000002</v>
      </c>
      <c r="E20" s="135">
        <v>9.8000000000000007</v>
      </c>
      <c r="F20" s="135">
        <v>1.60</v>
      </c>
      <c r="G20" s="208" t="s">
        <v>36</v>
      </c>
      <c r="H20" s="135">
        <v>3.53</v>
      </c>
      <c r="I20" s="135">
        <v>4.6500000000000004</v>
      </c>
      <c r="J20" s="135">
        <v>2.84</v>
      </c>
      <c r="K20" s="135">
        <v>188.75</v>
      </c>
      <c r="L20" s="135">
        <v>20.02</v>
      </c>
      <c r="M20" s="135">
        <v>96.42</v>
      </c>
      <c r="N20" s="135">
        <v>298.89999999999998</v>
      </c>
      <c r="O20" s="135">
        <v>0</v>
      </c>
      <c r="P20" s="135">
        <v>2.34</v>
      </c>
      <c r="Q20" s="135">
        <v>22.02</v>
      </c>
      <c r="R20" s="194"/>
      <c r="S20" s="194"/>
      <c r="T20" s="194"/>
      <c r="U20" s="194"/>
    </row>
    <row r="21" spans="1:21" s="12" customFormat="1" ht="15">
      <c r="A21" s="207" t="s">
        <v>448</v>
      </c>
      <c r="B21" s="135">
        <v>1.41</v>
      </c>
      <c r="C21" s="135">
        <v>13.72</v>
      </c>
      <c r="D21" s="135">
        <v>15.13</v>
      </c>
      <c r="E21" s="135">
        <v>9.99</v>
      </c>
      <c r="F21" s="135">
        <v>2.98</v>
      </c>
      <c r="G21" s="208" t="s">
        <v>36</v>
      </c>
      <c r="H21" s="135">
        <v>3.48</v>
      </c>
      <c r="I21" s="135">
        <v>4.62</v>
      </c>
      <c r="J21" s="135">
        <v>3.17</v>
      </c>
      <c r="K21" s="135">
        <v>201.05</v>
      </c>
      <c r="L21" s="135">
        <v>22.48</v>
      </c>
      <c r="M21" s="135">
        <v>95.64</v>
      </c>
      <c r="N21" s="135">
        <v>274.60000000000002</v>
      </c>
      <c r="O21" s="135">
        <v>0</v>
      </c>
      <c r="P21" s="135">
        <v>2.2999999999999998</v>
      </c>
      <c r="Q21" s="135">
        <v>22.02</v>
      </c>
      <c r="R21" s="194"/>
      <c r="S21" s="194"/>
      <c r="T21" s="194"/>
      <c r="U21" s="194"/>
    </row>
    <row r="22" spans="1:21" s="12" customFormat="1" ht="15">
      <c r="A22" s="207" t="s">
        <v>449</v>
      </c>
      <c r="B22" s="135">
        <v>1.59</v>
      </c>
      <c r="C22" s="135">
        <v>12.99</v>
      </c>
      <c r="D22" s="135">
        <v>14.58</v>
      </c>
      <c r="E22" s="135">
        <v>10.15</v>
      </c>
      <c r="F22" s="135">
        <v>1.20</v>
      </c>
      <c r="G22" s="208" t="s">
        <v>36</v>
      </c>
      <c r="H22" s="135">
        <v>3.35</v>
      </c>
      <c r="I22" s="135">
        <v>4.49</v>
      </c>
      <c r="J22" s="135">
        <v>2.59</v>
      </c>
      <c r="K22" s="135">
        <v>208.74</v>
      </c>
      <c r="L22" s="135">
        <v>17.5</v>
      </c>
      <c r="M22" s="135">
        <v>95.09</v>
      </c>
      <c r="N22" s="135">
        <v>265.30</v>
      </c>
      <c r="O22" s="135">
        <v>0</v>
      </c>
      <c r="P22" s="135">
        <v>2.31</v>
      </c>
      <c r="Q22" s="135">
        <v>15.51</v>
      </c>
      <c r="R22" s="194"/>
      <c r="S22" s="194"/>
      <c r="T22" s="194"/>
      <c r="U22" s="194"/>
    </row>
    <row r="23" spans="1:21" s="12" customFormat="1" ht="15">
      <c r="A23" s="207" t="s">
        <v>450</v>
      </c>
      <c r="B23" s="135">
        <v>1.62</v>
      </c>
      <c r="C23" s="135">
        <v>13.05</v>
      </c>
      <c r="D23" s="135">
        <v>14.67</v>
      </c>
      <c r="E23" s="135">
        <v>10.09</v>
      </c>
      <c r="F23" s="135">
        <v>0.95</v>
      </c>
      <c r="G23" s="208" t="s">
        <v>36</v>
      </c>
      <c r="H23" s="135">
        <v>3.35</v>
      </c>
      <c r="I23" s="135">
        <v>4.08</v>
      </c>
      <c r="J23" s="135">
        <v>2.36</v>
      </c>
      <c r="K23" s="135">
        <v>217.79</v>
      </c>
      <c r="L23" s="135">
        <v>15.26</v>
      </c>
      <c r="M23" s="135">
        <v>94.36</v>
      </c>
      <c r="N23" s="135">
        <v>272.20</v>
      </c>
      <c r="O23" s="135">
        <v>0</v>
      </c>
      <c r="P23" s="135">
        <v>2.2999999999999998</v>
      </c>
      <c r="Q23" s="135">
        <v>11.43</v>
      </c>
      <c r="R23" s="194"/>
      <c r="S23" s="194"/>
      <c r="T23" s="194"/>
      <c r="U23" s="194"/>
    </row>
    <row r="24" spans="1:21" s="12" customFormat="1" ht="15">
      <c r="A24" s="207" t="s">
        <v>451</v>
      </c>
      <c r="B24" s="135">
        <v>1.57</v>
      </c>
      <c r="C24" s="135">
        <v>13.34</v>
      </c>
      <c r="D24" s="135">
        <v>14.91</v>
      </c>
      <c r="E24" s="135">
        <v>3.39</v>
      </c>
      <c r="F24" s="135">
        <v>0.86</v>
      </c>
      <c r="G24" s="208" t="s">
        <v>36</v>
      </c>
      <c r="H24" s="135">
        <v>3.35</v>
      </c>
      <c r="I24" s="135">
        <v>4.08</v>
      </c>
      <c r="J24" s="135">
        <v>2.57</v>
      </c>
      <c r="K24" s="135">
        <v>215.74</v>
      </c>
      <c r="L24" s="135">
        <v>12.5</v>
      </c>
      <c r="M24" s="135">
        <v>94.33</v>
      </c>
      <c r="N24" s="135">
        <v>253.5</v>
      </c>
      <c r="O24" s="135">
        <v>0</v>
      </c>
      <c r="P24" s="135">
        <v>2.29</v>
      </c>
      <c r="Q24" s="135">
        <v>9.18</v>
      </c>
      <c r="R24" s="194"/>
      <c r="S24" s="194"/>
      <c r="T24" s="194"/>
      <c r="U24" s="194"/>
    </row>
    <row r="25" spans="1:21" s="12" customFormat="1" ht="15">
      <c r="A25" s="207" t="s">
        <v>452</v>
      </c>
      <c r="B25" s="135">
        <v>1.56</v>
      </c>
      <c r="C25" s="135">
        <v>13.5</v>
      </c>
      <c r="D25" s="135">
        <v>15.05</v>
      </c>
      <c r="E25" s="135">
        <v>9.34</v>
      </c>
      <c r="F25" s="135">
        <v>0.80</v>
      </c>
      <c r="G25" s="208" t="s">
        <v>36</v>
      </c>
      <c r="H25" s="135">
        <v>3.08</v>
      </c>
      <c r="I25" s="135">
        <v>4.0199999999999996</v>
      </c>
      <c r="J25" s="135">
        <v>2.60</v>
      </c>
      <c r="K25" s="135">
        <v>220.51</v>
      </c>
      <c r="L25" s="135">
        <v>10.38</v>
      </c>
      <c r="M25" s="135">
        <v>94.88</v>
      </c>
      <c r="N25" s="135">
        <v>258.60000000000002</v>
      </c>
      <c r="O25" s="135">
        <v>0</v>
      </c>
      <c r="P25" s="135">
        <v>2.2799999999999998</v>
      </c>
      <c r="Q25" s="135">
        <v>8.26</v>
      </c>
      <c r="R25" s="194"/>
      <c r="S25" s="194"/>
      <c r="T25" s="194"/>
      <c r="U25" s="194"/>
    </row>
    <row r="26" spans="1:21" s="12" customFormat="1" ht="15">
      <c r="A26" s="207" t="s">
        <v>453</v>
      </c>
      <c r="B26" s="135">
        <v>1.64</v>
      </c>
      <c r="C26" s="135">
        <v>13.53</v>
      </c>
      <c r="D26" s="135">
        <v>15.17</v>
      </c>
      <c r="E26" s="135">
        <v>9.85</v>
      </c>
      <c r="F26" s="135">
        <v>0.71</v>
      </c>
      <c r="G26" s="208" t="s">
        <v>36</v>
      </c>
      <c r="H26" s="135">
        <v>2.41</v>
      </c>
      <c r="I26" s="135">
        <v>3.86</v>
      </c>
      <c r="J26" s="135">
        <v>2.31</v>
      </c>
      <c r="K26" s="135">
        <v>209.92</v>
      </c>
      <c r="L26" s="135">
        <v>11.04</v>
      </c>
      <c r="M26" s="135">
        <v>94.68</v>
      </c>
      <c r="N26" s="135">
        <v>258.89999999999998</v>
      </c>
      <c r="O26" s="135">
        <v>0</v>
      </c>
      <c r="P26" s="135">
        <v>2.2799999999999998</v>
      </c>
      <c r="Q26" s="135">
        <v>7.87</v>
      </c>
      <c r="R26" s="194"/>
      <c r="S26" s="194"/>
      <c r="T26" s="194"/>
      <c r="U26" s="194"/>
    </row>
    <row r="27" spans="1:21" s="12" customFormat="1" ht="15">
      <c r="A27" s="207" t="s">
        <v>454</v>
      </c>
      <c r="B27" s="135">
        <v>1.66</v>
      </c>
      <c r="C27" s="135">
        <v>13.41</v>
      </c>
      <c r="D27" s="135">
        <v>15.07</v>
      </c>
      <c r="E27" s="135">
        <v>9.39</v>
      </c>
      <c r="F27" s="135">
        <v>1.20</v>
      </c>
      <c r="G27" s="208" t="s">
        <v>36</v>
      </c>
      <c r="H27" s="135">
        <v>2.41</v>
      </c>
      <c r="I27" s="135">
        <v>3.53</v>
      </c>
      <c r="J27" s="135">
        <v>1.41</v>
      </c>
      <c r="K27" s="135">
        <v>230.08</v>
      </c>
      <c r="L27" s="135">
        <v>12</v>
      </c>
      <c r="M27" s="135">
        <v>94.23</v>
      </c>
      <c r="N27" s="135">
        <v>240.5</v>
      </c>
      <c r="O27" s="135">
        <v>0</v>
      </c>
      <c r="P27" s="135">
        <v>2.27</v>
      </c>
      <c r="Q27" s="135">
        <v>7.63</v>
      </c>
      <c r="R27" s="194"/>
      <c r="S27" s="194"/>
      <c r="T27" s="194"/>
      <c r="U27" s="194"/>
    </row>
    <row r="28" spans="1:21" s="12" customFormat="1" ht="15">
      <c r="A28" s="207" t="s">
        <v>455</v>
      </c>
      <c r="B28" s="135">
        <v>1.65</v>
      </c>
      <c r="C28" s="135">
        <v>14.10</v>
      </c>
      <c r="D28" s="135">
        <v>15.75</v>
      </c>
      <c r="E28" s="135">
        <v>8.9700000000000006</v>
      </c>
      <c r="F28" s="135">
        <v>0.51</v>
      </c>
      <c r="G28" s="208" t="s">
        <v>36</v>
      </c>
      <c r="H28" s="135">
        <v>2.41</v>
      </c>
      <c r="I28" s="135">
        <v>3.57</v>
      </c>
      <c r="J28" s="135">
        <v>1.47</v>
      </c>
      <c r="K28" s="135">
        <v>206.78</v>
      </c>
      <c r="L28" s="135">
        <v>12.85</v>
      </c>
      <c r="M28" s="135">
        <v>94.36</v>
      </c>
      <c r="N28" s="135">
        <v>239.10</v>
      </c>
      <c r="O28" s="135">
        <v>0</v>
      </c>
      <c r="P28" s="135">
        <v>2.2799999999999998</v>
      </c>
      <c r="Q28" s="135">
        <v>7.92</v>
      </c>
      <c r="R28" s="194"/>
      <c r="S28" s="194"/>
      <c r="T28" s="194"/>
      <c r="U28" s="194"/>
    </row>
    <row r="29" spans="1:21" s="12" customFormat="1" ht="15">
      <c r="A29" s="207" t="s">
        <v>456</v>
      </c>
      <c r="B29" s="135">
        <v>1.69</v>
      </c>
      <c r="C29" s="135">
        <v>14.85</v>
      </c>
      <c r="D29" s="135">
        <v>16.53</v>
      </c>
      <c r="E29" s="135">
        <v>9.0500000000000007</v>
      </c>
      <c r="F29" s="135">
        <v>0.70</v>
      </c>
      <c r="G29" s="208" t="s">
        <v>36</v>
      </c>
      <c r="H29" s="135">
        <v>2.4300000000000002</v>
      </c>
      <c r="I29" s="135">
        <v>3.80</v>
      </c>
      <c r="J29" s="135">
        <v>1.74</v>
      </c>
      <c r="K29" s="135">
        <v>220.54</v>
      </c>
      <c r="L29" s="135">
        <v>12.41</v>
      </c>
      <c r="M29" s="135">
        <v>94.16</v>
      </c>
      <c r="N29" s="135">
        <v>241.70</v>
      </c>
      <c r="O29" s="135">
        <v>0</v>
      </c>
      <c r="P29" s="135">
        <v>2.2799999999999998</v>
      </c>
      <c r="Q29" s="135">
        <v>9.08</v>
      </c>
      <c r="R29" s="194"/>
      <c r="S29" s="194"/>
      <c r="T29" s="194"/>
      <c r="U29" s="194"/>
    </row>
    <row r="30" spans="1:21" s="12" customFormat="1" ht="15">
      <c r="A30" s="207" t="s">
        <v>457</v>
      </c>
      <c r="B30" s="135">
        <v>1.57</v>
      </c>
      <c r="C30" s="135">
        <v>15.48</v>
      </c>
      <c r="D30" s="135">
        <v>17.05</v>
      </c>
      <c r="E30" s="135">
        <v>8.82</v>
      </c>
      <c r="F30" s="135">
        <v>0.89</v>
      </c>
      <c r="G30" s="208" t="s">
        <v>36</v>
      </c>
      <c r="H30" s="135">
        <v>2.4500000000000002</v>
      </c>
      <c r="I30" s="135">
        <v>3.90</v>
      </c>
      <c r="J30" s="135">
        <v>2</v>
      </c>
      <c r="K30" s="135">
        <v>219.21</v>
      </c>
      <c r="L30" s="135">
        <v>11.03</v>
      </c>
      <c r="M30" s="135">
        <v>94.12</v>
      </c>
      <c r="N30" s="135">
        <v>249.5</v>
      </c>
      <c r="O30" s="135">
        <v>0</v>
      </c>
      <c r="P30" s="135">
        <v>2.2799999999999998</v>
      </c>
      <c r="Q30" s="135">
        <v>10.37</v>
      </c>
      <c r="R30" s="194"/>
      <c r="S30" s="194"/>
      <c r="T30" s="194"/>
      <c r="U30" s="194"/>
    </row>
    <row r="31" spans="1:21" s="12" customFormat="1" ht="15">
      <c r="A31" s="207" t="s">
        <v>458</v>
      </c>
      <c r="B31" s="135">
        <v>1.47</v>
      </c>
      <c r="C31" s="135">
        <v>16.02</v>
      </c>
      <c r="D31" s="135">
        <v>17.489999999999998</v>
      </c>
      <c r="E31" s="135">
        <v>9.02</v>
      </c>
      <c r="F31" s="135">
        <v>0.66</v>
      </c>
      <c r="G31" s="208" t="s">
        <v>36</v>
      </c>
      <c r="H31" s="135">
        <v>2.4500000000000002</v>
      </c>
      <c r="I31" s="135">
        <v>3.91</v>
      </c>
      <c r="J31" s="135">
        <v>0.88</v>
      </c>
      <c r="K31" s="135">
        <v>276.31</v>
      </c>
      <c r="L31" s="135">
        <v>14.94</v>
      </c>
      <c r="M31" s="135">
        <v>94.41</v>
      </c>
      <c r="N31" s="135">
        <v>267.89999999999998</v>
      </c>
      <c r="O31" s="135">
        <v>0</v>
      </c>
      <c r="P31" s="135">
        <v>2.27</v>
      </c>
      <c r="Q31" s="135">
        <v>12</v>
      </c>
      <c r="R31" s="194"/>
      <c r="S31" s="194"/>
      <c r="T31" s="194"/>
      <c r="U31" s="194"/>
    </row>
    <row r="32" spans="1:21" s="12" customFormat="1" ht="15">
      <c r="A32" s="207" t="s">
        <v>459</v>
      </c>
      <c r="B32" s="135">
        <v>1.45</v>
      </c>
      <c r="C32" s="135">
        <v>16.600000000000001</v>
      </c>
      <c r="D32" s="135">
        <v>18.05</v>
      </c>
      <c r="E32" s="135">
        <v>9.2100000000000009</v>
      </c>
      <c r="F32" s="135">
        <v>0.52</v>
      </c>
      <c r="G32" s="208" t="s">
        <v>36</v>
      </c>
      <c r="H32" s="135">
        <v>2.4500000000000002</v>
      </c>
      <c r="I32" s="135">
        <v>3.88</v>
      </c>
      <c r="J32" s="135">
        <v>2.0499999999999998</v>
      </c>
      <c r="K32" s="135">
        <v>201.49</v>
      </c>
      <c r="L32" s="135">
        <v>13.71</v>
      </c>
      <c r="M32" s="135">
        <v>94.75</v>
      </c>
      <c r="N32" s="135">
        <v>260.39999999999998</v>
      </c>
      <c r="O32" s="135">
        <v>0</v>
      </c>
      <c r="P32" s="135">
        <v>2.27</v>
      </c>
      <c r="Q32" s="135">
        <v>13.93</v>
      </c>
      <c r="R32" s="194"/>
      <c r="S32" s="194"/>
      <c r="T32" s="194"/>
      <c r="U32" s="194"/>
    </row>
    <row r="33" spans="1:21" s="12" customFormat="1" ht="15">
      <c r="A33" s="207" t="s">
        <v>460</v>
      </c>
      <c r="B33" s="135">
        <v>1.58</v>
      </c>
      <c r="C33" s="135">
        <v>17.23</v>
      </c>
      <c r="D33" s="135">
        <v>18.809999999999999</v>
      </c>
      <c r="E33" s="135">
        <v>9.17</v>
      </c>
      <c r="F33" s="135">
        <v>0.36</v>
      </c>
      <c r="G33" s="208" t="s">
        <v>36</v>
      </c>
      <c r="H33" s="135">
        <v>2.4300000000000002</v>
      </c>
      <c r="I33" s="135">
        <v>3.86</v>
      </c>
      <c r="J33" s="135">
        <v>2.91</v>
      </c>
      <c r="K33" s="135">
        <v>197.14</v>
      </c>
      <c r="L33" s="135">
        <v>12.02</v>
      </c>
      <c r="M33" s="135">
        <v>95.53</v>
      </c>
      <c r="N33" s="135">
        <v>262</v>
      </c>
      <c r="O33" s="135">
        <v>0</v>
      </c>
      <c r="P33" s="135">
        <v>2.2799999999999998</v>
      </c>
      <c r="Q33" s="135">
        <v>15.93</v>
      </c>
      <c r="R33" s="194"/>
      <c r="S33" s="194"/>
      <c r="T33" s="194"/>
      <c r="U33" s="194"/>
    </row>
    <row r="34" spans="1:21" s="12" customFormat="1" ht="15">
      <c r="A34" s="207" t="s">
        <v>461</v>
      </c>
      <c r="B34" s="135">
        <v>1.86</v>
      </c>
      <c r="C34" s="135">
        <v>17.739999999999998</v>
      </c>
      <c r="D34" s="135">
        <v>19.600000000000001</v>
      </c>
      <c r="E34" s="135">
        <v>9.15</v>
      </c>
      <c r="F34" s="135">
        <v>0.46</v>
      </c>
      <c r="G34" s="208" t="s">
        <v>36</v>
      </c>
      <c r="H34" s="135">
        <v>2.35</v>
      </c>
      <c r="I34" s="135">
        <v>3.94</v>
      </c>
      <c r="J34" s="135">
        <v>2.12</v>
      </c>
      <c r="K34" s="135">
        <v>221.60</v>
      </c>
      <c r="L34" s="135">
        <v>16.09</v>
      </c>
      <c r="M34" s="135">
        <v>95.48</v>
      </c>
      <c r="N34" s="135">
        <v>258.70</v>
      </c>
      <c r="O34" s="135">
        <v>0</v>
      </c>
      <c r="P34" s="135">
        <v>2.27</v>
      </c>
      <c r="Q34" s="135">
        <v>17.78</v>
      </c>
      <c r="R34" s="194"/>
      <c r="S34" s="194"/>
      <c r="T34" s="194"/>
      <c r="U34" s="194"/>
    </row>
    <row r="35" spans="1:21" s="12" customFormat="1" ht="15">
      <c r="A35" s="207" t="s">
        <v>462</v>
      </c>
      <c r="B35" s="135">
        <v>2.21</v>
      </c>
      <c r="C35" s="135">
        <v>18.239999999999998</v>
      </c>
      <c r="D35" s="135">
        <v>20.45</v>
      </c>
      <c r="E35" s="135">
        <v>9.35</v>
      </c>
      <c r="F35" s="135">
        <v>0.87</v>
      </c>
      <c r="G35" s="208" t="s">
        <v>36</v>
      </c>
      <c r="H35" s="135">
        <v>2.35</v>
      </c>
      <c r="I35" s="135">
        <v>3.98</v>
      </c>
      <c r="J35" s="135">
        <v>1.21</v>
      </c>
      <c r="K35" s="135">
        <v>204.66</v>
      </c>
      <c r="L35" s="135">
        <v>15.29</v>
      </c>
      <c r="M35" s="135">
        <v>95.19</v>
      </c>
      <c r="N35" s="135">
        <v>278.60000000000002</v>
      </c>
      <c r="O35" s="135">
        <v>0</v>
      </c>
      <c r="P35" s="135">
        <v>2.2999999999999998</v>
      </c>
      <c r="Q35" s="135">
        <v>20.23</v>
      </c>
      <c r="R35" s="194"/>
      <c r="S35" s="194"/>
      <c r="T35" s="194"/>
      <c r="U35" s="194"/>
    </row>
    <row r="36" spans="1:21" s="12" customFormat="1" ht="15">
      <c r="A36" s="207" t="s">
        <v>463</v>
      </c>
      <c r="B36" s="135">
        <v>2.64</v>
      </c>
      <c r="C36" s="135">
        <v>18.78</v>
      </c>
      <c r="D36" s="135">
        <v>21.41</v>
      </c>
      <c r="E36" s="135">
        <v>9.6300000000000008</v>
      </c>
      <c r="F36" s="135">
        <v>0.36</v>
      </c>
      <c r="G36" s="208" t="s">
        <v>36</v>
      </c>
      <c r="H36" s="135">
        <v>2.35</v>
      </c>
      <c r="I36" s="135">
        <v>4.09</v>
      </c>
      <c r="J36" s="135">
        <v>0.91</v>
      </c>
      <c r="K36" s="135">
        <v>233.51</v>
      </c>
      <c r="L36" s="135">
        <v>15.48</v>
      </c>
      <c r="M36" s="135">
        <v>94.65</v>
      </c>
      <c r="N36" s="135">
        <v>289.89999999999998</v>
      </c>
      <c r="O36" s="135">
        <v>0</v>
      </c>
      <c r="P36" s="135">
        <v>2.2999999999999998</v>
      </c>
      <c r="Q36" s="135">
        <v>21.36</v>
      </c>
      <c r="R36" s="194"/>
      <c r="S36" s="194"/>
      <c r="T36" s="194"/>
      <c r="U36" s="194"/>
    </row>
    <row r="37" spans="1:21" s="12" customFormat="1" ht="15">
      <c r="A37" s="207" t="s">
        <v>464</v>
      </c>
      <c r="B37" s="135">
        <v>3.38</v>
      </c>
      <c r="C37" s="135">
        <v>19.57</v>
      </c>
      <c r="D37" s="135">
        <v>22.95</v>
      </c>
      <c r="E37" s="135">
        <v>9.7799999999999994</v>
      </c>
      <c r="F37" s="135">
        <v>0.5</v>
      </c>
      <c r="G37" s="208" t="s">
        <v>36</v>
      </c>
      <c r="H37" s="135">
        <v>2.25</v>
      </c>
      <c r="I37" s="135">
        <v>4.2300000000000004</v>
      </c>
      <c r="J37" s="135">
        <v>0.41</v>
      </c>
      <c r="K37" s="135">
        <v>1.51</v>
      </c>
      <c r="L37" s="135">
        <v>14.07</v>
      </c>
      <c r="M37" s="135">
        <v>93.97</v>
      </c>
      <c r="N37" s="135">
        <v>304.5</v>
      </c>
      <c r="O37" s="135">
        <v>0</v>
      </c>
      <c r="P37" s="135">
        <v>2.3199999999999998</v>
      </c>
      <c r="Q37" s="135">
        <v>23.06</v>
      </c>
      <c r="R37" s="194"/>
      <c r="S37" s="194"/>
      <c r="T37" s="194"/>
      <c r="U37" s="194"/>
    </row>
    <row r="38" spans="1:21" s="12" customFormat="1" ht="15">
      <c r="A38" s="207" t="s">
        <v>465</v>
      </c>
      <c r="B38" s="135">
        <v>4.30</v>
      </c>
      <c r="C38" s="135">
        <v>19.78</v>
      </c>
      <c r="D38" s="135">
        <v>24.08</v>
      </c>
      <c r="E38" s="135">
        <v>9.90</v>
      </c>
      <c r="F38" s="135">
        <v>1.08</v>
      </c>
      <c r="G38" s="208" t="s">
        <v>36</v>
      </c>
      <c r="H38" s="135">
        <v>1.99</v>
      </c>
      <c r="I38" s="135">
        <v>4.37</v>
      </c>
      <c r="J38" s="135">
        <v>0.70</v>
      </c>
      <c r="K38" s="135">
        <v>358.59</v>
      </c>
      <c r="L38" s="135">
        <v>15.74</v>
      </c>
      <c r="M38" s="135">
        <v>92.96</v>
      </c>
      <c r="N38" s="135">
        <v>329.80</v>
      </c>
      <c r="O38" s="135">
        <v>0</v>
      </c>
      <c r="P38" s="135">
        <v>2.33</v>
      </c>
      <c r="Q38" s="135">
        <v>24.06</v>
      </c>
      <c r="R38" s="194"/>
      <c r="S38" s="194"/>
      <c r="T38" s="194"/>
      <c r="U38" s="194"/>
    </row>
    <row r="39" spans="1:21" s="12" customFormat="1" ht="15">
      <c r="A39" s="207" t="s">
        <v>466</v>
      </c>
      <c r="B39" s="135">
        <v>5.21</v>
      </c>
      <c r="C39" s="135">
        <v>16.04</v>
      </c>
      <c r="D39" s="135">
        <v>21.25</v>
      </c>
      <c r="E39" s="135">
        <v>10.08</v>
      </c>
      <c r="F39" s="135">
        <v>3.57</v>
      </c>
      <c r="G39" s="208" t="s">
        <v>36</v>
      </c>
      <c r="H39" s="135">
        <v>1.99</v>
      </c>
      <c r="I39" s="135">
        <v>4.53</v>
      </c>
      <c r="J39" s="135">
        <v>1.75</v>
      </c>
      <c r="K39" s="135">
        <v>11.62</v>
      </c>
      <c r="L39" s="135">
        <v>16.350000000000001</v>
      </c>
      <c r="M39" s="135">
        <v>91.29</v>
      </c>
      <c r="N39" s="135">
        <v>335.90</v>
      </c>
      <c r="O39" s="135">
        <v>0</v>
      </c>
      <c r="P39" s="135">
        <v>2.33</v>
      </c>
      <c r="Q39" s="135">
        <v>21.98</v>
      </c>
      <c r="R39" s="194"/>
      <c r="S39" s="194"/>
      <c r="T39" s="194"/>
      <c r="U39" s="194"/>
    </row>
    <row r="40" spans="1:21" s="12" customFormat="1" ht="15">
      <c r="A40" s="207" t="s">
        <v>467</v>
      </c>
      <c r="B40" s="135">
        <v>5.93</v>
      </c>
      <c r="C40" s="135">
        <v>15.69</v>
      </c>
      <c r="D40" s="135">
        <v>21.62</v>
      </c>
      <c r="E40" s="135">
        <v>4.55</v>
      </c>
      <c r="F40" s="135">
        <v>1.28</v>
      </c>
      <c r="G40" s="208" t="s">
        <v>36</v>
      </c>
      <c r="H40" s="135">
        <v>1.99</v>
      </c>
      <c r="I40" s="135">
        <v>4.53</v>
      </c>
      <c r="J40" s="135">
        <v>1.75</v>
      </c>
      <c r="K40" s="135">
        <v>0.71</v>
      </c>
      <c r="L40" s="135">
        <v>17.37</v>
      </c>
      <c r="M40" s="135">
        <v>90.16</v>
      </c>
      <c r="N40" s="135">
        <v>329.20</v>
      </c>
      <c r="O40" s="135">
        <v>0</v>
      </c>
      <c r="P40" s="135">
        <v>2.37</v>
      </c>
      <c r="Q40" s="135">
        <v>16.71</v>
      </c>
      <c r="R40" s="194"/>
      <c r="S40" s="194"/>
      <c r="T40" s="194"/>
      <c r="U40" s="194"/>
    </row>
    <row r="41" spans="1:21" s="12" customFormat="1" ht="15">
      <c r="A41" s="207" t="s">
        <v>468</v>
      </c>
      <c r="B41" s="135">
        <v>6.31</v>
      </c>
      <c r="C41" s="135">
        <v>16.20</v>
      </c>
      <c r="D41" s="135">
        <v>22.51</v>
      </c>
      <c r="E41" s="135">
        <v>10.46</v>
      </c>
      <c r="F41" s="135">
        <v>0.67</v>
      </c>
      <c r="G41" s="208" t="s">
        <v>36</v>
      </c>
      <c r="H41" s="135">
        <v>1.97</v>
      </c>
      <c r="I41" s="135">
        <v>4.26</v>
      </c>
      <c r="J41" s="135">
        <v>0.25</v>
      </c>
      <c r="K41" s="135">
        <v>24.39</v>
      </c>
      <c r="L41" s="135">
        <v>17.18</v>
      </c>
      <c r="M41" s="135">
        <v>90.36</v>
      </c>
      <c r="N41" s="135">
        <v>315.70</v>
      </c>
      <c r="O41" s="135">
        <v>0</v>
      </c>
      <c r="P41" s="135">
        <v>2.39</v>
      </c>
      <c r="Q41" s="135">
        <v>13.09</v>
      </c>
      <c r="R41" s="194"/>
      <c r="S41" s="194"/>
      <c r="T41" s="194"/>
      <c r="U41" s="194"/>
    </row>
    <row r="42" spans="1:21" s="12" customFormat="1" ht="15">
      <c r="A42" s="207" t="s">
        <v>469</v>
      </c>
      <c r="B42" s="135">
        <v>6.45</v>
      </c>
      <c r="C42" s="135">
        <v>16.98</v>
      </c>
      <c r="D42" s="135">
        <v>23.43</v>
      </c>
      <c r="E42" s="135">
        <v>10.71</v>
      </c>
      <c r="F42" s="135">
        <v>0.34</v>
      </c>
      <c r="G42" s="208" t="s">
        <v>36</v>
      </c>
      <c r="H42" s="135">
        <v>1.93</v>
      </c>
      <c r="I42" s="135">
        <v>4.4400000000000004</v>
      </c>
      <c r="J42" s="135">
        <v>1.98</v>
      </c>
      <c r="K42" s="135">
        <v>27.75</v>
      </c>
      <c r="L42" s="135">
        <v>18.09</v>
      </c>
      <c r="M42" s="135">
        <v>90.44</v>
      </c>
      <c r="N42" s="135">
        <v>296.10000000000002</v>
      </c>
      <c r="O42" s="135">
        <v>0</v>
      </c>
      <c r="P42" s="135">
        <v>2.41</v>
      </c>
      <c r="Q42" s="135">
        <v>11.58</v>
      </c>
      <c r="R42" s="194"/>
      <c r="S42" s="194"/>
      <c r="T42" s="194"/>
      <c r="U42" s="194"/>
    </row>
    <row r="43" spans="1:21" s="12" customFormat="1" ht="15">
      <c r="A43" s="207" t="s">
        <v>470</v>
      </c>
      <c r="B43" s="135">
        <v>6.54</v>
      </c>
      <c r="C43" s="135">
        <v>17.55</v>
      </c>
      <c r="D43" s="135">
        <v>24.09</v>
      </c>
      <c r="E43" s="135">
        <v>10.37</v>
      </c>
      <c r="F43" s="135">
        <v>0.38</v>
      </c>
      <c r="G43" s="208" t="s">
        <v>36</v>
      </c>
      <c r="H43" s="135">
        <v>1.93</v>
      </c>
      <c r="I43" s="135">
        <v>4.53</v>
      </c>
      <c r="J43" s="135">
        <v>1.1399999999999999</v>
      </c>
      <c r="K43" s="135">
        <v>351.52</v>
      </c>
      <c r="L43" s="135">
        <v>19.059999999999999</v>
      </c>
      <c r="M43" s="135">
        <v>90.16</v>
      </c>
      <c r="N43" s="135">
        <v>294.5</v>
      </c>
      <c r="O43" s="135">
        <v>0</v>
      </c>
      <c r="P43" s="135">
        <v>2.42</v>
      </c>
      <c r="Q43" s="135">
        <v>10.86</v>
      </c>
      <c r="R43" s="194"/>
      <c r="S43" s="194"/>
      <c r="T43" s="194"/>
      <c r="U43" s="194"/>
    </row>
    <row r="44" spans="1:21" s="12" customFormat="1" ht="15">
      <c r="A44" s="207" t="s">
        <v>471</v>
      </c>
      <c r="B44" s="135">
        <v>6.89</v>
      </c>
      <c r="C44" s="135">
        <v>17.78</v>
      </c>
      <c r="D44" s="135">
        <v>24.67</v>
      </c>
      <c r="E44" s="135">
        <v>9.94</v>
      </c>
      <c r="F44" s="135">
        <v>0.45</v>
      </c>
      <c r="G44" s="208" t="s">
        <v>36</v>
      </c>
      <c r="H44" s="135">
        <v>1.93</v>
      </c>
      <c r="I44" s="135">
        <v>4.54</v>
      </c>
      <c r="J44" s="135">
        <v>2.0699999999999998</v>
      </c>
      <c r="K44" s="135">
        <v>354.18</v>
      </c>
      <c r="L44" s="135">
        <v>20.45</v>
      </c>
      <c r="M44" s="135">
        <v>89.61</v>
      </c>
      <c r="N44" s="135">
        <v>344.70</v>
      </c>
      <c r="O44" s="135">
        <v>0</v>
      </c>
      <c r="P44" s="135">
        <v>2.44</v>
      </c>
      <c r="Q44" s="135">
        <v>10.66</v>
      </c>
      <c r="R44" s="194"/>
      <c r="S44" s="194"/>
      <c r="T44" s="194"/>
      <c r="U44" s="194"/>
    </row>
    <row r="45" spans="1:21" s="12" customFormat="1" ht="15">
      <c r="A45" s="207" t="s">
        <v>472</v>
      </c>
      <c r="B45" s="135">
        <v>7.88</v>
      </c>
      <c r="C45" s="135">
        <v>17.850000000000001</v>
      </c>
      <c r="D45" s="135">
        <v>25.73</v>
      </c>
      <c r="E45" s="135">
        <v>10.33</v>
      </c>
      <c r="F45" s="135">
        <v>0.28999999999999998</v>
      </c>
      <c r="G45" s="208" t="s">
        <v>36</v>
      </c>
      <c r="H45" s="135">
        <v>2.60</v>
      </c>
      <c r="I45" s="135">
        <v>4.59</v>
      </c>
      <c r="J45" s="135">
        <v>2.58</v>
      </c>
      <c r="K45" s="135">
        <v>327.39</v>
      </c>
      <c r="L45" s="135">
        <v>21.10</v>
      </c>
      <c r="M45" s="135">
        <v>88.70</v>
      </c>
      <c r="N45" s="135">
        <v>354.90</v>
      </c>
      <c r="O45" s="135">
        <v>0</v>
      </c>
      <c r="P45" s="135">
        <v>2.4700000000000002</v>
      </c>
      <c r="Q45" s="135">
        <v>10.83</v>
      </c>
      <c r="R45" s="194"/>
      <c r="S45" s="194"/>
      <c r="T45" s="194"/>
      <c r="U45" s="194"/>
    </row>
    <row r="46" spans="1:21" s="12" customFormat="1" ht="15">
      <c r="A46" s="207" t="s">
        <v>473</v>
      </c>
      <c r="B46" s="135">
        <v>8.86</v>
      </c>
      <c r="C46" s="135">
        <v>18.61</v>
      </c>
      <c r="D46" s="135">
        <v>27.46</v>
      </c>
      <c r="E46" s="135">
        <v>10.39</v>
      </c>
      <c r="F46" s="135">
        <v>0.36</v>
      </c>
      <c r="G46" s="208" t="s">
        <v>36</v>
      </c>
      <c r="H46" s="135">
        <v>4.2300000000000004</v>
      </c>
      <c r="I46" s="135">
        <v>4.68</v>
      </c>
      <c r="J46" s="135">
        <v>1.39</v>
      </c>
      <c r="K46" s="135">
        <v>10.55</v>
      </c>
      <c r="L46" s="135">
        <v>21.63</v>
      </c>
      <c r="M46" s="135">
        <v>87.73</v>
      </c>
      <c r="N46" s="135">
        <v>369.30</v>
      </c>
      <c r="O46" s="135">
        <v>0</v>
      </c>
      <c r="P46" s="135">
        <v>2.5</v>
      </c>
      <c r="Q46" s="135">
        <v>11.84</v>
      </c>
      <c r="R46" s="194"/>
      <c r="S46" s="194"/>
      <c r="T46" s="194"/>
      <c r="U46" s="194"/>
    </row>
    <row r="47" spans="1:21" s="12" customFormat="1" ht="15">
      <c r="A47" s="207" t="s">
        <v>474</v>
      </c>
      <c r="B47" s="135">
        <v>9.09</v>
      </c>
      <c r="C47" s="135">
        <v>19.95</v>
      </c>
      <c r="D47" s="135">
        <v>29.04</v>
      </c>
      <c r="E47" s="135">
        <v>10.199999999999999</v>
      </c>
      <c r="F47" s="135">
        <v>0.44</v>
      </c>
      <c r="G47" s="208" t="s">
        <v>36</v>
      </c>
      <c r="H47" s="135">
        <v>4.2300000000000004</v>
      </c>
      <c r="I47" s="135">
        <v>4.78</v>
      </c>
      <c r="J47" s="135">
        <v>1.21</v>
      </c>
      <c r="K47" s="135">
        <v>3.07</v>
      </c>
      <c r="L47" s="135">
        <v>21.17</v>
      </c>
      <c r="M47" s="135">
        <v>87.77</v>
      </c>
      <c r="N47" s="135">
        <v>465.60</v>
      </c>
      <c r="O47" s="135">
        <v>0</v>
      </c>
      <c r="P47" s="135">
        <v>2.5299999999999998</v>
      </c>
      <c r="Q47" s="135">
        <v>13.35</v>
      </c>
      <c r="R47" s="194"/>
      <c r="S47" s="194"/>
      <c r="T47" s="194"/>
      <c r="U47" s="194"/>
    </row>
    <row r="48" spans="1:21" s="12" customFormat="1" ht="15">
      <c r="A48" s="207" t="s">
        <v>475</v>
      </c>
      <c r="B48" s="135">
        <v>9.02</v>
      </c>
      <c r="C48" s="135">
        <v>21.38</v>
      </c>
      <c r="D48" s="135">
        <v>30.41</v>
      </c>
      <c r="E48" s="135">
        <v>9.59</v>
      </c>
      <c r="F48" s="135">
        <v>0.34</v>
      </c>
      <c r="G48" s="208" t="s">
        <v>36</v>
      </c>
      <c r="H48" s="135">
        <v>4.2300000000000004</v>
      </c>
      <c r="I48" s="135">
        <v>5.04</v>
      </c>
      <c r="J48" s="135">
        <v>0.55000000000000004</v>
      </c>
      <c r="K48" s="135">
        <v>340.96</v>
      </c>
      <c r="L48" s="135">
        <v>20.91</v>
      </c>
      <c r="M48" s="135">
        <v>88.17</v>
      </c>
      <c r="N48" s="135">
        <v>431.70</v>
      </c>
      <c r="O48" s="135">
        <v>0</v>
      </c>
      <c r="P48" s="135">
        <v>2.59</v>
      </c>
      <c r="Q48" s="135">
        <v>15.32</v>
      </c>
      <c r="R48" s="194"/>
      <c r="S48" s="194"/>
      <c r="T48" s="194"/>
      <c r="U48" s="194"/>
    </row>
    <row r="49" spans="1:21" s="12" customFormat="1" ht="15">
      <c r="A49" s="207" t="s">
        <v>476</v>
      </c>
      <c r="B49" s="135">
        <v>8.94</v>
      </c>
      <c r="C49" s="135">
        <v>22.62</v>
      </c>
      <c r="D49" s="135">
        <v>31.55</v>
      </c>
      <c r="E49" s="135">
        <v>9.67</v>
      </c>
      <c r="F49" s="135">
        <v>0.02</v>
      </c>
      <c r="G49" s="208" t="s">
        <v>36</v>
      </c>
      <c r="H49" s="135">
        <v>4.96</v>
      </c>
      <c r="I49" s="135">
        <v>5.49</v>
      </c>
      <c r="J49" s="135">
        <v>0.63</v>
      </c>
      <c r="K49" s="135">
        <v>357.06</v>
      </c>
      <c r="L49" s="135">
        <v>21.44</v>
      </c>
      <c r="M49" s="135">
        <v>87.44</v>
      </c>
      <c r="N49" s="135">
        <v>486.30</v>
      </c>
      <c r="O49" s="135">
        <v>0</v>
      </c>
      <c r="P49" s="135">
        <v>2.67</v>
      </c>
      <c r="Q49" s="135">
        <v>17.41</v>
      </c>
      <c r="R49" s="194"/>
      <c r="S49" s="194"/>
      <c r="T49" s="194"/>
      <c r="U49" s="194"/>
    </row>
    <row r="50" spans="1:21" s="12" customFormat="1" ht="15">
      <c r="A50" s="207" t="s">
        <v>477</v>
      </c>
      <c r="B50" s="135">
        <v>9.61</v>
      </c>
      <c r="C50" s="135">
        <v>24.15</v>
      </c>
      <c r="D50" s="135">
        <v>33.75</v>
      </c>
      <c r="E50" s="135">
        <v>8.89</v>
      </c>
      <c r="F50" s="135">
        <v>0.10</v>
      </c>
      <c r="G50" s="208" t="s">
        <v>36</v>
      </c>
      <c r="H50" s="135">
        <v>6.75</v>
      </c>
      <c r="I50" s="135">
        <v>6.13</v>
      </c>
      <c r="J50" s="135">
        <v>0.19</v>
      </c>
      <c r="K50" s="135">
        <v>301.23</v>
      </c>
      <c r="L50" s="135">
        <v>20.94</v>
      </c>
      <c r="M50" s="135">
        <v>85.99</v>
      </c>
      <c r="N50" s="135">
        <v>371.40</v>
      </c>
      <c r="O50" s="135">
        <v>0</v>
      </c>
      <c r="P50" s="135">
        <v>2.77</v>
      </c>
      <c r="Q50" s="135">
        <v>19.68</v>
      </c>
      <c r="R50" s="194"/>
      <c r="S50" s="194"/>
      <c r="T50" s="194"/>
      <c r="U50" s="194"/>
    </row>
    <row r="51" spans="1:21" s="12" customFormat="1" ht="15">
      <c r="A51" s="207" t="s">
        <v>478</v>
      </c>
      <c r="B51" s="135">
        <v>9.67</v>
      </c>
      <c r="C51" s="135">
        <v>25.44</v>
      </c>
      <c r="D51" s="135">
        <v>35.11</v>
      </c>
      <c r="E51" s="135">
        <v>9.39</v>
      </c>
      <c r="F51" s="135">
        <v>0.22</v>
      </c>
      <c r="G51" s="208" t="s">
        <v>36</v>
      </c>
      <c r="H51" s="135">
        <v>6.75</v>
      </c>
      <c r="I51" s="135">
        <v>7.16</v>
      </c>
      <c r="J51" s="135">
        <v>0.36</v>
      </c>
      <c r="K51" s="135">
        <v>355.5</v>
      </c>
      <c r="L51" s="135">
        <v>21.18</v>
      </c>
      <c r="M51" s="135">
        <v>85.46</v>
      </c>
      <c r="N51" s="135">
        <v>453.60</v>
      </c>
      <c r="O51" s="135">
        <v>0</v>
      </c>
      <c r="P51" s="135">
        <v>2.82</v>
      </c>
      <c r="Q51" s="135">
        <v>21.80</v>
      </c>
      <c r="R51" s="194"/>
      <c r="S51" s="194"/>
      <c r="T51" s="194"/>
      <c r="U51" s="194"/>
    </row>
    <row r="52" spans="1:21" s="12" customFormat="1" ht="15">
      <c r="A52" s="207" t="s">
        <v>479</v>
      </c>
      <c r="B52" s="135">
        <v>9.76</v>
      </c>
      <c r="C52" s="135">
        <v>26.46</v>
      </c>
      <c r="D52" s="135">
        <v>36.22</v>
      </c>
      <c r="E52" s="135">
        <v>9.44</v>
      </c>
      <c r="F52" s="135">
        <v>0.13</v>
      </c>
      <c r="G52" s="208" t="s">
        <v>36</v>
      </c>
      <c r="H52" s="135">
        <v>6.75</v>
      </c>
      <c r="I52" s="135">
        <v>8.18</v>
      </c>
      <c r="J52" s="135">
        <v>0.69</v>
      </c>
      <c r="K52" s="135">
        <v>279.83</v>
      </c>
      <c r="L52" s="135">
        <v>21.59</v>
      </c>
      <c r="M52" s="135">
        <v>83.79</v>
      </c>
      <c r="N52" s="135">
        <v>566.29999999999995</v>
      </c>
      <c r="O52" s="135">
        <v>0</v>
      </c>
      <c r="P52" s="135">
        <v>2.83</v>
      </c>
      <c r="Q52" s="135">
        <v>24</v>
      </c>
      <c r="R52" s="194"/>
      <c r="S52" s="194"/>
      <c r="T52" s="194"/>
      <c r="U52" s="194"/>
    </row>
    <row r="53" spans="1:21" s="12" customFormat="1" ht="15">
      <c r="A53" s="207" t="s">
        <v>480</v>
      </c>
      <c r="B53" s="135">
        <v>9.4600000000000009</v>
      </c>
      <c r="C53" s="135">
        <v>27.08</v>
      </c>
      <c r="D53" s="135">
        <v>36.54</v>
      </c>
      <c r="E53" s="135">
        <v>9.60</v>
      </c>
      <c r="F53" s="135">
        <v>0.23</v>
      </c>
      <c r="G53" s="208" t="s">
        <v>36</v>
      </c>
      <c r="H53" s="135">
        <v>6.99</v>
      </c>
      <c r="I53" s="135">
        <v>8.74</v>
      </c>
      <c r="J53" s="135">
        <v>0.73</v>
      </c>
      <c r="K53" s="135">
        <v>309.58</v>
      </c>
      <c r="L53" s="135">
        <v>23.38</v>
      </c>
      <c r="M53" s="135">
        <v>82.22</v>
      </c>
      <c r="N53" s="135">
        <v>616.79999999999995</v>
      </c>
      <c r="O53" s="135">
        <v>0</v>
      </c>
      <c r="P53" s="135">
        <v>2.81</v>
      </c>
      <c r="Q53" s="135">
        <v>26.23</v>
      </c>
      <c r="R53" s="194"/>
      <c r="S53" s="194"/>
      <c r="T53" s="194"/>
      <c r="U53" s="194"/>
    </row>
    <row r="54" spans="1:21" s="12" customFormat="1" ht="15">
      <c r="A54" s="207" t="s">
        <v>481</v>
      </c>
      <c r="B54" s="135">
        <v>9.94</v>
      </c>
      <c r="C54" s="135">
        <v>28.01</v>
      </c>
      <c r="D54" s="135">
        <v>37.950000000000003</v>
      </c>
      <c r="E54" s="135">
        <v>9.73</v>
      </c>
      <c r="F54" s="135">
        <v>0.22</v>
      </c>
      <c r="G54" s="208" t="s">
        <v>36</v>
      </c>
      <c r="H54" s="135">
        <v>7.58</v>
      </c>
      <c r="I54" s="135">
        <v>8.94</v>
      </c>
      <c r="J54" s="135">
        <v>0.20</v>
      </c>
      <c r="K54" s="135">
        <v>1</v>
      </c>
      <c r="L54" s="135">
        <v>23.98</v>
      </c>
      <c r="M54" s="135">
        <v>80.20</v>
      </c>
      <c r="N54" s="135">
        <v>644.20000000000005</v>
      </c>
      <c r="O54" s="135">
        <v>0</v>
      </c>
      <c r="P54" s="135">
        <v>2.82</v>
      </c>
      <c r="Q54" s="135">
        <v>27.99</v>
      </c>
      <c r="R54" s="194"/>
      <c r="S54" s="194"/>
      <c r="T54" s="194"/>
      <c r="U54" s="194"/>
    </row>
    <row r="55" spans="1:21" s="12" customFormat="1" ht="15">
      <c r="A55" s="207" t="s">
        <v>482</v>
      </c>
      <c r="B55" s="135">
        <v>9.82</v>
      </c>
      <c r="C55" s="135">
        <v>28.74</v>
      </c>
      <c r="D55" s="135">
        <v>38.56</v>
      </c>
      <c r="E55" s="135">
        <v>10.18</v>
      </c>
      <c r="F55" s="135">
        <v>0.41</v>
      </c>
      <c r="G55" s="208" t="s">
        <v>36</v>
      </c>
      <c r="H55" s="135">
        <v>7.58</v>
      </c>
      <c r="I55" s="135">
        <v>9.1199999999999992</v>
      </c>
      <c r="J55" s="135">
        <v>2</v>
      </c>
      <c r="K55" s="135">
        <v>318.49</v>
      </c>
      <c r="L55" s="135">
        <v>23.73</v>
      </c>
      <c r="M55" s="135">
        <v>79.010000000000005</v>
      </c>
      <c r="N55" s="135">
        <v>719.40</v>
      </c>
      <c r="O55" s="135">
        <v>0</v>
      </c>
      <c r="P55" s="135">
        <v>2.84</v>
      </c>
      <c r="Q55" s="135">
        <v>29.42</v>
      </c>
      <c r="R55" s="194"/>
      <c r="S55" s="194"/>
      <c r="T55" s="194"/>
      <c r="U55" s="194"/>
    </row>
    <row r="56" spans="1:21" s="12" customFormat="1" ht="15">
      <c r="A56" s="207" t="s">
        <v>483</v>
      </c>
      <c r="B56" s="135">
        <v>9.56</v>
      </c>
      <c r="C56" s="135">
        <v>27.81</v>
      </c>
      <c r="D56" s="135">
        <v>37.369999999999997</v>
      </c>
      <c r="E56" s="135">
        <v>5.07</v>
      </c>
      <c r="F56" s="135">
        <v>1.68</v>
      </c>
      <c r="G56" s="208" t="s">
        <v>36</v>
      </c>
      <c r="H56" s="135">
        <v>7.58</v>
      </c>
      <c r="I56" s="135">
        <v>9.40</v>
      </c>
      <c r="J56" s="135">
        <v>1.36</v>
      </c>
      <c r="K56" s="135">
        <v>237.71</v>
      </c>
      <c r="L56" s="135">
        <v>22.26</v>
      </c>
      <c r="M56" s="135">
        <v>78.95</v>
      </c>
      <c r="N56" s="135">
        <v>805</v>
      </c>
      <c r="O56" s="135">
        <v>0</v>
      </c>
      <c r="P56" s="135">
        <v>2.84</v>
      </c>
      <c r="Q56" s="135">
        <v>30.13</v>
      </c>
      <c r="R56" s="194"/>
      <c r="S56" s="194"/>
      <c r="T56" s="194"/>
      <c r="U56" s="194"/>
    </row>
    <row r="57" spans="1:21" s="12" customFormat="1" ht="15">
      <c r="A57" s="207" t="s">
        <v>484</v>
      </c>
      <c r="B57" s="135">
        <v>8.82</v>
      </c>
      <c r="C57" s="135">
        <v>23.85</v>
      </c>
      <c r="D57" s="135">
        <v>32.67</v>
      </c>
      <c r="E57" s="135">
        <v>8.8000000000000007</v>
      </c>
      <c r="F57" s="135">
        <v>2.90</v>
      </c>
      <c r="G57" s="208" t="s">
        <v>36</v>
      </c>
      <c r="H57" s="135">
        <v>8.60</v>
      </c>
      <c r="I57" s="135">
        <v>9.68</v>
      </c>
      <c r="J57" s="135">
        <v>0.54</v>
      </c>
      <c r="K57" s="135">
        <v>317.25</v>
      </c>
      <c r="L57" s="135">
        <v>22.72</v>
      </c>
      <c r="M57" s="135">
        <v>77.010000000000005</v>
      </c>
      <c r="N57" s="135">
        <v>642.20000000000005</v>
      </c>
      <c r="O57" s="135">
        <v>0</v>
      </c>
      <c r="P57" s="135">
        <v>2.83</v>
      </c>
      <c r="Q57" s="135">
        <v>25.55</v>
      </c>
      <c r="R57" s="194"/>
      <c r="S57" s="194"/>
      <c r="T57" s="194"/>
      <c r="U57" s="194"/>
    </row>
    <row r="58" spans="1:21" s="12" customFormat="1" ht="15">
      <c r="A58" s="207" t="s">
        <v>485</v>
      </c>
      <c r="B58" s="135">
        <v>7.99</v>
      </c>
      <c r="C58" s="135">
        <v>22.89</v>
      </c>
      <c r="D58" s="135">
        <v>30.89</v>
      </c>
      <c r="E58" s="135">
        <v>8.99</v>
      </c>
      <c r="F58" s="135">
        <v>1.54</v>
      </c>
      <c r="G58" s="208" t="s">
        <v>36</v>
      </c>
      <c r="H58" s="135">
        <v>11.10</v>
      </c>
      <c r="I58" s="135">
        <v>9.5500000000000007</v>
      </c>
      <c r="J58" s="135">
        <v>1.73</v>
      </c>
      <c r="K58" s="135">
        <v>217.35</v>
      </c>
      <c r="L58" s="135">
        <v>22.61</v>
      </c>
      <c r="M58" s="135">
        <v>79.19</v>
      </c>
      <c r="N58" s="135">
        <v>586.60</v>
      </c>
      <c r="O58" s="135">
        <v>0</v>
      </c>
      <c r="P58" s="135">
        <v>2.82</v>
      </c>
      <c r="Q58" s="135">
        <v>19.25</v>
      </c>
      <c r="R58" s="194"/>
      <c r="S58" s="194"/>
      <c r="T58" s="194"/>
      <c r="U58" s="194"/>
    </row>
    <row r="59" spans="1:21" s="12" customFormat="1" ht="15">
      <c r="A59" s="207" t="s">
        <v>486</v>
      </c>
      <c r="B59" s="135">
        <v>7.31</v>
      </c>
      <c r="C59" s="135">
        <v>23.06</v>
      </c>
      <c r="D59" s="135">
        <v>30.37</v>
      </c>
      <c r="E59" s="135">
        <v>9.02</v>
      </c>
      <c r="F59" s="135">
        <v>0.65</v>
      </c>
      <c r="G59" s="208" t="s">
        <v>36</v>
      </c>
      <c r="H59" s="135">
        <v>11.10</v>
      </c>
      <c r="I59" s="135">
        <v>9.23</v>
      </c>
      <c r="J59" s="135">
        <v>0.92</v>
      </c>
      <c r="K59" s="135">
        <v>346.12</v>
      </c>
      <c r="L59" s="135">
        <v>23.13</v>
      </c>
      <c r="M59" s="135">
        <v>80.260000000000005</v>
      </c>
      <c r="N59" s="135">
        <v>479.70</v>
      </c>
      <c r="O59" s="135">
        <v>0</v>
      </c>
      <c r="P59" s="135">
        <v>2.82</v>
      </c>
      <c r="Q59" s="135">
        <v>15.16</v>
      </c>
      <c r="R59" s="194"/>
      <c r="S59" s="194"/>
      <c r="T59" s="194"/>
      <c r="U59" s="194"/>
    </row>
    <row r="60" spans="1:21" s="12" customFormat="1" ht="15">
      <c r="A60" s="207" t="s">
        <v>487</v>
      </c>
      <c r="B60" s="135">
        <v>6.93</v>
      </c>
      <c r="C60" s="135">
        <v>22.75</v>
      </c>
      <c r="D60" s="135">
        <v>29.67</v>
      </c>
      <c r="E60" s="135">
        <v>8.8699999999999992</v>
      </c>
      <c r="F60" s="135">
        <v>0.66</v>
      </c>
      <c r="G60" s="208" t="s">
        <v>36</v>
      </c>
      <c r="H60" s="135">
        <v>11.10</v>
      </c>
      <c r="I60" s="135">
        <v>9.14</v>
      </c>
      <c r="J60" s="135">
        <v>2.41</v>
      </c>
      <c r="K60" s="135">
        <v>196.80</v>
      </c>
      <c r="L60" s="135">
        <v>23.09</v>
      </c>
      <c r="M60" s="135">
        <v>79.400000000000006</v>
      </c>
      <c r="N60" s="135">
        <v>641.5</v>
      </c>
      <c r="O60" s="135">
        <v>0</v>
      </c>
      <c r="P60" s="135">
        <v>2.82</v>
      </c>
      <c r="Q60" s="135">
        <v>13.18</v>
      </c>
      <c r="R60" s="194"/>
      <c r="S60" s="194"/>
      <c r="T60" s="194"/>
      <c r="U60" s="194"/>
    </row>
    <row r="61" spans="1:21" s="12" customFormat="1" ht="15">
      <c r="A61" s="207" t="s">
        <v>488</v>
      </c>
      <c r="B61" s="135">
        <v>6.28</v>
      </c>
      <c r="C61" s="135">
        <v>22.05</v>
      </c>
      <c r="D61" s="135">
        <v>28.33</v>
      </c>
      <c r="E61" s="135">
        <v>8.48</v>
      </c>
      <c r="F61" s="135">
        <v>0.92</v>
      </c>
      <c r="G61" s="208" t="s">
        <v>36</v>
      </c>
      <c r="H61" s="135">
        <v>13.39</v>
      </c>
      <c r="I61" s="135">
        <v>9</v>
      </c>
      <c r="J61" s="135">
        <v>2.10</v>
      </c>
      <c r="K61" s="135">
        <v>218.68</v>
      </c>
      <c r="L61" s="135">
        <v>23.01</v>
      </c>
      <c r="M61" s="135">
        <v>80.5</v>
      </c>
      <c r="N61" s="135">
        <v>525.29999999999995</v>
      </c>
      <c r="O61" s="135">
        <v>0</v>
      </c>
      <c r="P61" s="135">
        <v>2.79</v>
      </c>
      <c r="Q61" s="135">
        <v>12.04</v>
      </c>
      <c r="R61" s="194"/>
      <c r="S61" s="194"/>
      <c r="T61" s="194"/>
      <c r="U61" s="194"/>
    </row>
    <row r="62" spans="1:21" s="12" customFormat="1" ht="15">
      <c r="A62" s="207" t="s">
        <v>489</v>
      </c>
      <c r="B62" s="135">
        <v>5.65</v>
      </c>
      <c r="C62" s="135">
        <v>22.28</v>
      </c>
      <c r="D62" s="135">
        <v>27.93</v>
      </c>
      <c r="E62" s="135">
        <v>8.83</v>
      </c>
      <c r="F62" s="135">
        <v>0.81</v>
      </c>
      <c r="G62" s="208" t="s">
        <v>36</v>
      </c>
      <c r="H62" s="135">
        <v>19.010000000000002</v>
      </c>
      <c r="I62" s="135">
        <v>8.49</v>
      </c>
      <c r="J62" s="135">
        <v>1.1200000000000001</v>
      </c>
      <c r="K62" s="135">
        <v>34.130000000000003</v>
      </c>
      <c r="L62" s="135">
        <v>22.84</v>
      </c>
      <c r="M62" s="135">
        <v>79.599999999999994</v>
      </c>
      <c r="N62" s="135">
        <v>542.29999999999995</v>
      </c>
      <c r="O62" s="135">
        <v>0</v>
      </c>
      <c r="P62" s="135">
        <v>2.78</v>
      </c>
      <c r="Q62" s="135">
        <v>11.45</v>
      </c>
      <c r="R62" s="194"/>
      <c r="S62" s="194"/>
      <c r="T62" s="194"/>
      <c r="U62" s="194"/>
    </row>
    <row r="63" spans="1:21" s="12" customFormat="1" ht="15">
      <c r="A63" s="207" t="s">
        <v>490</v>
      </c>
      <c r="B63" s="135">
        <v>5.43</v>
      </c>
      <c r="C63" s="135">
        <v>23.26</v>
      </c>
      <c r="D63" s="135">
        <v>28.70</v>
      </c>
      <c r="E63" s="135">
        <v>8.51</v>
      </c>
      <c r="F63" s="135">
        <v>0.92</v>
      </c>
      <c r="G63" s="208" t="s">
        <v>36</v>
      </c>
      <c r="H63" s="135">
        <v>19.010000000000002</v>
      </c>
      <c r="I63" s="135">
        <v>8.26</v>
      </c>
      <c r="J63" s="135">
        <v>1.06</v>
      </c>
      <c r="K63" s="135">
        <v>29.20</v>
      </c>
      <c r="L63" s="135">
        <v>22.03</v>
      </c>
      <c r="M63" s="135">
        <v>78.540000000000006</v>
      </c>
      <c r="N63" s="135">
        <v>739.80</v>
      </c>
      <c r="O63" s="135">
        <v>0</v>
      </c>
      <c r="P63" s="135">
        <v>2.79</v>
      </c>
      <c r="Q63" s="135">
        <v>11.32</v>
      </c>
      <c r="R63" s="194"/>
      <c r="S63" s="194"/>
      <c r="T63" s="194"/>
      <c r="U63" s="194"/>
    </row>
    <row r="64" spans="1:21" s="12" customFormat="1" ht="15">
      <c r="A64" s="207" t="s">
        <v>491</v>
      </c>
      <c r="B64" s="135">
        <v>4.97</v>
      </c>
      <c r="C64" s="135">
        <v>23.95</v>
      </c>
      <c r="D64" s="135">
        <v>28.91</v>
      </c>
      <c r="E64" s="135">
        <v>8.10</v>
      </c>
      <c r="F64" s="135">
        <v>1.34</v>
      </c>
      <c r="G64" s="208" t="s">
        <v>36</v>
      </c>
      <c r="H64" s="135">
        <v>19.010000000000002</v>
      </c>
      <c r="I64" s="135">
        <v>8.7200000000000006</v>
      </c>
      <c r="J64" s="135">
        <v>0.97</v>
      </c>
      <c r="K64" s="135">
        <v>225.52</v>
      </c>
      <c r="L64" s="135">
        <v>22.64</v>
      </c>
      <c r="M64" s="135">
        <v>76.680000000000007</v>
      </c>
      <c r="N64" s="135">
        <v>693.30</v>
      </c>
      <c r="O64" s="135">
        <v>0</v>
      </c>
      <c r="P64" s="135">
        <v>2.80</v>
      </c>
      <c r="Q64" s="135">
        <v>12.03</v>
      </c>
      <c r="R64" s="194"/>
      <c r="S64" s="194"/>
      <c r="T64" s="194"/>
      <c r="U64" s="194"/>
    </row>
    <row r="65" spans="1:21" s="12" customFormat="1" ht="15">
      <c r="A65" s="207" t="s">
        <v>492</v>
      </c>
      <c r="B65" s="135">
        <v>3.99</v>
      </c>
      <c r="C65" s="135">
        <v>25.35</v>
      </c>
      <c r="D65" s="135">
        <v>29.34</v>
      </c>
      <c r="E65" s="135">
        <v>7.94</v>
      </c>
      <c r="F65" s="135">
        <v>1.37</v>
      </c>
      <c r="G65" s="208" t="s">
        <v>36</v>
      </c>
      <c r="H65" s="135">
        <v>18.93</v>
      </c>
      <c r="I65" s="135">
        <v>8.73</v>
      </c>
      <c r="J65" s="135">
        <v>0.89</v>
      </c>
      <c r="K65" s="135">
        <v>29.59</v>
      </c>
      <c r="L65" s="135">
        <v>24</v>
      </c>
      <c r="M65" s="135">
        <v>75.42</v>
      </c>
      <c r="N65" s="135">
        <v>589</v>
      </c>
      <c r="O65" s="135">
        <v>0</v>
      </c>
      <c r="P65" s="135">
        <v>2.78</v>
      </c>
      <c r="Q65" s="135">
        <v>13.20</v>
      </c>
      <c r="R65" s="194"/>
      <c r="S65" s="194"/>
      <c r="T65" s="194"/>
      <c r="U65" s="194"/>
    </row>
    <row r="66" spans="1:21" s="12" customFormat="1" ht="15">
      <c r="A66" s="207" t="s">
        <v>493</v>
      </c>
      <c r="B66" s="135">
        <v>3.19</v>
      </c>
      <c r="C66" s="135">
        <v>26.75</v>
      </c>
      <c r="D66" s="135">
        <v>29.94</v>
      </c>
      <c r="E66" s="135">
        <v>7.45</v>
      </c>
      <c r="F66" s="135">
        <v>1.04</v>
      </c>
      <c r="G66" s="208" t="s">
        <v>36</v>
      </c>
      <c r="H66" s="135">
        <v>18.72</v>
      </c>
      <c r="I66" s="135">
        <v>8.61</v>
      </c>
      <c r="J66" s="135">
        <v>0.33</v>
      </c>
      <c r="K66" s="135">
        <v>253.18</v>
      </c>
      <c r="L66" s="135">
        <v>24.04</v>
      </c>
      <c r="M66" s="135">
        <v>74.739999999999995</v>
      </c>
      <c r="N66" s="135">
        <v>522.29999999999995</v>
      </c>
      <c r="O66" s="135">
        <v>0</v>
      </c>
      <c r="P66" s="135">
        <v>2.77</v>
      </c>
      <c r="Q66" s="135">
        <v>14.64</v>
      </c>
      <c r="R66" s="194"/>
      <c r="S66" s="194"/>
      <c r="T66" s="194"/>
      <c r="U66" s="194"/>
    </row>
    <row r="67" spans="1:21" s="12" customFormat="1" ht="15">
      <c r="A67" s="207" t="s">
        <v>494</v>
      </c>
      <c r="B67" s="135">
        <v>2.64</v>
      </c>
      <c r="C67" s="135">
        <v>27.32</v>
      </c>
      <c r="D67" s="135">
        <v>29.96</v>
      </c>
      <c r="E67" s="135">
        <v>7.55</v>
      </c>
      <c r="F67" s="135">
        <v>1</v>
      </c>
      <c r="G67" s="208" t="s">
        <v>36</v>
      </c>
      <c r="H67" s="135">
        <v>18.72</v>
      </c>
      <c r="I67" s="135">
        <v>8.39</v>
      </c>
      <c r="J67" s="135">
        <v>0.95</v>
      </c>
      <c r="K67" s="135">
        <v>358.47</v>
      </c>
      <c r="L67" s="135">
        <v>23.82</v>
      </c>
      <c r="M67" s="135">
        <v>74.77</v>
      </c>
      <c r="N67" s="135">
        <v>511.60</v>
      </c>
      <c r="O67" s="135">
        <v>0</v>
      </c>
      <c r="P67" s="135">
        <v>2.76</v>
      </c>
      <c r="Q67" s="135">
        <v>16.16</v>
      </c>
      <c r="R67" s="194"/>
      <c r="S67" s="194"/>
      <c r="T67" s="194"/>
      <c r="U67" s="194"/>
    </row>
    <row r="68" spans="1:21" s="12" customFormat="1" ht="15">
      <c r="A68" s="207" t="s">
        <v>495</v>
      </c>
      <c r="B68" s="135">
        <v>2.27</v>
      </c>
      <c r="C68" s="135">
        <v>27.95</v>
      </c>
      <c r="D68" s="135">
        <v>30.22</v>
      </c>
      <c r="E68" s="135">
        <v>7.34</v>
      </c>
      <c r="F68" s="135">
        <v>0.98</v>
      </c>
      <c r="G68" s="208" t="s">
        <v>36</v>
      </c>
      <c r="H68" s="135">
        <v>18.72</v>
      </c>
      <c r="I68" s="135">
        <v>8.27</v>
      </c>
      <c r="J68" s="135">
        <v>0.95</v>
      </c>
      <c r="K68" s="135">
        <v>223.07</v>
      </c>
      <c r="L68" s="135">
        <v>24.04</v>
      </c>
      <c r="M68" s="135">
        <v>74.05</v>
      </c>
      <c r="N68" s="135">
        <v>623.40</v>
      </c>
      <c r="O68" s="135">
        <v>0</v>
      </c>
      <c r="P68" s="135">
        <v>2.75</v>
      </c>
      <c r="Q68" s="135">
        <v>17.940000000000001</v>
      </c>
      <c r="R68" s="194"/>
      <c r="S68" s="194"/>
      <c r="T68" s="194"/>
      <c r="U68" s="194"/>
    </row>
    <row r="69" spans="1:21" s="12" customFormat="1" ht="15">
      <c r="A69" s="207" t="s">
        <v>496</v>
      </c>
      <c r="B69" s="135">
        <v>1.71</v>
      </c>
      <c r="C69" s="135">
        <v>27.70</v>
      </c>
      <c r="D69" s="135">
        <v>29.41</v>
      </c>
      <c r="E69" s="135">
        <v>7.89</v>
      </c>
      <c r="F69" s="135">
        <v>1.1299999999999999</v>
      </c>
      <c r="G69" s="208" t="s">
        <v>36</v>
      </c>
      <c r="H69" s="135">
        <v>18.55</v>
      </c>
      <c r="I69" s="135">
        <v>8.1199999999999992</v>
      </c>
      <c r="J69" s="135">
        <v>0.46</v>
      </c>
      <c r="K69" s="135">
        <v>254.16</v>
      </c>
      <c r="L69" s="135">
        <v>23.65</v>
      </c>
      <c r="M69" s="135">
        <v>74.400000000000006</v>
      </c>
      <c r="N69" s="135">
        <v>582.70000000000005</v>
      </c>
      <c r="O69" s="135">
        <v>0</v>
      </c>
      <c r="P69" s="135">
        <v>2.72</v>
      </c>
      <c r="Q69" s="135">
        <v>19.79</v>
      </c>
      <c r="R69" s="194"/>
      <c r="S69" s="194"/>
      <c r="T69" s="194"/>
      <c r="U69" s="194"/>
    </row>
    <row r="70" spans="1:21" s="12" customFormat="1" ht="15">
      <c r="A70" s="207" t="s">
        <v>497</v>
      </c>
      <c r="B70" s="135">
        <v>1.34</v>
      </c>
      <c r="C70" s="135">
        <v>27.12</v>
      </c>
      <c r="D70" s="135">
        <v>28.46</v>
      </c>
      <c r="E70" s="135">
        <v>7.46</v>
      </c>
      <c r="F70" s="135">
        <v>1.57</v>
      </c>
      <c r="G70" s="208" t="s">
        <v>36</v>
      </c>
      <c r="H70" s="135">
        <v>18.12</v>
      </c>
      <c r="I70" s="135">
        <v>7.93</v>
      </c>
      <c r="J70" s="135">
        <v>1.01</v>
      </c>
      <c r="K70" s="135">
        <v>20.04</v>
      </c>
      <c r="L70" s="135">
        <v>23.39</v>
      </c>
      <c r="M70" s="135">
        <v>73.80</v>
      </c>
      <c r="N70" s="135">
        <v>654.29999999999995</v>
      </c>
      <c r="O70" s="135">
        <v>0</v>
      </c>
      <c r="P70" s="135">
        <v>2.69</v>
      </c>
      <c r="Q70" s="135">
        <v>20.58</v>
      </c>
      <c r="R70" s="194"/>
      <c r="S70" s="194"/>
      <c r="T70" s="194"/>
      <c r="U70" s="194"/>
    </row>
    <row r="71" spans="1:21" s="12" customFormat="1" ht="15">
      <c r="A71" s="207" t="s">
        <v>498</v>
      </c>
      <c r="B71" s="135">
        <v>1.1399999999999999</v>
      </c>
      <c r="C71" s="135">
        <v>27.17</v>
      </c>
      <c r="D71" s="135">
        <v>28.31</v>
      </c>
      <c r="E71" s="135">
        <v>8.14</v>
      </c>
      <c r="F71" s="135">
        <v>1.76</v>
      </c>
      <c r="G71" s="208" t="s">
        <v>36</v>
      </c>
      <c r="H71" s="135">
        <v>18.12</v>
      </c>
      <c r="I71" s="135">
        <v>7.67</v>
      </c>
      <c r="J71" s="135">
        <v>0.85</v>
      </c>
      <c r="K71" s="135">
        <v>38.79</v>
      </c>
      <c r="L71" s="135">
        <v>24.86</v>
      </c>
      <c r="M71" s="135">
        <v>71.66</v>
      </c>
      <c r="N71" s="135">
        <v>820.70</v>
      </c>
      <c r="O71" s="135">
        <v>0</v>
      </c>
      <c r="P71" s="135">
        <v>2.68</v>
      </c>
      <c r="Q71" s="135">
        <v>21.92</v>
      </c>
      <c r="R71" s="194"/>
      <c r="S71" s="194"/>
      <c r="T71" s="194"/>
      <c r="U71" s="194"/>
    </row>
    <row r="72" spans="1:21" s="12" customFormat="1" ht="15">
      <c r="A72" s="207" t="s">
        <v>499</v>
      </c>
      <c r="B72" s="135">
        <v>1</v>
      </c>
      <c r="C72" s="135">
        <v>27.41</v>
      </c>
      <c r="D72" s="135">
        <v>28.41</v>
      </c>
      <c r="E72" s="135">
        <v>4.62</v>
      </c>
      <c r="F72" s="135">
        <v>2.09</v>
      </c>
      <c r="G72" s="208" t="s">
        <v>36</v>
      </c>
      <c r="H72" s="135">
        <v>18.12</v>
      </c>
      <c r="I72" s="135">
        <v>7.49</v>
      </c>
      <c r="J72" s="135">
        <v>0.39</v>
      </c>
      <c r="K72" s="135">
        <v>58.92</v>
      </c>
      <c r="L72" s="135">
        <v>25.34</v>
      </c>
      <c r="M72" s="135">
        <v>70.86</v>
      </c>
      <c r="N72" s="135">
        <v>682.20</v>
      </c>
      <c r="O72" s="135">
        <v>0</v>
      </c>
      <c r="P72" s="135">
        <v>2.66</v>
      </c>
      <c r="Q72" s="135">
        <v>23.42</v>
      </c>
      <c r="R72" s="194"/>
      <c r="S72" s="194"/>
      <c r="T72" s="194"/>
      <c r="U72" s="194"/>
    </row>
    <row r="73" spans="1:21" s="12" customFormat="1" ht="15">
      <c r="A73" s="207" t="s">
        <v>500</v>
      </c>
      <c r="B73" s="135">
        <v>1.02</v>
      </c>
      <c r="C73" s="135">
        <v>27.85</v>
      </c>
      <c r="D73" s="135">
        <v>28.87</v>
      </c>
      <c r="E73" s="135">
        <v>8.16</v>
      </c>
      <c r="F73" s="135">
        <v>1.84</v>
      </c>
      <c r="G73" s="208" t="s">
        <v>36</v>
      </c>
      <c r="H73" s="135">
        <v>18.309999999999999</v>
      </c>
      <c r="I73" s="135">
        <v>7.36</v>
      </c>
      <c r="J73" s="135">
        <v>0.64</v>
      </c>
      <c r="K73" s="135">
        <v>215.54</v>
      </c>
      <c r="L73" s="135">
        <v>25.31</v>
      </c>
      <c r="M73" s="135">
        <v>72.430000000000007</v>
      </c>
      <c r="N73" s="135">
        <v>547.5</v>
      </c>
      <c r="O73" s="135">
        <v>0</v>
      </c>
      <c r="P73" s="135">
        <v>2.66</v>
      </c>
      <c r="Q73" s="135">
        <v>24.76</v>
      </c>
      <c r="R73" s="194"/>
      <c r="S73" s="194"/>
      <c r="T73" s="194"/>
      <c r="U73" s="194"/>
    </row>
    <row r="74" spans="1:21" s="12" customFormat="1" ht="15">
      <c r="A74" s="207" t="s">
        <v>501</v>
      </c>
      <c r="B74" s="135">
        <v>1</v>
      </c>
      <c r="C74" s="135">
        <v>25.34</v>
      </c>
      <c r="D74" s="135">
        <v>26.34</v>
      </c>
      <c r="E74" s="135">
        <v>7.77</v>
      </c>
      <c r="F74" s="135">
        <v>3.23</v>
      </c>
      <c r="G74" s="208" t="s">
        <v>36</v>
      </c>
      <c r="H74" s="135">
        <v>18.77</v>
      </c>
      <c r="I74" s="135">
        <v>7.27</v>
      </c>
      <c r="J74" s="135">
        <v>1.71</v>
      </c>
      <c r="K74" s="135">
        <v>217.85</v>
      </c>
      <c r="L74" s="135">
        <v>25.34</v>
      </c>
      <c r="M74" s="135">
        <v>73.760000000000005</v>
      </c>
      <c r="N74" s="135">
        <v>444.10</v>
      </c>
      <c r="O74" s="135">
        <v>0</v>
      </c>
      <c r="P74" s="135">
        <v>2.61</v>
      </c>
      <c r="Q74" s="135">
        <v>23.91</v>
      </c>
      <c r="R74" s="194"/>
      <c r="S74" s="194"/>
      <c r="T74" s="194"/>
      <c r="U74" s="194"/>
    </row>
    <row r="75" spans="1:21" s="12" customFormat="1" ht="15">
      <c r="A75" s="207" t="s">
        <v>502</v>
      </c>
      <c r="B75" s="135">
        <v>1.32</v>
      </c>
      <c r="C75" s="135">
        <v>21.35</v>
      </c>
      <c r="D75" s="135">
        <v>22.66</v>
      </c>
      <c r="E75" s="135">
        <v>7.94</v>
      </c>
      <c r="F75" s="135">
        <v>3.35</v>
      </c>
      <c r="G75" s="208" t="s">
        <v>36</v>
      </c>
      <c r="H75" s="135">
        <v>18.77</v>
      </c>
      <c r="I75" s="135">
        <v>7.20</v>
      </c>
      <c r="J75" s="135">
        <v>1.36</v>
      </c>
      <c r="K75" s="135">
        <v>317.25</v>
      </c>
      <c r="L75" s="135">
        <v>25.33</v>
      </c>
      <c r="M75" s="135">
        <v>73.819999999999993</v>
      </c>
      <c r="N75" s="135">
        <v>317.5</v>
      </c>
      <c r="O75" s="135">
        <v>0</v>
      </c>
      <c r="P75" s="135">
        <v>2.61</v>
      </c>
      <c r="Q75" s="135">
        <v>18.41</v>
      </c>
      <c r="R75" s="194"/>
      <c r="S75" s="194"/>
      <c r="T75" s="194"/>
      <c r="U75" s="194"/>
    </row>
    <row r="76" spans="1:21" s="12" customFormat="1" ht="15">
      <c r="A76" s="207" t="s">
        <v>503</v>
      </c>
      <c r="B76" s="135">
        <v>1.83</v>
      </c>
      <c r="C76" s="135">
        <v>20.77</v>
      </c>
      <c r="D76" s="135">
        <v>22.60</v>
      </c>
      <c r="E76" s="135">
        <v>7.81</v>
      </c>
      <c r="F76" s="135">
        <v>1.83</v>
      </c>
      <c r="G76" s="208" t="s">
        <v>36</v>
      </c>
      <c r="H76" s="135">
        <v>18.77</v>
      </c>
      <c r="I76" s="135">
        <v>6.61</v>
      </c>
      <c r="J76" s="135">
        <v>4.5999999999999996</v>
      </c>
      <c r="K76" s="135">
        <v>313.95</v>
      </c>
      <c r="L76" s="135">
        <v>25.18</v>
      </c>
      <c r="M76" s="135">
        <v>74.98</v>
      </c>
      <c r="N76" s="135">
        <v>304.39999999999998</v>
      </c>
      <c r="O76" s="135">
        <v>0</v>
      </c>
      <c r="P76" s="135">
        <v>2.62</v>
      </c>
      <c r="Q76" s="135">
        <v>13.69</v>
      </c>
      <c r="R76" s="194"/>
      <c r="S76" s="194"/>
      <c r="T76" s="194"/>
      <c r="U76" s="194"/>
    </row>
    <row r="77" spans="1:21" s="12" customFormat="1" ht="15">
      <c r="A77" s="207" t="s">
        <v>504</v>
      </c>
      <c r="B77" s="135">
        <v>2.46</v>
      </c>
      <c r="C77" s="135">
        <v>20.94</v>
      </c>
      <c r="D77" s="135">
        <v>23.40</v>
      </c>
      <c r="E77" s="135">
        <v>7.93</v>
      </c>
      <c r="F77" s="135">
        <v>0.93</v>
      </c>
      <c r="G77" s="208" t="s">
        <v>36</v>
      </c>
      <c r="H77" s="135">
        <v>17.61</v>
      </c>
      <c r="I77" s="135">
        <v>6.37</v>
      </c>
      <c r="J77" s="135">
        <v>4.07</v>
      </c>
      <c r="K77" s="135">
        <v>310.33999999999997</v>
      </c>
      <c r="L77" s="135">
        <v>24.77</v>
      </c>
      <c r="M77" s="135">
        <v>75.95</v>
      </c>
      <c r="N77" s="135">
        <v>296.10000000000002</v>
      </c>
      <c r="O77" s="135">
        <v>0</v>
      </c>
      <c r="P77" s="135">
        <v>2.65</v>
      </c>
      <c r="Q77" s="135">
        <v>10.96</v>
      </c>
      <c r="R77" s="194"/>
      <c r="S77" s="194"/>
      <c r="T77" s="194"/>
      <c r="U77" s="194"/>
    </row>
    <row r="78" spans="1:21" s="12" customFormat="1" ht="15">
      <c r="A78" s="207" t="s">
        <v>505</v>
      </c>
      <c r="B78" s="135">
        <v>3.44</v>
      </c>
      <c r="C78" s="135">
        <v>20.87</v>
      </c>
      <c r="D78" s="135">
        <v>24.31</v>
      </c>
      <c r="E78" s="135">
        <v>8.09</v>
      </c>
      <c r="F78" s="135">
        <v>0.68</v>
      </c>
      <c r="G78" s="208" t="s">
        <v>36</v>
      </c>
      <c r="H78" s="135">
        <v>14.76</v>
      </c>
      <c r="I78" s="135">
        <v>6.37</v>
      </c>
      <c r="J78" s="135">
        <v>3.88</v>
      </c>
      <c r="K78" s="135">
        <v>316.17</v>
      </c>
      <c r="L78" s="135">
        <v>24.15</v>
      </c>
      <c r="M78" s="135">
        <v>77.989999999999995</v>
      </c>
      <c r="N78" s="135">
        <v>301.10000000000002</v>
      </c>
      <c r="O78" s="135">
        <v>0</v>
      </c>
      <c r="P78" s="135">
        <v>2.67</v>
      </c>
      <c r="Q78" s="135">
        <v>9.99</v>
      </c>
      <c r="R78" s="194"/>
      <c r="S78" s="194"/>
      <c r="T78" s="194"/>
      <c r="U78" s="194"/>
    </row>
    <row r="79" spans="1:21" s="12" customFormat="1" ht="15">
      <c r="A79" s="207" t="s">
        <v>506</v>
      </c>
      <c r="B79" s="135">
        <v>4.37</v>
      </c>
      <c r="C79" s="135">
        <v>20.63</v>
      </c>
      <c r="D79" s="135">
        <v>24.99</v>
      </c>
      <c r="E79" s="135">
        <v>8.69</v>
      </c>
      <c r="F79" s="135">
        <v>0.64</v>
      </c>
      <c r="G79" s="208" t="s">
        <v>36</v>
      </c>
      <c r="H79" s="135">
        <v>14.76</v>
      </c>
      <c r="I79" s="135">
        <v>6.31</v>
      </c>
      <c r="J79" s="135">
        <v>3.95</v>
      </c>
      <c r="K79" s="135">
        <v>320.08</v>
      </c>
      <c r="L79" s="135">
        <v>23.61</v>
      </c>
      <c r="M79" s="135">
        <v>83.19</v>
      </c>
      <c r="N79" s="135">
        <v>350.30</v>
      </c>
      <c r="O79" s="135">
        <v>0</v>
      </c>
      <c r="P79" s="135">
        <v>2.71</v>
      </c>
      <c r="Q79" s="135">
        <v>9.7100000000000009</v>
      </c>
      <c r="R79" s="194"/>
      <c r="S79" s="194"/>
      <c r="T79" s="194"/>
      <c r="U79" s="194"/>
    </row>
    <row r="80" spans="1:21" s="12" customFormat="1" ht="15">
      <c r="A80" s="207" t="s">
        <v>507</v>
      </c>
      <c r="B80" s="135">
        <v>5.13</v>
      </c>
      <c r="C80" s="135">
        <v>20.350000000000001</v>
      </c>
      <c r="D80" s="135">
        <v>25.48</v>
      </c>
      <c r="E80" s="135">
        <v>8.6300000000000008</v>
      </c>
      <c r="F80" s="135">
        <v>0.64</v>
      </c>
      <c r="G80" s="208" t="s">
        <v>36</v>
      </c>
      <c r="H80" s="135">
        <v>14.76</v>
      </c>
      <c r="I80" s="135">
        <v>6.28</v>
      </c>
      <c r="J80" s="135">
        <v>3.67</v>
      </c>
      <c r="K80" s="135">
        <v>320.83999999999997</v>
      </c>
      <c r="L80" s="135">
        <v>23.96</v>
      </c>
      <c r="M80" s="135">
        <v>83.44</v>
      </c>
      <c r="N80" s="135">
        <v>356.5</v>
      </c>
      <c r="O80" s="135">
        <v>0</v>
      </c>
      <c r="P80" s="135">
        <v>2.74</v>
      </c>
      <c r="Q80" s="135">
        <v>9.7100000000000009</v>
      </c>
      <c r="R80" s="194"/>
      <c r="S80" s="194"/>
      <c r="T80" s="194"/>
      <c r="U80" s="194"/>
    </row>
    <row r="81" spans="1:21" s="12" customFormat="1" ht="15">
      <c r="A81" s="207" t="s">
        <v>508</v>
      </c>
      <c r="B81" s="135">
        <v>6.28</v>
      </c>
      <c r="C81" s="135">
        <v>20.350000000000001</v>
      </c>
      <c r="D81" s="135">
        <v>26.63</v>
      </c>
      <c r="E81" s="135">
        <v>9.08</v>
      </c>
      <c r="F81" s="135">
        <v>0.85</v>
      </c>
      <c r="G81" s="208" t="s">
        <v>36</v>
      </c>
      <c r="H81" s="135">
        <v>14.69</v>
      </c>
      <c r="I81" s="135">
        <v>6.21</v>
      </c>
      <c r="J81" s="135">
        <v>2.72</v>
      </c>
      <c r="K81" s="135">
        <v>322.26</v>
      </c>
      <c r="L81" s="135">
        <v>24.56</v>
      </c>
      <c r="M81" s="135">
        <v>82.01</v>
      </c>
      <c r="N81" s="135">
        <v>353.30</v>
      </c>
      <c r="O81" s="135">
        <v>0</v>
      </c>
      <c r="P81" s="135">
        <v>2.77</v>
      </c>
      <c r="Q81" s="135">
        <v>10.01</v>
      </c>
      <c r="R81" s="194"/>
      <c r="S81" s="194"/>
      <c r="T81" s="194"/>
      <c r="U81" s="194"/>
    </row>
    <row r="82" spans="1:21" s="12" customFormat="1" ht="15">
      <c r="A82" s="207" t="s">
        <v>509</v>
      </c>
      <c r="B82" s="135">
        <v>8.0500000000000007</v>
      </c>
      <c r="C82" s="135">
        <v>21.89</v>
      </c>
      <c r="D82" s="135">
        <v>29.94</v>
      </c>
      <c r="E82" s="135">
        <v>8.73</v>
      </c>
      <c r="F82" s="135">
        <v>1.06</v>
      </c>
      <c r="G82" s="208" t="s">
        <v>36</v>
      </c>
      <c r="H82" s="135">
        <v>14.52</v>
      </c>
      <c r="I82" s="135">
        <v>6.51</v>
      </c>
      <c r="J82" s="135">
        <v>2.62</v>
      </c>
      <c r="K82" s="135">
        <v>326.62</v>
      </c>
      <c r="L82" s="135">
        <v>23.23</v>
      </c>
      <c r="M82" s="135">
        <v>81.33</v>
      </c>
      <c r="N82" s="135">
        <v>325</v>
      </c>
      <c r="O82" s="135">
        <v>0</v>
      </c>
      <c r="P82" s="135">
        <v>2.82</v>
      </c>
      <c r="Q82" s="135">
        <v>11.62</v>
      </c>
      <c r="R82" s="194"/>
      <c r="S82" s="194"/>
      <c r="T82" s="194"/>
      <c r="U82" s="194"/>
    </row>
    <row r="83" spans="1:21" s="12" customFormat="1" ht="15">
      <c r="A83" s="207" t="s">
        <v>510</v>
      </c>
      <c r="B83" s="135">
        <v>9.19</v>
      </c>
      <c r="C83" s="135">
        <v>24.21</v>
      </c>
      <c r="D83" s="135">
        <v>33.39</v>
      </c>
      <c r="E83" s="135">
        <v>8.92</v>
      </c>
      <c r="F83" s="135">
        <v>0.91</v>
      </c>
      <c r="G83" s="208" t="s">
        <v>36</v>
      </c>
      <c r="H83" s="135">
        <v>14.52</v>
      </c>
      <c r="I83" s="135">
        <v>6.71</v>
      </c>
      <c r="J83" s="135">
        <v>3.02</v>
      </c>
      <c r="K83" s="135">
        <v>323.01</v>
      </c>
      <c r="L83" s="135">
        <v>24.09</v>
      </c>
      <c r="M83" s="135">
        <v>82.89</v>
      </c>
      <c r="N83" s="135">
        <v>310.80</v>
      </c>
      <c r="O83" s="135">
        <v>0</v>
      </c>
      <c r="P83" s="135">
        <v>2.88</v>
      </c>
      <c r="Q83" s="135">
        <v>13.75</v>
      </c>
      <c r="R83" s="194"/>
      <c r="S83" s="194"/>
      <c r="T83" s="194"/>
      <c r="U83" s="194"/>
    </row>
    <row r="84" spans="1:21" s="12" customFormat="1" ht="15">
      <c r="A84" s="207" t="s">
        <v>511</v>
      </c>
      <c r="B84" s="135">
        <v>9.5299999999999994</v>
      </c>
      <c r="C84" s="135">
        <v>26.21</v>
      </c>
      <c r="D84" s="135">
        <v>35.74</v>
      </c>
      <c r="E84" s="135">
        <v>8.66</v>
      </c>
      <c r="F84" s="135">
        <v>0.75</v>
      </c>
      <c r="G84" s="208" t="s">
        <v>36</v>
      </c>
      <c r="H84" s="135">
        <v>14.52</v>
      </c>
      <c r="I84" s="135">
        <v>7.01</v>
      </c>
      <c r="J84" s="135">
        <v>2.65</v>
      </c>
      <c r="K84" s="135">
        <v>346.66</v>
      </c>
      <c r="L84" s="135">
        <v>24.18</v>
      </c>
      <c r="M84" s="135">
        <v>83.73</v>
      </c>
      <c r="N84" s="135">
        <v>317.30</v>
      </c>
      <c r="O84" s="135">
        <v>0</v>
      </c>
      <c r="P84" s="135">
        <v>2.92</v>
      </c>
      <c r="Q84" s="135">
        <v>15.64</v>
      </c>
      <c r="R84" s="194"/>
      <c r="S84" s="194"/>
      <c r="T84" s="194"/>
      <c r="U84" s="194"/>
    </row>
    <row r="85" spans="1:21" s="12" customFormat="1" ht="15">
      <c r="A85" s="207" t="s">
        <v>512</v>
      </c>
      <c r="B85" s="135">
        <v>9.5399999999999991</v>
      </c>
      <c r="C85" s="135">
        <v>27.64</v>
      </c>
      <c r="D85" s="135">
        <v>37.19</v>
      </c>
      <c r="E85" s="135">
        <v>8.73</v>
      </c>
      <c r="F85" s="135">
        <v>0.57999999999999996</v>
      </c>
      <c r="G85" s="208" t="s">
        <v>36</v>
      </c>
      <c r="H85" s="135">
        <v>15.19</v>
      </c>
      <c r="I85" s="135">
        <v>7.15</v>
      </c>
      <c r="J85" s="135">
        <v>3.25</v>
      </c>
      <c r="K85" s="135">
        <v>323.20999999999998</v>
      </c>
      <c r="L85" s="135">
        <v>24.33</v>
      </c>
      <c r="M85" s="135">
        <v>83.65</v>
      </c>
      <c r="N85" s="135">
        <v>319.80</v>
      </c>
      <c r="O85" s="135">
        <v>0</v>
      </c>
      <c r="P85" s="135">
        <v>2.94</v>
      </c>
      <c r="Q85" s="135">
        <v>17.34</v>
      </c>
      <c r="R85" s="194"/>
      <c r="S85" s="194"/>
      <c r="T85" s="194"/>
      <c r="U85" s="194"/>
    </row>
    <row r="86" spans="1:21" s="12" customFormat="1" ht="15">
      <c r="A86" s="207" t="s">
        <v>513</v>
      </c>
      <c r="B86" s="135">
        <v>9</v>
      </c>
      <c r="C86" s="135">
        <v>28.63</v>
      </c>
      <c r="D86" s="135">
        <v>37.619999999999997</v>
      </c>
      <c r="E86" s="135">
        <v>8.83</v>
      </c>
      <c r="F86" s="135">
        <v>0.65</v>
      </c>
      <c r="G86" s="208" t="s">
        <v>36</v>
      </c>
      <c r="H86" s="135">
        <v>16.850000000000001</v>
      </c>
      <c r="I86" s="135">
        <v>7.21</v>
      </c>
      <c r="J86" s="135">
        <v>2.88</v>
      </c>
      <c r="K86" s="135">
        <v>331.72</v>
      </c>
      <c r="L86" s="135">
        <v>24.91</v>
      </c>
      <c r="M86" s="135">
        <v>82.79</v>
      </c>
      <c r="N86" s="135">
        <v>325.20</v>
      </c>
      <c r="O86" s="135">
        <v>0</v>
      </c>
      <c r="P86" s="135">
        <v>2.96</v>
      </c>
      <c r="Q86" s="135">
        <v>18.59</v>
      </c>
      <c r="R86" s="194"/>
      <c r="S86" s="194"/>
      <c r="T86" s="194"/>
      <c r="U86" s="194"/>
    </row>
    <row r="87" spans="1:21" s="12" customFormat="1" ht="15">
      <c r="A87" s="207" t="s">
        <v>514</v>
      </c>
      <c r="B87" s="135">
        <v>9.5</v>
      </c>
      <c r="C87" s="135">
        <v>29.54</v>
      </c>
      <c r="D87" s="135">
        <v>39.04</v>
      </c>
      <c r="E87" s="135">
        <v>8.73</v>
      </c>
      <c r="F87" s="135">
        <v>0.62</v>
      </c>
      <c r="G87" s="208" t="s">
        <v>36</v>
      </c>
      <c r="H87" s="135">
        <v>16.850000000000001</v>
      </c>
      <c r="I87" s="135">
        <v>7.32</v>
      </c>
      <c r="J87" s="135">
        <v>0.62</v>
      </c>
      <c r="K87" s="135">
        <v>350.24</v>
      </c>
      <c r="L87" s="135">
        <v>24.89</v>
      </c>
      <c r="M87" s="135">
        <v>82.26</v>
      </c>
      <c r="N87" s="135">
        <v>340.80</v>
      </c>
      <c r="O87" s="135">
        <v>0</v>
      </c>
      <c r="P87" s="135">
        <v>3</v>
      </c>
      <c r="Q87" s="135">
        <v>21.07</v>
      </c>
      <c r="R87" s="194"/>
      <c r="S87" s="194"/>
      <c r="T87" s="194"/>
      <c r="U87" s="194"/>
    </row>
    <row r="88" spans="1:21" s="12" customFormat="1" ht="15">
      <c r="A88" s="207" t="s">
        <v>515</v>
      </c>
      <c r="B88" s="135">
        <v>9.32</v>
      </c>
      <c r="C88" s="135">
        <v>30.42</v>
      </c>
      <c r="D88" s="135">
        <v>39.74</v>
      </c>
      <c r="E88" s="135">
        <v>3.78</v>
      </c>
      <c r="F88" s="135">
        <v>0.82</v>
      </c>
      <c r="G88" s="208" t="s">
        <v>36</v>
      </c>
      <c r="H88" s="135">
        <v>16.850000000000001</v>
      </c>
      <c r="I88" s="135">
        <v>7.41</v>
      </c>
      <c r="J88" s="135">
        <v>0.99</v>
      </c>
      <c r="K88" s="135">
        <v>219.53</v>
      </c>
      <c r="L88" s="135">
        <v>23.71</v>
      </c>
      <c r="M88" s="135">
        <v>85.24</v>
      </c>
      <c r="N88" s="135">
        <v>352.90</v>
      </c>
      <c r="O88" s="135">
        <v>0</v>
      </c>
      <c r="P88" s="135">
        <v>2.97</v>
      </c>
      <c r="Q88" s="135">
        <v>21.76</v>
      </c>
      <c r="R88" s="194"/>
      <c r="S88" s="194"/>
      <c r="T88" s="194"/>
      <c r="U88" s="194"/>
    </row>
    <row r="89" spans="1:21" s="12" customFormat="1" ht="15">
      <c r="A89" s="207" t="s">
        <v>516</v>
      </c>
      <c r="B89" s="135">
        <v>7.04</v>
      </c>
      <c r="C89" s="135">
        <v>30.44</v>
      </c>
      <c r="D89" s="135">
        <v>37.479999999999997</v>
      </c>
      <c r="E89" s="135">
        <v>9.24</v>
      </c>
      <c r="F89" s="135">
        <v>1.18</v>
      </c>
      <c r="G89" s="208" t="s">
        <v>36</v>
      </c>
      <c r="H89" s="135">
        <v>16.55</v>
      </c>
      <c r="I89" s="135">
        <v>7.55</v>
      </c>
      <c r="J89" s="135">
        <v>1.57</v>
      </c>
      <c r="K89" s="135">
        <v>215.60</v>
      </c>
      <c r="L89" s="135">
        <v>23.74</v>
      </c>
      <c r="M89" s="135">
        <v>86.33</v>
      </c>
      <c r="N89" s="135">
        <v>345.5</v>
      </c>
      <c r="O89" s="135">
        <v>0</v>
      </c>
      <c r="P89" s="135">
        <v>2.91</v>
      </c>
      <c r="Q89" s="135">
        <v>22.21</v>
      </c>
      <c r="R89" s="194"/>
      <c r="S89" s="194"/>
      <c r="T89" s="194"/>
      <c r="U89" s="194"/>
    </row>
    <row r="90" spans="1:21" s="12" customFormat="1" ht="15">
      <c r="A90" s="207" t="s">
        <v>517</v>
      </c>
      <c r="B90" s="135">
        <v>4.96</v>
      </c>
      <c r="C90" s="135">
        <v>30.12</v>
      </c>
      <c r="D90" s="135">
        <v>35.08</v>
      </c>
      <c r="E90" s="135">
        <v>9.59</v>
      </c>
      <c r="F90" s="135">
        <v>1.1100000000000001</v>
      </c>
      <c r="G90" s="208" t="s">
        <v>36</v>
      </c>
      <c r="H90" s="135">
        <v>15.82</v>
      </c>
      <c r="I90" s="135">
        <v>7.52</v>
      </c>
      <c r="J90" s="135">
        <v>1.40</v>
      </c>
      <c r="K90" s="135">
        <v>216.38</v>
      </c>
      <c r="L90" s="135">
        <v>22.70</v>
      </c>
      <c r="M90" s="135">
        <v>87.39</v>
      </c>
      <c r="N90" s="135">
        <v>320.89999999999998</v>
      </c>
      <c r="O90" s="135">
        <v>0</v>
      </c>
      <c r="P90" s="135">
        <v>2.87</v>
      </c>
      <c r="Q90" s="135">
        <v>22.47</v>
      </c>
      <c r="R90" s="194"/>
      <c r="S90" s="194"/>
      <c r="T90" s="194"/>
      <c r="U90" s="194"/>
    </row>
    <row r="91" spans="1:21" s="12" customFormat="1" ht="15">
      <c r="A91" s="207" t="s">
        <v>518</v>
      </c>
      <c r="B91" s="135">
        <v>3.72</v>
      </c>
      <c r="C91" s="135">
        <v>29.64</v>
      </c>
      <c r="D91" s="135">
        <v>33.36</v>
      </c>
      <c r="E91" s="135">
        <v>9.90</v>
      </c>
      <c r="F91" s="135">
        <v>1.1299999999999999</v>
      </c>
      <c r="G91" s="208" t="s">
        <v>36</v>
      </c>
      <c r="H91" s="135">
        <v>15.82</v>
      </c>
      <c r="I91" s="135">
        <v>7.33</v>
      </c>
      <c r="J91" s="135">
        <v>0.61</v>
      </c>
      <c r="K91" s="135">
        <v>215.48</v>
      </c>
      <c r="L91" s="135">
        <v>23.15</v>
      </c>
      <c r="M91" s="135">
        <v>88.25</v>
      </c>
      <c r="N91" s="135">
        <v>371.90</v>
      </c>
      <c r="O91" s="135">
        <v>0</v>
      </c>
      <c r="P91" s="135">
        <v>2.85</v>
      </c>
      <c r="Q91" s="135">
        <v>22.75</v>
      </c>
      <c r="R91" s="194"/>
      <c r="S91" s="194"/>
      <c r="T91" s="194"/>
      <c r="U91" s="194"/>
    </row>
    <row r="92" spans="1:21" s="12" customFormat="1" ht="15">
      <c r="A92" s="207" t="s">
        <v>519</v>
      </c>
      <c r="B92" s="135">
        <v>3.36</v>
      </c>
      <c r="C92" s="135">
        <v>24.57</v>
      </c>
      <c r="D92" s="135">
        <v>27.94</v>
      </c>
      <c r="E92" s="135">
        <v>10</v>
      </c>
      <c r="F92" s="135">
        <v>3.13</v>
      </c>
      <c r="G92" s="208" t="s">
        <v>36</v>
      </c>
      <c r="H92" s="135">
        <v>15.82</v>
      </c>
      <c r="I92" s="135">
        <v>7.18</v>
      </c>
      <c r="J92" s="135">
        <v>0.78</v>
      </c>
      <c r="K92" s="135">
        <v>253.91</v>
      </c>
      <c r="L92" s="135">
        <v>24.08</v>
      </c>
      <c r="M92" s="135">
        <v>87.49</v>
      </c>
      <c r="N92" s="135">
        <v>343.60</v>
      </c>
      <c r="O92" s="135">
        <v>0</v>
      </c>
      <c r="P92" s="135">
        <v>2.79</v>
      </c>
      <c r="Q92" s="135">
        <v>21.67</v>
      </c>
      <c r="R92" s="194"/>
      <c r="S92" s="194"/>
      <c r="T92" s="194"/>
      <c r="U92" s="194"/>
    </row>
    <row r="93" spans="1:21" s="12" customFormat="1" ht="15">
      <c r="A93" s="207" t="s">
        <v>520</v>
      </c>
      <c r="B93" s="135">
        <v>3.18</v>
      </c>
      <c r="C93" s="135">
        <v>21.91</v>
      </c>
      <c r="D93" s="135">
        <v>25.09</v>
      </c>
      <c r="E93" s="135">
        <v>9.60</v>
      </c>
      <c r="F93" s="135">
        <v>1.87</v>
      </c>
      <c r="G93" s="208" t="s">
        <v>36</v>
      </c>
      <c r="H93" s="135">
        <v>15.78</v>
      </c>
      <c r="I93" s="135">
        <v>6.98</v>
      </c>
      <c r="J93" s="135">
        <v>1.84</v>
      </c>
      <c r="K93" s="135">
        <v>230.33</v>
      </c>
      <c r="L93" s="135">
        <v>23.85</v>
      </c>
      <c r="M93" s="135">
        <v>87.80</v>
      </c>
      <c r="N93" s="135">
        <v>297.30</v>
      </c>
      <c r="O93" s="135">
        <v>0</v>
      </c>
      <c r="P93" s="135">
        <v>2.79</v>
      </c>
      <c r="Q93" s="135">
        <v>15.78</v>
      </c>
      <c r="R93" s="194"/>
      <c r="S93" s="194"/>
      <c r="T93" s="194"/>
      <c r="U93" s="194"/>
    </row>
    <row r="94" spans="1:21" s="12" customFormat="1" ht="15">
      <c r="A94" s="207" t="s">
        <v>521</v>
      </c>
      <c r="B94" s="135">
        <v>2.91</v>
      </c>
      <c r="C94" s="135">
        <v>21.46</v>
      </c>
      <c r="D94" s="135">
        <v>24.37</v>
      </c>
      <c r="E94" s="135">
        <v>9.9700000000000006</v>
      </c>
      <c r="F94" s="135">
        <v>0.5</v>
      </c>
      <c r="G94" s="208" t="s">
        <v>36</v>
      </c>
      <c r="H94" s="135">
        <v>15.69</v>
      </c>
      <c r="I94" s="135">
        <v>6.33</v>
      </c>
      <c r="J94" s="135">
        <v>2.23</v>
      </c>
      <c r="K94" s="135">
        <v>215.05</v>
      </c>
      <c r="L94" s="135">
        <v>23.95</v>
      </c>
      <c r="M94" s="135">
        <v>88.77</v>
      </c>
      <c r="N94" s="135">
        <v>293.5</v>
      </c>
      <c r="O94" s="135">
        <v>0</v>
      </c>
      <c r="P94" s="135">
        <v>2.77</v>
      </c>
      <c r="Q94" s="135">
        <v>11.78</v>
      </c>
      <c r="R94" s="194"/>
      <c r="S94" s="194"/>
      <c r="T94" s="194"/>
      <c r="U94" s="194"/>
    </row>
    <row r="95" spans="1:21" s="12" customFormat="1" ht="15">
      <c r="A95" s="207" t="s">
        <v>522</v>
      </c>
      <c r="B95" s="135">
        <v>2.73</v>
      </c>
      <c r="C95" s="135">
        <v>20.47</v>
      </c>
      <c r="D95" s="135">
        <v>23.20</v>
      </c>
      <c r="E95" s="135">
        <v>10.24</v>
      </c>
      <c r="F95" s="135">
        <v>0.25</v>
      </c>
      <c r="G95" s="208" t="s">
        <v>36</v>
      </c>
      <c r="H95" s="135">
        <v>15.69</v>
      </c>
      <c r="I95" s="135">
        <v>6.17</v>
      </c>
      <c r="J95" s="135">
        <v>1.20</v>
      </c>
      <c r="K95" s="135">
        <v>214.81</v>
      </c>
      <c r="L95" s="135">
        <v>23.91</v>
      </c>
      <c r="M95" s="135">
        <v>88.86</v>
      </c>
      <c r="N95" s="135">
        <v>301.70</v>
      </c>
      <c r="O95" s="135">
        <v>0</v>
      </c>
      <c r="P95" s="135">
        <v>2.74</v>
      </c>
      <c r="Q95" s="135">
        <v>9.76</v>
      </c>
      <c r="R95" s="194"/>
      <c r="S95" s="194"/>
      <c r="T95" s="194"/>
      <c r="U95" s="194"/>
    </row>
    <row r="96" spans="1:26" s="12" customFormat="1" ht="15">
      <c r="A96" s="207" t="s">
        <v>523</v>
      </c>
      <c r="B96" s="135">
        <v>2.67</v>
      </c>
      <c r="C96" s="135">
        <v>19.600000000000001</v>
      </c>
      <c r="D96" s="135">
        <v>22.28</v>
      </c>
      <c r="E96" s="135">
        <v>10.08</v>
      </c>
      <c r="F96" s="135">
        <v>0.63</v>
      </c>
      <c r="G96" s="208" t="s">
        <v>36</v>
      </c>
      <c r="H96" s="135">
        <v>15.69</v>
      </c>
      <c r="I96" s="135">
        <v>5.75</v>
      </c>
      <c r="J96" s="135">
        <v>1.08</v>
      </c>
      <c r="K96" s="135">
        <v>257.38</v>
      </c>
      <c r="L96" s="135">
        <v>24.56</v>
      </c>
      <c r="M96" s="135">
        <v>88.87</v>
      </c>
      <c r="N96" s="135">
        <v>301.80</v>
      </c>
      <c r="O96" s="135">
        <v>0</v>
      </c>
      <c r="P96" s="135">
        <v>2.72</v>
      </c>
      <c r="Q96" s="135">
        <v>8.7799999999999994</v>
      </c>
      <c r="R96" s="194"/>
      <c r="S96" s="194"/>
      <c r="T96" s="194"/>
      <c r="U96" s="194"/>
      <c r="Z96" s="105"/>
    </row>
    <row r="97" spans="1:21" s="12" customFormat="1" ht="15">
      <c r="A97" s="207" t="s">
        <v>524</v>
      </c>
      <c r="B97" s="135">
        <v>2.4500000000000002</v>
      </c>
      <c r="C97" s="135">
        <v>19.09</v>
      </c>
      <c r="D97" s="135">
        <v>21.54</v>
      </c>
      <c r="E97" s="135">
        <v>9.82</v>
      </c>
      <c r="F97" s="135">
        <v>0.78</v>
      </c>
      <c r="G97" s="208" t="s">
        <v>36</v>
      </c>
      <c r="H97" s="135">
        <v>15.36</v>
      </c>
      <c r="I97" s="135">
        <v>5.27</v>
      </c>
      <c r="J97" s="135">
        <v>1</v>
      </c>
      <c r="K97" s="135">
        <v>211.21</v>
      </c>
      <c r="L97" s="135">
        <v>24.49</v>
      </c>
      <c r="M97" s="135">
        <v>89.27</v>
      </c>
      <c r="N97" s="135">
        <v>309.5</v>
      </c>
      <c r="O97" s="135">
        <v>0</v>
      </c>
      <c r="P97" s="135">
        <v>2.70</v>
      </c>
      <c r="Q97" s="135">
        <v>8.1999999999999993</v>
      </c>
      <c r="R97" s="194"/>
      <c r="S97" s="194"/>
      <c r="T97" s="194"/>
      <c r="U97" s="194"/>
    </row>
    <row r="98" spans="1:21" s="12" customFormat="1" ht="15">
      <c r="A98" s="207" t="s">
        <v>525</v>
      </c>
      <c r="B98" s="135">
        <v>2.1800000000000002</v>
      </c>
      <c r="C98" s="135">
        <v>18.739999999999998</v>
      </c>
      <c r="D98" s="135">
        <v>20.92</v>
      </c>
      <c r="E98" s="135">
        <v>10.59</v>
      </c>
      <c r="F98" s="135">
        <v>0.68</v>
      </c>
      <c r="G98" s="208" t="s">
        <v>36</v>
      </c>
      <c r="H98" s="135">
        <v>14.53</v>
      </c>
      <c r="I98" s="135">
        <v>5.54</v>
      </c>
      <c r="J98" s="135">
        <v>2.2200000000000002</v>
      </c>
      <c r="K98" s="135">
        <v>205.35</v>
      </c>
      <c r="L98" s="135">
        <v>24.70</v>
      </c>
      <c r="M98" s="135">
        <v>90.16</v>
      </c>
      <c r="N98" s="135">
        <v>303.10000000000002</v>
      </c>
      <c r="O98" s="135">
        <v>0</v>
      </c>
      <c r="P98" s="135">
        <v>2.67</v>
      </c>
      <c r="Q98" s="135">
        <v>7.74</v>
      </c>
      <c r="R98" s="194"/>
      <c r="S98" s="194"/>
      <c r="T98" s="194"/>
      <c r="U98" s="194"/>
    </row>
    <row r="99" spans="1:21" s="12" customFormat="1" ht="15">
      <c r="A99" s="207" t="s">
        <v>526</v>
      </c>
      <c r="B99" s="135">
        <v>2.0699999999999998</v>
      </c>
      <c r="C99" s="135">
        <v>17.59</v>
      </c>
      <c r="D99" s="135">
        <v>19.66</v>
      </c>
      <c r="E99" s="135">
        <v>10.050000000000001</v>
      </c>
      <c r="F99" s="135">
        <v>0.93</v>
      </c>
      <c r="G99" s="208" t="s">
        <v>36</v>
      </c>
      <c r="H99" s="135">
        <v>14.53</v>
      </c>
      <c r="I99" s="135">
        <v>5.5</v>
      </c>
      <c r="J99" s="135">
        <v>3.19</v>
      </c>
      <c r="K99" s="135">
        <v>213.24</v>
      </c>
      <c r="L99" s="135">
        <v>24.10</v>
      </c>
      <c r="M99" s="135">
        <v>90.97</v>
      </c>
      <c r="N99" s="135">
        <v>306.60000000000002</v>
      </c>
      <c r="O99" s="135">
        <v>0</v>
      </c>
      <c r="P99" s="135">
        <v>2.64</v>
      </c>
      <c r="Q99" s="135">
        <v>7.58</v>
      </c>
      <c r="R99" s="194"/>
      <c r="S99" s="194"/>
      <c r="T99" s="194"/>
      <c r="U99" s="194"/>
    </row>
    <row r="100" spans="1:33" s="12" customFormat="1" ht="15">
      <c r="A100" s="207" t="s">
        <v>527</v>
      </c>
      <c r="B100" s="135">
        <v>1.96</v>
      </c>
      <c r="C100" s="135">
        <v>17.52</v>
      </c>
      <c r="D100" s="135">
        <v>19.48</v>
      </c>
      <c r="E100" s="135">
        <v>9.76</v>
      </c>
      <c r="F100" s="135">
        <v>1.04</v>
      </c>
      <c r="G100" s="208" t="s">
        <v>36</v>
      </c>
      <c r="H100" s="135">
        <v>14.53</v>
      </c>
      <c r="I100" s="135">
        <v>5.25</v>
      </c>
      <c r="J100" s="135">
        <v>1.20</v>
      </c>
      <c r="K100" s="135">
        <v>234.89</v>
      </c>
      <c r="L100" s="135">
        <v>24.17</v>
      </c>
      <c r="M100" s="135">
        <v>91.13</v>
      </c>
      <c r="N100" s="135">
        <v>317.20</v>
      </c>
      <c r="O100" s="135">
        <v>0</v>
      </c>
      <c r="P100" s="135">
        <v>2.63</v>
      </c>
      <c r="Q100" s="135">
        <v>8.36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528</v>
      </c>
      <c r="B101" s="135">
        <v>1.95</v>
      </c>
      <c r="C101" s="135">
        <v>18.170000000000002</v>
      </c>
      <c r="D101" s="135">
        <v>20.12</v>
      </c>
      <c r="E101" s="135">
        <v>9.4700000000000006</v>
      </c>
      <c r="F101" s="135">
        <v>1.03</v>
      </c>
      <c r="G101" s="208" t="s">
        <v>36</v>
      </c>
      <c r="H101" s="135">
        <v>13.36</v>
      </c>
      <c r="I101" s="135">
        <v>5.23</v>
      </c>
      <c r="J101" s="135">
        <v>0.91</v>
      </c>
      <c r="K101" s="135">
        <v>213.65</v>
      </c>
      <c r="L101" s="135">
        <v>23.13</v>
      </c>
      <c r="M101" s="135">
        <v>90.58</v>
      </c>
      <c r="N101" s="135">
        <v>365.40</v>
      </c>
      <c r="O101" s="135">
        <v>0</v>
      </c>
      <c r="P101" s="135">
        <v>2.60</v>
      </c>
      <c r="Q101" s="135">
        <v>9.51</v>
      </c>
      <c r="R101" s="194"/>
      <c r="S101" s="194"/>
      <c r="T101" s="194"/>
      <c r="U101" s="194"/>
    </row>
    <row r="102" spans="1:21" s="12" customFormat="1" ht="15">
      <c r="A102" s="207" t="s">
        <v>529</v>
      </c>
      <c r="B102" s="135">
        <v>2.37</v>
      </c>
      <c r="C102" s="135">
        <v>19.21</v>
      </c>
      <c r="D102" s="135">
        <v>21.58</v>
      </c>
      <c r="E102" s="135">
        <v>8.92</v>
      </c>
      <c r="F102" s="135">
        <v>1</v>
      </c>
      <c r="G102" s="208" t="s">
        <v>36</v>
      </c>
      <c r="H102" s="135">
        <v>10.46</v>
      </c>
      <c r="I102" s="135">
        <v>5.47</v>
      </c>
      <c r="J102" s="135">
        <v>1.04</v>
      </c>
      <c r="K102" s="135">
        <v>236.40</v>
      </c>
      <c r="L102" s="135">
        <v>23.91</v>
      </c>
      <c r="M102" s="135">
        <v>89.94</v>
      </c>
      <c r="N102" s="135">
        <v>399.60</v>
      </c>
      <c r="O102" s="135">
        <v>0</v>
      </c>
      <c r="P102" s="135">
        <v>2.58</v>
      </c>
      <c r="Q102" s="135">
        <v>10.91</v>
      </c>
      <c r="R102" s="194"/>
      <c r="S102" s="194"/>
      <c r="T102" s="194"/>
      <c r="U102" s="194"/>
    </row>
    <row r="103" spans="1:21" s="12" customFormat="1" ht="15">
      <c r="A103" s="207" t="s">
        <v>530</v>
      </c>
      <c r="B103" s="135">
        <v>2.2599999999999998</v>
      </c>
      <c r="C103" s="135">
        <v>19.71</v>
      </c>
      <c r="D103" s="135">
        <v>21.97</v>
      </c>
      <c r="E103" s="135">
        <v>8.90</v>
      </c>
      <c r="F103" s="135">
        <v>0.71</v>
      </c>
      <c r="G103" s="208" t="s">
        <v>36</v>
      </c>
      <c r="H103" s="135">
        <v>10.46</v>
      </c>
      <c r="I103" s="135">
        <v>5.37</v>
      </c>
      <c r="J103" s="135">
        <v>0.78</v>
      </c>
      <c r="K103" s="135">
        <v>273.56</v>
      </c>
      <c r="L103" s="135">
        <v>24.61</v>
      </c>
      <c r="M103" s="135">
        <v>90.06</v>
      </c>
      <c r="N103" s="135">
        <v>357.80</v>
      </c>
      <c r="O103" s="135">
        <v>0</v>
      </c>
      <c r="P103" s="135">
        <v>2.56</v>
      </c>
      <c r="Q103" s="135">
        <v>11.99</v>
      </c>
      <c r="R103" s="194"/>
      <c r="S103" s="194"/>
      <c r="T103" s="194"/>
      <c r="U103" s="194"/>
    </row>
    <row r="104" spans="1:21" s="12" customFormat="1" ht="15">
      <c r="A104" s="209" t="s">
        <v>531</v>
      </c>
      <c r="B104" s="210">
        <v>2.0699999999999998</v>
      </c>
      <c r="C104" s="210">
        <v>20.14</v>
      </c>
      <c r="D104" s="210">
        <v>22.21</v>
      </c>
      <c r="E104" s="210">
        <v>3.97</v>
      </c>
      <c r="F104" s="210">
        <v>0.77</v>
      </c>
      <c r="G104" s="211" t="s">
        <v>36</v>
      </c>
      <c r="H104" s="210">
        <v>10.46</v>
      </c>
      <c r="I104" s="210">
        <v>5.32</v>
      </c>
      <c r="J104" s="210">
        <v>0.16</v>
      </c>
      <c r="K104" s="210">
        <v>299.58999999999997</v>
      </c>
      <c r="L104" s="210">
        <v>25.25</v>
      </c>
      <c r="M104" s="210">
        <v>90.10</v>
      </c>
      <c r="N104" s="210">
        <v>341.60</v>
      </c>
      <c r="O104" s="210">
        <v>0</v>
      </c>
      <c r="P104" s="210">
        <v>2.54</v>
      </c>
      <c r="Q104" s="210">
        <v>13.14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0.82999999999999996</v>
      </c>
      <c r="C106" s="67">
        <f>MIN(C9:C104)</f>
        <v>12.99</v>
      </c>
      <c r="D106" s="67">
        <f t="shared" si="0" ref="D106:Q106">MIN(D9:D104)</f>
        <v>14.58</v>
      </c>
      <c r="E106" s="67">
        <f t="shared" si="0"/>
        <v>3.3900000000000001</v>
      </c>
      <c r="F106" s="67">
        <f t="shared" si="0"/>
        <v>0.02</v>
      </c>
      <c r="G106" s="67">
        <f t="shared" si="0"/>
        <v>0</v>
      </c>
      <c r="H106" s="67">
        <f t="shared" si="0"/>
        <v>1.9299999999999999</v>
      </c>
      <c r="I106" s="67">
        <f t="shared" si="0"/>
        <v>3.5299999999999998</v>
      </c>
      <c r="J106" s="67">
        <f t="shared" si="0"/>
        <v>0.16</v>
      </c>
      <c r="K106" s="67">
        <f t="shared" si="0"/>
        <v>0.70999999999999996</v>
      </c>
      <c r="L106" s="67">
        <f t="shared" si="0"/>
        <v>10.380000000000001</v>
      </c>
      <c r="M106" s="67">
        <f t="shared" si="0"/>
        <v>70.859999999999999</v>
      </c>
      <c r="N106" s="67">
        <f t="shared" si="0"/>
        <v>229.5</v>
      </c>
      <c r="O106" s="67">
        <f t="shared" si="0"/>
        <v>0</v>
      </c>
      <c r="P106" s="67">
        <f t="shared" si="0"/>
        <v>2.27</v>
      </c>
      <c r="Q106" s="67">
        <f t="shared" si="0"/>
        <v>7.5800000000000001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9.9399999999999995</v>
      </c>
      <c r="C107" s="66">
        <f t="shared" si="1" ref="C107:Q107">MAX(C9:C104)</f>
        <v>30.440000000000001</v>
      </c>
      <c r="D107" s="66">
        <f t="shared" si="1"/>
        <v>39.740000000000002</v>
      </c>
      <c r="E107" s="66">
        <f t="shared" si="1"/>
        <v>10.710000000000001</v>
      </c>
      <c r="F107" s="66">
        <f t="shared" si="1"/>
        <v>3.5699999999999998</v>
      </c>
      <c r="G107" s="66">
        <f t="shared" si="1"/>
        <v>0</v>
      </c>
      <c r="H107" s="66">
        <f t="shared" si="1"/>
        <v>19.010000000000002</v>
      </c>
      <c r="I107" s="66">
        <f t="shared" si="1"/>
        <v>9.6799999999999997</v>
      </c>
      <c r="J107" s="66">
        <f t="shared" si="1"/>
        <v>4.5999999999999996</v>
      </c>
      <c r="K107" s="66">
        <f t="shared" si="1"/>
        <v>358.58999999999997</v>
      </c>
      <c r="L107" s="66">
        <f t="shared" si="1"/>
        <v>25.34</v>
      </c>
      <c r="M107" s="66">
        <f t="shared" si="1"/>
        <v>96.939999999999998</v>
      </c>
      <c r="N107" s="66">
        <f t="shared" si="1"/>
        <v>820.70000000000005</v>
      </c>
      <c r="O107" s="66">
        <f t="shared" si="1"/>
        <v>0.20000000000000001</v>
      </c>
      <c r="P107" s="66">
        <f t="shared" si="1"/>
        <v>3</v>
      </c>
      <c r="Q107" s="66">
        <f t="shared" si="1"/>
        <v>30.129999999999999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4.2299999999999995</v>
      </c>
      <c r="C108" s="67">
        <f t="shared" si="2" ref="C108:Q108">AVERAGE(C9:C104)</f>
        <v>20.944791666666671</v>
      </c>
      <c r="D108" s="67">
        <f t="shared" si="2"/>
        <v>25.174062500000002</v>
      </c>
      <c r="E108" s="67">
        <f t="shared" si="2"/>
        <v>8.7981250000000006</v>
      </c>
      <c r="F108" s="67">
        <f t="shared" si="2"/>
        <v>1.0009375000000003</v>
      </c>
      <c r="G108" s="67" t="e">
        <f t="shared" si="2"/>
        <v>#DIV/0!</v>
      </c>
      <c r="H108" s="67">
        <f t="shared" si="2"/>
        <v>9.8008333333333386</v>
      </c>
      <c r="I108" s="67">
        <f t="shared" si="2"/>
        <v>6.0791666666666666</v>
      </c>
      <c r="J108" s="67">
        <f t="shared" si="2"/>
        <v>1.6784374999999996</v>
      </c>
      <c r="K108" s="67">
        <f t="shared" si="2"/>
        <v>222.75895833333345</v>
      </c>
      <c r="L108" s="67">
        <f t="shared" si="2"/>
        <v>21.11760416666667</v>
      </c>
      <c r="M108" s="67">
        <f t="shared" si="2"/>
        <v>86.906666666666652</v>
      </c>
      <c r="N108" s="67">
        <f t="shared" si="2"/>
        <v>382.97187499999995</v>
      </c>
      <c r="O108" s="67">
        <f t="shared" si="2"/>
        <v>0.0062500000000000012</v>
      </c>
      <c r="P108" s="67">
        <f t="shared" si="2"/>
        <v>2.5959374999999998</v>
      </c>
      <c r="Q108" s="67">
        <f t="shared" si="2"/>
        <v>15.663645833333334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3.1331725975942963</v>
      </c>
      <c r="C109" s="67">
        <f t="shared" si="3" ref="C109:Q109">STDEV(C9:C104)</f>
        <v>4.8167252424654032</v>
      </c>
      <c r="D109" s="67">
        <f t="shared" si="3"/>
        <v>6.9469139802277624</v>
      </c>
      <c r="E109" s="67">
        <f t="shared" si="3"/>
        <v>1.4397085322712779</v>
      </c>
      <c r="F109" s="67">
        <f t="shared" si="3"/>
        <v>0.70820763848643009</v>
      </c>
      <c r="G109" s="67" t="e">
        <f t="shared" si="3"/>
        <v>#DIV/0!</v>
      </c>
      <c r="H109" s="67">
        <f t="shared" si="3"/>
        <v>6.3325750423241418</v>
      </c>
      <c r="I109" s="67">
        <f t="shared" si="3"/>
        <v>1.752371425821335</v>
      </c>
      <c r="J109" s="67">
        <f t="shared" si="3"/>
        <v>0.99197763994855115</v>
      </c>
      <c r="K109" s="67">
        <f t="shared" si="3"/>
        <v>98.287137547720377</v>
      </c>
      <c r="L109" s="67">
        <f t="shared" si="3"/>
        <v>4.0261633153247223</v>
      </c>
      <c r="M109" s="67">
        <f t="shared" si="3"/>
        <v>7.6318150792264836</v>
      </c>
      <c r="N109" s="67">
        <f t="shared" si="3"/>
        <v>147.70346944086472</v>
      </c>
      <c r="O109" s="67">
        <f t="shared" si="3"/>
        <v>0.034981197957278651</v>
      </c>
      <c r="P109" s="67">
        <f t="shared" si="3"/>
        <v>0.21838439372137522</v>
      </c>
      <c r="Q109" s="67">
        <f t="shared" si="3"/>
        <v>5.7648808121685162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ae043b7-985f-4ae8-8123-8020f9422c5a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04-07-2022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532</v>
      </c>
      <c r="B9" s="135">
        <v>2.13</v>
      </c>
      <c r="C9" s="135">
        <v>20.47</v>
      </c>
      <c r="D9" s="135">
        <v>22.61</v>
      </c>
      <c r="E9" s="135">
        <v>8.94</v>
      </c>
      <c r="F9" s="135">
        <v>1.39</v>
      </c>
      <c r="G9" s="208" t="s">
        <v>36</v>
      </c>
      <c r="H9" s="135">
        <v>9.69</v>
      </c>
      <c r="I9" s="135">
        <v>5.25</v>
      </c>
      <c r="J9" s="135">
        <v>0.22</v>
      </c>
      <c r="K9" s="135">
        <v>326.05</v>
      </c>
      <c r="L9" s="135">
        <v>25.27</v>
      </c>
      <c r="M9" s="135">
        <v>90.12</v>
      </c>
      <c r="N9" s="135">
        <v>394.70</v>
      </c>
      <c r="O9" s="135">
        <v>0</v>
      </c>
      <c r="P9" s="135">
        <v>2.52</v>
      </c>
      <c r="Q9" s="135">
        <v>14.43</v>
      </c>
      <c r="R9" s="194"/>
      <c r="S9" s="194"/>
      <c r="T9" s="194"/>
      <c r="U9" s="194"/>
    </row>
    <row r="10" spans="1:21" s="12" customFormat="1" ht="15">
      <c r="A10" s="207" t="s">
        <v>533</v>
      </c>
      <c r="B10" s="135">
        <v>1.93</v>
      </c>
      <c r="C10" s="135">
        <v>20.54</v>
      </c>
      <c r="D10" s="135">
        <v>22.47</v>
      </c>
      <c r="E10" s="135">
        <v>9.6300000000000008</v>
      </c>
      <c r="F10" s="135">
        <v>1.69</v>
      </c>
      <c r="G10" s="208" t="s">
        <v>36</v>
      </c>
      <c r="H10" s="135">
        <v>7.78</v>
      </c>
      <c r="I10" s="135">
        <v>5.14</v>
      </c>
      <c r="J10" s="135">
        <v>0.22</v>
      </c>
      <c r="K10" s="135">
        <v>291.16000000000003</v>
      </c>
      <c r="L10" s="135">
        <v>25.34</v>
      </c>
      <c r="M10" s="135">
        <v>89.98</v>
      </c>
      <c r="N10" s="135">
        <v>563.40</v>
      </c>
      <c r="O10" s="135">
        <v>0</v>
      </c>
      <c r="P10" s="135">
        <v>2.5</v>
      </c>
      <c r="Q10" s="135">
        <v>15.58</v>
      </c>
      <c r="R10" s="194"/>
      <c r="S10" s="194"/>
      <c r="T10" s="194"/>
      <c r="U10" s="194"/>
    </row>
    <row r="11" spans="1:21" s="12" customFormat="1" ht="15">
      <c r="A11" s="207" t="s">
        <v>534</v>
      </c>
      <c r="B11" s="135">
        <v>1.71</v>
      </c>
      <c r="C11" s="135">
        <v>20.43</v>
      </c>
      <c r="D11" s="135">
        <v>22.13</v>
      </c>
      <c r="E11" s="135">
        <v>9.4499999999999993</v>
      </c>
      <c r="F11" s="135">
        <v>1.08</v>
      </c>
      <c r="G11" s="208" t="s">
        <v>36</v>
      </c>
      <c r="H11" s="135">
        <v>7.78</v>
      </c>
      <c r="I11" s="135">
        <v>5.1100000000000003</v>
      </c>
      <c r="J11" s="135">
        <v>1.17</v>
      </c>
      <c r="K11" s="135">
        <v>0.16</v>
      </c>
      <c r="L11" s="135">
        <v>25.88</v>
      </c>
      <c r="M11" s="135">
        <v>90.18</v>
      </c>
      <c r="N11" s="135">
        <v>701.30</v>
      </c>
      <c r="O11" s="135">
        <v>0</v>
      </c>
      <c r="P11" s="135">
        <v>2.4700000000000002</v>
      </c>
      <c r="Q11" s="135">
        <v>16.36</v>
      </c>
      <c r="R11" s="194"/>
      <c r="S11" s="194"/>
      <c r="T11" s="194"/>
      <c r="U11" s="194"/>
    </row>
    <row r="12" spans="1:21" s="12" customFormat="1" ht="15">
      <c r="A12" s="207" t="s">
        <v>535</v>
      </c>
      <c r="B12" s="135">
        <v>1.56</v>
      </c>
      <c r="C12" s="135">
        <v>20.28</v>
      </c>
      <c r="D12" s="135">
        <v>21.84</v>
      </c>
      <c r="E12" s="135">
        <v>9.58</v>
      </c>
      <c r="F12" s="135">
        <v>1.60</v>
      </c>
      <c r="G12" s="208" t="s">
        <v>36</v>
      </c>
      <c r="H12" s="135">
        <v>7.78</v>
      </c>
      <c r="I12" s="135">
        <v>5.07</v>
      </c>
      <c r="J12" s="135">
        <v>0.71</v>
      </c>
      <c r="K12" s="135">
        <v>28.94</v>
      </c>
      <c r="L12" s="135">
        <v>25.56</v>
      </c>
      <c r="M12" s="135">
        <v>90.52</v>
      </c>
      <c r="N12" s="135">
        <v>481.20</v>
      </c>
      <c r="O12" s="135">
        <v>0</v>
      </c>
      <c r="P12" s="135">
        <v>2.4500000000000002</v>
      </c>
      <c r="Q12" s="135">
        <v>17.29</v>
      </c>
      <c r="R12" s="194"/>
      <c r="S12" s="194"/>
      <c r="T12" s="194"/>
      <c r="U12" s="194"/>
    </row>
    <row r="13" spans="1:21" s="12" customFormat="1" ht="15">
      <c r="A13" s="207" t="s">
        <v>536</v>
      </c>
      <c r="B13" s="135">
        <v>1.41</v>
      </c>
      <c r="C13" s="135">
        <v>19.82</v>
      </c>
      <c r="D13" s="135">
        <v>21.23</v>
      </c>
      <c r="E13" s="135">
        <v>9.67</v>
      </c>
      <c r="F13" s="135">
        <v>1.96</v>
      </c>
      <c r="G13" s="208" t="s">
        <v>36</v>
      </c>
      <c r="H13" s="135">
        <v>7.19</v>
      </c>
      <c r="I13" s="135">
        <v>5.01</v>
      </c>
      <c r="J13" s="135">
        <v>1.44</v>
      </c>
      <c r="K13" s="135">
        <v>75.34</v>
      </c>
      <c r="L13" s="135">
        <v>16.809999999999999</v>
      </c>
      <c r="M13" s="135">
        <v>90.58</v>
      </c>
      <c r="N13" s="135">
        <v>659</v>
      </c>
      <c r="O13" s="135">
        <v>0</v>
      </c>
      <c r="P13" s="135">
        <v>2.42</v>
      </c>
      <c r="Q13" s="135">
        <v>17.79</v>
      </c>
      <c r="R13" s="194"/>
      <c r="S13" s="194"/>
      <c r="T13" s="194"/>
      <c r="U13" s="194"/>
    </row>
    <row r="14" spans="1:21" s="12" customFormat="1" ht="15">
      <c r="A14" s="207" t="s">
        <v>537</v>
      </c>
      <c r="B14" s="135">
        <v>1.25</v>
      </c>
      <c r="C14" s="135">
        <v>15.36</v>
      </c>
      <c r="D14" s="135">
        <v>16.61</v>
      </c>
      <c r="E14" s="135">
        <v>9.15</v>
      </c>
      <c r="F14" s="135">
        <v>3.06</v>
      </c>
      <c r="G14" s="208" t="s">
        <v>36</v>
      </c>
      <c r="H14" s="135">
        <v>5.75</v>
      </c>
      <c r="I14" s="135">
        <v>4.93</v>
      </c>
      <c r="J14" s="135">
        <v>1.1599999999999999</v>
      </c>
      <c r="K14" s="135">
        <v>61.72</v>
      </c>
      <c r="L14" s="135">
        <v>15.01</v>
      </c>
      <c r="M14" s="135">
        <v>90.86</v>
      </c>
      <c r="N14" s="135">
        <v>689.70</v>
      </c>
      <c r="O14" s="135">
        <v>0</v>
      </c>
      <c r="P14" s="135">
        <v>2.39</v>
      </c>
      <c r="Q14" s="135">
        <v>15</v>
      </c>
      <c r="R14" s="194"/>
      <c r="S14" s="194"/>
      <c r="T14" s="194"/>
      <c r="U14" s="194"/>
    </row>
    <row r="15" spans="1:21" s="12" customFormat="1" ht="15">
      <c r="A15" s="207" t="s">
        <v>538</v>
      </c>
      <c r="B15" s="135">
        <v>1.31</v>
      </c>
      <c r="C15" s="135">
        <v>14.39</v>
      </c>
      <c r="D15" s="135">
        <v>15.70</v>
      </c>
      <c r="E15" s="135">
        <v>8.94</v>
      </c>
      <c r="F15" s="135">
        <v>1.54</v>
      </c>
      <c r="G15" s="208" t="s">
        <v>36</v>
      </c>
      <c r="H15" s="135">
        <v>5.75</v>
      </c>
      <c r="I15" s="135">
        <v>4.57</v>
      </c>
      <c r="J15" s="135">
        <v>0.49</v>
      </c>
      <c r="K15" s="135">
        <v>58.03</v>
      </c>
      <c r="L15" s="135">
        <v>14.17</v>
      </c>
      <c r="M15" s="135">
        <v>90.69</v>
      </c>
      <c r="N15" s="135">
        <v>668</v>
      </c>
      <c r="O15" s="135">
        <v>0</v>
      </c>
      <c r="P15" s="135">
        <v>2.38</v>
      </c>
      <c r="Q15" s="135">
        <v>11.11</v>
      </c>
      <c r="R15" s="194"/>
      <c r="S15" s="194"/>
      <c r="T15" s="194"/>
      <c r="U15" s="194"/>
    </row>
    <row r="16" spans="1:21" s="12" customFormat="1" ht="15">
      <c r="A16" s="207" t="s">
        <v>539</v>
      </c>
      <c r="B16" s="135">
        <v>1.25</v>
      </c>
      <c r="C16" s="135">
        <v>14.60</v>
      </c>
      <c r="D16" s="135">
        <v>15.85</v>
      </c>
      <c r="E16" s="135">
        <v>8.9600000000000009</v>
      </c>
      <c r="F16" s="135">
        <v>0.94</v>
      </c>
      <c r="G16" s="208" t="s">
        <v>36</v>
      </c>
      <c r="H16" s="135">
        <v>5.75</v>
      </c>
      <c r="I16" s="135">
        <v>4</v>
      </c>
      <c r="J16" s="135">
        <v>0.68</v>
      </c>
      <c r="K16" s="135">
        <v>24.48</v>
      </c>
      <c r="L16" s="135">
        <v>14.55</v>
      </c>
      <c r="M16" s="135">
        <v>90.29</v>
      </c>
      <c r="N16" s="135">
        <v>709.5</v>
      </c>
      <c r="O16" s="135">
        <v>0</v>
      </c>
      <c r="P16" s="135">
        <v>2.36</v>
      </c>
      <c r="Q16" s="135">
        <v>8.41</v>
      </c>
      <c r="R16" s="194"/>
      <c r="S16" s="194"/>
      <c r="T16" s="194"/>
      <c r="U16" s="194"/>
    </row>
    <row r="17" spans="1:21" s="12" customFormat="1" ht="15">
      <c r="A17" s="207" t="s">
        <v>540</v>
      </c>
      <c r="B17" s="135">
        <v>1.20</v>
      </c>
      <c r="C17" s="135">
        <v>14.54</v>
      </c>
      <c r="D17" s="135">
        <v>15.75</v>
      </c>
      <c r="E17" s="135">
        <v>8.24</v>
      </c>
      <c r="F17" s="135">
        <v>0.78</v>
      </c>
      <c r="G17" s="208" t="s">
        <v>36</v>
      </c>
      <c r="H17" s="135">
        <v>7.27</v>
      </c>
      <c r="I17" s="135">
        <v>3.98</v>
      </c>
      <c r="J17" s="135">
        <v>0.56000000000000005</v>
      </c>
      <c r="K17" s="135">
        <v>36.53</v>
      </c>
      <c r="L17" s="135">
        <v>14.98</v>
      </c>
      <c r="M17" s="135">
        <v>90.12</v>
      </c>
      <c r="N17" s="135">
        <v>736.90</v>
      </c>
      <c r="O17" s="135">
        <v>0</v>
      </c>
      <c r="P17" s="135">
        <v>2.35</v>
      </c>
      <c r="Q17" s="135">
        <v>7.03</v>
      </c>
      <c r="R17" s="194"/>
      <c r="S17" s="194"/>
      <c r="T17" s="194"/>
      <c r="U17" s="194"/>
    </row>
    <row r="18" spans="1:21" s="12" customFormat="1" ht="15">
      <c r="A18" s="207" t="s">
        <v>541</v>
      </c>
      <c r="B18" s="135">
        <v>1.1599999999999999</v>
      </c>
      <c r="C18" s="135">
        <v>14.36</v>
      </c>
      <c r="D18" s="135">
        <v>15.53</v>
      </c>
      <c r="E18" s="135">
        <v>8.40</v>
      </c>
      <c r="F18" s="135">
        <v>0.80</v>
      </c>
      <c r="G18" s="208" t="s">
        <v>36</v>
      </c>
      <c r="H18" s="135">
        <v>11.01</v>
      </c>
      <c r="I18" s="135">
        <v>3.89</v>
      </c>
      <c r="J18" s="135">
        <v>0.81</v>
      </c>
      <c r="K18" s="135">
        <v>43.11</v>
      </c>
      <c r="L18" s="135">
        <v>14.18</v>
      </c>
      <c r="M18" s="135">
        <v>90.31</v>
      </c>
      <c r="N18" s="135">
        <v>729.80</v>
      </c>
      <c r="O18" s="135">
        <v>0</v>
      </c>
      <c r="P18" s="135">
        <v>2.34</v>
      </c>
      <c r="Q18" s="135">
        <v>6.41</v>
      </c>
      <c r="R18" s="194"/>
      <c r="S18" s="194"/>
      <c r="T18" s="194"/>
      <c r="U18" s="194"/>
    </row>
    <row r="19" spans="1:21" s="12" customFormat="1" ht="15">
      <c r="A19" s="207" t="s">
        <v>542</v>
      </c>
      <c r="B19" s="135">
        <v>1.0900000000000001</v>
      </c>
      <c r="C19" s="135">
        <v>14.14</v>
      </c>
      <c r="D19" s="135">
        <v>15.24</v>
      </c>
      <c r="E19" s="135">
        <v>8.32</v>
      </c>
      <c r="F19" s="135">
        <v>0.63</v>
      </c>
      <c r="G19" s="208" t="s">
        <v>36</v>
      </c>
      <c r="H19" s="135">
        <v>11.01</v>
      </c>
      <c r="I19" s="135">
        <v>3.75</v>
      </c>
      <c r="J19" s="135">
        <v>0.96</v>
      </c>
      <c r="K19" s="135">
        <v>255.72</v>
      </c>
      <c r="L19" s="135">
        <v>14.36</v>
      </c>
      <c r="M19" s="135">
        <v>90.79</v>
      </c>
      <c r="N19" s="135">
        <v>706.20</v>
      </c>
      <c r="O19" s="135">
        <v>0</v>
      </c>
      <c r="P19" s="135">
        <v>2.33</v>
      </c>
      <c r="Q19" s="135">
        <v>6.01</v>
      </c>
      <c r="R19" s="194"/>
      <c r="S19" s="194"/>
      <c r="T19" s="194"/>
      <c r="U19" s="194"/>
    </row>
    <row r="20" spans="1:21" s="12" customFormat="1" ht="15">
      <c r="A20" s="207" t="s">
        <v>543</v>
      </c>
      <c r="B20" s="135">
        <v>1.1299999999999999</v>
      </c>
      <c r="C20" s="135">
        <v>13.93</v>
      </c>
      <c r="D20" s="135">
        <v>15.06</v>
      </c>
      <c r="E20" s="135">
        <v>8.0500000000000007</v>
      </c>
      <c r="F20" s="135">
        <v>0.45</v>
      </c>
      <c r="G20" s="208" t="s">
        <v>36</v>
      </c>
      <c r="H20" s="135">
        <v>11.01</v>
      </c>
      <c r="I20" s="135">
        <v>3.62</v>
      </c>
      <c r="J20" s="135">
        <v>0.81</v>
      </c>
      <c r="K20" s="135">
        <v>210.38</v>
      </c>
      <c r="L20" s="135">
        <v>14.33</v>
      </c>
      <c r="M20" s="135">
        <v>91.46</v>
      </c>
      <c r="N20" s="135">
        <v>747.30</v>
      </c>
      <c r="O20" s="135">
        <v>0</v>
      </c>
      <c r="P20" s="135">
        <v>2.3199999999999998</v>
      </c>
      <c r="Q20" s="135">
        <v>5.79</v>
      </c>
      <c r="R20" s="194"/>
      <c r="S20" s="194"/>
      <c r="T20" s="194"/>
      <c r="U20" s="194"/>
    </row>
    <row r="21" spans="1:21" s="12" customFormat="1" ht="15">
      <c r="A21" s="207" t="s">
        <v>544</v>
      </c>
      <c r="B21" s="135">
        <v>1.19</v>
      </c>
      <c r="C21" s="135">
        <v>14.42</v>
      </c>
      <c r="D21" s="135">
        <v>15.61</v>
      </c>
      <c r="E21" s="135">
        <v>8.17</v>
      </c>
      <c r="F21" s="135">
        <v>0.51</v>
      </c>
      <c r="G21" s="208" t="s">
        <v>36</v>
      </c>
      <c r="H21" s="135">
        <v>10.23</v>
      </c>
      <c r="I21" s="135">
        <v>3.56</v>
      </c>
      <c r="J21" s="135">
        <v>0.65</v>
      </c>
      <c r="K21" s="135">
        <v>238.87</v>
      </c>
      <c r="L21" s="135">
        <v>15.23</v>
      </c>
      <c r="M21" s="135">
        <v>91.85</v>
      </c>
      <c r="N21" s="135">
        <v>730.30</v>
      </c>
      <c r="O21" s="135">
        <v>0</v>
      </c>
      <c r="P21" s="135">
        <v>2.31</v>
      </c>
      <c r="Q21" s="135">
        <v>5.98</v>
      </c>
      <c r="R21" s="194"/>
      <c r="S21" s="194"/>
      <c r="T21" s="194"/>
      <c r="U21" s="194"/>
    </row>
    <row r="22" spans="1:21" s="12" customFormat="1" ht="15">
      <c r="A22" s="207" t="s">
        <v>545</v>
      </c>
      <c r="B22" s="135">
        <v>1.1000000000000001</v>
      </c>
      <c r="C22" s="135">
        <v>14.82</v>
      </c>
      <c r="D22" s="135">
        <v>15.92</v>
      </c>
      <c r="E22" s="135">
        <v>7.81</v>
      </c>
      <c r="F22" s="135">
        <v>0.68</v>
      </c>
      <c r="G22" s="208" t="s">
        <v>36</v>
      </c>
      <c r="H22" s="135">
        <v>8.34</v>
      </c>
      <c r="I22" s="135">
        <v>3.44</v>
      </c>
      <c r="J22" s="135">
        <v>0.38</v>
      </c>
      <c r="K22" s="135">
        <v>94.41</v>
      </c>
      <c r="L22" s="135">
        <v>15.64</v>
      </c>
      <c r="M22" s="135">
        <v>92.39</v>
      </c>
      <c r="N22" s="135">
        <v>704.30</v>
      </c>
      <c r="O22" s="135">
        <v>0</v>
      </c>
      <c r="P22" s="135">
        <v>2.2999999999999998</v>
      </c>
      <c r="Q22" s="135">
        <v>6.81</v>
      </c>
      <c r="R22" s="194"/>
      <c r="S22" s="194"/>
      <c r="T22" s="194"/>
      <c r="U22" s="194"/>
    </row>
    <row r="23" spans="1:21" s="12" customFormat="1" ht="15">
      <c r="A23" s="207" t="s">
        <v>546</v>
      </c>
      <c r="B23" s="135">
        <v>1.1000000000000001</v>
      </c>
      <c r="C23" s="135">
        <v>15.20</v>
      </c>
      <c r="D23" s="135">
        <v>16.30</v>
      </c>
      <c r="E23" s="135">
        <v>7.54</v>
      </c>
      <c r="F23" s="135">
        <v>0.64</v>
      </c>
      <c r="G23" s="208" t="s">
        <v>36</v>
      </c>
      <c r="H23" s="135">
        <v>8.34</v>
      </c>
      <c r="I23" s="135">
        <v>3.57</v>
      </c>
      <c r="J23" s="135">
        <v>0.64</v>
      </c>
      <c r="K23" s="135">
        <v>227.94</v>
      </c>
      <c r="L23" s="135">
        <v>14.59</v>
      </c>
      <c r="M23" s="135">
        <v>93.06</v>
      </c>
      <c r="N23" s="135">
        <v>707.30</v>
      </c>
      <c r="O23" s="135">
        <v>0</v>
      </c>
      <c r="P23" s="135">
        <v>2.31</v>
      </c>
      <c r="Q23" s="135">
        <v>7.86</v>
      </c>
      <c r="R23" s="194"/>
      <c r="S23" s="194"/>
      <c r="T23" s="194"/>
      <c r="U23" s="194"/>
    </row>
    <row r="24" spans="1:21" s="12" customFormat="1" ht="15">
      <c r="A24" s="207" t="s">
        <v>547</v>
      </c>
      <c r="B24" s="135">
        <v>1.08</v>
      </c>
      <c r="C24" s="135">
        <v>15.44</v>
      </c>
      <c r="D24" s="135">
        <v>16.52</v>
      </c>
      <c r="E24" s="135">
        <v>4.05</v>
      </c>
      <c r="F24" s="135">
        <v>0.53</v>
      </c>
      <c r="G24" s="208" t="s">
        <v>36</v>
      </c>
      <c r="H24" s="135">
        <v>8.34</v>
      </c>
      <c r="I24" s="135">
        <v>3.51</v>
      </c>
      <c r="J24" s="135">
        <v>0.73</v>
      </c>
      <c r="K24" s="135">
        <v>250.13</v>
      </c>
      <c r="L24" s="135">
        <v>14.80</v>
      </c>
      <c r="M24" s="135">
        <v>94.04</v>
      </c>
      <c r="N24" s="135">
        <v>741.5</v>
      </c>
      <c r="O24" s="135">
        <v>0</v>
      </c>
      <c r="P24" s="135">
        <v>2.2999999999999998</v>
      </c>
      <c r="Q24" s="135">
        <v>8.9499999999999993</v>
      </c>
      <c r="R24" s="194"/>
      <c r="S24" s="194"/>
      <c r="T24" s="194"/>
      <c r="U24" s="194"/>
    </row>
    <row r="25" spans="1:21" s="12" customFormat="1" ht="15">
      <c r="A25" s="207" t="s">
        <v>548</v>
      </c>
      <c r="B25" s="135">
        <v>1.08</v>
      </c>
      <c r="C25" s="135">
        <v>15.74</v>
      </c>
      <c r="D25" s="135">
        <v>16.809999999999999</v>
      </c>
      <c r="E25" s="135">
        <v>7.54</v>
      </c>
      <c r="F25" s="135">
        <v>0.31</v>
      </c>
      <c r="G25" s="208" t="s">
        <v>36</v>
      </c>
      <c r="H25" s="135">
        <v>8.07</v>
      </c>
      <c r="I25" s="135">
        <v>3.51</v>
      </c>
      <c r="J25" s="135">
        <v>0.30</v>
      </c>
      <c r="K25" s="135">
        <v>175.53</v>
      </c>
      <c r="L25" s="135">
        <v>16.05</v>
      </c>
      <c r="M25" s="135">
        <v>95.5</v>
      </c>
      <c r="N25" s="135">
        <v>761</v>
      </c>
      <c r="O25" s="135">
        <v>0.20</v>
      </c>
      <c r="P25" s="135">
        <v>2.2999999999999998</v>
      </c>
      <c r="Q25" s="135">
        <v>10.119999999999999</v>
      </c>
      <c r="R25" s="194"/>
      <c r="S25" s="194"/>
      <c r="T25" s="194"/>
      <c r="U25" s="194"/>
    </row>
    <row r="26" spans="1:21" s="12" customFormat="1" ht="15">
      <c r="A26" s="207" t="s">
        <v>549</v>
      </c>
      <c r="B26" s="135">
        <v>1.07</v>
      </c>
      <c r="C26" s="135">
        <v>16.100000000000001</v>
      </c>
      <c r="D26" s="135">
        <v>17.170000000000002</v>
      </c>
      <c r="E26" s="135">
        <v>7.35</v>
      </c>
      <c r="F26" s="135">
        <v>0.47</v>
      </c>
      <c r="G26" s="208" t="s">
        <v>36</v>
      </c>
      <c r="H26" s="135">
        <v>7.41</v>
      </c>
      <c r="I26" s="135">
        <v>3.55</v>
      </c>
      <c r="J26" s="135">
        <v>1.46</v>
      </c>
      <c r="K26" s="135">
        <v>46.78</v>
      </c>
      <c r="L26" s="135">
        <v>16</v>
      </c>
      <c r="M26" s="135">
        <v>96.03</v>
      </c>
      <c r="N26" s="135">
        <v>790.80</v>
      </c>
      <c r="O26" s="135">
        <v>0</v>
      </c>
      <c r="P26" s="135">
        <v>2.2999999999999998</v>
      </c>
      <c r="Q26" s="135">
        <v>11.02</v>
      </c>
      <c r="R26" s="194"/>
      <c r="S26" s="194"/>
      <c r="T26" s="194"/>
      <c r="U26" s="194"/>
    </row>
    <row r="27" spans="1:21" s="12" customFormat="1" ht="15">
      <c r="A27" s="207" t="s">
        <v>550</v>
      </c>
      <c r="B27" s="135">
        <v>1.1000000000000001</v>
      </c>
      <c r="C27" s="135">
        <v>16.78</v>
      </c>
      <c r="D27" s="135">
        <v>17.89</v>
      </c>
      <c r="E27" s="135">
        <v>7.20</v>
      </c>
      <c r="F27" s="135">
        <v>0.56999999999999995</v>
      </c>
      <c r="G27" s="208" t="s">
        <v>36</v>
      </c>
      <c r="H27" s="135">
        <v>7.41</v>
      </c>
      <c r="I27" s="135">
        <v>3.54</v>
      </c>
      <c r="J27" s="135">
        <v>1.33</v>
      </c>
      <c r="K27" s="135">
        <v>55.93</v>
      </c>
      <c r="L27" s="135">
        <v>15.22</v>
      </c>
      <c r="M27" s="135">
        <v>97.16</v>
      </c>
      <c r="N27" s="135">
        <v>796.90</v>
      </c>
      <c r="O27" s="135">
        <v>0.20</v>
      </c>
      <c r="P27" s="135">
        <v>2.2999999999999998</v>
      </c>
      <c r="Q27" s="135">
        <v>12.15</v>
      </c>
      <c r="R27" s="194"/>
      <c r="S27" s="194"/>
      <c r="T27" s="194"/>
      <c r="U27" s="194"/>
    </row>
    <row r="28" spans="1:21" s="12" customFormat="1" ht="15">
      <c r="A28" s="207" t="s">
        <v>551</v>
      </c>
      <c r="B28" s="135">
        <v>1.46</v>
      </c>
      <c r="C28" s="135">
        <v>17.39</v>
      </c>
      <c r="D28" s="135">
        <v>18.850000000000001</v>
      </c>
      <c r="E28" s="135">
        <v>7.89</v>
      </c>
      <c r="F28" s="135">
        <v>0.79</v>
      </c>
      <c r="G28" s="208" t="s">
        <v>36</v>
      </c>
      <c r="H28" s="135">
        <v>7.41</v>
      </c>
      <c r="I28" s="135">
        <v>3.60</v>
      </c>
      <c r="J28" s="135">
        <v>0.65</v>
      </c>
      <c r="K28" s="135">
        <v>19.96</v>
      </c>
      <c r="L28" s="135">
        <v>15.92</v>
      </c>
      <c r="M28" s="135">
        <v>97.83</v>
      </c>
      <c r="N28" s="135">
        <v>794.60</v>
      </c>
      <c r="O28" s="135">
        <v>0.20</v>
      </c>
      <c r="P28" s="135">
        <v>2.29</v>
      </c>
      <c r="Q28" s="135">
        <v>13.78</v>
      </c>
      <c r="R28" s="194"/>
      <c r="S28" s="194"/>
      <c r="T28" s="194"/>
      <c r="U28" s="194"/>
    </row>
    <row r="29" spans="1:21" s="12" customFormat="1" ht="15">
      <c r="A29" s="207" t="s">
        <v>552</v>
      </c>
      <c r="B29" s="135">
        <v>2.04</v>
      </c>
      <c r="C29" s="135">
        <v>17.98</v>
      </c>
      <c r="D29" s="135">
        <v>20.02</v>
      </c>
      <c r="E29" s="135">
        <v>8.5</v>
      </c>
      <c r="F29" s="135">
        <v>0.54</v>
      </c>
      <c r="G29" s="208" t="s">
        <v>36</v>
      </c>
      <c r="H29" s="135">
        <v>6.78</v>
      </c>
      <c r="I29" s="135">
        <v>3.66</v>
      </c>
      <c r="J29" s="135">
        <v>2.02</v>
      </c>
      <c r="K29" s="135">
        <v>200.71</v>
      </c>
      <c r="L29" s="135">
        <v>16.5</v>
      </c>
      <c r="M29" s="135">
        <v>98.32</v>
      </c>
      <c r="N29" s="135">
        <v>853.80</v>
      </c>
      <c r="O29" s="135">
        <v>0.20</v>
      </c>
      <c r="P29" s="135">
        <v>2.2999999999999998</v>
      </c>
      <c r="Q29" s="135">
        <v>15.32</v>
      </c>
      <c r="R29" s="194"/>
      <c r="S29" s="194"/>
      <c r="T29" s="194"/>
      <c r="U29" s="194"/>
    </row>
    <row r="30" spans="1:21" s="12" customFormat="1" ht="15">
      <c r="A30" s="207" t="s">
        <v>553</v>
      </c>
      <c r="B30" s="135">
        <v>2.10</v>
      </c>
      <c r="C30" s="135">
        <v>18.309999999999999</v>
      </c>
      <c r="D30" s="135">
        <v>20.41</v>
      </c>
      <c r="E30" s="135">
        <v>8.4700000000000006</v>
      </c>
      <c r="F30" s="135">
        <v>0.43</v>
      </c>
      <c r="G30" s="208" t="s">
        <v>36</v>
      </c>
      <c r="H30" s="135">
        <v>5.24</v>
      </c>
      <c r="I30" s="135">
        <v>3.74</v>
      </c>
      <c r="J30" s="135">
        <v>0.16</v>
      </c>
      <c r="K30" s="135">
        <v>253.51</v>
      </c>
      <c r="L30" s="135">
        <v>17.21</v>
      </c>
      <c r="M30" s="135">
        <v>98.98</v>
      </c>
      <c r="N30" s="135">
        <v>850.40</v>
      </c>
      <c r="O30" s="135">
        <v>0.80</v>
      </c>
      <c r="P30" s="135">
        <v>2.2999999999999998</v>
      </c>
      <c r="Q30" s="135">
        <v>16.5</v>
      </c>
      <c r="R30" s="194"/>
      <c r="S30" s="194"/>
      <c r="T30" s="194"/>
      <c r="U30" s="194"/>
    </row>
    <row r="31" spans="1:21" s="12" customFormat="1" ht="15">
      <c r="A31" s="207" t="s">
        <v>554</v>
      </c>
      <c r="B31" s="135">
        <v>2.23</v>
      </c>
      <c r="C31" s="135">
        <v>16.829999999999998</v>
      </c>
      <c r="D31" s="135">
        <v>19.059999999999999</v>
      </c>
      <c r="E31" s="135">
        <v>8.5299999999999994</v>
      </c>
      <c r="F31" s="135">
        <v>1.90</v>
      </c>
      <c r="G31" s="208" t="s">
        <v>36</v>
      </c>
      <c r="H31" s="135">
        <v>5.24</v>
      </c>
      <c r="I31" s="135">
        <v>3.80</v>
      </c>
      <c r="J31" s="135">
        <v>0.81</v>
      </c>
      <c r="K31" s="135">
        <v>358.05</v>
      </c>
      <c r="L31" s="135">
        <v>18.21</v>
      </c>
      <c r="M31" s="135">
        <v>99.17</v>
      </c>
      <c r="N31" s="135">
        <v>875.30</v>
      </c>
      <c r="O31" s="135">
        <v>0.40</v>
      </c>
      <c r="P31" s="135">
        <v>2.27</v>
      </c>
      <c r="Q31" s="135">
        <v>16.97</v>
      </c>
      <c r="R31" s="194"/>
      <c r="S31" s="194"/>
      <c r="T31" s="194"/>
      <c r="U31" s="194"/>
    </row>
    <row r="32" spans="1:21" s="12" customFormat="1" ht="15">
      <c r="A32" s="207" t="s">
        <v>555</v>
      </c>
      <c r="B32" s="135">
        <v>2.4700000000000002</v>
      </c>
      <c r="C32" s="135">
        <v>13.88</v>
      </c>
      <c r="D32" s="135">
        <v>16.350000000000001</v>
      </c>
      <c r="E32" s="135">
        <v>8.36</v>
      </c>
      <c r="F32" s="135">
        <v>2.27</v>
      </c>
      <c r="G32" s="208" t="s">
        <v>36</v>
      </c>
      <c r="H32" s="135">
        <v>5.24</v>
      </c>
      <c r="I32" s="135">
        <v>3.85</v>
      </c>
      <c r="J32" s="135">
        <v>0.85</v>
      </c>
      <c r="K32" s="135">
        <v>348.59</v>
      </c>
      <c r="L32" s="135">
        <v>16.309999999999999</v>
      </c>
      <c r="M32" s="135">
        <v>99.26</v>
      </c>
      <c r="N32" s="135">
        <v>864.5</v>
      </c>
      <c r="O32" s="135">
        <v>0.60</v>
      </c>
      <c r="P32" s="135">
        <v>2.27</v>
      </c>
      <c r="Q32" s="135">
        <v>14.38</v>
      </c>
      <c r="R32" s="194"/>
      <c r="S32" s="194"/>
      <c r="T32" s="194"/>
      <c r="U32" s="194"/>
    </row>
    <row r="33" spans="1:21" s="12" customFormat="1" ht="15">
      <c r="A33" s="207" t="s">
        <v>556</v>
      </c>
      <c r="B33" s="135">
        <v>2.79</v>
      </c>
      <c r="C33" s="135">
        <v>14.14</v>
      </c>
      <c r="D33" s="135">
        <v>16.920000000000002</v>
      </c>
      <c r="E33" s="135">
        <v>8.42</v>
      </c>
      <c r="F33" s="135">
        <v>0.93</v>
      </c>
      <c r="G33" s="208" t="s">
        <v>36</v>
      </c>
      <c r="H33" s="135">
        <v>5.0199999999999996</v>
      </c>
      <c r="I33" s="135">
        <v>3.45</v>
      </c>
      <c r="J33" s="135">
        <v>1.89</v>
      </c>
      <c r="K33" s="135">
        <v>36.10</v>
      </c>
      <c r="L33" s="135">
        <v>17.02</v>
      </c>
      <c r="M33" s="135">
        <v>99.23</v>
      </c>
      <c r="N33" s="135">
        <v>897.40</v>
      </c>
      <c r="O33" s="135">
        <v>0.60</v>
      </c>
      <c r="P33" s="135">
        <v>2.29</v>
      </c>
      <c r="Q33" s="135">
        <v>10.46</v>
      </c>
      <c r="R33" s="194"/>
      <c r="S33" s="194"/>
      <c r="T33" s="194"/>
      <c r="U33" s="194"/>
    </row>
    <row r="34" spans="1:21" s="12" customFormat="1" ht="15">
      <c r="A34" s="207" t="s">
        <v>557</v>
      </c>
      <c r="B34" s="135">
        <v>3.06</v>
      </c>
      <c r="C34" s="135">
        <v>14.75</v>
      </c>
      <c r="D34" s="135">
        <v>17.80</v>
      </c>
      <c r="E34" s="135">
        <v>8.42</v>
      </c>
      <c r="F34" s="135">
        <v>0.60</v>
      </c>
      <c r="G34" s="208" t="s">
        <v>36</v>
      </c>
      <c r="H34" s="135">
        <v>4.4800000000000004</v>
      </c>
      <c r="I34" s="135">
        <v>3.27</v>
      </c>
      <c r="J34" s="135">
        <v>0.27</v>
      </c>
      <c r="K34" s="135">
        <v>14.37</v>
      </c>
      <c r="L34" s="135">
        <v>16.54</v>
      </c>
      <c r="M34" s="135">
        <v>99.24</v>
      </c>
      <c r="N34" s="135">
        <v>903.60</v>
      </c>
      <c r="O34" s="135">
        <v>1</v>
      </c>
      <c r="P34" s="135">
        <v>2.29</v>
      </c>
      <c r="Q34" s="135">
        <v>8.3800000000000008</v>
      </c>
      <c r="R34" s="194"/>
      <c r="S34" s="194"/>
      <c r="T34" s="194"/>
      <c r="U34" s="194"/>
    </row>
    <row r="35" spans="1:21" s="12" customFormat="1" ht="15">
      <c r="A35" s="207" t="s">
        <v>558</v>
      </c>
      <c r="B35" s="135">
        <v>3.58</v>
      </c>
      <c r="C35" s="135">
        <v>15.20</v>
      </c>
      <c r="D35" s="135">
        <v>18.77</v>
      </c>
      <c r="E35" s="135">
        <v>8.5500000000000007</v>
      </c>
      <c r="F35" s="135">
        <v>0.30</v>
      </c>
      <c r="G35" s="208" t="s">
        <v>36</v>
      </c>
      <c r="H35" s="135">
        <v>4.4800000000000004</v>
      </c>
      <c r="I35" s="135">
        <v>3.30</v>
      </c>
      <c r="J35" s="135">
        <v>0.61</v>
      </c>
      <c r="K35" s="135">
        <v>10.47</v>
      </c>
      <c r="L35" s="135">
        <v>16.739999999999998</v>
      </c>
      <c r="M35" s="135">
        <v>99.28</v>
      </c>
      <c r="N35" s="135">
        <v>837.90</v>
      </c>
      <c r="O35" s="135">
        <v>0.20</v>
      </c>
      <c r="P35" s="135">
        <v>2.29</v>
      </c>
      <c r="Q35" s="135">
        <v>7.61</v>
      </c>
      <c r="R35" s="194"/>
      <c r="S35" s="194"/>
      <c r="T35" s="194"/>
      <c r="U35" s="194"/>
    </row>
    <row r="36" spans="1:21" s="12" customFormat="1" ht="15">
      <c r="A36" s="207" t="s">
        <v>559</v>
      </c>
      <c r="B36" s="135">
        <v>4.45</v>
      </c>
      <c r="C36" s="135">
        <v>15.36</v>
      </c>
      <c r="D36" s="135">
        <v>19.82</v>
      </c>
      <c r="E36" s="135">
        <v>8.43</v>
      </c>
      <c r="F36" s="135">
        <v>0.31</v>
      </c>
      <c r="G36" s="208" t="s">
        <v>36</v>
      </c>
      <c r="H36" s="135">
        <v>4.4800000000000004</v>
      </c>
      <c r="I36" s="135">
        <v>3.22</v>
      </c>
      <c r="J36" s="135">
        <v>1.27</v>
      </c>
      <c r="K36" s="135">
        <v>42.29</v>
      </c>
      <c r="L36" s="135">
        <v>17.739999999999998</v>
      </c>
      <c r="M36" s="135">
        <v>99.27</v>
      </c>
      <c r="N36" s="135">
        <v>805.10</v>
      </c>
      <c r="O36" s="135">
        <v>0.40</v>
      </c>
      <c r="P36" s="135">
        <v>2.2999999999999998</v>
      </c>
      <c r="Q36" s="135">
        <v>7.52</v>
      </c>
      <c r="R36" s="194"/>
      <c r="S36" s="194"/>
      <c r="T36" s="194"/>
      <c r="U36" s="194"/>
    </row>
    <row r="37" spans="1:21" s="12" customFormat="1" ht="15">
      <c r="A37" s="207" t="s">
        <v>560</v>
      </c>
      <c r="B37" s="135">
        <v>5.13</v>
      </c>
      <c r="C37" s="135">
        <v>15.44</v>
      </c>
      <c r="D37" s="135">
        <v>20.58</v>
      </c>
      <c r="E37" s="135">
        <v>8.32</v>
      </c>
      <c r="F37" s="135">
        <v>0.06</v>
      </c>
      <c r="G37" s="208" t="s">
        <v>36</v>
      </c>
      <c r="H37" s="135">
        <v>4.88</v>
      </c>
      <c r="I37" s="135">
        <v>3.35</v>
      </c>
      <c r="J37" s="135">
        <v>0.43</v>
      </c>
      <c r="K37" s="135">
        <v>189.12</v>
      </c>
      <c r="L37" s="135">
        <v>20.010000000000002</v>
      </c>
      <c r="M37" s="135">
        <v>99.27</v>
      </c>
      <c r="N37" s="135">
        <v>810.90</v>
      </c>
      <c r="O37" s="135">
        <v>0.20</v>
      </c>
      <c r="P37" s="135">
        <v>2.31</v>
      </c>
      <c r="Q37" s="135">
        <v>7.48</v>
      </c>
      <c r="R37" s="194"/>
      <c r="S37" s="194"/>
      <c r="T37" s="194"/>
      <c r="U37" s="194"/>
    </row>
    <row r="38" spans="1:21" s="12" customFormat="1" ht="15">
      <c r="A38" s="207" t="s">
        <v>561</v>
      </c>
      <c r="B38" s="135">
        <v>5.45</v>
      </c>
      <c r="C38" s="135">
        <v>15.51</v>
      </c>
      <c r="D38" s="135">
        <v>20.96</v>
      </c>
      <c r="E38" s="135">
        <v>8.2200000000000006</v>
      </c>
      <c r="F38" s="135">
        <v>0.09</v>
      </c>
      <c r="G38" s="208" t="s">
        <v>36</v>
      </c>
      <c r="H38" s="135">
        <v>5.87</v>
      </c>
      <c r="I38" s="135">
        <v>3.46</v>
      </c>
      <c r="J38" s="135">
        <v>0.51</v>
      </c>
      <c r="K38" s="135">
        <v>79.430000000000007</v>
      </c>
      <c r="L38" s="135">
        <v>20.13</v>
      </c>
      <c r="M38" s="135">
        <v>99.31</v>
      </c>
      <c r="N38" s="135">
        <v>808.5</v>
      </c>
      <c r="O38" s="135">
        <v>0.40</v>
      </c>
      <c r="P38" s="135">
        <v>2.3199999999999998</v>
      </c>
      <c r="Q38" s="135">
        <v>7.46</v>
      </c>
      <c r="R38" s="194"/>
      <c r="S38" s="194"/>
      <c r="T38" s="194"/>
      <c r="U38" s="194"/>
    </row>
    <row r="39" spans="1:21" s="12" customFormat="1" ht="15">
      <c r="A39" s="207" t="s">
        <v>562</v>
      </c>
      <c r="B39" s="135">
        <v>6.09</v>
      </c>
      <c r="C39" s="135">
        <v>16.53</v>
      </c>
      <c r="D39" s="135">
        <v>22.62</v>
      </c>
      <c r="E39" s="135">
        <v>8.5299999999999994</v>
      </c>
      <c r="F39" s="135">
        <v>0.14000000000000001</v>
      </c>
      <c r="G39" s="208" t="s">
        <v>36</v>
      </c>
      <c r="H39" s="135">
        <v>5.87</v>
      </c>
      <c r="I39" s="135">
        <v>3.49</v>
      </c>
      <c r="J39" s="135">
        <v>2.72</v>
      </c>
      <c r="K39" s="135">
        <v>324.89</v>
      </c>
      <c r="L39" s="135">
        <v>21.60</v>
      </c>
      <c r="M39" s="135">
        <v>99.31</v>
      </c>
      <c r="N39" s="135">
        <v>827.90</v>
      </c>
      <c r="O39" s="135">
        <v>0.20</v>
      </c>
      <c r="P39" s="135">
        <v>2.35</v>
      </c>
      <c r="Q39" s="135">
        <v>8.0500000000000007</v>
      </c>
      <c r="R39" s="194"/>
      <c r="S39" s="194"/>
      <c r="T39" s="194"/>
      <c r="U39" s="194"/>
    </row>
    <row r="40" spans="1:21" s="12" customFormat="1" ht="15">
      <c r="A40" s="207" t="s">
        <v>563</v>
      </c>
      <c r="B40" s="135">
        <v>6.5</v>
      </c>
      <c r="C40" s="135">
        <v>17.59</v>
      </c>
      <c r="D40" s="135">
        <v>24.09</v>
      </c>
      <c r="E40" s="135">
        <v>4.28</v>
      </c>
      <c r="F40" s="135">
        <v>0.21</v>
      </c>
      <c r="G40" s="208" t="s">
        <v>36</v>
      </c>
      <c r="H40" s="135">
        <v>5.87</v>
      </c>
      <c r="I40" s="135">
        <v>3.60</v>
      </c>
      <c r="J40" s="135">
        <v>0.98</v>
      </c>
      <c r="K40" s="135">
        <v>11.31</v>
      </c>
      <c r="L40" s="135">
        <v>22.49</v>
      </c>
      <c r="M40" s="135">
        <v>99.28</v>
      </c>
      <c r="N40" s="135">
        <v>892.90</v>
      </c>
      <c r="O40" s="135">
        <v>0</v>
      </c>
      <c r="P40" s="135">
        <v>2.36</v>
      </c>
      <c r="Q40" s="135">
        <v>9.1999999999999993</v>
      </c>
      <c r="R40" s="194"/>
      <c r="S40" s="194"/>
      <c r="T40" s="194"/>
      <c r="U40" s="194"/>
    </row>
    <row r="41" spans="1:21" s="12" customFormat="1" ht="15">
      <c r="A41" s="207" t="s">
        <v>564</v>
      </c>
      <c r="B41" s="135">
        <v>6.46</v>
      </c>
      <c r="C41" s="135">
        <v>18.45</v>
      </c>
      <c r="D41" s="135">
        <v>24.91</v>
      </c>
      <c r="E41" s="135">
        <v>7.61</v>
      </c>
      <c r="F41" s="135">
        <v>0.28999999999999998</v>
      </c>
      <c r="G41" s="208" t="s">
        <v>36</v>
      </c>
      <c r="H41" s="135">
        <v>5.45</v>
      </c>
      <c r="I41" s="135">
        <v>3.82</v>
      </c>
      <c r="J41" s="135">
        <v>0.93</v>
      </c>
      <c r="K41" s="135">
        <v>220.91</v>
      </c>
      <c r="L41" s="135">
        <v>23.30</v>
      </c>
      <c r="M41" s="135">
        <v>99.26</v>
      </c>
      <c r="N41" s="135">
        <v>890.60</v>
      </c>
      <c r="O41" s="135">
        <v>0.20</v>
      </c>
      <c r="P41" s="135">
        <v>2.38</v>
      </c>
      <c r="Q41" s="135">
        <v>10.43</v>
      </c>
      <c r="R41" s="194"/>
      <c r="S41" s="194"/>
      <c r="T41" s="194"/>
      <c r="U41" s="194"/>
    </row>
    <row r="42" spans="1:21" s="12" customFormat="1" ht="15">
      <c r="A42" s="207" t="s">
        <v>565</v>
      </c>
      <c r="B42" s="135">
        <v>6.19</v>
      </c>
      <c r="C42" s="135">
        <v>18.96</v>
      </c>
      <c r="D42" s="135">
        <v>25.15</v>
      </c>
      <c r="E42" s="135">
        <v>7.47</v>
      </c>
      <c r="F42" s="135">
        <v>0.14000000000000001</v>
      </c>
      <c r="G42" s="208" t="s">
        <v>36</v>
      </c>
      <c r="H42" s="135">
        <v>4.41</v>
      </c>
      <c r="I42" s="135">
        <v>3.89</v>
      </c>
      <c r="J42" s="135">
        <v>1.43</v>
      </c>
      <c r="K42" s="135">
        <v>226.58</v>
      </c>
      <c r="L42" s="135">
        <v>20.58</v>
      </c>
      <c r="M42" s="135">
        <v>99.28</v>
      </c>
      <c r="N42" s="135">
        <v>480.30</v>
      </c>
      <c r="O42" s="135">
        <v>0.20</v>
      </c>
      <c r="P42" s="135">
        <v>2.41</v>
      </c>
      <c r="Q42" s="135">
        <v>11.48</v>
      </c>
      <c r="R42" s="194"/>
      <c r="S42" s="194"/>
      <c r="T42" s="194"/>
      <c r="U42" s="194"/>
    </row>
    <row r="43" spans="1:21" s="12" customFormat="1" ht="15">
      <c r="A43" s="207" t="s">
        <v>566</v>
      </c>
      <c r="B43" s="135">
        <v>6.37</v>
      </c>
      <c r="C43" s="135">
        <v>19.510000000000002</v>
      </c>
      <c r="D43" s="135">
        <v>25.88</v>
      </c>
      <c r="E43" s="135">
        <v>7.91</v>
      </c>
      <c r="F43" s="135">
        <v>0.05</v>
      </c>
      <c r="G43" s="208" t="s">
        <v>36</v>
      </c>
      <c r="H43" s="135">
        <v>4.41</v>
      </c>
      <c r="I43" s="135">
        <v>3.97</v>
      </c>
      <c r="J43" s="135">
        <v>0.79</v>
      </c>
      <c r="K43" s="135">
        <v>13.68</v>
      </c>
      <c r="L43" s="135">
        <v>14.91</v>
      </c>
      <c r="M43" s="135">
        <v>99.28</v>
      </c>
      <c r="N43" s="135">
        <v>605.70000000000005</v>
      </c>
      <c r="O43" s="135">
        <v>0.20</v>
      </c>
      <c r="P43" s="135">
        <v>2.41</v>
      </c>
      <c r="Q43" s="135">
        <v>12.71</v>
      </c>
      <c r="R43" s="194"/>
      <c r="S43" s="194"/>
      <c r="T43" s="194"/>
      <c r="U43" s="194"/>
    </row>
    <row r="44" spans="1:21" s="12" customFormat="1" ht="15">
      <c r="A44" s="207" t="s">
        <v>567</v>
      </c>
      <c r="B44" s="135">
        <v>6.99</v>
      </c>
      <c r="C44" s="135">
        <v>20.25</v>
      </c>
      <c r="D44" s="135">
        <v>27.24</v>
      </c>
      <c r="E44" s="135">
        <v>7.91</v>
      </c>
      <c r="F44" s="135">
        <v>0.19</v>
      </c>
      <c r="G44" s="208" t="s">
        <v>36</v>
      </c>
      <c r="H44" s="135">
        <v>4.41</v>
      </c>
      <c r="I44" s="135">
        <v>4.09</v>
      </c>
      <c r="J44" s="135">
        <v>1.49</v>
      </c>
      <c r="K44" s="135">
        <v>8.0399999999999991</v>
      </c>
      <c r="L44" s="135">
        <v>14.16</v>
      </c>
      <c r="M44" s="135">
        <v>99.27</v>
      </c>
      <c r="N44" s="135">
        <v>664.30</v>
      </c>
      <c r="O44" s="135">
        <v>0</v>
      </c>
      <c r="P44" s="135">
        <v>2.44</v>
      </c>
      <c r="Q44" s="135">
        <v>14.34</v>
      </c>
      <c r="R44" s="194"/>
      <c r="S44" s="194"/>
      <c r="T44" s="194"/>
      <c r="U44" s="194"/>
    </row>
    <row r="45" spans="1:21" s="12" customFormat="1" ht="15">
      <c r="A45" s="207" t="s">
        <v>568</v>
      </c>
      <c r="B45" s="135">
        <v>7.58</v>
      </c>
      <c r="C45" s="135">
        <v>20.91</v>
      </c>
      <c r="D45" s="135">
        <v>28.49</v>
      </c>
      <c r="E45" s="135">
        <v>7.82</v>
      </c>
      <c r="F45" s="135">
        <v>0.070000000000000007</v>
      </c>
      <c r="G45" s="208" t="s">
        <v>36</v>
      </c>
      <c r="H45" s="135">
        <v>5.67</v>
      </c>
      <c r="I45" s="135">
        <v>4.28</v>
      </c>
      <c r="J45" s="135">
        <v>0.98</v>
      </c>
      <c r="K45" s="135">
        <v>8.8699999999999992</v>
      </c>
      <c r="L45" s="135">
        <v>16.690000000000001</v>
      </c>
      <c r="M45" s="135">
        <v>99.18</v>
      </c>
      <c r="N45" s="135">
        <v>660</v>
      </c>
      <c r="O45" s="135">
        <v>0.20</v>
      </c>
      <c r="P45" s="135">
        <v>2.4700000000000002</v>
      </c>
      <c r="Q45" s="135">
        <v>16.41</v>
      </c>
      <c r="R45" s="194"/>
      <c r="S45" s="194"/>
      <c r="T45" s="194"/>
      <c r="U45" s="194"/>
    </row>
    <row r="46" spans="1:21" s="12" customFormat="1" ht="15">
      <c r="A46" s="207" t="s">
        <v>569</v>
      </c>
      <c r="B46" s="135">
        <v>8.34</v>
      </c>
      <c r="C46" s="135">
        <v>21.51</v>
      </c>
      <c r="D46" s="135">
        <v>29.86</v>
      </c>
      <c r="E46" s="135">
        <v>9.0399999999999991</v>
      </c>
      <c r="F46" s="135">
        <v>0.19</v>
      </c>
      <c r="G46" s="208" t="s">
        <v>36</v>
      </c>
      <c r="H46" s="135">
        <v>8.7899999999999991</v>
      </c>
      <c r="I46" s="135">
        <v>4.5</v>
      </c>
      <c r="J46" s="135">
        <v>0.69</v>
      </c>
      <c r="K46" s="135">
        <v>10.51</v>
      </c>
      <c r="L46" s="135">
        <v>17.45</v>
      </c>
      <c r="M46" s="135">
        <v>99.23</v>
      </c>
      <c r="N46" s="135">
        <v>675.30</v>
      </c>
      <c r="O46" s="135">
        <v>0.20</v>
      </c>
      <c r="P46" s="135">
        <v>2.5</v>
      </c>
      <c r="Q46" s="135">
        <v>17.420000000000002</v>
      </c>
      <c r="R46" s="194"/>
      <c r="S46" s="194"/>
      <c r="T46" s="194"/>
      <c r="U46" s="194"/>
    </row>
    <row r="47" spans="1:21" s="12" customFormat="1" ht="15">
      <c r="A47" s="207" t="s">
        <v>570</v>
      </c>
      <c r="B47" s="135">
        <v>9.26</v>
      </c>
      <c r="C47" s="135">
        <v>22.08</v>
      </c>
      <c r="D47" s="135">
        <v>31.34</v>
      </c>
      <c r="E47" s="135">
        <v>9.15</v>
      </c>
      <c r="F47" s="135">
        <v>0.27</v>
      </c>
      <c r="G47" s="208" t="s">
        <v>36</v>
      </c>
      <c r="H47" s="135">
        <v>8.7899999999999991</v>
      </c>
      <c r="I47" s="135">
        <v>4.7300000000000004</v>
      </c>
      <c r="J47" s="135">
        <v>0.41</v>
      </c>
      <c r="K47" s="135">
        <v>13.64</v>
      </c>
      <c r="L47" s="135">
        <v>17.45</v>
      </c>
      <c r="M47" s="135">
        <v>99.25</v>
      </c>
      <c r="N47" s="135">
        <v>699.5</v>
      </c>
      <c r="O47" s="135">
        <v>0.40</v>
      </c>
      <c r="P47" s="135">
        <v>2.5299999999999998</v>
      </c>
      <c r="Q47" s="135">
        <v>19.03</v>
      </c>
      <c r="R47" s="194"/>
      <c r="S47" s="194"/>
      <c r="T47" s="194"/>
      <c r="U47" s="194"/>
    </row>
    <row r="48" spans="1:21" s="12" customFormat="1" ht="15">
      <c r="A48" s="207" t="s">
        <v>571</v>
      </c>
      <c r="B48" s="135">
        <v>10.30</v>
      </c>
      <c r="C48" s="135">
        <v>22.87</v>
      </c>
      <c r="D48" s="135">
        <v>33.159999999999997</v>
      </c>
      <c r="E48" s="135">
        <v>9.32</v>
      </c>
      <c r="F48" s="135">
        <v>0.19</v>
      </c>
      <c r="G48" s="208" t="s">
        <v>36</v>
      </c>
      <c r="H48" s="135">
        <v>8.7899999999999991</v>
      </c>
      <c r="I48" s="135">
        <v>5.01</v>
      </c>
      <c r="J48" s="135">
        <v>0.56000000000000005</v>
      </c>
      <c r="K48" s="135">
        <v>26.77</v>
      </c>
      <c r="L48" s="135">
        <v>18.190000000000001</v>
      </c>
      <c r="M48" s="135">
        <v>99.28</v>
      </c>
      <c r="N48" s="135">
        <v>724.90</v>
      </c>
      <c r="O48" s="135">
        <v>0.40</v>
      </c>
      <c r="P48" s="135">
        <v>2.56</v>
      </c>
      <c r="Q48" s="135">
        <v>20.65</v>
      </c>
      <c r="R48" s="194"/>
      <c r="S48" s="194"/>
      <c r="T48" s="194"/>
      <c r="U48" s="194"/>
    </row>
    <row r="49" spans="1:21" s="12" customFormat="1" ht="15">
      <c r="A49" s="207" t="s">
        <v>572</v>
      </c>
      <c r="B49" s="135">
        <v>11.46</v>
      </c>
      <c r="C49" s="135">
        <v>19.670000000000002</v>
      </c>
      <c r="D49" s="135">
        <v>31.13</v>
      </c>
      <c r="E49" s="135">
        <v>9.44</v>
      </c>
      <c r="F49" s="135">
        <v>2.14</v>
      </c>
      <c r="G49" s="208" t="s">
        <v>36</v>
      </c>
      <c r="H49" s="135">
        <v>8.25</v>
      </c>
      <c r="I49" s="135">
        <v>5.29</v>
      </c>
      <c r="J49" s="135">
        <v>2.96</v>
      </c>
      <c r="K49" s="135">
        <v>227.97</v>
      </c>
      <c r="L49" s="135">
        <v>19.010000000000002</v>
      </c>
      <c r="M49" s="135">
        <v>99.28</v>
      </c>
      <c r="N49" s="135">
        <v>741</v>
      </c>
      <c r="O49" s="135">
        <v>0.40</v>
      </c>
      <c r="P49" s="135">
        <v>2.5499999999999998</v>
      </c>
      <c r="Q49" s="135">
        <v>21.21</v>
      </c>
      <c r="R49" s="194"/>
      <c r="S49" s="194"/>
      <c r="T49" s="194"/>
      <c r="U49" s="194"/>
    </row>
    <row r="50" spans="1:21" s="12" customFormat="1" ht="15">
      <c r="A50" s="207" t="s">
        <v>573</v>
      </c>
      <c r="B50" s="135">
        <v>11.68</v>
      </c>
      <c r="C50" s="135">
        <v>17.25</v>
      </c>
      <c r="D50" s="135">
        <v>28.92</v>
      </c>
      <c r="E50" s="135">
        <v>9.92</v>
      </c>
      <c r="F50" s="135">
        <v>1.30</v>
      </c>
      <c r="G50" s="208" t="s">
        <v>36</v>
      </c>
      <c r="H50" s="135">
        <v>6.92</v>
      </c>
      <c r="I50" s="135">
        <v>5.44</v>
      </c>
      <c r="J50" s="135">
        <v>0.69</v>
      </c>
      <c r="K50" s="135">
        <v>217.20</v>
      </c>
      <c r="L50" s="135">
        <v>19.170000000000002</v>
      </c>
      <c r="M50" s="135">
        <v>99.26</v>
      </c>
      <c r="N50" s="135">
        <v>826.40</v>
      </c>
      <c r="O50" s="135">
        <v>0.40</v>
      </c>
      <c r="P50" s="135">
        <v>2.57</v>
      </c>
      <c r="Q50" s="135">
        <v>17.14</v>
      </c>
      <c r="R50" s="194"/>
      <c r="S50" s="194"/>
      <c r="T50" s="194"/>
      <c r="U50" s="194"/>
    </row>
    <row r="51" spans="1:21" s="12" customFormat="1" ht="15">
      <c r="A51" s="207" t="s">
        <v>574</v>
      </c>
      <c r="B51" s="135">
        <v>10.54</v>
      </c>
      <c r="C51" s="135">
        <v>17.38</v>
      </c>
      <c r="D51" s="135">
        <v>27.92</v>
      </c>
      <c r="E51" s="135">
        <v>9.02</v>
      </c>
      <c r="F51" s="135">
        <v>0.78</v>
      </c>
      <c r="G51" s="208" t="s">
        <v>36</v>
      </c>
      <c r="H51" s="135">
        <v>6.92</v>
      </c>
      <c r="I51" s="135">
        <v>5.14</v>
      </c>
      <c r="J51" s="135">
        <v>1.25</v>
      </c>
      <c r="K51" s="135">
        <v>185.77</v>
      </c>
      <c r="L51" s="135">
        <v>20.37</v>
      </c>
      <c r="M51" s="135">
        <v>99.22</v>
      </c>
      <c r="N51" s="135">
        <v>759.70</v>
      </c>
      <c r="O51" s="135">
        <v>0.20</v>
      </c>
      <c r="P51" s="135">
        <v>2.54</v>
      </c>
      <c r="Q51" s="135">
        <v>12.95</v>
      </c>
      <c r="R51" s="194"/>
      <c r="S51" s="194"/>
      <c r="T51" s="194"/>
      <c r="U51" s="194"/>
    </row>
    <row r="52" spans="1:21" s="12" customFormat="1" ht="15">
      <c r="A52" s="207" t="s">
        <v>575</v>
      </c>
      <c r="B52" s="135">
        <v>8.83</v>
      </c>
      <c r="C52" s="135">
        <v>18.829999999999998</v>
      </c>
      <c r="D52" s="135">
        <v>27.65</v>
      </c>
      <c r="E52" s="135">
        <v>8.11</v>
      </c>
      <c r="F52" s="135">
        <v>0.16</v>
      </c>
      <c r="G52" s="208" t="s">
        <v>36</v>
      </c>
      <c r="H52" s="135">
        <v>6.92</v>
      </c>
      <c r="I52" s="135">
        <v>5.07</v>
      </c>
      <c r="J52" s="135">
        <v>1.1200000000000001</v>
      </c>
      <c r="K52" s="135">
        <v>198.97</v>
      </c>
      <c r="L52" s="135">
        <v>17.899999999999999</v>
      </c>
      <c r="M52" s="135">
        <v>99.11</v>
      </c>
      <c r="N52" s="135">
        <v>882.5</v>
      </c>
      <c r="O52" s="135">
        <v>0.20</v>
      </c>
      <c r="P52" s="135">
        <v>2.52</v>
      </c>
      <c r="Q52" s="135">
        <v>10.78</v>
      </c>
      <c r="R52" s="194"/>
      <c r="S52" s="194"/>
      <c r="T52" s="194"/>
      <c r="U52" s="194"/>
    </row>
    <row r="53" spans="1:21" s="12" customFormat="1" ht="15">
      <c r="A53" s="207" t="s">
        <v>576</v>
      </c>
      <c r="B53" s="135">
        <v>7.69</v>
      </c>
      <c r="C53" s="135">
        <v>18.329999999999998</v>
      </c>
      <c r="D53" s="135">
        <v>26.03</v>
      </c>
      <c r="E53" s="135">
        <v>7.38</v>
      </c>
      <c r="F53" s="135">
        <v>0.09</v>
      </c>
      <c r="G53" s="208" t="s">
        <v>36</v>
      </c>
      <c r="H53" s="135">
        <v>6.34</v>
      </c>
      <c r="I53" s="135">
        <v>4.8600000000000003</v>
      </c>
      <c r="J53" s="135">
        <v>1.99</v>
      </c>
      <c r="K53" s="135">
        <v>202.66</v>
      </c>
      <c r="L53" s="135">
        <v>15.85</v>
      </c>
      <c r="M53" s="135">
        <v>98.81</v>
      </c>
      <c r="N53" s="135">
        <v>1160.80</v>
      </c>
      <c r="O53" s="135">
        <v>0.20</v>
      </c>
      <c r="P53" s="135">
        <v>2.5099999999999998</v>
      </c>
      <c r="Q53" s="135">
        <v>9.4600000000000009</v>
      </c>
      <c r="R53" s="194"/>
      <c r="S53" s="194"/>
      <c r="T53" s="194"/>
      <c r="U53" s="194"/>
    </row>
    <row r="54" spans="1:21" s="12" customFormat="1" ht="15">
      <c r="A54" s="207" t="s">
        <v>577</v>
      </c>
      <c r="B54" s="135">
        <v>7.44</v>
      </c>
      <c r="C54" s="135">
        <v>16.600000000000001</v>
      </c>
      <c r="D54" s="135">
        <v>24.04</v>
      </c>
      <c r="E54" s="135">
        <v>7.22</v>
      </c>
      <c r="F54" s="135">
        <v>0.40</v>
      </c>
      <c r="G54" s="208" t="s">
        <v>36</v>
      </c>
      <c r="H54" s="135">
        <v>4.92</v>
      </c>
      <c r="I54" s="135">
        <v>4.58</v>
      </c>
      <c r="J54" s="135">
        <v>2.37</v>
      </c>
      <c r="K54" s="135">
        <v>189.66</v>
      </c>
      <c r="L54" s="135">
        <v>15.89</v>
      </c>
      <c r="M54" s="135">
        <v>97.46</v>
      </c>
      <c r="N54" s="135">
        <v>1091.20</v>
      </c>
      <c r="O54" s="135">
        <v>0</v>
      </c>
      <c r="P54" s="135">
        <v>2.5</v>
      </c>
      <c r="Q54" s="135">
        <v>8.6300000000000008</v>
      </c>
      <c r="R54" s="194"/>
      <c r="S54" s="194"/>
      <c r="T54" s="194"/>
      <c r="U54" s="194"/>
    </row>
    <row r="55" spans="1:21" s="12" customFormat="1" ht="15">
      <c r="A55" s="207" t="s">
        <v>578</v>
      </c>
      <c r="B55" s="135">
        <v>7.32</v>
      </c>
      <c r="C55" s="135">
        <v>14.74</v>
      </c>
      <c r="D55" s="135">
        <v>22.05</v>
      </c>
      <c r="E55" s="135">
        <v>7.84</v>
      </c>
      <c r="F55" s="135">
        <v>0.44</v>
      </c>
      <c r="G55" s="208" t="s">
        <v>36</v>
      </c>
      <c r="H55" s="135">
        <v>4.92</v>
      </c>
      <c r="I55" s="135">
        <v>4.42</v>
      </c>
      <c r="J55" s="135">
        <v>5.14</v>
      </c>
      <c r="K55" s="135">
        <v>158.46</v>
      </c>
      <c r="L55" s="135">
        <v>15.48</v>
      </c>
      <c r="M55" s="135">
        <v>97.14</v>
      </c>
      <c r="N55" s="135">
        <v>822</v>
      </c>
      <c r="O55" s="135">
        <v>0</v>
      </c>
      <c r="P55" s="135">
        <v>2.4900000000000002</v>
      </c>
      <c r="Q55" s="135">
        <v>8.01</v>
      </c>
      <c r="R55" s="194"/>
      <c r="S55" s="194"/>
      <c r="T55" s="194"/>
      <c r="U55" s="194"/>
    </row>
    <row r="56" spans="1:21" s="12" customFormat="1" ht="15">
      <c r="A56" s="207" t="s">
        <v>579</v>
      </c>
      <c r="B56" s="135">
        <v>6.93</v>
      </c>
      <c r="C56" s="135">
        <v>14.83</v>
      </c>
      <c r="D56" s="135">
        <v>21.76</v>
      </c>
      <c r="E56" s="135">
        <v>4.63</v>
      </c>
      <c r="F56" s="135">
        <v>0.62</v>
      </c>
      <c r="G56" s="208" t="s">
        <v>36</v>
      </c>
      <c r="H56" s="135">
        <v>4.92</v>
      </c>
      <c r="I56" s="135">
        <v>4.33</v>
      </c>
      <c r="J56" s="135">
        <v>5.12</v>
      </c>
      <c r="K56" s="135">
        <v>161.03</v>
      </c>
      <c r="L56" s="135">
        <v>15.11</v>
      </c>
      <c r="M56" s="135">
        <v>97.96</v>
      </c>
      <c r="N56" s="135">
        <v>836.5</v>
      </c>
      <c r="O56" s="135">
        <v>0.20</v>
      </c>
      <c r="P56" s="135">
        <v>2.46</v>
      </c>
      <c r="Q56" s="135">
        <v>7.65</v>
      </c>
      <c r="R56" s="194"/>
      <c r="S56" s="194"/>
      <c r="T56" s="194"/>
      <c r="U56" s="194"/>
    </row>
    <row r="57" spans="1:21" s="12" customFormat="1" ht="15">
      <c r="A57" s="207" t="s">
        <v>580</v>
      </c>
      <c r="B57" s="135">
        <v>7.02</v>
      </c>
      <c r="C57" s="135">
        <v>16.57</v>
      </c>
      <c r="D57" s="135">
        <v>23.59</v>
      </c>
      <c r="E57" s="135">
        <v>7.15</v>
      </c>
      <c r="F57" s="135">
        <v>0.83</v>
      </c>
      <c r="G57" s="208" t="s">
        <v>36</v>
      </c>
      <c r="H57" s="135">
        <v>5.54</v>
      </c>
      <c r="I57" s="135">
        <v>4.26</v>
      </c>
      <c r="J57" s="135">
        <v>5.0599999999999996</v>
      </c>
      <c r="K57" s="135">
        <v>166.85</v>
      </c>
      <c r="L57" s="135">
        <v>15.28</v>
      </c>
      <c r="M57" s="135">
        <v>98.99</v>
      </c>
      <c r="N57" s="135">
        <v>912</v>
      </c>
      <c r="O57" s="135">
        <v>1.40</v>
      </c>
      <c r="P57" s="135">
        <v>2.44</v>
      </c>
      <c r="Q57" s="135">
        <v>8.48</v>
      </c>
      <c r="R57" s="194"/>
      <c r="S57" s="194"/>
      <c r="T57" s="194"/>
      <c r="U57" s="194"/>
    </row>
    <row r="58" spans="1:21" s="12" customFormat="1" ht="15">
      <c r="A58" s="207" t="s">
        <v>581</v>
      </c>
      <c r="B58" s="135">
        <v>7.06</v>
      </c>
      <c r="C58" s="135">
        <v>17.55</v>
      </c>
      <c r="D58" s="135">
        <v>24.61</v>
      </c>
      <c r="E58" s="135">
        <v>7.28</v>
      </c>
      <c r="F58" s="135">
        <v>0.05</v>
      </c>
      <c r="G58" s="208" t="s">
        <v>36</v>
      </c>
      <c r="H58" s="135">
        <v>7.06</v>
      </c>
      <c r="I58" s="135">
        <v>4.49</v>
      </c>
      <c r="J58" s="135">
        <v>3.04</v>
      </c>
      <c r="K58" s="135">
        <v>209.99</v>
      </c>
      <c r="L58" s="135">
        <v>15.92</v>
      </c>
      <c r="M58" s="135">
        <v>99.26</v>
      </c>
      <c r="N58" s="135">
        <v>1036.5</v>
      </c>
      <c r="O58" s="135">
        <v>0</v>
      </c>
      <c r="P58" s="135">
        <v>2.42</v>
      </c>
      <c r="Q58" s="135">
        <v>9.69</v>
      </c>
      <c r="R58" s="194"/>
      <c r="S58" s="194"/>
      <c r="T58" s="194"/>
      <c r="U58" s="194"/>
    </row>
    <row r="59" spans="1:21" s="12" customFormat="1" ht="15">
      <c r="A59" s="207" t="s">
        <v>582</v>
      </c>
      <c r="B59" s="135">
        <v>6.81</v>
      </c>
      <c r="C59" s="135">
        <v>17.829999999999998</v>
      </c>
      <c r="D59" s="135">
        <v>24.63</v>
      </c>
      <c r="E59" s="135">
        <v>7.16</v>
      </c>
      <c r="F59" s="212" t="s">
        <v>47</v>
      </c>
      <c r="G59" s="208" t="s">
        <v>36</v>
      </c>
      <c r="H59" s="135">
        <v>7.06</v>
      </c>
      <c r="I59" s="135">
        <v>4.3600000000000003</v>
      </c>
      <c r="J59" s="135">
        <v>1.71</v>
      </c>
      <c r="K59" s="135">
        <v>204.18</v>
      </c>
      <c r="L59" s="135">
        <v>16.12</v>
      </c>
      <c r="M59" s="135">
        <v>98.91</v>
      </c>
      <c r="N59" s="135">
        <v>1151.5</v>
      </c>
      <c r="O59" s="135">
        <v>0</v>
      </c>
      <c r="P59" s="135">
        <v>2.42</v>
      </c>
      <c r="Q59" s="135">
        <v>11.10</v>
      </c>
      <c r="R59" s="194"/>
      <c r="S59" s="194"/>
      <c r="T59" s="194"/>
      <c r="U59" s="194"/>
    </row>
    <row r="60" spans="1:21" s="12" customFormat="1" ht="15">
      <c r="A60" s="207" t="s">
        <v>583</v>
      </c>
      <c r="B60" s="135">
        <v>6.52</v>
      </c>
      <c r="C60" s="135">
        <v>17.88</v>
      </c>
      <c r="D60" s="135">
        <v>24.39</v>
      </c>
      <c r="E60" s="135">
        <v>7.56</v>
      </c>
      <c r="F60" s="212" t="s">
        <v>47</v>
      </c>
      <c r="G60" s="208" t="s">
        <v>36</v>
      </c>
      <c r="H60" s="135">
        <v>7.06</v>
      </c>
      <c r="I60" s="135">
        <v>4.26</v>
      </c>
      <c r="J60" s="135">
        <v>2.64</v>
      </c>
      <c r="K60" s="135">
        <v>193.62</v>
      </c>
      <c r="L60" s="135">
        <v>16.829999999999998</v>
      </c>
      <c r="M60" s="135">
        <v>98.18</v>
      </c>
      <c r="N60" s="135">
        <v>994.40</v>
      </c>
      <c r="O60" s="135">
        <v>0</v>
      </c>
      <c r="P60" s="135">
        <v>2.42</v>
      </c>
      <c r="Q60" s="135">
        <v>12.90</v>
      </c>
      <c r="R60" s="194"/>
      <c r="S60" s="194"/>
      <c r="T60" s="194"/>
      <c r="U60" s="194"/>
    </row>
    <row r="61" spans="1:21" s="12" customFormat="1" ht="15">
      <c r="A61" s="207" t="s">
        <v>584</v>
      </c>
      <c r="B61" s="135">
        <v>5.89</v>
      </c>
      <c r="C61" s="135">
        <v>18.30</v>
      </c>
      <c r="D61" s="135">
        <v>24.19</v>
      </c>
      <c r="E61" s="135">
        <v>7.96</v>
      </c>
      <c r="F61" s="135">
        <v>0.06</v>
      </c>
      <c r="G61" s="208" t="s">
        <v>36</v>
      </c>
      <c r="H61" s="135">
        <v>6.53</v>
      </c>
      <c r="I61" s="135">
        <v>4.32</v>
      </c>
      <c r="J61" s="135">
        <v>3.65</v>
      </c>
      <c r="K61" s="135">
        <v>193.33</v>
      </c>
      <c r="L61" s="135">
        <v>18.100000000000001</v>
      </c>
      <c r="M61" s="135">
        <v>97.41</v>
      </c>
      <c r="N61" s="135">
        <v>1023</v>
      </c>
      <c r="O61" s="135">
        <v>0</v>
      </c>
      <c r="P61" s="135">
        <v>2.42</v>
      </c>
      <c r="Q61" s="135">
        <v>15.41</v>
      </c>
      <c r="R61" s="194"/>
      <c r="S61" s="194"/>
      <c r="T61" s="194"/>
      <c r="U61" s="194"/>
    </row>
    <row r="62" spans="1:21" s="12" customFormat="1" ht="15">
      <c r="A62" s="207" t="s">
        <v>585</v>
      </c>
      <c r="B62" s="135">
        <v>5.26</v>
      </c>
      <c r="C62" s="135">
        <v>18.75</v>
      </c>
      <c r="D62" s="135">
        <v>24.01</v>
      </c>
      <c r="E62" s="135">
        <v>7.89</v>
      </c>
      <c r="F62" s="135">
        <v>0.05</v>
      </c>
      <c r="G62" s="208" t="s">
        <v>36</v>
      </c>
      <c r="H62" s="135">
        <v>5.23</v>
      </c>
      <c r="I62" s="135">
        <v>4.4400000000000004</v>
      </c>
      <c r="J62" s="135">
        <v>3.49</v>
      </c>
      <c r="K62" s="135">
        <v>189.66</v>
      </c>
      <c r="L62" s="135">
        <v>19.89</v>
      </c>
      <c r="M62" s="135">
        <v>95.84</v>
      </c>
      <c r="N62" s="135">
        <v>1046.4000000000001</v>
      </c>
      <c r="O62" s="135">
        <v>0</v>
      </c>
      <c r="P62" s="135">
        <v>2.42</v>
      </c>
      <c r="Q62" s="135">
        <v>19.52</v>
      </c>
      <c r="R62" s="194"/>
      <c r="S62" s="194"/>
      <c r="T62" s="194"/>
      <c r="U62" s="194"/>
    </row>
    <row r="63" spans="1:21" s="12" customFormat="1" ht="15">
      <c r="A63" s="207" t="s">
        <v>586</v>
      </c>
      <c r="B63" s="135">
        <v>4.54</v>
      </c>
      <c r="C63" s="135">
        <v>19.64</v>
      </c>
      <c r="D63" s="135">
        <v>24.17</v>
      </c>
      <c r="E63" s="135">
        <v>8.1199999999999992</v>
      </c>
      <c r="F63" s="135">
        <v>0.26</v>
      </c>
      <c r="G63" s="208" t="s">
        <v>36</v>
      </c>
      <c r="H63" s="135">
        <v>5.23</v>
      </c>
      <c r="I63" s="135">
        <v>4.46</v>
      </c>
      <c r="J63" s="135">
        <v>4.08</v>
      </c>
      <c r="K63" s="135">
        <v>193.17</v>
      </c>
      <c r="L63" s="135">
        <v>22.17</v>
      </c>
      <c r="M63" s="135">
        <v>94.95</v>
      </c>
      <c r="N63" s="135">
        <v>1011.30</v>
      </c>
      <c r="O63" s="135">
        <v>0</v>
      </c>
      <c r="P63" s="135">
        <v>2.40</v>
      </c>
      <c r="Q63" s="135">
        <v>23.05</v>
      </c>
      <c r="R63" s="194"/>
      <c r="S63" s="194"/>
      <c r="T63" s="194"/>
      <c r="U63" s="194"/>
    </row>
    <row r="64" spans="1:21" s="12" customFormat="1" ht="15">
      <c r="A64" s="207" t="s">
        <v>587</v>
      </c>
      <c r="B64" s="135">
        <v>3.84</v>
      </c>
      <c r="C64" s="135">
        <v>21.33</v>
      </c>
      <c r="D64" s="135">
        <v>25.18</v>
      </c>
      <c r="E64" s="135">
        <v>8.19</v>
      </c>
      <c r="F64" s="135">
        <v>0.52</v>
      </c>
      <c r="G64" s="208" t="s">
        <v>36</v>
      </c>
      <c r="H64" s="135">
        <v>5.23</v>
      </c>
      <c r="I64" s="135">
        <v>4.53</v>
      </c>
      <c r="J64" s="135">
        <v>4.42</v>
      </c>
      <c r="K64" s="135">
        <v>194.51</v>
      </c>
      <c r="L64" s="135">
        <v>19.71</v>
      </c>
      <c r="M64" s="135">
        <v>93.18</v>
      </c>
      <c r="N64" s="135">
        <v>1178.80</v>
      </c>
      <c r="O64" s="135">
        <v>0</v>
      </c>
      <c r="P64" s="135">
        <v>2.39</v>
      </c>
      <c r="Q64" s="135">
        <v>30.34</v>
      </c>
      <c r="R64" s="194"/>
      <c r="S64" s="194"/>
      <c r="T64" s="194"/>
      <c r="U64" s="194"/>
    </row>
    <row r="65" spans="1:21" s="12" customFormat="1" ht="15">
      <c r="A65" s="207" t="s">
        <v>588</v>
      </c>
      <c r="B65" s="135">
        <v>3.20</v>
      </c>
      <c r="C65" s="135">
        <v>21.94</v>
      </c>
      <c r="D65" s="135">
        <v>25.14</v>
      </c>
      <c r="E65" s="135">
        <v>7.92</v>
      </c>
      <c r="F65" s="135">
        <v>0.55000000000000004</v>
      </c>
      <c r="G65" s="208" t="s">
        <v>36</v>
      </c>
      <c r="H65" s="135">
        <v>4.79</v>
      </c>
      <c r="I65" s="135">
        <v>4.5</v>
      </c>
      <c r="J65" s="135">
        <v>3.26</v>
      </c>
      <c r="K65" s="135">
        <v>186.56</v>
      </c>
      <c r="L65" s="135">
        <v>21.68</v>
      </c>
      <c r="M65" s="135">
        <v>91.26</v>
      </c>
      <c r="N65" s="135">
        <v>1113.70</v>
      </c>
      <c r="O65" s="135">
        <v>0</v>
      </c>
      <c r="P65" s="135">
        <v>2.38</v>
      </c>
      <c r="Q65" s="135">
        <v>38.24</v>
      </c>
      <c r="R65" s="194"/>
      <c r="S65" s="194"/>
      <c r="T65" s="194"/>
      <c r="U65" s="194"/>
    </row>
    <row r="66" spans="1:21" s="12" customFormat="1" ht="15">
      <c r="A66" s="207" t="s">
        <v>589</v>
      </c>
      <c r="B66" s="135">
        <v>1.37</v>
      </c>
      <c r="C66" s="135">
        <v>19.84</v>
      </c>
      <c r="D66" s="135">
        <v>21.21</v>
      </c>
      <c r="E66" s="135">
        <v>7.39</v>
      </c>
      <c r="F66" s="135">
        <v>2.27</v>
      </c>
      <c r="G66" s="208" t="s">
        <v>36</v>
      </c>
      <c r="H66" s="135">
        <v>3.71</v>
      </c>
      <c r="I66" s="135">
        <v>4.4000000000000004</v>
      </c>
      <c r="J66" s="135">
        <v>2.5499999999999998</v>
      </c>
      <c r="K66" s="135">
        <v>217.60</v>
      </c>
      <c r="L66" s="135">
        <v>19.70</v>
      </c>
      <c r="M66" s="135">
        <v>91</v>
      </c>
      <c r="N66" s="135">
        <v>859.80</v>
      </c>
      <c r="O66" s="135">
        <v>0</v>
      </c>
      <c r="P66" s="135">
        <v>2.34</v>
      </c>
      <c r="Q66" s="135">
        <v>45.87</v>
      </c>
      <c r="R66" s="194"/>
      <c r="S66" s="194"/>
      <c r="T66" s="194"/>
      <c r="U66" s="194"/>
    </row>
    <row r="67" spans="1:21" s="12" customFormat="1" ht="15">
      <c r="A67" s="207" t="s">
        <v>590</v>
      </c>
      <c r="B67" s="135">
        <v>1.22</v>
      </c>
      <c r="C67" s="135">
        <v>16.190000000000001</v>
      </c>
      <c r="D67" s="135">
        <v>17.41</v>
      </c>
      <c r="E67" s="135">
        <v>6.20</v>
      </c>
      <c r="F67" s="135">
        <v>3.87</v>
      </c>
      <c r="G67" s="208" t="s">
        <v>36</v>
      </c>
      <c r="H67" s="135">
        <v>3.71</v>
      </c>
      <c r="I67" s="135">
        <v>4.3099999999999996</v>
      </c>
      <c r="J67" s="135">
        <v>1.32</v>
      </c>
      <c r="K67" s="135">
        <v>198.37</v>
      </c>
      <c r="L67" s="135">
        <v>21.29</v>
      </c>
      <c r="M67" s="135">
        <v>90.01</v>
      </c>
      <c r="N67" s="135">
        <v>1038.0999999999999</v>
      </c>
      <c r="O67" s="135">
        <v>0</v>
      </c>
      <c r="P67" s="135">
        <v>2.29</v>
      </c>
      <c r="Q67" s="135">
        <v>46.55</v>
      </c>
      <c r="R67" s="194"/>
      <c r="S67" s="194"/>
      <c r="T67" s="194"/>
      <c r="U67" s="194"/>
    </row>
    <row r="68" spans="1:21" s="12" customFormat="1" ht="15">
      <c r="A68" s="207" t="s">
        <v>591</v>
      </c>
      <c r="B68" s="135">
        <v>1.58</v>
      </c>
      <c r="C68" s="135">
        <v>12.37</v>
      </c>
      <c r="D68" s="135">
        <v>13.95</v>
      </c>
      <c r="E68" s="135">
        <v>5.57</v>
      </c>
      <c r="F68" s="135">
        <v>2.83</v>
      </c>
      <c r="G68" s="208" t="s">
        <v>36</v>
      </c>
      <c r="H68" s="135">
        <v>3.71</v>
      </c>
      <c r="I68" s="135">
        <v>3.83</v>
      </c>
      <c r="J68" s="135">
        <v>2.54</v>
      </c>
      <c r="K68" s="135">
        <v>219.23</v>
      </c>
      <c r="L68" s="135">
        <v>22.20</v>
      </c>
      <c r="M68" s="135">
        <v>88.05</v>
      </c>
      <c r="N68" s="135">
        <v>1061.5</v>
      </c>
      <c r="O68" s="135">
        <v>0</v>
      </c>
      <c r="P68" s="135">
        <v>2.31</v>
      </c>
      <c r="Q68" s="135">
        <v>26.78</v>
      </c>
      <c r="R68" s="194"/>
      <c r="S68" s="194"/>
      <c r="T68" s="194"/>
      <c r="U68" s="194"/>
    </row>
    <row r="69" spans="1:21" s="12" customFormat="1" ht="15">
      <c r="A69" s="207" t="s">
        <v>592</v>
      </c>
      <c r="B69" s="135">
        <v>2.0499999999999998</v>
      </c>
      <c r="C69" s="135">
        <v>10.68</v>
      </c>
      <c r="D69" s="135">
        <v>12.72</v>
      </c>
      <c r="E69" s="135">
        <v>5.83</v>
      </c>
      <c r="F69" s="135">
        <v>1.18</v>
      </c>
      <c r="G69" s="208" t="s">
        <v>36</v>
      </c>
      <c r="H69" s="135">
        <v>3.44</v>
      </c>
      <c r="I69" s="135">
        <v>3.10</v>
      </c>
      <c r="J69" s="135">
        <v>1.5</v>
      </c>
      <c r="K69" s="135">
        <v>201.96</v>
      </c>
      <c r="L69" s="135">
        <v>22.85</v>
      </c>
      <c r="M69" s="135">
        <v>87.87</v>
      </c>
      <c r="N69" s="135">
        <v>1084.9000000000001</v>
      </c>
      <c r="O69" s="135">
        <v>0</v>
      </c>
      <c r="P69" s="135">
        <v>2.3199999999999998</v>
      </c>
      <c r="Q69" s="135">
        <v>17.420000000000002</v>
      </c>
      <c r="R69" s="194"/>
      <c r="S69" s="194"/>
      <c r="T69" s="194"/>
      <c r="U69" s="194"/>
    </row>
    <row r="70" spans="1:21" s="12" customFormat="1" ht="15">
      <c r="A70" s="207" t="s">
        <v>593</v>
      </c>
      <c r="B70" s="135">
        <v>2.44</v>
      </c>
      <c r="C70" s="135">
        <v>10.52</v>
      </c>
      <c r="D70" s="135">
        <v>12.96</v>
      </c>
      <c r="E70" s="135">
        <v>6.20</v>
      </c>
      <c r="F70" s="135">
        <v>1.1299999999999999</v>
      </c>
      <c r="G70" s="208" t="s">
        <v>36</v>
      </c>
      <c r="H70" s="135">
        <v>2.80</v>
      </c>
      <c r="I70" s="135">
        <v>2.97</v>
      </c>
      <c r="J70" s="135">
        <v>2.34</v>
      </c>
      <c r="K70" s="135">
        <v>206.87</v>
      </c>
      <c r="L70" s="135">
        <v>23.86</v>
      </c>
      <c r="M70" s="135">
        <v>87.27</v>
      </c>
      <c r="N70" s="135">
        <v>1141.20</v>
      </c>
      <c r="O70" s="135">
        <v>0</v>
      </c>
      <c r="P70" s="135">
        <v>2.31</v>
      </c>
      <c r="Q70" s="135">
        <v>15.74</v>
      </c>
      <c r="R70" s="194"/>
      <c r="S70" s="194"/>
      <c r="T70" s="194"/>
      <c r="U70" s="194"/>
    </row>
    <row r="71" spans="1:21" s="12" customFormat="1" ht="15">
      <c r="A71" s="207" t="s">
        <v>594</v>
      </c>
      <c r="B71" s="135">
        <v>2.67</v>
      </c>
      <c r="C71" s="135">
        <v>10.37</v>
      </c>
      <c r="D71" s="135">
        <v>13.04</v>
      </c>
      <c r="E71" s="135">
        <v>6.28</v>
      </c>
      <c r="F71" s="135">
        <v>0.39</v>
      </c>
      <c r="G71" s="208" t="s">
        <v>36</v>
      </c>
      <c r="H71" s="135">
        <v>2.80</v>
      </c>
      <c r="I71" s="135">
        <v>3</v>
      </c>
      <c r="J71" s="135">
        <v>0.73</v>
      </c>
      <c r="K71" s="135">
        <v>345.49</v>
      </c>
      <c r="L71" s="135">
        <v>24.80</v>
      </c>
      <c r="M71" s="135">
        <v>87.01</v>
      </c>
      <c r="N71" s="135">
        <v>1062.30</v>
      </c>
      <c r="O71" s="135">
        <v>0</v>
      </c>
      <c r="P71" s="135">
        <v>2.3199999999999998</v>
      </c>
      <c r="Q71" s="135">
        <v>18.04</v>
      </c>
      <c r="R71" s="194"/>
      <c r="S71" s="194"/>
      <c r="T71" s="194"/>
      <c r="U71" s="194"/>
    </row>
    <row r="72" spans="1:21" s="12" customFormat="1" ht="15">
      <c r="A72" s="207" t="s">
        <v>595</v>
      </c>
      <c r="B72" s="135">
        <v>3.12</v>
      </c>
      <c r="C72" s="135">
        <v>10.10</v>
      </c>
      <c r="D72" s="135">
        <v>13.22</v>
      </c>
      <c r="E72" s="135">
        <v>2.27</v>
      </c>
      <c r="F72" s="135">
        <v>0.77</v>
      </c>
      <c r="G72" s="208" t="s">
        <v>36</v>
      </c>
      <c r="H72" s="135">
        <v>2.80</v>
      </c>
      <c r="I72" s="135">
        <v>3.12</v>
      </c>
      <c r="J72" s="135">
        <v>1.33</v>
      </c>
      <c r="K72" s="135">
        <v>225.27</v>
      </c>
      <c r="L72" s="135">
        <v>20.12</v>
      </c>
      <c r="M72" s="135">
        <v>86.85</v>
      </c>
      <c r="N72" s="135">
        <v>847.5</v>
      </c>
      <c r="O72" s="135">
        <v>0</v>
      </c>
      <c r="P72" s="135">
        <v>2.34</v>
      </c>
      <c r="Q72" s="135">
        <v>20.74</v>
      </c>
      <c r="R72" s="194"/>
      <c r="S72" s="194"/>
      <c r="T72" s="194"/>
      <c r="U72" s="194"/>
    </row>
    <row r="73" spans="1:21" s="12" customFormat="1" ht="15">
      <c r="A73" s="207" t="s">
        <v>596</v>
      </c>
      <c r="B73" s="135">
        <v>3.05</v>
      </c>
      <c r="C73" s="135">
        <v>10.26</v>
      </c>
      <c r="D73" s="135">
        <v>13.31</v>
      </c>
      <c r="E73" s="135">
        <v>5.32</v>
      </c>
      <c r="F73" s="135">
        <v>0.97</v>
      </c>
      <c r="G73" s="208" t="s">
        <v>36</v>
      </c>
      <c r="H73" s="135">
        <v>3.37</v>
      </c>
      <c r="I73" s="135">
        <v>3.24</v>
      </c>
      <c r="J73" s="135">
        <v>2.0299999999999998</v>
      </c>
      <c r="K73" s="135">
        <v>231.81</v>
      </c>
      <c r="L73" s="135">
        <v>18.68</v>
      </c>
      <c r="M73" s="135">
        <v>88.61</v>
      </c>
      <c r="N73" s="135">
        <v>781.60</v>
      </c>
      <c r="O73" s="135">
        <v>0</v>
      </c>
      <c r="P73" s="135">
        <v>2.33</v>
      </c>
      <c r="Q73" s="135">
        <v>23.34</v>
      </c>
      <c r="R73" s="194"/>
      <c r="S73" s="194"/>
      <c r="T73" s="194"/>
      <c r="U73" s="194"/>
    </row>
    <row r="74" spans="1:21" s="12" customFormat="1" ht="15">
      <c r="A74" s="207" t="s">
        <v>597</v>
      </c>
      <c r="B74" s="135">
        <v>1.65</v>
      </c>
      <c r="C74" s="135">
        <v>12.28</v>
      </c>
      <c r="D74" s="135">
        <v>13.93</v>
      </c>
      <c r="E74" s="135">
        <v>4.70</v>
      </c>
      <c r="F74" s="135">
        <v>3.39</v>
      </c>
      <c r="G74" s="208" t="s">
        <v>36</v>
      </c>
      <c r="H74" s="135">
        <v>4.7699999999999996</v>
      </c>
      <c r="I74" s="135">
        <v>3.36</v>
      </c>
      <c r="J74" s="135">
        <v>0.78</v>
      </c>
      <c r="K74" s="135">
        <v>208.55</v>
      </c>
      <c r="L74" s="135">
        <v>17.760000000000002</v>
      </c>
      <c r="M74" s="135">
        <v>89.43</v>
      </c>
      <c r="N74" s="135">
        <v>683.60</v>
      </c>
      <c r="O74" s="135">
        <v>0</v>
      </c>
      <c r="P74" s="135">
        <v>2.3199999999999998</v>
      </c>
      <c r="Q74" s="135">
        <v>25.31</v>
      </c>
      <c r="R74" s="194"/>
      <c r="S74" s="194"/>
      <c r="T74" s="194"/>
      <c r="U74" s="194"/>
    </row>
    <row r="75" spans="1:21" s="12" customFormat="1" ht="15">
      <c r="A75" s="207" t="s">
        <v>598</v>
      </c>
      <c r="B75" s="135">
        <v>0.74</v>
      </c>
      <c r="C75" s="135">
        <v>14.24</v>
      </c>
      <c r="D75" s="135">
        <v>14.98</v>
      </c>
      <c r="E75" s="135">
        <v>3.03</v>
      </c>
      <c r="F75" s="135">
        <v>3.5</v>
      </c>
      <c r="G75" s="208" t="s">
        <v>36</v>
      </c>
      <c r="H75" s="135">
        <v>4.7699999999999996</v>
      </c>
      <c r="I75" s="135">
        <v>3.22</v>
      </c>
      <c r="J75" s="135">
        <v>1.94</v>
      </c>
      <c r="K75" s="135">
        <v>206.08</v>
      </c>
      <c r="L75" s="135">
        <v>17.27</v>
      </c>
      <c r="M75" s="135">
        <v>89.74</v>
      </c>
      <c r="N75" s="135">
        <v>703.10</v>
      </c>
      <c r="O75" s="135">
        <v>0</v>
      </c>
      <c r="P75" s="135">
        <v>2.29</v>
      </c>
      <c r="Q75" s="135">
        <v>39.61</v>
      </c>
      <c r="R75" s="194"/>
      <c r="S75" s="194"/>
      <c r="T75" s="194"/>
      <c r="U75" s="194"/>
    </row>
    <row r="76" spans="1:21" s="12" customFormat="1" ht="15">
      <c r="A76" s="207" t="s">
        <v>599</v>
      </c>
      <c r="B76" s="135">
        <v>0.67</v>
      </c>
      <c r="C76" s="135">
        <v>13.68</v>
      </c>
      <c r="D76" s="135">
        <v>14.34</v>
      </c>
      <c r="E76" s="135">
        <v>2.2999999999999998</v>
      </c>
      <c r="F76" s="135">
        <v>3.49</v>
      </c>
      <c r="G76" s="208" t="s">
        <v>36</v>
      </c>
      <c r="H76" s="135">
        <v>4.7699999999999996</v>
      </c>
      <c r="I76" s="135">
        <v>2.94</v>
      </c>
      <c r="J76" s="135">
        <v>1.55</v>
      </c>
      <c r="K76" s="135">
        <v>217.27</v>
      </c>
      <c r="L76" s="135">
        <v>17.64</v>
      </c>
      <c r="M76" s="135">
        <v>89.22</v>
      </c>
      <c r="N76" s="135">
        <v>794.80</v>
      </c>
      <c r="O76" s="135">
        <v>0</v>
      </c>
      <c r="P76" s="135">
        <v>2.29</v>
      </c>
      <c r="Q76" s="135">
        <v>36.729999999999997</v>
      </c>
      <c r="R76" s="194"/>
      <c r="S76" s="194"/>
      <c r="T76" s="194"/>
      <c r="U76" s="194"/>
    </row>
    <row r="77" spans="1:21" s="12" customFormat="1" ht="15">
      <c r="A77" s="207" t="s">
        <v>600</v>
      </c>
      <c r="B77" s="135">
        <v>0.76</v>
      </c>
      <c r="C77" s="135">
        <v>12.49</v>
      </c>
      <c r="D77" s="135">
        <v>13.25</v>
      </c>
      <c r="E77" s="135">
        <v>2.3199999999999998</v>
      </c>
      <c r="F77" s="135">
        <v>1.65</v>
      </c>
      <c r="G77" s="208" t="s">
        <v>36</v>
      </c>
      <c r="H77" s="135">
        <v>4.3899999999999997</v>
      </c>
      <c r="I77" s="135">
        <v>2.62</v>
      </c>
      <c r="J77" s="135">
        <v>1.04</v>
      </c>
      <c r="K77" s="135">
        <v>219.52</v>
      </c>
      <c r="L77" s="135">
        <v>17.420000000000002</v>
      </c>
      <c r="M77" s="135">
        <v>88.92</v>
      </c>
      <c r="N77" s="135">
        <v>803.60</v>
      </c>
      <c r="O77" s="135">
        <v>0</v>
      </c>
      <c r="P77" s="135">
        <v>2.31</v>
      </c>
      <c r="Q77" s="135">
        <v>24.38</v>
      </c>
      <c r="R77" s="194"/>
      <c r="S77" s="194"/>
      <c r="T77" s="194"/>
      <c r="U77" s="194"/>
    </row>
    <row r="78" spans="1:21" s="12" customFormat="1" ht="15">
      <c r="A78" s="207" t="s">
        <v>601</v>
      </c>
      <c r="B78" s="135">
        <v>1.08</v>
      </c>
      <c r="C78" s="135">
        <v>11.46</v>
      </c>
      <c r="D78" s="135">
        <v>12.54</v>
      </c>
      <c r="E78" s="135">
        <v>2.0499999999999998</v>
      </c>
      <c r="F78" s="135">
        <v>1.33</v>
      </c>
      <c r="G78" s="208" t="s">
        <v>36</v>
      </c>
      <c r="H78" s="135">
        <v>3.47</v>
      </c>
      <c r="I78" s="135">
        <v>2.52</v>
      </c>
      <c r="J78" s="135">
        <v>1.54</v>
      </c>
      <c r="K78" s="135">
        <v>251.17</v>
      </c>
      <c r="L78" s="135">
        <v>19.18</v>
      </c>
      <c r="M78" s="135">
        <v>89.02</v>
      </c>
      <c r="N78" s="135">
        <v>707.10</v>
      </c>
      <c r="O78" s="135">
        <v>0</v>
      </c>
      <c r="P78" s="135">
        <v>2.31</v>
      </c>
      <c r="Q78" s="135">
        <v>18.84</v>
      </c>
      <c r="R78" s="194"/>
      <c r="S78" s="194"/>
      <c r="T78" s="194"/>
      <c r="U78" s="194"/>
    </row>
    <row r="79" spans="1:21" s="12" customFormat="1" ht="15">
      <c r="A79" s="207" t="s">
        <v>602</v>
      </c>
      <c r="B79" s="135">
        <v>1.57</v>
      </c>
      <c r="C79" s="135">
        <v>11.05</v>
      </c>
      <c r="D79" s="135">
        <v>12.61</v>
      </c>
      <c r="E79" s="135">
        <v>2.41</v>
      </c>
      <c r="F79" s="135">
        <v>0.95</v>
      </c>
      <c r="G79" s="208" t="s">
        <v>36</v>
      </c>
      <c r="H79" s="135">
        <v>3.47</v>
      </c>
      <c r="I79" s="135">
        <v>2.60</v>
      </c>
      <c r="J79" s="135">
        <v>0.59</v>
      </c>
      <c r="K79" s="135">
        <v>7.10</v>
      </c>
      <c r="L79" s="135">
        <v>22.69</v>
      </c>
      <c r="M79" s="135">
        <v>88.26</v>
      </c>
      <c r="N79" s="135">
        <v>718.30</v>
      </c>
      <c r="O79" s="135">
        <v>0</v>
      </c>
      <c r="P79" s="135">
        <v>2.34</v>
      </c>
      <c r="Q79" s="135">
        <v>16.88</v>
      </c>
      <c r="R79" s="194"/>
      <c r="S79" s="194"/>
      <c r="T79" s="194"/>
      <c r="U79" s="194"/>
    </row>
    <row r="80" spans="1:21" s="12" customFormat="1" ht="15">
      <c r="A80" s="207" t="s">
        <v>603</v>
      </c>
      <c r="B80" s="135">
        <v>2.42</v>
      </c>
      <c r="C80" s="135">
        <v>11.25</v>
      </c>
      <c r="D80" s="135">
        <v>13.67</v>
      </c>
      <c r="E80" s="135">
        <v>2.33</v>
      </c>
      <c r="F80" s="135">
        <v>0.81</v>
      </c>
      <c r="G80" s="208" t="s">
        <v>36</v>
      </c>
      <c r="H80" s="135">
        <v>3.47</v>
      </c>
      <c r="I80" s="135">
        <v>2.71</v>
      </c>
      <c r="J80" s="135">
        <v>0.31</v>
      </c>
      <c r="K80" s="135">
        <v>318.43</v>
      </c>
      <c r="L80" s="135">
        <v>16.760000000000002</v>
      </c>
      <c r="M80" s="135">
        <v>88.32</v>
      </c>
      <c r="N80" s="135">
        <v>684.5</v>
      </c>
      <c r="O80" s="135">
        <v>0</v>
      </c>
      <c r="P80" s="135">
        <v>2.38</v>
      </c>
      <c r="Q80" s="135">
        <v>16.87</v>
      </c>
      <c r="R80" s="194"/>
      <c r="S80" s="194"/>
      <c r="T80" s="194"/>
      <c r="U80" s="194"/>
    </row>
    <row r="81" spans="1:21" s="12" customFormat="1" ht="15">
      <c r="A81" s="207" t="s">
        <v>604</v>
      </c>
      <c r="B81" s="135">
        <v>2.74</v>
      </c>
      <c r="C81" s="135">
        <v>11.18</v>
      </c>
      <c r="D81" s="135">
        <v>13.93</v>
      </c>
      <c r="E81" s="135">
        <v>2.85</v>
      </c>
      <c r="F81" s="135">
        <v>0.93</v>
      </c>
      <c r="G81" s="208" t="s">
        <v>36</v>
      </c>
      <c r="H81" s="135">
        <v>3.27</v>
      </c>
      <c r="I81" s="135">
        <v>2.92</v>
      </c>
      <c r="J81" s="135">
        <v>0.48</v>
      </c>
      <c r="K81" s="135">
        <v>307.27999999999997</v>
      </c>
      <c r="L81" s="135">
        <v>15.95</v>
      </c>
      <c r="M81" s="135">
        <v>89.04</v>
      </c>
      <c r="N81" s="135">
        <v>683.10</v>
      </c>
      <c r="O81" s="135">
        <v>0</v>
      </c>
      <c r="P81" s="135">
        <v>2.39</v>
      </c>
      <c r="Q81" s="135">
        <v>17.30</v>
      </c>
      <c r="R81" s="194"/>
      <c r="S81" s="194"/>
      <c r="T81" s="194"/>
      <c r="U81" s="194"/>
    </row>
    <row r="82" spans="1:21" s="12" customFormat="1" ht="15">
      <c r="A82" s="207" t="s">
        <v>605</v>
      </c>
      <c r="B82" s="135">
        <v>3.23</v>
      </c>
      <c r="C82" s="135">
        <v>11.10</v>
      </c>
      <c r="D82" s="135">
        <v>14.33</v>
      </c>
      <c r="E82" s="135">
        <v>2.93</v>
      </c>
      <c r="F82" s="135">
        <v>0.77</v>
      </c>
      <c r="G82" s="208" t="s">
        <v>36</v>
      </c>
      <c r="H82" s="135">
        <v>2.78</v>
      </c>
      <c r="I82" s="135">
        <v>3.17</v>
      </c>
      <c r="J82" s="135">
        <v>0.89</v>
      </c>
      <c r="K82" s="135">
        <v>218.45</v>
      </c>
      <c r="L82" s="135">
        <v>16.07</v>
      </c>
      <c r="M82" s="135">
        <v>89.27</v>
      </c>
      <c r="N82" s="135">
        <v>695</v>
      </c>
      <c r="O82" s="135">
        <v>0</v>
      </c>
      <c r="P82" s="135">
        <v>2.42</v>
      </c>
      <c r="Q82" s="135">
        <v>17.61</v>
      </c>
      <c r="R82" s="194"/>
      <c r="S82" s="194"/>
      <c r="T82" s="194"/>
      <c r="U82" s="194"/>
    </row>
    <row r="83" spans="1:21" s="12" customFormat="1" ht="15">
      <c r="A83" s="207" t="s">
        <v>606</v>
      </c>
      <c r="B83" s="135">
        <v>3.61</v>
      </c>
      <c r="C83" s="135">
        <v>10.75</v>
      </c>
      <c r="D83" s="135">
        <v>14.36</v>
      </c>
      <c r="E83" s="135">
        <v>3.60</v>
      </c>
      <c r="F83" s="135">
        <v>0.74</v>
      </c>
      <c r="G83" s="208" t="s">
        <v>36</v>
      </c>
      <c r="H83" s="135">
        <v>2.78</v>
      </c>
      <c r="I83" s="135">
        <v>3.28</v>
      </c>
      <c r="J83" s="135">
        <v>1.18</v>
      </c>
      <c r="K83" s="135">
        <v>14.05</v>
      </c>
      <c r="L83" s="135">
        <v>16.170000000000002</v>
      </c>
      <c r="M83" s="135">
        <v>90.09</v>
      </c>
      <c r="N83" s="135">
        <v>665.20</v>
      </c>
      <c r="O83" s="135">
        <v>0</v>
      </c>
      <c r="P83" s="135">
        <v>2.4300000000000002</v>
      </c>
      <c r="Q83" s="135">
        <v>18.21</v>
      </c>
      <c r="R83" s="194"/>
      <c r="S83" s="194"/>
      <c r="T83" s="194"/>
      <c r="U83" s="194"/>
    </row>
    <row r="84" spans="1:21" s="12" customFormat="1" ht="15">
      <c r="A84" s="207" t="s">
        <v>607</v>
      </c>
      <c r="B84" s="135">
        <v>4.55</v>
      </c>
      <c r="C84" s="135">
        <v>10.64</v>
      </c>
      <c r="D84" s="135">
        <v>15.19</v>
      </c>
      <c r="E84" s="135">
        <v>3.82</v>
      </c>
      <c r="F84" s="135">
        <v>0.25</v>
      </c>
      <c r="G84" s="208" t="s">
        <v>36</v>
      </c>
      <c r="H84" s="135">
        <v>2.78</v>
      </c>
      <c r="I84" s="135">
        <v>3.51</v>
      </c>
      <c r="J84" s="135">
        <v>0.69</v>
      </c>
      <c r="K84" s="135">
        <v>27.66</v>
      </c>
      <c r="L84" s="135">
        <v>16.489999999999998</v>
      </c>
      <c r="M84" s="135">
        <v>90.05</v>
      </c>
      <c r="N84" s="135">
        <v>632.10</v>
      </c>
      <c r="O84" s="135">
        <v>0</v>
      </c>
      <c r="P84" s="135">
        <v>2.48</v>
      </c>
      <c r="Q84" s="135">
        <v>18.72</v>
      </c>
      <c r="R84" s="194"/>
      <c r="S84" s="194"/>
      <c r="T84" s="194"/>
      <c r="U84" s="194"/>
    </row>
    <row r="85" spans="1:21" s="12" customFormat="1" ht="15">
      <c r="A85" s="207" t="s">
        <v>608</v>
      </c>
      <c r="B85" s="135">
        <v>5.39</v>
      </c>
      <c r="C85" s="135">
        <v>10.40</v>
      </c>
      <c r="D85" s="135">
        <v>15.79</v>
      </c>
      <c r="E85" s="135">
        <v>3.89</v>
      </c>
      <c r="F85" s="135">
        <v>0.26</v>
      </c>
      <c r="G85" s="208" t="s">
        <v>36</v>
      </c>
      <c r="H85" s="135">
        <v>2.74</v>
      </c>
      <c r="I85" s="135">
        <v>3.59</v>
      </c>
      <c r="J85" s="135">
        <v>1.22</v>
      </c>
      <c r="K85" s="135">
        <v>359.05</v>
      </c>
      <c r="L85" s="135">
        <v>16.420000000000002</v>
      </c>
      <c r="M85" s="135">
        <v>90.42</v>
      </c>
      <c r="N85" s="135">
        <v>570.20000000000005</v>
      </c>
      <c r="O85" s="135">
        <v>0</v>
      </c>
      <c r="P85" s="135">
        <v>2.5</v>
      </c>
      <c r="Q85" s="135">
        <v>18.98</v>
      </c>
      <c r="R85" s="194"/>
      <c r="S85" s="194"/>
      <c r="T85" s="194"/>
      <c r="U85" s="194"/>
    </row>
    <row r="86" spans="1:21" s="12" customFormat="1" ht="15">
      <c r="A86" s="207" t="s">
        <v>609</v>
      </c>
      <c r="B86" s="135">
        <v>5.92</v>
      </c>
      <c r="C86" s="135">
        <v>10.17</v>
      </c>
      <c r="D86" s="135">
        <v>16.09</v>
      </c>
      <c r="E86" s="135">
        <v>3.94</v>
      </c>
      <c r="F86" s="135">
        <v>0.37</v>
      </c>
      <c r="G86" s="208" t="s">
        <v>36</v>
      </c>
      <c r="H86" s="135">
        <v>2.66</v>
      </c>
      <c r="I86" s="135">
        <v>3.98</v>
      </c>
      <c r="J86" s="135">
        <v>2.58</v>
      </c>
      <c r="K86" s="135">
        <v>205.86</v>
      </c>
      <c r="L86" s="135">
        <v>16.70</v>
      </c>
      <c r="M86" s="135">
        <v>91.04</v>
      </c>
      <c r="N86" s="135">
        <v>255.60</v>
      </c>
      <c r="O86" s="135">
        <v>0</v>
      </c>
      <c r="P86" s="135">
        <v>2.52</v>
      </c>
      <c r="Q86" s="135">
        <v>18.940000000000001</v>
      </c>
      <c r="R86" s="194"/>
      <c r="S86" s="194"/>
      <c r="T86" s="194"/>
      <c r="U86" s="194"/>
    </row>
    <row r="87" spans="1:21" s="12" customFormat="1" ht="15">
      <c r="A87" s="207" t="s">
        <v>610</v>
      </c>
      <c r="B87" s="135">
        <v>6.27</v>
      </c>
      <c r="C87" s="135">
        <v>9.57</v>
      </c>
      <c r="D87" s="135">
        <v>15.84</v>
      </c>
      <c r="E87" s="135">
        <v>4.2699999999999996</v>
      </c>
      <c r="F87" s="135">
        <v>0.46</v>
      </c>
      <c r="G87" s="208" t="s">
        <v>36</v>
      </c>
      <c r="H87" s="135">
        <v>2.66</v>
      </c>
      <c r="I87" s="135">
        <v>4.08</v>
      </c>
      <c r="J87" s="135">
        <v>3.78</v>
      </c>
      <c r="K87" s="135">
        <v>196.19</v>
      </c>
      <c r="L87" s="135">
        <v>17.66</v>
      </c>
      <c r="M87" s="135">
        <v>91.89</v>
      </c>
      <c r="N87" s="135">
        <v>263.39999999999998</v>
      </c>
      <c r="O87" s="135">
        <v>0</v>
      </c>
      <c r="P87" s="135">
        <v>2.52</v>
      </c>
      <c r="Q87" s="135">
        <v>19.059999999999999</v>
      </c>
      <c r="R87" s="194"/>
      <c r="S87" s="194"/>
      <c r="T87" s="194"/>
      <c r="U87" s="194"/>
    </row>
    <row r="88" spans="1:21" s="12" customFormat="1" ht="15">
      <c r="A88" s="207" t="s">
        <v>611</v>
      </c>
      <c r="B88" s="135">
        <v>6.61</v>
      </c>
      <c r="C88" s="135">
        <v>9.17</v>
      </c>
      <c r="D88" s="135">
        <v>15.78</v>
      </c>
      <c r="E88" s="135">
        <v>3.75</v>
      </c>
      <c r="F88" s="135">
        <v>0.57999999999999996</v>
      </c>
      <c r="G88" s="208" t="s">
        <v>36</v>
      </c>
      <c r="H88" s="135">
        <v>2.66</v>
      </c>
      <c r="I88" s="135">
        <v>4.07</v>
      </c>
      <c r="J88" s="135">
        <v>3.12</v>
      </c>
      <c r="K88" s="135">
        <v>199.47</v>
      </c>
      <c r="L88" s="135">
        <v>18.850000000000001</v>
      </c>
      <c r="M88" s="135">
        <v>92.05</v>
      </c>
      <c r="N88" s="135">
        <v>288.10000000000002</v>
      </c>
      <c r="O88" s="135">
        <v>0</v>
      </c>
      <c r="P88" s="135">
        <v>2.52</v>
      </c>
      <c r="Q88" s="135">
        <v>19</v>
      </c>
      <c r="R88" s="194"/>
      <c r="S88" s="194"/>
      <c r="T88" s="194"/>
      <c r="U88" s="194"/>
    </row>
    <row r="89" spans="1:21" s="12" customFormat="1" ht="15">
      <c r="A89" s="207" t="s">
        <v>612</v>
      </c>
      <c r="B89" s="135">
        <v>6.84</v>
      </c>
      <c r="C89" s="135">
        <v>8.6999999999999993</v>
      </c>
      <c r="D89" s="135">
        <v>15.53</v>
      </c>
      <c r="E89" s="135">
        <v>5.82</v>
      </c>
      <c r="F89" s="135">
        <v>0.47</v>
      </c>
      <c r="G89" s="208" t="s">
        <v>36</v>
      </c>
      <c r="H89" s="135">
        <v>2.77</v>
      </c>
      <c r="I89" s="135">
        <v>4.07</v>
      </c>
      <c r="J89" s="135">
        <v>2.67</v>
      </c>
      <c r="K89" s="135">
        <v>213.27</v>
      </c>
      <c r="L89" s="135">
        <v>21.37</v>
      </c>
      <c r="M89" s="135">
        <v>92.56</v>
      </c>
      <c r="N89" s="135">
        <v>291.10000000000002</v>
      </c>
      <c r="O89" s="135">
        <v>0</v>
      </c>
      <c r="P89" s="135">
        <v>2.5299999999999998</v>
      </c>
      <c r="Q89" s="135">
        <v>18.80</v>
      </c>
      <c r="R89" s="194"/>
      <c r="S89" s="194"/>
      <c r="T89" s="194"/>
      <c r="U89" s="194"/>
    </row>
    <row r="90" spans="1:21" s="12" customFormat="1" ht="15">
      <c r="A90" s="207" t="s">
        <v>613</v>
      </c>
      <c r="B90" s="135">
        <v>7.01</v>
      </c>
      <c r="C90" s="135">
        <v>8.3699999999999992</v>
      </c>
      <c r="D90" s="135">
        <v>15.38</v>
      </c>
      <c r="E90" s="135">
        <v>6.25</v>
      </c>
      <c r="F90" s="135">
        <v>0.42</v>
      </c>
      <c r="G90" s="208" t="s">
        <v>36</v>
      </c>
      <c r="H90" s="135">
        <v>3.06</v>
      </c>
      <c r="I90" s="135">
        <v>4.1399999999999997</v>
      </c>
      <c r="J90" s="135">
        <v>4.01</v>
      </c>
      <c r="K90" s="135">
        <v>192.62</v>
      </c>
      <c r="L90" s="135">
        <v>17.27</v>
      </c>
      <c r="M90" s="135">
        <v>93.25</v>
      </c>
      <c r="N90" s="135">
        <v>245.40</v>
      </c>
      <c r="O90" s="135">
        <v>0</v>
      </c>
      <c r="P90" s="135">
        <v>2.52</v>
      </c>
      <c r="Q90" s="135">
        <v>18.29</v>
      </c>
      <c r="R90" s="194"/>
      <c r="S90" s="194"/>
      <c r="T90" s="194"/>
      <c r="U90" s="194"/>
    </row>
    <row r="91" spans="1:21" s="12" customFormat="1" ht="15">
      <c r="A91" s="207" t="s">
        <v>614</v>
      </c>
      <c r="B91" s="135">
        <v>7.26</v>
      </c>
      <c r="C91" s="135">
        <v>8.23</v>
      </c>
      <c r="D91" s="135">
        <v>15.49</v>
      </c>
      <c r="E91" s="135">
        <v>6.80</v>
      </c>
      <c r="F91" s="135">
        <v>0.41</v>
      </c>
      <c r="G91" s="208" t="s">
        <v>36</v>
      </c>
      <c r="H91" s="135">
        <v>3.06</v>
      </c>
      <c r="I91" s="135">
        <v>4.1100000000000003</v>
      </c>
      <c r="J91" s="135">
        <v>3.16</v>
      </c>
      <c r="K91" s="135">
        <v>205.54</v>
      </c>
      <c r="L91" s="135">
        <v>17.100000000000001</v>
      </c>
      <c r="M91" s="135">
        <v>93.16</v>
      </c>
      <c r="N91" s="135">
        <v>230</v>
      </c>
      <c r="O91" s="135">
        <v>0</v>
      </c>
      <c r="P91" s="135">
        <v>2.5299999999999998</v>
      </c>
      <c r="Q91" s="135">
        <v>18.25</v>
      </c>
      <c r="R91" s="194"/>
      <c r="S91" s="194"/>
      <c r="T91" s="194"/>
      <c r="U91" s="194"/>
    </row>
    <row r="92" spans="1:21" s="12" customFormat="1" ht="15">
      <c r="A92" s="207" t="s">
        <v>615</v>
      </c>
      <c r="B92" s="135">
        <v>7.59</v>
      </c>
      <c r="C92" s="135">
        <v>8.1999999999999993</v>
      </c>
      <c r="D92" s="135">
        <v>15.79</v>
      </c>
      <c r="E92" s="135">
        <v>6.56</v>
      </c>
      <c r="F92" s="135">
        <v>0.48</v>
      </c>
      <c r="G92" s="208" t="s">
        <v>36</v>
      </c>
      <c r="H92" s="135">
        <v>3.06</v>
      </c>
      <c r="I92" s="135">
        <v>4.17</v>
      </c>
      <c r="J92" s="135">
        <v>3.35</v>
      </c>
      <c r="K92" s="135">
        <v>198.59</v>
      </c>
      <c r="L92" s="135">
        <v>17.39</v>
      </c>
      <c r="M92" s="135">
        <v>93.09</v>
      </c>
      <c r="N92" s="135">
        <v>244.5</v>
      </c>
      <c r="O92" s="135">
        <v>0</v>
      </c>
      <c r="P92" s="135">
        <v>2.5299999999999998</v>
      </c>
      <c r="Q92" s="135">
        <v>18.62</v>
      </c>
      <c r="R92" s="194"/>
      <c r="S92" s="194"/>
      <c r="T92" s="194"/>
      <c r="U92" s="194"/>
    </row>
    <row r="93" spans="1:21" s="12" customFormat="1" ht="15">
      <c r="A93" s="207" t="s">
        <v>616</v>
      </c>
      <c r="B93" s="135">
        <v>7.78</v>
      </c>
      <c r="C93" s="135">
        <v>8.2200000000000006</v>
      </c>
      <c r="D93" s="135">
        <v>16.010000000000002</v>
      </c>
      <c r="E93" s="135">
        <v>6.99</v>
      </c>
      <c r="F93" s="135">
        <v>0.41</v>
      </c>
      <c r="G93" s="208" t="s">
        <v>36</v>
      </c>
      <c r="H93" s="135">
        <v>2.90</v>
      </c>
      <c r="I93" s="135">
        <v>4.28</v>
      </c>
      <c r="J93" s="135">
        <v>3.99</v>
      </c>
      <c r="K93" s="135">
        <v>201.01</v>
      </c>
      <c r="L93" s="135">
        <v>15.37</v>
      </c>
      <c r="M93" s="135">
        <v>93.10</v>
      </c>
      <c r="N93" s="135">
        <v>239.10</v>
      </c>
      <c r="O93" s="135">
        <v>0</v>
      </c>
      <c r="P93" s="135">
        <v>2.5299999999999998</v>
      </c>
      <c r="Q93" s="135">
        <v>18.61</v>
      </c>
      <c r="R93" s="194"/>
      <c r="S93" s="194"/>
      <c r="T93" s="194"/>
      <c r="U93" s="194"/>
    </row>
    <row r="94" spans="1:21" s="12" customFormat="1" ht="15">
      <c r="A94" s="207" t="s">
        <v>617</v>
      </c>
      <c r="B94" s="135">
        <v>7.96</v>
      </c>
      <c r="C94" s="135">
        <v>8.15</v>
      </c>
      <c r="D94" s="135">
        <v>16.100000000000001</v>
      </c>
      <c r="E94" s="135">
        <v>7.19</v>
      </c>
      <c r="F94" s="135">
        <v>0.70</v>
      </c>
      <c r="G94" s="208" t="s">
        <v>36</v>
      </c>
      <c r="H94" s="135">
        <v>2.5</v>
      </c>
      <c r="I94" s="135">
        <v>4.3099999999999996</v>
      </c>
      <c r="J94" s="135">
        <v>3.51</v>
      </c>
      <c r="K94" s="135">
        <v>184.26</v>
      </c>
      <c r="L94" s="135">
        <v>15.42</v>
      </c>
      <c r="M94" s="135">
        <v>92.98</v>
      </c>
      <c r="N94" s="135">
        <v>234.90</v>
      </c>
      <c r="O94" s="135">
        <v>0</v>
      </c>
      <c r="P94" s="135">
        <v>2.52</v>
      </c>
      <c r="Q94" s="135">
        <v>18.149999999999999</v>
      </c>
      <c r="R94" s="194"/>
      <c r="S94" s="194"/>
      <c r="T94" s="194"/>
      <c r="U94" s="194"/>
    </row>
    <row r="95" spans="1:21" s="12" customFormat="1" ht="15">
      <c r="A95" s="207" t="s">
        <v>618</v>
      </c>
      <c r="B95" s="135">
        <v>8.1199999999999992</v>
      </c>
      <c r="C95" s="135">
        <v>8.18</v>
      </c>
      <c r="D95" s="135">
        <v>16.29</v>
      </c>
      <c r="E95" s="135">
        <v>7.53</v>
      </c>
      <c r="F95" s="135">
        <v>0.65</v>
      </c>
      <c r="G95" s="208" t="s">
        <v>36</v>
      </c>
      <c r="H95" s="135">
        <v>2.5</v>
      </c>
      <c r="I95" s="135">
        <v>4.2699999999999996</v>
      </c>
      <c r="J95" s="135">
        <v>2.93</v>
      </c>
      <c r="K95" s="135">
        <v>191.38</v>
      </c>
      <c r="L95" s="135">
        <v>15.41</v>
      </c>
      <c r="M95" s="135">
        <v>91.91</v>
      </c>
      <c r="N95" s="135">
        <v>256.80</v>
      </c>
      <c r="O95" s="135">
        <v>0</v>
      </c>
      <c r="P95" s="135">
        <v>2.5299999999999998</v>
      </c>
      <c r="Q95" s="135">
        <v>18.14</v>
      </c>
      <c r="R95" s="194"/>
      <c r="S95" s="194"/>
      <c r="T95" s="194"/>
      <c r="U95" s="194"/>
    </row>
    <row r="96" spans="1:26" s="12" customFormat="1" ht="15">
      <c r="A96" s="207" t="s">
        <v>619</v>
      </c>
      <c r="B96" s="135">
        <v>8.0500000000000007</v>
      </c>
      <c r="C96" s="135">
        <v>8.1199999999999992</v>
      </c>
      <c r="D96" s="135">
        <v>16.170000000000002</v>
      </c>
      <c r="E96" s="135">
        <v>7.43</v>
      </c>
      <c r="F96" s="135">
        <v>0.67</v>
      </c>
      <c r="G96" s="208" t="s">
        <v>36</v>
      </c>
      <c r="H96" s="135">
        <v>2.5</v>
      </c>
      <c r="I96" s="135">
        <v>4.1900000000000004</v>
      </c>
      <c r="J96" s="135">
        <v>4.3099999999999996</v>
      </c>
      <c r="K96" s="135">
        <v>202.08</v>
      </c>
      <c r="L96" s="135">
        <v>15.52</v>
      </c>
      <c r="M96" s="135">
        <v>91.47</v>
      </c>
      <c r="N96" s="135">
        <v>273.10000000000002</v>
      </c>
      <c r="O96" s="135">
        <v>0</v>
      </c>
      <c r="P96" s="135">
        <v>2.5299999999999998</v>
      </c>
      <c r="Q96" s="135">
        <v>18.13</v>
      </c>
      <c r="R96" s="194"/>
      <c r="S96" s="194"/>
      <c r="T96" s="194"/>
      <c r="U96" s="194"/>
      <c r="Z96" s="105"/>
    </row>
    <row r="97" spans="1:21" s="12" customFormat="1" ht="15">
      <c r="A97" s="207" t="s">
        <v>620</v>
      </c>
      <c r="B97" s="135">
        <v>7.78</v>
      </c>
      <c r="C97" s="135">
        <v>8.23</v>
      </c>
      <c r="D97" s="135">
        <v>16.010000000000002</v>
      </c>
      <c r="E97" s="135">
        <v>7.52</v>
      </c>
      <c r="F97" s="135">
        <v>0.51</v>
      </c>
      <c r="G97" s="208" t="s">
        <v>36</v>
      </c>
      <c r="H97" s="135">
        <v>2.66</v>
      </c>
      <c r="I97" s="135">
        <v>4.2300000000000004</v>
      </c>
      <c r="J97" s="135">
        <v>2.85</v>
      </c>
      <c r="K97" s="135">
        <v>200.73</v>
      </c>
      <c r="L97" s="135">
        <v>15.68</v>
      </c>
      <c r="M97" s="135">
        <v>91.61</v>
      </c>
      <c r="N97" s="135">
        <v>314</v>
      </c>
      <c r="O97" s="135">
        <v>0</v>
      </c>
      <c r="P97" s="135">
        <v>2.52</v>
      </c>
      <c r="Q97" s="135">
        <v>17.87</v>
      </c>
      <c r="R97" s="194"/>
      <c r="S97" s="194"/>
      <c r="T97" s="194"/>
      <c r="U97" s="194"/>
    </row>
    <row r="98" spans="1:21" s="12" customFormat="1" ht="15">
      <c r="A98" s="207" t="s">
        <v>621</v>
      </c>
      <c r="B98" s="135">
        <v>7.55</v>
      </c>
      <c r="C98" s="135">
        <v>8.2899999999999991</v>
      </c>
      <c r="D98" s="135">
        <v>15.84</v>
      </c>
      <c r="E98" s="135">
        <v>7.84</v>
      </c>
      <c r="F98" s="135">
        <v>0.44</v>
      </c>
      <c r="G98" s="208" t="s">
        <v>36</v>
      </c>
      <c r="H98" s="135">
        <v>3.06</v>
      </c>
      <c r="I98" s="135">
        <v>4.45</v>
      </c>
      <c r="J98" s="135">
        <v>3.97</v>
      </c>
      <c r="K98" s="135">
        <v>198.57</v>
      </c>
      <c r="L98" s="135">
        <v>15.76</v>
      </c>
      <c r="M98" s="135">
        <v>92.12</v>
      </c>
      <c r="N98" s="135">
        <v>273.10000000000002</v>
      </c>
      <c r="O98" s="135">
        <v>0</v>
      </c>
      <c r="P98" s="135">
        <v>2.5099999999999998</v>
      </c>
      <c r="Q98" s="135">
        <v>17.14</v>
      </c>
      <c r="R98" s="194"/>
      <c r="S98" s="194"/>
      <c r="T98" s="194"/>
      <c r="U98" s="194"/>
    </row>
    <row r="99" spans="1:21" s="12" customFormat="1" ht="15">
      <c r="A99" s="207" t="s">
        <v>622</v>
      </c>
      <c r="B99" s="135">
        <v>7.39</v>
      </c>
      <c r="C99" s="135">
        <v>8.1999999999999993</v>
      </c>
      <c r="D99" s="135">
        <v>15.59</v>
      </c>
      <c r="E99" s="135">
        <v>8.1300000000000008</v>
      </c>
      <c r="F99" s="135">
        <v>0.47</v>
      </c>
      <c r="G99" s="208" t="s">
        <v>36</v>
      </c>
      <c r="H99" s="135">
        <v>3.06</v>
      </c>
      <c r="I99" s="135">
        <v>4.34</v>
      </c>
      <c r="J99" s="135">
        <v>3.96</v>
      </c>
      <c r="K99" s="135">
        <v>196.77</v>
      </c>
      <c r="L99" s="135">
        <v>16.03</v>
      </c>
      <c r="M99" s="135">
        <v>92.66</v>
      </c>
      <c r="N99" s="135">
        <v>260.80</v>
      </c>
      <c r="O99" s="135">
        <v>0</v>
      </c>
      <c r="P99" s="135">
        <v>2.5</v>
      </c>
      <c r="Q99" s="135">
        <v>16.940000000000001</v>
      </c>
      <c r="R99" s="194"/>
      <c r="S99" s="194"/>
      <c r="T99" s="194"/>
      <c r="U99" s="194"/>
    </row>
    <row r="100" spans="1:33" s="12" customFormat="1" ht="15">
      <c r="A100" s="207" t="s">
        <v>623</v>
      </c>
      <c r="B100" s="135">
        <v>7.25</v>
      </c>
      <c r="C100" s="135">
        <v>8.1999999999999993</v>
      </c>
      <c r="D100" s="135">
        <v>15.45</v>
      </c>
      <c r="E100" s="135">
        <v>7.70</v>
      </c>
      <c r="F100" s="135">
        <v>0.57999999999999996</v>
      </c>
      <c r="G100" s="208" t="s">
        <v>36</v>
      </c>
      <c r="H100" s="135">
        <v>3.06</v>
      </c>
      <c r="I100" s="135">
        <v>4.3099999999999996</v>
      </c>
      <c r="J100" s="135">
        <v>4.03</v>
      </c>
      <c r="K100" s="135">
        <v>188.01</v>
      </c>
      <c r="L100" s="135">
        <v>13.54</v>
      </c>
      <c r="M100" s="135">
        <v>93.77</v>
      </c>
      <c r="N100" s="135">
        <v>280.89999999999998</v>
      </c>
      <c r="O100" s="135">
        <v>0</v>
      </c>
      <c r="P100" s="135">
        <v>2.4900000000000002</v>
      </c>
      <c r="Q100" s="135">
        <v>17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624</v>
      </c>
      <c r="B101" s="135">
        <v>7.01</v>
      </c>
      <c r="C101" s="135">
        <v>8.15</v>
      </c>
      <c r="D101" s="135">
        <v>15.16</v>
      </c>
      <c r="E101" s="135">
        <v>8.5299999999999994</v>
      </c>
      <c r="F101" s="135">
        <v>0.64</v>
      </c>
      <c r="G101" s="208" t="s">
        <v>36</v>
      </c>
      <c r="H101" s="135">
        <v>3.06</v>
      </c>
      <c r="I101" s="135">
        <v>4.41</v>
      </c>
      <c r="J101" s="135">
        <v>4.20</v>
      </c>
      <c r="K101" s="135">
        <v>197.79</v>
      </c>
      <c r="L101" s="135">
        <v>12.36</v>
      </c>
      <c r="M101" s="135">
        <v>94.08</v>
      </c>
      <c r="N101" s="135">
        <v>276.80</v>
      </c>
      <c r="O101" s="135">
        <v>0</v>
      </c>
      <c r="P101" s="135">
        <v>2.48</v>
      </c>
      <c r="Q101" s="135">
        <v>16.850000000000001</v>
      </c>
      <c r="R101" s="194"/>
      <c r="S101" s="194"/>
      <c r="T101" s="194"/>
      <c r="U101" s="194"/>
    </row>
    <row r="102" spans="1:21" s="12" customFormat="1" ht="15">
      <c r="A102" s="207" t="s">
        <v>625</v>
      </c>
      <c r="B102" s="135">
        <v>6.69</v>
      </c>
      <c r="C102" s="135">
        <v>8.14</v>
      </c>
      <c r="D102" s="135">
        <v>14.83</v>
      </c>
      <c r="E102" s="135">
        <v>8.25</v>
      </c>
      <c r="F102" s="135">
        <v>0.79</v>
      </c>
      <c r="G102" s="208" t="s">
        <v>36</v>
      </c>
      <c r="H102" s="135">
        <v>3.05</v>
      </c>
      <c r="I102" s="135">
        <v>4.42</v>
      </c>
      <c r="J102" s="135">
        <v>3.83</v>
      </c>
      <c r="K102" s="135">
        <v>196.65</v>
      </c>
      <c r="L102" s="135">
        <v>11.85</v>
      </c>
      <c r="M102" s="135">
        <v>94.38</v>
      </c>
      <c r="N102" s="135">
        <v>296.10000000000002</v>
      </c>
      <c r="O102" s="135">
        <v>0</v>
      </c>
      <c r="P102" s="135">
        <v>2.4700000000000002</v>
      </c>
      <c r="Q102" s="135">
        <v>16.350000000000001</v>
      </c>
      <c r="R102" s="194"/>
      <c r="S102" s="194"/>
      <c r="T102" s="194"/>
      <c r="U102" s="194"/>
    </row>
    <row r="103" spans="1:21" s="12" customFormat="1" ht="15">
      <c r="A103" s="207" t="s">
        <v>626</v>
      </c>
      <c r="B103" s="135">
        <v>6.41</v>
      </c>
      <c r="C103" s="135">
        <v>8.1199999999999992</v>
      </c>
      <c r="D103" s="135">
        <v>14.53</v>
      </c>
      <c r="E103" s="135">
        <v>8.41</v>
      </c>
      <c r="F103" s="135">
        <v>0.67</v>
      </c>
      <c r="G103" s="208" t="s">
        <v>36</v>
      </c>
      <c r="H103" s="135">
        <v>3.05</v>
      </c>
      <c r="I103" s="135">
        <v>4.3899999999999997</v>
      </c>
      <c r="J103" s="135">
        <v>3.14</v>
      </c>
      <c r="K103" s="135">
        <v>201.76</v>
      </c>
      <c r="L103" s="135">
        <v>13.63</v>
      </c>
      <c r="M103" s="135">
        <v>94.88</v>
      </c>
      <c r="N103" s="135">
        <v>309</v>
      </c>
      <c r="O103" s="135">
        <v>0</v>
      </c>
      <c r="P103" s="135">
        <v>2.46</v>
      </c>
      <c r="Q103" s="135">
        <v>15.86</v>
      </c>
      <c r="R103" s="194"/>
      <c r="S103" s="194"/>
      <c r="T103" s="194"/>
      <c r="U103" s="194"/>
    </row>
    <row r="104" spans="1:21" s="12" customFormat="1" ht="15">
      <c r="A104" s="209" t="s">
        <v>627</v>
      </c>
      <c r="B104" s="210">
        <v>6.29</v>
      </c>
      <c r="C104" s="210">
        <v>7.95</v>
      </c>
      <c r="D104" s="210">
        <v>14.24</v>
      </c>
      <c r="E104" s="210">
        <v>3.58</v>
      </c>
      <c r="F104" s="210">
        <v>0.56999999999999995</v>
      </c>
      <c r="G104" s="211" t="s">
        <v>36</v>
      </c>
      <c r="H104" s="210">
        <v>3.05</v>
      </c>
      <c r="I104" s="210">
        <v>4.1900000000000004</v>
      </c>
      <c r="J104" s="210">
        <v>3.89</v>
      </c>
      <c r="K104" s="210">
        <v>182.38</v>
      </c>
      <c r="L104" s="210">
        <v>13.48</v>
      </c>
      <c r="M104" s="210">
        <v>95.01</v>
      </c>
      <c r="N104" s="210">
        <v>321</v>
      </c>
      <c r="O104" s="210">
        <v>0</v>
      </c>
      <c r="P104" s="210">
        <v>2.46</v>
      </c>
      <c r="Q104" s="210">
        <v>15.57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0.67000000000000004</v>
      </c>
      <c r="C106" s="67">
        <f>MIN(C9:C104)</f>
        <v>7.9500000000000002</v>
      </c>
      <c r="D106" s="67">
        <f t="shared" si="0" ref="D106:Q106">MIN(D9:D104)</f>
        <v>12.539999999999999</v>
      </c>
      <c r="E106" s="67">
        <f t="shared" si="0"/>
        <v>2.0499999999999998</v>
      </c>
      <c r="F106" s="67">
        <f t="shared" si="0"/>
        <v>0.050000000000000003</v>
      </c>
      <c r="G106" s="67">
        <f t="shared" si="0"/>
        <v>0</v>
      </c>
      <c r="H106" s="67">
        <f t="shared" si="0"/>
        <v>2.5</v>
      </c>
      <c r="I106" s="67">
        <f t="shared" si="0"/>
        <v>2.52</v>
      </c>
      <c r="J106" s="67">
        <f t="shared" si="0"/>
        <v>0.16</v>
      </c>
      <c r="K106" s="67">
        <f t="shared" si="0"/>
        <v>0.16</v>
      </c>
      <c r="L106" s="67">
        <f t="shared" si="0"/>
        <v>11.85</v>
      </c>
      <c r="M106" s="67">
        <f t="shared" si="0"/>
        <v>86.849999999999994</v>
      </c>
      <c r="N106" s="67">
        <f t="shared" si="0"/>
        <v>230</v>
      </c>
      <c r="O106" s="67">
        <f t="shared" si="0"/>
        <v>0</v>
      </c>
      <c r="P106" s="67">
        <f t="shared" si="0"/>
        <v>2.27</v>
      </c>
      <c r="Q106" s="67">
        <f t="shared" si="0"/>
        <v>5.79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11.68</v>
      </c>
      <c r="C107" s="66">
        <f t="shared" si="1" ref="C107:Q107">MAX(C9:C104)</f>
        <v>22.870000000000001</v>
      </c>
      <c r="D107" s="66">
        <f t="shared" si="1"/>
        <v>33.159999999999997</v>
      </c>
      <c r="E107" s="66">
        <f t="shared" si="1"/>
        <v>9.9199999999999999</v>
      </c>
      <c r="F107" s="66">
        <f t="shared" si="1"/>
        <v>3.8700000000000001</v>
      </c>
      <c r="G107" s="66">
        <f t="shared" si="1"/>
        <v>0</v>
      </c>
      <c r="H107" s="66">
        <f t="shared" si="1"/>
        <v>11.01</v>
      </c>
      <c r="I107" s="66">
        <f t="shared" si="1"/>
        <v>5.4400000000000004</v>
      </c>
      <c r="J107" s="66">
        <f t="shared" si="1"/>
        <v>5.1399999999999997</v>
      </c>
      <c r="K107" s="66">
        <f t="shared" si="1"/>
        <v>359.05000000000001</v>
      </c>
      <c r="L107" s="66">
        <f t="shared" si="1"/>
        <v>25.879999999999999</v>
      </c>
      <c r="M107" s="66">
        <f t="shared" si="1"/>
        <v>99.310000000000002</v>
      </c>
      <c r="N107" s="66">
        <f t="shared" si="1"/>
        <v>1178.8</v>
      </c>
      <c r="O107" s="66">
        <f t="shared" si="1"/>
        <v>1.3999999999999999</v>
      </c>
      <c r="P107" s="66">
        <f t="shared" si="1"/>
        <v>2.5699999999999998</v>
      </c>
      <c r="Q107" s="66">
        <f t="shared" si="1"/>
        <v>46.549999999999997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4.556354166666666</v>
      </c>
      <c r="C108" s="67">
        <f t="shared" si="2" ref="C108:Q108">AVERAGE(C9:C104)</f>
        <v>14.515000000000006</v>
      </c>
      <c r="D108" s="67">
        <f t="shared" si="2"/>
        <v>19.070729166666666</v>
      </c>
      <c r="E108" s="67">
        <f t="shared" si="2"/>
        <v>6.965729166666665</v>
      </c>
      <c r="F108" s="67">
        <f t="shared" si="2"/>
        <v>0.84691489361702144</v>
      </c>
      <c r="G108" s="67" t="e">
        <f t="shared" si="2"/>
        <v>#DIV/0!</v>
      </c>
      <c r="H108" s="67">
        <f t="shared" si="2"/>
        <v>5.2657291666666683</v>
      </c>
      <c r="I108" s="67">
        <f t="shared" si="2"/>
        <v>3.985937499999999</v>
      </c>
      <c r="J108" s="67">
        <f t="shared" si="2"/>
        <v>1.8853125000000002</v>
      </c>
      <c r="K108" s="67">
        <f t="shared" si="2"/>
        <v>168.1952083333334</v>
      </c>
      <c r="L108" s="67">
        <f t="shared" si="2"/>
        <v>17.659479166666667</v>
      </c>
      <c r="M108" s="67">
        <f t="shared" si="2"/>
        <v>94.035312500000046</v>
      </c>
      <c r="N108" s="67">
        <f t="shared" si="2"/>
        <v>702.09791666666672</v>
      </c>
      <c r="O108" s="67">
        <f t="shared" si="2"/>
        <v>0.10833333333333334</v>
      </c>
      <c r="P108" s="67">
        <f t="shared" si="2"/>
        <v>2.4076041666666663</v>
      </c>
      <c r="Q108" s="67">
        <f t="shared" si="2"/>
        <v>16.205520833333328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2.9383332618095146</v>
      </c>
      <c r="C109" s="67">
        <f t="shared" si="3" ref="C109:Q109">STDEV(C9:C104)</f>
        <v>4.3066826896665473</v>
      </c>
      <c r="D109" s="67">
        <f t="shared" si="3"/>
        <v>5.1084673249505475</v>
      </c>
      <c r="E109" s="67">
        <f t="shared" si="3"/>
        <v>2.0996840588359666</v>
      </c>
      <c r="F109" s="67">
        <f t="shared" si="3"/>
        <v>0.8328923907771667</v>
      </c>
      <c r="G109" s="67" t="e">
        <f t="shared" si="3"/>
        <v>#DIV/0!</v>
      </c>
      <c r="H109" s="67">
        <f t="shared" si="3"/>
        <v>2.2457603306495737</v>
      </c>
      <c r="I109" s="67">
        <f t="shared" si="3"/>
        <v>0.6668237013515792</v>
      </c>
      <c r="J109" s="67">
        <f t="shared" si="3"/>
        <v>1.3755258922547253</v>
      </c>
      <c r="K109" s="67">
        <f t="shared" si="3"/>
        <v>95.393436549891803</v>
      </c>
      <c r="L109" s="67">
        <f t="shared" si="3"/>
        <v>3.119477476417666</v>
      </c>
      <c r="M109" s="67">
        <f t="shared" si="3"/>
        <v>4.1104045013202395</v>
      </c>
      <c r="N109" s="67">
        <f t="shared" si="3"/>
        <v>262.29496292258688</v>
      </c>
      <c r="O109" s="67">
        <f t="shared" si="3"/>
        <v>0.22834261730389488</v>
      </c>
      <c r="P109" s="67">
        <f t="shared" si="3"/>
        <v>0.090864210911455134</v>
      </c>
      <c r="Q109" s="67">
        <f t="shared" si="3"/>
        <v>7.8826223087700527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v>96</v>
      </c>
      <c r="G110" s="66"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628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9eb7b2-373a-46d8-baaf-aabde3ef43e2}">
  <sheetPr codeName=""/>
  <dimension ref="A1:AG117"/>
  <sheetViews>
    <sheetView workbookViewId="0" topLeftCell="A1">
      <pane xSplit="1" ySplit="8" topLeftCell="B63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K7" sqref="K7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05-07-2022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629</v>
      </c>
      <c r="B9" s="135">
        <v>6.26</v>
      </c>
      <c r="C9" s="135">
        <v>7.83</v>
      </c>
      <c r="D9" s="135">
        <v>14.09</v>
      </c>
      <c r="E9" s="135">
        <v>8.2200000000000006</v>
      </c>
      <c r="F9" s="135">
        <v>0.5</v>
      </c>
      <c r="G9" s="208" t="s">
        <v>36</v>
      </c>
      <c r="H9" s="135">
        <v>3</v>
      </c>
      <c r="I9" s="135">
        <v>4.1900000000000004</v>
      </c>
      <c r="J9" s="208" t="s">
        <v>36</v>
      </c>
      <c r="K9" s="208" t="s">
        <v>36</v>
      </c>
      <c r="L9" s="135">
        <v>13.16</v>
      </c>
      <c r="M9" s="135">
        <v>95.06</v>
      </c>
      <c r="N9" s="135">
        <v>325.30</v>
      </c>
      <c r="O9" s="135">
        <v>0</v>
      </c>
      <c r="P9" s="135">
        <v>2.4500000000000002</v>
      </c>
      <c r="Q9" s="135">
        <v>15.28</v>
      </c>
      <c r="R9" s="194"/>
      <c r="S9" s="194"/>
      <c r="T9" s="194"/>
      <c r="U9" s="194"/>
    </row>
    <row r="10" spans="1:21" s="12" customFormat="1" ht="15">
      <c r="A10" s="207" t="s">
        <v>630</v>
      </c>
      <c r="B10" s="135">
        <v>6.31</v>
      </c>
      <c r="C10" s="135">
        <v>7.62</v>
      </c>
      <c r="D10" s="135">
        <v>13.93</v>
      </c>
      <c r="E10" s="135">
        <v>8.41</v>
      </c>
      <c r="F10" s="135">
        <v>0.56000000000000005</v>
      </c>
      <c r="G10" s="208" t="s">
        <v>36</v>
      </c>
      <c r="H10" s="135">
        <v>2.88</v>
      </c>
      <c r="I10" s="135">
        <v>4.3099999999999996</v>
      </c>
      <c r="J10" s="208" t="s">
        <v>36</v>
      </c>
      <c r="K10" s="208" t="s">
        <v>36</v>
      </c>
      <c r="L10" s="135">
        <v>13.55</v>
      </c>
      <c r="M10" s="135">
        <v>95.18</v>
      </c>
      <c r="N10" s="135">
        <v>301.89999999999998</v>
      </c>
      <c r="O10" s="135">
        <v>0</v>
      </c>
      <c r="P10" s="135">
        <v>2.44</v>
      </c>
      <c r="Q10" s="135">
        <v>14.91</v>
      </c>
      <c r="R10" s="194"/>
      <c r="S10" s="194"/>
      <c r="T10" s="194"/>
      <c r="U10" s="194"/>
    </row>
    <row r="11" spans="1:21" s="12" customFormat="1" ht="15">
      <c r="A11" s="207" t="s">
        <v>631</v>
      </c>
      <c r="B11" s="135">
        <v>6.27</v>
      </c>
      <c r="C11" s="135">
        <v>7.61</v>
      </c>
      <c r="D11" s="135">
        <v>13.88</v>
      </c>
      <c r="E11" s="135">
        <v>8.4700000000000006</v>
      </c>
      <c r="F11" s="135">
        <v>0.57999999999999996</v>
      </c>
      <c r="G11" s="208" t="s">
        <v>36</v>
      </c>
      <c r="H11" s="135">
        <v>2.88</v>
      </c>
      <c r="I11" s="135">
        <v>3.70</v>
      </c>
      <c r="J11" s="208" t="s">
        <v>36</v>
      </c>
      <c r="K11" s="208" t="s">
        <v>36</v>
      </c>
      <c r="L11" s="135">
        <v>13.10</v>
      </c>
      <c r="M11" s="135">
        <v>95.39</v>
      </c>
      <c r="N11" s="135">
        <v>340</v>
      </c>
      <c r="O11" s="135">
        <v>0</v>
      </c>
      <c r="P11" s="135">
        <v>2.4300000000000002</v>
      </c>
      <c r="Q11" s="135">
        <v>14.61</v>
      </c>
      <c r="R11" s="194"/>
      <c r="S11" s="194"/>
      <c r="T11" s="194"/>
      <c r="U11" s="194"/>
    </row>
    <row r="12" spans="1:21" s="12" customFormat="1" ht="15">
      <c r="A12" s="207" t="s">
        <v>632</v>
      </c>
      <c r="B12" s="135">
        <v>6.31</v>
      </c>
      <c r="C12" s="135">
        <v>7.5</v>
      </c>
      <c r="D12" s="135">
        <v>13.81</v>
      </c>
      <c r="E12" s="135">
        <v>8.8000000000000007</v>
      </c>
      <c r="F12" s="135">
        <v>0.65</v>
      </c>
      <c r="G12" s="208" t="s">
        <v>36</v>
      </c>
      <c r="H12" s="135">
        <v>2.88</v>
      </c>
      <c r="I12" s="135">
        <v>3.89</v>
      </c>
      <c r="J12" s="208" t="s">
        <v>36</v>
      </c>
      <c r="K12" s="208" t="s">
        <v>36</v>
      </c>
      <c r="L12" s="135">
        <v>13.93</v>
      </c>
      <c r="M12" s="135">
        <v>94.99</v>
      </c>
      <c r="N12" s="135">
        <v>316.89999999999998</v>
      </c>
      <c r="O12" s="135">
        <v>0</v>
      </c>
      <c r="P12" s="135">
        <v>2.4300000000000002</v>
      </c>
      <c r="Q12" s="135">
        <v>14.5</v>
      </c>
      <c r="R12" s="194"/>
      <c r="S12" s="194"/>
      <c r="T12" s="194"/>
      <c r="U12" s="194"/>
    </row>
    <row r="13" spans="1:21" s="12" customFormat="1" ht="15">
      <c r="A13" s="207" t="s">
        <v>633</v>
      </c>
      <c r="B13" s="135">
        <v>6.37</v>
      </c>
      <c r="C13" s="135">
        <v>7.60</v>
      </c>
      <c r="D13" s="135">
        <v>13.97</v>
      </c>
      <c r="E13" s="135">
        <v>8.7799999999999994</v>
      </c>
      <c r="F13" s="135">
        <v>0.53</v>
      </c>
      <c r="G13" s="208" t="s">
        <v>36</v>
      </c>
      <c r="H13" s="135">
        <v>3.36</v>
      </c>
      <c r="I13" s="135">
        <v>4.09</v>
      </c>
      <c r="J13" s="208" t="s">
        <v>36</v>
      </c>
      <c r="K13" s="208" t="s">
        <v>36</v>
      </c>
      <c r="L13" s="135">
        <v>13.66</v>
      </c>
      <c r="M13" s="135">
        <v>95</v>
      </c>
      <c r="N13" s="135">
        <v>315.30</v>
      </c>
      <c r="O13" s="135">
        <v>0</v>
      </c>
      <c r="P13" s="135">
        <v>2.4300000000000002</v>
      </c>
      <c r="Q13" s="135">
        <v>14.40</v>
      </c>
      <c r="R13" s="194"/>
      <c r="S13" s="194"/>
      <c r="T13" s="194"/>
      <c r="U13" s="194"/>
    </row>
    <row r="14" spans="1:21" s="12" customFormat="1" ht="15">
      <c r="A14" s="207" t="s">
        <v>634</v>
      </c>
      <c r="B14" s="135">
        <v>6.41</v>
      </c>
      <c r="C14" s="135">
        <v>7.44</v>
      </c>
      <c r="D14" s="135">
        <v>13.85</v>
      </c>
      <c r="E14" s="135">
        <v>9.01</v>
      </c>
      <c r="F14" s="135">
        <v>0.68</v>
      </c>
      <c r="G14" s="208" t="s">
        <v>36</v>
      </c>
      <c r="H14" s="135">
        <v>4.55</v>
      </c>
      <c r="I14" s="135">
        <v>4.1500000000000004</v>
      </c>
      <c r="J14" s="208" t="s">
        <v>36</v>
      </c>
      <c r="K14" s="208" t="s">
        <v>36</v>
      </c>
      <c r="L14" s="135">
        <v>12.40</v>
      </c>
      <c r="M14" s="135">
        <v>94.91</v>
      </c>
      <c r="N14" s="135">
        <v>299.30</v>
      </c>
      <c r="O14" s="135">
        <v>0</v>
      </c>
      <c r="P14" s="135">
        <v>2.41</v>
      </c>
      <c r="Q14" s="135">
        <v>14.18</v>
      </c>
      <c r="R14" s="194"/>
      <c r="S14" s="194"/>
      <c r="T14" s="194"/>
      <c r="U14" s="194"/>
    </row>
    <row r="15" spans="1:21" s="12" customFormat="1" ht="15">
      <c r="A15" s="207" t="s">
        <v>635</v>
      </c>
      <c r="B15" s="135">
        <v>6.41</v>
      </c>
      <c r="C15" s="135">
        <v>7.36</v>
      </c>
      <c r="D15" s="135">
        <v>13.77</v>
      </c>
      <c r="E15" s="135">
        <v>9.40</v>
      </c>
      <c r="F15" s="135">
        <v>0.60</v>
      </c>
      <c r="G15" s="208" t="s">
        <v>36</v>
      </c>
      <c r="H15" s="135">
        <v>4.55</v>
      </c>
      <c r="I15" s="135">
        <v>4.01</v>
      </c>
      <c r="J15" s="208" t="s">
        <v>36</v>
      </c>
      <c r="K15" s="208" t="s">
        <v>36</v>
      </c>
      <c r="L15" s="135">
        <v>12.30</v>
      </c>
      <c r="M15" s="135">
        <v>94.84</v>
      </c>
      <c r="N15" s="135">
        <v>316.30</v>
      </c>
      <c r="O15" s="135">
        <v>0</v>
      </c>
      <c r="P15" s="135">
        <v>2.41</v>
      </c>
      <c r="Q15" s="135">
        <v>14.02</v>
      </c>
      <c r="R15" s="194"/>
      <c r="S15" s="194"/>
      <c r="T15" s="194"/>
      <c r="U15" s="194"/>
    </row>
    <row r="16" spans="1:21" s="12" customFormat="1" ht="15">
      <c r="A16" s="207" t="s">
        <v>636</v>
      </c>
      <c r="B16" s="135">
        <v>6.40</v>
      </c>
      <c r="C16" s="135">
        <v>7.29</v>
      </c>
      <c r="D16" s="135">
        <v>13.69</v>
      </c>
      <c r="E16" s="135">
        <v>9.3000000000000007</v>
      </c>
      <c r="F16" s="135">
        <v>0.56999999999999995</v>
      </c>
      <c r="G16" s="208" t="s">
        <v>36</v>
      </c>
      <c r="H16" s="135">
        <v>4.55</v>
      </c>
      <c r="I16" s="135">
        <v>3.80</v>
      </c>
      <c r="J16" s="208" t="s">
        <v>36</v>
      </c>
      <c r="K16" s="208" t="s">
        <v>36</v>
      </c>
      <c r="L16" s="135">
        <v>13.09</v>
      </c>
      <c r="M16" s="135">
        <v>94.87</v>
      </c>
      <c r="N16" s="135">
        <v>305</v>
      </c>
      <c r="O16" s="135">
        <v>0</v>
      </c>
      <c r="P16" s="135">
        <v>2.41</v>
      </c>
      <c r="Q16" s="135">
        <v>13.86</v>
      </c>
      <c r="R16" s="194"/>
      <c r="S16" s="194"/>
      <c r="T16" s="194"/>
      <c r="U16" s="194"/>
    </row>
    <row r="17" spans="1:21" s="12" customFormat="1" ht="15">
      <c r="A17" s="207" t="s">
        <v>637</v>
      </c>
      <c r="B17" s="135">
        <v>6.15</v>
      </c>
      <c r="C17" s="135">
        <v>7.43</v>
      </c>
      <c r="D17" s="135">
        <v>13.58</v>
      </c>
      <c r="E17" s="135">
        <v>9.7200000000000006</v>
      </c>
      <c r="F17" s="135">
        <v>0.60</v>
      </c>
      <c r="G17" s="208" t="s">
        <v>36</v>
      </c>
      <c r="H17" s="135">
        <v>4.53</v>
      </c>
      <c r="I17" s="135">
        <v>4.07</v>
      </c>
      <c r="J17" s="208" t="s">
        <v>36</v>
      </c>
      <c r="K17" s="208" t="s">
        <v>36</v>
      </c>
      <c r="L17" s="135">
        <v>12.26</v>
      </c>
      <c r="M17" s="135">
        <v>94.60</v>
      </c>
      <c r="N17" s="135">
        <v>312.89999999999998</v>
      </c>
      <c r="O17" s="135">
        <v>0</v>
      </c>
      <c r="P17" s="135">
        <v>2.40</v>
      </c>
      <c r="Q17" s="135">
        <v>13.68</v>
      </c>
      <c r="R17" s="194"/>
      <c r="S17" s="194"/>
      <c r="T17" s="194"/>
      <c r="U17" s="194"/>
    </row>
    <row r="18" spans="1:21" s="12" customFormat="1" ht="15">
      <c r="A18" s="207" t="s">
        <v>638</v>
      </c>
      <c r="B18" s="135">
        <v>5.84</v>
      </c>
      <c r="C18" s="135">
        <v>7.54</v>
      </c>
      <c r="D18" s="135">
        <v>13.39</v>
      </c>
      <c r="E18" s="135">
        <v>9.43</v>
      </c>
      <c r="F18" s="135">
        <v>0.62</v>
      </c>
      <c r="G18" s="208" t="s">
        <v>36</v>
      </c>
      <c r="H18" s="135">
        <v>4.4800000000000004</v>
      </c>
      <c r="I18" s="135">
        <v>4.45</v>
      </c>
      <c r="J18" s="208" t="s">
        <v>36</v>
      </c>
      <c r="K18" s="208" t="s">
        <v>36</v>
      </c>
      <c r="L18" s="135">
        <v>12.97</v>
      </c>
      <c r="M18" s="135">
        <v>94.57</v>
      </c>
      <c r="N18" s="135">
        <v>319.20</v>
      </c>
      <c r="O18" s="135">
        <v>0</v>
      </c>
      <c r="P18" s="135">
        <v>2.40</v>
      </c>
      <c r="Q18" s="135">
        <v>13.24</v>
      </c>
      <c r="R18" s="194"/>
      <c r="S18" s="194"/>
      <c r="T18" s="194"/>
      <c r="U18" s="194"/>
    </row>
    <row r="19" spans="1:21" s="12" customFormat="1" ht="15">
      <c r="A19" s="207" t="s">
        <v>639</v>
      </c>
      <c r="B19" s="135">
        <v>5.55</v>
      </c>
      <c r="C19" s="135">
        <v>7.65</v>
      </c>
      <c r="D19" s="135">
        <v>13.20</v>
      </c>
      <c r="E19" s="135">
        <v>9.65</v>
      </c>
      <c r="F19" s="135">
        <v>0.72</v>
      </c>
      <c r="G19" s="208" t="s">
        <v>36</v>
      </c>
      <c r="H19" s="135">
        <v>4.4800000000000004</v>
      </c>
      <c r="I19" s="135">
        <v>4.57</v>
      </c>
      <c r="J19" s="208" t="s">
        <v>36</v>
      </c>
      <c r="K19" s="208" t="s">
        <v>36</v>
      </c>
      <c r="L19" s="135">
        <v>13.59</v>
      </c>
      <c r="M19" s="135">
        <v>94.54</v>
      </c>
      <c r="N19" s="135">
        <v>329.30</v>
      </c>
      <c r="O19" s="135">
        <v>0</v>
      </c>
      <c r="P19" s="135">
        <v>2.39</v>
      </c>
      <c r="Q19" s="135">
        <v>12.96</v>
      </c>
      <c r="R19" s="194"/>
      <c r="S19" s="194"/>
      <c r="T19" s="194"/>
      <c r="U19" s="194"/>
    </row>
    <row r="20" spans="1:21" s="12" customFormat="1" ht="15">
      <c r="A20" s="207" t="s">
        <v>640</v>
      </c>
      <c r="B20" s="135">
        <v>5.34</v>
      </c>
      <c r="C20" s="135">
        <v>7.69</v>
      </c>
      <c r="D20" s="135">
        <v>13.03</v>
      </c>
      <c r="E20" s="135">
        <v>9.2100000000000009</v>
      </c>
      <c r="F20" s="135">
        <v>0.49</v>
      </c>
      <c r="G20" s="208" t="s">
        <v>36</v>
      </c>
      <c r="H20" s="135">
        <v>4.4800000000000004</v>
      </c>
      <c r="I20" s="135">
        <v>4.49</v>
      </c>
      <c r="J20" s="208" t="s">
        <v>36</v>
      </c>
      <c r="K20" s="208" t="s">
        <v>36</v>
      </c>
      <c r="L20" s="135">
        <v>12.11</v>
      </c>
      <c r="M20" s="135">
        <v>94.61</v>
      </c>
      <c r="N20" s="135">
        <v>325.30</v>
      </c>
      <c r="O20" s="135">
        <v>0</v>
      </c>
      <c r="P20" s="135">
        <v>2.38</v>
      </c>
      <c r="Q20" s="135">
        <v>12.80</v>
      </c>
      <c r="R20" s="194"/>
      <c r="S20" s="194"/>
      <c r="T20" s="194"/>
      <c r="U20" s="194"/>
    </row>
    <row r="21" spans="1:21" s="12" customFormat="1" ht="15">
      <c r="A21" s="207" t="s">
        <v>641</v>
      </c>
      <c r="B21" s="135">
        <v>5.20</v>
      </c>
      <c r="C21" s="135">
        <v>7.75</v>
      </c>
      <c r="D21" s="135">
        <v>12.95</v>
      </c>
      <c r="E21" s="135">
        <v>9.6199999999999992</v>
      </c>
      <c r="F21" s="135">
        <v>0.55000000000000004</v>
      </c>
      <c r="G21" s="208" t="s">
        <v>36</v>
      </c>
      <c r="H21" s="135">
        <v>4.1500000000000004</v>
      </c>
      <c r="I21" s="135">
        <v>4.4400000000000004</v>
      </c>
      <c r="J21" s="208" t="s">
        <v>36</v>
      </c>
      <c r="K21" s="208" t="s">
        <v>36</v>
      </c>
      <c r="L21" s="135">
        <v>11.60</v>
      </c>
      <c r="M21" s="135">
        <v>94.65</v>
      </c>
      <c r="N21" s="135">
        <v>324.80</v>
      </c>
      <c r="O21" s="135">
        <v>0</v>
      </c>
      <c r="P21" s="135">
        <v>2.37</v>
      </c>
      <c r="Q21" s="135">
        <v>12.68</v>
      </c>
      <c r="R21" s="194"/>
      <c r="S21" s="194"/>
      <c r="T21" s="194"/>
      <c r="U21" s="194"/>
    </row>
    <row r="22" spans="1:21" s="12" customFormat="1" ht="15">
      <c r="A22" s="207" t="s">
        <v>642</v>
      </c>
      <c r="B22" s="135">
        <v>5.17</v>
      </c>
      <c r="C22" s="135">
        <v>7.69</v>
      </c>
      <c r="D22" s="135">
        <v>12.85</v>
      </c>
      <c r="E22" s="135">
        <v>9.7200000000000006</v>
      </c>
      <c r="F22" s="135">
        <v>0.30</v>
      </c>
      <c r="G22" s="208" t="s">
        <v>36</v>
      </c>
      <c r="H22" s="135">
        <v>3.32</v>
      </c>
      <c r="I22" s="135">
        <v>4.3499999999999996</v>
      </c>
      <c r="J22" s="208" t="s">
        <v>36</v>
      </c>
      <c r="K22" s="208" t="s">
        <v>36</v>
      </c>
      <c r="L22" s="135">
        <v>11.54</v>
      </c>
      <c r="M22" s="135">
        <v>94.65</v>
      </c>
      <c r="N22" s="135">
        <v>339</v>
      </c>
      <c r="O22" s="135">
        <v>0</v>
      </c>
      <c r="P22" s="135">
        <v>2.37</v>
      </c>
      <c r="Q22" s="135">
        <v>12.43</v>
      </c>
      <c r="R22" s="194"/>
      <c r="S22" s="194"/>
      <c r="T22" s="194"/>
      <c r="U22" s="194"/>
    </row>
    <row r="23" spans="1:21" s="12" customFormat="1" ht="15">
      <c r="A23" s="207" t="s">
        <v>643</v>
      </c>
      <c r="B23" s="135">
        <v>5.12</v>
      </c>
      <c r="C23" s="135">
        <v>7.58</v>
      </c>
      <c r="D23" s="135">
        <v>12.70</v>
      </c>
      <c r="E23" s="135">
        <v>9.57</v>
      </c>
      <c r="F23" s="135">
        <v>0.43</v>
      </c>
      <c r="G23" s="208" t="s">
        <v>36</v>
      </c>
      <c r="H23" s="135">
        <v>3.32</v>
      </c>
      <c r="I23" s="135">
        <v>4.09</v>
      </c>
      <c r="J23" s="208" t="s">
        <v>36</v>
      </c>
      <c r="K23" s="208" t="s">
        <v>36</v>
      </c>
      <c r="L23" s="135">
        <v>11.51</v>
      </c>
      <c r="M23" s="135">
        <v>94.79</v>
      </c>
      <c r="N23" s="135">
        <v>335</v>
      </c>
      <c r="O23" s="135">
        <v>0</v>
      </c>
      <c r="P23" s="135">
        <v>2.36</v>
      </c>
      <c r="Q23" s="135">
        <v>12.22</v>
      </c>
      <c r="R23" s="194"/>
      <c r="S23" s="194"/>
      <c r="T23" s="194"/>
      <c r="U23" s="194"/>
    </row>
    <row r="24" spans="1:21" s="12" customFormat="1" ht="15">
      <c r="A24" s="207" t="s">
        <v>644</v>
      </c>
      <c r="B24" s="135">
        <v>5.0999999999999996</v>
      </c>
      <c r="C24" s="135">
        <v>7.56</v>
      </c>
      <c r="D24" s="135">
        <v>12.66</v>
      </c>
      <c r="E24" s="135">
        <v>4.25</v>
      </c>
      <c r="F24" s="135">
        <v>0.68</v>
      </c>
      <c r="G24" s="208" t="s">
        <v>36</v>
      </c>
      <c r="H24" s="135">
        <v>3.32</v>
      </c>
      <c r="I24" s="135">
        <v>4.08</v>
      </c>
      <c r="J24" s="208" t="s">
        <v>36</v>
      </c>
      <c r="K24" s="208" t="s">
        <v>36</v>
      </c>
      <c r="L24" s="135">
        <v>13.95</v>
      </c>
      <c r="M24" s="135">
        <v>94.99</v>
      </c>
      <c r="N24" s="135">
        <v>358.5</v>
      </c>
      <c r="O24" s="135">
        <v>0</v>
      </c>
      <c r="P24" s="135">
        <v>2.35</v>
      </c>
      <c r="Q24" s="135">
        <v>12.18</v>
      </c>
      <c r="R24" s="194"/>
      <c r="S24" s="194"/>
      <c r="T24" s="194"/>
      <c r="U24" s="194"/>
    </row>
    <row r="25" spans="1:21" s="12" customFormat="1" ht="15">
      <c r="A25" s="207" t="s">
        <v>645</v>
      </c>
      <c r="B25" s="135">
        <v>5.17</v>
      </c>
      <c r="C25" s="135">
        <v>7.55</v>
      </c>
      <c r="D25" s="135">
        <v>12.73</v>
      </c>
      <c r="E25" s="135">
        <v>9.44</v>
      </c>
      <c r="F25" s="135">
        <v>0.27</v>
      </c>
      <c r="G25" s="208" t="s">
        <v>36</v>
      </c>
      <c r="H25" s="135">
        <v>4.91</v>
      </c>
      <c r="I25" s="135">
        <v>4.1399999999999997</v>
      </c>
      <c r="J25" s="208" t="s">
        <v>36</v>
      </c>
      <c r="K25" s="208" t="s">
        <v>36</v>
      </c>
      <c r="L25" s="135">
        <v>14.60</v>
      </c>
      <c r="M25" s="135">
        <v>95.64</v>
      </c>
      <c r="N25" s="135">
        <v>354.40</v>
      </c>
      <c r="O25" s="135">
        <v>0</v>
      </c>
      <c r="P25" s="135">
        <v>2.35</v>
      </c>
      <c r="Q25" s="135">
        <v>12.11</v>
      </c>
      <c r="R25" s="194"/>
      <c r="S25" s="194"/>
      <c r="T25" s="194"/>
      <c r="U25" s="194"/>
    </row>
    <row r="26" spans="1:21" s="12" customFormat="1" ht="15">
      <c r="A26" s="207" t="s">
        <v>646</v>
      </c>
      <c r="B26" s="135">
        <v>5.30</v>
      </c>
      <c r="C26" s="135">
        <v>7.67</v>
      </c>
      <c r="D26" s="135">
        <v>12.97</v>
      </c>
      <c r="E26" s="135">
        <v>9.8000000000000007</v>
      </c>
      <c r="F26" s="135">
        <v>0.21</v>
      </c>
      <c r="G26" s="208" t="s">
        <v>36</v>
      </c>
      <c r="H26" s="135">
        <v>8.83</v>
      </c>
      <c r="I26" s="135">
        <v>4.30</v>
      </c>
      <c r="J26" s="208" t="s">
        <v>36</v>
      </c>
      <c r="K26" s="208" t="s">
        <v>36</v>
      </c>
      <c r="L26" s="135">
        <v>14.52</v>
      </c>
      <c r="M26" s="135">
        <v>96.23</v>
      </c>
      <c r="N26" s="135">
        <v>365.60</v>
      </c>
      <c r="O26" s="135">
        <v>0</v>
      </c>
      <c r="P26" s="135">
        <v>2.35</v>
      </c>
      <c r="Q26" s="135">
        <v>11.88</v>
      </c>
      <c r="R26" s="194"/>
      <c r="S26" s="194"/>
      <c r="T26" s="194"/>
      <c r="U26" s="194"/>
    </row>
    <row r="27" spans="1:21" s="12" customFormat="1" ht="15">
      <c r="A27" s="207" t="s">
        <v>647</v>
      </c>
      <c r="B27" s="135">
        <v>5.45</v>
      </c>
      <c r="C27" s="135">
        <v>7.63</v>
      </c>
      <c r="D27" s="135">
        <v>13.09</v>
      </c>
      <c r="E27" s="135">
        <v>9.91</v>
      </c>
      <c r="F27" s="135">
        <v>0.35</v>
      </c>
      <c r="G27" s="208" t="s">
        <v>36</v>
      </c>
      <c r="H27" s="135">
        <v>8.83</v>
      </c>
      <c r="I27" s="135">
        <v>4.0599999999999996</v>
      </c>
      <c r="J27" s="208" t="s">
        <v>36</v>
      </c>
      <c r="K27" s="208" t="s">
        <v>36</v>
      </c>
      <c r="L27" s="135">
        <v>12.79</v>
      </c>
      <c r="M27" s="135">
        <v>96.14</v>
      </c>
      <c r="N27" s="135">
        <v>334.30</v>
      </c>
      <c r="O27" s="135">
        <v>0</v>
      </c>
      <c r="P27" s="135">
        <v>2.35</v>
      </c>
      <c r="Q27" s="135">
        <v>11.77</v>
      </c>
      <c r="R27" s="194"/>
      <c r="S27" s="194"/>
      <c r="T27" s="194"/>
      <c r="U27" s="194"/>
    </row>
    <row r="28" spans="1:21" s="12" customFormat="1" ht="15">
      <c r="A28" s="207" t="s">
        <v>648</v>
      </c>
      <c r="B28" s="135">
        <v>5.57</v>
      </c>
      <c r="C28" s="135">
        <v>7.71</v>
      </c>
      <c r="D28" s="135">
        <v>13.28</v>
      </c>
      <c r="E28" s="135">
        <v>9.9499999999999993</v>
      </c>
      <c r="F28" s="135">
        <v>0.34</v>
      </c>
      <c r="G28" s="208" t="s">
        <v>36</v>
      </c>
      <c r="H28" s="135">
        <v>8.83</v>
      </c>
      <c r="I28" s="135">
        <v>4.09</v>
      </c>
      <c r="J28" s="208" t="s">
        <v>36</v>
      </c>
      <c r="K28" s="208" t="s">
        <v>36</v>
      </c>
      <c r="L28" s="135">
        <v>12.78</v>
      </c>
      <c r="M28" s="135">
        <v>95.75</v>
      </c>
      <c r="N28" s="135">
        <v>298.30</v>
      </c>
      <c r="O28" s="135">
        <v>0</v>
      </c>
      <c r="P28" s="135">
        <v>2.34</v>
      </c>
      <c r="Q28" s="135">
        <v>11.77</v>
      </c>
      <c r="R28" s="194"/>
      <c r="S28" s="194"/>
      <c r="T28" s="194"/>
      <c r="U28" s="194"/>
    </row>
    <row r="29" spans="1:21" s="12" customFormat="1" ht="15">
      <c r="A29" s="207" t="s">
        <v>649</v>
      </c>
      <c r="B29" s="135">
        <v>5.72</v>
      </c>
      <c r="C29" s="135">
        <v>7.79</v>
      </c>
      <c r="D29" s="135">
        <v>13.51</v>
      </c>
      <c r="E29" s="135">
        <v>10</v>
      </c>
      <c r="F29" s="135">
        <v>0.49</v>
      </c>
      <c r="G29" s="208" t="s">
        <v>36</v>
      </c>
      <c r="H29" s="135">
        <v>8.09</v>
      </c>
      <c r="I29" s="135">
        <v>4.29</v>
      </c>
      <c r="J29" s="208" t="s">
        <v>36</v>
      </c>
      <c r="K29" s="208" t="s">
        <v>36</v>
      </c>
      <c r="L29" s="135">
        <v>13.02</v>
      </c>
      <c r="M29" s="135">
        <v>95.60</v>
      </c>
      <c r="N29" s="135">
        <v>272.60000000000002</v>
      </c>
      <c r="O29" s="135">
        <v>0</v>
      </c>
      <c r="P29" s="135">
        <v>2.33</v>
      </c>
      <c r="Q29" s="135">
        <v>11.82</v>
      </c>
      <c r="R29" s="194"/>
      <c r="S29" s="194"/>
      <c r="T29" s="194"/>
      <c r="U29" s="194"/>
    </row>
    <row r="30" spans="1:21" s="12" customFormat="1" ht="15">
      <c r="A30" s="207" t="s">
        <v>650</v>
      </c>
      <c r="B30" s="135">
        <v>5.90</v>
      </c>
      <c r="C30" s="135">
        <v>7.91</v>
      </c>
      <c r="D30" s="135">
        <v>13.81</v>
      </c>
      <c r="E30" s="135">
        <v>9.98</v>
      </c>
      <c r="F30" s="135">
        <v>0.71</v>
      </c>
      <c r="G30" s="208" t="s">
        <v>36</v>
      </c>
      <c r="H30" s="135">
        <v>6.27</v>
      </c>
      <c r="I30" s="135">
        <v>4.28</v>
      </c>
      <c r="J30" s="208" t="s">
        <v>36</v>
      </c>
      <c r="K30" s="208" t="s">
        <v>36</v>
      </c>
      <c r="L30" s="135">
        <v>12.68</v>
      </c>
      <c r="M30" s="135">
        <v>95.45</v>
      </c>
      <c r="N30" s="135">
        <v>274.30</v>
      </c>
      <c r="O30" s="135">
        <v>0</v>
      </c>
      <c r="P30" s="135">
        <v>2.34</v>
      </c>
      <c r="Q30" s="135">
        <v>11.76</v>
      </c>
      <c r="R30" s="194"/>
      <c r="S30" s="194"/>
      <c r="T30" s="194"/>
      <c r="U30" s="194"/>
    </row>
    <row r="31" spans="1:21" s="12" customFormat="1" ht="15">
      <c r="A31" s="207" t="s">
        <v>651</v>
      </c>
      <c r="B31" s="135">
        <v>6.18</v>
      </c>
      <c r="C31" s="135">
        <v>7.86</v>
      </c>
      <c r="D31" s="135">
        <v>14.05</v>
      </c>
      <c r="E31" s="135">
        <v>10.06</v>
      </c>
      <c r="F31" s="135">
        <v>0.53</v>
      </c>
      <c r="G31" s="208" t="s">
        <v>36</v>
      </c>
      <c r="H31" s="135">
        <v>6.27</v>
      </c>
      <c r="I31" s="135">
        <v>4.13</v>
      </c>
      <c r="J31" s="208" t="s">
        <v>36</v>
      </c>
      <c r="K31" s="208" t="s">
        <v>36</v>
      </c>
      <c r="L31" s="135">
        <v>13.79</v>
      </c>
      <c r="M31" s="135">
        <v>95.41</v>
      </c>
      <c r="N31" s="135">
        <v>287.60000000000002</v>
      </c>
      <c r="O31" s="135">
        <v>0</v>
      </c>
      <c r="P31" s="135">
        <v>2.33</v>
      </c>
      <c r="Q31" s="135">
        <v>11.81</v>
      </c>
      <c r="R31" s="194"/>
      <c r="S31" s="194"/>
      <c r="T31" s="194"/>
      <c r="U31" s="194"/>
    </row>
    <row r="32" spans="1:21" s="12" customFormat="1" ht="15">
      <c r="A32" s="207" t="s">
        <v>652</v>
      </c>
      <c r="B32" s="135">
        <v>6.40</v>
      </c>
      <c r="C32" s="135">
        <v>7.94</v>
      </c>
      <c r="D32" s="135">
        <v>14.35</v>
      </c>
      <c r="E32" s="135">
        <v>10.33</v>
      </c>
      <c r="F32" s="135">
        <v>0.51</v>
      </c>
      <c r="G32" s="208" t="s">
        <v>36</v>
      </c>
      <c r="H32" s="135">
        <v>6.27</v>
      </c>
      <c r="I32" s="135">
        <v>4.09</v>
      </c>
      <c r="J32" s="208" t="s">
        <v>36</v>
      </c>
      <c r="K32" s="208" t="s">
        <v>36</v>
      </c>
      <c r="L32" s="135">
        <v>12.97</v>
      </c>
      <c r="M32" s="135">
        <v>94.78</v>
      </c>
      <c r="N32" s="135">
        <v>304.10000000000002</v>
      </c>
      <c r="O32" s="135">
        <v>0</v>
      </c>
      <c r="P32" s="135">
        <v>2.33</v>
      </c>
      <c r="Q32" s="135">
        <v>11.82</v>
      </c>
      <c r="R32" s="194"/>
      <c r="S32" s="194"/>
      <c r="T32" s="194"/>
      <c r="U32" s="194"/>
    </row>
    <row r="33" spans="1:21" s="12" customFormat="1" ht="15">
      <c r="A33" s="207" t="s">
        <v>653</v>
      </c>
      <c r="B33" s="135">
        <v>6.71</v>
      </c>
      <c r="C33" s="135">
        <v>8.14</v>
      </c>
      <c r="D33" s="135">
        <v>14.85</v>
      </c>
      <c r="E33" s="135">
        <v>9.7899999999999991</v>
      </c>
      <c r="F33" s="135">
        <v>0.52</v>
      </c>
      <c r="G33" s="208" t="s">
        <v>36</v>
      </c>
      <c r="H33" s="135">
        <v>5.94</v>
      </c>
      <c r="I33" s="135">
        <v>4.21</v>
      </c>
      <c r="J33" s="208" t="s">
        <v>36</v>
      </c>
      <c r="K33" s="208" t="s">
        <v>36</v>
      </c>
      <c r="L33" s="135">
        <v>12.91</v>
      </c>
      <c r="M33" s="135">
        <v>94.49</v>
      </c>
      <c r="N33" s="135">
        <v>343.80</v>
      </c>
      <c r="O33" s="135">
        <v>0</v>
      </c>
      <c r="P33" s="135">
        <v>2.33</v>
      </c>
      <c r="Q33" s="135">
        <v>11.94</v>
      </c>
      <c r="R33" s="194"/>
      <c r="S33" s="194"/>
      <c r="T33" s="194"/>
      <c r="U33" s="194"/>
    </row>
    <row r="34" spans="1:21" s="12" customFormat="1" ht="15">
      <c r="A34" s="207" t="s">
        <v>654</v>
      </c>
      <c r="B34" s="135">
        <v>7.19</v>
      </c>
      <c r="C34" s="135">
        <v>8.44</v>
      </c>
      <c r="D34" s="135">
        <v>15.63</v>
      </c>
      <c r="E34" s="135">
        <v>10.43</v>
      </c>
      <c r="F34" s="135">
        <v>0.47</v>
      </c>
      <c r="G34" s="208" t="s">
        <v>36</v>
      </c>
      <c r="H34" s="135">
        <v>5.12</v>
      </c>
      <c r="I34" s="135">
        <v>4.29</v>
      </c>
      <c r="J34" s="208" t="s">
        <v>36</v>
      </c>
      <c r="K34" s="208" t="s">
        <v>36</v>
      </c>
      <c r="L34" s="135">
        <v>14.85</v>
      </c>
      <c r="M34" s="135">
        <v>94.04</v>
      </c>
      <c r="N34" s="135">
        <v>383.30</v>
      </c>
      <c r="O34" s="135">
        <v>0</v>
      </c>
      <c r="P34" s="135">
        <v>2.33</v>
      </c>
      <c r="Q34" s="135">
        <v>11.96</v>
      </c>
      <c r="R34" s="194"/>
      <c r="S34" s="194"/>
      <c r="T34" s="194"/>
      <c r="U34" s="194"/>
    </row>
    <row r="35" spans="1:21" s="12" customFormat="1" ht="15">
      <c r="A35" s="207" t="s">
        <v>655</v>
      </c>
      <c r="B35" s="135">
        <v>7.36</v>
      </c>
      <c r="C35" s="135">
        <v>8.74</v>
      </c>
      <c r="D35" s="135">
        <v>16.100000000000001</v>
      </c>
      <c r="E35" s="135">
        <v>10.36</v>
      </c>
      <c r="F35" s="135">
        <v>0.66</v>
      </c>
      <c r="G35" s="208" t="s">
        <v>36</v>
      </c>
      <c r="H35" s="135">
        <v>5.12</v>
      </c>
      <c r="I35" s="135">
        <v>4.3499999999999996</v>
      </c>
      <c r="J35" s="208" t="s">
        <v>36</v>
      </c>
      <c r="K35" s="208" t="s">
        <v>36</v>
      </c>
      <c r="L35" s="135">
        <v>14.61</v>
      </c>
      <c r="M35" s="135">
        <v>93.36</v>
      </c>
      <c r="N35" s="135">
        <v>410.60</v>
      </c>
      <c r="O35" s="135">
        <v>0</v>
      </c>
      <c r="P35" s="135">
        <v>2.33</v>
      </c>
      <c r="Q35" s="135">
        <v>11.88</v>
      </c>
      <c r="R35" s="194"/>
      <c r="S35" s="194"/>
      <c r="T35" s="194"/>
      <c r="U35" s="194"/>
    </row>
    <row r="36" spans="1:21" s="12" customFormat="1" ht="15">
      <c r="A36" s="207" t="s">
        <v>656</v>
      </c>
      <c r="B36" s="135">
        <v>7.36</v>
      </c>
      <c r="C36" s="135">
        <v>8.93</v>
      </c>
      <c r="D36" s="135">
        <v>16.30</v>
      </c>
      <c r="E36" s="135">
        <v>10.35</v>
      </c>
      <c r="F36" s="135">
        <v>0.64</v>
      </c>
      <c r="G36" s="208" t="s">
        <v>36</v>
      </c>
      <c r="H36" s="135">
        <v>5.12</v>
      </c>
      <c r="I36" s="135">
        <v>4.42</v>
      </c>
      <c r="J36" s="208" t="s">
        <v>36</v>
      </c>
      <c r="K36" s="208" t="s">
        <v>36</v>
      </c>
      <c r="L36" s="135">
        <v>15.38</v>
      </c>
      <c r="M36" s="135">
        <v>92.60</v>
      </c>
      <c r="N36" s="135">
        <v>463.60</v>
      </c>
      <c r="O36" s="135">
        <v>0</v>
      </c>
      <c r="P36" s="135">
        <v>2.33</v>
      </c>
      <c r="Q36" s="135">
        <v>11.84</v>
      </c>
      <c r="R36" s="194"/>
      <c r="S36" s="194"/>
      <c r="T36" s="194"/>
      <c r="U36" s="194"/>
    </row>
    <row r="37" spans="1:21" s="12" customFormat="1" ht="15">
      <c r="A37" s="207" t="s">
        <v>657</v>
      </c>
      <c r="B37" s="135">
        <v>7.51</v>
      </c>
      <c r="C37" s="135">
        <v>9.10</v>
      </c>
      <c r="D37" s="135">
        <v>16.61</v>
      </c>
      <c r="E37" s="135">
        <v>10.55</v>
      </c>
      <c r="F37" s="135">
        <v>0.49</v>
      </c>
      <c r="G37" s="208" t="s">
        <v>36</v>
      </c>
      <c r="H37" s="135">
        <v>5.23</v>
      </c>
      <c r="I37" s="135">
        <v>4.42</v>
      </c>
      <c r="J37" s="208" t="s">
        <v>36</v>
      </c>
      <c r="K37" s="208" t="s">
        <v>36</v>
      </c>
      <c r="L37" s="135">
        <v>15.45</v>
      </c>
      <c r="M37" s="135">
        <v>91.70</v>
      </c>
      <c r="N37" s="135">
        <v>550.70000000000005</v>
      </c>
      <c r="O37" s="135">
        <v>0</v>
      </c>
      <c r="P37" s="135">
        <v>2.33</v>
      </c>
      <c r="Q37" s="135">
        <v>11.94</v>
      </c>
      <c r="R37" s="194"/>
      <c r="S37" s="194"/>
      <c r="T37" s="194"/>
      <c r="U37" s="194"/>
    </row>
    <row r="38" spans="1:21" s="12" customFormat="1" ht="15">
      <c r="A38" s="207" t="s">
        <v>658</v>
      </c>
      <c r="B38" s="135">
        <v>7.71</v>
      </c>
      <c r="C38" s="135">
        <v>9.39</v>
      </c>
      <c r="D38" s="135">
        <v>17.100000000000001</v>
      </c>
      <c r="E38" s="135">
        <v>10.119999999999999</v>
      </c>
      <c r="F38" s="135">
        <v>0.20</v>
      </c>
      <c r="G38" s="208" t="s">
        <v>36</v>
      </c>
      <c r="H38" s="135">
        <v>5.49</v>
      </c>
      <c r="I38" s="135">
        <v>4.38</v>
      </c>
      <c r="J38" s="208" t="s">
        <v>36</v>
      </c>
      <c r="K38" s="208" t="s">
        <v>36</v>
      </c>
      <c r="L38" s="135">
        <v>15.93</v>
      </c>
      <c r="M38" s="135">
        <v>90.58</v>
      </c>
      <c r="N38" s="135">
        <v>597.40</v>
      </c>
      <c r="O38" s="135">
        <v>0</v>
      </c>
      <c r="P38" s="135">
        <v>2.3199999999999998</v>
      </c>
      <c r="Q38" s="135">
        <v>11.83</v>
      </c>
      <c r="R38" s="194"/>
      <c r="S38" s="194"/>
      <c r="T38" s="194"/>
      <c r="U38" s="194"/>
    </row>
    <row r="39" spans="1:21" s="12" customFormat="1" ht="15">
      <c r="A39" s="207" t="s">
        <v>659</v>
      </c>
      <c r="B39" s="135">
        <v>7.65</v>
      </c>
      <c r="C39" s="135">
        <v>9.5</v>
      </c>
      <c r="D39" s="135">
        <v>17.149999999999999</v>
      </c>
      <c r="E39" s="135">
        <v>9.60</v>
      </c>
      <c r="F39" s="135">
        <v>0.69</v>
      </c>
      <c r="G39" s="208" t="s">
        <v>36</v>
      </c>
      <c r="H39" s="135">
        <v>5.49</v>
      </c>
      <c r="I39" s="135">
        <v>4.45</v>
      </c>
      <c r="J39" s="208" t="s">
        <v>36</v>
      </c>
      <c r="K39" s="208" t="s">
        <v>36</v>
      </c>
      <c r="L39" s="135">
        <v>15.86</v>
      </c>
      <c r="M39" s="135">
        <v>90.32</v>
      </c>
      <c r="N39" s="135">
        <v>674.90</v>
      </c>
      <c r="O39" s="135">
        <v>0</v>
      </c>
      <c r="P39" s="135">
        <v>2.33</v>
      </c>
      <c r="Q39" s="135">
        <v>11.74</v>
      </c>
      <c r="R39" s="194"/>
      <c r="S39" s="194"/>
      <c r="T39" s="194"/>
      <c r="U39" s="194"/>
    </row>
    <row r="40" spans="1:21" s="12" customFormat="1" ht="15">
      <c r="A40" s="207" t="s">
        <v>660</v>
      </c>
      <c r="B40" s="135">
        <v>7.55</v>
      </c>
      <c r="C40" s="135">
        <v>9.5500000000000007</v>
      </c>
      <c r="D40" s="135">
        <v>17.100000000000001</v>
      </c>
      <c r="E40" s="135">
        <v>3.84</v>
      </c>
      <c r="F40" s="135">
        <v>0.71</v>
      </c>
      <c r="G40" s="208" t="s">
        <v>36</v>
      </c>
      <c r="H40" s="135">
        <v>5.49</v>
      </c>
      <c r="I40" s="135">
        <v>4.4000000000000004</v>
      </c>
      <c r="J40" s="208" t="s">
        <v>36</v>
      </c>
      <c r="K40" s="208" t="s">
        <v>36</v>
      </c>
      <c r="L40" s="135">
        <v>15.84</v>
      </c>
      <c r="M40" s="135">
        <v>89.52</v>
      </c>
      <c r="N40" s="135">
        <v>779</v>
      </c>
      <c r="O40" s="135">
        <v>0</v>
      </c>
      <c r="P40" s="135">
        <v>2.3199999999999998</v>
      </c>
      <c r="Q40" s="135">
        <v>11.65</v>
      </c>
      <c r="R40" s="194"/>
      <c r="S40" s="194"/>
      <c r="T40" s="194"/>
      <c r="U40" s="194"/>
    </row>
    <row r="41" spans="1:21" s="12" customFormat="1" ht="15">
      <c r="A41" s="207" t="s">
        <v>661</v>
      </c>
      <c r="B41" s="135">
        <v>7.22</v>
      </c>
      <c r="C41" s="135">
        <v>9.6199999999999992</v>
      </c>
      <c r="D41" s="135">
        <v>16.84</v>
      </c>
      <c r="E41" s="135">
        <v>9.40</v>
      </c>
      <c r="F41" s="135">
        <v>0.48</v>
      </c>
      <c r="G41" s="208" t="s">
        <v>36</v>
      </c>
      <c r="H41" s="135">
        <v>6.78</v>
      </c>
      <c r="I41" s="135">
        <v>4.37</v>
      </c>
      <c r="J41" s="208" t="s">
        <v>36</v>
      </c>
      <c r="K41" s="208" t="s">
        <v>36</v>
      </c>
      <c r="L41" s="135">
        <v>15.78</v>
      </c>
      <c r="M41" s="135">
        <v>88.53</v>
      </c>
      <c r="N41" s="135">
        <v>801.60</v>
      </c>
      <c r="O41" s="135">
        <v>0</v>
      </c>
      <c r="P41" s="135">
        <v>2.3199999999999998</v>
      </c>
      <c r="Q41" s="135">
        <v>11.47</v>
      </c>
      <c r="R41" s="194"/>
      <c r="S41" s="194"/>
      <c r="T41" s="194"/>
      <c r="U41" s="194"/>
    </row>
    <row r="42" spans="1:21" s="12" customFormat="1" ht="15">
      <c r="A42" s="207" t="s">
        <v>662</v>
      </c>
      <c r="B42" s="135">
        <v>6.96</v>
      </c>
      <c r="C42" s="135">
        <v>9.68</v>
      </c>
      <c r="D42" s="135">
        <v>16.64</v>
      </c>
      <c r="E42" s="135">
        <v>10.10</v>
      </c>
      <c r="F42" s="135">
        <v>0.53</v>
      </c>
      <c r="G42" s="208" t="s">
        <v>36</v>
      </c>
      <c r="H42" s="135">
        <v>9.94</v>
      </c>
      <c r="I42" s="135">
        <v>4.41</v>
      </c>
      <c r="J42" s="208" t="s">
        <v>36</v>
      </c>
      <c r="K42" s="208" t="s">
        <v>36</v>
      </c>
      <c r="L42" s="135">
        <v>15.96</v>
      </c>
      <c r="M42" s="135">
        <v>87.66</v>
      </c>
      <c r="N42" s="135">
        <v>765.30</v>
      </c>
      <c r="O42" s="135">
        <v>0</v>
      </c>
      <c r="P42" s="135">
        <v>2.33</v>
      </c>
      <c r="Q42" s="135">
        <v>11.23</v>
      </c>
      <c r="R42" s="194"/>
      <c r="S42" s="194"/>
      <c r="T42" s="194"/>
      <c r="U42" s="194"/>
    </row>
    <row r="43" spans="1:21" s="12" customFormat="1" ht="15">
      <c r="A43" s="207" t="s">
        <v>663</v>
      </c>
      <c r="B43" s="135">
        <v>6.78</v>
      </c>
      <c r="C43" s="135">
        <v>9.81</v>
      </c>
      <c r="D43" s="135">
        <v>16.579999999999998</v>
      </c>
      <c r="E43" s="135">
        <v>9.92</v>
      </c>
      <c r="F43" s="135">
        <v>0.63</v>
      </c>
      <c r="G43" s="208" t="s">
        <v>36</v>
      </c>
      <c r="H43" s="135">
        <v>9.94</v>
      </c>
      <c r="I43" s="135">
        <v>4.18</v>
      </c>
      <c r="J43" s="208" t="s">
        <v>36</v>
      </c>
      <c r="K43" s="208" t="s">
        <v>36</v>
      </c>
      <c r="L43" s="135">
        <v>16.16</v>
      </c>
      <c r="M43" s="135">
        <v>86.42</v>
      </c>
      <c r="N43" s="135">
        <v>782.70</v>
      </c>
      <c r="O43" s="135">
        <v>0</v>
      </c>
      <c r="P43" s="135">
        <v>2.3199999999999998</v>
      </c>
      <c r="Q43" s="135">
        <v>11.10</v>
      </c>
      <c r="R43" s="194"/>
      <c r="S43" s="194"/>
      <c r="T43" s="194"/>
      <c r="U43" s="194"/>
    </row>
    <row r="44" spans="1:21" s="12" customFormat="1" ht="15">
      <c r="A44" s="207" t="s">
        <v>664</v>
      </c>
      <c r="B44" s="135">
        <v>6.54</v>
      </c>
      <c r="C44" s="135">
        <v>9.89</v>
      </c>
      <c r="D44" s="135">
        <v>16.43</v>
      </c>
      <c r="E44" s="135">
        <v>9.85</v>
      </c>
      <c r="F44" s="135">
        <v>0.72</v>
      </c>
      <c r="G44" s="208" t="s">
        <v>36</v>
      </c>
      <c r="H44" s="135">
        <v>9.94</v>
      </c>
      <c r="I44" s="135">
        <v>4.08</v>
      </c>
      <c r="J44" s="208" t="s">
        <v>36</v>
      </c>
      <c r="K44" s="208" t="s">
        <v>36</v>
      </c>
      <c r="L44" s="135">
        <v>16.48</v>
      </c>
      <c r="M44" s="135">
        <v>85.24</v>
      </c>
      <c r="N44" s="135">
        <v>818.60</v>
      </c>
      <c r="O44" s="135">
        <v>0</v>
      </c>
      <c r="P44" s="135">
        <v>2.33</v>
      </c>
      <c r="Q44" s="135">
        <v>10.95</v>
      </c>
      <c r="R44" s="194"/>
      <c r="S44" s="194"/>
      <c r="T44" s="194"/>
      <c r="U44" s="194"/>
    </row>
    <row r="45" spans="1:21" s="12" customFormat="1" ht="15">
      <c r="A45" s="207" t="s">
        <v>665</v>
      </c>
      <c r="B45" s="135">
        <v>6.35</v>
      </c>
      <c r="C45" s="135">
        <v>9.82</v>
      </c>
      <c r="D45" s="135">
        <v>16.170000000000002</v>
      </c>
      <c r="E45" s="135">
        <v>9.5299999999999994</v>
      </c>
      <c r="F45" s="135">
        <v>0.59</v>
      </c>
      <c r="G45" s="208" t="s">
        <v>36</v>
      </c>
      <c r="H45" s="135">
        <v>9.43</v>
      </c>
      <c r="I45" s="135">
        <v>4.1399999999999997</v>
      </c>
      <c r="J45" s="208" t="s">
        <v>36</v>
      </c>
      <c r="K45" s="208" t="s">
        <v>36</v>
      </c>
      <c r="L45" s="135">
        <v>16.03</v>
      </c>
      <c r="M45" s="135">
        <v>84.04</v>
      </c>
      <c r="N45" s="135">
        <v>726.70</v>
      </c>
      <c r="O45" s="135">
        <v>0</v>
      </c>
      <c r="P45" s="135">
        <v>2.33</v>
      </c>
      <c r="Q45" s="135">
        <v>10.79</v>
      </c>
      <c r="R45" s="194"/>
      <c r="S45" s="194"/>
      <c r="T45" s="194"/>
      <c r="U45" s="194"/>
    </row>
    <row r="46" spans="1:21" s="12" customFormat="1" ht="15">
      <c r="A46" s="207" t="s">
        <v>666</v>
      </c>
      <c r="B46" s="135">
        <v>6.05</v>
      </c>
      <c r="C46" s="135">
        <v>9.99</v>
      </c>
      <c r="D46" s="135">
        <v>16.04</v>
      </c>
      <c r="E46" s="135">
        <v>9.4700000000000006</v>
      </c>
      <c r="F46" s="135">
        <v>0.79</v>
      </c>
      <c r="G46" s="208" t="s">
        <v>36</v>
      </c>
      <c r="H46" s="135">
        <v>8.17</v>
      </c>
      <c r="I46" s="135">
        <v>3.95</v>
      </c>
      <c r="J46" s="208" t="s">
        <v>36</v>
      </c>
      <c r="K46" s="208" t="s">
        <v>36</v>
      </c>
      <c r="L46" s="135">
        <v>16.41</v>
      </c>
      <c r="M46" s="135">
        <v>83.11</v>
      </c>
      <c r="N46" s="135">
        <v>659.60</v>
      </c>
      <c r="O46" s="135">
        <v>0</v>
      </c>
      <c r="P46" s="135">
        <v>2.33</v>
      </c>
      <c r="Q46" s="135">
        <v>10.63</v>
      </c>
      <c r="R46" s="194"/>
      <c r="S46" s="194"/>
      <c r="T46" s="194"/>
      <c r="U46" s="194"/>
    </row>
    <row r="47" spans="1:21" s="12" customFormat="1" ht="15">
      <c r="A47" s="207" t="s">
        <v>667</v>
      </c>
      <c r="B47" s="135">
        <v>5.72</v>
      </c>
      <c r="C47" s="135">
        <v>9.86</v>
      </c>
      <c r="D47" s="135">
        <v>15.58</v>
      </c>
      <c r="E47" s="135">
        <v>9.74</v>
      </c>
      <c r="F47" s="135">
        <v>0.92</v>
      </c>
      <c r="G47" s="208" t="s">
        <v>36</v>
      </c>
      <c r="H47" s="135">
        <v>8.17</v>
      </c>
      <c r="I47" s="135">
        <v>3.95</v>
      </c>
      <c r="J47" s="208" t="s">
        <v>36</v>
      </c>
      <c r="K47" s="208" t="s">
        <v>36</v>
      </c>
      <c r="L47" s="135">
        <v>16.84</v>
      </c>
      <c r="M47" s="135">
        <v>82.15</v>
      </c>
      <c r="N47" s="135">
        <v>619.79999999999995</v>
      </c>
      <c r="O47" s="135">
        <v>0</v>
      </c>
      <c r="P47" s="135">
        <v>2.33</v>
      </c>
      <c r="Q47" s="135">
        <v>10.51</v>
      </c>
      <c r="R47" s="194"/>
      <c r="S47" s="194"/>
      <c r="T47" s="194"/>
      <c r="U47" s="194"/>
    </row>
    <row r="48" spans="1:21" s="12" customFormat="1" ht="15">
      <c r="A48" s="207" t="s">
        <v>668</v>
      </c>
      <c r="B48" s="135">
        <v>5.43</v>
      </c>
      <c r="C48" s="135">
        <v>9.86</v>
      </c>
      <c r="D48" s="135">
        <v>15.30</v>
      </c>
      <c r="E48" s="135">
        <v>9.6999999999999993</v>
      </c>
      <c r="F48" s="135">
        <v>0.60</v>
      </c>
      <c r="G48" s="208" t="s">
        <v>36</v>
      </c>
      <c r="H48" s="135">
        <v>8.17</v>
      </c>
      <c r="I48" s="135">
        <v>4.04</v>
      </c>
      <c r="J48" s="208" t="s">
        <v>36</v>
      </c>
      <c r="K48" s="208" t="s">
        <v>36</v>
      </c>
      <c r="L48" s="135">
        <v>17.05</v>
      </c>
      <c r="M48" s="135">
        <v>82.11</v>
      </c>
      <c r="N48" s="135">
        <v>656.80</v>
      </c>
      <c r="O48" s="135">
        <v>0</v>
      </c>
      <c r="P48" s="135">
        <v>2.33</v>
      </c>
      <c r="Q48" s="135">
        <v>10.33</v>
      </c>
      <c r="R48" s="194"/>
      <c r="S48" s="194"/>
      <c r="T48" s="194"/>
      <c r="U48" s="194"/>
    </row>
    <row r="49" spans="1:21" s="12" customFormat="1" ht="15">
      <c r="A49" s="207" t="s">
        <v>669</v>
      </c>
      <c r="B49" s="135">
        <v>5.24</v>
      </c>
      <c r="C49" s="135">
        <v>9.84</v>
      </c>
      <c r="D49" s="135">
        <v>15.08</v>
      </c>
      <c r="E49" s="135">
        <v>9.83</v>
      </c>
      <c r="F49" s="135">
        <v>0.89</v>
      </c>
      <c r="G49" s="208" t="s">
        <v>36</v>
      </c>
      <c r="H49" s="135">
        <v>7.93</v>
      </c>
      <c r="I49" s="135">
        <v>3.89</v>
      </c>
      <c r="J49" s="208" t="s">
        <v>36</v>
      </c>
      <c r="K49" s="208" t="s">
        <v>36</v>
      </c>
      <c r="L49" s="135">
        <v>18.28</v>
      </c>
      <c r="M49" s="135">
        <v>79.430000000000007</v>
      </c>
      <c r="N49" s="135">
        <v>747.5</v>
      </c>
      <c r="O49" s="135">
        <v>0</v>
      </c>
      <c r="P49" s="135">
        <v>2.34</v>
      </c>
      <c r="Q49" s="135">
        <v>10.199999999999999</v>
      </c>
      <c r="R49" s="194"/>
      <c r="S49" s="194"/>
      <c r="T49" s="194"/>
      <c r="U49" s="194"/>
    </row>
    <row r="50" spans="1:21" s="12" customFormat="1" ht="15">
      <c r="A50" s="207" t="s">
        <v>670</v>
      </c>
      <c r="B50" s="135">
        <v>5.39</v>
      </c>
      <c r="C50" s="135">
        <v>10</v>
      </c>
      <c r="D50" s="135">
        <v>15.39</v>
      </c>
      <c r="E50" s="135">
        <v>9.67</v>
      </c>
      <c r="F50" s="135">
        <v>0.89</v>
      </c>
      <c r="G50" s="208" t="s">
        <v>36</v>
      </c>
      <c r="H50" s="135">
        <v>7.32</v>
      </c>
      <c r="I50" s="135">
        <v>4.03</v>
      </c>
      <c r="J50" s="208" t="s">
        <v>36</v>
      </c>
      <c r="K50" s="208" t="s">
        <v>36</v>
      </c>
      <c r="L50" s="135">
        <v>21.30</v>
      </c>
      <c r="M50" s="135">
        <v>74.81</v>
      </c>
      <c r="N50" s="135">
        <v>1244.30</v>
      </c>
      <c r="O50" s="135">
        <v>0</v>
      </c>
      <c r="P50" s="135">
        <v>2.34</v>
      </c>
      <c r="Q50" s="135">
        <v>10.050000000000001</v>
      </c>
      <c r="R50" s="194"/>
      <c r="S50" s="194"/>
      <c r="T50" s="194"/>
      <c r="U50" s="194"/>
    </row>
    <row r="51" spans="1:21" s="12" customFormat="1" ht="15">
      <c r="A51" s="207" t="s">
        <v>671</v>
      </c>
      <c r="B51" s="135">
        <v>5.30</v>
      </c>
      <c r="C51" s="135">
        <v>10.18</v>
      </c>
      <c r="D51" s="135">
        <v>15.47</v>
      </c>
      <c r="E51" s="135">
        <v>9.0299999999999994</v>
      </c>
      <c r="F51" s="135">
        <v>1.29</v>
      </c>
      <c r="G51" s="208" t="s">
        <v>36</v>
      </c>
      <c r="H51" s="135">
        <v>7.32</v>
      </c>
      <c r="I51" s="135">
        <v>3.87</v>
      </c>
      <c r="J51" s="208" t="s">
        <v>36</v>
      </c>
      <c r="K51" s="208" t="s">
        <v>36</v>
      </c>
      <c r="L51" s="135">
        <v>25.48</v>
      </c>
      <c r="M51" s="135">
        <v>71.64</v>
      </c>
      <c r="N51" s="135">
        <v>1069.9000000000001</v>
      </c>
      <c r="O51" s="135">
        <v>0</v>
      </c>
      <c r="P51" s="135">
        <v>2.35</v>
      </c>
      <c r="Q51" s="135">
        <v>9.98</v>
      </c>
      <c r="R51" s="194"/>
      <c r="S51" s="194"/>
      <c r="T51" s="194"/>
      <c r="U51" s="194"/>
    </row>
    <row r="52" spans="1:21" s="12" customFormat="1" ht="15">
      <c r="A52" s="207" t="s">
        <v>672</v>
      </c>
      <c r="B52" s="135">
        <v>5.52</v>
      </c>
      <c r="C52" s="135">
        <v>9.9499999999999993</v>
      </c>
      <c r="D52" s="135">
        <v>15.47</v>
      </c>
      <c r="E52" s="135">
        <v>9.3800000000000008</v>
      </c>
      <c r="F52" s="135">
        <v>1</v>
      </c>
      <c r="G52" s="208" t="s">
        <v>36</v>
      </c>
      <c r="H52" s="135">
        <v>7.32</v>
      </c>
      <c r="I52" s="135">
        <v>4.09</v>
      </c>
      <c r="J52" s="208" t="s">
        <v>36</v>
      </c>
      <c r="K52" s="208" t="s">
        <v>36</v>
      </c>
      <c r="L52" s="135">
        <v>25.14</v>
      </c>
      <c r="M52" s="135">
        <v>70.28</v>
      </c>
      <c r="N52" s="135">
        <v>1054</v>
      </c>
      <c r="O52" s="135">
        <v>0</v>
      </c>
      <c r="P52" s="135">
        <v>2.39</v>
      </c>
      <c r="Q52" s="135">
        <v>10.18</v>
      </c>
      <c r="R52" s="194"/>
      <c r="S52" s="194"/>
      <c r="T52" s="194"/>
      <c r="U52" s="194"/>
    </row>
    <row r="53" spans="1:21" s="12" customFormat="1" ht="15">
      <c r="A53" s="207" t="s">
        <v>673</v>
      </c>
      <c r="B53" s="135">
        <v>5.77</v>
      </c>
      <c r="C53" s="135">
        <v>10.79</v>
      </c>
      <c r="D53" s="135">
        <v>16.57</v>
      </c>
      <c r="E53" s="135">
        <v>9.2200000000000006</v>
      </c>
      <c r="F53" s="135">
        <v>1</v>
      </c>
      <c r="G53" s="208" t="s">
        <v>36</v>
      </c>
      <c r="H53" s="135">
        <v>8.6999999999999993</v>
      </c>
      <c r="I53" s="135">
        <v>4.49</v>
      </c>
      <c r="J53" s="208" t="s">
        <v>36</v>
      </c>
      <c r="K53" s="208" t="s">
        <v>36</v>
      </c>
      <c r="L53" s="135">
        <v>25.06</v>
      </c>
      <c r="M53" s="135">
        <v>68.11</v>
      </c>
      <c r="N53" s="135">
        <v>916.40</v>
      </c>
      <c r="O53" s="135">
        <v>0</v>
      </c>
      <c r="P53" s="135">
        <v>2.41</v>
      </c>
      <c r="Q53" s="135">
        <v>10.28</v>
      </c>
      <c r="R53" s="194"/>
      <c r="S53" s="194"/>
      <c r="T53" s="194"/>
      <c r="U53" s="194"/>
    </row>
    <row r="54" spans="1:21" s="12" customFormat="1" ht="15">
      <c r="A54" s="207" t="s">
        <v>674</v>
      </c>
      <c r="B54" s="135">
        <v>6.26</v>
      </c>
      <c r="C54" s="135">
        <v>11.18</v>
      </c>
      <c r="D54" s="135">
        <v>17.440000000000001</v>
      </c>
      <c r="E54" s="135">
        <v>9.17</v>
      </c>
      <c r="F54" s="135">
        <v>0.69</v>
      </c>
      <c r="G54" s="208" t="s">
        <v>36</v>
      </c>
      <c r="H54" s="135">
        <v>12.09</v>
      </c>
      <c r="I54" s="135">
        <v>4.72</v>
      </c>
      <c r="J54" s="208" t="s">
        <v>36</v>
      </c>
      <c r="K54" s="208" t="s">
        <v>36</v>
      </c>
      <c r="L54" s="135">
        <v>24.20</v>
      </c>
      <c r="M54" s="135">
        <v>67.03</v>
      </c>
      <c r="N54" s="135">
        <v>700.90</v>
      </c>
      <c r="O54" s="135">
        <v>0</v>
      </c>
      <c r="P54" s="135">
        <v>2.4300000000000002</v>
      </c>
      <c r="Q54" s="135">
        <v>10.55</v>
      </c>
      <c r="R54" s="194"/>
      <c r="S54" s="194"/>
      <c r="T54" s="194"/>
      <c r="U54" s="194"/>
    </row>
    <row r="55" spans="1:21" s="12" customFormat="1" ht="15">
      <c r="A55" s="207" t="s">
        <v>675</v>
      </c>
      <c r="B55" s="135">
        <v>6.84</v>
      </c>
      <c r="C55" s="135">
        <v>11.34</v>
      </c>
      <c r="D55" s="135">
        <v>18.18</v>
      </c>
      <c r="E55" s="135">
        <v>8.99</v>
      </c>
      <c r="F55" s="135">
        <v>0.70</v>
      </c>
      <c r="G55" s="208" t="s">
        <v>36</v>
      </c>
      <c r="H55" s="135">
        <v>12.09</v>
      </c>
      <c r="I55" s="135">
        <v>5</v>
      </c>
      <c r="J55" s="208" t="s">
        <v>36</v>
      </c>
      <c r="K55" s="208" t="s">
        <v>36</v>
      </c>
      <c r="L55" s="135">
        <v>22.90</v>
      </c>
      <c r="M55" s="135">
        <v>70.819999999999993</v>
      </c>
      <c r="N55" s="135">
        <v>794.40</v>
      </c>
      <c r="O55" s="135">
        <v>0</v>
      </c>
      <c r="P55" s="135">
        <v>2.4700000000000002</v>
      </c>
      <c r="Q55" s="135">
        <v>10.88</v>
      </c>
      <c r="R55" s="194"/>
      <c r="S55" s="194"/>
      <c r="T55" s="194"/>
      <c r="U55" s="194"/>
    </row>
    <row r="56" spans="1:21" s="12" customFormat="1" ht="15">
      <c r="A56" s="207" t="s">
        <v>676</v>
      </c>
      <c r="B56" s="135">
        <v>6.92</v>
      </c>
      <c r="C56" s="135">
        <v>11.15</v>
      </c>
      <c r="D56" s="135">
        <v>18.07</v>
      </c>
      <c r="E56" s="135">
        <v>3.84</v>
      </c>
      <c r="F56" s="135">
        <v>1.22</v>
      </c>
      <c r="G56" s="208" t="s">
        <v>36</v>
      </c>
      <c r="H56" s="135">
        <v>12.09</v>
      </c>
      <c r="I56" s="135">
        <v>5.34</v>
      </c>
      <c r="J56" s="208" t="s">
        <v>36</v>
      </c>
      <c r="K56" s="208" t="s">
        <v>36</v>
      </c>
      <c r="L56" s="135">
        <v>23.19</v>
      </c>
      <c r="M56" s="135">
        <v>70.709999999999994</v>
      </c>
      <c r="N56" s="135">
        <v>847.70</v>
      </c>
      <c r="O56" s="135">
        <v>0</v>
      </c>
      <c r="P56" s="135">
        <v>2.46</v>
      </c>
      <c r="Q56" s="135">
        <v>10.99</v>
      </c>
      <c r="R56" s="194"/>
      <c r="S56" s="194"/>
      <c r="T56" s="194"/>
      <c r="U56" s="194"/>
    </row>
    <row r="57" spans="1:21" s="12" customFormat="1" ht="15">
      <c r="A57" s="207" t="s">
        <v>677</v>
      </c>
      <c r="B57" s="135">
        <v>6.61</v>
      </c>
      <c r="C57" s="135">
        <v>11.75</v>
      </c>
      <c r="D57" s="135">
        <v>18.36</v>
      </c>
      <c r="E57" s="135">
        <v>7.98</v>
      </c>
      <c r="F57" s="135">
        <v>0.96</v>
      </c>
      <c r="G57" s="208" t="s">
        <v>36</v>
      </c>
      <c r="H57" s="135">
        <v>11.37</v>
      </c>
      <c r="I57" s="135">
        <v>5.51</v>
      </c>
      <c r="J57" s="208" t="s">
        <v>36</v>
      </c>
      <c r="K57" s="208" t="s">
        <v>36</v>
      </c>
      <c r="L57" s="135">
        <v>23.94</v>
      </c>
      <c r="M57" s="135">
        <v>68.510000000000005</v>
      </c>
      <c r="N57" s="135">
        <v>748.30</v>
      </c>
      <c r="O57" s="135">
        <v>0</v>
      </c>
      <c r="P57" s="135">
        <v>2.4900000000000002</v>
      </c>
      <c r="Q57" s="135">
        <v>11.15</v>
      </c>
      <c r="R57" s="194"/>
      <c r="S57" s="194"/>
      <c r="T57" s="194"/>
      <c r="U57" s="194"/>
    </row>
    <row r="58" spans="1:21" s="12" customFormat="1" ht="15">
      <c r="A58" s="207" t="s">
        <v>678</v>
      </c>
      <c r="B58" s="135">
        <v>5.32</v>
      </c>
      <c r="C58" s="135">
        <v>14.98</v>
      </c>
      <c r="D58" s="135">
        <v>20.30</v>
      </c>
      <c r="E58" s="135">
        <v>7.03</v>
      </c>
      <c r="F58" s="135">
        <v>1.66</v>
      </c>
      <c r="G58" s="208" t="s">
        <v>36</v>
      </c>
      <c r="H58" s="135">
        <v>9.6199999999999992</v>
      </c>
      <c r="I58" s="135">
        <v>5.43</v>
      </c>
      <c r="J58" s="208" t="s">
        <v>36</v>
      </c>
      <c r="K58" s="208" t="s">
        <v>36</v>
      </c>
      <c r="L58" s="135">
        <v>26.14</v>
      </c>
      <c r="M58" s="135">
        <v>68.61</v>
      </c>
      <c r="N58" s="135">
        <v>802</v>
      </c>
      <c r="O58" s="135">
        <v>0</v>
      </c>
      <c r="P58" s="135">
        <v>2.4900000000000002</v>
      </c>
      <c r="Q58" s="135">
        <v>11.10</v>
      </c>
      <c r="R58" s="194"/>
      <c r="S58" s="194"/>
      <c r="T58" s="194"/>
      <c r="U58" s="194"/>
    </row>
    <row r="59" spans="1:21" s="12" customFormat="1" ht="15">
      <c r="A59" s="207" t="s">
        <v>679</v>
      </c>
      <c r="B59" s="135">
        <v>4.8600000000000003</v>
      </c>
      <c r="C59" s="135">
        <v>15.35</v>
      </c>
      <c r="D59" s="135">
        <v>20.21</v>
      </c>
      <c r="E59" s="135">
        <v>6.69</v>
      </c>
      <c r="F59" s="135">
        <v>0.36</v>
      </c>
      <c r="G59" s="208" t="s">
        <v>36</v>
      </c>
      <c r="H59" s="135">
        <v>9.6199999999999992</v>
      </c>
      <c r="I59" s="135">
        <v>5.25</v>
      </c>
      <c r="J59" s="208" t="s">
        <v>36</v>
      </c>
      <c r="K59" s="208" t="s">
        <v>36</v>
      </c>
      <c r="L59" s="135">
        <v>27.57</v>
      </c>
      <c r="M59" s="135">
        <v>67.63</v>
      </c>
      <c r="N59" s="135">
        <v>782.10</v>
      </c>
      <c r="O59" s="135">
        <v>0</v>
      </c>
      <c r="P59" s="135">
        <v>2.4900000000000002</v>
      </c>
      <c r="Q59" s="135">
        <v>11.18</v>
      </c>
      <c r="R59" s="194"/>
      <c r="S59" s="194"/>
      <c r="T59" s="194"/>
      <c r="U59" s="194"/>
    </row>
    <row r="60" spans="1:21" s="12" customFormat="1" ht="15">
      <c r="A60" s="207" t="s">
        <v>680</v>
      </c>
      <c r="B60" s="135">
        <v>5.13</v>
      </c>
      <c r="C60" s="135">
        <v>14.18</v>
      </c>
      <c r="D60" s="135">
        <v>19.309999999999999</v>
      </c>
      <c r="E60" s="135">
        <v>6.70</v>
      </c>
      <c r="F60" s="135">
        <v>0.83</v>
      </c>
      <c r="G60" s="208" t="s">
        <v>36</v>
      </c>
      <c r="H60" s="135">
        <v>9.6199999999999992</v>
      </c>
      <c r="I60" s="135">
        <v>4.67</v>
      </c>
      <c r="J60" s="208" t="s">
        <v>36</v>
      </c>
      <c r="K60" s="208" t="s">
        <v>36</v>
      </c>
      <c r="L60" s="135">
        <v>26.04</v>
      </c>
      <c r="M60" s="135">
        <v>66.260000000000005</v>
      </c>
      <c r="N60" s="135">
        <v>841.10</v>
      </c>
      <c r="O60" s="135">
        <v>0</v>
      </c>
      <c r="P60" s="135">
        <v>2.5299999999999998</v>
      </c>
      <c r="Q60" s="135">
        <v>11.71</v>
      </c>
      <c r="R60" s="194"/>
      <c r="S60" s="194"/>
      <c r="T60" s="194"/>
      <c r="U60" s="194"/>
    </row>
    <row r="61" spans="1:21" s="12" customFormat="1" ht="15">
      <c r="A61" s="207" t="s">
        <v>681</v>
      </c>
      <c r="B61" s="135">
        <v>5.09</v>
      </c>
      <c r="C61" s="135">
        <v>13.61</v>
      </c>
      <c r="D61" s="135">
        <v>18.70</v>
      </c>
      <c r="E61" s="135">
        <v>6.81</v>
      </c>
      <c r="F61" s="135">
        <v>1.42</v>
      </c>
      <c r="G61" s="208" t="s">
        <v>36</v>
      </c>
      <c r="H61" s="135">
        <v>12.78</v>
      </c>
      <c r="I61" s="135">
        <v>4.41</v>
      </c>
      <c r="J61" s="208" t="s">
        <v>36</v>
      </c>
      <c r="K61" s="208" t="s">
        <v>36</v>
      </c>
      <c r="L61" s="135">
        <v>26</v>
      </c>
      <c r="M61" s="135">
        <v>69.37</v>
      </c>
      <c r="N61" s="135">
        <v>1024.5</v>
      </c>
      <c r="O61" s="135">
        <v>0</v>
      </c>
      <c r="P61" s="135">
        <v>2.5299999999999998</v>
      </c>
      <c r="Q61" s="135">
        <v>12</v>
      </c>
      <c r="R61" s="194"/>
      <c r="S61" s="194"/>
      <c r="T61" s="194"/>
      <c r="U61" s="194"/>
    </row>
    <row r="62" spans="1:21" s="12" customFormat="1" ht="15">
      <c r="A62" s="207" t="s">
        <v>682</v>
      </c>
      <c r="B62" s="135">
        <v>4.0999999999999996</v>
      </c>
      <c r="C62" s="135">
        <v>13.25</v>
      </c>
      <c r="D62" s="135">
        <v>17.350000000000001</v>
      </c>
      <c r="E62" s="135">
        <v>6.72</v>
      </c>
      <c r="F62" s="135">
        <v>2.2999999999999998</v>
      </c>
      <c r="G62" s="208" t="s">
        <v>36</v>
      </c>
      <c r="H62" s="135">
        <v>20.54</v>
      </c>
      <c r="I62" s="135">
        <v>4.5999999999999996</v>
      </c>
      <c r="J62" s="208" t="s">
        <v>36</v>
      </c>
      <c r="K62" s="208" t="s">
        <v>36</v>
      </c>
      <c r="L62" s="135">
        <v>30.14</v>
      </c>
      <c r="M62" s="135">
        <v>66.73</v>
      </c>
      <c r="N62" s="135">
        <v>1455.70</v>
      </c>
      <c r="O62" s="135">
        <v>0</v>
      </c>
      <c r="P62" s="135">
        <v>2.5099999999999998</v>
      </c>
      <c r="Q62" s="135">
        <v>12.52</v>
      </c>
      <c r="R62" s="194"/>
      <c r="S62" s="194"/>
      <c r="T62" s="194"/>
      <c r="U62" s="194"/>
    </row>
    <row r="63" spans="1:21" s="12" customFormat="1" ht="15">
      <c r="A63" s="207" t="s">
        <v>683</v>
      </c>
      <c r="B63" s="135">
        <v>3.28</v>
      </c>
      <c r="C63" s="135">
        <v>13.05</v>
      </c>
      <c r="D63" s="135">
        <v>16.329999999999998</v>
      </c>
      <c r="E63" s="135">
        <v>6.63</v>
      </c>
      <c r="F63" s="135">
        <v>1.20</v>
      </c>
      <c r="G63" s="208" t="s">
        <v>36</v>
      </c>
      <c r="H63" s="135">
        <v>20.54</v>
      </c>
      <c r="I63" s="135">
        <v>4.6399999999999997</v>
      </c>
      <c r="J63" s="208" t="s">
        <v>36</v>
      </c>
      <c r="K63" s="208" t="s">
        <v>36</v>
      </c>
      <c r="L63" s="135">
        <v>27.75</v>
      </c>
      <c r="M63" s="135">
        <v>61.02</v>
      </c>
      <c r="N63" s="135">
        <v>1383.5</v>
      </c>
      <c r="O63" s="135">
        <v>0</v>
      </c>
      <c r="P63" s="135">
        <v>2.5299999999999998</v>
      </c>
      <c r="Q63" s="135">
        <v>12.54</v>
      </c>
      <c r="R63" s="194"/>
      <c r="S63" s="194"/>
      <c r="T63" s="194"/>
      <c r="U63" s="194"/>
    </row>
    <row r="64" spans="1:21" s="12" customFormat="1" ht="15">
      <c r="A64" s="207" t="s">
        <v>684</v>
      </c>
      <c r="B64" s="135">
        <v>3.23</v>
      </c>
      <c r="C64" s="135">
        <v>13.62</v>
      </c>
      <c r="D64" s="135">
        <v>16.850000000000001</v>
      </c>
      <c r="E64" s="135">
        <v>6.63</v>
      </c>
      <c r="F64" s="135">
        <v>2.4700000000000002</v>
      </c>
      <c r="G64" s="208" t="s">
        <v>36</v>
      </c>
      <c r="H64" s="135">
        <v>20.54</v>
      </c>
      <c r="I64" s="135">
        <v>4.38</v>
      </c>
      <c r="J64" s="208" t="s">
        <v>36</v>
      </c>
      <c r="K64" s="208" t="s">
        <v>36</v>
      </c>
      <c r="L64" s="135">
        <v>30.27</v>
      </c>
      <c r="M64" s="135">
        <v>58.90</v>
      </c>
      <c r="N64" s="135">
        <v>564</v>
      </c>
      <c r="O64" s="135">
        <v>0</v>
      </c>
      <c r="P64" s="135">
        <v>2.5499999999999998</v>
      </c>
      <c r="Q64" s="135">
        <v>13.48</v>
      </c>
      <c r="R64" s="194"/>
      <c r="S64" s="194"/>
      <c r="T64" s="194"/>
      <c r="U64" s="194"/>
    </row>
    <row r="65" spans="1:21" s="12" customFormat="1" ht="15">
      <c r="A65" s="207" t="s">
        <v>685</v>
      </c>
      <c r="B65" s="135">
        <v>2.19</v>
      </c>
      <c r="C65" s="135">
        <v>20.190000000000001</v>
      </c>
      <c r="D65" s="135">
        <v>22.38</v>
      </c>
      <c r="E65" s="135">
        <v>5.17</v>
      </c>
      <c r="F65" s="135">
        <v>4.22</v>
      </c>
      <c r="G65" s="208" t="s">
        <v>36</v>
      </c>
      <c r="H65" s="135">
        <v>18.93</v>
      </c>
      <c r="I65" s="135">
        <v>4.68</v>
      </c>
      <c r="J65" s="208" t="s">
        <v>36</v>
      </c>
      <c r="K65" s="208" t="s">
        <v>36</v>
      </c>
      <c r="L65" s="135">
        <v>27.56</v>
      </c>
      <c r="M65" s="135">
        <v>62.38</v>
      </c>
      <c r="N65" s="10" t="s">
        <v>43</v>
      </c>
      <c r="O65" s="135">
        <v>0</v>
      </c>
      <c r="P65" s="135">
        <v>2.62</v>
      </c>
      <c r="Q65" s="135">
        <v>15.88</v>
      </c>
      <c r="R65" s="194"/>
      <c r="S65" s="194"/>
      <c r="T65" s="194"/>
      <c r="U65" s="194"/>
    </row>
    <row r="66" spans="1:21" s="12" customFormat="1" ht="15">
      <c r="A66" s="207" t="s">
        <v>686</v>
      </c>
      <c r="B66" s="135">
        <v>0.69</v>
      </c>
      <c r="C66" s="135">
        <v>21.88</v>
      </c>
      <c r="D66" s="135">
        <v>22.57</v>
      </c>
      <c r="E66" s="135">
        <v>4.47</v>
      </c>
      <c r="F66" s="135">
        <v>8.2100000000000009</v>
      </c>
      <c r="G66" s="208" t="s">
        <v>36</v>
      </c>
      <c r="H66" s="135">
        <v>14.98</v>
      </c>
      <c r="I66" s="135">
        <v>4.7300000000000004</v>
      </c>
      <c r="J66" s="208" t="s">
        <v>36</v>
      </c>
      <c r="K66" s="208" t="s">
        <v>36</v>
      </c>
      <c r="L66" s="135">
        <v>26.24</v>
      </c>
      <c r="M66" s="135">
        <v>66</v>
      </c>
      <c r="N66" s="10" t="s">
        <v>43</v>
      </c>
      <c r="O66" s="135">
        <v>0</v>
      </c>
      <c r="P66" s="135">
        <v>2.85</v>
      </c>
      <c r="Q66" s="135">
        <v>43.54</v>
      </c>
      <c r="R66" s="194"/>
      <c r="S66" s="194"/>
      <c r="T66" s="194"/>
      <c r="U66" s="194"/>
    </row>
    <row r="67" spans="1:21" s="12" customFormat="1" ht="15">
      <c r="A67" s="207" t="s">
        <v>687</v>
      </c>
      <c r="B67" s="135">
        <v>0.03</v>
      </c>
      <c r="C67" s="135">
        <v>19.309999999999999</v>
      </c>
      <c r="D67" s="135">
        <v>19.34</v>
      </c>
      <c r="E67" s="135">
        <v>3.13</v>
      </c>
      <c r="F67" s="135">
        <v>11.97</v>
      </c>
      <c r="G67" s="208" t="s">
        <v>36</v>
      </c>
      <c r="H67" s="135">
        <v>14.98</v>
      </c>
      <c r="I67" s="135">
        <v>4.33</v>
      </c>
      <c r="J67" s="208" t="s">
        <v>36</v>
      </c>
      <c r="K67" s="208" t="s">
        <v>36</v>
      </c>
      <c r="L67" s="135">
        <v>27.73</v>
      </c>
      <c r="M67" s="135">
        <v>63.67</v>
      </c>
      <c r="N67" s="10" t="s">
        <v>43</v>
      </c>
      <c r="O67" s="135">
        <v>0</v>
      </c>
      <c r="P67" s="135">
        <v>4.0599999999999996</v>
      </c>
      <c r="Q67" s="135">
        <v>66.680000000000007</v>
      </c>
      <c r="R67" s="194"/>
      <c r="S67" s="194"/>
      <c r="T67" s="194"/>
      <c r="U67" s="194"/>
    </row>
    <row r="68" spans="1:21" s="12" customFormat="1" ht="15">
      <c r="A68" s="207" t="s">
        <v>688</v>
      </c>
      <c r="B68" s="135">
        <v>3.08</v>
      </c>
      <c r="C68" s="135">
        <v>146.63</v>
      </c>
      <c r="D68" s="135">
        <v>149.71</v>
      </c>
      <c r="E68" s="135">
        <v>7.5</v>
      </c>
      <c r="F68" s="135">
        <v>9.57</v>
      </c>
      <c r="G68" s="208" t="s">
        <v>36</v>
      </c>
      <c r="H68" s="135">
        <v>14.98</v>
      </c>
      <c r="I68" s="135">
        <v>4.68</v>
      </c>
      <c r="J68" s="208" t="s">
        <v>36</v>
      </c>
      <c r="K68" s="208" t="s">
        <v>36</v>
      </c>
      <c r="L68" s="135">
        <v>26.52</v>
      </c>
      <c r="M68" s="135">
        <v>65.80</v>
      </c>
      <c r="N68" s="10" t="s">
        <v>43</v>
      </c>
      <c r="O68" s="135">
        <v>0</v>
      </c>
      <c r="P68" s="135">
        <v>4.12</v>
      </c>
      <c r="Q68" s="135">
        <v>75.47</v>
      </c>
      <c r="R68" s="194"/>
      <c r="S68" s="194"/>
      <c r="T68" s="194"/>
      <c r="U68" s="194"/>
    </row>
    <row r="69" spans="1:21" s="12" customFormat="1" ht="15">
      <c r="A69" s="207" t="s">
        <v>689</v>
      </c>
      <c r="B69" s="135">
        <v>3.08</v>
      </c>
      <c r="C69" s="135">
        <v>188.68</v>
      </c>
      <c r="D69" s="135">
        <v>191.76</v>
      </c>
      <c r="E69" s="135">
        <v>4.37</v>
      </c>
      <c r="F69" s="135">
        <v>7.49</v>
      </c>
      <c r="G69" s="208" t="s">
        <v>36</v>
      </c>
      <c r="H69" s="135">
        <v>15.89</v>
      </c>
      <c r="I69" s="135">
        <v>4.93</v>
      </c>
      <c r="J69" s="208" t="s">
        <v>36</v>
      </c>
      <c r="K69" s="208" t="s">
        <v>36</v>
      </c>
      <c r="L69" s="135">
        <v>29.91</v>
      </c>
      <c r="M69" s="135">
        <v>63.78</v>
      </c>
      <c r="N69" s="10" t="s">
        <v>43</v>
      </c>
      <c r="O69" s="135">
        <v>0</v>
      </c>
      <c r="P69" s="135">
        <v>4.22</v>
      </c>
      <c r="Q69" s="135">
        <v>84.47</v>
      </c>
      <c r="R69" s="194"/>
      <c r="S69" s="194"/>
      <c r="T69" s="194"/>
      <c r="U69" s="194"/>
    </row>
    <row r="70" spans="1:21" s="12" customFormat="1" ht="15">
      <c r="A70" s="207" t="s">
        <v>690</v>
      </c>
      <c r="B70" s="135">
        <v>0.96</v>
      </c>
      <c r="C70" s="135">
        <v>109.71</v>
      </c>
      <c r="D70" s="135">
        <v>110.67</v>
      </c>
      <c r="E70" s="135">
        <v>2.70</v>
      </c>
      <c r="F70" s="135">
        <v>7.56</v>
      </c>
      <c r="G70" s="208" t="s">
        <v>36</v>
      </c>
      <c r="H70" s="135">
        <v>18.13</v>
      </c>
      <c r="I70" s="135">
        <v>5.31</v>
      </c>
      <c r="J70" s="208" t="s">
        <v>36</v>
      </c>
      <c r="K70" s="208" t="s">
        <v>36</v>
      </c>
      <c r="L70" s="135">
        <v>33.380000000000003</v>
      </c>
      <c r="M70" s="135">
        <v>65.510000000000005</v>
      </c>
      <c r="N70" s="10" t="s">
        <v>43</v>
      </c>
      <c r="O70" s="135">
        <v>0</v>
      </c>
      <c r="P70" s="135">
        <v>3.70</v>
      </c>
      <c r="Q70" s="135">
        <v>55.51</v>
      </c>
      <c r="R70" s="194"/>
      <c r="S70" s="194"/>
      <c r="T70" s="194"/>
      <c r="U70" s="194"/>
    </row>
    <row r="71" spans="1:21" s="12" customFormat="1" ht="15">
      <c r="A71" s="207" t="s">
        <v>691</v>
      </c>
      <c r="B71" s="135">
        <v>0.54</v>
      </c>
      <c r="C71" s="135">
        <v>70.11</v>
      </c>
      <c r="D71" s="135">
        <v>70.650000000000006</v>
      </c>
      <c r="E71" s="135">
        <v>2.12</v>
      </c>
      <c r="F71" s="135">
        <v>7.45</v>
      </c>
      <c r="G71" s="208" t="s">
        <v>36</v>
      </c>
      <c r="H71" s="135">
        <v>18.13</v>
      </c>
      <c r="I71" s="135">
        <v>5.54</v>
      </c>
      <c r="J71" s="208" t="s">
        <v>36</v>
      </c>
      <c r="K71" s="208" t="s">
        <v>36</v>
      </c>
      <c r="L71" s="135">
        <v>34.33</v>
      </c>
      <c r="M71" s="135">
        <v>64.41</v>
      </c>
      <c r="N71" s="10" t="s">
        <v>43</v>
      </c>
      <c r="O71" s="135">
        <v>0</v>
      </c>
      <c r="P71" s="135">
        <v>3.32</v>
      </c>
      <c r="Q71" s="135">
        <v>40.57</v>
      </c>
      <c r="R71" s="194"/>
      <c r="S71" s="194"/>
      <c r="T71" s="194"/>
      <c r="U71" s="194"/>
    </row>
    <row r="72" spans="1:21" s="12" customFormat="1" ht="15">
      <c r="A72" s="207" t="s">
        <v>692</v>
      </c>
      <c r="B72" s="135">
        <v>1.94</v>
      </c>
      <c r="C72" s="135">
        <v>55.33</v>
      </c>
      <c r="D72" s="135">
        <v>57.27</v>
      </c>
      <c r="E72" s="135">
        <v>1.85</v>
      </c>
      <c r="F72" s="135">
        <v>6.5</v>
      </c>
      <c r="G72" s="208" t="s">
        <v>36</v>
      </c>
      <c r="H72" s="135">
        <v>18.13</v>
      </c>
      <c r="I72" s="135">
        <v>5.1100000000000003</v>
      </c>
      <c r="J72" s="135">
        <v>20.78</v>
      </c>
      <c r="K72" s="135">
        <v>69.900000000000006</v>
      </c>
      <c r="L72" s="135">
        <v>9.24</v>
      </c>
      <c r="M72" s="135">
        <v>62.58</v>
      </c>
      <c r="N72" s="10" t="s">
        <v>43</v>
      </c>
      <c r="O72" s="135">
        <v>0</v>
      </c>
      <c r="P72" s="135">
        <v>3.16</v>
      </c>
      <c r="Q72" s="135">
        <v>33.40</v>
      </c>
      <c r="R72" s="194"/>
      <c r="S72" s="194"/>
      <c r="T72" s="194"/>
      <c r="U72" s="194"/>
    </row>
    <row r="73" spans="1:21" s="12" customFormat="1" ht="15">
      <c r="A73" s="207" t="s">
        <v>693</v>
      </c>
      <c r="B73" s="135">
        <v>1.06</v>
      </c>
      <c r="C73" s="135">
        <v>42.77</v>
      </c>
      <c r="D73" s="135">
        <v>43.83</v>
      </c>
      <c r="E73" s="135">
        <v>2.56</v>
      </c>
      <c r="F73" s="135">
        <v>9.25</v>
      </c>
      <c r="G73" s="208" t="s">
        <v>36</v>
      </c>
      <c r="H73" s="135">
        <v>18.77</v>
      </c>
      <c r="I73" s="135">
        <v>4.83</v>
      </c>
      <c r="J73" s="135">
        <v>24.98</v>
      </c>
      <c r="K73" s="135">
        <v>70.42</v>
      </c>
      <c r="L73" s="135">
        <v>10.41</v>
      </c>
      <c r="M73" s="135">
        <v>62.91</v>
      </c>
      <c r="N73" s="10" t="s">
        <v>43</v>
      </c>
      <c r="O73" s="135">
        <v>0</v>
      </c>
      <c r="P73" s="135">
        <v>2.91</v>
      </c>
      <c r="Q73" s="135">
        <v>29.5</v>
      </c>
      <c r="R73" s="194"/>
      <c r="S73" s="194"/>
      <c r="T73" s="194"/>
      <c r="U73" s="194"/>
    </row>
    <row r="74" spans="1:21" s="12" customFormat="1" ht="15">
      <c r="A74" s="207" t="s">
        <v>694</v>
      </c>
      <c r="B74" s="135">
        <v>0.18</v>
      </c>
      <c r="C74" s="135">
        <v>31.10</v>
      </c>
      <c r="D74" s="135">
        <v>31.28</v>
      </c>
      <c r="E74" s="135">
        <v>2.11</v>
      </c>
      <c r="F74" s="135">
        <v>10.5</v>
      </c>
      <c r="G74" s="208" t="s">
        <v>36</v>
      </c>
      <c r="H74" s="135">
        <v>20.34</v>
      </c>
      <c r="I74" s="135">
        <v>5.29</v>
      </c>
      <c r="J74" s="135">
        <v>20.65</v>
      </c>
      <c r="K74" s="135">
        <v>68.02</v>
      </c>
      <c r="L74" s="135">
        <v>5.78</v>
      </c>
      <c r="M74" s="135">
        <v>62.51</v>
      </c>
      <c r="N74" s="10" t="s">
        <v>43</v>
      </c>
      <c r="O74" s="135">
        <v>0</v>
      </c>
      <c r="P74" s="135">
        <v>2.72</v>
      </c>
      <c r="Q74" s="135">
        <v>28.89</v>
      </c>
      <c r="R74" s="194"/>
      <c r="S74" s="194"/>
      <c r="T74" s="194"/>
      <c r="U74" s="194"/>
    </row>
    <row r="75" spans="1:21" s="12" customFormat="1" ht="15">
      <c r="A75" s="207" t="s">
        <v>695</v>
      </c>
      <c r="B75" s="135">
        <v>0.070000000000000007</v>
      </c>
      <c r="C75" s="135">
        <v>24.24</v>
      </c>
      <c r="D75" s="135">
        <v>24.31</v>
      </c>
      <c r="E75" s="135">
        <v>1.46</v>
      </c>
      <c r="F75" s="135">
        <v>3.48</v>
      </c>
      <c r="G75" s="208" t="s">
        <v>36</v>
      </c>
      <c r="H75" s="135">
        <v>20.34</v>
      </c>
      <c r="I75" s="135">
        <v>5.07</v>
      </c>
      <c r="J75" s="135">
        <v>17.579999999999998</v>
      </c>
      <c r="K75" s="135">
        <v>64.040000000000006</v>
      </c>
      <c r="L75" s="135">
        <v>16.25</v>
      </c>
      <c r="M75" s="135">
        <v>61.25</v>
      </c>
      <c r="N75" s="10" t="s">
        <v>43</v>
      </c>
      <c r="O75" s="135">
        <v>0</v>
      </c>
      <c r="P75" s="135">
        <v>2.70</v>
      </c>
      <c r="Q75" s="135">
        <v>31.43</v>
      </c>
      <c r="R75" s="194"/>
      <c r="S75" s="194"/>
      <c r="T75" s="194"/>
      <c r="U75" s="194"/>
    </row>
    <row r="76" spans="1:21" s="12" customFormat="1" ht="15">
      <c r="A76" s="207" t="s">
        <v>696</v>
      </c>
      <c r="B76" s="135">
        <v>0.22</v>
      </c>
      <c r="C76" s="135">
        <v>19.79</v>
      </c>
      <c r="D76" s="135">
        <v>20.010000000000002</v>
      </c>
      <c r="E76" s="135">
        <v>1.91</v>
      </c>
      <c r="F76" s="135">
        <v>2.99</v>
      </c>
      <c r="G76" s="208" t="s">
        <v>36</v>
      </c>
      <c r="H76" s="135">
        <v>20.34</v>
      </c>
      <c r="I76" s="135">
        <v>4.78</v>
      </c>
      <c r="J76" s="135">
        <v>17.440000000000001</v>
      </c>
      <c r="K76" s="135">
        <v>66.41</v>
      </c>
      <c r="L76" s="135">
        <v>0.74</v>
      </c>
      <c r="M76" s="135">
        <v>61.27</v>
      </c>
      <c r="N76" s="10" t="s">
        <v>43</v>
      </c>
      <c r="O76" s="135">
        <v>0</v>
      </c>
      <c r="P76" s="135">
        <v>2.67</v>
      </c>
      <c r="Q76" s="135">
        <v>31.32</v>
      </c>
      <c r="R76" s="194"/>
      <c r="S76" s="194"/>
      <c r="T76" s="194"/>
      <c r="U76" s="194"/>
    </row>
    <row r="77" spans="1:21" s="12" customFormat="1" ht="15">
      <c r="A77" s="207" t="s">
        <v>697</v>
      </c>
      <c r="B77" s="135">
        <v>0.40</v>
      </c>
      <c r="C77" s="135">
        <v>16.68</v>
      </c>
      <c r="D77" s="135">
        <v>17.079999999999998</v>
      </c>
      <c r="E77" s="135">
        <v>2.23</v>
      </c>
      <c r="F77" s="135">
        <v>2.42</v>
      </c>
      <c r="G77" s="208" t="s">
        <v>36</v>
      </c>
      <c r="H77" s="135">
        <v>20.63</v>
      </c>
      <c r="I77" s="135">
        <v>4.8099999999999996</v>
      </c>
      <c r="J77" s="135">
        <v>16.53</v>
      </c>
      <c r="K77" s="135">
        <v>66.13</v>
      </c>
      <c r="L77" s="135">
        <v>2.2400000000000002</v>
      </c>
      <c r="M77" s="135">
        <v>61.07</v>
      </c>
      <c r="N77" s="10" t="s">
        <v>43</v>
      </c>
      <c r="O77" s="135">
        <v>0</v>
      </c>
      <c r="P77" s="135">
        <v>2.64</v>
      </c>
      <c r="Q77" s="135">
        <v>29.48</v>
      </c>
      <c r="R77" s="194"/>
      <c r="S77" s="194"/>
      <c r="T77" s="194"/>
      <c r="U77" s="194"/>
    </row>
    <row r="78" spans="1:21" s="12" customFormat="1" ht="15">
      <c r="A78" s="207" t="s">
        <v>698</v>
      </c>
      <c r="B78" s="135">
        <v>0.55000000000000004</v>
      </c>
      <c r="C78" s="135">
        <v>14.88</v>
      </c>
      <c r="D78" s="135">
        <v>15.43</v>
      </c>
      <c r="E78" s="135">
        <v>2.2799999999999998</v>
      </c>
      <c r="F78" s="135">
        <v>1.90</v>
      </c>
      <c r="G78" s="208" t="s">
        <v>36</v>
      </c>
      <c r="H78" s="135">
        <v>21.39</v>
      </c>
      <c r="I78" s="135">
        <v>4.79</v>
      </c>
      <c r="J78" s="135">
        <v>15.89</v>
      </c>
      <c r="K78" s="135">
        <v>65.400000000000006</v>
      </c>
      <c r="L78" s="213" t="s">
        <v>43</v>
      </c>
      <c r="M78" s="135">
        <v>61.26</v>
      </c>
      <c r="N78" s="10" t="s">
        <v>43</v>
      </c>
      <c r="O78" s="135">
        <v>0</v>
      </c>
      <c r="P78" s="135">
        <v>2.61</v>
      </c>
      <c r="Q78" s="135">
        <v>26.80</v>
      </c>
      <c r="R78" s="194"/>
      <c r="S78" s="194"/>
      <c r="T78" s="194"/>
      <c r="U78" s="194"/>
    </row>
    <row r="79" spans="1:21" s="12" customFormat="1" ht="15">
      <c r="A79" s="207" t="s">
        <v>699</v>
      </c>
      <c r="B79" s="135">
        <v>0.74</v>
      </c>
      <c r="C79" s="135">
        <v>13.97</v>
      </c>
      <c r="D79" s="135">
        <v>14.71</v>
      </c>
      <c r="E79" s="135">
        <v>2.73</v>
      </c>
      <c r="F79" s="135">
        <v>1.40</v>
      </c>
      <c r="G79" s="208" t="s">
        <v>36</v>
      </c>
      <c r="H79" s="135">
        <v>21.39</v>
      </c>
      <c r="I79" s="135">
        <v>4.76</v>
      </c>
      <c r="J79" s="135">
        <v>14.49</v>
      </c>
      <c r="K79" s="135">
        <v>66.069999999999993</v>
      </c>
      <c r="L79" s="213" t="s">
        <v>43</v>
      </c>
      <c r="M79" s="135">
        <v>62.52</v>
      </c>
      <c r="N79" s="10" t="s">
        <v>43</v>
      </c>
      <c r="O79" s="135">
        <v>0</v>
      </c>
      <c r="P79" s="135">
        <v>2.58</v>
      </c>
      <c r="Q79" s="135">
        <v>25.71</v>
      </c>
      <c r="R79" s="194"/>
      <c r="S79" s="194"/>
      <c r="T79" s="194"/>
      <c r="U79" s="194"/>
    </row>
    <row r="80" spans="1:21" s="12" customFormat="1" ht="15">
      <c r="A80" s="207" t="s">
        <v>700</v>
      </c>
      <c r="B80" s="135">
        <v>0.67</v>
      </c>
      <c r="C80" s="135">
        <v>12.76</v>
      </c>
      <c r="D80" s="135">
        <v>13.42</v>
      </c>
      <c r="E80" s="135">
        <v>3.07</v>
      </c>
      <c r="F80" s="135">
        <v>1.72</v>
      </c>
      <c r="G80" s="208" t="s">
        <v>36</v>
      </c>
      <c r="H80" s="135">
        <v>21.39</v>
      </c>
      <c r="I80" s="135">
        <v>4.55</v>
      </c>
      <c r="J80" s="135">
        <v>12.72</v>
      </c>
      <c r="K80" s="135">
        <v>70.80</v>
      </c>
      <c r="L80" s="135">
        <v>2.68</v>
      </c>
      <c r="M80" s="135">
        <v>63.39</v>
      </c>
      <c r="N80" s="10" t="s">
        <v>43</v>
      </c>
      <c r="O80" s="135">
        <v>0</v>
      </c>
      <c r="P80" s="135">
        <v>2.59</v>
      </c>
      <c r="Q80" s="135">
        <v>27.83</v>
      </c>
      <c r="R80" s="194"/>
      <c r="S80" s="194"/>
      <c r="T80" s="194"/>
      <c r="U80" s="194"/>
    </row>
    <row r="81" spans="1:21" s="12" customFormat="1" ht="15">
      <c r="A81" s="207" t="s">
        <v>701</v>
      </c>
      <c r="B81" s="135">
        <v>0.63</v>
      </c>
      <c r="C81" s="135">
        <v>11.71</v>
      </c>
      <c r="D81" s="135">
        <v>12.34</v>
      </c>
      <c r="E81" s="135">
        <v>3.22</v>
      </c>
      <c r="F81" s="135">
        <v>1.06</v>
      </c>
      <c r="G81" s="208" t="s">
        <v>36</v>
      </c>
      <c r="H81" s="135">
        <v>21.01</v>
      </c>
      <c r="I81" s="135">
        <v>4.07</v>
      </c>
      <c r="J81" s="135">
        <v>10.92</v>
      </c>
      <c r="K81" s="135">
        <v>66.52</v>
      </c>
      <c r="L81" s="213" t="s">
        <v>43</v>
      </c>
      <c r="M81" s="135">
        <v>63.41</v>
      </c>
      <c r="N81" s="10" t="s">
        <v>43</v>
      </c>
      <c r="O81" s="135">
        <v>0</v>
      </c>
      <c r="P81" s="135">
        <v>2.57</v>
      </c>
      <c r="Q81" s="135">
        <v>28.41</v>
      </c>
      <c r="R81" s="194"/>
      <c r="S81" s="194"/>
      <c r="T81" s="194"/>
      <c r="U81" s="194"/>
    </row>
    <row r="82" spans="1:21" s="12" customFormat="1" ht="15">
      <c r="A82" s="207" t="s">
        <v>702</v>
      </c>
      <c r="B82" s="135">
        <v>0.69</v>
      </c>
      <c r="C82" s="135">
        <v>10.93</v>
      </c>
      <c r="D82" s="135">
        <v>11.61</v>
      </c>
      <c r="E82" s="135">
        <v>3.22</v>
      </c>
      <c r="F82" s="135">
        <v>1.01</v>
      </c>
      <c r="G82" s="208" t="s">
        <v>36</v>
      </c>
      <c r="H82" s="135">
        <v>20.07</v>
      </c>
      <c r="I82" s="135">
        <v>4.59</v>
      </c>
      <c r="J82" s="135">
        <v>10.77</v>
      </c>
      <c r="K82" s="135">
        <v>69.81</v>
      </c>
      <c r="L82" s="213" t="s">
        <v>43</v>
      </c>
      <c r="M82" s="135">
        <v>63.39</v>
      </c>
      <c r="N82" s="10" t="s">
        <v>43</v>
      </c>
      <c r="O82" s="135">
        <v>0</v>
      </c>
      <c r="P82" s="135">
        <v>2.56</v>
      </c>
      <c r="Q82" s="135">
        <v>27.65</v>
      </c>
      <c r="R82" s="194"/>
      <c r="S82" s="194"/>
      <c r="T82" s="194"/>
      <c r="U82" s="194"/>
    </row>
    <row r="83" spans="1:21" s="12" customFormat="1" ht="15">
      <c r="A83" s="207" t="s">
        <v>703</v>
      </c>
      <c r="B83" s="135">
        <v>0.72</v>
      </c>
      <c r="C83" s="135">
        <v>10.25</v>
      </c>
      <c r="D83" s="135">
        <v>10.97</v>
      </c>
      <c r="E83" s="135">
        <v>3.93</v>
      </c>
      <c r="F83" s="135">
        <v>0.98</v>
      </c>
      <c r="G83" s="208" t="s">
        <v>36</v>
      </c>
      <c r="H83" s="135">
        <v>20.07</v>
      </c>
      <c r="I83" s="135">
        <v>4.67</v>
      </c>
      <c r="J83" s="135">
        <v>10.40</v>
      </c>
      <c r="K83" s="135">
        <v>72.14</v>
      </c>
      <c r="L83" s="213" t="s">
        <v>43</v>
      </c>
      <c r="M83" s="135">
        <v>63.32</v>
      </c>
      <c r="N83" s="10" t="s">
        <v>43</v>
      </c>
      <c r="O83" s="135">
        <v>0</v>
      </c>
      <c r="P83" s="135">
        <v>2.5499999999999998</v>
      </c>
      <c r="Q83" s="135">
        <v>26.88</v>
      </c>
      <c r="R83" s="194"/>
      <c r="S83" s="194"/>
      <c r="T83" s="194"/>
      <c r="U83" s="194"/>
    </row>
    <row r="84" spans="1:21" s="12" customFormat="1" ht="15">
      <c r="A84" s="207" t="s">
        <v>704</v>
      </c>
      <c r="B84" s="135">
        <v>0.78</v>
      </c>
      <c r="C84" s="135">
        <v>9.6300000000000008</v>
      </c>
      <c r="D84" s="135">
        <v>10.41</v>
      </c>
      <c r="E84" s="135">
        <v>4.16</v>
      </c>
      <c r="F84" s="135">
        <v>1.1299999999999999</v>
      </c>
      <c r="G84" s="208" t="s">
        <v>36</v>
      </c>
      <c r="H84" s="135">
        <v>20.07</v>
      </c>
      <c r="I84" s="135">
        <v>4.57</v>
      </c>
      <c r="J84" s="135">
        <v>10.119999999999999</v>
      </c>
      <c r="K84" s="135">
        <v>73.80</v>
      </c>
      <c r="L84" s="213" t="s">
        <v>43</v>
      </c>
      <c r="M84" s="135">
        <v>65.12</v>
      </c>
      <c r="N84" s="10" t="s">
        <v>43</v>
      </c>
      <c r="O84" s="135">
        <v>0</v>
      </c>
      <c r="P84" s="135">
        <v>2.54</v>
      </c>
      <c r="Q84" s="135">
        <v>26.40</v>
      </c>
      <c r="R84" s="194"/>
      <c r="S84" s="194"/>
      <c r="T84" s="194"/>
      <c r="U84" s="194"/>
    </row>
    <row r="85" spans="1:21" s="12" customFormat="1" ht="15">
      <c r="A85" s="207" t="s">
        <v>705</v>
      </c>
      <c r="B85" s="135">
        <v>0.85</v>
      </c>
      <c r="C85" s="135">
        <v>9.3000000000000007</v>
      </c>
      <c r="D85" s="135">
        <v>10.15</v>
      </c>
      <c r="E85" s="135">
        <v>4.1399999999999997</v>
      </c>
      <c r="F85" s="135">
        <v>1.1100000000000001</v>
      </c>
      <c r="G85" s="208" t="s">
        <v>36</v>
      </c>
      <c r="H85" s="135">
        <v>19.13</v>
      </c>
      <c r="I85" s="135">
        <v>4.6500000000000004</v>
      </c>
      <c r="J85" s="135">
        <v>10.17</v>
      </c>
      <c r="K85" s="135">
        <v>70.86</v>
      </c>
      <c r="L85" s="213" t="s">
        <v>43</v>
      </c>
      <c r="M85" s="135">
        <v>67.510000000000005</v>
      </c>
      <c r="N85" s="10" t="s">
        <v>43</v>
      </c>
      <c r="O85" s="135">
        <v>0</v>
      </c>
      <c r="P85" s="135">
        <v>2.5299999999999998</v>
      </c>
      <c r="Q85" s="135">
        <v>25.76</v>
      </c>
      <c r="R85" s="194"/>
      <c r="S85" s="194"/>
      <c r="T85" s="194"/>
      <c r="U85" s="194"/>
    </row>
    <row r="86" spans="1:21" s="12" customFormat="1" ht="15">
      <c r="A86" s="207" t="s">
        <v>706</v>
      </c>
      <c r="B86" s="135">
        <v>1.01</v>
      </c>
      <c r="C86" s="135">
        <v>9.58</v>
      </c>
      <c r="D86" s="135">
        <v>10.59</v>
      </c>
      <c r="E86" s="135">
        <v>4.8499999999999996</v>
      </c>
      <c r="F86" s="135">
        <v>1.03</v>
      </c>
      <c r="G86" s="208" t="s">
        <v>36</v>
      </c>
      <c r="H86" s="135">
        <v>16.809999999999999</v>
      </c>
      <c r="I86" s="135">
        <v>4.5999999999999996</v>
      </c>
      <c r="J86" s="135">
        <v>10.33</v>
      </c>
      <c r="K86" s="135">
        <v>67.95</v>
      </c>
      <c r="L86" s="135">
        <v>7.60</v>
      </c>
      <c r="M86" s="135">
        <v>68.83</v>
      </c>
      <c r="N86" s="10" t="s">
        <v>43</v>
      </c>
      <c r="O86" s="135">
        <v>0</v>
      </c>
      <c r="P86" s="135">
        <v>2.5299999999999998</v>
      </c>
      <c r="Q86" s="135">
        <v>25.07</v>
      </c>
      <c r="R86" s="194"/>
      <c r="S86" s="194"/>
      <c r="T86" s="194"/>
      <c r="U86" s="194"/>
    </row>
    <row r="87" spans="1:21" s="12" customFormat="1" ht="15">
      <c r="A87" s="207" t="s">
        <v>707</v>
      </c>
      <c r="B87" s="135">
        <v>1.25</v>
      </c>
      <c r="C87" s="135">
        <v>11</v>
      </c>
      <c r="D87" s="135">
        <v>12.24</v>
      </c>
      <c r="E87" s="135">
        <v>4.79</v>
      </c>
      <c r="F87" s="135">
        <v>0.91</v>
      </c>
      <c r="G87" s="208" t="s">
        <v>36</v>
      </c>
      <c r="H87" s="135">
        <v>16.809999999999999</v>
      </c>
      <c r="I87" s="135">
        <v>4.8099999999999996</v>
      </c>
      <c r="J87" s="135">
        <v>10.61</v>
      </c>
      <c r="K87" s="135">
        <v>66.27</v>
      </c>
      <c r="L87" s="135">
        <v>18.010000000000002</v>
      </c>
      <c r="M87" s="135">
        <v>71.14</v>
      </c>
      <c r="N87" s="10" t="s">
        <v>43</v>
      </c>
      <c r="O87" s="135">
        <v>0</v>
      </c>
      <c r="P87" s="135">
        <v>2.5499999999999998</v>
      </c>
      <c r="Q87" s="135">
        <v>25.11</v>
      </c>
      <c r="R87" s="194"/>
      <c r="S87" s="194"/>
      <c r="T87" s="194"/>
      <c r="U87" s="194"/>
    </row>
    <row r="88" spans="1:21" s="12" customFormat="1" ht="15">
      <c r="A88" s="207" t="s">
        <v>708</v>
      </c>
      <c r="B88" s="135">
        <v>1.28</v>
      </c>
      <c r="C88" s="135">
        <v>11.89</v>
      </c>
      <c r="D88" s="135">
        <v>13.17</v>
      </c>
      <c r="E88" s="135">
        <v>2.91</v>
      </c>
      <c r="F88" s="135">
        <v>0.93</v>
      </c>
      <c r="G88" s="208" t="s">
        <v>36</v>
      </c>
      <c r="H88" s="135">
        <v>16.809999999999999</v>
      </c>
      <c r="I88" s="135">
        <v>4.9000000000000004</v>
      </c>
      <c r="J88" s="135">
        <v>10.37</v>
      </c>
      <c r="K88" s="135">
        <v>64.36</v>
      </c>
      <c r="L88" s="135">
        <v>14.15</v>
      </c>
      <c r="M88" s="135">
        <v>72.819999999999993</v>
      </c>
      <c r="N88" s="10" t="s">
        <v>43</v>
      </c>
      <c r="O88" s="135">
        <v>0</v>
      </c>
      <c r="P88" s="135">
        <v>2.5499999999999998</v>
      </c>
      <c r="Q88" s="135">
        <v>24.17</v>
      </c>
      <c r="R88" s="194"/>
      <c r="S88" s="194"/>
      <c r="T88" s="194"/>
      <c r="U88" s="194"/>
    </row>
    <row r="89" spans="1:21" s="12" customFormat="1" ht="15">
      <c r="A89" s="207" t="s">
        <v>709</v>
      </c>
      <c r="B89" s="135">
        <v>1.34</v>
      </c>
      <c r="C89" s="135">
        <v>12.43</v>
      </c>
      <c r="D89" s="135">
        <v>13.77</v>
      </c>
      <c r="E89" s="135">
        <v>5.17</v>
      </c>
      <c r="F89" s="135">
        <v>0.41</v>
      </c>
      <c r="G89" s="208" t="s">
        <v>36</v>
      </c>
      <c r="H89" s="135">
        <v>17.07</v>
      </c>
      <c r="I89" s="135">
        <v>5.03</v>
      </c>
      <c r="J89" s="135">
        <v>10.47</v>
      </c>
      <c r="K89" s="135">
        <v>67.180000000000007</v>
      </c>
      <c r="L89" s="135">
        <v>18.41</v>
      </c>
      <c r="M89" s="135">
        <v>73.06</v>
      </c>
      <c r="N89" s="10" t="s">
        <v>43</v>
      </c>
      <c r="O89" s="135">
        <v>0</v>
      </c>
      <c r="P89" s="135">
        <v>2.56</v>
      </c>
      <c r="Q89" s="135">
        <v>23.59</v>
      </c>
      <c r="R89" s="194"/>
      <c r="S89" s="194"/>
      <c r="T89" s="194"/>
      <c r="U89" s="194"/>
    </row>
    <row r="90" spans="1:21" s="12" customFormat="1" ht="15">
      <c r="A90" s="207" t="s">
        <v>710</v>
      </c>
      <c r="B90" s="135">
        <v>1.41</v>
      </c>
      <c r="C90" s="135">
        <v>12.84</v>
      </c>
      <c r="D90" s="135">
        <v>14.24</v>
      </c>
      <c r="E90" s="135">
        <v>5.27</v>
      </c>
      <c r="F90" s="135">
        <v>0.11</v>
      </c>
      <c r="G90" s="208" t="s">
        <v>36</v>
      </c>
      <c r="H90" s="135">
        <v>17.71</v>
      </c>
      <c r="I90" s="135">
        <v>5.12</v>
      </c>
      <c r="J90" s="135">
        <v>10.67</v>
      </c>
      <c r="K90" s="135">
        <v>65.88</v>
      </c>
      <c r="L90" s="135">
        <v>16.829999999999998</v>
      </c>
      <c r="M90" s="135">
        <v>73.349999999999994</v>
      </c>
      <c r="N90" s="10" t="s">
        <v>43</v>
      </c>
      <c r="O90" s="135">
        <v>0</v>
      </c>
      <c r="P90" s="135">
        <v>2.56</v>
      </c>
      <c r="Q90" s="135">
        <v>23.30</v>
      </c>
      <c r="R90" s="194"/>
      <c r="S90" s="194"/>
      <c r="T90" s="194"/>
      <c r="U90" s="194"/>
    </row>
    <row r="91" spans="1:21" s="12" customFormat="1" ht="15">
      <c r="A91" s="207" t="s">
        <v>711</v>
      </c>
      <c r="B91" s="135">
        <v>1.68</v>
      </c>
      <c r="C91" s="135">
        <v>13.20</v>
      </c>
      <c r="D91" s="135">
        <v>14.88</v>
      </c>
      <c r="E91" s="135">
        <v>5.54</v>
      </c>
      <c r="F91" s="135">
        <v>0.48</v>
      </c>
      <c r="G91" s="208" t="s">
        <v>36</v>
      </c>
      <c r="H91" s="135">
        <v>17.71</v>
      </c>
      <c r="I91" s="135">
        <v>5.09</v>
      </c>
      <c r="J91" s="135">
        <v>10.19</v>
      </c>
      <c r="K91" s="135">
        <v>65.34</v>
      </c>
      <c r="L91" s="135">
        <v>17.97</v>
      </c>
      <c r="M91" s="135">
        <v>74.25</v>
      </c>
      <c r="N91" s="10" t="s">
        <v>43</v>
      </c>
      <c r="O91" s="135">
        <v>0</v>
      </c>
      <c r="P91" s="135">
        <v>2.57</v>
      </c>
      <c r="Q91" s="135">
        <v>23.61</v>
      </c>
      <c r="R91" s="194"/>
      <c r="S91" s="194"/>
      <c r="T91" s="194"/>
      <c r="U91" s="194"/>
    </row>
    <row r="92" spans="1:21" s="12" customFormat="1" ht="15">
      <c r="A92" s="207" t="s">
        <v>712</v>
      </c>
      <c r="B92" s="135">
        <v>2.02</v>
      </c>
      <c r="C92" s="135">
        <v>13.35</v>
      </c>
      <c r="D92" s="135">
        <v>15.37</v>
      </c>
      <c r="E92" s="135">
        <v>5.27</v>
      </c>
      <c r="F92" s="135">
        <v>0.62</v>
      </c>
      <c r="G92" s="208" t="s">
        <v>36</v>
      </c>
      <c r="H92" s="135">
        <v>17.71</v>
      </c>
      <c r="I92" s="135">
        <v>5.09</v>
      </c>
      <c r="J92" s="135">
        <v>10.28</v>
      </c>
      <c r="K92" s="135">
        <v>67.56</v>
      </c>
      <c r="L92" s="135">
        <v>18.57</v>
      </c>
      <c r="M92" s="135">
        <v>75.83</v>
      </c>
      <c r="N92" s="10" t="s">
        <v>43</v>
      </c>
      <c r="O92" s="135">
        <v>0</v>
      </c>
      <c r="P92" s="135">
        <v>2.57</v>
      </c>
      <c r="Q92" s="135">
        <v>24.32</v>
      </c>
      <c r="R92" s="194"/>
      <c r="S92" s="194"/>
      <c r="T92" s="194"/>
      <c r="U92" s="194"/>
    </row>
    <row r="93" spans="1:21" s="12" customFormat="1" ht="15">
      <c r="A93" s="207" t="s">
        <v>713</v>
      </c>
      <c r="B93" s="135">
        <v>2.19</v>
      </c>
      <c r="C93" s="135">
        <v>13.11</v>
      </c>
      <c r="D93" s="135">
        <v>15.31</v>
      </c>
      <c r="E93" s="135">
        <v>5.23</v>
      </c>
      <c r="F93" s="135">
        <v>0.24</v>
      </c>
      <c r="G93" s="208" t="s">
        <v>36</v>
      </c>
      <c r="H93" s="135">
        <v>17.18</v>
      </c>
      <c r="I93" s="135">
        <v>5.19</v>
      </c>
      <c r="J93" s="135">
        <v>10.10</v>
      </c>
      <c r="K93" s="135">
        <v>68.849999999999994</v>
      </c>
      <c r="L93" s="135">
        <v>16.57</v>
      </c>
      <c r="M93" s="135">
        <v>76.959999999999994</v>
      </c>
      <c r="N93" s="10" t="s">
        <v>43</v>
      </c>
      <c r="O93" s="135">
        <v>0</v>
      </c>
      <c r="P93" s="135">
        <v>2.57</v>
      </c>
      <c r="Q93" s="135">
        <v>23.98</v>
      </c>
      <c r="R93" s="194"/>
      <c r="S93" s="194"/>
      <c r="T93" s="194"/>
      <c r="U93" s="194"/>
    </row>
    <row r="94" spans="1:21" s="12" customFormat="1" ht="15">
      <c r="A94" s="207" t="s">
        <v>714</v>
      </c>
      <c r="B94" s="135">
        <v>2.37</v>
      </c>
      <c r="C94" s="135">
        <v>11.69</v>
      </c>
      <c r="D94" s="135">
        <v>14.06</v>
      </c>
      <c r="E94" s="135">
        <v>5.55</v>
      </c>
      <c r="F94" s="135">
        <v>0.60</v>
      </c>
      <c r="G94" s="208" t="s">
        <v>36</v>
      </c>
      <c r="H94" s="135">
        <v>15.82</v>
      </c>
      <c r="I94" s="135">
        <v>5.21</v>
      </c>
      <c r="J94" s="135">
        <v>10.96</v>
      </c>
      <c r="K94" s="135">
        <v>65.41</v>
      </c>
      <c r="L94" s="135">
        <v>21.13</v>
      </c>
      <c r="M94" s="135">
        <v>78.099999999999994</v>
      </c>
      <c r="N94" s="10" t="s">
        <v>43</v>
      </c>
      <c r="O94" s="135">
        <v>0</v>
      </c>
      <c r="P94" s="135">
        <v>2.57</v>
      </c>
      <c r="Q94" s="135">
        <v>23.53</v>
      </c>
      <c r="R94" s="194"/>
      <c r="S94" s="194"/>
      <c r="T94" s="194"/>
      <c r="U94" s="194"/>
    </row>
    <row r="95" spans="1:21" s="12" customFormat="1" ht="15">
      <c r="A95" s="207" t="s">
        <v>715</v>
      </c>
      <c r="B95" s="135">
        <v>2.70</v>
      </c>
      <c r="C95" s="135">
        <v>10.80</v>
      </c>
      <c r="D95" s="135">
        <v>13.5</v>
      </c>
      <c r="E95" s="135">
        <v>5.73</v>
      </c>
      <c r="F95" s="135">
        <v>0.42</v>
      </c>
      <c r="G95" s="208" t="s">
        <v>36</v>
      </c>
      <c r="H95" s="135">
        <v>15.82</v>
      </c>
      <c r="I95" s="135">
        <v>5</v>
      </c>
      <c r="J95" s="135">
        <v>11.02</v>
      </c>
      <c r="K95" s="135">
        <v>67.36</v>
      </c>
      <c r="L95" s="135">
        <v>17.989999999999998</v>
      </c>
      <c r="M95" s="135">
        <v>78.97</v>
      </c>
      <c r="N95" s="10" t="s">
        <v>43</v>
      </c>
      <c r="O95" s="135">
        <v>0</v>
      </c>
      <c r="P95" s="135">
        <v>2.56</v>
      </c>
      <c r="Q95" s="135">
        <v>24.43</v>
      </c>
      <c r="R95" s="194"/>
      <c r="S95" s="194"/>
      <c r="T95" s="194"/>
      <c r="U95" s="194"/>
    </row>
    <row r="96" spans="1:26" s="12" customFormat="1" ht="15">
      <c r="A96" s="207" t="s">
        <v>716</v>
      </c>
      <c r="B96" s="135">
        <v>2.92</v>
      </c>
      <c r="C96" s="135">
        <v>10.09</v>
      </c>
      <c r="D96" s="135">
        <v>13.01</v>
      </c>
      <c r="E96" s="135">
        <v>5.95</v>
      </c>
      <c r="F96" s="135">
        <v>0.23</v>
      </c>
      <c r="G96" s="208" t="s">
        <v>36</v>
      </c>
      <c r="H96" s="135">
        <v>15.82</v>
      </c>
      <c r="I96" s="135">
        <v>4.33</v>
      </c>
      <c r="J96" s="135">
        <v>10.49</v>
      </c>
      <c r="K96" s="135">
        <v>62.49</v>
      </c>
      <c r="L96" s="135">
        <v>23.90</v>
      </c>
      <c r="M96" s="135">
        <v>80.62</v>
      </c>
      <c r="N96" s="10" t="s">
        <v>43</v>
      </c>
      <c r="O96" s="135">
        <v>0</v>
      </c>
      <c r="P96" s="135">
        <v>2.56</v>
      </c>
      <c r="Q96" s="135">
        <v>25.34</v>
      </c>
      <c r="R96" s="194"/>
      <c r="S96" s="194"/>
      <c r="T96" s="194"/>
      <c r="U96" s="194"/>
      <c r="Z96" s="105"/>
    </row>
    <row r="97" spans="1:21" s="12" customFormat="1" ht="15">
      <c r="A97" s="207" t="s">
        <v>717</v>
      </c>
      <c r="B97" s="135">
        <v>3.08</v>
      </c>
      <c r="C97" s="135">
        <v>9.49</v>
      </c>
      <c r="D97" s="135">
        <v>12.57</v>
      </c>
      <c r="E97" s="135">
        <v>6.53</v>
      </c>
      <c r="F97" s="135">
        <v>0.48</v>
      </c>
      <c r="G97" s="208" t="s">
        <v>36</v>
      </c>
      <c r="H97" s="135">
        <v>15.61</v>
      </c>
      <c r="I97" s="135">
        <v>4.21</v>
      </c>
      <c r="J97" s="135">
        <v>10.029999999999999</v>
      </c>
      <c r="K97" s="135">
        <v>59.25</v>
      </c>
      <c r="L97" s="135">
        <v>26.81</v>
      </c>
      <c r="M97" s="135">
        <v>81.95</v>
      </c>
      <c r="N97" s="10" t="s">
        <v>43</v>
      </c>
      <c r="O97" s="135">
        <v>0</v>
      </c>
      <c r="P97" s="135">
        <v>2.56</v>
      </c>
      <c r="Q97" s="135">
        <v>25.26</v>
      </c>
      <c r="R97" s="194"/>
      <c r="S97" s="194"/>
      <c r="T97" s="194"/>
      <c r="U97" s="194"/>
    </row>
    <row r="98" spans="1:21" s="12" customFormat="1" ht="15">
      <c r="A98" s="207" t="s">
        <v>718</v>
      </c>
      <c r="B98" s="135">
        <v>3.23</v>
      </c>
      <c r="C98" s="135">
        <v>9.16</v>
      </c>
      <c r="D98" s="135">
        <v>12.39</v>
      </c>
      <c r="E98" s="135">
        <v>6.61</v>
      </c>
      <c r="F98" s="135">
        <v>0.76</v>
      </c>
      <c r="G98" s="208" t="s">
        <v>36</v>
      </c>
      <c r="H98" s="135">
        <v>15.10</v>
      </c>
      <c r="I98" s="135">
        <v>4.05</v>
      </c>
      <c r="J98" s="135">
        <v>10.08</v>
      </c>
      <c r="K98" s="135">
        <v>56.92</v>
      </c>
      <c r="L98" s="135">
        <v>28.58</v>
      </c>
      <c r="M98" s="135">
        <v>82.88</v>
      </c>
      <c r="N98" s="10" t="s">
        <v>43</v>
      </c>
      <c r="O98" s="135">
        <v>0</v>
      </c>
      <c r="P98" s="135">
        <v>2.56</v>
      </c>
      <c r="Q98" s="135">
        <v>24.07</v>
      </c>
      <c r="R98" s="194"/>
      <c r="S98" s="194"/>
      <c r="T98" s="194"/>
      <c r="U98" s="194"/>
    </row>
    <row r="99" spans="1:21" s="12" customFormat="1" ht="15">
      <c r="A99" s="207" t="s">
        <v>719</v>
      </c>
      <c r="B99" s="135">
        <v>3.32</v>
      </c>
      <c r="C99" s="135">
        <v>8.65</v>
      </c>
      <c r="D99" s="135">
        <v>11.97</v>
      </c>
      <c r="E99" s="135">
        <v>6.65</v>
      </c>
      <c r="F99" s="135">
        <v>0.96</v>
      </c>
      <c r="G99" s="208" t="s">
        <v>36</v>
      </c>
      <c r="H99" s="135">
        <v>15.10</v>
      </c>
      <c r="I99" s="135">
        <v>3.83</v>
      </c>
      <c r="J99" s="135">
        <v>9.81</v>
      </c>
      <c r="K99" s="135">
        <v>60</v>
      </c>
      <c r="L99" s="135">
        <v>18.420000000000002</v>
      </c>
      <c r="M99" s="135">
        <v>83.35</v>
      </c>
      <c r="N99" s="10" t="s">
        <v>43</v>
      </c>
      <c r="O99" s="135">
        <v>0</v>
      </c>
      <c r="P99" s="135">
        <v>2.5499999999999998</v>
      </c>
      <c r="Q99" s="135">
        <v>23.37</v>
      </c>
      <c r="R99" s="194"/>
      <c r="S99" s="194"/>
      <c r="T99" s="194"/>
      <c r="U99" s="194"/>
    </row>
    <row r="100" spans="1:33" s="12" customFormat="1" ht="15">
      <c r="A100" s="207" t="s">
        <v>720</v>
      </c>
      <c r="B100" s="135">
        <v>3.39</v>
      </c>
      <c r="C100" s="135">
        <v>8.2899999999999991</v>
      </c>
      <c r="D100" s="135">
        <v>11.69</v>
      </c>
      <c r="E100" s="135">
        <v>6.40</v>
      </c>
      <c r="F100" s="135">
        <v>1.0900000000000001</v>
      </c>
      <c r="G100" s="208" t="s">
        <v>36</v>
      </c>
      <c r="H100" s="135">
        <v>15.10</v>
      </c>
      <c r="I100" s="135">
        <v>3.60</v>
      </c>
      <c r="J100" s="135">
        <v>10.24</v>
      </c>
      <c r="K100" s="135">
        <v>63.91</v>
      </c>
      <c r="L100" s="135">
        <v>19.329999999999998</v>
      </c>
      <c r="M100" s="135">
        <v>83.38</v>
      </c>
      <c r="N100" s="10" t="s">
        <v>43</v>
      </c>
      <c r="O100" s="135">
        <v>0</v>
      </c>
      <c r="P100" s="135">
        <v>2.54</v>
      </c>
      <c r="Q100" s="135">
        <v>23.19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721</v>
      </c>
      <c r="B101" s="135">
        <v>3.45</v>
      </c>
      <c r="C101" s="135">
        <v>9.34</v>
      </c>
      <c r="D101" s="135">
        <v>12.79</v>
      </c>
      <c r="E101" s="135">
        <v>6.53</v>
      </c>
      <c r="F101" s="135">
        <v>1.27</v>
      </c>
      <c r="G101" s="208" t="s">
        <v>36</v>
      </c>
      <c r="H101" s="135">
        <v>13.96</v>
      </c>
      <c r="I101" s="135">
        <v>3.54</v>
      </c>
      <c r="J101" s="135">
        <v>10.99</v>
      </c>
      <c r="K101" s="135">
        <v>65.70</v>
      </c>
      <c r="L101" s="135">
        <v>18.579999999999998</v>
      </c>
      <c r="M101" s="135">
        <v>82.56</v>
      </c>
      <c r="N101" s="10" t="s">
        <v>43</v>
      </c>
      <c r="O101" s="135">
        <v>0</v>
      </c>
      <c r="P101" s="135">
        <v>2.5499999999999998</v>
      </c>
      <c r="Q101" s="135">
        <v>23.96</v>
      </c>
      <c r="R101" s="194"/>
      <c r="S101" s="194"/>
      <c r="T101" s="194"/>
      <c r="U101" s="194"/>
    </row>
    <row r="102" spans="1:21" s="12" customFormat="1" ht="15">
      <c r="A102" s="207" t="s">
        <v>722</v>
      </c>
      <c r="B102" s="135">
        <v>3.32</v>
      </c>
      <c r="C102" s="135">
        <v>10.029999999999999</v>
      </c>
      <c r="D102" s="135">
        <v>13.35</v>
      </c>
      <c r="E102" s="135">
        <v>6.69</v>
      </c>
      <c r="F102" s="135">
        <v>0.72</v>
      </c>
      <c r="G102" s="208" t="s">
        <v>36</v>
      </c>
      <c r="H102" s="135">
        <v>11.14</v>
      </c>
      <c r="I102" s="135">
        <v>3.94</v>
      </c>
      <c r="J102" s="135">
        <v>10.88</v>
      </c>
      <c r="K102" s="135">
        <v>60.49</v>
      </c>
      <c r="L102" s="135">
        <v>19.57</v>
      </c>
      <c r="M102" s="135">
        <v>82.32</v>
      </c>
      <c r="N102" s="10" t="s">
        <v>43</v>
      </c>
      <c r="O102" s="135">
        <v>0</v>
      </c>
      <c r="P102" s="135">
        <v>2.54</v>
      </c>
      <c r="Q102" s="135">
        <v>23.08</v>
      </c>
      <c r="R102" s="194"/>
      <c r="S102" s="194"/>
      <c r="T102" s="194"/>
      <c r="U102" s="194"/>
    </row>
    <row r="103" spans="1:21" s="12" customFormat="1" ht="15">
      <c r="A103" s="207" t="s">
        <v>723</v>
      </c>
      <c r="B103" s="135">
        <v>3.11</v>
      </c>
      <c r="C103" s="135">
        <v>10.26</v>
      </c>
      <c r="D103" s="135">
        <v>13.36</v>
      </c>
      <c r="E103" s="135">
        <v>6.88</v>
      </c>
      <c r="F103" s="135">
        <v>0.56999999999999995</v>
      </c>
      <c r="G103" s="208" t="s">
        <v>36</v>
      </c>
      <c r="H103" s="135">
        <v>11.14</v>
      </c>
      <c r="I103" s="135">
        <v>5.24</v>
      </c>
      <c r="J103" s="135">
        <v>10.47</v>
      </c>
      <c r="K103" s="135">
        <v>57.24</v>
      </c>
      <c r="L103" s="135">
        <v>20.97</v>
      </c>
      <c r="M103" s="135">
        <v>83.22</v>
      </c>
      <c r="N103" s="10" t="s">
        <v>43</v>
      </c>
      <c r="O103" s="135">
        <v>0</v>
      </c>
      <c r="P103" s="135">
        <v>2.5299999999999998</v>
      </c>
      <c r="Q103" s="135">
        <v>21.81</v>
      </c>
      <c r="R103" s="194"/>
      <c r="S103" s="194"/>
      <c r="T103" s="194"/>
      <c r="U103" s="194"/>
    </row>
    <row r="104" spans="1:21" s="12" customFormat="1" ht="15">
      <c r="A104" s="209" t="s">
        <v>724</v>
      </c>
      <c r="B104" s="210">
        <v>2.95</v>
      </c>
      <c r="C104" s="210">
        <v>9.92</v>
      </c>
      <c r="D104" s="210">
        <v>12.87</v>
      </c>
      <c r="E104" s="210">
        <v>3.46</v>
      </c>
      <c r="F104" s="210">
        <v>0.45</v>
      </c>
      <c r="G104" s="211" t="s">
        <v>36</v>
      </c>
      <c r="H104" s="210">
        <v>11.14</v>
      </c>
      <c r="I104" s="210">
        <v>5.27</v>
      </c>
      <c r="J104" s="210">
        <v>11.12</v>
      </c>
      <c r="K104" s="210">
        <v>58.87</v>
      </c>
      <c r="L104" s="210">
        <v>17.82</v>
      </c>
      <c r="M104" s="210">
        <v>85.06</v>
      </c>
      <c r="N104" s="10" t="s">
        <v>43</v>
      </c>
      <c r="O104" s="210">
        <v>0</v>
      </c>
      <c r="P104" s="210">
        <v>2.52</v>
      </c>
      <c r="Q104" s="210">
        <v>21.38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0.029999999999999999</v>
      </c>
      <c r="C106" s="67">
        <f>MIN(C9:C104)</f>
        <v>7.29</v>
      </c>
      <c r="D106" s="67">
        <f t="shared" si="0" ref="D106:Q106">MIN(D9:D104)</f>
        <v>10.15</v>
      </c>
      <c r="E106" s="67">
        <f t="shared" si="0"/>
        <v>1.46</v>
      </c>
      <c r="F106" s="67">
        <f t="shared" si="0"/>
        <v>0.11</v>
      </c>
      <c r="G106" s="67">
        <f t="shared" si="0"/>
        <v>0</v>
      </c>
      <c r="H106" s="67">
        <f t="shared" si="0"/>
        <v>2.8799999999999999</v>
      </c>
      <c r="I106" s="67">
        <f t="shared" si="0"/>
        <v>3.54</v>
      </c>
      <c r="J106" s="67">
        <f t="shared" si="0"/>
        <v>9.8100000000000005</v>
      </c>
      <c r="K106" s="67">
        <f t="shared" si="0"/>
        <v>56.920000000000002</v>
      </c>
      <c r="L106" s="67">
        <f t="shared" si="0"/>
        <v>0.73999999999999999</v>
      </c>
      <c r="M106" s="67">
        <f t="shared" si="0"/>
        <v>58.899999999999999</v>
      </c>
      <c r="N106" s="67">
        <f t="shared" si="0"/>
        <v>272.60000000000002</v>
      </c>
      <c r="O106" s="67">
        <f t="shared" si="0"/>
        <v>0</v>
      </c>
      <c r="P106" s="67">
        <f t="shared" si="0"/>
        <v>2.3199999999999998</v>
      </c>
      <c r="Q106" s="67">
        <f t="shared" si="0"/>
        <v>9.9800000000000004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7.71</v>
      </c>
      <c r="C107" s="66">
        <f t="shared" si="1" ref="C107:Q107">MAX(C9:C104)</f>
        <v>188.68000000000001</v>
      </c>
      <c r="D107" s="66">
        <f t="shared" si="1"/>
        <v>191.75999999999999</v>
      </c>
      <c r="E107" s="66">
        <f t="shared" si="1"/>
        <v>10.550000000000001</v>
      </c>
      <c r="F107" s="66">
        <f t="shared" si="1"/>
        <v>11.970000000000001</v>
      </c>
      <c r="G107" s="66">
        <f t="shared" si="1"/>
        <v>0</v>
      </c>
      <c r="H107" s="66">
        <f t="shared" si="1"/>
        <v>21.390000000000001</v>
      </c>
      <c r="I107" s="66">
        <f t="shared" si="1"/>
        <v>5.54</v>
      </c>
      <c r="J107" s="66">
        <f t="shared" si="1"/>
        <v>24.98</v>
      </c>
      <c r="K107" s="66">
        <f t="shared" si="1"/>
        <v>73.799999999999997</v>
      </c>
      <c r="L107" s="66">
        <f t="shared" si="1"/>
        <v>34.329999999999998</v>
      </c>
      <c r="M107" s="66">
        <f t="shared" si="1"/>
        <v>96.230000000000004</v>
      </c>
      <c r="N107" s="66">
        <f t="shared" si="1"/>
        <v>1455.7</v>
      </c>
      <c r="O107" s="66">
        <f t="shared" si="1"/>
        <v>0</v>
      </c>
      <c r="P107" s="66">
        <f t="shared" si="1"/>
        <v>4.2199999999999998</v>
      </c>
      <c r="Q107" s="66">
        <f t="shared" si="1"/>
        <v>84.469999999999999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4.1764583333333336</v>
      </c>
      <c r="C108" s="67">
        <f t="shared" si="2" ref="C108:Q108">AVERAGE(C9:C104)</f>
        <v>16.590729166666666</v>
      </c>
      <c r="D108" s="67">
        <f t="shared" si="2"/>
        <v>20.767395833333332</v>
      </c>
      <c r="E108" s="67">
        <f t="shared" si="2"/>
        <v>7.0045833333333336</v>
      </c>
      <c r="F108" s="67">
        <f t="shared" si="2"/>
        <v>1.6165624999999997</v>
      </c>
      <c r="G108" s="67" t="e">
        <f t="shared" si="2"/>
        <v>#DIV/0!</v>
      </c>
      <c r="H108" s="67">
        <f t="shared" si="2"/>
        <v>11.611562500000005</v>
      </c>
      <c r="I108" s="67">
        <f t="shared" si="2"/>
        <v>4.491770833333331</v>
      </c>
      <c r="J108" s="67">
        <f t="shared" si="2"/>
        <v>12.50151515151515</v>
      </c>
      <c r="K108" s="67">
        <f t="shared" si="2"/>
        <v>65.798484848484819</v>
      </c>
      <c r="L108" s="67">
        <f t="shared" si="2"/>
        <v>17.76438202247191</v>
      </c>
      <c r="M108" s="67">
        <f t="shared" si="2"/>
        <v>79.375833333333375</v>
      </c>
      <c r="N108" s="67">
        <f t="shared" si="2"/>
        <v>583.31964285714298</v>
      </c>
      <c r="O108" s="67">
        <f t="shared" si="2"/>
        <v>0</v>
      </c>
      <c r="P108" s="67">
        <f t="shared" si="2"/>
        <v>2.5460416666666661</v>
      </c>
      <c r="Q108" s="67">
        <f t="shared" si="2"/>
        <v>19.868958333333332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2.3824282080823842</v>
      </c>
      <c r="C109" s="67">
        <f t="shared" si="3" ref="C109:Q109">STDEV(C9:C104)</f>
        <v>26.078917730401226</v>
      </c>
      <c r="D109" s="67">
        <f t="shared" si="3"/>
        <v>25.54253609156763</v>
      </c>
      <c r="E109" s="67">
        <f t="shared" si="3"/>
        <v>2.7793353679826609</v>
      </c>
      <c r="F109" s="67">
        <f t="shared" si="3"/>
        <v>2.4430885664300122</v>
      </c>
      <c r="G109" s="67" t="e">
        <f t="shared" si="3"/>
        <v>#DIV/0!</v>
      </c>
      <c r="H109" s="67">
        <f t="shared" si="3"/>
        <v>6.0451289356542306</v>
      </c>
      <c r="I109" s="67">
        <f t="shared" si="3"/>
        <v>0.46641295186420673</v>
      </c>
      <c r="J109" s="67">
        <f t="shared" si="3"/>
        <v>3.847971966838609</v>
      </c>
      <c r="K109" s="67">
        <f t="shared" si="3"/>
        <v>4.1898195972590218</v>
      </c>
      <c r="L109" s="67">
        <f t="shared" si="3"/>
        <v>6.8232513502555481</v>
      </c>
      <c r="M109" s="67">
        <f t="shared" si="3"/>
        <v>12.785672052127527</v>
      </c>
      <c r="N109" s="67">
        <f t="shared" si="3"/>
        <v>302.34318575218333</v>
      </c>
      <c r="O109" s="67">
        <f t="shared" si="3"/>
        <v>0</v>
      </c>
      <c r="P109" s="67">
        <f t="shared" si="3"/>
        <v>0.35326590303285244</v>
      </c>
      <c r="Q109" s="67">
        <f t="shared" si="3"/>
        <v>13.262790885081593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v>96</v>
      </c>
      <c r="H110" s="66">
        <v>96</v>
      </c>
      <c r="I110" s="66">
        <v>96</v>
      </c>
      <c r="J110" s="66">
        <v>96</v>
      </c>
      <c r="K110" s="66">
        <v>96</v>
      </c>
      <c r="L110" s="66">
        <f t="shared" si="4"/>
        <v>89</v>
      </c>
      <c r="M110" s="66">
        <f t="shared" si="4"/>
        <v>96</v>
      </c>
      <c r="N110" s="66">
        <f t="shared" si="4"/>
        <v>56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&lt;90%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LESS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628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b5b4f7-3dec-480f-b617-4d100a94aa4b}">
  <sheetPr codeName=""/>
  <dimension ref="A1:AG117"/>
  <sheetViews>
    <sheetView workbookViewId="0" topLeftCell="A1">
      <pane xSplit="1" ySplit="8" topLeftCell="B3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44" sqref="L44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06-07-2022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725</v>
      </c>
      <c r="B9" s="135">
        <v>2.86</v>
      </c>
      <c r="C9" s="135">
        <v>10</v>
      </c>
      <c r="D9" s="135">
        <v>12.87</v>
      </c>
      <c r="E9" s="135">
        <v>6.69</v>
      </c>
      <c r="F9" s="135">
        <v>0.28999999999999998</v>
      </c>
      <c r="G9" s="208" t="s">
        <v>36</v>
      </c>
      <c r="H9" s="135">
        <v>10.44</v>
      </c>
      <c r="I9" s="135">
        <v>4.97</v>
      </c>
      <c r="J9" s="135">
        <v>11.22</v>
      </c>
      <c r="K9" s="135">
        <v>56.54</v>
      </c>
      <c r="L9" s="135">
        <v>27.89</v>
      </c>
      <c r="M9" s="135">
        <v>85.93</v>
      </c>
      <c r="N9" s="9" t="s">
        <v>36</v>
      </c>
      <c r="O9" s="135">
        <v>0</v>
      </c>
      <c r="P9" s="135">
        <v>2.5</v>
      </c>
      <c r="Q9" s="135">
        <v>21.54</v>
      </c>
      <c r="R9" s="194"/>
      <c r="S9" s="194"/>
      <c r="T9" s="194"/>
      <c r="U9" s="194"/>
    </row>
    <row r="10" spans="1:21" s="12" customFormat="1" ht="15">
      <c r="A10" s="207" t="s">
        <v>726</v>
      </c>
      <c r="B10" s="135">
        <v>2.76</v>
      </c>
      <c r="C10" s="135">
        <v>9.67</v>
      </c>
      <c r="D10" s="135">
        <v>12.43</v>
      </c>
      <c r="E10" s="135">
        <v>6.40</v>
      </c>
      <c r="F10" s="135">
        <v>0.11</v>
      </c>
      <c r="G10" s="208" t="s">
        <v>36</v>
      </c>
      <c r="H10" s="135">
        <v>8.6999999999999993</v>
      </c>
      <c r="I10" s="135">
        <v>5.08</v>
      </c>
      <c r="J10" s="135">
        <v>11.60</v>
      </c>
      <c r="K10" s="135">
        <v>56.95</v>
      </c>
      <c r="L10" s="135">
        <v>22.08</v>
      </c>
      <c r="M10" s="135">
        <v>86.06</v>
      </c>
      <c r="N10" s="9" t="s">
        <v>36</v>
      </c>
      <c r="O10" s="135">
        <v>0</v>
      </c>
      <c r="P10" s="135">
        <v>2.4900000000000002</v>
      </c>
      <c r="Q10" s="135">
        <v>21.32</v>
      </c>
      <c r="R10" s="194"/>
      <c r="S10" s="194"/>
      <c r="T10" s="194"/>
      <c r="U10" s="194"/>
    </row>
    <row r="11" spans="1:21" s="12" customFormat="1" ht="15">
      <c r="A11" s="207" t="s">
        <v>727</v>
      </c>
      <c r="B11" s="135">
        <v>2.64</v>
      </c>
      <c r="C11" s="135">
        <v>9.36</v>
      </c>
      <c r="D11" s="135">
        <v>12</v>
      </c>
      <c r="E11" s="135">
        <v>6.37</v>
      </c>
      <c r="F11" s="135">
        <v>0.10</v>
      </c>
      <c r="G11" s="208" t="s">
        <v>36</v>
      </c>
      <c r="H11" s="135">
        <v>8.6999999999999993</v>
      </c>
      <c r="I11" s="135">
        <v>4.78</v>
      </c>
      <c r="J11" s="135">
        <v>11.79</v>
      </c>
      <c r="K11" s="135">
        <v>58.59</v>
      </c>
      <c r="L11" s="135">
        <v>19.39</v>
      </c>
      <c r="M11" s="135">
        <v>85.96</v>
      </c>
      <c r="N11" s="9" t="s">
        <v>36</v>
      </c>
      <c r="O11" s="135">
        <v>0</v>
      </c>
      <c r="P11" s="135">
        <v>2.4700000000000002</v>
      </c>
      <c r="Q11" s="135">
        <v>21.11</v>
      </c>
      <c r="R11" s="194"/>
      <c r="S11" s="194"/>
      <c r="T11" s="194"/>
      <c r="U11" s="194"/>
    </row>
    <row r="12" spans="1:21" s="12" customFormat="1" ht="15">
      <c r="A12" s="207" t="s">
        <v>728</v>
      </c>
      <c r="B12" s="135">
        <v>2.59</v>
      </c>
      <c r="C12" s="135">
        <v>7.91</v>
      </c>
      <c r="D12" s="135">
        <v>10.5</v>
      </c>
      <c r="E12" s="135">
        <v>6.91</v>
      </c>
      <c r="F12" s="135">
        <v>0.12</v>
      </c>
      <c r="G12" s="208" t="s">
        <v>36</v>
      </c>
      <c r="H12" s="135">
        <v>8.6999999999999993</v>
      </c>
      <c r="I12" s="135">
        <v>4.51</v>
      </c>
      <c r="J12" s="135">
        <v>11.72</v>
      </c>
      <c r="K12" s="135">
        <v>57.26</v>
      </c>
      <c r="L12" s="135">
        <v>27.38</v>
      </c>
      <c r="M12" s="135">
        <v>88.48</v>
      </c>
      <c r="N12" s="9" t="s">
        <v>36</v>
      </c>
      <c r="O12" s="135">
        <v>0.20</v>
      </c>
      <c r="P12" s="135">
        <v>2.46</v>
      </c>
      <c r="Q12" s="135">
        <v>21.21</v>
      </c>
      <c r="R12" s="194"/>
      <c r="S12" s="194"/>
      <c r="T12" s="194"/>
      <c r="U12" s="194"/>
    </row>
    <row r="13" spans="1:21" s="12" customFormat="1" ht="15">
      <c r="A13" s="207" t="s">
        <v>729</v>
      </c>
      <c r="B13" s="135">
        <v>2.71</v>
      </c>
      <c r="C13" s="135">
        <v>6.87</v>
      </c>
      <c r="D13" s="135">
        <v>9.58</v>
      </c>
      <c r="E13" s="135">
        <v>6.89</v>
      </c>
      <c r="F13" s="135">
        <v>0.35</v>
      </c>
      <c r="G13" s="208" t="s">
        <v>36</v>
      </c>
      <c r="H13" s="135">
        <v>9.36</v>
      </c>
      <c r="I13" s="135">
        <v>4.4800000000000004</v>
      </c>
      <c r="J13" s="135">
        <v>11.21</v>
      </c>
      <c r="K13" s="135">
        <v>56.65</v>
      </c>
      <c r="L13" s="135">
        <v>15.72</v>
      </c>
      <c r="M13" s="135">
        <v>89.85</v>
      </c>
      <c r="N13" s="9" t="s">
        <v>36</v>
      </c>
      <c r="O13" s="135">
        <v>0</v>
      </c>
      <c r="P13" s="135">
        <v>2.44</v>
      </c>
      <c r="Q13" s="135">
        <v>21.16</v>
      </c>
      <c r="R13" s="194"/>
      <c r="S13" s="194"/>
      <c r="T13" s="194"/>
      <c r="U13" s="194"/>
    </row>
    <row r="14" spans="1:21" s="12" customFormat="1" ht="15">
      <c r="A14" s="207" t="s">
        <v>730</v>
      </c>
      <c r="B14" s="135">
        <v>2.87</v>
      </c>
      <c r="C14" s="135">
        <v>6.42</v>
      </c>
      <c r="D14" s="135">
        <v>9.2899999999999991</v>
      </c>
      <c r="E14" s="135">
        <v>6.75</v>
      </c>
      <c r="F14" s="135">
        <v>0.46</v>
      </c>
      <c r="G14" s="208" t="s">
        <v>36</v>
      </c>
      <c r="H14" s="135">
        <v>10.99</v>
      </c>
      <c r="I14" s="135">
        <v>3.27</v>
      </c>
      <c r="J14" s="135">
        <v>11.47</v>
      </c>
      <c r="K14" s="135">
        <v>60.33</v>
      </c>
      <c r="L14" s="135">
        <v>17.66</v>
      </c>
      <c r="M14" s="135">
        <v>89.76</v>
      </c>
      <c r="N14" s="9" t="s">
        <v>36</v>
      </c>
      <c r="O14" s="135">
        <v>0.20</v>
      </c>
      <c r="P14" s="135">
        <v>2.4500000000000002</v>
      </c>
      <c r="Q14" s="135">
        <v>20.68</v>
      </c>
      <c r="R14" s="194"/>
      <c r="S14" s="194"/>
      <c r="T14" s="194"/>
      <c r="U14" s="194"/>
    </row>
    <row r="15" spans="1:21" s="12" customFormat="1" ht="15">
      <c r="A15" s="207" t="s">
        <v>731</v>
      </c>
      <c r="B15" s="135">
        <v>3.01</v>
      </c>
      <c r="C15" s="135">
        <v>6.01</v>
      </c>
      <c r="D15" s="135">
        <v>9.02</v>
      </c>
      <c r="E15" s="135">
        <v>7.05</v>
      </c>
      <c r="F15" s="135">
        <v>0.48</v>
      </c>
      <c r="G15" s="208" t="s">
        <v>36</v>
      </c>
      <c r="H15" s="135">
        <v>10.99</v>
      </c>
      <c r="I15" s="135">
        <v>3.04</v>
      </c>
      <c r="J15" s="135">
        <v>11.17</v>
      </c>
      <c r="K15" s="135">
        <v>59.01</v>
      </c>
      <c r="L15" s="135">
        <v>19.30</v>
      </c>
      <c r="M15" s="135">
        <v>91.22</v>
      </c>
      <c r="N15" s="9" t="s">
        <v>36</v>
      </c>
      <c r="O15" s="135">
        <v>0</v>
      </c>
      <c r="P15" s="135">
        <v>2.44</v>
      </c>
      <c r="Q15" s="135">
        <v>20.25</v>
      </c>
      <c r="R15" s="194"/>
      <c r="S15" s="194"/>
      <c r="T15" s="194"/>
      <c r="U15" s="194"/>
    </row>
    <row r="16" spans="1:21" s="12" customFormat="1" ht="15">
      <c r="A16" s="207" t="s">
        <v>732</v>
      </c>
      <c r="B16" s="135">
        <v>3.13</v>
      </c>
      <c r="C16" s="135">
        <v>5.73</v>
      </c>
      <c r="D16" s="135">
        <v>8.86</v>
      </c>
      <c r="E16" s="135">
        <v>7.38</v>
      </c>
      <c r="F16" s="135">
        <v>0.73</v>
      </c>
      <c r="G16" s="208" t="s">
        <v>36</v>
      </c>
      <c r="H16" s="135">
        <v>10.99</v>
      </c>
      <c r="I16" s="135">
        <v>3.71</v>
      </c>
      <c r="J16" s="135">
        <v>11.05</v>
      </c>
      <c r="K16" s="135">
        <v>60.72</v>
      </c>
      <c r="L16" s="135">
        <v>18.20</v>
      </c>
      <c r="M16" s="135">
        <v>92.40</v>
      </c>
      <c r="N16" s="9" t="s">
        <v>36</v>
      </c>
      <c r="O16" s="135">
        <v>0</v>
      </c>
      <c r="P16" s="135">
        <v>2.4300000000000002</v>
      </c>
      <c r="Q16" s="135">
        <v>20.13</v>
      </c>
      <c r="R16" s="194"/>
      <c r="S16" s="194"/>
      <c r="T16" s="194"/>
      <c r="U16" s="194"/>
    </row>
    <row r="17" spans="1:21" s="12" customFormat="1" ht="15">
      <c r="A17" s="207" t="s">
        <v>733</v>
      </c>
      <c r="B17" s="135">
        <v>3.22</v>
      </c>
      <c r="C17" s="135">
        <v>5.55</v>
      </c>
      <c r="D17" s="135">
        <v>8.77</v>
      </c>
      <c r="E17" s="135">
        <v>7.65</v>
      </c>
      <c r="F17" s="135">
        <v>0.97</v>
      </c>
      <c r="G17" s="208" t="s">
        <v>36</v>
      </c>
      <c r="H17" s="135">
        <v>10.56</v>
      </c>
      <c r="I17" s="135">
        <v>3.84</v>
      </c>
      <c r="J17" s="135">
        <v>11.07</v>
      </c>
      <c r="K17" s="135">
        <v>58.11</v>
      </c>
      <c r="L17" s="135">
        <v>19.149999999999999</v>
      </c>
      <c r="M17" s="135">
        <v>93.02</v>
      </c>
      <c r="N17" s="9" t="s">
        <v>36</v>
      </c>
      <c r="O17" s="135">
        <v>0</v>
      </c>
      <c r="P17" s="135">
        <v>2.42</v>
      </c>
      <c r="Q17" s="135">
        <v>19.79</v>
      </c>
      <c r="R17" s="194"/>
      <c r="S17" s="194"/>
      <c r="T17" s="194"/>
      <c r="U17" s="194"/>
    </row>
    <row r="18" spans="1:21" s="12" customFormat="1" ht="15">
      <c r="A18" s="207" t="s">
        <v>734</v>
      </c>
      <c r="B18" s="135">
        <v>3.31</v>
      </c>
      <c r="C18" s="135">
        <v>5.38</v>
      </c>
      <c r="D18" s="135">
        <v>8.69</v>
      </c>
      <c r="E18" s="135">
        <v>8.33</v>
      </c>
      <c r="F18" s="135">
        <v>0.55000000000000004</v>
      </c>
      <c r="G18" s="208" t="s">
        <v>36</v>
      </c>
      <c r="H18" s="135">
        <v>9.49</v>
      </c>
      <c r="I18" s="135">
        <v>3.94</v>
      </c>
      <c r="J18" s="135">
        <v>11.07</v>
      </c>
      <c r="K18" s="135">
        <v>56.94</v>
      </c>
      <c r="L18" s="135">
        <v>24.21</v>
      </c>
      <c r="M18" s="135">
        <v>93.19</v>
      </c>
      <c r="N18" s="9" t="s">
        <v>36</v>
      </c>
      <c r="O18" s="135">
        <v>0</v>
      </c>
      <c r="P18" s="135">
        <v>2.42</v>
      </c>
      <c r="Q18" s="135">
        <v>19.14</v>
      </c>
      <c r="R18" s="194"/>
      <c r="S18" s="194"/>
      <c r="T18" s="194"/>
      <c r="U18" s="194"/>
    </row>
    <row r="19" spans="1:21" s="12" customFormat="1" ht="15">
      <c r="A19" s="207" t="s">
        <v>735</v>
      </c>
      <c r="B19" s="135">
        <v>3.36</v>
      </c>
      <c r="C19" s="135">
        <v>6.02</v>
      </c>
      <c r="D19" s="135">
        <v>9.39</v>
      </c>
      <c r="E19" s="135">
        <v>8.06</v>
      </c>
      <c r="F19" s="135">
        <v>0.51</v>
      </c>
      <c r="G19" s="208" t="s">
        <v>36</v>
      </c>
      <c r="H19" s="135">
        <v>9.49</v>
      </c>
      <c r="I19" s="135">
        <v>3.26</v>
      </c>
      <c r="J19" s="135">
        <v>11.18</v>
      </c>
      <c r="K19" s="135">
        <v>56.23</v>
      </c>
      <c r="L19" s="135">
        <v>26.74</v>
      </c>
      <c r="M19" s="135">
        <v>93.28</v>
      </c>
      <c r="N19" s="9" t="s">
        <v>36</v>
      </c>
      <c r="O19" s="135">
        <v>0</v>
      </c>
      <c r="P19" s="135">
        <v>2.42</v>
      </c>
      <c r="Q19" s="135">
        <v>18.829999999999998</v>
      </c>
      <c r="R19" s="194"/>
      <c r="S19" s="194"/>
      <c r="T19" s="194"/>
      <c r="U19" s="194"/>
    </row>
    <row r="20" spans="1:21" s="12" customFormat="1" ht="15">
      <c r="A20" s="207" t="s">
        <v>736</v>
      </c>
      <c r="B20" s="135">
        <v>3.19</v>
      </c>
      <c r="C20" s="135">
        <v>6.71</v>
      </c>
      <c r="D20" s="135">
        <v>9.90</v>
      </c>
      <c r="E20" s="135">
        <v>8.10</v>
      </c>
      <c r="F20" s="135">
        <v>0.86</v>
      </c>
      <c r="G20" s="208" t="s">
        <v>36</v>
      </c>
      <c r="H20" s="135">
        <v>9.49</v>
      </c>
      <c r="I20" s="135">
        <v>3.25</v>
      </c>
      <c r="J20" s="135">
        <v>12.17</v>
      </c>
      <c r="K20" s="135">
        <v>55.24</v>
      </c>
      <c r="L20" s="135">
        <v>26.59</v>
      </c>
      <c r="M20" s="135">
        <v>93.10</v>
      </c>
      <c r="N20" s="9" t="s">
        <v>36</v>
      </c>
      <c r="O20" s="135">
        <v>0</v>
      </c>
      <c r="P20" s="135">
        <v>2.42</v>
      </c>
      <c r="Q20" s="135">
        <v>19.440000000000001</v>
      </c>
      <c r="R20" s="194"/>
      <c r="S20" s="194"/>
      <c r="T20" s="194"/>
      <c r="U20" s="194"/>
    </row>
    <row r="21" spans="1:21" s="12" customFormat="1" ht="15">
      <c r="A21" s="207" t="s">
        <v>737</v>
      </c>
      <c r="B21" s="135">
        <v>2.81</v>
      </c>
      <c r="C21" s="135">
        <v>7.44</v>
      </c>
      <c r="D21" s="135">
        <v>10.25</v>
      </c>
      <c r="E21" s="135">
        <v>8.08</v>
      </c>
      <c r="F21" s="135">
        <v>0.60</v>
      </c>
      <c r="G21" s="208" t="s">
        <v>36</v>
      </c>
      <c r="H21" s="135">
        <v>9.4499999999999993</v>
      </c>
      <c r="I21" s="135">
        <v>3.77</v>
      </c>
      <c r="J21" s="135">
        <v>12.27</v>
      </c>
      <c r="K21" s="135">
        <v>55.37</v>
      </c>
      <c r="L21" s="135">
        <v>12.61</v>
      </c>
      <c r="M21" s="135">
        <v>93.05</v>
      </c>
      <c r="N21" s="9" t="s">
        <v>36</v>
      </c>
      <c r="O21" s="135">
        <v>0</v>
      </c>
      <c r="P21" s="135">
        <v>2.41</v>
      </c>
      <c r="Q21" s="135">
        <v>19.22</v>
      </c>
      <c r="R21" s="194"/>
      <c r="S21" s="194"/>
      <c r="T21" s="194"/>
      <c r="U21" s="194"/>
    </row>
    <row r="22" spans="1:21" s="12" customFormat="1" ht="15">
      <c r="A22" s="207" t="s">
        <v>738</v>
      </c>
      <c r="B22" s="135">
        <v>2.42</v>
      </c>
      <c r="C22" s="135">
        <v>7.80</v>
      </c>
      <c r="D22" s="135">
        <v>10.220000000000001</v>
      </c>
      <c r="E22" s="135">
        <v>7.71</v>
      </c>
      <c r="F22" s="135">
        <v>0.66</v>
      </c>
      <c r="G22" s="208" t="s">
        <v>36</v>
      </c>
      <c r="H22" s="135">
        <v>9.36</v>
      </c>
      <c r="I22" s="135">
        <v>4.5999999999999996</v>
      </c>
      <c r="J22" s="135">
        <v>12.23</v>
      </c>
      <c r="K22" s="135">
        <v>55.16</v>
      </c>
      <c r="L22" s="135">
        <v>8.2100000000000009</v>
      </c>
      <c r="M22" s="135">
        <v>93.47</v>
      </c>
      <c r="N22" s="9" t="s">
        <v>36</v>
      </c>
      <c r="O22" s="135">
        <v>0</v>
      </c>
      <c r="P22" s="135">
        <v>2.39</v>
      </c>
      <c r="Q22" s="135">
        <v>18.54</v>
      </c>
      <c r="R22" s="194"/>
      <c r="S22" s="194"/>
      <c r="T22" s="194"/>
      <c r="U22" s="194"/>
    </row>
    <row r="23" spans="1:21" s="12" customFormat="1" ht="15">
      <c r="A23" s="207" t="s">
        <v>739</v>
      </c>
      <c r="B23" s="135">
        <v>2.15</v>
      </c>
      <c r="C23" s="135">
        <v>7.81</v>
      </c>
      <c r="D23" s="135">
        <v>9.9600000000000009</v>
      </c>
      <c r="E23" s="135">
        <v>7.76</v>
      </c>
      <c r="F23" s="135">
        <v>0.47</v>
      </c>
      <c r="G23" s="208" t="s">
        <v>36</v>
      </c>
      <c r="H23" s="135">
        <v>9.36</v>
      </c>
      <c r="I23" s="135">
        <v>4.49</v>
      </c>
      <c r="J23" s="135">
        <v>12.68</v>
      </c>
      <c r="K23" s="135">
        <v>55.01</v>
      </c>
      <c r="L23" s="135">
        <v>18.79</v>
      </c>
      <c r="M23" s="135">
        <v>93.49</v>
      </c>
      <c r="N23" s="9" t="s">
        <v>36</v>
      </c>
      <c r="O23" s="135">
        <v>0</v>
      </c>
      <c r="P23" s="135">
        <v>2.38</v>
      </c>
      <c r="Q23" s="135">
        <v>18.59</v>
      </c>
      <c r="R23" s="194"/>
      <c r="S23" s="194"/>
      <c r="T23" s="194"/>
      <c r="U23" s="194"/>
    </row>
    <row r="24" spans="1:21" s="12" customFormat="1" ht="15">
      <c r="A24" s="207" t="s">
        <v>740</v>
      </c>
      <c r="B24" s="135">
        <v>2</v>
      </c>
      <c r="C24" s="135">
        <v>7.86</v>
      </c>
      <c r="D24" s="135">
        <v>9.8699999999999992</v>
      </c>
      <c r="E24" s="135">
        <v>3.19</v>
      </c>
      <c r="F24" s="135">
        <v>0.37</v>
      </c>
      <c r="G24" s="208" t="s">
        <v>36</v>
      </c>
      <c r="H24" s="135">
        <v>9.36</v>
      </c>
      <c r="I24" s="135">
        <v>4.38</v>
      </c>
      <c r="J24" s="135">
        <v>13.06</v>
      </c>
      <c r="K24" s="135">
        <v>55.43</v>
      </c>
      <c r="L24" s="135">
        <v>15.21</v>
      </c>
      <c r="M24" s="135">
        <v>91.41</v>
      </c>
      <c r="N24" s="9" t="s">
        <v>36</v>
      </c>
      <c r="O24" s="135">
        <v>0</v>
      </c>
      <c r="P24" s="135">
        <v>2.37</v>
      </c>
      <c r="Q24" s="135">
        <v>18.91</v>
      </c>
      <c r="R24" s="194"/>
      <c r="S24" s="194"/>
      <c r="T24" s="194"/>
      <c r="U24" s="194"/>
    </row>
    <row r="25" spans="1:21" s="12" customFormat="1" ht="15">
      <c r="A25" s="207" t="s">
        <v>741</v>
      </c>
      <c r="B25" s="135">
        <v>1.92</v>
      </c>
      <c r="C25" s="135">
        <v>7.94</v>
      </c>
      <c r="D25" s="135">
        <v>9.86</v>
      </c>
      <c r="E25" s="135">
        <v>6.42</v>
      </c>
      <c r="F25" s="135">
        <v>0.61</v>
      </c>
      <c r="G25" s="208" t="s">
        <v>36</v>
      </c>
      <c r="H25" s="135">
        <v>8.75</v>
      </c>
      <c r="I25" s="135">
        <v>4.2300000000000004</v>
      </c>
      <c r="J25" s="135">
        <v>12.60</v>
      </c>
      <c r="K25" s="135">
        <v>55.57</v>
      </c>
      <c r="L25" s="135">
        <v>26.01</v>
      </c>
      <c r="M25" s="135">
        <v>91.39</v>
      </c>
      <c r="N25" s="9" t="s">
        <v>36</v>
      </c>
      <c r="O25" s="135">
        <v>0</v>
      </c>
      <c r="P25" s="135">
        <v>2.36</v>
      </c>
      <c r="Q25" s="135">
        <v>19.05</v>
      </c>
      <c r="R25" s="194"/>
      <c r="S25" s="194"/>
      <c r="T25" s="194"/>
      <c r="U25" s="194"/>
    </row>
    <row r="26" spans="1:21" s="12" customFormat="1" ht="15">
      <c r="A26" s="207" t="s">
        <v>742</v>
      </c>
      <c r="B26" s="135">
        <v>2.12</v>
      </c>
      <c r="C26" s="135">
        <v>7.93</v>
      </c>
      <c r="D26" s="135">
        <v>10.050000000000001</v>
      </c>
      <c r="E26" s="135">
        <v>6.70</v>
      </c>
      <c r="F26" s="135">
        <v>0.47</v>
      </c>
      <c r="G26" s="208" t="s">
        <v>36</v>
      </c>
      <c r="H26" s="135">
        <v>7.25</v>
      </c>
      <c r="I26" s="135">
        <v>4.16</v>
      </c>
      <c r="J26" s="135">
        <v>13.04</v>
      </c>
      <c r="K26" s="135">
        <v>60.80</v>
      </c>
      <c r="L26" s="135">
        <v>56.23</v>
      </c>
      <c r="M26" s="135">
        <v>89.81</v>
      </c>
      <c r="N26" s="9" t="s">
        <v>36</v>
      </c>
      <c r="O26" s="135">
        <v>0</v>
      </c>
      <c r="P26" s="135">
        <v>2.36</v>
      </c>
      <c r="Q26" s="135">
        <v>18.78</v>
      </c>
      <c r="R26" s="194"/>
      <c r="S26" s="194"/>
      <c r="T26" s="194"/>
      <c r="U26" s="194"/>
    </row>
    <row r="27" spans="1:21" s="12" customFormat="1" ht="15">
      <c r="A27" s="207" t="s">
        <v>743</v>
      </c>
      <c r="B27" s="135">
        <v>2.13</v>
      </c>
      <c r="C27" s="135">
        <v>7.45</v>
      </c>
      <c r="D27" s="135">
        <v>9.58</v>
      </c>
      <c r="E27" s="135">
        <v>7.28</v>
      </c>
      <c r="F27" s="135">
        <v>0.40</v>
      </c>
      <c r="G27" s="208" t="s">
        <v>36</v>
      </c>
      <c r="H27" s="135">
        <v>7.25</v>
      </c>
      <c r="I27" s="135">
        <v>4.05</v>
      </c>
      <c r="J27" s="135">
        <v>12.33</v>
      </c>
      <c r="K27" s="135">
        <v>62.37</v>
      </c>
      <c r="L27" s="135">
        <v>57.83</v>
      </c>
      <c r="M27" s="135">
        <v>88.63</v>
      </c>
      <c r="N27" s="9" t="s">
        <v>36</v>
      </c>
      <c r="O27" s="135">
        <v>0</v>
      </c>
      <c r="P27" s="135">
        <v>2.35</v>
      </c>
      <c r="Q27" s="135">
        <v>18.559999999999999</v>
      </c>
      <c r="R27" s="194"/>
      <c r="S27" s="194"/>
      <c r="T27" s="194"/>
      <c r="U27" s="194"/>
    </row>
    <row r="28" spans="1:21" s="12" customFormat="1" ht="15">
      <c r="A28" s="207" t="s">
        <v>744</v>
      </c>
      <c r="B28" s="135">
        <v>2.0699999999999998</v>
      </c>
      <c r="C28" s="135">
        <v>7.16</v>
      </c>
      <c r="D28" s="135">
        <v>9.24</v>
      </c>
      <c r="E28" s="135">
        <v>7.11</v>
      </c>
      <c r="F28" s="135">
        <v>0.53</v>
      </c>
      <c r="G28" s="208" t="s">
        <v>36</v>
      </c>
      <c r="H28" s="135">
        <v>7.25</v>
      </c>
      <c r="I28" s="135">
        <v>4.01</v>
      </c>
      <c r="J28" s="135">
        <v>11.88</v>
      </c>
      <c r="K28" s="135">
        <v>57.70</v>
      </c>
      <c r="L28" s="135">
        <v>51.17</v>
      </c>
      <c r="M28" s="135">
        <v>89.48</v>
      </c>
      <c r="N28" s="9" t="s">
        <v>36</v>
      </c>
      <c r="O28" s="135">
        <v>0</v>
      </c>
      <c r="P28" s="135">
        <v>2.34</v>
      </c>
      <c r="Q28" s="135">
        <v>18.809999999999999</v>
      </c>
      <c r="R28" s="194"/>
      <c r="S28" s="194"/>
      <c r="T28" s="194"/>
      <c r="U28" s="194"/>
    </row>
    <row r="29" spans="1:21" s="12" customFormat="1" ht="15">
      <c r="A29" s="207" t="s">
        <v>745</v>
      </c>
      <c r="B29" s="135">
        <v>2.0099999999999998</v>
      </c>
      <c r="C29" s="135">
        <v>7.10</v>
      </c>
      <c r="D29" s="135">
        <v>9.11</v>
      </c>
      <c r="E29" s="135">
        <v>7.35</v>
      </c>
      <c r="F29" s="135">
        <v>0.5</v>
      </c>
      <c r="G29" s="208" t="s">
        <v>36</v>
      </c>
      <c r="H29" s="135">
        <v>6.83</v>
      </c>
      <c r="I29" s="135">
        <v>3.94</v>
      </c>
      <c r="J29" s="135">
        <v>12.14</v>
      </c>
      <c r="K29" s="135">
        <v>57.38</v>
      </c>
      <c r="L29" s="135">
        <v>49.98</v>
      </c>
      <c r="M29" s="135">
        <v>90.85</v>
      </c>
      <c r="N29" s="9" t="s">
        <v>36</v>
      </c>
      <c r="O29" s="135">
        <v>0</v>
      </c>
      <c r="P29" s="135">
        <v>2.33</v>
      </c>
      <c r="Q29" s="135">
        <v>18.809999999999999</v>
      </c>
      <c r="R29" s="194"/>
      <c r="S29" s="194"/>
      <c r="T29" s="194"/>
      <c r="U29" s="194"/>
    </row>
    <row r="30" spans="1:21" s="12" customFormat="1" ht="15">
      <c r="A30" s="207" t="s">
        <v>746</v>
      </c>
      <c r="B30" s="135">
        <v>2.06</v>
      </c>
      <c r="C30" s="135">
        <v>6.96</v>
      </c>
      <c r="D30" s="135">
        <v>9.02</v>
      </c>
      <c r="E30" s="135">
        <v>7.56</v>
      </c>
      <c r="F30" s="135">
        <v>0.69</v>
      </c>
      <c r="G30" s="208" t="s">
        <v>36</v>
      </c>
      <c r="H30" s="135">
        <v>5.80</v>
      </c>
      <c r="I30" s="135">
        <v>3.90</v>
      </c>
      <c r="J30" s="135">
        <v>12.11</v>
      </c>
      <c r="K30" s="135">
        <v>58.92</v>
      </c>
      <c r="L30" s="135">
        <v>53.63</v>
      </c>
      <c r="M30" s="135">
        <v>91.92</v>
      </c>
      <c r="N30" s="9" t="s">
        <v>36</v>
      </c>
      <c r="O30" s="135">
        <v>0</v>
      </c>
      <c r="P30" s="135">
        <v>2.34</v>
      </c>
      <c r="Q30" s="135">
        <v>18.48</v>
      </c>
      <c r="R30" s="194"/>
      <c r="S30" s="194"/>
      <c r="T30" s="194"/>
      <c r="U30" s="194"/>
    </row>
    <row r="31" spans="1:21" s="12" customFormat="1" ht="15">
      <c r="A31" s="207" t="s">
        <v>747</v>
      </c>
      <c r="B31" s="135">
        <v>2.34</v>
      </c>
      <c r="C31" s="135">
        <v>6.93</v>
      </c>
      <c r="D31" s="135">
        <v>9.27</v>
      </c>
      <c r="E31" s="135">
        <v>8.09</v>
      </c>
      <c r="F31" s="135">
        <v>0.56999999999999995</v>
      </c>
      <c r="G31" s="208" t="s">
        <v>36</v>
      </c>
      <c r="H31" s="135">
        <v>5.80</v>
      </c>
      <c r="I31" s="135">
        <v>3.88</v>
      </c>
      <c r="J31" s="135">
        <v>12.47</v>
      </c>
      <c r="K31" s="135">
        <v>58.60</v>
      </c>
      <c r="L31" s="135">
        <v>58.06</v>
      </c>
      <c r="M31" s="135">
        <v>91.91</v>
      </c>
      <c r="N31" s="9" t="s">
        <v>36</v>
      </c>
      <c r="O31" s="135">
        <v>0</v>
      </c>
      <c r="P31" s="135">
        <v>2.34</v>
      </c>
      <c r="Q31" s="135">
        <v>18.22</v>
      </c>
      <c r="R31" s="194"/>
      <c r="S31" s="194"/>
      <c r="T31" s="194"/>
      <c r="U31" s="194"/>
    </row>
    <row r="32" spans="1:21" s="12" customFormat="1" ht="15">
      <c r="A32" s="207" t="s">
        <v>748</v>
      </c>
      <c r="B32" s="135">
        <v>2.78</v>
      </c>
      <c r="C32" s="135">
        <v>6.97</v>
      </c>
      <c r="D32" s="135">
        <v>9.76</v>
      </c>
      <c r="E32" s="135">
        <v>7.81</v>
      </c>
      <c r="F32" s="135">
        <v>0.59</v>
      </c>
      <c r="G32" s="208" t="s">
        <v>36</v>
      </c>
      <c r="H32" s="135">
        <v>5.80</v>
      </c>
      <c r="I32" s="135">
        <v>3.88</v>
      </c>
      <c r="J32" s="135">
        <v>12.96</v>
      </c>
      <c r="K32" s="135">
        <v>61.20</v>
      </c>
      <c r="L32" s="135">
        <v>58.57</v>
      </c>
      <c r="M32" s="135">
        <v>91.69</v>
      </c>
      <c r="N32" s="9" t="s">
        <v>36</v>
      </c>
      <c r="O32" s="135">
        <v>0</v>
      </c>
      <c r="P32" s="135">
        <v>2.34</v>
      </c>
      <c r="Q32" s="135">
        <v>18.12</v>
      </c>
      <c r="R32" s="194"/>
      <c r="S32" s="194"/>
      <c r="T32" s="194"/>
      <c r="U32" s="194"/>
    </row>
    <row r="33" spans="1:21" s="12" customFormat="1" ht="15">
      <c r="A33" s="207" t="s">
        <v>749</v>
      </c>
      <c r="B33" s="135">
        <v>3.27</v>
      </c>
      <c r="C33" s="135">
        <v>7.18</v>
      </c>
      <c r="D33" s="135">
        <v>10.45</v>
      </c>
      <c r="E33" s="135">
        <v>8.3699999999999992</v>
      </c>
      <c r="F33" s="135">
        <v>0.78</v>
      </c>
      <c r="G33" s="208" t="s">
        <v>36</v>
      </c>
      <c r="H33" s="135">
        <v>5.5</v>
      </c>
      <c r="I33" s="135">
        <v>3.90</v>
      </c>
      <c r="J33" s="135">
        <v>13.37</v>
      </c>
      <c r="K33" s="135">
        <v>59.11</v>
      </c>
      <c r="L33" s="135">
        <v>55.99</v>
      </c>
      <c r="M33" s="135">
        <v>91.48</v>
      </c>
      <c r="N33" s="9" t="s">
        <v>36</v>
      </c>
      <c r="O33" s="135">
        <v>0</v>
      </c>
      <c r="P33" s="135">
        <v>2.34</v>
      </c>
      <c r="Q33" s="135">
        <v>17.82</v>
      </c>
      <c r="R33" s="194"/>
      <c r="S33" s="194"/>
      <c r="T33" s="194"/>
      <c r="U33" s="194"/>
    </row>
    <row r="34" spans="1:21" s="12" customFormat="1" ht="15">
      <c r="A34" s="207" t="s">
        <v>750</v>
      </c>
      <c r="B34" s="135">
        <v>3.61</v>
      </c>
      <c r="C34" s="135">
        <v>7.92</v>
      </c>
      <c r="D34" s="135">
        <v>11.53</v>
      </c>
      <c r="E34" s="135">
        <v>8.07</v>
      </c>
      <c r="F34" s="135">
        <v>0.65</v>
      </c>
      <c r="G34" s="208" t="s">
        <v>36</v>
      </c>
      <c r="H34" s="135">
        <v>4.75</v>
      </c>
      <c r="I34" s="135">
        <v>3.88</v>
      </c>
      <c r="J34" s="135">
        <v>14.83</v>
      </c>
      <c r="K34" s="135">
        <v>59.41</v>
      </c>
      <c r="L34" s="135">
        <v>52.78</v>
      </c>
      <c r="M34" s="135">
        <v>91.25</v>
      </c>
      <c r="N34" s="9" t="s">
        <v>36</v>
      </c>
      <c r="O34" s="135">
        <v>0</v>
      </c>
      <c r="P34" s="135">
        <v>2.35</v>
      </c>
      <c r="Q34" s="135">
        <v>17.46</v>
      </c>
      <c r="R34" s="194"/>
      <c r="S34" s="194"/>
      <c r="T34" s="194"/>
      <c r="U34" s="194"/>
    </row>
    <row r="35" spans="1:21" s="12" customFormat="1" ht="15">
      <c r="A35" s="207" t="s">
        <v>751</v>
      </c>
      <c r="B35" s="135">
        <v>3.79</v>
      </c>
      <c r="C35" s="135">
        <v>8.9600000000000009</v>
      </c>
      <c r="D35" s="135">
        <v>12.75</v>
      </c>
      <c r="E35" s="135">
        <v>8.06</v>
      </c>
      <c r="F35" s="135">
        <v>0.47</v>
      </c>
      <c r="G35" s="208" t="s">
        <v>36</v>
      </c>
      <c r="H35" s="135">
        <v>4.75</v>
      </c>
      <c r="I35" s="135">
        <v>3.88</v>
      </c>
      <c r="J35" s="135">
        <v>14.91</v>
      </c>
      <c r="K35" s="135">
        <v>57.26</v>
      </c>
      <c r="L35" s="135">
        <v>52.65</v>
      </c>
      <c r="M35" s="135">
        <v>91.31</v>
      </c>
      <c r="N35" s="9" t="s">
        <v>36</v>
      </c>
      <c r="O35" s="135">
        <v>0</v>
      </c>
      <c r="P35" s="135">
        <v>2.36</v>
      </c>
      <c r="Q35" s="135">
        <v>17.260000000000002</v>
      </c>
      <c r="R35" s="194"/>
      <c r="S35" s="194"/>
      <c r="T35" s="194"/>
      <c r="U35" s="194"/>
    </row>
    <row r="36" spans="1:21" s="12" customFormat="1" ht="15">
      <c r="A36" s="207" t="s">
        <v>752</v>
      </c>
      <c r="B36" s="135">
        <v>4.8600000000000003</v>
      </c>
      <c r="C36" s="135">
        <v>9.89</v>
      </c>
      <c r="D36" s="135">
        <v>14.75</v>
      </c>
      <c r="E36" s="135">
        <v>8.14</v>
      </c>
      <c r="F36" s="135">
        <v>0.46</v>
      </c>
      <c r="G36" s="208" t="s">
        <v>36</v>
      </c>
      <c r="H36" s="135">
        <v>4.75</v>
      </c>
      <c r="I36" s="135">
        <v>3.82</v>
      </c>
      <c r="J36" s="135">
        <v>16.100000000000001</v>
      </c>
      <c r="K36" s="135">
        <v>60.32</v>
      </c>
      <c r="L36" s="135">
        <v>56.82</v>
      </c>
      <c r="M36" s="135">
        <v>89.5</v>
      </c>
      <c r="N36" s="9" t="s">
        <v>36</v>
      </c>
      <c r="O36" s="135">
        <v>0</v>
      </c>
      <c r="P36" s="135">
        <v>2.38</v>
      </c>
      <c r="Q36" s="135">
        <v>17.440000000000001</v>
      </c>
      <c r="R36" s="194"/>
      <c r="S36" s="194"/>
      <c r="T36" s="194"/>
      <c r="U36" s="194"/>
    </row>
    <row r="37" spans="1:21" s="12" customFormat="1" ht="15">
      <c r="A37" s="207" t="s">
        <v>753</v>
      </c>
      <c r="B37" s="135">
        <v>6.79</v>
      </c>
      <c r="C37" s="135">
        <v>10.78</v>
      </c>
      <c r="D37" s="135">
        <v>17.57</v>
      </c>
      <c r="E37" s="135">
        <v>7.81</v>
      </c>
      <c r="F37" s="135">
        <v>0.39</v>
      </c>
      <c r="G37" s="208" t="s">
        <v>36</v>
      </c>
      <c r="H37" s="135">
        <v>4.5199999999999996</v>
      </c>
      <c r="I37" s="135">
        <v>3.79</v>
      </c>
      <c r="J37" s="135">
        <v>16.43</v>
      </c>
      <c r="K37" s="135">
        <v>60.10</v>
      </c>
      <c r="L37" s="135">
        <v>57.93</v>
      </c>
      <c r="M37" s="135">
        <v>88.28</v>
      </c>
      <c r="N37" s="9" t="s">
        <v>36</v>
      </c>
      <c r="O37" s="135">
        <v>0</v>
      </c>
      <c r="P37" s="135">
        <v>2.40</v>
      </c>
      <c r="Q37" s="135">
        <v>18.149999999999999</v>
      </c>
      <c r="R37" s="194"/>
      <c r="S37" s="194"/>
      <c r="T37" s="194"/>
      <c r="U37" s="194"/>
    </row>
    <row r="38" spans="1:21" s="12" customFormat="1" ht="15">
      <c r="A38" s="207" t="s">
        <v>754</v>
      </c>
      <c r="B38" s="135">
        <v>7.41</v>
      </c>
      <c r="C38" s="135">
        <v>11.42</v>
      </c>
      <c r="D38" s="135">
        <v>18.829999999999998</v>
      </c>
      <c r="E38" s="135">
        <v>7.56</v>
      </c>
      <c r="F38" s="135">
        <v>0.22</v>
      </c>
      <c r="G38" s="208" t="s">
        <v>36</v>
      </c>
      <c r="H38" s="135">
        <v>3.95</v>
      </c>
      <c r="I38" s="135">
        <v>3.86</v>
      </c>
      <c r="J38" s="135">
        <v>15.85</v>
      </c>
      <c r="K38" s="135">
        <v>63.75</v>
      </c>
      <c r="L38" s="135">
        <v>56.35</v>
      </c>
      <c r="M38" s="135">
        <v>87.12</v>
      </c>
      <c r="N38" s="9" t="s">
        <v>36</v>
      </c>
      <c r="O38" s="135">
        <v>0</v>
      </c>
      <c r="P38" s="135">
        <v>2.42</v>
      </c>
      <c r="Q38" s="135">
        <v>18.32</v>
      </c>
      <c r="R38" s="194"/>
      <c r="S38" s="194"/>
      <c r="T38" s="194"/>
      <c r="U38" s="194"/>
    </row>
    <row r="39" spans="1:21" s="12" customFormat="1" ht="15">
      <c r="A39" s="207" t="s">
        <v>755</v>
      </c>
      <c r="B39" s="135">
        <v>7.87</v>
      </c>
      <c r="C39" s="135">
        <v>12.05</v>
      </c>
      <c r="D39" s="135">
        <v>19.920000000000002</v>
      </c>
      <c r="E39" s="135">
        <v>7.68</v>
      </c>
      <c r="F39" s="135">
        <v>0.41</v>
      </c>
      <c r="G39" s="208" t="s">
        <v>36</v>
      </c>
      <c r="H39" s="135">
        <v>3.95</v>
      </c>
      <c r="I39" s="135">
        <v>3.94</v>
      </c>
      <c r="J39" s="135">
        <v>14.52</v>
      </c>
      <c r="K39" s="135">
        <v>64.28</v>
      </c>
      <c r="L39" s="135">
        <v>57.31</v>
      </c>
      <c r="M39" s="135">
        <v>86.18</v>
      </c>
      <c r="N39" s="9" t="s">
        <v>36</v>
      </c>
      <c r="O39" s="135">
        <v>0</v>
      </c>
      <c r="P39" s="135">
        <v>2.44</v>
      </c>
      <c r="Q39" s="135">
        <v>18.829999999999998</v>
      </c>
      <c r="R39" s="194"/>
      <c r="S39" s="194"/>
      <c r="T39" s="194"/>
      <c r="U39" s="194"/>
    </row>
    <row r="40" spans="1:21" s="12" customFormat="1" ht="15">
      <c r="A40" s="207" t="s">
        <v>756</v>
      </c>
      <c r="B40" s="135">
        <v>8.91</v>
      </c>
      <c r="C40" s="135">
        <v>13.27</v>
      </c>
      <c r="D40" s="135">
        <v>22.19</v>
      </c>
      <c r="E40" s="135">
        <v>3.71</v>
      </c>
      <c r="F40" s="135">
        <v>0.33</v>
      </c>
      <c r="G40" s="208" t="s">
        <v>36</v>
      </c>
      <c r="H40" s="135">
        <v>3.95</v>
      </c>
      <c r="I40" s="135">
        <v>3.99</v>
      </c>
      <c r="J40" s="135">
        <v>14.12</v>
      </c>
      <c r="K40" s="135">
        <v>60.09</v>
      </c>
      <c r="L40" s="135">
        <v>51.79</v>
      </c>
      <c r="M40" s="135">
        <v>87.67</v>
      </c>
      <c r="N40" s="9" t="s">
        <v>36</v>
      </c>
      <c r="O40" s="135">
        <v>0</v>
      </c>
      <c r="P40" s="135">
        <v>2.46</v>
      </c>
      <c r="Q40" s="135">
        <v>19.64</v>
      </c>
      <c r="R40" s="194"/>
      <c r="S40" s="194"/>
      <c r="T40" s="194"/>
      <c r="U40" s="194"/>
    </row>
    <row r="41" spans="1:21" s="12" customFormat="1" ht="15">
      <c r="A41" s="207" t="s">
        <v>757</v>
      </c>
      <c r="B41" s="135">
        <v>10.09</v>
      </c>
      <c r="C41" s="135">
        <v>13.62</v>
      </c>
      <c r="D41" s="135">
        <v>23.71</v>
      </c>
      <c r="E41" s="135">
        <v>7.15</v>
      </c>
      <c r="F41" s="135">
        <v>0.19</v>
      </c>
      <c r="G41" s="208" t="s">
        <v>36</v>
      </c>
      <c r="H41" s="135">
        <v>5.72</v>
      </c>
      <c r="I41" s="135">
        <v>4.0599999999999996</v>
      </c>
      <c r="J41" s="135">
        <v>14.51</v>
      </c>
      <c r="K41" s="135">
        <v>62.81</v>
      </c>
      <c r="L41" s="135">
        <v>23.40</v>
      </c>
      <c r="M41" s="135">
        <v>88.74</v>
      </c>
      <c r="N41" s="9" t="s">
        <v>36</v>
      </c>
      <c r="O41" s="135">
        <v>0.20</v>
      </c>
      <c r="P41" s="135">
        <v>2.52</v>
      </c>
      <c r="Q41" s="135">
        <v>20.149999999999999</v>
      </c>
      <c r="R41" s="194"/>
      <c r="S41" s="194"/>
      <c r="T41" s="194"/>
      <c r="U41" s="194"/>
    </row>
    <row r="42" spans="1:21" s="12" customFormat="1" ht="15">
      <c r="A42" s="207" t="s">
        <v>758</v>
      </c>
      <c r="B42" s="135">
        <v>11.05</v>
      </c>
      <c r="C42" s="135">
        <v>13.32</v>
      </c>
      <c r="D42" s="135">
        <v>24.37</v>
      </c>
      <c r="E42" s="135">
        <v>7.26</v>
      </c>
      <c r="F42" s="135">
        <v>0.11</v>
      </c>
      <c r="G42" s="208" t="s">
        <v>36</v>
      </c>
      <c r="H42" s="135">
        <v>10.06</v>
      </c>
      <c r="I42" s="135">
        <v>4.16</v>
      </c>
      <c r="J42" s="135">
        <v>15.62</v>
      </c>
      <c r="K42" s="135">
        <v>59.05</v>
      </c>
      <c r="L42" s="135">
        <v>39.840000000000003</v>
      </c>
      <c r="M42" s="135">
        <v>91.56</v>
      </c>
      <c r="N42" s="9" t="s">
        <v>36</v>
      </c>
      <c r="O42" s="135">
        <v>0.20</v>
      </c>
      <c r="P42" s="135">
        <v>2.52</v>
      </c>
      <c r="Q42" s="135">
        <v>20.39</v>
      </c>
      <c r="R42" s="194"/>
      <c r="S42" s="194"/>
      <c r="T42" s="194"/>
      <c r="U42" s="194"/>
    </row>
    <row r="43" spans="1:21" s="12" customFormat="1" ht="15">
      <c r="A43" s="207" t="s">
        <v>759</v>
      </c>
      <c r="B43" s="135">
        <v>12.08</v>
      </c>
      <c r="C43" s="135">
        <v>12.42</v>
      </c>
      <c r="D43" s="135">
        <v>24.5</v>
      </c>
      <c r="E43" s="135">
        <v>7.55</v>
      </c>
      <c r="F43" s="135">
        <v>0.30</v>
      </c>
      <c r="G43" s="208" t="s">
        <v>36</v>
      </c>
      <c r="H43" s="135">
        <v>10.06</v>
      </c>
      <c r="I43" s="135">
        <v>4.4800000000000004</v>
      </c>
      <c r="J43" s="135">
        <v>16.47</v>
      </c>
      <c r="K43" s="135">
        <v>58.12</v>
      </c>
      <c r="L43" s="135">
        <v>28.38</v>
      </c>
      <c r="M43" s="135">
        <v>93.07</v>
      </c>
      <c r="N43" s="9" t="s">
        <v>36</v>
      </c>
      <c r="O43" s="135">
        <v>0.20</v>
      </c>
      <c r="P43" s="135">
        <v>2.56</v>
      </c>
      <c r="Q43" s="135">
        <v>21.19</v>
      </c>
      <c r="R43" s="194"/>
      <c r="S43" s="194"/>
      <c r="T43" s="194"/>
      <c r="U43" s="194"/>
    </row>
    <row r="44" spans="1:21" s="12" customFormat="1" ht="15">
      <c r="A44" s="207" t="s">
        <v>760</v>
      </c>
      <c r="B44" s="135">
        <v>13.27</v>
      </c>
      <c r="C44" s="135">
        <v>11.70</v>
      </c>
      <c r="D44" s="135">
        <v>24.96</v>
      </c>
      <c r="E44" s="135">
        <v>7.80</v>
      </c>
      <c r="F44" s="135">
        <v>0.53</v>
      </c>
      <c r="G44" s="208" t="s">
        <v>36</v>
      </c>
      <c r="H44" s="135">
        <v>10.06</v>
      </c>
      <c r="I44" s="135">
        <v>4.3499999999999996</v>
      </c>
      <c r="J44" s="135">
        <v>16.47</v>
      </c>
      <c r="K44" s="135">
        <v>58.19</v>
      </c>
      <c r="L44" s="10" t="s">
        <v>43</v>
      </c>
      <c r="M44" s="135">
        <v>92.76</v>
      </c>
      <c r="N44" s="9" t="s">
        <v>36</v>
      </c>
      <c r="O44" s="135">
        <v>0</v>
      </c>
      <c r="P44" s="135">
        <v>2.59</v>
      </c>
      <c r="Q44" s="135">
        <v>22.36</v>
      </c>
      <c r="R44" s="194"/>
      <c r="S44" s="194"/>
      <c r="T44" s="194"/>
      <c r="U44" s="194"/>
    </row>
    <row r="45" spans="1:21" s="12" customFormat="1" ht="15">
      <c r="A45" s="207" t="s">
        <v>761</v>
      </c>
      <c r="B45" s="135">
        <v>14.49</v>
      </c>
      <c r="C45" s="135">
        <v>11.15</v>
      </c>
      <c r="D45" s="135">
        <v>25.64</v>
      </c>
      <c r="E45" s="135">
        <v>8.41</v>
      </c>
      <c r="F45" s="135">
        <v>0.5</v>
      </c>
      <c r="G45" s="208" t="s">
        <v>36</v>
      </c>
      <c r="H45" s="135">
        <v>9.86</v>
      </c>
      <c r="I45" s="135">
        <v>4.58</v>
      </c>
      <c r="J45" s="135">
        <v>15.96</v>
      </c>
      <c r="K45" s="135">
        <v>59.69</v>
      </c>
      <c r="L45" s="135">
        <v>7.01</v>
      </c>
      <c r="M45" s="135">
        <v>93.41</v>
      </c>
      <c r="N45" s="9" t="s">
        <v>36</v>
      </c>
      <c r="O45" s="135">
        <v>0</v>
      </c>
      <c r="P45" s="135">
        <v>2.60</v>
      </c>
      <c r="Q45" s="135">
        <v>23.02</v>
      </c>
      <c r="R45" s="194"/>
      <c r="S45" s="194"/>
      <c r="T45" s="194"/>
      <c r="U45" s="194"/>
    </row>
    <row r="46" spans="1:21" s="12" customFormat="1" ht="15">
      <c r="A46" s="207" t="s">
        <v>762</v>
      </c>
      <c r="B46" s="135">
        <v>16.079999999999998</v>
      </c>
      <c r="C46" s="135">
        <v>11.28</v>
      </c>
      <c r="D46" s="135">
        <v>27.36</v>
      </c>
      <c r="E46" s="135">
        <v>8.1999999999999993</v>
      </c>
      <c r="F46" s="135">
        <v>0.51</v>
      </c>
      <c r="G46" s="208" t="s">
        <v>36</v>
      </c>
      <c r="H46" s="135">
        <v>9.39</v>
      </c>
      <c r="I46" s="135">
        <v>4.8600000000000003</v>
      </c>
      <c r="J46" s="135">
        <v>16.559999999999999</v>
      </c>
      <c r="K46" s="135">
        <v>61.14</v>
      </c>
      <c r="L46" s="135">
        <v>8.11</v>
      </c>
      <c r="M46" s="135">
        <v>91.53</v>
      </c>
      <c r="N46" s="9" t="s">
        <v>36</v>
      </c>
      <c r="O46" s="135">
        <v>0</v>
      </c>
      <c r="P46" s="135">
        <v>2.64</v>
      </c>
      <c r="Q46" s="135">
        <v>23.13</v>
      </c>
      <c r="R46" s="194"/>
      <c r="S46" s="194"/>
      <c r="T46" s="194"/>
      <c r="U46" s="194"/>
    </row>
    <row r="47" spans="1:21" s="12" customFormat="1" ht="15">
      <c r="A47" s="207" t="s">
        <v>763</v>
      </c>
      <c r="B47" s="135">
        <v>17.41</v>
      </c>
      <c r="C47" s="135">
        <v>11.32</v>
      </c>
      <c r="D47" s="135">
        <v>28.73</v>
      </c>
      <c r="E47" s="135">
        <v>8.26</v>
      </c>
      <c r="F47" s="135">
        <v>0.68</v>
      </c>
      <c r="G47" s="208" t="s">
        <v>36</v>
      </c>
      <c r="H47" s="135">
        <v>9.39</v>
      </c>
      <c r="I47" s="135">
        <v>5.05</v>
      </c>
      <c r="J47" s="135">
        <v>15.75</v>
      </c>
      <c r="K47" s="135">
        <v>59.33</v>
      </c>
      <c r="L47" s="135">
        <v>29.41</v>
      </c>
      <c r="M47" s="135">
        <v>91.13</v>
      </c>
      <c r="N47" s="9" t="s">
        <v>36</v>
      </c>
      <c r="O47" s="135">
        <v>0</v>
      </c>
      <c r="P47" s="135">
        <v>2.69</v>
      </c>
      <c r="Q47" s="135">
        <v>23.24</v>
      </c>
      <c r="R47" s="194"/>
      <c r="S47" s="194"/>
      <c r="T47" s="194"/>
      <c r="U47" s="194"/>
    </row>
    <row r="48" spans="1:21" s="12" customFormat="1" ht="15">
      <c r="A48" s="207" t="s">
        <v>764</v>
      </c>
      <c r="B48" s="135">
        <v>18.62</v>
      </c>
      <c r="C48" s="135">
        <v>11.94</v>
      </c>
      <c r="D48" s="135">
        <v>30.56</v>
      </c>
      <c r="E48" s="135">
        <v>8.5</v>
      </c>
      <c r="F48" s="135">
        <v>0.77</v>
      </c>
      <c r="G48" s="208" t="s">
        <v>36</v>
      </c>
      <c r="H48" s="135">
        <v>9.39</v>
      </c>
      <c r="I48" s="135">
        <v>5.21</v>
      </c>
      <c r="J48" s="135">
        <v>14.64</v>
      </c>
      <c r="K48" s="135">
        <v>60.19</v>
      </c>
      <c r="L48" s="135">
        <v>19.14</v>
      </c>
      <c r="M48" s="135">
        <v>89.93</v>
      </c>
      <c r="N48" s="9" t="s">
        <v>36</v>
      </c>
      <c r="O48" s="135">
        <v>0</v>
      </c>
      <c r="P48" s="135">
        <v>2.72</v>
      </c>
      <c r="Q48" s="135">
        <v>23.54</v>
      </c>
      <c r="R48" s="194"/>
      <c r="S48" s="194"/>
      <c r="T48" s="194"/>
      <c r="U48" s="194"/>
    </row>
    <row r="49" spans="1:21" s="12" customFormat="1" ht="15">
      <c r="A49" s="207" t="s">
        <v>765</v>
      </c>
      <c r="B49" s="135">
        <v>19.41</v>
      </c>
      <c r="C49" s="135">
        <v>13.12</v>
      </c>
      <c r="D49" s="135">
        <v>32.54</v>
      </c>
      <c r="E49" s="135">
        <v>8.52</v>
      </c>
      <c r="F49" s="135">
        <v>0.53</v>
      </c>
      <c r="G49" s="208" t="s">
        <v>36</v>
      </c>
      <c r="H49" s="135">
        <v>10.10</v>
      </c>
      <c r="I49" s="135">
        <v>5.25</v>
      </c>
      <c r="J49" s="135">
        <v>14.85</v>
      </c>
      <c r="K49" s="135">
        <v>55.66</v>
      </c>
      <c r="L49" s="135">
        <v>15.64</v>
      </c>
      <c r="M49" s="135">
        <v>90.27</v>
      </c>
      <c r="N49" s="9" t="s">
        <v>36</v>
      </c>
      <c r="O49" s="135">
        <v>0.20</v>
      </c>
      <c r="P49" s="135">
        <v>2.78</v>
      </c>
      <c r="Q49" s="135">
        <v>23.93</v>
      </c>
      <c r="R49" s="194"/>
      <c r="S49" s="194"/>
      <c r="T49" s="194"/>
      <c r="U49" s="194"/>
    </row>
    <row r="50" spans="1:21" s="12" customFormat="1" ht="15">
      <c r="A50" s="207" t="s">
        <v>766</v>
      </c>
      <c r="B50" s="135">
        <v>19.55</v>
      </c>
      <c r="C50" s="135">
        <v>13.60</v>
      </c>
      <c r="D50" s="135">
        <v>33.15</v>
      </c>
      <c r="E50" s="135">
        <v>8.44</v>
      </c>
      <c r="F50" s="135">
        <v>0.45</v>
      </c>
      <c r="G50" s="208" t="s">
        <v>36</v>
      </c>
      <c r="H50" s="135">
        <v>11.87</v>
      </c>
      <c r="I50" s="135">
        <v>5.34</v>
      </c>
      <c r="J50" s="135">
        <v>15.79</v>
      </c>
      <c r="K50" s="135">
        <v>54.72</v>
      </c>
      <c r="L50" s="135">
        <v>22.18</v>
      </c>
      <c r="M50" s="135">
        <v>92.86</v>
      </c>
      <c r="N50" s="9" t="s">
        <v>36</v>
      </c>
      <c r="O50" s="135">
        <v>0.80</v>
      </c>
      <c r="P50" s="135">
        <v>2.79</v>
      </c>
      <c r="Q50" s="135">
        <v>23.26</v>
      </c>
      <c r="R50" s="194"/>
      <c r="S50" s="194"/>
      <c r="T50" s="194"/>
      <c r="U50" s="194"/>
    </row>
    <row r="51" spans="1:21" s="12" customFormat="1" ht="15">
      <c r="A51" s="207" t="s">
        <v>767</v>
      </c>
      <c r="B51" s="135">
        <v>21</v>
      </c>
      <c r="C51" s="135">
        <v>14.32</v>
      </c>
      <c r="D51" s="135">
        <v>35.32</v>
      </c>
      <c r="E51" s="135">
        <v>8.40</v>
      </c>
      <c r="F51" s="135">
        <v>0.16</v>
      </c>
      <c r="G51" s="208" t="s">
        <v>36</v>
      </c>
      <c r="H51" s="135">
        <v>11.87</v>
      </c>
      <c r="I51" s="135">
        <v>5.40</v>
      </c>
      <c r="J51" s="135">
        <v>15.61</v>
      </c>
      <c r="K51" s="135">
        <v>57.26</v>
      </c>
      <c r="L51" s="135">
        <v>37.36</v>
      </c>
      <c r="M51" s="135">
        <v>94.26</v>
      </c>
      <c r="N51" s="9" t="s">
        <v>36</v>
      </c>
      <c r="O51" s="135">
        <v>0.20</v>
      </c>
      <c r="P51" s="135">
        <v>2.86</v>
      </c>
      <c r="Q51" s="135">
        <v>23.39</v>
      </c>
      <c r="R51" s="194"/>
      <c r="S51" s="194"/>
      <c r="T51" s="194"/>
      <c r="U51" s="194"/>
    </row>
    <row r="52" spans="1:21" s="12" customFormat="1" ht="15">
      <c r="A52" s="207" t="s">
        <v>768</v>
      </c>
      <c r="B52" s="135">
        <v>24.08</v>
      </c>
      <c r="C52" s="135">
        <v>14.95</v>
      </c>
      <c r="D52" s="135">
        <v>39.03</v>
      </c>
      <c r="E52" s="135">
        <v>8.27</v>
      </c>
      <c r="F52" s="135">
        <v>0.15</v>
      </c>
      <c r="G52" s="208" t="s">
        <v>36</v>
      </c>
      <c r="H52" s="135">
        <v>11.87</v>
      </c>
      <c r="I52" s="135">
        <v>5.41</v>
      </c>
      <c r="J52" s="135">
        <v>14.31</v>
      </c>
      <c r="K52" s="135">
        <v>55.71</v>
      </c>
      <c r="L52" s="135">
        <v>22.49</v>
      </c>
      <c r="M52" s="135">
        <v>94.44</v>
      </c>
      <c r="N52" s="9" t="s">
        <v>36</v>
      </c>
      <c r="O52" s="135">
        <v>0</v>
      </c>
      <c r="P52" s="135">
        <v>2.93</v>
      </c>
      <c r="Q52" s="135">
        <v>24.69</v>
      </c>
      <c r="R52" s="194"/>
      <c r="S52" s="194"/>
      <c r="T52" s="194"/>
      <c r="U52" s="194"/>
    </row>
    <row r="53" spans="1:21" s="12" customFormat="1" ht="15">
      <c r="A53" s="207" t="s">
        <v>769</v>
      </c>
      <c r="B53" s="135">
        <v>27.67</v>
      </c>
      <c r="C53" s="135">
        <v>15.86</v>
      </c>
      <c r="D53" s="135">
        <v>43.53</v>
      </c>
      <c r="E53" s="135">
        <v>8.6199999999999992</v>
      </c>
      <c r="F53" s="135">
        <v>0.02</v>
      </c>
      <c r="G53" s="208" t="s">
        <v>36</v>
      </c>
      <c r="H53" s="135">
        <v>12.77</v>
      </c>
      <c r="I53" s="135">
        <v>5.69</v>
      </c>
      <c r="J53" s="135">
        <v>14.44</v>
      </c>
      <c r="K53" s="135">
        <v>56.82</v>
      </c>
      <c r="L53" s="135">
        <v>48.88</v>
      </c>
      <c r="M53" s="135">
        <v>94.23</v>
      </c>
      <c r="N53" s="9" t="s">
        <v>36</v>
      </c>
      <c r="O53" s="135">
        <v>0</v>
      </c>
      <c r="P53" s="135">
        <v>3.01</v>
      </c>
      <c r="Q53" s="135">
        <v>26.24</v>
      </c>
      <c r="R53" s="194"/>
      <c r="S53" s="194"/>
      <c r="T53" s="194"/>
      <c r="U53" s="194"/>
    </row>
    <row r="54" spans="1:21" s="12" customFormat="1" ht="15">
      <c r="A54" s="207" t="s">
        <v>770</v>
      </c>
      <c r="B54" s="135">
        <v>31.15</v>
      </c>
      <c r="C54" s="135">
        <v>16.54</v>
      </c>
      <c r="D54" s="135">
        <v>47.68</v>
      </c>
      <c r="E54" s="135">
        <v>8.19</v>
      </c>
      <c r="F54" s="135">
        <v>0.15</v>
      </c>
      <c r="G54" s="208" t="s">
        <v>36</v>
      </c>
      <c r="H54" s="135">
        <v>14.97</v>
      </c>
      <c r="I54" s="135">
        <v>5.98</v>
      </c>
      <c r="J54" s="135">
        <v>15.75</v>
      </c>
      <c r="K54" s="135">
        <v>59.34</v>
      </c>
      <c r="L54" s="135">
        <v>53.67</v>
      </c>
      <c r="M54" s="135">
        <v>93.76</v>
      </c>
      <c r="N54" s="9" t="s">
        <v>36</v>
      </c>
      <c r="O54" s="135">
        <v>0</v>
      </c>
      <c r="P54" s="135">
        <v>3.07</v>
      </c>
      <c r="Q54" s="135">
        <v>27.39</v>
      </c>
      <c r="R54" s="194"/>
      <c r="S54" s="194"/>
      <c r="T54" s="194"/>
      <c r="U54" s="194"/>
    </row>
    <row r="55" spans="1:21" s="12" customFormat="1" ht="15">
      <c r="A55" s="207" t="s">
        <v>771</v>
      </c>
      <c r="B55" s="135">
        <v>32.85</v>
      </c>
      <c r="C55" s="135">
        <v>16.68</v>
      </c>
      <c r="D55" s="135">
        <v>49.53</v>
      </c>
      <c r="E55" s="135">
        <v>7.35</v>
      </c>
      <c r="F55" s="135">
        <v>0.01</v>
      </c>
      <c r="G55" s="208" t="s">
        <v>36</v>
      </c>
      <c r="H55" s="135">
        <v>14.97</v>
      </c>
      <c r="I55" s="135">
        <v>6.26</v>
      </c>
      <c r="J55" s="135">
        <v>17.09</v>
      </c>
      <c r="K55" s="135">
        <v>61.83</v>
      </c>
      <c r="L55" s="135">
        <v>38.229999999999997</v>
      </c>
      <c r="M55" s="135">
        <v>92.96</v>
      </c>
      <c r="N55" s="9" t="s">
        <v>36</v>
      </c>
      <c r="O55" s="135">
        <v>0</v>
      </c>
      <c r="P55" s="135">
        <v>3.12</v>
      </c>
      <c r="Q55" s="135">
        <v>28.12</v>
      </c>
      <c r="R55" s="194"/>
      <c r="S55" s="194"/>
      <c r="T55" s="194"/>
      <c r="U55" s="194"/>
    </row>
    <row r="56" spans="1:21" s="12" customFormat="1" ht="15">
      <c r="A56" s="207" t="s">
        <v>772</v>
      </c>
      <c r="B56" s="135">
        <v>33.64</v>
      </c>
      <c r="C56" s="135">
        <v>15.86</v>
      </c>
      <c r="D56" s="135">
        <v>49.5</v>
      </c>
      <c r="E56" s="135">
        <v>4.54</v>
      </c>
      <c r="F56" s="135">
        <v>0.03</v>
      </c>
      <c r="G56" s="208" t="s">
        <v>36</v>
      </c>
      <c r="H56" s="135">
        <v>14.97</v>
      </c>
      <c r="I56" s="135">
        <v>6.56</v>
      </c>
      <c r="J56" s="135">
        <v>17.79</v>
      </c>
      <c r="K56" s="135">
        <v>59.80</v>
      </c>
      <c r="L56" s="135">
        <v>44.89</v>
      </c>
      <c r="M56" s="135">
        <v>92.60</v>
      </c>
      <c r="N56" s="9" t="s">
        <v>36</v>
      </c>
      <c r="O56" s="135">
        <v>0</v>
      </c>
      <c r="P56" s="135">
        <v>3.14</v>
      </c>
      <c r="Q56" s="135">
        <v>28.40</v>
      </c>
      <c r="R56" s="194"/>
      <c r="S56" s="194"/>
      <c r="T56" s="194"/>
      <c r="U56" s="194"/>
    </row>
    <row r="57" spans="1:21" s="12" customFormat="1" ht="15">
      <c r="A57" s="207" t="s">
        <v>773</v>
      </c>
      <c r="B57" s="135">
        <v>34.08</v>
      </c>
      <c r="C57" s="135">
        <v>14.91</v>
      </c>
      <c r="D57" s="135">
        <v>48.99</v>
      </c>
      <c r="E57" s="135">
        <v>8.76</v>
      </c>
      <c r="F57" s="135">
        <v>0.17</v>
      </c>
      <c r="G57" s="208" t="s">
        <v>36</v>
      </c>
      <c r="H57" s="135">
        <v>15.75</v>
      </c>
      <c r="I57" s="135">
        <v>6.91</v>
      </c>
      <c r="J57" s="135">
        <v>17.55</v>
      </c>
      <c r="K57" s="135">
        <v>57.88</v>
      </c>
      <c r="L57" s="135">
        <v>40.82</v>
      </c>
      <c r="M57" s="135">
        <v>93.42</v>
      </c>
      <c r="N57" s="9" t="s">
        <v>36</v>
      </c>
      <c r="O57" s="135">
        <v>0</v>
      </c>
      <c r="P57" s="135">
        <v>3.16</v>
      </c>
      <c r="Q57" s="135">
        <v>28.26</v>
      </c>
      <c r="R57" s="194"/>
      <c r="S57" s="194"/>
      <c r="T57" s="194"/>
      <c r="U57" s="194"/>
    </row>
    <row r="58" spans="1:21" s="12" customFormat="1" ht="15">
      <c r="A58" s="207" t="s">
        <v>774</v>
      </c>
      <c r="B58" s="135">
        <v>34.83</v>
      </c>
      <c r="C58" s="135">
        <v>14.09</v>
      </c>
      <c r="D58" s="135">
        <v>48.92</v>
      </c>
      <c r="E58" s="135">
        <v>9.2899999999999991</v>
      </c>
      <c r="F58" s="135">
        <v>0.39</v>
      </c>
      <c r="G58" s="208" t="s">
        <v>36</v>
      </c>
      <c r="H58" s="135">
        <v>17.649999999999999</v>
      </c>
      <c r="I58" s="135">
        <v>6.95</v>
      </c>
      <c r="J58" s="135">
        <v>19.649999999999999</v>
      </c>
      <c r="K58" s="135">
        <v>60.73</v>
      </c>
      <c r="L58" s="135">
        <v>60.54</v>
      </c>
      <c r="M58" s="135">
        <v>92.59</v>
      </c>
      <c r="N58" s="9" t="s">
        <v>36</v>
      </c>
      <c r="O58" s="135">
        <v>0</v>
      </c>
      <c r="P58" s="135">
        <v>3.18</v>
      </c>
      <c r="Q58" s="135">
        <v>28.02</v>
      </c>
      <c r="R58" s="194"/>
      <c r="S58" s="194"/>
      <c r="T58" s="194"/>
      <c r="U58" s="194"/>
    </row>
    <row r="59" spans="1:21" s="12" customFormat="1" ht="15">
      <c r="A59" s="207" t="s">
        <v>775</v>
      </c>
      <c r="B59" s="135">
        <v>35.65</v>
      </c>
      <c r="C59" s="135">
        <v>13.65</v>
      </c>
      <c r="D59" s="135">
        <v>49.30</v>
      </c>
      <c r="E59" s="135">
        <v>9.35</v>
      </c>
      <c r="F59" s="135">
        <v>0.47</v>
      </c>
      <c r="G59" s="208" t="s">
        <v>36</v>
      </c>
      <c r="H59" s="135">
        <v>17.649999999999999</v>
      </c>
      <c r="I59" s="135">
        <v>6.88</v>
      </c>
      <c r="J59" s="135">
        <v>23.86</v>
      </c>
      <c r="K59" s="135">
        <v>60.40</v>
      </c>
      <c r="L59" s="135">
        <v>54.20</v>
      </c>
      <c r="M59" s="135">
        <v>89.95</v>
      </c>
      <c r="N59" s="9" t="s">
        <v>36</v>
      </c>
      <c r="O59" s="135">
        <v>0</v>
      </c>
      <c r="P59" s="135">
        <v>3.20</v>
      </c>
      <c r="Q59" s="135">
        <v>28.02</v>
      </c>
      <c r="R59" s="194"/>
      <c r="S59" s="194"/>
      <c r="T59" s="194"/>
      <c r="U59" s="194"/>
    </row>
    <row r="60" spans="1:21" s="12" customFormat="1" ht="15">
      <c r="A60" s="207" t="s">
        <v>776</v>
      </c>
      <c r="B60" s="135">
        <v>36.07</v>
      </c>
      <c r="C60" s="135">
        <v>13.66</v>
      </c>
      <c r="D60" s="135">
        <v>49.73</v>
      </c>
      <c r="E60" s="135">
        <v>9.52</v>
      </c>
      <c r="F60" s="135">
        <v>0.65</v>
      </c>
      <c r="G60" s="208" t="s">
        <v>36</v>
      </c>
      <c r="H60" s="135">
        <v>17.649999999999999</v>
      </c>
      <c r="I60" s="135">
        <v>7.22</v>
      </c>
      <c r="J60" s="135">
        <v>30.52</v>
      </c>
      <c r="K60" s="135">
        <v>69.989999999999995</v>
      </c>
      <c r="L60" s="135">
        <v>54.97</v>
      </c>
      <c r="M60" s="135">
        <v>87.22</v>
      </c>
      <c r="N60" s="9" t="s">
        <v>36</v>
      </c>
      <c r="O60" s="135">
        <v>0</v>
      </c>
      <c r="P60" s="135">
        <v>3.20</v>
      </c>
      <c r="Q60" s="135">
        <v>28.03</v>
      </c>
      <c r="R60" s="194"/>
      <c r="S60" s="194"/>
      <c r="T60" s="194"/>
      <c r="U60" s="194"/>
    </row>
    <row r="61" spans="1:21" s="12" customFormat="1" ht="15">
      <c r="A61" s="207" t="s">
        <v>777</v>
      </c>
      <c r="B61" s="135">
        <v>36.700000000000003</v>
      </c>
      <c r="C61" s="135">
        <v>13.90</v>
      </c>
      <c r="D61" s="135">
        <v>50.60</v>
      </c>
      <c r="E61" s="135">
        <v>9.75</v>
      </c>
      <c r="F61" s="135">
        <v>0.41</v>
      </c>
      <c r="G61" s="208" t="s">
        <v>36</v>
      </c>
      <c r="H61" s="135">
        <v>20.97</v>
      </c>
      <c r="I61" s="135">
        <v>7.27</v>
      </c>
      <c r="J61" s="135">
        <v>30.57</v>
      </c>
      <c r="K61" s="135">
        <v>74.36</v>
      </c>
      <c r="L61" s="135">
        <v>48.79</v>
      </c>
      <c r="M61" s="135">
        <v>83.75</v>
      </c>
      <c r="N61" s="9" t="s">
        <v>36</v>
      </c>
      <c r="O61" s="135">
        <v>0</v>
      </c>
      <c r="P61" s="135">
        <v>3.21</v>
      </c>
      <c r="Q61" s="135">
        <v>27.94</v>
      </c>
      <c r="R61" s="194"/>
      <c r="S61" s="194"/>
      <c r="T61" s="194"/>
      <c r="U61" s="194"/>
    </row>
    <row r="62" spans="1:21" s="12" customFormat="1" ht="15">
      <c r="A62" s="207" t="s">
        <v>778</v>
      </c>
      <c r="B62" s="135">
        <v>37.36</v>
      </c>
      <c r="C62" s="135">
        <v>13.97</v>
      </c>
      <c r="D62" s="135">
        <v>51.33</v>
      </c>
      <c r="E62" s="135">
        <v>10.10</v>
      </c>
      <c r="F62" s="135">
        <v>0.28999999999999998</v>
      </c>
      <c r="G62" s="208" t="s">
        <v>36</v>
      </c>
      <c r="H62" s="135">
        <v>29.13</v>
      </c>
      <c r="I62" s="135">
        <v>7.29</v>
      </c>
      <c r="J62" s="135">
        <v>31.56</v>
      </c>
      <c r="K62" s="135">
        <v>73.81</v>
      </c>
      <c r="L62" s="135">
        <v>52.31</v>
      </c>
      <c r="M62" s="135">
        <v>80.37</v>
      </c>
      <c r="N62" s="9" t="s">
        <v>36</v>
      </c>
      <c r="O62" s="135">
        <v>0</v>
      </c>
      <c r="P62" s="135">
        <v>3.24</v>
      </c>
      <c r="Q62" s="135">
        <v>27.77</v>
      </c>
      <c r="R62" s="194"/>
      <c r="S62" s="194"/>
      <c r="T62" s="194"/>
      <c r="U62" s="194"/>
    </row>
    <row r="63" spans="1:21" s="12" customFormat="1" ht="15">
      <c r="A63" s="207" t="s">
        <v>779</v>
      </c>
      <c r="B63" s="135">
        <v>37.53</v>
      </c>
      <c r="C63" s="135">
        <v>14.85</v>
      </c>
      <c r="D63" s="135">
        <v>52.37</v>
      </c>
      <c r="E63" s="135">
        <v>10.01</v>
      </c>
      <c r="F63" s="135">
        <v>0.73</v>
      </c>
      <c r="G63" s="208" t="s">
        <v>36</v>
      </c>
      <c r="H63" s="135">
        <v>29.13</v>
      </c>
      <c r="I63" s="135">
        <v>7.72</v>
      </c>
      <c r="J63" s="135">
        <v>42.67</v>
      </c>
      <c r="K63" s="135">
        <v>61.68</v>
      </c>
      <c r="L63" s="135">
        <v>50.05</v>
      </c>
      <c r="M63" s="135">
        <v>78.28</v>
      </c>
      <c r="N63" s="9" t="s">
        <v>36</v>
      </c>
      <c r="O63" s="135">
        <v>0</v>
      </c>
      <c r="P63" s="135">
        <v>3.23</v>
      </c>
      <c r="Q63" s="135">
        <v>27.72</v>
      </c>
      <c r="R63" s="194"/>
      <c r="S63" s="194"/>
      <c r="T63" s="194"/>
      <c r="U63" s="194"/>
    </row>
    <row r="64" spans="1:21" s="12" customFormat="1" ht="15">
      <c r="A64" s="207" t="s">
        <v>780</v>
      </c>
      <c r="B64" s="135">
        <v>37.42</v>
      </c>
      <c r="C64" s="135">
        <v>16</v>
      </c>
      <c r="D64" s="135">
        <v>53.42</v>
      </c>
      <c r="E64" s="135">
        <v>9.8000000000000007</v>
      </c>
      <c r="F64" s="135">
        <v>0.35</v>
      </c>
      <c r="G64" s="208" t="s">
        <v>36</v>
      </c>
      <c r="H64" s="135">
        <v>29.13</v>
      </c>
      <c r="I64" s="135">
        <v>8.11</v>
      </c>
      <c r="J64" s="135">
        <v>39.01</v>
      </c>
      <c r="K64" s="135">
        <v>61.99</v>
      </c>
      <c r="L64" s="135">
        <v>47.97</v>
      </c>
      <c r="M64" s="135">
        <v>72.17</v>
      </c>
      <c r="N64" s="9" t="s">
        <v>36</v>
      </c>
      <c r="O64" s="135">
        <v>0</v>
      </c>
      <c r="P64" s="135">
        <v>3.24</v>
      </c>
      <c r="Q64" s="135">
        <v>28.09</v>
      </c>
      <c r="R64" s="194"/>
      <c r="S64" s="194"/>
      <c r="T64" s="194"/>
      <c r="U64" s="194"/>
    </row>
    <row r="65" spans="1:21" s="12" customFormat="1" ht="15">
      <c r="A65" s="207" t="s">
        <v>781</v>
      </c>
      <c r="B65" s="135">
        <v>36.53</v>
      </c>
      <c r="C65" s="135">
        <v>17.5</v>
      </c>
      <c r="D65" s="135">
        <v>54.03</v>
      </c>
      <c r="E65" s="135">
        <v>9.25</v>
      </c>
      <c r="F65" s="135">
        <v>0.40</v>
      </c>
      <c r="G65" s="208" t="s">
        <v>36</v>
      </c>
      <c r="H65" s="135">
        <v>29.73</v>
      </c>
      <c r="I65" s="135">
        <v>7.82</v>
      </c>
      <c r="J65" s="135">
        <v>39.619999999999997</v>
      </c>
      <c r="K65" s="135">
        <v>63.47</v>
      </c>
      <c r="L65" s="135">
        <v>43.28</v>
      </c>
      <c r="M65" s="135">
        <v>69.09</v>
      </c>
      <c r="N65" s="9" t="s">
        <v>36</v>
      </c>
      <c r="O65" s="135">
        <v>0</v>
      </c>
      <c r="P65" s="135">
        <v>3.23</v>
      </c>
      <c r="Q65" s="135">
        <v>27.68</v>
      </c>
      <c r="R65" s="194"/>
      <c r="S65" s="194"/>
      <c r="T65" s="194"/>
      <c r="U65" s="194"/>
    </row>
    <row r="66" spans="1:21" s="12" customFormat="1" ht="15">
      <c r="A66" s="207" t="s">
        <v>782</v>
      </c>
      <c r="B66" s="135">
        <v>34.57</v>
      </c>
      <c r="C66" s="135">
        <v>18.53</v>
      </c>
      <c r="D66" s="135">
        <v>53.10</v>
      </c>
      <c r="E66" s="135">
        <v>9.57</v>
      </c>
      <c r="F66" s="135">
        <v>0.47</v>
      </c>
      <c r="G66" s="208" t="s">
        <v>36</v>
      </c>
      <c r="H66" s="135">
        <v>31.20</v>
      </c>
      <c r="I66" s="135">
        <v>7.77</v>
      </c>
      <c r="J66" s="135">
        <v>38.020000000000003</v>
      </c>
      <c r="K66" s="135">
        <v>63.68</v>
      </c>
      <c r="L66" s="135">
        <v>27.29</v>
      </c>
      <c r="M66" s="135">
        <v>72.05</v>
      </c>
      <c r="N66" s="9" t="s">
        <v>36</v>
      </c>
      <c r="O66" s="135">
        <v>0</v>
      </c>
      <c r="P66" s="135">
        <v>3.21</v>
      </c>
      <c r="Q66" s="135">
        <v>26.69</v>
      </c>
      <c r="R66" s="194"/>
      <c r="S66" s="194"/>
      <c r="T66" s="194"/>
      <c r="U66" s="194"/>
    </row>
    <row r="67" spans="1:21" s="12" customFormat="1" ht="15">
      <c r="A67" s="207" t="s">
        <v>783</v>
      </c>
      <c r="B67" s="135">
        <v>32.06</v>
      </c>
      <c r="C67" s="135">
        <v>19.670000000000002</v>
      </c>
      <c r="D67" s="135">
        <v>51.73</v>
      </c>
      <c r="E67" s="135">
        <v>9.1300000000000008</v>
      </c>
      <c r="F67" s="135">
        <v>0.31</v>
      </c>
      <c r="G67" s="208" t="s">
        <v>36</v>
      </c>
      <c r="H67" s="135">
        <v>31.20</v>
      </c>
      <c r="I67" s="135">
        <v>7.78</v>
      </c>
      <c r="J67" s="135">
        <v>42.40</v>
      </c>
      <c r="K67" s="135">
        <v>64.48</v>
      </c>
      <c r="L67" s="135">
        <v>52.23</v>
      </c>
      <c r="M67" s="135">
        <v>65.62</v>
      </c>
      <c r="N67" s="9" t="s">
        <v>36</v>
      </c>
      <c r="O67" s="135">
        <v>0</v>
      </c>
      <c r="P67" s="135">
        <v>3.19</v>
      </c>
      <c r="Q67" s="135">
        <v>25.83</v>
      </c>
      <c r="R67" s="194"/>
      <c r="S67" s="194"/>
      <c r="T67" s="194"/>
      <c r="U67" s="194"/>
    </row>
    <row r="68" spans="1:21" s="12" customFormat="1" ht="15">
      <c r="A68" s="207" t="s">
        <v>784</v>
      </c>
      <c r="B68" s="135">
        <v>30.17</v>
      </c>
      <c r="C68" s="135">
        <v>20.78</v>
      </c>
      <c r="D68" s="135">
        <v>50.95</v>
      </c>
      <c r="E68" s="135">
        <v>9.02</v>
      </c>
      <c r="F68" s="135">
        <v>0.48</v>
      </c>
      <c r="G68" s="208" t="s">
        <v>36</v>
      </c>
      <c r="H68" s="135">
        <v>31.20</v>
      </c>
      <c r="I68" s="135">
        <v>7.67</v>
      </c>
      <c r="J68" s="135">
        <v>24.02</v>
      </c>
      <c r="K68" s="135">
        <v>60.73</v>
      </c>
      <c r="L68" s="135">
        <v>33.86</v>
      </c>
      <c r="M68" s="135">
        <v>66.02</v>
      </c>
      <c r="N68" s="9" t="s">
        <v>36</v>
      </c>
      <c r="O68" s="135">
        <v>0</v>
      </c>
      <c r="P68" s="135">
        <v>3.18</v>
      </c>
      <c r="Q68" s="135">
        <v>25.31</v>
      </c>
      <c r="R68" s="194"/>
      <c r="S68" s="194"/>
      <c r="T68" s="194"/>
      <c r="U68" s="194"/>
    </row>
    <row r="69" spans="1:21" s="12" customFormat="1" ht="15">
      <c r="A69" s="207" t="s">
        <v>785</v>
      </c>
      <c r="B69" s="135">
        <v>28.97</v>
      </c>
      <c r="C69" s="135">
        <v>21.31</v>
      </c>
      <c r="D69" s="135">
        <v>50.29</v>
      </c>
      <c r="E69" s="135">
        <v>8.69</v>
      </c>
      <c r="F69" s="135">
        <v>0.40</v>
      </c>
      <c r="G69" s="208" t="s">
        <v>36</v>
      </c>
      <c r="H69" s="135">
        <v>31.08</v>
      </c>
      <c r="I69" s="135">
        <v>7.61</v>
      </c>
      <c r="J69" s="135">
        <v>27.14</v>
      </c>
      <c r="K69" s="135">
        <v>59.48</v>
      </c>
      <c r="L69" s="135">
        <v>31.75</v>
      </c>
      <c r="M69" s="135">
        <v>66.06</v>
      </c>
      <c r="N69" s="9" t="s">
        <v>36</v>
      </c>
      <c r="O69" s="135">
        <v>0</v>
      </c>
      <c r="P69" s="135">
        <v>3.16</v>
      </c>
      <c r="Q69" s="135">
        <v>25.02</v>
      </c>
      <c r="R69" s="194"/>
      <c r="S69" s="194"/>
      <c r="T69" s="194"/>
      <c r="U69" s="194"/>
    </row>
    <row r="70" spans="1:21" s="12" customFormat="1" ht="15">
      <c r="A70" s="207" t="s">
        <v>786</v>
      </c>
      <c r="B70" s="135">
        <v>27.66</v>
      </c>
      <c r="C70" s="135">
        <v>21.16</v>
      </c>
      <c r="D70" s="135">
        <v>48.82</v>
      </c>
      <c r="E70" s="135">
        <v>9.0299999999999994</v>
      </c>
      <c r="F70" s="135">
        <v>0.48</v>
      </c>
      <c r="G70" s="208" t="s">
        <v>36</v>
      </c>
      <c r="H70" s="135">
        <v>30.80</v>
      </c>
      <c r="I70" s="135">
        <v>7.53</v>
      </c>
      <c r="J70" s="135">
        <v>21.28</v>
      </c>
      <c r="K70" s="135">
        <v>59.24</v>
      </c>
      <c r="L70" s="135">
        <v>33.979999999999997</v>
      </c>
      <c r="M70" s="135">
        <v>72.61</v>
      </c>
      <c r="N70" s="9" t="s">
        <v>36</v>
      </c>
      <c r="O70" s="135">
        <v>0</v>
      </c>
      <c r="P70" s="135">
        <v>3.13</v>
      </c>
      <c r="Q70" s="135">
        <v>24.27</v>
      </c>
      <c r="R70" s="194"/>
      <c r="S70" s="194"/>
      <c r="T70" s="194"/>
      <c r="U70" s="194"/>
    </row>
    <row r="71" spans="1:21" s="12" customFormat="1" ht="15">
      <c r="A71" s="207" t="s">
        <v>787</v>
      </c>
      <c r="B71" s="135">
        <v>26.35</v>
      </c>
      <c r="C71" s="135">
        <v>20.12</v>
      </c>
      <c r="D71" s="135">
        <v>46.47</v>
      </c>
      <c r="E71" s="135">
        <v>8.5399999999999991</v>
      </c>
      <c r="F71" s="135">
        <v>0.71</v>
      </c>
      <c r="G71" s="208" t="s">
        <v>36</v>
      </c>
      <c r="H71" s="135">
        <v>30.80</v>
      </c>
      <c r="I71" s="135">
        <v>7.23</v>
      </c>
      <c r="J71" s="135">
        <v>21.92</v>
      </c>
      <c r="K71" s="135">
        <v>58.74</v>
      </c>
      <c r="L71" s="135">
        <v>31.99</v>
      </c>
      <c r="M71" s="135">
        <v>72.84</v>
      </c>
      <c r="N71" s="9" t="s">
        <v>36</v>
      </c>
      <c r="O71" s="135">
        <v>0</v>
      </c>
      <c r="P71" s="135">
        <v>3.13</v>
      </c>
      <c r="Q71" s="135">
        <v>23.45</v>
      </c>
      <c r="R71" s="194"/>
      <c r="S71" s="194"/>
      <c r="T71" s="194"/>
      <c r="U71" s="194"/>
    </row>
    <row r="72" spans="1:21" s="12" customFormat="1" ht="15">
      <c r="A72" s="207" t="s">
        <v>788</v>
      </c>
      <c r="B72" s="135">
        <v>24.92</v>
      </c>
      <c r="C72" s="135">
        <v>19.20</v>
      </c>
      <c r="D72" s="135">
        <v>44.12</v>
      </c>
      <c r="E72" s="135">
        <v>4.9800000000000004</v>
      </c>
      <c r="F72" s="135">
        <v>0.81</v>
      </c>
      <c r="G72" s="208" t="s">
        <v>36</v>
      </c>
      <c r="H72" s="135">
        <v>30.80</v>
      </c>
      <c r="I72" s="135">
        <v>6.74</v>
      </c>
      <c r="J72" s="135">
        <v>20.92</v>
      </c>
      <c r="K72" s="135">
        <v>58.08</v>
      </c>
      <c r="L72" s="135">
        <v>27.09</v>
      </c>
      <c r="M72" s="135">
        <v>73.959999999999994</v>
      </c>
      <c r="N72" s="9" t="s">
        <v>36</v>
      </c>
      <c r="O72" s="135">
        <v>0</v>
      </c>
      <c r="P72" s="135">
        <v>3.11</v>
      </c>
      <c r="Q72" s="135">
        <v>23.06</v>
      </c>
      <c r="R72" s="194"/>
      <c r="S72" s="194"/>
      <c r="T72" s="194"/>
      <c r="U72" s="194"/>
    </row>
    <row r="73" spans="1:21" s="12" customFormat="1" ht="15">
      <c r="A73" s="207" t="s">
        <v>789</v>
      </c>
      <c r="B73" s="135">
        <v>23.59</v>
      </c>
      <c r="C73" s="135">
        <v>18.55</v>
      </c>
      <c r="D73" s="135">
        <v>42.14</v>
      </c>
      <c r="E73" s="135">
        <v>8.2899999999999991</v>
      </c>
      <c r="F73" s="135">
        <v>0.67</v>
      </c>
      <c r="G73" s="208" t="s">
        <v>36</v>
      </c>
      <c r="H73" s="135">
        <v>31.5</v>
      </c>
      <c r="I73" s="135">
        <v>6.89</v>
      </c>
      <c r="J73" s="135">
        <v>23.46</v>
      </c>
      <c r="K73" s="135">
        <v>58.60</v>
      </c>
      <c r="L73" s="135">
        <v>40.65</v>
      </c>
      <c r="M73" s="135">
        <v>73.599999999999994</v>
      </c>
      <c r="N73" s="9" t="s">
        <v>36</v>
      </c>
      <c r="O73" s="135">
        <v>0</v>
      </c>
      <c r="P73" s="135">
        <v>3.09</v>
      </c>
      <c r="Q73" s="135">
        <v>22.85</v>
      </c>
      <c r="R73" s="194"/>
      <c r="S73" s="194"/>
      <c r="T73" s="194"/>
      <c r="U73" s="194"/>
    </row>
    <row r="74" spans="1:21" s="12" customFormat="1" ht="15">
      <c r="A74" s="207" t="s">
        <v>790</v>
      </c>
      <c r="B74" s="135">
        <v>22.89</v>
      </c>
      <c r="C74" s="135">
        <v>18.02</v>
      </c>
      <c r="D74" s="135">
        <v>40.909999999999997</v>
      </c>
      <c r="E74" s="135">
        <v>8.92</v>
      </c>
      <c r="F74" s="135">
        <v>0.74</v>
      </c>
      <c r="G74" s="208" t="s">
        <v>36</v>
      </c>
      <c r="H74" s="135">
        <v>33.21</v>
      </c>
      <c r="I74" s="135">
        <v>6.85</v>
      </c>
      <c r="J74" s="135">
        <v>23.01</v>
      </c>
      <c r="K74" s="135">
        <v>58.91</v>
      </c>
      <c r="L74" s="135">
        <v>55.90</v>
      </c>
      <c r="M74" s="135">
        <v>72.28</v>
      </c>
      <c r="N74" s="9" t="s">
        <v>36</v>
      </c>
      <c r="O74" s="135">
        <v>0</v>
      </c>
      <c r="P74" s="135">
        <v>3.10</v>
      </c>
      <c r="Q74" s="135">
        <v>22.52</v>
      </c>
      <c r="R74" s="194"/>
      <c r="S74" s="194"/>
      <c r="T74" s="194"/>
      <c r="U74" s="194"/>
    </row>
    <row r="75" spans="1:21" s="12" customFormat="1" ht="15">
      <c r="A75" s="207" t="s">
        <v>791</v>
      </c>
      <c r="B75" s="135">
        <v>22.61</v>
      </c>
      <c r="C75" s="135">
        <v>17.63</v>
      </c>
      <c r="D75" s="135">
        <v>40.24</v>
      </c>
      <c r="E75" s="135">
        <v>9.4499999999999993</v>
      </c>
      <c r="F75" s="135">
        <v>0.77</v>
      </c>
      <c r="G75" s="208" t="s">
        <v>36</v>
      </c>
      <c r="H75" s="135">
        <v>33.21</v>
      </c>
      <c r="I75" s="135">
        <v>6.36</v>
      </c>
      <c r="J75" s="135">
        <v>19.46</v>
      </c>
      <c r="K75" s="135">
        <v>59.61</v>
      </c>
      <c r="L75" s="135">
        <v>48.62</v>
      </c>
      <c r="M75" s="135">
        <v>71.91</v>
      </c>
      <c r="N75" s="9" t="s">
        <v>36</v>
      </c>
      <c r="O75" s="135">
        <v>0</v>
      </c>
      <c r="P75" s="135">
        <v>3.11</v>
      </c>
      <c r="Q75" s="135">
        <v>22.30</v>
      </c>
      <c r="R75" s="194"/>
      <c r="S75" s="194"/>
      <c r="T75" s="194"/>
      <c r="U75" s="194"/>
    </row>
    <row r="76" spans="1:21" s="12" customFormat="1" ht="15">
      <c r="A76" s="207" t="s">
        <v>792</v>
      </c>
      <c r="B76" s="135">
        <v>22.33</v>
      </c>
      <c r="C76" s="135">
        <v>16.989999999999998</v>
      </c>
      <c r="D76" s="135">
        <v>39.33</v>
      </c>
      <c r="E76" s="135">
        <v>9.4499999999999993</v>
      </c>
      <c r="F76" s="135">
        <v>0.68</v>
      </c>
      <c r="G76" s="208" t="s">
        <v>36</v>
      </c>
      <c r="H76" s="135">
        <v>33.21</v>
      </c>
      <c r="I76" s="135">
        <v>6.41</v>
      </c>
      <c r="J76" s="135">
        <v>17.59</v>
      </c>
      <c r="K76" s="135">
        <v>60.72</v>
      </c>
      <c r="L76" s="135">
        <v>47.28</v>
      </c>
      <c r="M76" s="135">
        <v>72.650000000000006</v>
      </c>
      <c r="N76" s="9" t="s">
        <v>36</v>
      </c>
      <c r="O76" s="135">
        <v>0</v>
      </c>
      <c r="P76" s="135">
        <v>3.12</v>
      </c>
      <c r="Q76" s="135">
        <v>22.23</v>
      </c>
      <c r="R76" s="194"/>
      <c r="S76" s="194"/>
      <c r="T76" s="194"/>
      <c r="U76" s="194"/>
    </row>
    <row r="77" spans="1:21" s="12" customFormat="1" ht="15">
      <c r="A77" s="207" t="s">
        <v>793</v>
      </c>
      <c r="B77" s="135">
        <v>22.14</v>
      </c>
      <c r="C77" s="135">
        <v>17.05</v>
      </c>
      <c r="D77" s="135">
        <v>39.19</v>
      </c>
      <c r="E77" s="135">
        <v>9.43</v>
      </c>
      <c r="F77" s="135">
        <v>0.72</v>
      </c>
      <c r="G77" s="208" t="s">
        <v>36</v>
      </c>
      <c r="H77" s="135">
        <v>31.97</v>
      </c>
      <c r="I77" s="135">
        <v>6.48</v>
      </c>
      <c r="J77" s="135">
        <v>17.989999999999998</v>
      </c>
      <c r="K77" s="135">
        <v>57.68</v>
      </c>
      <c r="L77" s="135">
        <v>44.90</v>
      </c>
      <c r="M77" s="135">
        <v>72.70</v>
      </c>
      <c r="N77" s="9" t="s">
        <v>36</v>
      </c>
      <c r="O77" s="135">
        <v>0</v>
      </c>
      <c r="P77" s="135">
        <v>3.14</v>
      </c>
      <c r="Q77" s="135">
        <v>21.99</v>
      </c>
      <c r="R77" s="194"/>
      <c r="S77" s="194"/>
      <c r="T77" s="194"/>
      <c r="U77" s="194"/>
    </row>
    <row r="78" spans="1:21" s="12" customFormat="1" ht="15">
      <c r="A78" s="207" t="s">
        <v>794</v>
      </c>
      <c r="B78" s="135">
        <v>22.22</v>
      </c>
      <c r="C78" s="135">
        <v>18.11</v>
      </c>
      <c r="D78" s="135">
        <v>40.33</v>
      </c>
      <c r="E78" s="135">
        <v>9.41</v>
      </c>
      <c r="F78" s="135">
        <v>0.51</v>
      </c>
      <c r="G78" s="208" t="s">
        <v>36</v>
      </c>
      <c r="H78" s="135">
        <v>28.91</v>
      </c>
      <c r="I78" s="135">
        <v>5.77</v>
      </c>
      <c r="J78" s="135">
        <v>19.04</v>
      </c>
      <c r="K78" s="135">
        <v>58.60</v>
      </c>
      <c r="L78" s="135">
        <v>50.98</v>
      </c>
      <c r="M78" s="135">
        <v>73.80</v>
      </c>
      <c r="N78" s="9" t="s">
        <v>36</v>
      </c>
      <c r="O78" s="135">
        <v>0</v>
      </c>
      <c r="P78" s="135">
        <v>3.15</v>
      </c>
      <c r="Q78" s="135">
        <v>22.05</v>
      </c>
      <c r="R78" s="194"/>
      <c r="S78" s="194"/>
      <c r="T78" s="194"/>
      <c r="U78" s="194"/>
    </row>
    <row r="79" spans="1:21" s="12" customFormat="1" ht="15">
      <c r="A79" s="207" t="s">
        <v>795</v>
      </c>
      <c r="B79" s="135">
        <v>23.36</v>
      </c>
      <c r="C79" s="135">
        <v>20.13</v>
      </c>
      <c r="D79" s="135">
        <v>43.48</v>
      </c>
      <c r="E79" s="135">
        <v>9.2100000000000009</v>
      </c>
      <c r="F79" s="135">
        <v>0.44</v>
      </c>
      <c r="G79" s="208" t="s">
        <v>36</v>
      </c>
      <c r="H79" s="135">
        <v>28.91</v>
      </c>
      <c r="I79" s="135">
        <v>6.30</v>
      </c>
      <c r="J79" s="135">
        <v>20.65</v>
      </c>
      <c r="K79" s="135">
        <v>57.19</v>
      </c>
      <c r="L79" s="135">
        <v>17.63</v>
      </c>
      <c r="M79" s="135">
        <v>74.040000000000006</v>
      </c>
      <c r="N79" s="9" t="s">
        <v>36</v>
      </c>
      <c r="O79" s="135">
        <v>0</v>
      </c>
      <c r="P79" s="135">
        <v>3.19</v>
      </c>
      <c r="Q79" s="135">
        <v>22.34</v>
      </c>
      <c r="R79" s="194"/>
      <c r="S79" s="194"/>
      <c r="T79" s="194"/>
      <c r="U79" s="194"/>
    </row>
    <row r="80" spans="1:21" s="12" customFormat="1" ht="15">
      <c r="A80" s="207" t="s">
        <v>796</v>
      </c>
      <c r="B80" s="135">
        <v>22.54</v>
      </c>
      <c r="C80" s="135">
        <v>21.68</v>
      </c>
      <c r="D80" s="135">
        <v>44.22</v>
      </c>
      <c r="E80" s="135">
        <v>9.08</v>
      </c>
      <c r="F80" s="135">
        <v>0.30</v>
      </c>
      <c r="G80" s="208" t="s">
        <v>36</v>
      </c>
      <c r="H80" s="135">
        <v>28.91</v>
      </c>
      <c r="I80" s="135">
        <v>7.13</v>
      </c>
      <c r="J80" s="135">
        <v>20</v>
      </c>
      <c r="K80" s="135">
        <v>57.78</v>
      </c>
      <c r="L80" s="135">
        <v>16.84</v>
      </c>
      <c r="M80" s="135">
        <v>73.81</v>
      </c>
      <c r="N80" s="9" t="s">
        <v>36</v>
      </c>
      <c r="O80" s="135">
        <v>0</v>
      </c>
      <c r="P80" s="135">
        <v>3.18</v>
      </c>
      <c r="Q80" s="135">
        <v>21.93</v>
      </c>
      <c r="R80" s="194"/>
      <c r="S80" s="194"/>
      <c r="T80" s="194"/>
      <c r="U80" s="194"/>
    </row>
    <row r="81" spans="1:21" s="12" customFormat="1" ht="15">
      <c r="A81" s="207" t="s">
        <v>797</v>
      </c>
      <c r="B81" s="135">
        <v>20.36</v>
      </c>
      <c r="C81" s="135">
        <v>22.06</v>
      </c>
      <c r="D81" s="135">
        <v>42.42</v>
      </c>
      <c r="E81" s="135">
        <v>8.2200000000000006</v>
      </c>
      <c r="F81" s="135">
        <v>0.35</v>
      </c>
      <c r="G81" s="208" t="s">
        <v>36</v>
      </c>
      <c r="H81" s="135">
        <v>28.58</v>
      </c>
      <c r="I81" s="135">
        <v>7.54</v>
      </c>
      <c r="J81" s="135">
        <v>17.55</v>
      </c>
      <c r="K81" s="135">
        <v>57.30</v>
      </c>
      <c r="L81" s="135">
        <v>24.04</v>
      </c>
      <c r="M81" s="135">
        <v>74.400000000000006</v>
      </c>
      <c r="N81" s="9" t="s">
        <v>36</v>
      </c>
      <c r="O81" s="135">
        <v>0</v>
      </c>
      <c r="P81" s="135">
        <v>3.16</v>
      </c>
      <c r="Q81" s="135">
        <v>20.93</v>
      </c>
      <c r="R81" s="194"/>
      <c r="S81" s="194"/>
      <c r="T81" s="194"/>
      <c r="U81" s="194"/>
    </row>
    <row r="82" spans="1:21" s="12" customFormat="1" ht="15">
      <c r="A82" s="207" t="s">
        <v>798</v>
      </c>
      <c r="B82" s="135">
        <v>17.91</v>
      </c>
      <c r="C82" s="135">
        <v>22.19</v>
      </c>
      <c r="D82" s="135">
        <v>40.11</v>
      </c>
      <c r="E82" s="135">
        <v>8.25</v>
      </c>
      <c r="F82" s="135">
        <v>0.25</v>
      </c>
      <c r="G82" s="208" t="s">
        <v>36</v>
      </c>
      <c r="H82" s="135">
        <v>27.76</v>
      </c>
      <c r="I82" s="135">
        <v>7.48</v>
      </c>
      <c r="J82" s="135">
        <v>16.47</v>
      </c>
      <c r="K82" s="135">
        <v>57.49</v>
      </c>
      <c r="L82" s="135">
        <v>27.58</v>
      </c>
      <c r="M82" s="135">
        <v>76.02</v>
      </c>
      <c r="N82" s="9" t="s">
        <v>36</v>
      </c>
      <c r="O82" s="135">
        <v>0</v>
      </c>
      <c r="P82" s="135">
        <v>3.13</v>
      </c>
      <c r="Q82" s="135">
        <v>19.690000000000001</v>
      </c>
      <c r="R82" s="194"/>
      <c r="S82" s="194"/>
      <c r="T82" s="194"/>
      <c r="U82" s="194"/>
    </row>
    <row r="83" spans="1:21" s="12" customFormat="1" ht="15">
      <c r="A83" s="207" t="s">
        <v>799</v>
      </c>
      <c r="B83" s="135">
        <v>15.69</v>
      </c>
      <c r="C83" s="135">
        <v>22.10</v>
      </c>
      <c r="D83" s="135">
        <v>37.79</v>
      </c>
      <c r="E83" s="135">
        <v>8.0399999999999991</v>
      </c>
      <c r="F83" s="135">
        <v>0.12</v>
      </c>
      <c r="G83" s="208" t="s">
        <v>36</v>
      </c>
      <c r="H83" s="135">
        <v>27.76</v>
      </c>
      <c r="I83" s="135">
        <v>7.37</v>
      </c>
      <c r="J83" s="135">
        <v>16.04</v>
      </c>
      <c r="K83" s="135">
        <v>57.82</v>
      </c>
      <c r="L83" s="135">
        <v>33.03</v>
      </c>
      <c r="M83" s="135">
        <v>77.31</v>
      </c>
      <c r="N83" s="9" t="s">
        <v>36</v>
      </c>
      <c r="O83" s="135">
        <v>0</v>
      </c>
      <c r="P83" s="135">
        <v>3.11</v>
      </c>
      <c r="Q83" s="135">
        <v>18.739999999999998</v>
      </c>
      <c r="R83" s="194"/>
      <c r="S83" s="194"/>
      <c r="T83" s="194"/>
      <c r="U83" s="194"/>
    </row>
    <row r="84" spans="1:21" s="12" customFormat="1" ht="15">
      <c r="A84" s="207" t="s">
        <v>800</v>
      </c>
      <c r="B84" s="135">
        <v>13.89</v>
      </c>
      <c r="C84" s="135">
        <v>21.42</v>
      </c>
      <c r="D84" s="135">
        <v>35.31</v>
      </c>
      <c r="E84" s="135">
        <v>7.94</v>
      </c>
      <c r="F84" s="135">
        <v>0.18</v>
      </c>
      <c r="G84" s="208" t="s">
        <v>36</v>
      </c>
      <c r="H84" s="135">
        <v>27.76</v>
      </c>
      <c r="I84" s="135">
        <v>7.01</v>
      </c>
      <c r="J84" s="135">
        <v>14.67</v>
      </c>
      <c r="K84" s="135">
        <v>57.25</v>
      </c>
      <c r="L84" s="135">
        <v>42.05</v>
      </c>
      <c r="M84" s="135">
        <v>80.040000000000006</v>
      </c>
      <c r="N84" s="9" t="s">
        <v>36</v>
      </c>
      <c r="O84" s="135">
        <v>0</v>
      </c>
      <c r="P84" s="135">
        <v>3.18</v>
      </c>
      <c r="Q84" s="135">
        <v>18.13</v>
      </c>
      <c r="R84" s="194"/>
      <c r="S84" s="194"/>
      <c r="T84" s="194"/>
      <c r="U84" s="194"/>
    </row>
    <row r="85" spans="1:21" s="12" customFormat="1" ht="15">
      <c r="A85" s="207" t="s">
        <v>801</v>
      </c>
      <c r="B85" s="135">
        <v>13.68</v>
      </c>
      <c r="C85" s="135">
        <v>20.32</v>
      </c>
      <c r="D85" s="135">
        <v>34</v>
      </c>
      <c r="E85" s="135">
        <v>7.96</v>
      </c>
      <c r="F85" s="135">
        <v>0.79</v>
      </c>
      <c r="G85" s="208" t="s">
        <v>36</v>
      </c>
      <c r="H85" s="135">
        <v>26.34</v>
      </c>
      <c r="I85" s="135">
        <v>7.05</v>
      </c>
      <c r="J85" s="135">
        <v>15.56</v>
      </c>
      <c r="K85" s="135">
        <v>58.28</v>
      </c>
      <c r="L85" s="135">
        <v>24.43</v>
      </c>
      <c r="M85" s="135">
        <v>79.650000000000006</v>
      </c>
      <c r="N85" s="9" t="s">
        <v>36</v>
      </c>
      <c r="O85" s="135">
        <v>0</v>
      </c>
      <c r="P85" s="135">
        <v>3.15</v>
      </c>
      <c r="Q85" s="135">
        <v>17.940000000000001</v>
      </c>
      <c r="R85" s="194"/>
      <c r="S85" s="194"/>
      <c r="T85" s="194"/>
      <c r="U85" s="194"/>
    </row>
    <row r="86" spans="1:21" s="12" customFormat="1" ht="15">
      <c r="A86" s="207" t="s">
        <v>802</v>
      </c>
      <c r="B86" s="135">
        <v>13.17</v>
      </c>
      <c r="C86" s="135">
        <v>19.14</v>
      </c>
      <c r="D86" s="135">
        <v>32.31</v>
      </c>
      <c r="E86" s="135">
        <v>8.2100000000000009</v>
      </c>
      <c r="F86" s="135">
        <v>0.79</v>
      </c>
      <c r="G86" s="208" t="s">
        <v>36</v>
      </c>
      <c r="H86" s="135">
        <v>22.85</v>
      </c>
      <c r="I86" s="135">
        <v>7.87</v>
      </c>
      <c r="J86" s="135">
        <v>18.95</v>
      </c>
      <c r="K86" s="135">
        <v>57.79</v>
      </c>
      <c r="L86" s="135">
        <v>28.40</v>
      </c>
      <c r="M86" s="135">
        <v>80.97</v>
      </c>
      <c r="N86" s="9" t="s">
        <v>36</v>
      </c>
      <c r="O86" s="135">
        <v>0</v>
      </c>
      <c r="P86" s="135">
        <v>3.10</v>
      </c>
      <c r="Q86" s="135">
        <v>17.46</v>
      </c>
      <c r="R86" s="194"/>
      <c r="S86" s="194"/>
      <c r="T86" s="194"/>
      <c r="U86" s="194"/>
    </row>
    <row r="87" spans="1:21" s="12" customFormat="1" ht="15">
      <c r="A87" s="207" t="s">
        <v>803</v>
      </c>
      <c r="B87" s="135">
        <v>12.93</v>
      </c>
      <c r="C87" s="135">
        <v>17.95</v>
      </c>
      <c r="D87" s="135">
        <v>30.88</v>
      </c>
      <c r="E87" s="135">
        <v>8.3000000000000007</v>
      </c>
      <c r="F87" s="135">
        <v>0.5</v>
      </c>
      <c r="G87" s="208" t="s">
        <v>36</v>
      </c>
      <c r="H87" s="135">
        <v>22.85</v>
      </c>
      <c r="I87" s="135">
        <v>7.17</v>
      </c>
      <c r="J87" s="135">
        <v>19.350000000000001</v>
      </c>
      <c r="K87" s="135">
        <v>57.19</v>
      </c>
      <c r="L87" s="135">
        <v>28.56</v>
      </c>
      <c r="M87" s="135">
        <v>82.03</v>
      </c>
      <c r="N87" s="9" t="s">
        <v>36</v>
      </c>
      <c r="O87" s="135">
        <v>0</v>
      </c>
      <c r="P87" s="135">
        <v>3.11</v>
      </c>
      <c r="Q87" s="135">
        <v>17.23</v>
      </c>
      <c r="R87" s="194"/>
      <c r="S87" s="194"/>
      <c r="T87" s="194"/>
      <c r="U87" s="194"/>
    </row>
    <row r="88" spans="1:21" s="12" customFormat="1" ht="15">
      <c r="A88" s="207" t="s">
        <v>804</v>
      </c>
      <c r="B88" s="135">
        <v>13.16</v>
      </c>
      <c r="C88" s="135">
        <v>17.12</v>
      </c>
      <c r="D88" s="135">
        <v>30.29</v>
      </c>
      <c r="E88" s="135">
        <v>4.45</v>
      </c>
      <c r="F88" s="135">
        <v>0.82</v>
      </c>
      <c r="G88" s="208" t="s">
        <v>36</v>
      </c>
      <c r="H88" s="135">
        <v>22.85</v>
      </c>
      <c r="I88" s="135">
        <v>7.01</v>
      </c>
      <c r="J88" s="135">
        <v>20.37</v>
      </c>
      <c r="K88" s="135">
        <v>57.31</v>
      </c>
      <c r="L88" s="135">
        <v>37.340000000000003</v>
      </c>
      <c r="M88" s="135">
        <v>83.20</v>
      </c>
      <c r="N88" s="9" t="s">
        <v>36</v>
      </c>
      <c r="O88" s="135">
        <v>0</v>
      </c>
      <c r="P88" s="135">
        <v>3.28</v>
      </c>
      <c r="Q88" s="135">
        <v>17.14</v>
      </c>
      <c r="R88" s="194"/>
      <c r="S88" s="194"/>
      <c r="T88" s="194"/>
      <c r="U88" s="194"/>
    </row>
    <row r="89" spans="1:21" s="12" customFormat="1" ht="15">
      <c r="A89" s="207" t="s">
        <v>805</v>
      </c>
      <c r="B89" s="135">
        <v>14.85</v>
      </c>
      <c r="C89" s="135">
        <v>16.71</v>
      </c>
      <c r="D89" s="135">
        <v>31.56</v>
      </c>
      <c r="E89" s="135">
        <v>8.18</v>
      </c>
      <c r="F89" s="135">
        <v>0.80</v>
      </c>
      <c r="G89" s="208" t="s">
        <v>36</v>
      </c>
      <c r="H89" s="135">
        <v>24.78</v>
      </c>
      <c r="I89" s="135">
        <v>8.39</v>
      </c>
      <c r="J89" s="135">
        <v>22.01</v>
      </c>
      <c r="K89" s="135">
        <v>56.79</v>
      </c>
      <c r="L89" s="135">
        <v>16.79</v>
      </c>
      <c r="M89" s="135">
        <v>85.24</v>
      </c>
      <c r="N89" s="9" t="s">
        <v>36</v>
      </c>
      <c r="O89" s="135">
        <v>0</v>
      </c>
      <c r="P89" s="135">
        <v>3.44</v>
      </c>
      <c r="Q89" s="135">
        <v>17.559999999999999</v>
      </c>
      <c r="R89" s="194"/>
      <c r="S89" s="194"/>
      <c r="T89" s="194"/>
      <c r="U89" s="194"/>
    </row>
    <row r="90" spans="1:21" s="12" customFormat="1" ht="15">
      <c r="A90" s="207" t="s">
        <v>806</v>
      </c>
      <c r="B90" s="135">
        <v>16.41</v>
      </c>
      <c r="C90" s="135">
        <v>16.20</v>
      </c>
      <c r="D90" s="135">
        <v>32.61</v>
      </c>
      <c r="E90" s="135">
        <v>8.77</v>
      </c>
      <c r="F90" s="135">
        <v>0.46</v>
      </c>
      <c r="G90" s="208" t="s">
        <v>36</v>
      </c>
      <c r="H90" s="135">
        <v>29.53</v>
      </c>
      <c r="I90" s="135">
        <v>11.99</v>
      </c>
      <c r="J90" s="135">
        <v>20.059999999999999</v>
      </c>
      <c r="K90" s="135">
        <v>56.96</v>
      </c>
      <c r="L90" s="135">
        <v>35.659999999999997</v>
      </c>
      <c r="M90" s="135">
        <v>84.02</v>
      </c>
      <c r="N90" s="9" t="s">
        <v>36</v>
      </c>
      <c r="O90" s="135">
        <v>0</v>
      </c>
      <c r="P90" s="135">
        <v>3.31</v>
      </c>
      <c r="Q90" s="135">
        <v>17.68</v>
      </c>
      <c r="R90" s="194"/>
      <c r="S90" s="194"/>
      <c r="T90" s="194"/>
      <c r="U90" s="194"/>
    </row>
    <row r="91" spans="1:21" s="12" customFormat="1" ht="15">
      <c r="A91" s="207" t="s">
        <v>807</v>
      </c>
      <c r="B91" s="135">
        <v>16.87</v>
      </c>
      <c r="C91" s="135">
        <v>15.72</v>
      </c>
      <c r="D91" s="135">
        <v>32.60</v>
      </c>
      <c r="E91" s="135">
        <v>8.60</v>
      </c>
      <c r="F91" s="135">
        <v>0.49</v>
      </c>
      <c r="G91" s="208" t="s">
        <v>36</v>
      </c>
      <c r="H91" s="135">
        <v>29.53</v>
      </c>
      <c r="I91" s="135">
        <v>14.65</v>
      </c>
      <c r="J91" s="135">
        <v>21.83</v>
      </c>
      <c r="K91" s="135">
        <v>57.52</v>
      </c>
      <c r="L91" s="135">
        <v>30.84</v>
      </c>
      <c r="M91" s="135">
        <v>84.71</v>
      </c>
      <c r="N91" s="9" t="s">
        <v>36</v>
      </c>
      <c r="O91" s="135">
        <v>0</v>
      </c>
      <c r="P91" s="135">
        <v>3.35</v>
      </c>
      <c r="Q91" s="135">
        <v>17.489999999999998</v>
      </c>
      <c r="R91" s="194"/>
      <c r="S91" s="194"/>
      <c r="T91" s="194"/>
      <c r="U91" s="194"/>
    </row>
    <row r="92" spans="1:21" s="12" customFormat="1" ht="15">
      <c r="A92" s="207" t="s">
        <v>808</v>
      </c>
      <c r="B92" s="135">
        <v>17.149999999999999</v>
      </c>
      <c r="C92" s="135">
        <v>16.03</v>
      </c>
      <c r="D92" s="135">
        <v>33.18</v>
      </c>
      <c r="E92" s="135">
        <v>8.67</v>
      </c>
      <c r="F92" s="135">
        <v>1.01</v>
      </c>
      <c r="G92" s="208" t="s">
        <v>36</v>
      </c>
      <c r="H92" s="135">
        <v>29.53</v>
      </c>
      <c r="I92" s="135">
        <v>13.91</v>
      </c>
      <c r="J92" s="135">
        <v>20.399999999999999</v>
      </c>
      <c r="K92" s="135">
        <v>57.60</v>
      </c>
      <c r="L92" s="135">
        <v>28.93</v>
      </c>
      <c r="M92" s="135">
        <v>83.63</v>
      </c>
      <c r="N92" s="9" t="s">
        <v>36</v>
      </c>
      <c r="O92" s="135">
        <v>0</v>
      </c>
      <c r="P92" s="135">
        <v>3.33</v>
      </c>
      <c r="Q92" s="135">
        <v>17.54</v>
      </c>
      <c r="R92" s="194"/>
      <c r="S92" s="194"/>
      <c r="T92" s="194"/>
      <c r="U92" s="194"/>
    </row>
    <row r="93" spans="1:21" s="12" customFormat="1" ht="15">
      <c r="A93" s="207" t="s">
        <v>809</v>
      </c>
      <c r="B93" s="135">
        <v>16.93</v>
      </c>
      <c r="C93" s="135">
        <v>17.34</v>
      </c>
      <c r="D93" s="135">
        <v>34.270000000000003</v>
      </c>
      <c r="E93" s="135">
        <v>8.90</v>
      </c>
      <c r="F93" s="135">
        <v>0.66</v>
      </c>
      <c r="G93" s="208" t="s">
        <v>36</v>
      </c>
      <c r="H93" s="135">
        <v>30.41</v>
      </c>
      <c r="I93" s="135">
        <v>15.5</v>
      </c>
      <c r="J93" s="135">
        <v>21.16</v>
      </c>
      <c r="K93" s="135">
        <v>57.08</v>
      </c>
      <c r="L93" s="135">
        <v>32.020000000000003</v>
      </c>
      <c r="M93" s="135">
        <v>84.41</v>
      </c>
      <c r="N93" s="9" t="s">
        <v>36</v>
      </c>
      <c r="O93" s="135">
        <v>0</v>
      </c>
      <c r="P93" s="135">
        <v>3.35</v>
      </c>
      <c r="Q93" s="135">
        <v>17.5</v>
      </c>
      <c r="R93" s="194"/>
      <c r="S93" s="194"/>
      <c r="T93" s="194"/>
      <c r="U93" s="194"/>
    </row>
    <row r="94" spans="1:21" s="12" customFormat="1" ht="15">
      <c r="A94" s="207" t="s">
        <v>810</v>
      </c>
      <c r="B94" s="135">
        <v>16.25</v>
      </c>
      <c r="C94" s="135">
        <v>18.12</v>
      </c>
      <c r="D94" s="135">
        <v>34.380000000000003</v>
      </c>
      <c r="E94" s="135">
        <v>8.51</v>
      </c>
      <c r="F94" s="135">
        <v>0.39</v>
      </c>
      <c r="G94" s="208" t="s">
        <v>36</v>
      </c>
      <c r="H94" s="135">
        <v>32.56</v>
      </c>
      <c r="I94" s="135">
        <v>11.99</v>
      </c>
      <c r="J94" s="135">
        <v>18.260000000000002</v>
      </c>
      <c r="K94" s="135">
        <v>58.17</v>
      </c>
      <c r="L94" s="135">
        <v>21.98</v>
      </c>
      <c r="M94" s="135">
        <v>85.02</v>
      </c>
      <c r="N94" s="9" t="s">
        <v>36</v>
      </c>
      <c r="O94" s="135">
        <v>0</v>
      </c>
      <c r="P94" s="135">
        <v>3.36</v>
      </c>
      <c r="Q94" s="135">
        <v>16.87</v>
      </c>
      <c r="R94" s="194"/>
      <c r="S94" s="194"/>
      <c r="T94" s="194"/>
      <c r="U94" s="194"/>
    </row>
    <row r="95" spans="1:21" s="12" customFormat="1" ht="15">
      <c r="A95" s="207" t="s">
        <v>811</v>
      </c>
      <c r="B95" s="135">
        <v>15.29</v>
      </c>
      <c r="C95" s="135">
        <v>18.45</v>
      </c>
      <c r="D95" s="135">
        <v>33.74</v>
      </c>
      <c r="E95" s="135">
        <v>8.41</v>
      </c>
      <c r="F95" s="135">
        <v>0.56000000000000005</v>
      </c>
      <c r="G95" s="208" t="s">
        <v>36</v>
      </c>
      <c r="H95" s="135">
        <v>32.56</v>
      </c>
      <c r="I95" s="135">
        <v>11.90</v>
      </c>
      <c r="J95" s="135">
        <v>16.260000000000002</v>
      </c>
      <c r="K95" s="135">
        <v>56.68</v>
      </c>
      <c r="L95" s="135">
        <v>29.18</v>
      </c>
      <c r="M95" s="135">
        <v>85.88</v>
      </c>
      <c r="N95" s="9" t="s">
        <v>36</v>
      </c>
      <c r="O95" s="135">
        <v>0</v>
      </c>
      <c r="P95" s="135">
        <v>3.35</v>
      </c>
      <c r="Q95" s="135">
        <v>16.25</v>
      </c>
      <c r="R95" s="194"/>
      <c r="S95" s="194"/>
      <c r="T95" s="194"/>
      <c r="U95" s="194"/>
    </row>
    <row r="96" spans="1:26" s="12" customFormat="1" ht="15">
      <c r="A96" s="207" t="s">
        <v>812</v>
      </c>
      <c r="B96" s="135">
        <v>14.11</v>
      </c>
      <c r="C96" s="135">
        <v>18.47</v>
      </c>
      <c r="D96" s="135">
        <v>32.57</v>
      </c>
      <c r="E96" s="135">
        <v>8</v>
      </c>
      <c r="F96" s="135">
        <v>0.27</v>
      </c>
      <c r="G96" s="208" t="s">
        <v>36</v>
      </c>
      <c r="H96" s="135">
        <v>32.56</v>
      </c>
      <c r="I96" s="135">
        <v>11.36</v>
      </c>
      <c r="J96" s="135">
        <v>14.95</v>
      </c>
      <c r="K96" s="135">
        <v>55.51</v>
      </c>
      <c r="L96" s="135">
        <v>26.98</v>
      </c>
      <c r="M96" s="135">
        <v>86.27</v>
      </c>
      <c r="N96" s="9" t="s">
        <v>36</v>
      </c>
      <c r="O96" s="135">
        <v>0</v>
      </c>
      <c r="P96" s="135">
        <v>3.34</v>
      </c>
      <c r="Q96" s="135">
        <v>15.88</v>
      </c>
      <c r="R96" s="194"/>
      <c r="S96" s="194"/>
      <c r="T96" s="194"/>
      <c r="U96" s="194"/>
      <c r="Z96" s="105"/>
    </row>
    <row r="97" spans="1:21" s="12" customFormat="1" ht="15">
      <c r="A97" s="207" t="s">
        <v>813</v>
      </c>
      <c r="B97" s="135">
        <v>12.86</v>
      </c>
      <c r="C97" s="135">
        <v>18.149999999999999</v>
      </c>
      <c r="D97" s="135">
        <v>31</v>
      </c>
      <c r="E97" s="135">
        <v>7.94</v>
      </c>
      <c r="F97" s="135">
        <v>0.16</v>
      </c>
      <c r="G97" s="208" t="s">
        <v>36</v>
      </c>
      <c r="H97" s="135">
        <v>31.58</v>
      </c>
      <c r="I97" s="135">
        <v>11.45</v>
      </c>
      <c r="J97" s="135">
        <v>16.25</v>
      </c>
      <c r="K97" s="135">
        <v>55.25</v>
      </c>
      <c r="L97" s="135">
        <v>37.979999999999997</v>
      </c>
      <c r="M97" s="135">
        <v>86.04</v>
      </c>
      <c r="N97" s="9" t="s">
        <v>36</v>
      </c>
      <c r="O97" s="135">
        <v>0</v>
      </c>
      <c r="P97" s="135">
        <v>3.33</v>
      </c>
      <c r="Q97" s="135">
        <v>15.48</v>
      </c>
      <c r="R97" s="194"/>
      <c r="S97" s="194"/>
      <c r="T97" s="194"/>
      <c r="U97" s="194"/>
    </row>
    <row r="98" spans="1:21" s="12" customFormat="1" ht="15">
      <c r="A98" s="207" t="s">
        <v>814</v>
      </c>
      <c r="B98" s="135">
        <v>11.64</v>
      </c>
      <c r="C98" s="135">
        <v>17.70</v>
      </c>
      <c r="D98" s="135">
        <v>29.34</v>
      </c>
      <c r="E98" s="135">
        <v>8.15</v>
      </c>
      <c r="F98" s="135">
        <v>0.13</v>
      </c>
      <c r="G98" s="208" t="s">
        <v>36</v>
      </c>
      <c r="H98" s="135">
        <v>29.16</v>
      </c>
      <c r="I98" s="135">
        <v>11.25</v>
      </c>
      <c r="J98" s="135">
        <v>20.32</v>
      </c>
      <c r="K98" s="135">
        <v>55.54</v>
      </c>
      <c r="L98" s="135">
        <v>32.26</v>
      </c>
      <c r="M98" s="135">
        <v>85.96</v>
      </c>
      <c r="N98" s="9" t="s">
        <v>36</v>
      </c>
      <c r="O98" s="135">
        <v>0</v>
      </c>
      <c r="P98" s="135">
        <v>3.31</v>
      </c>
      <c r="Q98" s="135">
        <v>15.07</v>
      </c>
      <c r="R98" s="194"/>
      <c r="S98" s="194"/>
      <c r="T98" s="194"/>
      <c r="U98" s="194"/>
    </row>
    <row r="99" spans="1:21" s="12" customFormat="1" ht="15">
      <c r="A99" s="207" t="s">
        <v>815</v>
      </c>
      <c r="B99" s="135">
        <v>10.65</v>
      </c>
      <c r="C99" s="135">
        <v>17.649999999999999</v>
      </c>
      <c r="D99" s="135">
        <v>28.31</v>
      </c>
      <c r="E99" s="135">
        <v>7.85</v>
      </c>
      <c r="F99" s="135">
        <v>0.08</v>
      </c>
      <c r="G99" s="208" t="s">
        <v>36</v>
      </c>
      <c r="H99" s="135">
        <v>29.16</v>
      </c>
      <c r="I99" s="135">
        <v>10.72</v>
      </c>
      <c r="J99" s="135">
        <v>20.52</v>
      </c>
      <c r="K99" s="135">
        <v>56.30</v>
      </c>
      <c r="L99" s="135">
        <v>26.12</v>
      </c>
      <c r="M99" s="135">
        <v>86.93</v>
      </c>
      <c r="N99" s="9" t="s">
        <v>36</v>
      </c>
      <c r="O99" s="135">
        <v>0</v>
      </c>
      <c r="P99" s="135">
        <v>3.24</v>
      </c>
      <c r="Q99" s="135">
        <v>14.93</v>
      </c>
      <c r="R99" s="194"/>
      <c r="S99" s="194"/>
      <c r="T99" s="194"/>
      <c r="U99" s="194"/>
    </row>
    <row r="100" spans="1:33" s="12" customFormat="1" ht="15">
      <c r="A100" s="207" t="s">
        <v>816</v>
      </c>
      <c r="B100" s="135">
        <v>10.01</v>
      </c>
      <c r="C100" s="135">
        <v>16.28</v>
      </c>
      <c r="D100" s="135">
        <v>26.29</v>
      </c>
      <c r="E100" s="135">
        <v>7.87</v>
      </c>
      <c r="F100" s="135">
        <v>0.26</v>
      </c>
      <c r="G100" s="208" t="s">
        <v>36</v>
      </c>
      <c r="H100" s="135">
        <v>29.16</v>
      </c>
      <c r="I100" s="135">
        <v>10.050000000000001</v>
      </c>
      <c r="J100" s="135">
        <v>20.149999999999999</v>
      </c>
      <c r="K100" s="135">
        <v>56.13</v>
      </c>
      <c r="L100" s="135">
        <v>28.36</v>
      </c>
      <c r="M100" s="135">
        <v>86.78</v>
      </c>
      <c r="N100" s="9" t="s">
        <v>36</v>
      </c>
      <c r="O100" s="135">
        <v>0</v>
      </c>
      <c r="P100" s="135">
        <v>3.21</v>
      </c>
      <c r="Q100" s="135">
        <v>14.75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817</v>
      </c>
      <c r="B101" s="135">
        <v>9.4700000000000006</v>
      </c>
      <c r="C101" s="135">
        <v>14.87</v>
      </c>
      <c r="D101" s="135">
        <v>24.34</v>
      </c>
      <c r="E101" s="135">
        <v>8.11</v>
      </c>
      <c r="F101" s="135">
        <v>0.52</v>
      </c>
      <c r="G101" s="208" t="s">
        <v>36</v>
      </c>
      <c r="H101" s="135">
        <v>26.66</v>
      </c>
      <c r="I101" s="135">
        <v>8.1999999999999993</v>
      </c>
      <c r="J101" s="135">
        <v>25.32</v>
      </c>
      <c r="K101" s="135">
        <v>55.03</v>
      </c>
      <c r="L101" s="135">
        <v>28.60</v>
      </c>
      <c r="M101" s="135">
        <v>86.98</v>
      </c>
      <c r="N101" s="9" t="s">
        <v>36</v>
      </c>
      <c r="O101" s="135">
        <v>0</v>
      </c>
      <c r="P101" s="135">
        <v>3.16</v>
      </c>
      <c r="Q101" s="135">
        <v>14.66</v>
      </c>
      <c r="R101" s="194"/>
      <c r="S101" s="194"/>
      <c r="T101" s="194"/>
      <c r="U101" s="194"/>
    </row>
    <row r="102" spans="1:21" s="12" customFormat="1" ht="15">
      <c r="A102" s="207" t="s">
        <v>818</v>
      </c>
      <c r="B102" s="135">
        <v>8.98</v>
      </c>
      <c r="C102" s="135">
        <v>13.88</v>
      </c>
      <c r="D102" s="135">
        <v>22.86</v>
      </c>
      <c r="E102" s="135">
        <v>8.15</v>
      </c>
      <c r="F102" s="135">
        <v>0.59</v>
      </c>
      <c r="G102" s="208" t="s">
        <v>36</v>
      </c>
      <c r="H102" s="135">
        <v>20.5</v>
      </c>
      <c r="I102" s="135">
        <v>7.82</v>
      </c>
      <c r="J102" s="135">
        <v>23.45</v>
      </c>
      <c r="K102" s="135">
        <v>55.5</v>
      </c>
      <c r="L102" s="135">
        <v>35.42</v>
      </c>
      <c r="M102" s="135">
        <v>87.26</v>
      </c>
      <c r="N102" s="9" t="s">
        <v>36</v>
      </c>
      <c r="O102" s="135">
        <v>0</v>
      </c>
      <c r="P102" s="135">
        <v>3.15</v>
      </c>
      <c r="Q102" s="135">
        <v>14.58</v>
      </c>
      <c r="R102" s="194"/>
      <c r="S102" s="194"/>
      <c r="T102" s="194"/>
      <c r="U102" s="194"/>
    </row>
    <row r="103" spans="1:21" s="12" customFormat="1" ht="15">
      <c r="A103" s="207" t="s">
        <v>819</v>
      </c>
      <c r="B103" s="135">
        <v>8.40</v>
      </c>
      <c r="C103" s="135">
        <v>12.99</v>
      </c>
      <c r="D103" s="135">
        <v>21.39</v>
      </c>
      <c r="E103" s="135">
        <v>8.17</v>
      </c>
      <c r="F103" s="135">
        <v>0.42</v>
      </c>
      <c r="G103" s="208" t="s">
        <v>36</v>
      </c>
      <c r="H103" s="135">
        <v>20.5</v>
      </c>
      <c r="I103" s="135">
        <v>6.30</v>
      </c>
      <c r="J103" s="135">
        <v>23.69</v>
      </c>
      <c r="K103" s="135">
        <v>56.16</v>
      </c>
      <c r="L103" s="135">
        <v>27.30</v>
      </c>
      <c r="M103" s="135">
        <v>87.82</v>
      </c>
      <c r="N103" s="9" t="s">
        <v>36</v>
      </c>
      <c r="O103" s="135">
        <v>0</v>
      </c>
      <c r="P103" s="135">
        <v>3.10</v>
      </c>
      <c r="Q103" s="135">
        <v>14.34</v>
      </c>
      <c r="R103" s="194"/>
      <c r="S103" s="194"/>
      <c r="T103" s="194"/>
      <c r="U103" s="194"/>
    </row>
    <row r="104" spans="1:21" s="12" customFormat="1" ht="15">
      <c r="A104" s="209" t="s">
        <v>820</v>
      </c>
      <c r="B104" s="210">
        <v>8.01</v>
      </c>
      <c r="C104" s="210">
        <v>12.14</v>
      </c>
      <c r="D104" s="210">
        <v>20.16</v>
      </c>
      <c r="E104" s="210">
        <v>3.74</v>
      </c>
      <c r="F104" s="210">
        <v>0.46</v>
      </c>
      <c r="G104" s="211" t="s">
        <v>36</v>
      </c>
      <c r="H104" s="210">
        <v>20.5</v>
      </c>
      <c r="I104" s="210">
        <v>6.92</v>
      </c>
      <c r="J104" s="210">
        <v>22.46</v>
      </c>
      <c r="K104" s="210">
        <v>55.81</v>
      </c>
      <c r="L104" s="210">
        <v>24.28</v>
      </c>
      <c r="M104" s="210">
        <v>88.75</v>
      </c>
      <c r="N104" s="9" t="s">
        <v>36</v>
      </c>
      <c r="O104" s="210">
        <v>0</v>
      </c>
      <c r="P104" s="210">
        <v>3.10</v>
      </c>
      <c r="Q104" s="210">
        <v>14.04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1.9199999999999999</v>
      </c>
      <c r="C106" s="67">
        <f>MIN(C9:C104)</f>
        <v>5.3799999999999999</v>
      </c>
      <c r="D106" s="67">
        <f t="shared" si="0" ref="D106:Q106">MIN(D9:D104)</f>
        <v>8.6899999999999995</v>
      </c>
      <c r="E106" s="67">
        <f t="shared" si="0"/>
        <v>3.1899999999999999</v>
      </c>
      <c r="F106" s="67">
        <f t="shared" si="0"/>
        <v>0.01</v>
      </c>
      <c r="G106" s="67">
        <f t="shared" si="0"/>
        <v>0</v>
      </c>
      <c r="H106" s="67">
        <f t="shared" si="0"/>
        <v>3.9500000000000002</v>
      </c>
      <c r="I106" s="67">
        <f t="shared" si="0"/>
        <v>3.04</v>
      </c>
      <c r="J106" s="67">
        <f t="shared" si="0"/>
        <v>11.050000000000001</v>
      </c>
      <c r="K106" s="67">
        <f t="shared" si="0"/>
        <v>54.719999999999999</v>
      </c>
      <c r="L106" s="67">
        <f t="shared" si="0"/>
        <v>7.0099999999999998</v>
      </c>
      <c r="M106" s="67">
        <f t="shared" si="0"/>
        <v>65.620000000000005</v>
      </c>
      <c r="N106" s="67">
        <f t="shared" si="0"/>
        <v>0</v>
      </c>
      <c r="O106" s="67">
        <f t="shared" si="0"/>
        <v>0</v>
      </c>
      <c r="P106" s="67">
        <f t="shared" si="0"/>
        <v>2.3300000000000001</v>
      </c>
      <c r="Q106" s="67">
        <f t="shared" si="0"/>
        <v>14.039999999999999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37.530000000000001</v>
      </c>
      <c r="C107" s="66">
        <f t="shared" si="1" ref="C107:Q107">MAX(C9:C104)</f>
        <v>22.190000000000001</v>
      </c>
      <c r="D107" s="66">
        <f t="shared" si="1"/>
        <v>54.030000000000001</v>
      </c>
      <c r="E107" s="66">
        <f t="shared" si="1"/>
        <v>10.1</v>
      </c>
      <c r="F107" s="66">
        <f t="shared" si="1"/>
        <v>1.01</v>
      </c>
      <c r="G107" s="66">
        <f t="shared" si="1"/>
        <v>0</v>
      </c>
      <c r="H107" s="66">
        <f t="shared" si="1"/>
        <v>33.210000000000001</v>
      </c>
      <c r="I107" s="66">
        <f t="shared" si="1"/>
        <v>15.5</v>
      </c>
      <c r="J107" s="66">
        <f t="shared" si="1"/>
        <v>42.670000000000002</v>
      </c>
      <c r="K107" s="66">
        <f t="shared" si="1"/>
        <v>74.359999999999999</v>
      </c>
      <c r="L107" s="66">
        <f t="shared" si="1"/>
        <v>60.539999999999999</v>
      </c>
      <c r="M107" s="66">
        <f t="shared" si="1"/>
        <v>94.439999999999998</v>
      </c>
      <c r="N107" s="66">
        <f t="shared" si="1"/>
        <v>0</v>
      </c>
      <c r="O107" s="66">
        <f t="shared" si="1"/>
        <v>0.80000000000000004</v>
      </c>
      <c r="P107" s="66">
        <f t="shared" si="1"/>
        <v>3.4399999999999999</v>
      </c>
      <c r="Q107" s="66">
        <f t="shared" si="1"/>
        <v>28.399999999999999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15.339895833333337</v>
      </c>
      <c r="C108" s="67">
        <f t="shared" si="2" ref="C108:Q108">AVERAGE(C9:C104)</f>
        <v>13.735312499999999</v>
      </c>
      <c r="D108" s="67">
        <f t="shared" si="2"/>
        <v>29.076145833333328</v>
      </c>
      <c r="E108" s="67">
        <f t="shared" si="2"/>
        <v>7.9575000000000022</v>
      </c>
      <c r="F108" s="67">
        <f t="shared" si="2"/>
        <v>0.46041666666666664</v>
      </c>
      <c r="G108" s="67" t="e">
        <f t="shared" si="2"/>
        <v>#DIV/0!</v>
      </c>
      <c r="H108" s="67">
        <f t="shared" si="2"/>
        <v>18.257604166666667</v>
      </c>
      <c r="I108" s="67">
        <f t="shared" si="2"/>
        <v>6.3823958333333346</v>
      </c>
      <c r="J108" s="67">
        <f t="shared" si="2"/>
        <v>18.293645833333333</v>
      </c>
      <c r="K108" s="67">
        <f t="shared" si="2"/>
        <v>58.857812499999994</v>
      </c>
      <c r="L108" s="67">
        <f t="shared" si="2"/>
        <v>35.083263157894756</v>
      </c>
      <c r="M108" s="67">
        <f t="shared" si="2"/>
        <v>85.414166666666688</v>
      </c>
      <c r="N108" s="67" t="e">
        <f t="shared" si="2"/>
        <v>#DIV/0!</v>
      </c>
      <c r="O108" s="67">
        <f t="shared" si="2"/>
        <v>0.022916666666666669</v>
      </c>
      <c r="P108" s="67">
        <f t="shared" si="2"/>
        <v>2.8655208333333348</v>
      </c>
      <c r="Q108" s="67">
        <f t="shared" si="2"/>
        <v>20.846875000000001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11.254267540971817</v>
      </c>
      <c r="C109" s="67">
        <f t="shared" si="3" ref="C109:Q109">STDEV(C9:C104)</f>
        <v>4.8837854069682143</v>
      </c>
      <c r="D109" s="67">
        <f t="shared" si="3"/>
        <v>14.975312130639807</v>
      </c>
      <c r="E109" s="67">
        <f t="shared" si="3"/>
        <v>1.2985408815484381</v>
      </c>
      <c r="F109" s="67">
        <f t="shared" si="3"/>
        <v>0.22695196183874722</v>
      </c>
      <c r="G109" s="67" t="e">
        <f t="shared" si="3"/>
        <v>#DIV/0!</v>
      </c>
      <c r="H109" s="67">
        <f t="shared" si="3"/>
        <v>10.250927223251736</v>
      </c>
      <c r="I109" s="67">
        <f t="shared" si="3"/>
        <v>2.6434995723538641</v>
      </c>
      <c r="J109" s="67">
        <f t="shared" si="3"/>
        <v>6.9464068894102091</v>
      </c>
      <c r="K109" s="67">
        <f t="shared" si="3"/>
        <v>3.4079993214494637</v>
      </c>
      <c r="L109" s="67">
        <f t="shared" si="3"/>
        <v>14.515583514638161</v>
      </c>
      <c r="M109" s="67">
        <f t="shared" si="3"/>
        <v>7.8415988792118245</v>
      </c>
      <c r="N109" s="67" t="e">
        <f t="shared" si="3"/>
        <v>#DIV/0!</v>
      </c>
      <c r="O109" s="67">
        <f t="shared" si="3"/>
        <v>0.095673971235283359</v>
      </c>
      <c r="P109" s="67">
        <f t="shared" si="3"/>
        <v>0.37858425966573978</v>
      </c>
      <c r="Q109" s="67">
        <f t="shared" si="3"/>
        <v>3.9008904010562313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v>96</v>
      </c>
      <c r="H110" s="66">
        <v>96</v>
      </c>
      <c r="I110" s="66">
        <v>96</v>
      </c>
      <c r="J110" s="66">
        <v>96</v>
      </c>
      <c r="K110" s="66">
        <f t="shared" si="4"/>
        <v>96</v>
      </c>
      <c r="L110" s="66">
        <f t="shared" si="4"/>
        <v>95</v>
      </c>
      <c r="M110" s="66">
        <f t="shared" si="4"/>
        <v>96</v>
      </c>
      <c r="N110" s="66">
        <f>COUNT(N9:N104)+96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628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2d6f67-0ff1-48b6-a328-d3902431f434}">
  <sheetPr codeName=""/>
  <dimension ref="A1:AG117"/>
  <sheetViews>
    <sheetView workbookViewId="0" topLeftCell="A1">
      <pane xSplit="1" ySplit="8" topLeftCell="C1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07-07-2022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821</v>
      </c>
      <c r="B9" s="135">
        <v>7.65</v>
      </c>
      <c r="C9" s="135">
        <v>11.32</v>
      </c>
      <c r="D9" s="135">
        <v>18.96</v>
      </c>
      <c r="E9" s="135">
        <v>7.59</v>
      </c>
      <c r="F9" s="135">
        <v>0.61</v>
      </c>
      <c r="G9" s="208" t="s">
        <v>36</v>
      </c>
      <c r="H9" s="135">
        <v>18.87</v>
      </c>
      <c r="I9" s="135">
        <v>6.29</v>
      </c>
      <c r="J9" s="135">
        <v>22.95</v>
      </c>
      <c r="K9" s="135">
        <v>55.29</v>
      </c>
      <c r="L9" s="135">
        <v>20.59</v>
      </c>
      <c r="M9" s="135">
        <v>88.98</v>
      </c>
      <c r="N9" s="9" t="s">
        <v>36</v>
      </c>
      <c r="O9" s="135">
        <v>0</v>
      </c>
      <c r="P9" s="135">
        <v>3.05</v>
      </c>
      <c r="Q9" s="135">
        <v>13.64</v>
      </c>
      <c r="R9" s="194"/>
      <c r="S9" s="194"/>
      <c r="T9" s="194"/>
      <c r="U9" s="194"/>
    </row>
    <row r="10" spans="1:21" s="12" customFormat="1" ht="15">
      <c r="A10" s="207" t="s">
        <v>822</v>
      </c>
      <c r="B10" s="135">
        <v>7.26</v>
      </c>
      <c r="C10" s="135">
        <v>11</v>
      </c>
      <c r="D10" s="135">
        <v>18.260000000000002</v>
      </c>
      <c r="E10" s="135">
        <v>7.72</v>
      </c>
      <c r="F10" s="135">
        <v>0.55000000000000004</v>
      </c>
      <c r="G10" s="208" t="s">
        <v>36</v>
      </c>
      <c r="H10" s="135">
        <v>14.84</v>
      </c>
      <c r="I10" s="135">
        <v>7.31</v>
      </c>
      <c r="J10" s="135">
        <v>21.96</v>
      </c>
      <c r="K10" s="135">
        <v>55.67</v>
      </c>
      <c r="L10" s="135">
        <v>29.63</v>
      </c>
      <c r="M10" s="135">
        <v>88.96</v>
      </c>
      <c r="N10" s="9" t="s">
        <v>36</v>
      </c>
      <c r="O10" s="135">
        <v>0</v>
      </c>
      <c r="P10" s="135">
        <v>3</v>
      </c>
      <c r="Q10" s="135">
        <v>13.10</v>
      </c>
      <c r="R10" s="194"/>
      <c r="S10" s="194"/>
      <c r="T10" s="194"/>
      <c r="U10" s="194"/>
    </row>
    <row r="11" spans="1:21" s="12" customFormat="1" ht="15">
      <c r="A11" s="207" t="s">
        <v>823</v>
      </c>
      <c r="B11" s="135">
        <v>6.71</v>
      </c>
      <c r="C11" s="135">
        <v>10.61</v>
      </c>
      <c r="D11" s="135">
        <v>17.32</v>
      </c>
      <c r="E11" s="135">
        <v>7.46</v>
      </c>
      <c r="F11" s="135">
        <v>0.69</v>
      </c>
      <c r="G11" s="208" t="s">
        <v>36</v>
      </c>
      <c r="H11" s="135">
        <v>14.84</v>
      </c>
      <c r="I11" s="135">
        <v>6.60</v>
      </c>
      <c r="J11" s="135">
        <v>20.29</v>
      </c>
      <c r="K11" s="135">
        <v>55.11</v>
      </c>
      <c r="L11" s="135">
        <v>31.21</v>
      </c>
      <c r="M11" s="135">
        <v>89.41</v>
      </c>
      <c r="N11" s="9" t="s">
        <v>36</v>
      </c>
      <c r="O11" s="135">
        <v>0</v>
      </c>
      <c r="P11" s="135">
        <v>3.01</v>
      </c>
      <c r="Q11" s="135">
        <v>12.55</v>
      </c>
      <c r="R11" s="194"/>
      <c r="S11" s="194"/>
      <c r="T11" s="194"/>
      <c r="U11" s="194"/>
    </row>
    <row r="12" spans="1:21" s="12" customFormat="1" ht="15">
      <c r="A12" s="207" t="s">
        <v>824</v>
      </c>
      <c r="B12" s="135">
        <v>5.98</v>
      </c>
      <c r="C12" s="135">
        <v>10.44</v>
      </c>
      <c r="D12" s="135">
        <v>16.420000000000002</v>
      </c>
      <c r="E12" s="135">
        <v>7.39</v>
      </c>
      <c r="F12" s="135">
        <v>0.32</v>
      </c>
      <c r="G12" s="208" t="s">
        <v>36</v>
      </c>
      <c r="H12" s="135">
        <v>14.84</v>
      </c>
      <c r="I12" s="135">
        <v>6.43</v>
      </c>
      <c r="J12" s="135">
        <v>21.20</v>
      </c>
      <c r="K12" s="135">
        <v>55</v>
      </c>
      <c r="L12" s="135">
        <v>24.34</v>
      </c>
      <c r="M12" s="135">
        <v>89.59</v>
      </c>
      <c r="N12" s="9" t="s">
        <v>36</v>
      </c>
      <c r="O12" s="135">
        <v>0</v>
      </c>
      <c r="P12" s="135">
        <v>2.96</v>
      </c>
      <c r="Q12" s="135">
        <v>12.04</v>
      </c>
      <c r="R12" s="194"/>
      <c r="S12" s="194"/>
      <c r="T12" s="194"/>
      <c r="U12" s="194"/>
    </row>
    <row r="13" spans="1:21" s="12" customFormat="1" ht="15">
      <c r="A13" s="207" t="s">
        <v>825</v>
      </c>
      <c r="B13" s="135">
        <v>5.31</v>
      </c>
      <c r="C13" s="135">
        <v>10.09</v>
      </c>
      <c r="D13" s="135">
        <v>15.40</v>
      </c>
      <c r="E13" s="135">
        <v>7.30</v>
      </c>
      <c r="F13" s="135">
        <v>0.47</v>
      </c>
      <c r="G13" s="208" t="s">
        <v>36</v>
      </c>
      <c r="H13" s="135">
        <v>14.13</v>
      </c>
      <c r="I13" s="135">
        <v>8.4499999999999993</v>
      </c>
      <c r="J13" s="135">
        <v>21.61</v>
      </c>
      <c r="K13" s="135">
        <v>54.61</v>
      </c>
      <c r="L13" s="135">
        <v>19.5</v>
      </c>
      <c r="M13" s="135">
        <v>89.43</v>
      </c>
      <c r="N13" s="9" t="s">
        <v>36</v>
      </c>
      <c r="O13" s="135">
        <v>0</v>
      </c>
      <c r="P13" s="135">
        <v>2.91</v>
      </c>
      <c r="Q13" s="135">
        <v>11.42</v>
      </c>
      <c r="R13" s="194"/>
      <c r="S13" s="194"/>
      <c r="T13" s="194"/>
      <c r="U13" s="194"/>
    </row>
    <row r="14" spans="1:21" s="12" customFormat="1" ht="15">
      <c r="A14" s="207" t="s">
        <v>826</v>
      </c>
      <c r="B14" s="135">
        <v>4.71</v>
      </c>
      <c r="C14" s="135">
        <v>10.210000000000001</v>
      </c>
      <c r="D14" s="135">
        <v>14.91</v>
      </c>
      <c r="E14" s="135">
        <v>7.45</v>
      </c>
      <c r="F14" s="135">
        <v>0.36</v>
      </c>
      <c r="G14" s="208" t="s">
        <v>36</v>
      </c>
      <c r="H14" s="135">
        <v>12.40</v>
      </c>
      <c r="I14" s="135">
        <v>7.91</v>
      </c>
      <c r="J14" s="135">
        <v>19.07</v>
      </c>
      <c r="K14" s="135">
        <v>54.59</v>
      </c>
      <c r="L14" s="135">
        <v>29.62</v>
      </c>
      <c r="M14" s="135">
        <v>89.22</v>
      </c>
      <c r="N14" s="9" t="s">
        <v>36</v>
      </c>
      <c r="O14" s="135">
        <v>0</v>
      </c>
      <c r="P14" s="135">
        <v>2.86</v>
      </c>
      <c r="Q14" s="135">
        <v>10.86</v>
      </c>
      <c r="R14" s="194"/>
      <c r="S14" s="194"/>
      <c r="T14" s="194"/>
      <c r="U14" s="194"/>
    </row>
    <row r="15" spans="1:21" s="12" customFormat="1" ht="15">
      <c r="A15" s="207" t="s">
        <v>827</v>
      </c>
      <c r="B15" s="135">
        <v>4.21</v>
      </c>
      <c r="C15" s="135">
        <v>9.94</v>
      </c>
      <c r="D15" s="135">
        <v>14.15</v>
      </c>
      <c r="E15" s="135">
        <v>7.63</v>
      </c>
      <c r="F15" s="135">
        <v>0.38</v>
      </c>
      <c r="G15" s="208" t="s">
        <v>36</v>
      </c>
      <c r="H15" s="135">
        <v>12.40</v>
      </c>
      <c r="I15" s="135">
        <v>7.94</v>
      </c>
      <c r="J15" s="135">
        <v>12.84</v>
      </c>
      <c r="K15" s="135">
        <v>55.70</v>
      </c>
      <c r="L15" s="135">
        <v>20.60</v>
      </c>
      <c r="M15" s="135">
        <v>89.21</v>
      </c>
      <c r="N15" s="9" t="s">
        <v>36</v>
      </c>
      <c r="O15" s="135">
        <v>0</v>
      </c>
      <c r="P15" s="135">
        <v>2.82</v>
      </c>
      <c r="Q15" s="135">
        <v>10.41</v>
      </c>
      <c r="R15" s="194"/>
      <c r="S15" s="194"/>
      <c r="T15" s="194"/>
      <c r="U15" s="194"/>
    </row>
    <row r="16" spans="1:21" s="12" customFormat="1" ht="15">
      <c r="A16" s="207" t="s">
        <v>828</v>
      </c>
      <c r="B16" s="135">
        <v>3.77</v>
      </c>
      <c r="C16" s="135">
        <v>9.8800000000000008</v>
      </c>
      <c r="D16" s="135">
        <v>13.64</v>
      </c>
      <c r="E16" s="135">
        <v>7.40</v>
      </c>
      <c r="F16" s="135">
        <v>0.47</v>
      </c>
      <c r="G16" s="208" t="s">
        <v>36</v>
      </c>
      <c r="H16" s="135">
        <v>12.40</v>
      </c>
      <c r="I16" s="135">
        <v>7.51</v>
      </c>
      <c r="J16" s="135">
        <v>14.20</v>
      </c>
      <c r="K16" s="135">
        <v>57.38</v>
      </c>
      <c r="L16" s="135">
        <v>19.690000000000001</v>
      </c>
      <c r="M16" s="135">
        <v>89.71</v>
      </c>
      <c r="N16" s="9" t="s">
        <v>36</v>
      </c>
      <c r="O16" s="135">
        <v>0</v>
      </c>
      <c r="P16" s="135">
        <v>2.78</v>
      </c>
      <c r="Q16" s="135">
        <v>10.17</v>
      </c>
      <c r="R16" s="194"/>
      <c r="S16" s="194"/>
      <c r="T16" s="194"/>
      <c r="U16" s="194"/>
    </row>
    <row r="17" spans="1:21" s="12" customFormat="1" ht="15">
      <c r="A17" s="207" t="s">
        <v>829</v>
      </c>
      <c r="B17" s="135">
        <v>3.37</v>
      </c>
      <c r="C17" s="135">
        <v>9.6199999999999992</v>
      </c>
      <c r="D17" s="135">
        <v>12.98</v>
      </c>
      <c r="E17" s="135">
        <v>7.06</v>
      </c>
      <c r="F17" s="135">
        <v>0.37</v>
      </c>
      <c r="G17" s="208" t="s">
        <v>36</v>
      </c>
      <c r="H17" s="135">
        <v>12.76</v>
      </c>
      <c r="I17" s="135">
        <v>7.20</v>
      </c>
      <c r="J17" s="135">
        <v>13.03</v>
      </c>
      <c r="K17" s="135">
        <v>56.77</v>
      </c>
      <c r="L17" s="135">
        <v>19.20</v>
      </c>
      <c r="M17" s="135">
        <v>89</v>
      </c>
      <c r="N17" s="9" t="s">
        <v>36</v>
      </c>
      <c r="O17" s="135">
        <v>0</v>
      </c>
      <c r="P17" s="135">
        <v>2.73</v>
      </c>
      <c r="Q17" s="135">
        <v>10.06</v>
      </c>
      <c r="R17" s="194"/>
      <c r="S17" s="194"/>
      <c r="T17" s="194"/>
      <c r="U17" s="194"/>
    </row>
    <row r="18" spans="1:21" s="12" customFormat="1" ht="15">
      <c r="A18" s="207" t="s">
        <v>830</v>
      </c>
      <c r="B18" s="135">
        <v>3.25</v>
      </c>
      <c r="C18" s="135">
        <v>9.2899999999999991</v>
      </c>
      <c r="D18" s="135">
        <v>12.54</v>
      </c>
      <c r="E18" s="135">
        <v>7.29</v>
      </c>
      <c r="F18" s="135">
        <v>0.26</v>
      </c>
      <c r="G18" s="208" t="s">
        <v>36</v>
      </c>
      <c r="H18" s="135">
        <v>13.72</v>
      </c>
      <c r="I18" s="135">
        <v>6.63</v>
      </c>
      <c r="J18" s="135">
        <v>14.42</v>
      </c>
      <c r="K18" s="135">
        <v>55.22</v>
      </c>
      <c r="L18" s="135">
        <v>30.55</v>
      </c>
      <c r="M18" s="135">
        <v>89.12</v>
      </c>
      <c r="N18" s="9" t="s">
        <v>36</v>
      </c>
      <c r="O18" s="135">
        <v>0</v>
      </c>
      <c r="P18" s="135">
        <v>2.69</v>
      </c>
      <c r="Q18" s="135">
        <v>9.9600000000000009</v>
      </c>
      <c r="R18" s="194"/>
      <c r="S18" s="194"/>
      <c r="T18" s="194"/>
      <c r="U18" s="194"/>
    </row>
    <row r="19" spans="1:21" s="12" customFormat="1" ht="15">
      <c r="A19" s="207" t="s">
        <v>831</v>
      </c>
      <c r="B19" s="135">
        <v>3.30</v>
      </c>
      <c r="C19" s="135">
        <v>8.7100000000000009</v>
      </c>
      <c r="D19" s="135">
        <v>12.02</v>
      </c>
      <c r="E19" s="135">
        <v>7.78</v>
      </c>
      <c r="F19" s="135">
        <v>0.45</v>
      </c>
      <c r="G19" s="208" t="s">
        <v>36</v>
      </c>
      <c r="H19" s="135">
        <v>13.72</v>
      </c>
      <c r="I19" s="135">
        <v>5.80</v>
      </c>
      <c r="J19" s="135">
        <v>14.68</v>
      </c>
      <c r="K19" s="135">
        <v>57.19</v>
      </c>
      <c r="L19" s="135">
        <v>21.63</v>
      </c>
      <c r="M19" s="135">
        <v>88.21</v>
      </c>
      <c r="N19" s="9" t="s">
        <v>36</v>
      </c>
      <c r="O19" s="135">
        <v>0</v>
      </c>
      <c r="P19" s="135">
        <v>2.68</v>
      </c>
      <c r="Q19" s="135">
        <v>9.85</v>
      </c>
      <c r="R19" s="194"/>
      <c r="S19" s="194"/>
      <c r="T19" s="194"/>
      <c r="U19" s="194"/>
    </row>
    <row r="20" spans="1:21" s="12" customFormat="1" ht="15">
      <c r="A20" s="207" t="s">
        <v>832</v>
      </c>
      <c r="B20" s="135">
        <v>3.38</v>
      </c>
      <c r="C20" s="135">
        <v>8.36</v>
      </c>
      <c r="D20" s="135">
        <v>11.74</v>
      </c>
      <c r="E20" s="135">
        <v>8.0299999999999994</v>
      </c>
      <c r="F20" s="135">
        <v>0.46</v>
      </c>
      <c r="G20" s="208" t="s">
        <v>36</v>
      </c>
      <c r="H20" s="135">
        <v>13.72</v>
      </c>
      <c r="I20" s="135">
        <v>4.01</v>
      </c>
      <c r="J20" s="135">
        <v>13.46</v>
      </c>
      <c r="K20" s="135">
        <v>56.02</v>
      </c>
      <c r="L20" s="135">
        <v>25.48</v>
      </c>
      <c r="M20" s="135">
        <v>88.38</v>
      </c>
      <c r="N20" s="9" t="s">
        <v>36</v>
      </c>
      <c r="O20" s="135">
        <v>0</v>
      </c>
      <c r="P20" s="135">
        <v>2.66</v>
      </c>
      <c r="Q20" s="135">
        <v>9.90</v>
      </c>
      <c r="R20" s="194"/>
      <c r="S20" s="194"/>
      <c r="T20" s="194"/>
      <c r="U20" s="194"/>
    </row>
    <row r="21" spans="1:21" s="12" customFormat="1" ht="15">
      <c r="A21" s="207" t="s">
        <v>833</v>
      </c>
      <c r="B21" s="135">
        <v>3.44</v>
      </c>
      <c r="C21" s="135">
        <v>8.18</v>
      </c>
      <c r="D21" s="135">
        <v>11.62</v>
      </c>
      <c r="E21" s="135">
        <v>7.87</v>
      </c>
      <c r="F21" s="135">
        <v>0.51</v>
      </c>
      <c r="G21" s="208" t="s">
        <v>36</v>
      </c>
      <c r="H21" s="135">
        <v>12.73</v>
      </c>
      <c r="I21" s="135">
        <v>4.24</v>
      </c>
      <c r="J21" s="135">
        <v>16.829999999999998</v>
      </c>
      <c r="K21" s="135">
        <v>56.86</v>
      </c>
      <c r="L21" s="135">
        <v>23.24</v>
      </c>
      <c r="M21" s="135">
        <v>88.63</v>
      </c>
      <c r="N21" s="9" t="s">
        <v>36</v>
      </c>
      <c r="O21" s="135">
        <v>0</v>
      </c>
      <c r="P21" s="135">
        <v>2.66</v>
      </c>
      <c r="Q21" s="135">
        <v>9.9600000000000009</v>
      </c>
      <c r="R21" s="194"/>
      <c r="S21" s="194"/>
      <c r="T21" s="194"/>
      <c r="U21" s="194"/>
    </row>
    <row r="22" spans="1:21" s="12" customFormat="1" ht="15">
      <c r="A22" s="207" t="s">
        <v>834</v>
      </c>
      <c r="B22" s="135">
        <v>3.53</v>
      </c>
      <c r="C22" s="135">
        <v>7.92</v>
      </c>
      <c r="D22" s="135">
        <v>11.46</v>
      </c>
      <c r="E22" s="135">
        <v>7.96</v>
      </c>
      <c r="F22" s="135">
        <v>0.55000000000000004</v>
      </c>
      <c r="G22" s="208" t="s">
        <v>36</v>
      </c>
      <c r="H22" s="135">
        <v>10.30</v>
      </c>
      <c r="I22" s="135">
        <v>3.79</v>
      </c>
      <c r="J22" s="135">
        <v>15.62</v>
      </c>
      <c r="K22" s="135">
        <v>59</v>
      </c>
      <c r="L22" s="135">
        <v>16.91</v>
      </c>
      <c r="M22" s="135">
        <v>89.45</v>
      </c>
      <c r="N22" s="9" t="s">
        <v>36</v>
      </c>
      <c r="O22" s="135">
        <v>0</v>
      </c>
      <c r="P22" s="135">
        <v>2.64</v>
      </c>
      <c r="Q22" s="135">
        <v>9.89</v>
      </c>
      <c r="R22" s="194"/>
      <c r="S22" s="194"/>
      <c r="T22" s="194"/>
      <c r="U22" s="194"/>
    </row>
    <row r="23" spans="1:21" s="12" customFormat="1" ht="15">
      <c r="A23" s="207" t="s">
        <v>835</v>
      </c>
      <c r="B23" s="135">
        <v>3.61</v>
      </c>
      <c r="C23" s="135">
        <v>7.67</v>
      </c>
      <c r="D23" s="135">
        <v>11.28</v>
      </c>
      <c r="E23" s="135">
        <v>7.94</v>
      </c>
      <c r="F23" s="135">
        <v>0.63</v>
      </c>
      <c r="G23" s="208" t="s">
        <v>36</v>
      </c>
      <c r="H23" s="135">
        <v>10.30</v>
      </c>
      <c r="I23" s="135">
        <v>4.37</v>
      </c>
      <c r="J23" s="135">
        <v>12.04</v>
      </c>
      <c r="K23" s="135">
        <v>58.98</v>
      </c>
      <c r="L23" s="135">
        <v>18.329999999999998</v>
      </c>
      <c r="M23" s="135">
        <v>89.55</v>
      </c>
      <c r="N23" s="9" t="s">
        <v>36</v>
      </c>
      <c r="O23" s="135">
        <v>0</v>
      </c>
      <c r="P23" s="135">
        <v>2.64</v>
      </c>
      <c r="Q23" s="135">
        <v>9.83</v>
      </c>
      <c r="R23" s="194"/>
      <c r="S23" s="194"/>
      <c r="T23" s="194"/>
      <c r="U23" s="194"/>
    </row>
    <row r="24" spans="1:21" s="12" customFormat="1" ht="15">
      <c r="A24" s="207" t="s">
        <v>836</v>
      </c>
      <c r="B24" s="135">
        <v>3.72</v>
      </c>
      <c r="C24" s="135">
        <v>7.72</v>
      </c>
      <c r="D24" s="135">
        <v>11.44</v>
      </c>
      <c r="E24" s="135">
        <v>4.58</v>
      </c>
      <c r="F24" s="135">
        <v>0.56000000000000005</v>
      </c>
      <c r="G24" s="208" t="s">
        <v>36</v>
      </c>
      <c r="H24" s="135">
        <v>10.30</v>
      </c>
      <c r="I24" s="135">
        <v>4.16</v>
      </c>
      <c r="J24" s="135">
        <v>14.13</v>
      </c>
      <c r="K24" s="135">
        <v>58.31</v>
      </c>
      <c r="L24" s="135">
        <v>12.88</v>
      </c>
      <c r="M24" s="135">
        <v>90.02</v>
      </c>
      <c r="N24" s="9" t="s">
        <v>36</v>
      </c>
      <c r="O24" s="135">
        <v>0</v>
      </c>
      <c r="P24" s="135">
        <v>2.63</v>
      </c>
      <c r="Q24" s="135">
        <v>9.81</v>
      </c>
      <c r="R24" s="194"/>
      <c r="S24" s="194"/>
      <c r="T24" s="194"/>
      <c r="U24" s="194"/>
    </row>
    <row r="25" spans="1:21" s="12" customFormat="1" ht="15">
      <c r="A25" s="207" t="s">
        <v>837</v>
      </c>
      <c r="B25" s="135">
        <v>3.91</v>
      </c>
      <c r="C25" s="135">
        <v>7.79</v>
      </c>
      <c r="D25" s="135">
        <v>11.70</v>
      </c>
      <c r="E25" s="135">
        <v>8.99</v>
      </c>
      <c r="F25" s="135">
        <v>0.64</v>
      </c>
      <c r="G25" s="208" t="s">
        <v>36</v>
      </c>
      <c r="H25" s="135">
        <v>9.5500000000000007</v>
      </c>
      <c r="I25" s="135">
        <v>5.13</v>
      </c>
      <c r="J25" s="135">
        <v>19.420000000000002</v>
      </c>
      <c r="K25" s="135">
        <v>56.79</v>
      </c>
      <c r="L25" s="135">
        <v>16.71</v>
      </c>
      <c r="M25" s="135">
        <v>90.72</v>
      </c>
      <c r="N25" s="9" t="s">
        <v>36</v>
      </c>
      <c r="O25" s="135">
        <v>0</v>
      </c>
      <c r="P25" s="135">
        <v>2.61</v>
      </c>
      <c r="Q25" s="135">
        <v>9.77</v>
      </c>
      <c r="R25" s="194"/>
      <c r="S25" s="194"/>
      <c r="T25" s="194"/>
      <c r="U25" s="194"/>
    </row>
    <row r="26" spans="1:21" s="12" customFormat="1" ht="15">
      <c r="A26" s="207" t="s">
        <v>838</v>
      </c>
      <c r="B26" s="135">
        <v>3.88</v>
      </c>
      <c r="C26" s="135">
        <v>7.90</v>
      </c>
      <c r="D26" s="135">
        <v>11.78</v>
      </c>
      <c r="E26" s="135">
        <v>9.08</v>
      </c>
      <c r="F26" s="135">
        <v>0.61</v>
      </c>
      <c r="G26" s="208" t="s">
        <v>36</v>
      </c>
      <c r="H26" s="135">
        <v>7.69</v>
      </c>
      <c r="I26" s="135">
        <v>5.65</v>
      </c>
      <c r="J26" s="135">
        <v>16.329999999999998</v>
      </c>
      <c r="K26" s="135">
        <v>58.80</v>
      </c>
      <c r="L26" s="135">
        <v>17.13</v>
      </c>
      <c r="M26" s="135">
        <v>91.59</v>
      </c>
      <c r="N26" s="9" t="s">
        <v>36</v>
      </c>
      <c r="O26" s="135">
        <v>0</v>
      </c>
      <c r="P26" s="135">
        <v>2.60</v>
      </c>
      <c r="Q26" s="135">
        <v>9.61</v>
      </c>
      <c r="R26" s="194"/>
      <c r="S26" s="194"/>
      <c r="T26" s="194"/>
      <c r="U26" s="194"/>
    </row>
    <row r="27" spans="1:21" s="12" customFormat="1" ht="15">
      <c r="A27" s="207" t="s">
        <v>839</v>
      </c>
      <c r="B27" s="135">
        <v>3.75</v>
      </c>
      <c r="C27" s="135">
        <v>8.36</v>
      </c>
      <c r="D27" s="135">
        <v>12.11</v>
      </c>
      <c r="E27" s="135">
        <v>8.60</v>
      </c>
      <c r="F27" s="135">
        <v>0.34</v>
      </c>
      <c r="G27" s="208" t="s">
        <v>36</v>
      </c>
      <c r="H27" s="135">
        <v>7.69</v>
      </c>
      <c r="I27" s="135">
        <v>5.29</v>
      </c>
      <c r="J27" s="135">
        <v>14.76</v>
      </c>
      <c r="K27" s="135">
        <v>57.99</v>
      </c>
      <c r="L27" s="135">
        <v>25.14</v>
      </c>
      <c r="M27" s="135">
        <v>92.02</v>
      </c>
      <c r="N27" s="9" t="s">
        <v>36</v>
      </c>
      <c r="O27" s="135">
        <v>0</v>
      </c>
      <c r="P27" s="135">
        <v>2.58</v>
      </c>
      <c r="Q27" s="135">
        <v>9.2799999999999994</v>
      </c>
      <c r="R27" s="194"/>
      <c r="S27" s="194"/>
      <c r="T27" s="194"/>
      <c r="U27" s="194"/>
    </row>
    <row r="28" spans="1:21" s="12" customFormat="1" ht="15">
      <c r="A28" s="207" t="s">
        <v>840</v>
      </c>
      <c r="B28" s="135">
        <v>3.49</v>
      </c>
      <c r="C28" s="135">
        <v>8.36</v>
      </c>
      <c r="D28" s="135">
        <v>11.85</v>
      </c>
      <c r="E28" s="135">
        <v>8.4600000000000009</v>
      </c>
      <c r="F28" s="135">
        <v>0.31</v>
      </c>
      <c r="G28" s="208" t="s">
        <v>36</v>
      </c>
      <c r="H28" s="135">
        <v>7.69</v>
      </c>
      <c r="I28" s="135">
        <v>5.98</v>
      </c>
      <c r="J28" s="135">
        <v>16.05</v>
      </c>
      <c r="K28" s="135">
        <v>56.75</v>
      </c>
      <c r="L28" s="135">
        <v>28.05</v>
      </c>
      <c r="M28" s="135">
        <v>92.15</v>
      </c>
      <c r="N28" s="9" t="s">
        <v>36</v>
      </c>
      <c r="O28" s="135">
        <v>0</v>
      </c>
      <c r="P28" s="135">
        <v>2.56</v>
      </c>
      <c r="Q28" s="135">
        <v>9.0299999999999994</v>
      </c>
      <c r="R28" s="194"/>
      <c r="S28" s="194"/>
      <c r="T28" s="194"/>
      <c r="U28" s="194"/>
    </row>
    <row r="29" spans="1:21" s="12" customFormat="1" ht="15">
      <c r="A29" s="207" t="s">
        <v>841</v>
      </c>
      <c r="B29" s="135">
        <v>3.34</v>
      </c>
      <c r="C29" s="135">
        <v>8.69</v>
      </c>
      <c r="D29" s="135">
        <v>12.02</v>
      </c>
      <c r="E29" s="135">
        <v>8.73</v>
      </c>
      <c r="F29" s="135">
        <v>0.04</v>
      </c>
      <c r="G29" s="208" t="s">
        <v>36</v>
      </c>
      <c r="H29" s="135">
        <v>7.10</v>
      </c>
      <c r="I29" s="135">
        <v>5.96</v>
      </c>
      <c r="J29" s="135">
        <v>13.09</v>
      </c>
      <c r="K29" s="135">
        <v>56.62</v>
      </c>
      <c r="L29" s="135">
        <v>25.07</v>
      </c>
      <c r="M29" s="135">
        <v>92.58</v>
      </c>
      <c r="N29" s="9" t="s">
        <v>36</v>
      </c>
      <c r="O29" s="135">
        <v>0</v>
      </c>
      <c r="P29" s="135">
        <v>2.54</v>
      </c>
      <c r="Q29" s="135">
        <v>8.99</v>
      </c>
      <c r="R29" s="194"/>
      <c r="S29" s="194"/>
      <c r="T29" s="194"/>
      <c r="U29" s="194"/>
    </row>
    <row r="30" spans="1:21" s="12" customFormat="1" ht="15">
      <c r="A30" s="207" t="s">
        <v>842</v>
      </c>
      <c r="B30" s="135">
        <v>3.35</v>
      </c>
      <c r="C30" s="135">
        <v>8.58</v>
      </c>
      <c r="D30" s="135">
        <v>11.93</v>
      </c>
      <c r="E30" s="135">
        <v>8.18</v>
      </c>
      <c r="F30" s="135">
        <v>0.33</v>
      </c>
      <c r="G30" s="208" t="s">
        <v>36</v>
      </c>
      <c r="H30" s="135">
        <v>5.67</v>
      </c>
      <c r="I30" s="135">
        <v>5.70</v>
      </c>
      <c r="J30" s="135">
        <v>14.01</v>
      </c>
      <c r="K30" s="135">
        <v>59.24</v>
      </c>
      <c r="L30" s="135">
        <v>19.260000000000002</v>
      </c>
      <c r="M30" s="135">
        <v>92.48</v>
      </c>
      <c r="N30" s="9" t="s">
        <v>36</v>
      </c>
      <c r="O30" s="135">
        <v>0</v>
      </c>
      <c r="P30" s="135">
        <v>2.52</v>
      </c>
      <c r="Q30" s="135">
        <v>8.9499999999999993</v>
      </c>
      <c r="R30" s="194"/>
      <c r="S30" s="194"/>
      <c r="T30" s="194"/>
      <c r="U30" s="194"/>
    </row>
    <row r="31" spans="1:21" s="12" customFormat="1" ht="15">
      <c r="A31" s="207" t="s">
        <v>843</v>
      </c>
      <c r="B31" s="135">
        <v>3.42</v>
      </c>
      <c r="C31" s="135">
        <v>8.77</v>
      </c>
      <c r="D31" s="135">
        <v>12.19</v>
      </c>
      <c r="E31" s="135">
        <v>8.07</v>
      </c>
      <c r="F31" s="135">
        <v>0.35</v>
      </c>
      <c r="G31" s="208" t="s">
        <v>36</v>
      </c>
      <c r="H31" s="135">
        <v>5.67</v>
      </c>
      <c r="I31" s="135">
        <v>5.29</v>
      </c>
      <c r="J31" s="135">
        <v>11.64</v>
      </c>
      <c r="K31" s="135">
        <v>57.37</v>
      </c>
      <c r="L31" s="135">
        <v>14.77</v>
      </c>
      <c r="M31" s="135">
        <v>92.14</v>
      </c>
      <c r="N31" s="9" t="s">
        <v>36</v>
      </c>
      <c r="O31" s="135">
        <v>0</v>
      </c>
      <c r="P31" s="135">
        <v>2.5099999999999998</v>
      </c>
      <c r="Q31" s="135">
        <v>9.09</v>
      </c>
      <c r="R31" s="194"/>
      <c r="S31" s="194"/>
      <c r="T31" s="194"/>
      <c r="U31" s="194"/>
    </row>
    <row r="32" spans="1:21" s="12" customFormat="1" ht="15">
      <c r="A32" s="207" t="s">
        <v>844</v>
      </c>
      <c r="B32" s="135">
        <v>3.56</v>
      </c>
      <c r="C32" s="135">
        <v>9.26</v>
      </c>
      <c r="D32" s="135">
        <v>12.82</v>
      </c>
      <c r="E32" s="135">
        <v>8.6199999999999992</v>
      </c>
      <c r="F32" s="135">
        <v>0.34</v>
      </c>
      <c r="G32" s="208" t="s">
        <v>36</v>
      </c>
      <c r="H32" s="135">
        <v>5.67</v>
      </c>
      <c r="I32" s="135">
        <v>5.40</v>
      </c>
      <c r="J32" s="135">
        <v>12.59</v>
      </c>
      <c r="K32" s="135">
        <v>59.10</v>
      </c>
      <c r="L32" s="135">
        <v>10.93</v>
      </c>
      <c r="M32" s="135">
        <v>91.67</v>
      </c>
      <c r="N32" s="9" t="s">
        <v>36</v>
      </c>
      <c r="O32" s="135">
        <v>0</v>
      </c>
      <c r="P32" s="135">
        <v>2.4900000000000002</v>
      </c>
      <c r="Q32" s="135">
        <v>9.32</v>
      </c>
      <c r="R32" s="194"/>
      <c r="S32" s="194"/>
      <c r="T32" s="194"/>
      <c r="U32" s="194"/>
    </row>
    <row r="33" spans="1:21" s="12" customFormat="1" ht="15">
      <c r="A33" s="207" t="s">
        <v>845</v>
      </c>
      <c r="B33" s="135">
        <v>3.85</v>
      </c>
      <c r="C33" s="135">
        <v>9.18</v>
      </c>
      <c r="D33" s="135">
        <v>13.04</v>
      </c>
      <c r="E33" s="135">
        <v>8.51</v>
      </c>
      <c r="F33" s="135">
        <v>0.28000000000000003</v>
      </c>
      <c r="G33" s="208" t="s">
        <v>36</v>
      </c>
      <c r="H33" s="135">
        <v>5.74</v>
      </c>
      <c r="I33" s="135">
        <v>5.17</v>
      </c>
      <c r="J33" s="135">
        <v>13.08</v>
      </c>
      <c r="K33" s="135">
        <v>58.65</v>
      </c>
      <c r="L33" s="135">
        <v>18.690000000000001</v>
      </c>
      <c r="M33" s="135">
        <v>90.86</v>
      </c>
      <c r="N33" s="9" t="s">
        <v>36</v>
      </c>
      <c r="O33" s="135">
        <v>0</v>
      </c>
      <c r="P33" s="135">
        <v>2.4900000000000002</v>
      </c>
      <c r="Q33" s="135">
        <v>9.43</v>
      </c>
      <c r="R33" s="194"/>
      <c r="S33" s="194"/>
      <c r="T33" s="194"/>
      <c r="U33" s="194"/>
    </row>
    <row r="34" spans="1:21" s="12" customFormat="1" ht="15">
      <c r="A34" s="207" t="s">
        <v>846</v>
      </c>
      <c r="B34" s="135">
        <v>4.13</v>
      </c>
      <c r="C34" s="135">
        <v>8.9600000000000009</v>
      </c>
      <c r="D34" s="135">
        <v>13.08</v>
      </c>
      <c r="E34" s="135">
        <v>8.5</v>
      </c>
      <c r="F34" s="135">
        <v>0.82</v>
      </c>
      <c r="G34" s="208" t="s">
        <v>36</v>
      </c>
      <c r="H34" s="135">
        <v>5.93</v>
      </c>
      <c r="I34" s="135">
        <v>4.1399999999999997</v>
      </c>
      <c r="J34" s="135">
        <v>17.43</v>
      </c>
      <c r="K34" s="135">
        <v>58.58</v>
      </c>
      <c r="L34" s="135">
        <v>17.559999999999999</v>
      </c>
      <c r="M34" s="135">
        <v>90.22</v>
      </c>
      <c r="N34" s="9" t="s">
        <v>36</v>
      </c>
      <c r="O34" s="135">
        <v>0</v>
      </c>
      <c r="P34" s="135">
        <v>2.4700000000000002</v>
      </c>
      <c r="Q34" s="135">
        <v>9.6300000000000008</v>
      </c>
      <c r="R34" s="194"/>
      <c r="S34" s="194"/>
      <c r="T34" s="194"/>
      <c r="U34" s="194"/>
    </row>
    <row r="35" spans="1:21" s="12" customFormat="1" ht="15">
      <c r="A35" s="207" t="s">
        <v>847</v>
      </c>
      <c r="B35" s="135">
        <v>4.45</v>
      </c>
      <c r="C35" s="135">
        <v>8.68</v>
      </c>
      <c r="D35" s="135">
        <v>13.13</v>
      </c>
      <c r="E35" s="135">
        <v>8.56</v>
      </c>
      <c r="F35" s="135">
        <v>0.81</v>
      </c>
      <c r="G35" s="208" t="s">
        <v>36</v>
      </c>
      <c r="H35" s="135">
        <v>5.93</v>
      </c>
      <c r="I35" s="135">
        <v>4.53</v>
      </c>
      <c r="J35" s="135">
        <v>19.04</v>
      </c>
      <c r="K35" s="135">
        <v>62.14</v>
      </c>
      <c r="L35" s="135">
        <v>17.649999999999999</v>
      </c>
      <c r="M35" s="135">
        <v>89.60</v>
      </c>
      <c r="N35" s="9" t="s">
        <v>36</v>
      </c>
      <c r="O35" s="135">
        <v>0</v>
      </c>
      <c r="P35" s="135">
        <v>2.48</v>
      </c>
      <c r="Q35" s="135">
        <v>9.8699999999999992</v>
      </c>
      <c r="R35" s="194"/>
      <c r="S35" s="194"/>
      <c r="T35" s="194"/>
      <c r="U35" s="194"/>
    </row>
    <row r="36" spans="1:21" s="12" customFormat="1" ht="15">
      <c r="A36" s="207" t="s">
        <v>848</v>
      </c>
      <c r="B36" s="135">
        <v>4.7300000000000004</v>
      </c>
      <c r="C36" s="135">
        <v>8.67</v>
      </c>
      <c r="D36" s="135">
        <v>13.40</v>
      </c>
      <c r="E36" s="135">
        <v>8.90</v>
      </c>
      <c r="F36" s="135">
        <v>0.65</v>
      </c>
      <c r="G36" s="208" t="s">
        <v>36</v>
      </c>
      <c r="H36" s="135">
        <v>5.93</v>
      </c>
      <c r="I36" s="135">
        <v>4.28</v>
      </c>
      <c r="J36" s="135">
        <v>21.86</v>
      </c>
      <c r="K36" s="135">
        <v>61.38</v>
      </c>
      <c r="L36" s="135">
        <v>20.77</v>
      </c>
      <c r="M36" s="135">
        <v>89.24</v>
      </c>
      <c r="N36" s="9" t="s">
        <v>36</v>
      </c>
      <c r="O36" s="135">
        <v>0</v>
      </c>
      <c r="P36" s="135">
        <v>2.48</v>
      </c>
      <c r="Q36" s="135">
        <v>10.10</v>
      </c>
      <c r="R36" s="194"/>
      <c r="S36" s="194"/>
      <c r="T36" s="194"/>
      <c r="U36" s="194"/>
    </row>
    <row r="37" spans="1:21" s="12" customFormat="1" ht="15">
      <c r="A37" s="207" t="s">
        <v>849</v>
      </c>
      <c r="B37" s="135">
        <v>4.96</v>
      </c>
      <c r="C37" s="135">
        <v>8.68</v>
      </c>
      <c r="D37" s="135">
        <v>13.64</v>
      </c>
      <c r="E37" s="135">
        <v>9.25</v>
      </c>
      <c r="F37" s="135">
        <v>0.66</v>
      </c>
      <c r="G37" s="208" t="s">
        <v>36</v>
      </c>
      <c r="H37" s="135">
        <v>5.60</v>
      </c>
      <c r="I37" s="135">
        <v>4.55</v>
      </c>
      <c r="J37" s="135">
        <v>23.89</v>
      </c>
      <c r="K37" s="135">
        <v>60.44</v>
      </c>
      <c r="L37" s="135">
        <v>19.95</v>
      </c>
      <c r="M37" s="135">
        <v>88.30</v>
      </c>
      <c r="N37" s="9" t="s">
        <v>36</v>
      </c>
      <c r="O37" s="135">
        <v>0</v>
      </c>
      <c r="P37" s="135">
        <v>2.46</v>
      </c>
      <c r="Q37" s="135">
        <v>10.33</v>
      </c>
      <c r="R37" s="194"/>
      <c r="S37" s="194"/>
      <c r="T37" s="194"/>
      <c r="U37" s="194"/>
    </row>
    <row r="38" spans="1:21" s="12" customFormat="1" ht="15">
      <c r="A38" s="207" t="s">
        <v>850</v>
      </c>
      <c r="B38" s="135">
        <v>5.09</v>
      </c>
      <c r="C38" s="135">
        <v>8.7899999999999991</v>
      </c>
      <c r="D38" s="135">
        <v>13.87</v>
      </c>
      <c r="E38" s="135">
        <v>9.16</v>
      </c>
      <c r="F38" s="135">
        <v>0.53</v>
      </c>
      <c r="G38" s="208" t="s">
        <v>36</v>
      </c>
      <c r="H38" s="135">
        <v>4.78</v>
      </c>
      <c r="I38" s="135">
        <v>5.1100000000000003</v>
      </c>
      <c r="J38" s="135">
        <v>22.39</v>
      </c>
      <c r="K38" s="135">
        <v>59.46</v>
      </c>
      <c r="L38" s="135">
        <v>22.83</v>
      </c>
      <c r="M38" s="135">
        <v>87.57</v>
      </c>
      <c r="N38" s="9" t="s">
        <v>36</v>
      </c>
      <c r="O38" s="135">
        <v>0</v>
      </c>
      <c r="P38" s="135">
        <v>2.4700000000000002</v>
      </c>
      <c r="Q38" s="135">
        <v>10.37</v>
      </c>
      <c r="R38" s="194"/>
      <c r="S38" s="194"/>
      <c r="T38" s="194"/>
      <c r="U38" s="194"/>
    </row>
    <row r="39" spans="1:21" s="12" customFormat="1" ht="15">
      <c r="A39" s="207" t="s">
        <v>851</v>
      </c>
      <c r="B39" s="135">
        <v>5.26</v>
      </c>
      <c r="C39" s="135">
        <v>8.77</v>
      </c>
      <c r="D39" s="135">
        <v>14.03</v>
      </c>
      <c r="E39" s="135">
        <v>9.09</v>
      </c>
      <c r="F39" s="135">
        <v>0.37</v>
      </c>
      <c r="G39" s="208" t="s">
        <v>36</v>
      </c>
      <c r="H39" s="135">
        <v>4.78</v>
      </c>
      <c r="I39" s="135">
        <v>4.76</v>
      </c>
      <c r="J39" s="135">
        <v>30.79</v>
      </c>
      <c r="K39" s="135">
        <v>59.28</v>
      </c>
      <c r="L39" s="135">
        <v>18.329999999999998</v>
      </c>
      <c r="M39" s="135">
        <v>85.52</v>
      </c>
      <c r="N39" s="9" t="s">
        <v>36</v>
      </c>
      <c r="O39" s="135">
        <v>0</v>
      </c>
      <c r="P39" s="135">
        <v>2.46</v>
      </c>
      <c r="Q39" s="135">
        <v>10.40</v>
      </c>
      <c r="R39" s="194"/>
      <c r="S39" s="194"/>
      <c r="T39" s="194"/>
      <c r="U39" s="194"/>
    </row>
    <row r="40" spans="1:21" s="12" customFormat="1" ht="15">
      <c r="A40" s="207" t="s">
        <v>852</v>
      </c>
      <c r="B40" s="135">
        <v>5.20</v>
      </c>
      <c r="C40" s="135">
        <v>8.93</v>
      </c>
      <c r="D40" s="135">
        <v>14.13</v>
      </c>
      <c r="E40" s="135">
        <v>4.59</v>
      </c>
      <c r="F40" s="135">
        <v>0.57999999999999996</v>
      </c>
      <c r="G40" s="208" t="s">
        <v>36</v>
      </c>
      <c r="H40" s="135">
        <v>4.78</v>
      </c>
      <c r="I40" s="135">
        <v>4.75</v>
      </c>
      <c r="J40" s="135">
        <v>39.049999999999997</v>
      </c>
      <c r="K40" s="135">
        <v>59.29</v>
      </c>
      <c r="L40" s="135">
        <v>21.39</v>
      </c>
      <c r="M40" s="135">
        <v>82.16</v>
      </c>
      <c r="N40" s="9" t="s">
        <v>36</v>
      </c>
      <c r="O40" s="135">
        <v>0</v>
      </c>
      <c r="P40" s="135">
        <v>2.4500000000000002</v>
      </c>
      <c r="Q40" s="135">
        <v>10.31</v>
      </c>
      <c r="R40" s="194"/>
      <c r="S40" s="194"/>
      <c r="T40" s="194"/>
      <c r="U40" s="194"/>
    </row>
    <row r="41" spans="1:21" s="12" customFormat="1" ht="15">
      <c r="A41" s="207" t="s">
        <v>853</v>
      </c>
      <c r="B41" s="135">
        <v>4.83</v>
      </c>
      <c r="C41" s="135">
        <v>8.92</v>
      </c>
      <c r="D41" s="135">
        <v>13.75</v>
      </c>
      <c r="E41" s="135">
        <v>7.67</v>
      </c>
      <c r="F41" s="135">
        <v>0.64</v>
      </c>
      <c r="G41" s="208" t="s">
        <v>36</v>
      </c>
      <c r="H41" s="135">
        <v>4.5</v>
      </c>
      <c r="I41" s="135">
        <v>4.34</v>
      </c>
      <c r="J41" s="135">
        <v>37.96</v>
      </c>
      <c r="K41" s="135">
        <v>57.91</v>
      </c>
      <c r="L41" s="135">
        <v>19.79</v>
      </c>
      <c r="M41" s="135">
        <v>80.59</v>
      </c>
      <c r="N41" s="9" t="s">
        <v>36</v>
      </c>
      <c r="O41" s="135">
        <v>0</v>
      </c>
      <c r="P41" s="135">
        <v>2.4500000000000002</v>
      </c>
      <c r="Q41" s="135">
        <v>10.119999999999999</v>
      </c>
      <c r="R41" s="194"/>
      <c r="S41" s="194"/>
      <c r="T41" s="194"/>
      <c r="U41" s="194"/>
    </row>
    <row r="42" spans="1:21" s="12" customFormat="1" ht="15">
      <c r="A42" s="207" t="s">
        <v>854</v>
      </c>
      <c r="B42" s="135">
        <v>4.1500000000000004</v>
      </c>
      <c r="C42" s="135">
        <v>9.32</v>
      </c>
      <c r="D42" s="135">
        <v>13.47</v>
      </c>
      <c r="E42" s="135">
        <v>7.88</v>
      </c>
      <c r="F42" s="135">
        <v>0.78</v>
      </c>
      <c r="G42" s="208" t="s">
        <v>36</v>
      </c>
      <c r="H42" s="135">
        <v>3.80</v>
      </c>
      <c r="I42" s="135">
        <v>5.19</v>
      </c>
      <c r="J42" s="135">
        <v>26.43</v>
      </c>
      <c r="K42" s="135">
        <v>56.57</v>
      </c>
      <c r="L42" s="135">
        <v>29.08</v>
      </c>
      <c r="M42" s="135">
        <v>80.56</v>
      </c>
      <c r="N42" s="9" t="s">
        <v>36</v>
      </c>
      <c r="O42" s="135">
        <v>0</v>
      </c>
      <c r="P42" s="135">
        <v>2.4500000000000002</v>
      </c>
      <c r="Q42" s="135">
        <v>9.58</v>
      </c>
      <c r="R42" s="194"/>
      <c r="S42" s="194"/>
      <c r="T42" s="194"/>
      <c r="U42" s="194"/>
    </row>
    <row r="43" spans="1:21" s="12" customFormat="1" ht="15">
      <c r="A43" s="207" t="s">
        <v>855</v>
      </c>
      <c r="B43" s="135">
        <v>3.51</v>
      </c>
      <c r="C43" s="135">
        <v>9.5399999999999991</v>
      </c>
      <c r="D43" s="135">
        <v>13.05</v>
      </c>
      <c r="E43" s="135">
        <v>7.58</v>
      </c>
      <c r="F43" s="135">
        <v>0.76</v>
      </c>
      <c r="G43" s="208" t="s">
        <v>36</v>
      </c>
      <c r="H43" s="135">
        <v>3.80</v>
      </c>
      <c r="I43" s="135">
        <v>5</v>
      </c>
      <c r="J43" s="135">
        <v>10.56</v>
      </c>
      <c r="K43" s="135">
        <v>58.68</v>
      </c>
      <c r="L43" s="135">
        <v>32.68</v>
      </c>
      <c r="M43" s="135">
        <v>80.5</v>
      </c>
      <c r="N43" s="9" t="s">
        <v>36</v>
      </c>
      <c r="O43" s="135">
        <v>0</v>
      </c>
      <c r="P43" s="135">
        <v>2.44</v>
      </c>
      <c r="Q43" s="135">
        <v>9.11</v>
      </c>
      <c r="R43" s="194"/>
      <c r="S43" s="194"/>
      <c r="T43" s="194"/>
      <c r="U43" s="194"/>
    </row>
    <row r="44" spans="1:21" s="12" customFormat="1" ht="15">
      <c r="A44" s="207" t="s">
        <v>856</v>
      </c>
      <c r="B44" s="135">
        <v>3.16</v>
      </c>
      <c r="C44" s="135">
        <v>9.86</v>
      </c>
      <c r="D44" s="135">
        <v>13.02</v>
      </c>
      <c r="E44" s="135">
        <v>7.39</v>
      </c>
      <c r="F44" s="135">
        <v>0.37</v>
      </c>
      <c r="G44" s="208" t="s">
        <v>36</v>
      </c>
      <c r="H44" s="135">
        <v>3.80</v>
      </c>
      <c r="I44" s="135">
        <v>4.84</v>
      </c>
      <c r="J44" s="135">
        <v>1.53</v>
      </c>
      <c r="K44" s="135">
        <v>221.21</v>
      </c>
      <c r="L44" s="135">
        <v>43.66</v>
      </c>
      <c r="M44" s="135">
        <v>77.13</v>
      </c>
      <c r="N44" s="9" t="s">
        <v>36</v>
      </c>
      <c r="O44" s="135">
        <v>0</v>
      </c>
      <c r="P44" s="135">
        <v>2.4300000000000002</v>
      </c>
      <c r="Q44" s="135">
        <v>8.90</v>
      </c>
      <c r="R44" s="194"/>
      <c r="S44" s="194"/>
      <c r="T44" s="194"/>
      <c r="U44" s="194"/>
    </row>
    <row r="45" spans="1:21" s="12" customFormat="1" ht="15">
      <c r="A45" s="207" t="s">
        <v>857</v>
      </c>
      <c r="B45" s="135">
        <v>3.01</v>
      </c>
      <c r="C45" s="135">
        <v>10.08</v>
      </c>
      <c r="D45" s="135">
        <v>13.09</v>
      </c>
      <c r="E45" s="135">
        <v>7.19</v>
      </c>
      <c r="F45" s="135">
        <v>0.85</v>
      </c>
      <c r="G45" s="208" t="s">
        <v>36</v>
      </c>
      <c r="H45" s="135">
        <v>3.97</v>
      </c>
      <c r="I45" s="135">
        <v>4.7300000000000004</v>
      </c>
      <c r="J45" s="135">
        <v>0.95</v>
      </c>
      <c r="K45" s="135">
        <v>298.73</v>
      </c>
      <c r="L45" s="135">
        <v>43.62</v>
      </c>
      <c r="M45" s="135">
        <v>78.05</v>
      </c>
      <c r="N45" s="9" t="s">
        <v>36</v>
      </c>
      <c r="O45" s="135">
        <v>0</v>
      </c>
      <c r="P45" s="135">
        <v>2.4300000000000002</v>
      </c>
      <c r="Q45" s="135">
        <v>8.73</v>
      </c>
      <c r="R45" s="194"/>
      <c r="S45" s="194"/>
      <c r="T45" s="194"/>
      <c r="U45" s="194"/>
    </row>
    <row r="46" spans="1:21" s="12" customFormat="1" ht="15">
      <c r="A46" s="207" t="s">
        <v>858</v>
      </c>
      <c r="B46" s="135">
        <v>3.07</v>
      </c>
      <c r="C46" s="135">
        <v>10.67</v>
      </c>
      <c r="D46" s="135">
        <v>13.74</v>
      </c>
      <c r="E46" s="135">
        <v>6.97</v>
      </c>
      <c r="F46" s="135">
        <v>0.62</v>
      </c>
      <c r="G46" s="208" t="s">
        <v>36</v>
      </c>
      <c r="H46" s="135">
        <v>4.4000000000000004</v>
      </c>
      <c r="I46" s="135">
        <v>4.58</v>
      </c>
      <c r="J46" s="135">
        <v>0.80</v>
      </c>
      <c r="K46" s="135">
        <v>261.60000000000002</v>
      </c>
      <c r="L46" s="135">
        <v>44.65</v>
      </c>
      <c r="M46" s="135">
        <v>74.19</v>
      </c>
      <c r="N46" s="9" t="s">
        <v>36</v>
      </c>
      <c r="O46" s="135">
        <v>0</v>
      </c>
      <c r="P46" s="135">
        <v>2.4500000000000002</v>
      </c>
      <c r="Q46" s="135">
        <v>8.7100000000000009</v>
      </c>
      <c r="R46" s="194"/>
      <c r="S46" s="194"/>
      <c r="T46" s="194"/>
      <c r="U46" s="194"/>
    </row>
    <row r="47" spans="1:21" s="12" customFormat="1" ht="15">
      <c r="A47" s="207" t="s">
        <v>859</v>
      </c>
      <c r="B47" s="135">
        <v>3.43</v>
      </c>
      <c r="C47" s="135">
        <v>11.22</v>
      </c>
      <c r="D47" s="135">
        <v>14.66</v>
      </c>
      <c r="E47" s="135">
        <v>6.96</v>
      </c>
      <c r="F47" s="135">
        <v>0.75</v>
      </c>
      <c r="G47" s="208" t="s">
        <v>36</v>
      </c>
      <c r="H47" s="135">
        <v>4.4000000000000004</v>
      </c>
      <c r="I47" s="135">
        <v>4.55</v>
      </c>
      <c r="J47" s="135">
        <v>2.08</v>
      </c>
      <c r="K47" s="135">
        <v>333.15</v>
      </c>
      <c r="L47" s="135">
        <v>45.66</v>
      </c>
      <c r="M47" s="135">
        <v>73.02</v>
      </c>
      <c r="N47" s="9" t="s">
        <v>36</v>
      </c>
      <c r="O47" s="135">
        <v>0</v>
      </c>
      <c r="P47" s="135">
        <v>2.46</v>
      </c>
      <c r="Q47" s="135">
        <v>8.66</v>
      </c>
      <c r="R47" s="194"/>
      <c r="S47" s="194"/>
      <c r="T47" s="194"/>
      <c r="U47" s="194"/>
    </row>
    <row r="48" spans="1:21" s="12" customFormat="1" ht="15">
      <c r="A48" s="207" t="s">
        <v>860</v>
      </c>
      <c r="B48" s="135">
        <v>3.87</v>
      </c>
      <c r="C48" s="135">
        <v>11.24</v>
      </c>
      <c r="D48" s="135">
        <v>15.11</v>
      </c>
      <c r="E48" s="135">
        <v>7.11</v>
      </c>
      <c r="F48" s="135">
        <v>0.81</v>
      </c>
      <c r="G48" s="208" t="s">
        <v>36</v>
      </c>
      <c r="H48" s="135">
        <v>4.4000000000000004</v>
      </c>
      <c r="I48" s="135">
        <v>4.46</v>
      </c>
      <c r="J48" s="135">
        <v>2</v>
      </c>
      <c r="K48" s="135">
        <v>199.57</v>
      </c>
      <c r="L48" s="135">
        <v>46.10</v>
      </c>
      <c r="M48" s="135">
        <v>75.290000000000006</v>
      </c>
      <c r="N48" s="135">
        <v>577</v>
      </c>
      <c r="O48" s="135">
        <v>0</v>
      </c>
      <c r="P48" s="135">
        <v>2.4900000000000002</v>
      </c>
      <c r="Q48" s="135">
        <v>8.76</v>
      </c>
      <c r="R48" s="194"/>
      <c r="S48" s="194"/>
      <c r="T48" s="194"/>
      <c r="U48" s="194"/>
    </row>
    <row r="49" spans="1:21" s="12" customFormat="1" ht="15">
      <c r="A49" s="207" t="s">
        <v>861</v>
      </c>
      <c r="B49" s="135">
        <v>3.69</v>
      </c>
      <c r="C49" s="135">
        <v>11.06</v>
      </c>
      <c r="D49" s="135">
        <v>14.76</v>
      </c>
      <c r="E49" s="135">
        <v>7.30</v>
      </c>
      <c r="F49" s="135">
        <v>0.73</v>
      </c>
      <c r="G49" s="208" t="s">
        <v>36</v>
      </c>
      <c r="H49" s="135">
        <v>5.58</v>
      </c>
      <c r="I49" s="135">
        <v>4.26</v>
      </c>
      <c r="J49" s="135">
        <v>1.18</v>
      </c>
      <c r="K49" s="135">
        <v>190.11</v>
      </c>
      <c r="L49" s="135">
        <v>45.23</v>
      </c>
      <c r="M49" s="135">
        <v>76</v>
      </c>
      <c r="N49" s="135">
        <v>813</v>
      </c>
      <c r="O49" s="135">
        <v>0</v>
      </c>
      <c r="P49" s="135">
        <v>2.4700000000000002</v>
      </c>
      <c r="Q49" s="135">
        <v>8.66</v>
      </c>
      <c r="R49" s="194"/>
      <c r="S49" s="194"/>
      <c r="T49" s="194"/>
      <c r="U49" s="194"/>
    </row>
    <row r="50" spans="1:21" s="12" customFormat="1" ht="15">
      <c r="A50" s="207" t="s">
        <v>862</v>
      </c>
      <c r="B50" s="135">
        <v>3.67</v>
      </c>
      <c r="C50" s="135">
        <v>11.10</v>
      </c>
      <c r="D50" s="135">
        <v>14.77</v>
      </c>
      <c r="E50" s="135">
        <v>7.21</v>
      </c>
      <c r="F50" s="135">
        <v>0.67</v>
      </c>
      <c r="G50" s="208" t="s">
        <v>36</v>
      </c>
      <c r="H50" s="135">
        <v>8.49</v>
      </c>
      <c r="I50" s="135">
        <v>4.3499999999999996</v>
      </c>
      <c r="J50" s="135">
        <v>3.76</v>
      </c>
      <c r="K50" s="135">
        <v>156.16</v>
      </c>
      <c r="L50" s="135">
        <v>46.41</v>
      </c>
      <c r="M50" s="135">
        <v>78.23</v>
      </c>
      <c r="N50" s="135">
        <v>650.29999999999995</v>
      </c>
      <c r="O50" s="135">
        <v>0</v>
      </c>
      <c r="P50" s="135">
        <v>2.4700000000000002</v>
      </c>
      <c r="Q50" s="135">
        <v>8.56</v>
      </c>
      <c r="R50" s="194"/>
      <c r="S50" s="194"/>
      <c r="T50" s="194"/>
      <c r="U50" s="194"/>
    </row>
    <row r="51" spans="1:21" s="12" customFormat="1" ht="15">
      <c r="A51" s="207" t="s">
        <v>863</v>
      </c>
      <c r="B51" s="135">
        <v>3.58</v>
      </c>
      <c r="C51" s="135">
        <v>10.83</v>
      </c>
      <c r="D51" s="135">
        <v>14.41</v>
      </c>
      <c r="E51" s="135">
        <v>7.41</v>
      </c>
      <c r="F51" s="135">
        <v>0.96</v>
      </c>
      <c r="G51" s="208" t="s">
        <v>36</v>
      </c>
      <c r="H51" s="135">
        <v>8.49</v>
      </c>
      <c r="I51" s="135">
        <v>3.95</v>
      </c>
      <c r="J51" s="135">
        <v>2.82</v>
      </c>
      <c r="K51" s="135">
        <v>174.67</v>
      </c>
      <c r="L51" s="135">
        <v>48.32</v>
      </c>
      <c r="M51" s="135">
        <v>79.56</v>
      </c>
      <c r="N51" s="135">
        <v>625.70000000000005</v>
      </c>
      <c r="O51" s="135">
        <v>0</v>
      </c>
      <c r="P51" s="135">
        <v>2.46</v>
      </c>
      <c r="Q51" s="135">
        <v>8.42</v>
      </c>
      <c r="R51" s="194"/>
      <c r="S51" s="194"/>
      <c r="T51" s="194"/>
      <c r="U51" s="194"/>
    </row>
    <row r="52" spans="1:21" s="12" customFormat="1" ht="15">
      <c r="A52" s="207" t="s">
        <v>864</v>
      </c>
      <c r="B52" s="135">
        <v>3.35</v>
      </c>
      <c r="C52" s="135">
        <v>10.74</v>
      </c>
      <c r="D52" s="135">
        <v>14.08</v>
      </c>
      <c r="E52" s="135">
        <v>7.61</v>
      </c>
      <c r="F52" s="135">
        <v>0.71</v>
      </c>
      <c r="G52" s="208" t="s">
        <v>36</v>
      </c>
      <c r="H52" s="135">
        <v>8.49</v>
      </c>
      <c r="I52" s="135">
        <v>4.26</v>
      </c>
      <c r="J52" s="135">
        <v>1.31</v>
      </c>
      <c r="K52" s="135">
        <v>192.27</v>
      </c>
      <c r="L52" s="135">
        <v>43.65</v>
      </c>
      <c r="M52" s="135">
        <v>79.069999999999993</v>
      </c>
      <c r="N52" s="135">
        <v>719.5</v>
      </c>
      <c r="O52" s="135">
        <v>0</v>
      </c>
      <c r="P52" s="135">
        <v>2.46</v>
      </c>
      <c r="Q52" s="135">
        <v>8.41</v>
      </c>
      <c r="R52" s="194"/>
      <c r="S52" s="194"/>
      <c r="T52" s="194"/>
      <c r="U52" s="194"/>
    </row>
    <row r="53" spans="1:21" s="12" customFormat="1" ht="15">
      <c r="A53" s="207" t="s">
        <v>865</v>
      </c>
      <c r="B53" s="135">
        <v>3.22</v>
      </c>
      <c r="C53" s="135">
        <v>10.68</v>
      </c>
      <c r="D53" s="135">
        <v>13.90</v>
      </c>
      <c r="E53" s="135">
        <v>7.43</v>
      </c>
      <c r="F53" s="135">
        <v>0.72</v>
      </c>
      <c r="G53" s="208" t="s">
        <v>36</v>
      </c>
      <c r="H53" s="135">
        <v>9.43</v>
      </c>
      <c r="I53" s="135">
        <v>4.1500000000000004</v>
      </c>
      <c r="J53" s="135">
        <v>1.41</v>
      </c>
      <c r="K53" s="135">
        <v>182.15</v>
      </c>
      <c r="L53" s="135">
        <v>45.24</v>
      </c>
      <c r="M53" s="135">
        <v>75.98</v>
      </c>
      <c r="N53" s="135">
        <v>899</v>
      </c>
      <c r="O53" s="135">
        <v>0</v>
      </c>
      <c r="P53" s="135">
        <v>2.4700000000000002</v>
      </c>
      <c r="Q53" s="135">
        <v>8.3800000000000008</v>
      </c>
      <c r="R53" s="194"/>
      <c r="S53" s="194"/>
      <c r="T53" s="194"/>
      <c r="U53" s="194"/>
    </row>
    <row r="54" spans="1:21" s="12" customFormat="1" ht="15">
      <c r="A54" s="207" t="s">
        <v>866</v>
      </c>
      <c r="B54" s="135">
        <v>3.45</v>
      </c>
      <c r="C54" s="135">
        <v>11.43</v>
      </c>
      <c r="D54" s="135">
        <v>14.87</v>
      </c>
      <c r="E54" s="135">
        <v>7.94</v>
      </c>
      <c r="F54" s="135">
        <v>0.57999999999999996</v>
      </c>
      <c r="G54" s="208" t="s">
        <v>36</v>
      </c>
      <c r="H54" s="135">
        <v>11.75</v>
      </c>
      <c r="I54" s="135">
        <v>3.93</v>
      </c>
      <c r="J54" s="135">
        <v>1.47</v>
      </c>
      <c r="K54" s="135">
        <v>153.88999999999999</v>
      </c>
      <c r="L54" s="135">
        <v>46.80</v>
      </c>
      <c r="M54" s="135">
        <v>72.959999999999994</v>
      </c>
      <c r="N54" s="9" t="s">
        <v>36</v>
      </c>
      <c r="O54" s="135">
        <v>0</v>
      </c>
      <c r="P54" s="135">
        <v>2.48</v>
      </c>
      <c r="Q54" s="135">
        <v>8.6199999999999992</v>
      </c>
      <c r="R54" s="194"/>
      <c r="S54" s="194"/>
      <c r="T54" s="194"/>
      <c r="U54" s="194"/>
    </row>
    <row r="55" spans="1:21" s="12" customFormat="1" ht="15">
      <c r="A55" s="207" t="s">
        <v>867</v>
      </c>
      <c r="B55" s="135">
        <v>3.31</v>
      </c>
      <c r="C55" s="135">
        <v>11.31</v>
      </c>
      <c r="D55" s="135">
        <v>14.62</v>
      </c>
      <c r="E55" s="135">
        <v>7.41</v>
      </c>
      <c r="F55" s="135">
        <v>0.85</v>
      </c>
      <c r="G55" s="208" t="s">
        <v>36</v>
      </c>
      <c r="H55" s="135">
        <v>11.75</v>
      </c>
      <c r="I55" s="135">
        <v>4.01</v>
      </c>
      <c r="J55" s="135">
        <v>1.02</v>
      </c>
      <c r="K55" s="135">
        <v>305.52999999999997</v>
      </c>
      <c r="L55" s="135">
        <v>45.22</v>
      </c>
      <c r="M55" s="135">
        <v>72.430000000000007</v>
      </c>
      <c r="N55" s="9" t="s">
        <v>36</v>
      </c>
      <c r="O55" s="135">
        <v>0</v>
      </c>
      <c r="P55" s="135">
        <v>2.48</v>
      </c>
      <c r="Q55" s="135">
        <v>8.4600000000000009</v>
      </c>
      <c r="R55" s="194"/>
      <c r="S55" s="194"/>
      <c r="T55" s="194"/>
      <c r="U55" s="194"/>
    </row>
    <row r="56" spans="1:21" s="12" customFormat="1" ht="15">
      <c r="A56" s="207" t="s">
        <v>868</v>
      </c>
      <c r="B56" s="135">
        <v>3.14</v>
      </c>
      <c r="C56" s="135">
        <v>11.82</v>
      </c>
      <c r="D56" s="135">
        <v>14.96</v>
      </c>
      <c r="E56" s="135">
        <v>3.57</v>
      </c>
      <c r="F56" s="135">
        <v>1.20</v>
      </c>
      <c r="G56" s="208" t="s">
        <v>36</v>
      </c>
      <c r="H56" s="135">
        <v>11.75</v>
      </c>
      <c r="I56" s="135">
        <v>4.5</v>
      </c>
      <c r="J56" s="135">
        <v>0.25</v>
      </c>
      <c r="K56" s="135">
        <v>238.49</v>
      </c>
      <c r="L56" s="135">
        <v>47.89</v>
      </c>
      <c r="M56" s="135">
        <v>67.81</v>
      </c>
      <c r="N56" s="9" t="s">
        <v>36</v>
      </c>
      <c r="O56" s="135">
        <v>0</v>
      </c>
      <c r="P56" s="135">
        <v>2.4900000000000002</v>
      </c>
      <c r="Q56" s="135">
        <v>8.32</v>
      </c>
      <c r="R56" s="194"/>
      <c r="S56" s="194"/>
      <c r="T56" s="194"/>
      <c r="U56" s="194"/>
    </row>
    <row r="57" spans="1:21" s="12" customFormat="1" ht="15">
      <c r="A57" s="207" t="s">
        <v>869</v>
      </c>
      <c r="B57" s="135">
        <v>2.77</v>
      </c>
      <c r="C57" s="135">
        <v>12.42</v>
      </c>
      <c r="D57" s="135">
        <v>15.19</v>
      </c>
      <c r="E57" s="135">
        <v>6.74</v>
      </c>
      <c r="F57" s="135">
        <v>1.05</v>
      </c>
      <c r="G57" s="208" t="s">
        <v>36</v>
      </c>
      <c r="H57" s="135">
        <v>10.77</v>
      </c>
      <c r="I57" s="135">
        <v>4.5199999999999996</v>
      </c>
      <c r="J57" s="135">
        <v>1.38</v>
      </c>
      <c r="K57" s="135">
        <v>90.42</v>
      </c>
      <c r="L57" s="135">
        <v>48.26</v>
      </c>
      <c r="M57" s="135">
        <v>67.52</v>
      </c>
      <c r="N57" s="135">
        <v>701.5</v>
      </c>
      <c r="O57" s="135">
        <v>0</v>
      </c>
      <c r="P57" s="135">
        <v>2.5</v>
      </c>
      <c r="Q57" s="135">
        <v>8.15</v>
      </c>
      <c r="R57" s="194"/>
      <c r="S57" s="194"/>
      <c r="T57" s="194"/>
      <c r="U57" s="194"/>
    </row>
    <row r="58" spans="1:21" s="12" customFormat="1" ht="15">
      <c r="A58" s="207" t="s">
        <v>870</v>
      </c>
      <c r="B58" s="135">
        <v>2.4500000000000002</v>
      </c>
      <c r="C58" s="135">
        <v>12.75</v>
      </c>
      <c r="D58" s="135">
        <v>15.20</v>
      </c>
      <c r="E58" s="135">
        <v>6.72</v>
      </c>
      <c r="F58" s="135">
        <v>0.59</v>
      </c>
      <c r="G58" s="208" t="s">
        <v>36</v>
      </c>
      <c r="H58" s="135">
        <v>8.35</v>
      </c>
      <c r="I58" s="135">
        <v>4.51</v>
      </c>
      <c r="J58" s="135">
        <v>2.68</v>
      </c>
      <c r="K58" s="135">
        <v>164.02</v>
      </c>
      <c r="L58" s="135">
        <v>49.75</v>
      </c>
      <c r="M58" s="135">
        <v>68.20</v>
      </c>
      <c r="N58" s="135">
        <v>859.80</v>
      </c>
      <c r="O58" s="135">
        <v>0</v>
      </c>
      <c r="P58" s="135">
        <v>2.5</v>
      </c>
      <c r="Q58" s="135">
        <v>7.98</v>
      </c>
      <c r="R58" s="194"/>
      <c r="S58" s="194"/>
      <c r="T58" s="194"/>
      <c r="U58" s="194"/>
    </row>
    <row r="59" spans="1:21" s="12" customFormat="1" ht="15">
      <c r="A59" s="207" t="s">
        <v>871</v>
      </c>
      <c r="B59" s="135">
        <v>2.11</v>
      </c>
      <c r="C59" s="135">
        <v>12.45</v>
      </c>
      <c r="D59" s="135">
        <v>14.56</v>
      </c>
      <c r="E59" s="135">
        <v>6.53</v>
      </c>
      <c r="F59" s="135">
        <v>0.92</v>
      </c>
      <c r="G59" s="208" t="s">
        <v>36</v>
      </c>
      <c r="H59" s="135">
        <v>8.35</v>
      </c>
      <c r="I59" s="135">
        <v>4.4000000000000004</v>
      </c>
      <c r="J59" s="135">
        <v>1</v>
      </c>
      <c r="K59" s="135">
        <v>292.39999999999998</v>
      </c>
      <c r="L59" s="135">
        <v>49.71</v>
      </c>
      <c r="M59" s="135">
        <v>67.150000000000006</v>
      </c>
      <c r="N59" s="135">
        <v>909.40</v>
      </c>
      <c r="O59" s="135">
        <v>0</v>
      </c>
      <c r="P59" s="135">
        <v>2.4900000000000002</v>
      </c>
      <c r="Q59" s="135">
        <v>7.67</v>
      </c>
      <c r="R59" s="194"/>
      <c r="S59" s="194"/>
      <c r="T59" s="194"/>
      <c r="U59" s="194"/>
    </row>
    <row r="60" spans="1:21" s="12" customFormat="1" ht="15">
      <c r="A60" s="207" t="s">
        <v>872</v>
      </c>
      <c r="B60" s="135">
        <v>2.5299999999999998</v>
      </c>
      <c r="C60" s="135">
        <v>13.18</v>
      </c>
      <c r="D60" s="135">
        <v>15.71</v>
      </c>
      <c r="E60" s="135">
        <v>6.45</v>
      </c>
      <c r="F60" s="135">
        <v>0.77</v>
      </c>
      <c r="G60" s="208" t="s">
        <v>36</v>
      </c>
      <c r="H60" s="135">
        <v>8.35</v>
      </c>
      <c r="I60" s="135">
        <v>4.46</v>
      </c>
      <c r="J60" s="135">
        <v>3.63</v>
      </c>
      <c r="K60" s="135">
        <v>8.08</v>
      </c>
      <c r="L60" s="135">
        <v>50.44</v>
      </c>
      <c r="M60" s="135">
        <v>69.69</v>
      </c>
      <c r="N60" s="135">
        <v>383</v>
      </c>
      <c r="O60" s="135">
        <v>0</v>
      </c>
      <c r="P60" s="135">
        <v>2.5299999999999998</v>
      </c>
      <c r="Q60" s="135">
        <v>7.84</v>
      </c>
      <c r="R60" s="194"/>
      <c r="S60" s="194"/>
      <c r="T60" s="194"/>
      <c r="U60" s="194"/>
    </row>
    <row r="61" spans="1:21" s="12" customFormat="1" ht="15">
      <c r="A61" s="207" t="s">
        <v>873</v>
      </c>
      <c r="B61" s="135">
        <v>3.79</v>
      </c>
      <c r="C61" s="135">
        <v>15.83</v>
      </c>
      <c r="D61" s="135">
        <v>19.62</v>
      </c>
      <c r="E61" s="135">
        <v>6.39</v>
      </c>
      <c r="F61" s="135">
        <v>0.72</v>
      </c>
      <c r="G61" s="208" t="s">
        <v>36</v>
      </c>
      <c r="H61" s="135">
        <v>9.3699999999999992</v>
      </c>
      <c r="I61" s="135">
        <v>4.46</v>
      </c>
      <c r="J61" s="135">
        <v>3.90</v>
      </c>
      <c r="K61" s="135">
        <v>5.94</v>
      </c>
      <c r="L61" s="135">
        <v>47.79</v>
      </c>
      <c r="M61" s="135">
        <v>74.37</v>
      </c>
      <c r="N61" s="135">
        <v>439.30</v>
      </c>
      <c r="O61" s="135">
        <v>0</v>
      </c>
      <c r="P61" s="135">
        <v>2.62</v>
      </c>
      <c r="Q61" s="135">
        <v>8.6999999999999993</v>
      </c>
      <c r="R61" s="194"/>
      <c r="S61" s="194"/>
      <c r="T61" s="194"/>
      <c r="U61" s="194"/>
    </row>
    <row r="62" spans="1:21" s="12" customFormat="1" ht="15">
      <c r="A62" s="207" t="s">
        <v>874</v>
      </c>
      <c r="B62" s="135">
        <v>4.54</v>
      </c>
      <c r="C62" s="135">
        <v>16.93</v>
      </c>
      <c r="D62" s="135">
        <v>21.47</v>
      </c>
      <c r="E62" s="135">
        <v>6.19</v>
      </c>
      <c r="F62" s="135">
        <v>0.80</v>
      </c>
      <c r="G62" s="208" t="s">
        <v>36</v>
      </c>
      <c r="H62" s="135">
        <v>11.89</v>
      </c>
      <c r="I62" s="135">
        <v>4.6500000000000004</v>
      </c>
      <c r="J62" s="135">
        <v>3.77</v>
      </c>
      <c r="K62" s="135">
        <v>343.24</v>
      </c>
      <c r="L62" s="135">
        <v>45.22</v>
      </c>
      <c r="M62" s="135">
        <v>73.86</v>
      </c>
      <c r="N62" s="135">
        <v>704.10</v>
      </c>
      <c r="O62" s="135">
        <v>0</v>
      </c>
      <c r="P62" s="135">
        <v>2.67</v>
      </c>
      <c r="Q62" s="135">
        <v>9.09</v>
      </c>
      <c r="R62" s="194"/>
      <c r="S62" s="194"/>
      <c r="T62" s="194"/>
      <c r="U62" s="194"/>
    </row>
    <row r="63" spans="1:21" s="12" customFormat="1" ht="15">
      <c r="A63" s="207" t="s">
        <v>875</v>
      </c>
      <c r="B63" s="135">
        <v>4.87</v>
      </c>
      <c r="C63" s="135">
        <v>17.739999999999998</v>
      </c>
      <c r="D63" s="135">
        <v>22.61</v>
      </c>
      <c r="E63" s="135">
        <v>6.55</v>
      </c>
      <c r="F63" s="135">
        <v>1.36</v>
      </c>
      <c r="G63" s="208" t="s">
        <v>36</v>
      </c>
      <c r="H63" s="135">
        <v>11.89</v>
      </c>
      <c r="I63" s="135">
        <v>5.29</v>
      </c>
      <c r="J63" s="135">
        <v>3.59</v>
      </c>
      <c r="K63" s="135">
        <v>320.55</v>
      </c>
      <c r="L63" s="135">
        <v>47.13</v>
      </c>
      <c r="M63" s="135">
        <v>66.84</v>
      </c>
      <c r="N63" s="9" t="s">
        <v>36</v>
      </c>
      <c r="O63" s="135">
        <v>0</v>
      </c>
      <c r="P63" s="135">
        <v>2.70</v>
      </c>
      <c r="Q63" s="135">
        <v>9.33</v>
      </c>
      <c r="R63" s="194"/>
      <c r="S63" s="194"/>
      <c r="T63" s="194"/>
      <c r="U63" s="194"/>
    </row>
    <row r="64" spans="1:21" s="12" customFormat="1" ht="15">
      <c r="A64" s="207" t="s">
        <v>876</v>
      </c>
      <c r="B64" s="135">
        <v>4.72</v>
      </c>
      <c r="C64" s="135">
        <v>18.45</v>
      </c>
      <c r="D64" s="135">
        <v>23.17</v>
      </c>
      <c r="E64" s="135">
        <v>6.28</v>
      </c>
      <c r="F64" s="135">
        <v>1.55</v>
      </c>
      <c r="G64" s="208" t="s">
        <v>36</v>
      </c>
      <c r="H64" s="135">
        <v>11.89</v>
      </c>
      <c r="I64" s="135">
        <v>5.56</v>
      </c>
      <c r="J64" s="135">
        <v>3.75</v>
      </c>
      <c r="K64" s="135">
        <v>334.65</v>
      </c>
      <c r="L64" s="135">
        <v>48.35</v>
      </c>
      <c r="M64" s="135">
        <v>61.33</v>
      </c>
      <c r="N64" s="9" t="s">
        <v>36</v>
      </c>
      <c r="O64" s="135">
        <v>0</v>
      </c>
      <c r="P64" s="135">
        <v>2.72</v>
      </c>
      <c r="Q64" s="135">
        <v>9.58</v>
      </c>
      <c r="R64" s="194"/>
      <c r="S64" s="194"/>
      <c r="T64" s="194"/>
      <c r="U64" s="194"/>
    </row>
    <row r="65" spans="1:21" s="12" customFormat="1" ht="15">
      <c r="A65" s="207" t="s">
        <v>877</v>
      </c>
      <c r="B65" s="135">
        <v>4.20</v>
      </c>
      <c r="C65" s="135">
        <v>19.39</v>
      </c>
      <c r="D65" s="135">
        <v>23.59</v>
      </c>
      <c r="E65" s="135">
        <v>6.61</v>
      </c>
      <c r="F65" s="135">
        <v>2.12</v>
      </c>
      <c r="G65" s="208" t="s">
        <v>36</v>
      </c>
      <c r="H65" s="135">
        <v>13.89</v>
      </c>
      <c r="I65" s="135">
        <v>5.38</v>
      </c>
      <c r="J65" s="135">
        <v>3.97</v>
      </c>
      <c r="K65" s="135">
        <v>338.97</v>
      </c>
      <c r="L65" s="135">
        <v>49.17</v>
      </c>
      <c r="M65" s="135">
        <v>60.27</v>
      </c>
      <c r="N65" s="9" t="s">
        <v>36</v>
      </c>
      <c r="O65" s="135">
        <v>0</v>
      </c>
      <c r="P65" s="135">
        <v>2.73</v>
      </c>
      <c r="Q65" s="135">
        <v>9.56</v>
      </c>
      <c r="R65" s="194"/>
      <c r="S65" s="194"/>
      <c r="T65" s="194"/>
      <c r="U65" s="194"/>
    </row>
    <row r="66" spans="1:21" s="12" customFormat="1" ht="15">
      <c r="A66" s="207" t="s">
        <v>878</v>
      </c>
      <c r="B66" s="135">
        <v>3.64</v>
      </c>
      <c r="C66" s="135">
        <v>20.420000000000002</v>
      </c>
      <c r="D66" s="135">
        <v>24.06</v>
      </c>
      <c r="E66" s="135">
        <v>6.07</v>
      </c>
      <c r="F66" s="135">
        <v>1.72</v>
      </c>
      <c r="G66" s="208" t="s">
        <v>36</v>
      </c>
      <c r="H66" s="135">
        <v>18.829999999999998</v>
      </c>
      <c r="I66" s="135">
        <v>5.33</v>
      </c>
      <c r="J66" s="135">
        <v>4.09</v>
      </c>
      <c r="K66" s="135">
        <v>348.45</v>
      </c>
      <c r="L66" s="135">
        <v>48.5</v>
      </c>
      <c r="M66" s="135">
        <v>62.04</v>
      </c>
      <c r="N66" s="9" t="s">
        <v>36</v>
      </c>
      <c r="O66" s="135">
        <v>0</v>
      </c>
      <c r="P66" s="135">
        <v>2.76</v>
      </c>
      <c r="Q66" s="135">
        <v>9.68</v>
      </c>
      <c r="R66" s="194"/>
      <c r="S66" s="194"/>
      <c r="T66" s="194"/>
      <c r="U66" s="194"/>
    </row>
    <row r="67" spans="1:21" s="12" customFormat="1" ht="15">
      <c r="A67" s="207" t="s">
        <v>879</v>
      </c>
      <c r="B67" s="135">
        <v>3.68</v>
      </c>
      <c r="C67" s="135">
        <v>18.88</v>
      </c>
      <c r="D67" s="135">
        <v>22.57</v>
      </c>
      <c r="E67" s="135">
        <v>6.34</v>
      </c>
      <c r="F67" s="135">
        <v>1.33</v>
      </c>
      <c r="G67" s="208" t="s">
        <v>36</v>
      </c>
      <c r="H67" s="135">
        <v>18.829999999999998</v>
      </c>
      <c r="I67" s="135">
        <v>5.93</v>
      </c>
      <c r="J67" s="135">
        <v>2.5299999999999998</v>
      </c>
      <c r="K67" s="135">
        <v>345.70</v>
      </c>
      <c r="L67" s="135">
        <v>48.99</v>
      </c>
      <c r="M67" s="135">
        <v>62.74</v>
      </c>
      <c r="N67" s="135">
        <v>721.5</v>
      </c>
      <c r="O67" s="135">
        <v>0</v>
      </c>
      <c r="P67" s="135">
        <v>2.77</v>
      </c>
      <c r="Q67" s="135">
        <v>9.2799999999999994</v>
      </c>
      <c r="R67" s="194"/>
      <c r="S67" s="194"/>
      <c r="T67" s="194"/>
      <c r="U67" s="194"/>
    </row>
    <row r="68" spans="1:21" s="12" customFormat="1" ht="15">
      <c r="A68" s="207" t="s">
        <v>880</v>
      </c>
      <c r="B68" s="135">
        <v>4.0199999999999996</v>
      </c>
      <c r="C68" s="135">
        <v>16.670000000000002</v>
      </c>
      <c r="D68" s="135">
        <v>20.69</v>
      </c>
      <c r="E68" s="135">
        <v>6.38</v>
      </c>
      <c r="F68" s="135">
        <v>1.33</v>
      </c>
      <c r="G68" s="208" t="s">
        <v>36</v>
      </c>
      <c r="H68" s="135">
        <v>18.829999999999998</v>
      </c>
      <c r="I68" s="135">
        <v>5.90</v>
      </c>
      <c r="J68" s="135">
        <v>0.42</v>
      </c>
      <c r="K68" s="135">
        <v>82.97</v>
      </c>
      <c r="L68" s="135">
        <v>47.91</v>
      </c>
      <c r="M68" s="135">
        <v>63.46</v>
      </c>
      <c r="N68" s="135">
        <v>951.40</v>
      </c>
      <c r="O68" s="135">
        <v>0</v>
      </c>
      <c r="P68" s="135">
        <v>2.76</v>
      </c>
      <c r="Q68" s="135">
        <v>9.01</v>
      </c>
      <c r="R68" s="194"/>
      <c r="S68" s="194"/>
      <c r="T68" s="194"/>
      <c r="U68" s="194"/>
    </row>
    <row r="69" spans="1:21" s="12" customFormat="1" ht="15">
      <c r="A69" s="207" t="s">
        <v>881</v>
      </c>
      <c r="B69" s="135">
        <v>3.99</v>
      </c>
      <c r="C69" s="135">
        <v>16.30</v>
      </c>
      <c r="D69" s="135">
        <v>20.29</v>
      </c>
      <c r="E69" s="135">
        <v>6.41</v>
      </c>
      <c r="F69" s="135">
        <v>1.26</v>
      </c>
      <c r="G69" s="208" t="s">
        <v>36</v>
      </c>
      <c r="H69" s="135">
        <v>18.16</v>
      </c>
      <c r="I69" s="135">
        <v>5.40</v>
      </c>
      <c r="J69" s="135">
        <v>0.22</v>
      </c>
      <c r="K69" s="135">
        <v>331.76</v>
      </c>
      <c r="L69" s="135">
        <v>41.5</v>
      </c>
      <c r="M69" s="135">
        <v>62.75</v>
      </c>
      <c r="N69" s="135">
        <v>210.20</v>
      </c>
      <c r="O69" s="135">
        <v>0</v>
      </c>
      <c r="P69" s="135">
        <v>2.75</v>
      </c>
      <c r="Q69" s="135">
        <v>9.10</v>
      </c>
      <c r="R69" s="194"/>
      <c r="S69" s="194"/>
      <c r="T69" s="194"/>
      <c r="U69" s="194"/>
    </row>
    <row r="70" spans="1:21" s="12" customFormat="1" ht="15">
      <c r="A70" s="207" t="s">
        <v>882</v>
      </c>
      <c r="B70" s="135">
        <v>3.31</v>
      </c>
      <c r="C70" s="135">
        <v>15.82</v>
      </c>
      <c r="D70" s="135">
        <v>19.13</v>
      </c>
      <c r="E70" s="135">
        <v>6.52</v>
      </c>
      <c r="F70" s="135">
        <v>1.72</v>
      </c>
      <c r="G70" s="208" t="s">
        <v>36</v>
      </c>
      <c r="H70" s="135">
        <v>16.5</v>
      </c>
      <c r="I70" s="135">
        <v>4.59</v>
      </c>
      <c r="J70" s="135">
        <v>1.71</v>
      </c>
      <c r="K70" s="135">
        <v>102.37</v>
      </c>
      <c r="L70" s="135">
        <v>36.369999999999997</v>
      </c>
      <c r="M70" s="135">
        <v>80.87</v>
      </c>
      <c r="N70" s="135">
        <v>55.80</v>
      </c>
      <c r="O70" s="135">
        <v>1.40</v>
      </c>
      <c r="P70" s="135">
        <v>2.74</v>
      </c>
      <c r="Q70" s="135">
        <v>10.130000000000001</v>
      </c>
      <c r="R70" s="194"/>
      <c r="S70" s="194"/>
      <c r="T70" s="194"/>
      <c r="U70" s="194"/>
    </row>
    <row r="71" spans="1:21" s="12" customFormat="1" ht="15">
      <c r="A71" s="207" t="s">
        <v>883</v>
      </c>
      <c r="B71" s="135">
        <v>2.25</v>
      </c>
      <c r="C71" s="135">
        <v>15.31</v>
      </c>
      <c r="D71" s="135">
        <v>17.559999999999999</v>
      </c>
      <c r="E71" s="135">
        <v>6.09</v>
      </c>
      <c r="F71" s="135">
        <v>1.81</v>
      </c>
      <c r="G71" s="208" t="s">
        <v>36</v>
      </c>
      <c r="H71" s="135">
        <v>16.5</v>
      </c>
      <c r="I71" s="135">
        <v>5.78</v>
      </c>
      <c r="J71" s="135">
        <v>0.95</v>
      </c>
      <c r="K71" s="135">
        <v>67.92</v>
      </c>
      <c r="L71" s="135">
        <v>32.51</v>
      </c>
      <c r="M71" s="135">
        <v>96.31</v>
      </c>
      <c r="N71" s="135">
        <v>48.30</v>
      </c>
      <c r="O71" s="135">
        <v>3.40</v>
      </c>
      <c r="P71" s="135">
        <v>2.69</v>
      </c>
      <c r="Q71" s="135">
        <v>12</v>
      </c>
      <c r="R71" s="194"/>
      <c r="S71" s="194"/>
      <c r="T71" s="194"/>
      <c r="U71" s="194"/>
    </row>
    <row r="72" spans="1:21" s="12" customFormat="1" ht="15">
      <c r="A72" s="207" t="s">
        <v>884</v>
      </c>
      <c r="B72" s="135">
        <v>2.16</v>
      </c>
      <c r="C72" s="135">
        <v>15.86</v>
      </c>
      <c r="D72" s="135">
        <v>18.02</v>
      </c>
      <c r="E72" s="135">
        <v>2.39</v>
      </c>
      <c r="F72" s="135">
        <v>1.73</v>
      </c>
      <c r="G72" s="208" t="s">
        <v>36</v>
      </c>
      <c r="H72" s="135">
        <v>16.5</v>
      </c>
      <c r="I72" s="135">
        <v>5.93</v>
      </c>
      <c r="J72" s="135">
        <v>1.33</v>
      </c>
      <c r="K72" s="135">
        <v>11.60</v>
      </c>
      <c r="L72" s="135">
        <v>42.80</v>
      </c>
      <c r="M72" s="135">
        <v>99.08</v>
      </c>
      <c r="N72" s="135">
        <v>47.90</v>
      </c>
      <c r="O72" s="135">
        <v>4.5999999999999996</v>
      </c>
      <c r="P72" s="135">
        <v>2.67</v>
      </c>
      <c r="Q72" s="135">
        <v>13.66</v>
      </c>
      <c r="R72" s="194"/>
      <c r="S72" s="194"/>
      <c r="T72" s="194"/>
      <c r="U72" s="194"/>
    </row>
    <row r="73" spans="1:21" s="12" customFormat="1" ht="15">
      <c r="A73" s="207" t="s">
        <v>885</v>
      </c>
      <c r="B73" s="135">
        <v>2.5099999999999998</v>
      </c>
      <c r="C73" s="135">
        <v>15.79</v>
      </c>
      <c r="D73" s="135">
        <v>18.30</v>
      </c>
      <c r="E73" s="135">
        <v>5.12</v>
      </c>
      <c r="F73" s="135">
        <v>0.86</v>
      </c>
      <c r="G73" s="208" t="s">
        <v>36</v>
      </c>
      <c r="H73" s="135">
        <v>17.54</v>
      </c>
      <c r="I73" s="135">
        <v>5.61</v>
      </c>
      <c r="J73" s="135">
        <v>1</v>
      </c>
      <c r="K73" s="135">
        <v>18.84</v>
      </c>
      <c r="L73" s="135">
        <v>34</v>
      </c>
      <c r="M73" s="135">
        <v>99.10</v>
      </c>
      <c r="N73" s="135">
        <v>77.400000000000006</v>
      </c>
      <c r="O73" s="135">
        <v>0.40</v>
      </c>
      <c r="P73" s="135">
        <v>2.68</v>
      </c>
      <c r="Q73" s="135">
        <v>15.82</v>
      </c>
      <c r="R73" s="194"/>
      <c r="S73" s="194"/>
      <c r="T73" s="194"/>
      <c r="U73" s="194"/>
    </row>
    <row r="74" spans="1:21" s="12" customFormat="1" ht="15">
      <c r="A74" s="207" t="s">
        <v>886</v>
      </c>
      <c r="B74" s="135">
        <v>3.68</v>
      </c>
      <c r="C74" s="135">
        <v>15.83</v>
      </c>
      <c r="D74" s="135">
        <v>19.52</v>
      </c>
      <c r="E74" s="135">
        <v>5.31</v>
      </c>
      <c r="F74" s="135">
        <v>0.54</v>
      </c>
      <c r="G74" s="208" t="s">
        <v>36</v>
      </c>
      <c r="H74" s="135">
        <v>20.11</v>
      </c>
      <c r="I74" s="135">
        <v>5.34</v>
      </c>
      <c r="J74" s="135">
        <v>0.85</v>
      </c>
      <c r="K74" s="135">
        <v>87.98</v>
      </c>
      <c r="L74" s="135">
        <v>31.12</v>
      </c>
      <c r="M74" s="135">
        <v>99.09</v>
      </c>
      <c r="N74" s="135">
        <v>80</v>
      </c>
      <c r="O74" s="135">
        <v>0</v>
      </c>
      <c r="P74" s="135">
        <v>2.72</v>
      </c>
      <c r="Q74" s="135">
        <v>17.850000000000001</v>
      </c>
      <c r="R74" s="194"/>
      <c r="S74" s="194"/>
      <c r="T74" s="194"/>
      <c r="U74" s="194"/>
    </row>
    <row r="75" spans="1:21" s="12" customFormat="1" ht="15">
      <c r="A75" s="207" t="s">
        <v>887</v>
      </c>
      <c r="B75" s="135">
        <v>3.90</v>
      </c>
      <c r="C75" s="135">
        <v>17.05</v>
      </c>
      <c r="D75" s="135">
        <v>20.95</v>
      </c>
      <c r="E75" s="135">
        <v>4.93</v>
      </c>
      <c r="F75" s="135">
        <v>0.59</v>
      </c>
      <c r="G75" s="208" t="s">
        <v>36</v>
      </c>
      <c r="H75" s="135">
        <v>20.11</v>
      </c>
      <c r="I75" s="135">
        <v>5.35</v>
      </c>
      <c r="J75" s="135">
        <v>0.78</v>
      </c>
      <c r="K75" s="135">
        <v>92.41</v>
      </c>
      <c r="L75" s="135">
        <v>31.24</v>
      </c>
      <c r="M75" s="135">
        <v>98.41</v>
      </c>
      <c r="N75" s="135">
        <v>87.40</v>
      </c>
      <c r="O75" s="135">
        <v>0.60</v>
      </c>
      <c r="P75" s="135">
        <v>2.74</v>
      </c>
      <c r="Q75" s="135">
        <v>19.89</v>
      </c>
      <c r="R75" s="194"/>
      <c r="S75" s="194"/>
      <c r="T75" s="194"/>
      <c r="U75" s="194"/>
    </row>
    <row r="76" spans="1:21" s="12" customFormat="1" ht="15">
      <c r="A76" s="207" t="s">
        <v>888</v>
      </c>
      <c r="B76" s="135">
        <v>3.67</v>
      </c>
      <c r="C76" s="135">
        <v>16.420000000000002</v>
      </c>
      <c r="D76" s="135">
        <v>20.100000000000001</v>
      </c>
      <c r="E76" s="135">
        <v>4.93</v>
      </c>
      <c r="F76" s="135">
        <v>0.25</v>
      </c>
      <c r="G76" s="208" t="s">
        <v>36</v>
      </c>
      <c r="H76" s="135">
        <v>20.11</v>
      </c>
      <c r="I76" s="135">
        <v>5.43</v>
      </c>
      <c r="J76" s="135">
        <v>0.13</v>
      </c>
      <c r="K76" s="135">
        <v>151.22</v>
      </c>
      <c r="L76" s="135">
        <v>34.33</v>
      </c>
      <c r="M76" s="135">
        <v>98.92</v>
      </c>
      <c r="N76" s="135">
        <v>91.10</v>
      </c>
      <c r="O76" s="135">
        <v>0</v>
      </c>
      <c r="P76" s="135">
        <v>2.78</v>
      </c>
      <c r="Q76" s="135">
        <v>20.88</v>
      </c>
      <c r="R76" s="194"/>
      <c r="S76" s="194"/>
      <c r="T76" s="194"/>
      <c r="U76" s="194"/>
    </row>
    <row r="77" spans="1:21" s="12" customFormat="1" ht="15">
      <c r="A77" s="207" t="s">
        <v>889</v>
      </c>
      <c r="B77" s="135">
        <v>4.01</v>
      </c>
      <c r="C77" s="135">
        <v>14.74</v>
      </c>
      <c r="D77" s="135">
        <v>18.760000000000002</v>
      </c>
      <c r="E77" s="135">
        <v>5.40</v>
      </c>
      <c r="F77" s="135">
        <v>0.40</v>
      </c>
      <c r="G77" s="208" t="s">
        <v>36</v>
      </c>
      <c r="H77" s="135">
        <v>19.510000000000002</v>
      </c>
      <c r="I77" s="135">
        <v>5.22</v>
      </c>
      <c r="J77" s="135">
        <v>0.66</v>
      </c>
      <c r="K77" s="135">
        <v>170.42</v>
      </c>
      <c r="L77" s="135">
        <v>36.18</v>
      </c>
      <c r="M77" s="135">
        <v>95.71</v>
      </c>
      <c r="N77" s="135">
        <v>87.60</v>
      </c>
      <c r="O77" s="135">
        <v>0</v>
      </c>
      <c r="P77" s="135">
        <v>2.74</v>
      </c>
      <c r="Q77" s="135">
        <v>21.37</v>
      </c>
      <c r="R77" s="194"/>
      <c r="S77" s="194"/>
      <c r="T77" s="194"/>
      <c r="U77" s="194"/>
    </row>
    <row r="78" spans="1:21" s="12" customFormat="1" ht="15">
      <c r="A78" s="207" t="s">
        <v>890</v>
      </c>
      <c r="B78" s="135">
        <v>4.4000000000000004</v>
      </c>
      <c r="C78" s="135">
        <v>13.39</v>
      </c>
      <c r="D78" s="135">
        <v>17.78</v>
      </c>
      <c r="E78" s="135">
        <v>5.35</v>
      </c>
      <c r="F78" s="135">
        <v>0.5</v>
      </c>
      <c r="G78" s="208" t="s">
        <v>36</v>
      </c>
      <c r="H78" s="135">
        <v>18.05</v>
      </c>
      <c r="I78" s="135">
        <v>4.58</v>
      </c>
      <c r="J78" s="135">
        <v>0.18</v>
      </c>
      <c r="K78" s="135">
        <v>110.96</v>
      </c>
      <c r="L78" s="135">
        <v>39.01</v>
      </c>
      <c r="M78" s="135">
        <v>97.05</v>
      </c>
      <c r="N78" s="135">
        <v>53.60</v>
      </c>
      <c r="O78" s="135">
        <v>0</v>
      </c>
      <c r="P78" s="135">
        <v>2.80</v>
      </c>
      <c r="Q78" s="135">
        <v>21.96</v>
      </c>
      <c r="R78" s="194"/>
      <c r="S78" s="194"/>
      <c r="T78" s="194"/>
      <c r="U78" s="194"/>
    </row>
    <row r="79" spans="1:21" s="12" customFormat="1" ht="15">
      <c r="A79" s="207" t="s">
        <v>891</v>
      </c>
      <c r="B79" s="135">
        <v>6.28</v>
      </c>
      <c r="C79" s="135">
        <v>14.24</v>
      </c>
      <c r="D79" s="135">
        <v>20.52</v>
      </c>
      <c r="E79" s="135">
        <v>5.52</v>
      </c>
      <c r="F79" s="135">
        <v>0.44</v>
      </c>
      <c r="G79" s="208" t="s">
        <v>36</v>
      </c>
      <c r="H79" s="135">
        <v>18.05</v>
      </c>
      <c r="I79" s="135">
        <v>4.4000000000000004</v>
      </c>
      <c r="J79" s="135">
        <v>0.41</v>
      </c>
      <c r="K79" s="135">
        <v>80.290000000000006</v>
      </c>
      <c r="L79" s="135">
        <v>45.94</v>
      </c>
      <c r="M79" s="135">
        <v>97.04</v>
      </c>
      <c r="N79" s="135">
        <v>54</v>
      </c>
      <c r="O79" s="135">
        <v>0</v>
      </c>
      <c r="P79" s="135">
        <v>2.83</v>
      </c>
      <c r="Q79" s="135">
        <v>23.17</v>
      </c>
      <c r="R79" s="194"/>
      <c r="S79" s="194"/>
      <c r="T79" s="194"/>
      <c r="U79" s="194"/>
    </row>
    <row r="80" spans="1:21" s="12" customFormat="1" ht="15">
      <c r="A80" s="207" t="s">
        <v>892</v>
      </c>
      <c r="B80" s="135">
        <v>6.97</v>
      </c>
      <c r="C80" s="135">
        <v>15.52</v>
      </c>
      <c r="D80" s="135">
        <v>22.49</v>
      </c>
      <c r="E80" s="135">
        <v>5.73</v>
      </c>
      <c r="F80" s="135">
        <v>0.37</v>
      </c>
      <c r="G80" s="208" t="s">
        <v>36</v>
      </c>
      <c r="H80" s="135">
        <v>18.05</v>
      </c>
      <c r="I80" s="135">
        <v>4.2300000000000004</v>
      </c>
      <c r="J80" s="135">
        <v>0.20</v>
      </c>
      <c r="K80" s="135">
        <v>205.88</v>
      </c>
      <c r="L80" s="135">
        <v>35.25</v>
      </c>
      <c r="M80" s="135">
        <v>96.79</v>
      </c>
      <c r="N80" s="135">
        <v>19.100000000000001</v>
      </c>
      <c r="O80" s="135">
        <v>0</v>
      </c>
      <c r="P80" s="135">
        <v>2.88</v>
      </c>
      <c r="Q80" s="135">
        <v>23.59</v>
      </c>
      <c r="R80" s="194"/>
      <c r="S80" s="194"/>
      <c r="T80" s="194"/>
      <c r="U80" s="194"/>
    </row>
    <row r="81" spans="1:21" s="12" customFormat="1" ht="15">
      <c r="A81" s="207" t="s">
        <v>893</v>
      </c>
      <c r="B81" s="135">
        <v>6.93</v>
      </c>
      <c r="C81" s="135">
        <v>15.07</v>
      </c>
      <c r="D81" s="135">
        <v>22</v>
      </c>
      <c r="E81" s="135">
        <v>5.99</v>
      </c>
      <c r="F81" s="135">
        <v>0.34</v>
      </c>
      <c r="G81" s="208" t="s">
        <v>36</v>
      </c>
      <c r="H81" s="135">
        <v>16.5</v>
      </c>
      <c r="I81" s="135">
        <v>4.4400000000000004</v>
      </c>
      <c r="J81" s="135">
        <v>0.20</v>
      </c>
      <c r="K81" s="135">
        <v>220.62</v>
      </c>
      <c r="L81" s="135">
        <v>30.72</v>
      </c>
      <c r="M81" s="135">
        <v>97.15</v>
      </c>
      <c r="N81" s="135">
        <v>26.10</v>
      </c>
      <c r="O81" s="135">
        <v>0</v>
      </c>
      <c r="P81" s="135">
        <v>2.86</v>
      </c>
      <c r="Q81" s="135">
        <v>23.27</v>
      </c>
      <c r="R81" s="194"/>
      <c r="S81" s="194"/>
      <c r="T81" s="194"/>
      <c r="U81" s="194"/>
    </row>
    <row r="82" spans="1:21" s="12" customFormat="1" ht="15">
      <c r="A82" s="207" t="s">
        <v>894</v>
      </c>
      <c r="B82" s="135">
        <v>6.72</v>
      </c>
      <c r="C82" s="135">
        <v>14.19</v>
      </c>
      <c r="D82" s="135">
        <v>20.91</v>
      </c>
      <c r="E82" s="135">
        <v>6.31</v>
      </c>
      <c r="F82" s="135">
        <v>0.28999999999999998</v>
      </c>
      <c r="G82" s="208" t="s">
        <v>36</v>
      </c>
      <c r="H82" s="135">
        <v>12.68</v>
      </c>
      <c r="I82" s="135">
        <v>5.28</v>
      </c>
      <c r="J82" s="135">
        <v>0.54</v>
      </c>
      <c r="K82" s="135">
        <v>200.92</v>
      </c>
      <c r="L82" s="135">
        <v>31.43</v>
      </c>
      <c r="M82" s="135">
        <v>96.84</v>
      </c>
      <c r="N82" s="135">
        <v>18.80</v>
      </c>
      <c r="O82" s="135">
        <v>0</v>
      </c>
      <c r="P82" s="135">
        <v>2.85</v>
      </c>
      <c r="Q82" s="135">
        <v>22.69</v>
      </c>
      <c r="R82" s="194"/>
      <c r="S82" s="194"/>
      <c r="T82" s="194"/>
      <c r="U82" s="194"/>
    </row>
    <row r="83" spans="1:21" s="12" customFormat="1" ht="15">
      <c r="A83" s="207" t="s">
        <v>895</v>
      </c>
      <c r="B83" s="135">
        <v>6.35</v>
      </c>
      <c r="C83" s="135">
        <v>13.69</v>
      </c>
      <c r="D83" s="135">
        <v>20.03</v>
      </c>
      <c r="E83" s="135">
        <v>6.34</v>
      </c>
      <c r="F83" s="135">
        <v>0.11</v>
      </c>
      <c r="G83" s="208" t="s">
        <v>36</v>
      </c>
      <c r="H83" s="135">
        <v>12.68</v>
      </c>
      <c r="I83" s="135">
        <v>5.16</v>
      </c>
      <c r="J83" s="135">
        <v>0.25</v>
      </c>
      <c r="K83" s="135">
        <v>208.03</v>
      </c>
      <c r="L83" s="135">
        <v>31.26</v>
      </c>
      <c r="M83" s="135">
        <v>97.05</v>
      </c>
      <c r="N83" s="135">
        <v>8.5</v>
      </c>
      <c r="O83" s="135">
        <v>0</v>
      </c>
      <c r="P83" s="135">
        <v>2.83</v>
      </c>
      <c r="Q83" s="135">
        <v>22.37</v>
      </c>
      <c r="R83" s="194"/>
      <c r="S83" s="194"/>
      <c r="T83" s="194"/>
      <c r="U83" s="194"/>
    </row>
    <row r="84" spans="1:21" s="12" customFormat="1" ht="15">
      <c r="A84" s="207" t="s">
        <v>896</v>
      </c>
      <c r="B84" s="135">
        <v>5.79</v>
      </c>
      <c r="C84" s="135">
        <v>13.11</v>
      </c>
      <c r="D84" s="135">
        <v>18.899999999999999</v>
      </c>
      <c r="E84" s="135">
        <v>6.31</v>
      </c>
      <c r="F84" s="135">
        <v>0.71</v>
      </c>
      <c r="G84" s="208" t="s">
        <v>36</v>
      </c>
      <c r="H84" s="135">
        <v>12.68</v>
      </c>
      <c r="I84" s="135">
        <v>5.28</v>
      </c>
      <c r="J84" s="135">
        <v>0.61</v>
      </c>
      <c r="K84" s="135">
        <v>167.70</v>
      </c>
      <c r="L84" s="135">
        <v>31.94</v>
      </c>
      <c r="M84" s="135">
        <v>96.90</v>
      </c>
      <c r="N84" s="135">
        <v>1.5</v>
      </c>
      <c r="O84" s="135">
        <v>0</v>
      </c>
      <c r="P84" s="135">
        <v>2.82</v>
      </c>
      <c r="Q84" s="135">
        <v>23.16</v>
      </c>
      <c r="R84" s="194"/>
      <c r="S84" s="194"/>
      <c r="T84" s="194"/>
      <c r="U84" s="194"/>
    </row>
    <row r="85" spans="1:21" s="12" customFormat="1" ht="15">
      <c r="A85" s="207" t="s">
        <v>897</v>
      </c>
      <c r="B85" s="135">
        <v>5.08</v>
      </c>
      <c r="C85" s="135">
        <v>12.94</v>
      </c>
      <c r="D85" s="135">
        <v>18.02</v>
      </c>
      <c r="E85" s="135">
        <v>6.22</v>
      </c>
      <c r="F85" s="135">
        <v>0.44</v>
      </c>
      <c r="G85" s="208" t="s">
        <v>36</v>
      </c>
      <c r="H85" s="135">
        <v>13.35</v>
      </c>
      <c r="I85" s="135">
        <v>5.07</v>
      </c>
      <c r="J85" s="135">
        <v>0.84</v>
      </c>
      <c r="K85" s="135">
        <v>170.71</v>
      </c>
      <c r="L85" s="135">
        <v>34.53</v>
      </c>
      <c r="M85" s="135">
        <v>96.59</v>
      </c>
      <c r="N85" s="135">
        <v>0.80</v>
      </c>
      <c r="O85" s="135">
        <v>0</v>
      </c>
      <c r="P85" s="135">
        <v>2.81</v>
      </c>
      <c r="Q85" s="135">
        <v>23.27</v>
      </c>
      <c r="R85" s="194"/>
      <c r="S85" s="194"/>
      <c r="T85" s="194"/>
      <c r="U85" s="194"/>
    </row>
    <row r="86" spans="1:21" s="12" customFormat="1" ht="15">
      <c r="A86" s="207" t="s">
        <v>898</v>
      </c>
      <c r="B86" s="135">
        <v>4.5199999999999996</v>
      </c>
      <c r="C86" s="135">
        <v>12.75</v>
      </c>
      <c r="D86" s="135">
        <v>17.27</v>
      </c>
      <c r="E86" s="135">
        <v>6.24</v>
      </c>
      <c r="F86" s="135">
        <v>0.31</v>
      </c>
      <c r="G86" s="208" t="s">
        <v>36</v>
      </c>
      <c r="H86" s="135">
        <v>14.98</v>
      </c>
      <c r="I86" s="135">
        <v>5.64</v>
      </c>
      <c r="J86" s="135">
        <v>0.26</v>
      </c>
      <c r="K86" s="135">
        <v>198.72</v>
      </c>
      <c r="L86" s="135">
        <v>34.99</v>
      </c>
      <c r="M86" s="135">
        <v>96.68</v>
      </c>
      <c r="N86" s="135">
        <v>1</v>
      </c>
      <c r="O86" s="135">
        <v>0</v>
      </c>
      <c r="P86" s="135">
        <v>2.79</v>
      </c>
      <c r="Q86" s="135">
        <v>21.54</v>
      </c>
      <c r="R86" s="194"/>
      <c r="S86" s="194"/>
      <c r="T86" s="194"/>
      <c r="U86" s="194"/>
    </row>
    <row r="87" spans="1:21" s="12" customFormat="1" ht="15">
      <c r="A87" s="207" t="s">
        <v>899</v>
      </c>
      <c r="B87" s="135">
        <v>4.3499999999999996</v>
      </c>
      <c r="C87" s="135">
        <v>12.65</v>
      </c>
      <c r="D87" s="135">
        <v>17</v>
      </c>
      <c r="E87" s="135">
        <v>5.95</v>
      </c>
      <c r="F87" s="135">
        <v>0.20</v>
      </c>
      <c r="G87" s="208" t="s">
        <v>36</v>
      </c>
      <c r="H87" s="135">
        <v>14.98</v>
      </c>
      <c r="I87" s="135">
        <v>5.76</v>
      </c>
      <c r="J87" s="135">
        <v>1.07</v>
      </c>
      <c r="K87" s="135">
        <v>166.51</v>
      </c>
      <c r="L87" s="135">
        <v>34.200000000000003</v>
      </c>
      <c r="M87" s="135">
        <v>96.63</v>
      </c>
      <c r="N87" s="135">
        <v>0.60</v>
      </c>
      <c r="O87" s="135">
        <v>0</v>
      </c>
      <c r="P87" s="135">
        <v>2.79</v>
      </c>
      <c r="Q87" s="135">
        <v>20.29</v>
      </c>
      <c r="R87" s="194"/>
      <c r="S87" s="194"/>
      <c r="T87" s="194"/>
      <c r="U87" s="194"/>
    </row>
    <row r="88" spans="1:21" s="12" customFormat="1" ht="15">
      <c r="A88" s="207" t="s">
        <v>900</v>
      </c>
      <c r="B88" s="135">
        <v>4.8499999999999996</v>
      </c>
      <c r="C88" s="135">
        <v>12.77</v>
      </c>
      <c r="D88" s="135">
        <v>17.62</v>
      </c>
      <c r="E88" s="135">
        <v>4.0999999999999996</v>
      </c>
      <c r="F88" s="135">
        <v>0.27</v>
      </c>
      <c r="G88" s="208" t="s">
        <v>36</v>
      </c>
      <c r="H88" s="135">
        <v>14.98</v>
      </c>
      <c r="I88" s="135">
        <v>5.75</v>
      </c>
      <c r="J88" s="135">
        <v>0.33</v>
      </c>
      <c r="K88" s="135">
        <v>182.75</v>
      </c>
      <c r="L88" s="135">
        <v>34.130000000000003</v>
      </c>
      <c r="M88" s="135">
        <v>96.09</v>
      </c>
      <c r="N88" s="135">
        <v>0.40</v>
      </c>
      <c r="O88" s="135">
        <v>0.20</v>
      </c>
      <c r="P88" s="135">
        <v>2.78</v>
      </c>
      <c r="Q88" s="135">
        <v>20.09</v>
      </c>
      <c r="R88" s="194"/>
      <c r="S88" s="194"/>
      <c r="T88" s="194"/>
      <c r="U88" s="194"/>
    </row>
    <row r="89" spans="1:21" s="12" customFormat="1" ht="15">
      <c r="A89" s="207" t="s">
        <v>901</v>
      </c>
      <c r="B89" s="135">
        <v>5.25</v>
      </c>
      <c r="C89" s="135">
        <v>13.07</v>
      </c>
      <c r="D89" s="135">
        <v>18.309999999999999</v>
      </c>
      <c r="E89" s="135">
        <v>6.88</v>
      </c>
      <c r="F89" s="135">
        <v>0.18</v>
      </c>
      <c r="G89" s="208" t="s">
        <v>36</v>
      </c>
      <c r="H89" s="135">
        <v>13.87</v>
      </c>
      <c r="I89" s="135">
        <v>5.71</v>
      </c>
      <c r="J89" s="135">
        <v>0.60</v>
      </c>
      <c r="K89" s="135">
        <v>201.94</v>
      </c>
      <c r="L89" s="135">
        <v>34.090000000000003</v>
      </c>
      <c r="M89" s="135">
        <v>96.48</v>
      </c>
      <c r="N89" s="135">
        <v>0.10</v>
      </c>
      <c r="O89" s="135">
        <v>0</v>
      </c>
      <c r="P89" s="135">
        <v>2.80</v>
      </c>
      <c r="Q89" s="135">
        <v>19.86</v>
      </c>
      <c r="R89" s="194"/>
      <c r="S89" s="194"/>
      <c r="T89" s="194"/>
      <c r="U89" s="194"/>
    </row>
    <row r="90" spans="1:21" s="12" customFormat="1" ht="15">
      <c r="A90" s="207" t="s">
        <v>902</v>
      </c>
      <c r="B90" s="135">
        <v>5.55</v>
      </c>
      <c r="C90" s="135">
        <v>13.23</v>
      </c>
      <c r="D90" s="135">
        <v>18.78</v>
      </c>
      <c r="E90" s="135">
        <v>6.91</v>
      </c>
      <c r="F90" s="135">
        <v>0.19</v>
      </c>
      <c r="G90" s="208" t="s">
        <v>36</v>
      </c>
      <c r="H90" s="135">
        <v>11.15</v>
      </c>
      <c r="I90" s="135">
        <v>5.60</v>
      </c>
      <c r="J90" s="135">
        <v>0.24</v>
      </c>
      <c r="K90" s="135">
        <v>201.62</v>
      </c>
      <c r="L90" s="135">
        <v>34.950000000000003</v>
      </c>
      <c r="M90" s="135">
        <v>96.66</v>
      </c>
      <c r="N90" s="208" t="s">
        <v>36</v>
      </c>
      <c r="O90" s="135">
        <v>0</v>
      </c>
      <c r="P90" s="135">
        <v>2.79</v>
      </c>
      <c r="Q90" s="135">
        <v>19.170000000000002</v>
      </c>
      <c r="R90" s="194"/>
      <c r="S90" s="194"/>
      <c r="T90" s="194"/>
      <c r="U90" s="194"/>
    </row>
    <row r="91" spans="1:21" s="12" customFormat="1" ht="15">
      <c r="A91" s="207" t="s">
        <v>903</v>
      </c>
      <c r="B91" s="135">
        <v>5.60</v>
      </c>
      <c r="C91" s="135">
        <v>12.48</v>
      </c>
      <c r="D91" s="135">
        <v>18.079999999999998</v>
      </c>
      <c r="E91" s="135">
        <v>7.14</v>
      </c>
      <c r="F91" s="135">
        <v>0.21</v>
      </c>
      <c r="G91" s="208" t="s">
        <v>36</v>
      </c>
      <c r="H91" s="135">
        <v>11.15</v>
      </c>
      <c r="I91" s="135">
        <v>5.52</v>
      </c>
      <c r="J91" s="135">
        <v>0.71</v>
      </c>
      <c r="K91" s="135">
        <v>184.66</v>
      </c>
      <c r="L91" s="135">
        <v>36.04</v>
      </c>
      <c r="M91" s="135">
        <v>96.02</v>
      </c>
      <c r="N91" s="208" t="s">
        <v>36</v>
      </c>
      <c r="O91" s="135">
        <v>0</v>
      </c>
      <c r="P91" s="135">
        <v>2.78</v>
      </c>
      <c r="Q91" s="135">
        <v>18.48</v>
      </c>
      <c r="R91" s="194"/>
      <c r="S91" s="194"/>
      <c r="T91" s="194"/>
      <c r="U91" s="194"/>
    </row>
    <row r="92" spans="1:21" s="12" customFormat="1" ht="15">
      <c r="A92" s="207" t="s">
        <v>904</v>
      </c>
      <c r="B92" s="135">
        <v>5.69</v>
      </c>
      <c r="C92" s="135">
        <v>11.60</v>
      </c>
      <c r="D92" s="135">
        <v>17.30</v>
      </c>
      <c r="E92" s="135">
        <v>7.24</v>
      </c>
      <c r="F92" s="135">
        <v>0.32</v>
      </c>
      <c r="G92" s="208" t="s">
        <v>36</v>
      </c>
      <c r="H92" s="135">
        <v>11.15</v>
      </c>
      <c r="I92" s="135">
        <v>4.66</v>
      </c>
      <c r="J92" s="135">
        <v>0.10</v>
      </c>
      <c r="K92" s="135">
        <v>168.74</v>
      </c>
      <c r="L92" s="135">
        <v>37.770000000000003</v>
      </c>
      <c r="M92" s="135">
        <v>96.72</v>
      </c>
      <c r="N92" s="135">
        <v>0.30</v>
      </c>
      <c r="O92" s="135">
        <v>0</v>
      </c>
      <c r="P92" s="135">
        <v>2.79</v>
      </c>
      <c r="Q92" s="135">
        <v>18.579999999999998</v>
      </c>
      <c r="R92" s="194"/>
      <c r="S92" s="194"/>
      <c r="T92" s="194"/>
      <c r="U92" s="194"/>
    </row>
    <row r="93" spans="1:21" s="12" customFormat="1" ht="15">
      <c r="A93" s="207" t="s">
        <v>905</v>
      </c>
      <c r="B93" s="135">
        <v>5.81</v>
      </c>
      <c r="C93" s="135">
        <v>10.99</v>
      </c>
      <c r="D93" s="135">
        <v>16.80</v>
      </c>
      <c r="E93" s="135">
        <v>7.79</v>
      </c>
      <c r="F93" s="135">
        <v>0.41</v>
      </c>
      <c r="G93" s="208" t="s">
        <v>36</v>
      </c>
      <c r="H93" s="135">
        <v>12.38</v>
      </c>
      <c r="I93" s="135">
        <v>4.1900000000000004</v>
      </c>
      <c r="J93" s="135">
        <v>0.39</v>
      </c>
      <c r="K93" s="135">
        <v>188.26</v>
      </c>
      <c r="L93" s="135">
        <v>37.880000000000003</v>
      </c>
      <c r="M93" s="135">
        <v>96.75</v>
      </c>
      <c r="N93" s="135">
        <v>0.20</v>
      </c>
      <c r="O93" s="135">
        <v>0</v>
      </c>
      <c r="P93" s="135">
        <v>2.78</v>
      </c>
      <c r="Q93" s="135">
        <v>19.07</v>
      </c>
      <c r="R93" s="194"/>
      <c r="S93" s="194"/>
      <c r="T93" s="194"/>
      <c r="U93" s="194"/>
    </row>
    <row r="94" spans="1:21" s="12" customFormat="1" ht="15">
      <c r="A94" s="207" t="s">
        <v>906</v>
      </c>
      <c r="B94" s="135">
        <v>5.92</v>
      </c>
      <c r="C94" s="135">
        <v>10.43</v>
      </c>
      <c r="D94" s="135">
        <v>16.350000000000001</v>
      </c>
      <c r="E94" s="135">
        <v>7.53</v>
      </c>
      <c r="F94" s="135">
        <v>0.56000000000000005</v>
      </c>
      <c r="G94" s="208" t="s">
        <v>36</v>
      </c>
      <c r="H94" s="135">
        <v>15.39</v>
      </c>
      <c r="I94" s="135">
        <v>4.08</v>
      </c>
      <c r="J94" s="135">
        <v>0.49</v>
      </c>
      <c r="K94" s="135">
        <v>174.49</v>
      </c>
      <c r="L94" s="135">
        <v>37.590000000000003</v>
      </c>
      <c r="M94" s="135">
        <v>97.57</v>
      </c>
      <c r="N94" s="208" t="s">
        <v>36</v>
      </c>
      <c r="O94" s="135">
        <v>0</v>
      </c>
      <c r="P94" s="135">
        <v>2.77</v>
      </c>
      <c r="Q94" s="135">
        <v>19.16</v>
      </c>
      <c r="R94" s="194"/>
      <c r="S94" s="194"/>
      <c r="T94" s="194"/>
      <c r="U94" s="194"/>
    </row>
    <row r="95" spans="1:21" s="12" customFormat="1" ht="15">
      <c r="A95" s="207" t="s">
        <v>907</v>
      </c>
      <c r="B95" s="135">
        <v>6.15</v>
      </c>
      <c r="C95" s="135">
        <v>9.8800000000000008</v>
      </c>
      <c r="D95" s="135">
        <v>16.02</v>
      </c>
      <c r="E95" s="135">
        <v>7.75</v>
      </c>
      <c r="F95" s="135">
        <v>0.56000000000000005</v>
      </c>
      <c r="G95" s="208" t="s">
        <v>36</v>
      </c>
      <c r="H95" s="135">
        <v>15.39</v>
      </c>
      <c r="I95" s="135">
        <v>4.25</v>
      </c>
      <c r="J95" s="135">
        <v>0.69</v>
      </c>
      <c r="K95" s="135">
        <v>172.82</v>
      </c>
      <c r="L95" s="135">
        <v>35.76</v>
      </c>
      <c r="M95" s="135">
        <v>97.56</v>
      </c>
      <c r="N95" s="135">
        <v>0.10</v>
      </c>
      <c r="O95" s="135">
        <v>0</v>
      </c>
      <c r="P95" s="135">
        <v>2.76</v>
      </c>
      <c r="Q95" s="135">
        <v>19.149999999999999</v>
      </c>
      <c r="R95" s="194"/>
      <c r="S95" s="194"/>
      <c r="T95" s="194"/>
      <c r="U95" s="194"/>
    </row>
    <row r="96" spans="1:26" s="12" customFormat="1" ht="15">
      <c r="A96" s="207" t="s">
        <v>908</v>
      </c>
      <c r="B96" s="135">
        <v>6.43</v>
      </c>
      <c r="C96" s="135">
        <v>9.4499999999999993</v>
      </c>
      <c r="D96" s="135">
        <v>15.88</v>
      </c>
      <c r="E96" s="135">
        <v>8.07</v>
      </c>
      <c r="F96" s="135">
        <v>0.47</v>
      </c>
      <c r="G96" s="208" t="s">
        <v>36</v>
      </c>
      <c r="H96" s="135">
        <v>15.39</v>
      </c>
      <c r="I96" s="135">
        <v>3.89</v>
      </c>
      <c r="J96" s="135">
        <v>1.02</v>
      </c>
      <c r="K96" s="135">
        <v>165.65</v>
      </c>
      <c r="L96" s="135">
        <v>39.340000000000003</v>
      </c>
      <c r="M96" s="135">
        <v>95.35</v>
      </c>
      <c r="N96" s="135">
        <v>0.80</v>
      </c>
      <c r="O96" s="135">
        <v>0</v>
      </c>
      <c r="P96" s="135">
        <v>2.77</v>
      </c>
      <c r="Q96" s="135">
        <v>18.93</v>
      </c>
      <c r="R96" s="194"/>
      <c r="S96" s="194"/>
      <c r="T96" s="194"/>
      <c r="U96" s="194"/>
      <c r="Z96" s="105"/>
    </row>
    <row r="97" spans="1:21" s="12" customFormat="1" ht="15">
      <c r="A97" s="207" t="s">
        <v>909</v>
      </c>
      <c r="B97" s="135">
        <v>6.46</v>
      </c>
      <c r="C97" s="135">
        <v>9.25</v>
      </c>
      <c r="D97" s="135">
        <v>15.71</v>
      </c>
      <c r="E97" s="135">
        <v>8.2100000000000009</v>
      </c>
      <c r="F97" s="135">
        <v>0.52</v>
      </c>
      <c r="G97" s="208" t="s">
        <v>36</v>
      </c>
      <c r="H97" s="135">
        <v>15.94</v>
      </c>
      <c r="I97" s="135">
        <v>4.18</v>
      </c>
      <c r="J97" s="135">
        <v>0.89</v>
      </c>
      <c r="K97" s="135">
        <v>175.24</v>
      </c>
      <c r="L97" s="135">
        <v>40.90</v>
      </c>
      <c r="M97" s="135">
        <v>95.35</v>
      </c>
      <c r="N97" s="135">
        <v>0.80</v>
      </c>
      <c r="O97" s="135">
        <v>0</v>
      </c>
      <c r="P97" s="135">
        <v>2.75</v>
      </c>
      <c r="Q97" s="135">
        <v>18.38</v>
      </c>
      <c r="R97" s="194"/>
      <c r="S97" s="194"/>
      <c r="T97" s="194"/>
      <c r="U97" s="194"/>
    </row>
    <row r="98" spans="1:21" s="12" customFormat="1" ht="15">
      <c r="A98" s="207" t="s">
        <v>910</v>
      </c>
      <c r="B98" s="135">
        <v>6.37</v>
      </c>
      <c r="C98" s="135">
        <v>9.49</v>
      </c>
      <c r="D98" s="135">
        <v>15.86</v>
      </c>
      <c r="E98" s="135">
        <v>8.36</v>
      </c>
      <c r="F98" s="135">
        <v>0.51</v>
      </c>
      <c r="G98" s="208" t="s">
        <v>36</v>
      </c>
      <c r="H98" s="135">
        <v>17.30</v>
      </c>
      <c r="I98" s="135">
        <v>4.83</v>
      </c>
      <c r="J98" s="135">
        <v>1.1499999999999999</v>
      </c>
      <c r="K98" s="135">
        <v>161.41999999999999</v>
      </c>
      <c r="L98" s="135">
        <v>38.74</v>
      </c>
      <c r="M98" s="135">
        <v>95.37</v>
      </c>
      <c r="N98" s="135">
        <v>0.60</v>
      </c>
      <c r="O98" s="135">
        <v>0</v>
      </c>
      <c r="P98" s="135">
        <v>2.75</v>
      </c>
      <c r="Q98" s="135">
        <v>18.010000000000002</v>
      </c>
      <c r="R98" s="194"/>
      <c r="S98" s="194"/>
      <c r="T98" s="194"/>
      <c r="U98" s="194"/>
    </row>
    <row r="99" spans="1:21" s="12" customFormat="1" ht="15">
      <c r="A99" s="207" t="s">
        <v>911</v>
      </c>
      <c r="B99" s="135">
        <v>5.95</v>
      </c>
      <c r="C99" s="135">
        <v>9.35</v>
      </c>
      <c r="D99" s="135">
        <v>15.30</v>
      </c>
      <c r="E99" s="135">
        <v>8.1199999999999992</v>
      </c>
      <c r="F99" s="135">
        <v>0.37</v>
      </c>
      <c r="G99" s="208" t="s">
        <v>36</v>
      </c>
      <c r="H99" s="135">
        <v>17.30</v>
      </c>
      <c r="I99" s="135">
        <v>4.78</v>
      </c>
      <c r="J99" s="135">
        <v>0.23</v>
      </c>
      <c r="K99" s="135">
        <v>188.12</v>
      </c>
      <c r="L99" s="135">
        <v>38.590000000000003</v>
      </c>
      <c r="M99" s="135">
        <v>95.90</v>
      </c>
      <c r="N99" s="135">
        <v>0.60</v>
      </c>
      <c r="O99" s="135">
        <v>0</v>
      </c>
      <c r="P99" s="135">
        <v>2.74</v>
      </c>
      <c r="Q99" s="135">
        <v>18.11</v>
      </c>
      <c r="R99" s="194"/>
      <c r="S99" s="194"/>
      <c r="T99" s="194"/>
      <c r="U99" s="194"/>
    </row>
    <row r="100" spans="1:33" s="12" customFormat="1" ht="15">
      <c r="A100" s="207" t="s">
        <v>912</v>
      </c>
      <c r="B100" s="135">
        <v>5.40</v>
      </c>
      <c r="C100" s="135">
        <v>9.42</v>
      </c>
      <c r="D100" s="135">
        <v>14.82</v>
      </c>
      <c r="E100" s="135">
        <v>8.0299999999999994</v>
      </c>
      <c r="F100" s="135">
        <v>0.52</v>
      </c>
      <c r="G100" s="208" t="s">
        <v>36</v>
      </c>
      <c r="H100" s="135">
        <v>17.30</v>
      </c>
      <c r="I100" s="135">
        <v>5.57</v>
      </c>
      <c r="J100" s="135">
        <v>0.13</v>
      </c>
      <c r="K100" s="135">
        <v>259.08</v>
      </c>
      <c r="L100" s="135">
        <v>38.67</v>
      </c>
      <c r="M100" s="135">
        <v>96.84</v>
      </c>
      <c r="N100" s="135">
        <v>0.40</v>
      </c>
      <c r="O100" s="135">
        <v>0</v>
      </c>
      <c r="P100" s="135">
        <v>2.71</v>
      </c>
      <c r="Q100" s="135">
        <v>17.690000000000001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913</v>
      </c>
      <c r="B101" s="135">
        <v>5.20</v>
      </c>
      <c r="C101" s="135">
        <v>9.73</v>
      </c>
      <c r="D101" s="135">
        <v>14.93</v>
      </c>
      <c r="E101" s="135">
        <v>7.66</v>
      </c>
      <c r="F101" s="135">
        <v>0.28999999999999998</v>
      </c>
      <c r="G101" s="208" t="s">
        <v>36</v>
      </c>
      <c r="H101" s="135">
        <v>16.12</v>
      </c>
      <c r="I101" s="135">
        <v>5.48</v>
      </c>
      <c r="J101" s="135">
        <v>0.17</v>
      </c>
      <c r="K101" s="135">
        <v>214.71</v>
      </c>
      <c r="L101" s="135">
        <v>38.619999999999997</v>
      </c>
      <c r="M101" s="135">
        <v>96.89</v>
      </c>
      <c r="N101" s="135">
        <v>0.40</v>
      </c>
      <c r="O101" s="135">
        <v>0</v>
      </c>
      <c r="P101" s="135">
        <v>2.71</v>
      </c>
      <c r="Q101" s="135">
        <v>17.07</v>
      </c>
      <c r="R101" s="194"/>
      <c r="S101" s="194"/>
      <c r="T101" s="194"/>
      <c r="U101" s="194"/>
    </row>
    <row r="102" spans="1:21" s="12" customFormat="1" ht="15">
      <c r="A102" s="207" t="s">
        <v>914</v>
      </c>
      <c r="B102" s="135">
        <v>5.20</v>
      </c>
      <c r="C102" s="135">
        <v>9.91</v>
      </c>
      <c r="D102" s="135">
        <v>15.11</v>
      </c>
      <c r="E102" s="135">
        <v>7.91</v>
      </c>
      <c r="F102" s="135">
        <v>0.06</v>
      </c>
      <c r="G102" s="208" t="s">
        <v>36</v>
      </c>
      <c r="H102" s="135">
        <v>13.22</v>
      </c>
      <c r="I102" s="135">
        <v>5.04</v>
      </c>
      <c r="J102" s="135">
        <v>0.31</v>
      </c>
      <c r="K102" s="135">
        <v>164.42</v>
      </c>
      <c r="L102" s="135">
        <v>39.630000000000003</v>
      </c>
      <c r="M102" s="135">
        <v>96.67</v>
      </c>
      <c r="N102" s="135">
        <v>0.40</v>
      </c>
      <c r="O102" s="135">
        <v>0</v>
      </c>
      <c r="P102" s="135">
        <v>2.69</v>
      </c>
      <c r="Q102" s="135">
        <v>16.399999999999999</v>
      </c>
      <c r="R102" s="194"/>
      <c r="S102" s="194"/>
      <c r="T102" s="194"/>
      <c r="U102" s="194"/>
    </row>
    <row r="103" spans="1:21" s="12" customFormat="1" ht="15">
      <c r="A103" s="207" t="s">
        <v>915</v>
      </c>
      <c r="B103" s="135">
        <v>4.8899999999999997</v>
      </c>
      <c r="C103" s="135">
        <v>9.9700000000000006</v>
      </c>
      <c r="D103" s="135">
        <v>14.85</v>
      </c>
      <c r="E103" s="135">
        <v>7.92</v>
      </c>
      <c r="F103" s="135">
        <v>0.10</v>
      </c>
      <c r="G103" s="208" t="s">
        <v>36</v>
      </c>
      <c r="H103" s="135">
        <v>13.22</v>
      </c>
      <c r="I103" s="135">
        <v>5.28</v>
      </c>
      <c r="J103" s="135">
        <v>0.48</v>
      </c>
      <c r="K103" s="135">
        <v>164.92</v>
      </c>
      <c r="L103" s="135">
        <v>39.07</v>
      </c>
      <c r="M103" s="135">
        <v>97.06</v>
      </c>
      <c r="N103" s="135">
        <v>0.40</v>
      </c>
      <c r="O103" s="135">
        <v>0</v>
      </c>
      <c r="P103" s="135">
        <v>2.68</v>
      </c>
      <c r="Q103" s="135">
        <v>15.80</v>
      </c>
      <c r="R103" s="194"/>
      <c r="S103" s="194"/>
      <c r="T103" s="194"/>
      <c r="U103" s="194"/>
    </row>
    <row r="104" spans="1:21" s="12" customFormat="1" ht="15">
      <c r="A104" s="209" t="s">
        <v>916</v>
      </c>
      <c r="B104" s="210">
        <v>4.53</v>
      </c>
      <c r="C104" s="210">
        <v>9.77</v>
      </c>
      <c r="D104" s="210">
        <v>14.31</v>
      </c>
      <c r="E104" s="210">
        <v>3.38</v>
      </c>
      <c r="F104" s="210">
        <v>0.13</v>
      </c>
      <c r="G104" s="211" t="s">
        <v>36</v>
      </c>
      <c r="H104" s="210">
        <v>13.22</v>
      </c>
      <c r="I104" s="210">
        <v>5.04</v>
      </c>
      <c r="J104" s="210">
        <v>0.37</v>
      </c>
      <c r="K104" s="210">
        <v>164.20</v>
      </c>
      <c r="L104" s="210">
        <v>39.94</v>
      </c>
      <c r="M104" s="210">
        <v>96.68</v>
      </c>
      <c r="N104" s="210">
        <v>0.40</v>
      </c>
      <c r="O104" s="210">
        <v>0</v>
      </c>
      <c r="P104" s="210">
        <v>2.66</v>
      </c>
      <c r="Q104" s="210">
        <v>15.29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2.1099999999999999</v>
      </c>
      <c r="C106" s="67">
        <f>MIN(C9:C104)</f>
        <v>7.6699999999999999</v>
      </c>
      <c r="D106" s="67">
        <f t="shared" si="0" ref="D106:Q106">MIN(D9:D104)</f>
        <v>11.279999999999999</v>
      </c>
      <c r="E106" s="67">
        <f t="shared" si="0"/>
        <v>2.3900000000000001</v>
      </c>
      <c r="F106" s="67">
        <f t="shared" si="0"/>
        <v>0.040000000000000001</v>
      </c>
      <c r="G106" s="67">
        <f t="shared" si="0"/>
        <v>0</v>
      </c>
      <c r="H106" s="67">
        <f t="shared" si="0"/>
        <v>3.7999999999999998</v>
      </c>
      <c r="I106" s="67">
        <f t="shared" si="0"/>
        <v>3.79</v>
      </c>
      <c r="J106" s="67">
        <f t="shared" si="0"/>
        <v>0.10000000000000001</v>
      </c>
      <c r="K106" s="67">
        <f t="shared" si="0"/>
        <v>5.9400000000000004</v>
      </c>
      <c r="L106" s="67">
        <f t="shared" si="0"/>
        <v>10.93</v>
      </c>
      <c r="M106" s="67">
        <f t="shared" si="0"/>
        <v>60.270000000000003</v>
      </c>
      <c r="N106" s="67">
        <f t="shared" si="0"/>
        <v>0.10000000000000001</v>
      </c>
      <c r="O106" s="67">
        <f t="shared" si="0"/>
        <v>0</v>
      </c>
      <c r="P106" s="67">
        <f t="shared" si="0"/>
        <v>2.4300000000000002</v>
      </c>
      <c r="Q106" s="67">
        <f t="shared" si="0"/>
        <v>7.6699999999999999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7.6500000000000004</v>
      </c>
      <c r="C107" s="66">
        <f t="shared" si="1" ref="C107:Q107">MAX(C9:C104)</f>
        <v>20.420000000000002</v>
      </c>
      <c r="D107" s="66">
        <f t="shared" si="1"/>
        <v>24.059999999999999</v>
      </c>
      <c r="E107" s="66">
        <f t="shared" si="1"/>
        <v>9.25</v>
      </c>
      <c r="F107" s="66">
        <f t="shared" si="1"/>
        <v>2.1200000000000001</v>
      </c>
      <c r="G107" s="66">
        <f t="shared" si="1"/>
        <v>0</v>
      </c>
      <c r="H107" s="66">
        <f t="shared" si="1"/>
        <v>20.109999999999999</v>
      </c>
      <c r="I107" s="66">
        <f t="shared" si="1"/>
        <v>8.4499999999999993</v>
      </c>
      <c r="J107" s="66">
        <f t="shared" si="1"/>
        <v>39.049999999999997</v>
      </c>
      <c r="K107" s="66">
        <f t="shared" si="1"/>
        <v>348.44999999999999</v>
      </c>
      <c r="L107" s="66">
        <f t="shared" si="1"/>
        <v>50.439999999999998</v>
      </c>
      <c r="M107" s="66">
        <f t="shared" si="1"/>
        <v>99.099999999999994</v>
      </c>
      <c r="N107" s="66">
        <f t="shared" si="1"/>
        <v>951.39999999999998</v>
      </c>
      <c r="O107" s="66">
        <f t="shared" si="1"/>
        <v>4.5999999999999996</v>
      </c>
      <c r="P107" s="66">
        <f t="shared" si="1"/>
        <v>3.0499999999999998</v>
      </c>
      <c r="Q107" s="66">
        <f t="shared" si="1"/>
        <v>23.59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4.3901041666666654</v>
      </c>
      <c r="C108" s="67">
        <f t="shared" si="2" ref="C108:Q108">AVERAGE(C9:C104)</f>
        <v>11.622083333333338</v>
      </c>
      <c r="D108" s="67">
        <f t="shared" si="2"/>
        <v>16.011874999999993</v>
      </c>
      <c r="E108" s="67">
        <f t="shared" si="2"/>
        <v>7.0383333333333313</v>
      </c>
      <c r="F108" s="67">
        <f t="shared" si="2"/>
        <v>0.62604166666666672</v>
      </c>
      <c r="G108" s="67" t="e">
        <f t="shared" si="2"/>
        <v>#DIV/0!</v>
      </c>
      <c r="H108" s="67">
        <f t="shared" si="2"/>
        <v>11.812708333333331</v>
      </c>
      <c r="I108" s="67">
        <f t="shared" si="2"/>
        <v>5.1474999999999973</v>
      </c>
      <c r="J108" s="67">
        <f t="shared" si="2"/>
        <v>7.546666666666666</v>
      </c>
      <c r="K108" s="67">
        <f t="shared" si="2"/>
        <v>140.59958333333333</v>
      </c>
      <c r="L108" s="67">
        <f t="shared" si="2"/>
        <v>33.790416666666673</v>
      </c>
      <c r="M108" s="67">
        <f t="shared" si="2"/>
        <v>86.702604166666688</v>
      </c>
      <c r="N108" s="67">
        <f t="shared" si="2"/>
        <v>232.55531914893609</v>
      </c>
      <c r="O108" s="67">
        <f t="shared" si="2"/>
        <v>0.11041666666666665</v>
      </c>
      <c r="P108" s="67">
        <f t="shared" si="2"/>
        <v>2.6614583333333335</v>
      </c>
      <c r="Q108" s="67">
        <f t="shared" si="2"/>
        <v>13.015104166666667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1.2576691011480163</v>
      </c>
      <c r="C109" s="67">
        <f t="shared" si="3" ref="C109:Q109">STDEV(C9:C104)</f>
        <v>3.0628558797878132</v>
      </c>
      <c r="D109" s="67">
        <f t="shared" si="3"/>
        <v>3.2787354149203436</v>
      </c>
      <c r="E109" s="67">
        <f t="shared" si="3"/>
        <v>1.3250038066810663</v>
      </c>
      <c r="F109" s="67">
        <f t="shared" si="3"/>
        <v>0.40742963013110839</v>
      </c>
      <c r="G109" s="67" t="e">
        <f t="shared" si="3"/>
        <v>#DIV/0!</v>
      </c>
      <c r="H109" s="67">
        <f t="shared" si="3"/>
        <v>4.7260715808924694</v>
      </c>
      <c r="I109" s="67">
        <f t="shared" si="3"/>
        <v>0.94397368384372604</v>
      </c>
      <c r="J109" s="67">
        <f t="shared" si="3"/>
        <v>9.3564283183912149</v>
      </c>
      <c r="K109" s="67">
        <f t="shared" si="3"/>
        <v>93.244920763790702</v>
      </c>
      <c r="L109" s="67">
        <f t="shared" si="3"/>
        <v>10.868517539608236</v>
      </c>
      <c r="M109" s="67">
        <f t="shared" si="3"/>
        <v>11.076684117625721</v>
      </c>
      <c r="N109" s="67">
        <f t="shared" si="3"/>
        <v>329.92204600251091</v>
      </c>
      <c r="O109" s="67">
        <f t="shared" si="3"/>
        <v>0.59885490144312581</v>
      </c>
      <c r="P109" s="67">
        <f t="shared" si="3"/>
        <v>0.15548890071517654</v>
      </c>
      <c r="Q109" s="67">
        <f t="shared" si="3"/>
        <v>5.0563941790863405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COUNT(N9:N104)+49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819d3e-5dc7-4331-9aaf-2f8f64bb0394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08-07-2022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917</v>
      </c>
      <c r="B9" s="60">
        <v>4.3099999999999996</v>
      </c>
      <c r="C9" s="60">
        <v>9.4700000000000006</v>
      </c>
      <c r="D9" s="60">
        <v>13.78</v>
      </c>
      <c r="E9" s="60">
        <v>7.15</v>
      </c>
      <c r="F9" s="60">
        <v>0.10</v>
      </c>
      <c r="G9" s="214" t="s">
        <v>36</v>
      </c>
      <c r="H9" s="60">
        <v>12.67</v>
      </c>
      <c r="I9" s="60">
        <v>5.0199999999999996</v>
      </c>
      <c r="J9" s="60">
        <v>0.57999999999999996</v>
      </c>
      <c r="K9" s="60">
        <v>137.74</v>
      </c>
      <c r="L9" s="60">
        <v>37.340000000000003</v>
      </c>
      <c r="M9" s="60">
        <v>96.64</v>
      </c>
      <c r="N9" s="60">
        <v>0.40</v>
      </c>
      <c r="O9" s="60">
        <v>0</v>
      </c>
      <c r="P9" s="60">
        <v>2.62</v>
      </c>
      <c r="Q9" s="60">
        <v>14.99</v>
      </c>
      <c r="R9" s="194"/>
      <c r="S9" s="194"/>
      <c r="T9" s="194"/>
      <c r="U9" s="194"/>
    </row>
    <row r="10" spans="1:21" s="12" customFormat="1" ht="15">
      <c r="A10" s="197" t="s">
        <v>918</v>
      </c>
      <c r="B10" s="60">
        <v>4.32</v>
      </c>
      <c r="C10" s="60">
        <v>8.86</v>
      </c>
      <c r="D10" s="60">
        <v>13.19</v>
      </c>
      <c r="E10" s="60">
        <v>7.64</v>
      </c>
      <c r="F10" s="60">
        <v>0.35</v>
      </c>
      <c r="G10" s="214" t="s">
        <v>36</v>
      </c>
      <c r="H10" s="60">
        <v>11.34</v>
      </c>
      <c r="I10" s="60">
        <v>5.03</v>
      </c>
      <c r="J10" s="60">
        <v>0.48</v>
      </c>
      <c r="K10" s="60">
        <v>171.44</v>
      </c>
      <c r="L10" s="60">
        <v>39.19</v>
      </c>
      <c r="M10" s="60">
        <v>97.13</v>
      </c>
      <c r="N10" s="60">
        <v>0.30</v>
      </c>
      <c r="O10" s="60">
        <v>0</v>
      </c>
      <c r="P10" s="60">
        <v>2.61</v>
      </c>
      <c r="Q10" s="60">
        <v>14.46</v>
      </c>
      <c r="R10" s="194"/>
      <c r="S10" s="194"/>
      <c r="T10" s="194"/>
      <c r="U10" s="194"/>
    </row>
    <row r="11" spans="1:21" s="12" customFormat="1" ht="15">
      <c r="A11" s="197" t="s">
        <v>919</v>
      </c>
      <c r="B11" s="60">
        <v>4.4000000000000004</v>
      </c>
      <c r="C11" s="60">
        <v>8.2799999999999994</v>
      </c>
      <c r="D11" s="60">
        <v>12.68</v>
      </c>
      <c r="E11" s="60">
        <v>7.52</v>
      </c>
      <c r="F11" s="60">
        <v>0.63</v>
      </c>
      <c r="G11" s="214" t="s">
        <v>36</v>
      </c>
      <c r="H11" s="60">
        <v>11.34</v>
      </c>
      <c r="I11" s="60">
        <v>3.95</v>
      </c>
      <c r="J11" s="60">
        <v>0.82</v>
      </c>
      <c r="K11" s="60">
        <v>164.92</v>
      </c>
      <c r="L11" s="60">
        <v>41.04</v>
      </c>
      <c r="M11" s="60">
        <v>97.21</v>
      </c>
      <c r="N11" s="214" t="s">
        <v>36</v>
      </c>
      <c r="O11" s="60">
        <v>0</v>
      </c>
      <c r="P11" s="60">
        <v>2.62</v>
      </c>
      <c r="Q11" s="60">
        <v>14.22</v>
      </c>
      <c r="R11" s="194"/>
      <c r="S11" s="194"/>
      <c r="T11" s="194"/>
      <c r="U11" s="194"/>
    </row>
    <row r="12" spans="1:21" s="12" customFormat="1" ht="15">
      <c r="A12" s="197" t="s">
        <v>920</v>
      </c>
      <c r="B12" s="60">
        <v>4.4000000000000004</v>
      </c>
      <c r="C12" s="60">
        <v>7.94</v>
      </c>
      <c r="D12" s="60">
        <v>12.34</v>
      </c>
      <c r="E12" s="60">
        <v>7.91</v>
      </c>
      <c r="F12" s="60">
        <v>0.54</v>
      </c>
      <c r="G12" s="214" t="s">
        <v>36</v>
      </c>
      <c r="H12" s="60">
        <v>11.34</v>
      </c>
      <c r="I12" s="60">
        <v>3.54</v>
      </c>
      <c r="J12" s="60">
        <v>1.1399999999999999</v>
      </c>
      <c r="K12" s="60">
        <v>162.62</v>
      </c>
      <c r="L12" s="60">
        <v>38.450000000000003</v>
      </c>
      <c r="M12" s="60">
        <v>97.25</v>
      </c>
      <c r="N12" s="60">
        <v>0.30</v>
      </c>
      <c r="O12" s="60">
        <v>0</v>
      </c>
      <c r="P12" s="60">
        <v>2.62</v>
      </c>
      <c r="Q12" s="60">
        <v>14.33</v>
      </c>
      <c r="R12" s="194"/>
      <c r="S12" s="194"/>
      <c r="T12" s="194"/>
      <c r="U12" s="194"/>
    </row>
    <row r="13" spans="1:21" s="12" customFormat="1" ht="15">
      <c r="A13" s="197" t="s">
        <v>921</v>
      </c>
      <c r="B13" s="60">
        <v>4.3499999999999996</v>
      </c>
      <c r="C13" s="60">
        <v>7.74</v>
      </c>
      <c r="D13" s="60">
        <v>12.09</v>
      </c>
      <c r="E13" s="60">
        <v>8.0399999999999991</v>
      </c>
      <c r="F13" s="60">
        <v>0.48</v>
      </c>
      <c r="G13" s="214" t="s">
        <v>36</v>
      </c>
      <c r="H13" s="60">
        <v>11.15</v>
      </c>
      <c r="I13" s="60">
        <v>3.98</v>
      </c>
      <c r="J13" s="60">
        <v>0.55000000000000004</v>
      </c>
      <c r="K13" s="60">
        <v>157.38999999999999</v>
      </c>
      <c r="L13" s="60">
        <v>39.93</v>
      </c>
      <c r="M13" s="60">
        <v>97.63</v>
      </c>
      <c r="N13" s="60">
        <v>0.40</v>
      </c>
      <c r="O13" s="60">
        <v>0</v>
      </c>
      <c r="P13" s="60">
        <v>2.58</v>
      </c>
      <c r="Q13" s="60">
        <v>14.29</v>
      </c>
      <c r="R13" s="194"/>
      <c r="S13" s="194"/>
      <c r="T13" s="194"/>
      <c r="U13" s="194"/>
    </row>
    <row r="14" spans="1:21" s="12" customFormat="1" ht="15">
      <c r="A14" s="197" t="s">
        <v>922</v>
      </c>
      <c r="B14" s="60">
        <v>4.37</v>
      </c>
      <c r="C14" s="60">
        <v>7.48</v>
      </c>
      <c r="D14" s="60">
        <v>11.85</v>
      </c>
      <c r="E14" s="60">
        <v>8.0500000000000007</v>
      </c>
      <c r="F14" s="60">
        <v>1.18</v>
      </c>
      <c r="G14" s="214" t="s">
        <v>36</v>
      </c>
      <c r="H14" s="60">
        <v>10.67</v>
      </c>
      <c r="I14" s="60">
        <v>4.34</v>
      </c>
      <c r="J14" s="60">
        <v>0.52</v>
      </c>
      <c r="K14" s="60">
        <v>141.66</v>
      </c>
      <c r="L14" s="60">
        <v>37.33</v>
      </c>
      <c r="M14" s="60">
        <v>97.61</v>
      </c>
      <c r="N14" s="60">
        <v>0.40</v>
      </c>
      <c r="O14" s="60">
        <v>0</v>
      </c>
      <c r="P14" s="60">
        <v>2.58</v>
      </c>
      <c r="Q14" s="60">
        <v>14.06</v>
      </c>
      <c r="R14" s="194"/>
      <c r="S14" s="194"/>
      <c r="T14" s="194"/>
      <c r="U14" s="194"/>
    </row>
    <row r="15" spans="1:21" s="12" customFormat="1" ht="15">
      <c r="A15" s="197" t="s">
        <v>923</v>
      </c>
      <c r="B15" s="60">
        <v>4.3899999999999997</v>
      </c>
      <c r="C15" s="60">
        <v>7.19</v>
      </c>
      <c r="D15" s="60">
        <v>11.58</v>
      </c>
      <c r="E15" s="60">
        <v>8.4600000000000009</v>
      </c>
      <c r="F15" s="60">
        <v>0.81</v>
      </c>
      <c r="G15" s="214" t="s">
        <v>36</v>
      </c>
      <c r="H15" s="60">
        <v>10.67</v>
      </c>
      <c r="I15" s="60">
        <v>3.45</v>
      </c>
      <c r="J15" s="60">
        <v>0.69</v>
      </c>
      <c r="K15" s="60">
        <v>152.52000000000001</v>
      </c>
      <c r="L15" s="60">
        <v>36.200000000000003</v>
      </c>
      <c r="M15" s="60">
        <v>97.63</v>
      </c>
      <c r="N15" s="60">
        <v>0.30</v>
      </c>
      <c r="O15" s="60">
        <v>0</v>
      </c>
      <c r="P15" s="60">
        <v>2.58</v>
      </c>
      <c r="Q15" s="60">
        <v>13.73</v>
      </c>
      <c r="R15" s="194"/>
      <c r="S15" s="194"/>
      <c r="T15" s="194"/>
      <c r="U15" s="194"/>
    </row>
    <row r="16" spans="1:21" s="12" customFormat="1" ht="15">
      <c r="A16" s="197" t="s">
        <v>924</v>
      </c>
      <c r="B16" s="60">
        <v>4.38</v>
      </c>
      <c r="C16" s="60">
        <v>7.25</v>
      </c>
      <c r="D16" s="60">
        <v>11.63</v>
      </c>
      <c r="E16" s="60">
        <v>8.49</v>
      </c>
      <c r="F16" s="60">
        <v>0.78</v>
      </c>
      <c r="G16" s="214" t="s">
        <v>36</v>
      </c>
      <c r="H16" s="60">
        <v>10.67</v>
      </c>
      <c r="I16" s="60">
        <v>3.87</v>
      </c>
      <c r="J16" s="60">
        <v>0.20</v>
      </c>
      <c r="K16" s="60">
        <v>157.97</v>
      </c>
      <c r="L16" s="60">
        <v>37.97</v>
      </c>
      <c r="M16" s="60">
        <v>97.87</v>
      </c>
      <c r="N16" s="60">
        <v>0.30</v>
      </c>
      <c r="O16" s="60">
        <v>0</v>
      </c>
      <c r="P16" s="60">
        <v>2.57</v>
      </c>
      <c r="Q16" s="60">
        <v>13.59</v>
      </c>
      <c r="R16" s="194"/>
      <c r="S16" s="194"/>
      <c r="T16" s="194"/>
      <c r="U16" s="194"/>
    </row>
    <row r="17" spans="1:21" s="12" customFormat="1" ht="15">
      <c r="A17" s="197" t="s">
        <v>925</v>
      </c>
      <c r="B17" s="60">
        <v>4.2300000000000004</v>
      </c>
      <c r="C17" s="60">
        <v>6.98</v>
      </c>
      <c r="D17" s="60">
        <v>11.21</v>
      </c>
      <c r="E17" s="60">
        <v>8.3000000000000007</v>
      </c>
      <c r="F17" s="60">
        <v>0.21</v>
      </c>
      <c r="G17" s="214" t="s">
        <v>36</v>
      </c>
      <c r="H17" s="60">
        <v>10.81</v>
      </c>
      <c r="I17" s="60">
        <v>4.18</v>
      </c>
      <c r="J17" s="60">
        <v>0.79</v>
      </c>
      <c r="K17" s="60">
        <v>161.07</v>
      </c>
      <c r="L17" s="60">
        <v>37.94</v>
      </c>
      <c r="M17" s="60">
        <v>97.73</v>
      </c>
      <c r="N17" s="60">
        <v>0.40</v>
      </c>
      <c r="O17" s="60">
        <v>0</v>
      </c>
      <c r="P17" s="60">
        <v>2.57</v>
      </c>
      <c r="Q17" s="60">
        <v>13.72</v>
      </c>
      <c r="R17" s="194"/>
      <c r="S17" s="194"/>
      <c r="T17" s="194"/>
      <c r="U17" s="194"/>
    </row>
    <row r="18" spans="1:21" s="12" customFormat="1" ht="15">
      <c r="A18" s="197" t="s">
        <v>926</v>
      </c>
      <c r="B18" s="60">
        <v>3.92</v>
      </c>
      <c r="C18" s="60">
        <v>7.40</v>
      </c>
      <c r="D18" s="60">
        <v>11.32</v>
      </c>
      <c r="E18" s="60">
        <v>8.24</v>
      </c>
      <c r="F18" s="60">
        <v>0.44</v>
      </c>
      <c r="G18" s="214" t="s">
        <v>36</v>
      </c>
      <c r="H18" s="60">
        <v>11.14</v>
      </c>
      <c r="I18" s="60">
        <v>3.98</v>
      </c>
      <c r="J18" s="60">
        <v>0.36</v>
      </c>
      <c r="K18" s="60">
        <v>178.73</v>
      </c>
      <c r="L18" s="60">
        <v>39.22</v>
      </c>
      <c r="M18" s="60">
        <v>97.57</v>
      </c>
      <c r="N18" s="60">
        <v>0.40</v>
      </c>
      <c r="O18" s="60">
        <v>0</v>
      </c>
      <c r="P18" s="60">
        <v>2.56</v>
      </c>
      <c r="Q18" s="60">
        <v>13.60</v>
      </c>
      <c r="R18" s="194"/>
      <c r="S18" s="194"/>
      <c r="T18" s="194"/>
      <c r="U18" s="194"/>
    </row>
    <row r="19" spans="1:21" s="12" customFormat="1" ht="15">
      <c r="A19" s="197" t="s">
        <v>927</v>
      </c>
      <c r="B19" s="60">
        <v>3.66</v>
      </c>
      <c r="C19" s="60">
        <v>7.73</v>
      </c>
      <c r="D19" s="60">
        <v>11.40</v>
      </c>
      <c r="E19" s="60">
        <v>7.64</v>
      </c>
      <c r="F19" s="60">
        <v>0.55000000000000004</v>
      </c>
      <c r="G19" s="214" t="s">
        <v>36</v>
      </c>
      <c r="H19" s="60">
        <v>11.14</v>
      </c>
      <c r="I19" s="60">
        <v>5.03</v>
      </c>
      <c r="J19" s="60">
        <v>0.32</v>
      </c>
      <c r="K19" s="60">
        <v>142.5</v>
      </c>
      <c r="L19" s="60">
        <v>39.24</v>
      </c>
      <c r="M19" s="60">
        <v>97.47</v>
      </c>
      <c r="N19" s="60">
        <v>0.40</v>
      </c>
      <c r="O19" s="60">
        <v>0</v>
      </c>
      <c r="P19" s="60">
        <v>2.54</v>
      </c>
      <c r="Q19" s="60">
        <v>13.22</v>
      </c>
      <c r="R19" s="194"/>
      <c r="S19" s="194"/>
      <c r="T19" s="194"/>
      <c r="U19" s="194"/>
    </row>
    <row r="20" spans="1:21" s="12" customFormat="1" ht="15">
      <c r="A20" s="197" t="s">
        <v>928</v>
      </c>
      <c r="B20" s="60">
        <v>3.36</v>
      </c>
      <c r="C20" s="60">
        <v>7.75</v>
      </c>
      <c r="D20" s="60">
        <v>11.11</v>
      </c>
      <c r="E20" s="60">
        <v>7.68</v>
      </c>
      <c r="F20" s="60">
        <v>0.12</v>
      </c>
      <c r="G20" s="214" t="s">
        <v>36</v>
      </c>
      <c r="H20" s="60">
        <v>11.14</v>
      </c>
      <c r="I20" s="60">
        <v>4.9800000000000004</v>
      </c>
      <c r="J20" s="60">
        <v>0.77</v>
      </c>
      <c r="K20" s="60">
        <v>166.28</v>
      </c>
      <c r="L20" s="60">
        <v>39.590000000000003</v>
      </c>
      <c r="M20" s="60">
        <v>96.61</v>
      </c>
      <c r="N20" s="60">
        <v>0.30</v>
      </c>
      <c r="O20" s="60">
        <v>0</v>
      </c>
      <c r="P20" s="60">
        <v>2.54</v>
      </c>
      <c r="Q20" s="60">
        <v>12.84</v>
      </c>
      <c r="R20" s="194"/>
      <c r="S20" s="194"/>
      <c r="T20" s="194"/>
      <c r="U20" s="194"/>
    </row>
    <row r="21" spans="1:21" s="12" customFormat="1" ht="15">
      <c r="A21" s="197" t="s">
        <v>929</v>
      </c>
      <c r="B21" s="60">
        <v>3.06</v>
      </c>
      <c r="C21" s="60">
        <v>7.87</v>
      </c>
      <c r="D21" s="60">
        <v>10.93</v>
      </c>
      <c r="E21" s="60">
        <v>7.89</v>
      </c>
      <c r="F21" s="60">
        <v>0.06</v>
      </c>
      <c r="G21" s="214" t="s">
        <v>36</v>
      </c>
      <c r="H21" s="60">
        <v>11.01</v>
      </c>
      <c r="I21" s="60">
        <v>4.66</v>
      </c>
      <c r="J21" s="60">
        <v>0.35</v>
      </c>
      <c r="K21" s="60">
        <v>167.92</v>
      </c>
      <c r="L21" s="60">
        <v>41.15</v>
      </c>
      <c r="M21" s="60">
        <v>97</v>
      </c>
      <c r="N21" s="60">
        <v>0.20</v>
      </c>
      <c r="O21" s="60">
        <v>0</v>
      </c>
      <c r="P21" s="60">
        <v>2.52</v>
      </c>
      <c r="Q21" s="60">
        <v>12.54</v>
      </c>
      <c r="R21" s="194"/>
      <c r="S21" s="194"/>
      <c r="T21" s="194"/>
      <c r="U21" s="194"/>
    </row>
    <row r="22" spans="1:21" s="12" customFormat="1" ht="15">
      <c r="A22" s="197" t="s">
        <v>930</v>
      </c>
      <c r="B22" s="60">
        <v>2.79</v>
      </c>
      <c r="C22" s="60">
        <v>7.88</v>
      </c>
      <c r="D22" s="60">
        <v>10.67</v>
      </c>
      <c r="E22" s="60">
        <v>7.44</v>
      </c>
      <c r="F22" s="215" t="s">
        <v>47</v>
      </c>
      <c r="G22" s="214" t="s">
        <v>36</v>
      </c>
      <c r="H22" s="60">
        <v>10.69</v>
      </c>
      <c r="I22" s="60">
        <v>4.83</v>
      </c>
      <c r="J22" s="60">
        <v>0.35</v>
      </c>
      <c r="K22" s="60">
        <v>153.53</v>
      </c>
      <c r="L22" s="60">
        <v>41.28</v>
      </c>
      <c r="M22" s="60">
        <v>97.31</v>
      </c>
      <c r="N22" s="214" t="s">
        <v>36</v>
      </c>
      <c r="O22" s="60">
        <v>0.20</v>
      </c>
      <c r="P22" s="60">
        <v>2.5099999999999998</v>
      </c>
      <c r="Q22" s="60">
        <v>12.12</v>
      </c>
      <c r="R22" s="194"/>
      <c r="S22" s="194"/>
      <c r="T22" s="194"/>
      <c r="U22" s="194"/>
    </row>
    <row r="23" spans="1:21" s="12" customFormat="1" ht="15">
      <c r="A23" s="197" t="s">
        <v>931</v>
      </c>
      <c r="B23" s="60">
        <v>2.58</v>
      </c>
      <c r="C23" s="60">
        <v>7.66</v>
      </c>
      <c r="D23" s="60">
        <v>10.25</v>
      </c>
      <c r="E23" s="60">
        <v>7.49</v>
      </c>
      <c r="F23" s="60">
        <v>0.10</v>
      </c>
      <c r="G23" s="214" t="s">
        <v>36</v>
      </c>
      <c r="H23" s="60">
        <v>10.69</v>
      </c>
      <c r="I23" s="60">
        <v>4.63</v>
      </c>
      <c r="J23" s="60">
        <v>0.28000000000000003</v>
      </c>
      <c r="K23" s="60">
        <v>81.150000000000006</v>
      </c>
      <c r="L23" s="60">
        <v>39.76</v>
      </c>
      <c r="M23" s="60">
        <v>98.36</v>
      </c>
      <c r="N23" s="60">
        <v>0.10</v>
      </c>
      <c r="O23" s="60">
        <v>0.20</v>
      </c>
      <c r="P23" s="60">
        <v>2.4900000000000002</v>
      </c>
      <c r="Q23" s="60">
        <v>11.75</v>
      </c>
      <c r="R23" s="194"/>
      <c r="S23" s="194"/>
      <c r="T23" s="194"/>
      <c r="U23" s="194"/>
    </row>
    <row r="24" spans="1:21" s="12" customFormat="1" ht="15">
      <c r="A24" s="197" t="s">
        <v>932</v>
      </c>
      <c r="B24" s="60">
        <v>2.58</v>
      </c>
      <c r="C24" s="60">
        <v>7.54</v>
      </c>
      <c r="D24" s="60">
        <v>10.119999999999999</v>
      </c>
      <c r="E24" s="60">
        <v>3.85</v>
      </c>
      <c r="F24" s="60">
        <v>0.05</v>
      </c>
      <c r="G24" s="214" t="s">
        <v>36</v>
      </c>
      <c r="H24" s="60">
        <v>10.69</v>
      </c>
      <c r="I24" s="60">
        <v>4.3899999999999997</v>
      </c>
      <c r="J24" s="60">
        <v>0.52</v>
      </c>
      <c r="K24" s="60">
        <v>175.33</v>
      </c>
      <c r="L24" s="60">
        <v>40.049999999999997</v>
      </c>
      <c r="M24" s="60">
        <v>98.65</v>
      </c>
      <c r="N24" s="60">
        <v>0.30</v>
      </c>
      <c r="O24" s="60">
        <v>0.20</v>
      </c>
      <c r="P24" s="60">
        <v>2.4900000000000002</v>
      </c>
      <c r="Q24" s="60">
        <v>11.40</v>
      </c>
      <c r="R24" s="194"/>
      <c r="S24" s="194"/>
      <c r="T24" s="194"/>
      <c r="U24" s="194"/>
    </row>
    <row r="25" spans="1:21" s="12" customFormat="1" ht="15">
      <c r="A25" s="197" t="s">
        <v>933</v>
      </c>
      <c r="B25" s="60">
        <v>2.66</v>
      </c>
      <c r="C25" s="60">
        <v>7.49</v>
      </c>
      <c r="D25" s="60">
        <v>10.15</v>
      </c>
      <c r="E25" s="60">
        <v>7.64</v>
      </c>
      <c r="F25" s="215" t="s">
        <v>47</v>
      </c>
      <c r="G25" s="214" t="s">
        <v>36</v>
      </c>
      <c r="H25" s="60">
        <v>11</v>
      </c>
      <c r="I25" s="60">
        <v>3.82</v>
      </c>
      <c r="J25" s="60">
        <v>0.28000000000000003</v>
      </c>
      <c r="K25" s="60">
        <v>177.08</v>
      </c>
      <c r="L25" s="60">
        <v>39.380000000000003</v>
      </c>
      <c r="M25" s="60">
        <v>98.75</v>
      </c>
      <c r="N25" s="60">
        <v>0.40</v>
      </c>
      <c r="O25" s="60">
        <v>0</v>
      </c>
      <c r="P25" s="60">
        <v>2.48</v>
      </c>
      <c r="Q25" s="60">
        <v>11.13</v>
      </c>
      <c r="R25" s="194"/>
      <c r="S25" s="194"/>
      <c r="T25" s="194"/>
      <c r="U25" s="194"/>
    </row>
    <row r="26" spans="1:21" s="12" customFormat="1" ht="15">
      <c r="A26" s="197" t="s">
        <v>934</v>
      </c>
      <c r="B26" s="60">
        <v>2.79</v>
      </c>
      <c r="C26" s="60">
        <v>7.36</v>
      </c>
      <c r="D26" s="60">
        <v>10.15</v>
      </c>
      <c r="E26" s="60">
        <v>7.80</v>
      </c>
      <c r="F26" s="60">
        <v>0.28999999999999998</v>
      </c>
      <c r="G26" s="214" t="s">
        <v>36</v>
      </c>
      <c r="H26" s="60">
        <v>11.78</v>
      </c>
      <c r="I26" s="60">
        <v>3.73</v>
      </c>
      <c r="J26" s="60">
        <v>0.22</v>
      </c>
      <c r="K26" s="60">
        <v>178.27</v>
      </c>
      <c r="L26" s="60">
        <v>41.61</v>
      </c>
      <c r="M26" s="60">
        <v>98.80</v>
      </c>
      <c r="N26" s="60">
        <v>0.20</v>
      </c>
      <c r="O26" s="60">
        <v>0.20</v>
      </c>
      <c r="P26" s="60">
        <v>2.46</v>
      </c>
      <c r="Q26" s="60">
        <v>11.05</v>
      </c>
      <c r="R26" s="194"/>
      <c r="S26" s="194"/>
      <c r="T26" s="194"/>
      <c r="U26" s="194"/>
    </row>
    <row r="27" spans="1:21" s="12" customFormat="1" ht="15">
      <c r="A27" s="197" t="s">
        <v>935</v>
      </c>
      <c r="B27" s="60">
        <v>2.92</v>
      </c>
      <c r="C27" s="60">
        <v>7.13</v>
      </c>
      <c r="D27" s="60">
        <v>10.050000000000001</v>
      </c>
      <c r="E27" s="60">
        <v>8.56</v>
      </c>
      <c r="F27" s="60">
        <v>1.76</v>
      </c>
      <c r="G27" s="214" t="s">
        <v>36</v>
      </c>
      <c r="H27" s="60">
        <v>11.78</v>
      </c>
      <c r="I27" s="60">
        <v>2.93</v>
      </c>
      <c r="J27" s="60">
        <v>0.28999999999999998</v>
      </c>
      <c r="K27" s="60">
        <v>79.13</v>
      </c>
      <c r="L27" s="60">
        <v>42.16</v>
      </c>
      <c r="M27" s="60">
        <v>98.56</v>
      </c>
      <c r="N27" s="214" t="s">
        <v>36</v>
      </c>
      <c r="O27" s="60">
        <v>0</v>
      </c>
      <c r="P27" s="60">
        <v>2.46</v>
      </c>
      <c r="Q27" s="60">
        <v>11.03</v>
      </c>
      <c r="R27" s="194"/>
      <c r="S27" s="194"/>
      <c r="T27" s="194"/>
      <c r="U27" s="194"/>
    </row>
    <row r="28" spans="1:21" s="12" customFormat="1" ht="15">
      <c r="A28" s="197" t="s">
        <v>936</v>
      </c>
      <c r="B28" s="60">
        <v>3.07</v>
      </c>
      <c r="C28" s="60">
        <v>6.91</v>
      </c>
      <c r="D28" s="60">
        <v>9.98</v>
      </c>
      <c r="E28" s="60">
        <v>8.85</v>
      </c>
      <c r="F28" s="60">
        <v>1.41</v>
      </c>
      <c r="G28" s="214" t="s">
        <v>36</v>
      </c>
      <c r="H28" s="60">
        <v>11.78</v>
      </c>
      <c r="I28" s="60">
        <v>2.36</v>
      </c>
      <c r="J28" s="60">
        <v>0.21</v>
      </c>
      <c r="K28" s="60">
        <v>153.77000000000001</v>
      </c>
      <c r="L28" s="60">
        <v>41.22</v>
      </c>
      <c r="M28" s="60">
        <v>98.44</v>
      </c>
      <c r="N28" s="214" t="s">
        <v>36</v>
      </c>
      <c r="O28" s="60">
        <v>0</v>
      </c>
      <c r="P28" s="60">
        <v>2.46</v>
      </c>
      <c r="Q28" s="60">
        <v>11.18</v>
      </c>
      <c r="R28" s="194"/>
      <c r="S28" s="194"/>
      <c r="T28" s="194"/>
      <c r="U28" s="194"/>
    </row>
    <row r="29" spans="1:21" s="12" customFormat="1" ht="15">
      <c r="A29" s="197" t="s">
        <v>937</v>
      </c>
      <c r="B29" s="60">
        <v>3.23</v>
      </c>
      <c r="C29" s="60">
        <v>6.97</v>
      </c>
      <c r="D29" s="60">
        <v>10.210000000000001</v>
      </c>
      <c r="E29" s="60">
        <v>9.3699999999999992</v>
      </c>
      <c r="F29" s="60">
        <v>0.78</v>
      </c>
      <c r="G29" s="214" t="s">
        <v>36</v>
      </c>
      <c r="H29" s="60">
        <v>10.78</v>
      </c>
      <c r="I29" s="60">
        <v>2.75</v>
      </c>
      <c r="J29" s="60">
        <v>0.16</v>
      </c>
      <c r="K29" s="60">
        <v>126.55</v>
      </c>
      <c r="L29" s="60">
        <v>42.94</v>
      </c>
      <c r="M29" s="60">
        <v>98.88</v>
      </c>
      <c r="N29" s="60">
        <v>0.20</v>
      </c>
      <c r="O29" s="60">
        <v>0</v>
      </c>
      <c r="P29" s="60">
        <v>2.46</v>
      </c>
      <c r="Q29" s="60">
        <v>11.38</v>
      </c>
      <c r="R29" s="194"/>
      <c r="S29" s="194"/>
      <c r="T29" s="194"/>
      <c r="U29" s="194"/>
    </row>
    <row r="30" spans="1:21" s="12" customFormat="1" ht="15">
      <c r="A30" s="197" t="s">
        <v>938</v>
      </c>
      <c r="B30" s="60">
        <v>3.47</v>
      </c>
      <c r="C30" s="60">
        <v>7.07</v>
      </c>
      <c r="D30" s="60">
        <v>10.54</v>
      </c>
      <c r="E30" s="60">
        <v>8.9600000000000009</v>
      </c>
      <c r="F30" s="60">
        <v>0.5</v>
      </c>
      <c r="G30" s="214" t="s">
        <v>36</v>
      </c>
      <c r="H30" s="60">
        <v>8.32</v>
      </c>
      <c r="I30" s="60">
        <v>2.88</v>
      </c>
      <c r="J30" s="60">
        <v>0.28999999999999998</v>
      </c>
      <c r="K30" s="60">
        <v>179.55</v>
      </c>
      <c r="L30" s="60">
        <v>42</v>
      </c>
      <c r="M30" s="60">
        <v>98.87</v>
      </c>
      <c r="N30" s="60">
        <v>2.10</v>
      </c>
      <c r="O30" s="60">
        <v>0</v>
      </c>
      <c r="P30" s="60">
        <v>2.4700000000000002</v>
      </c>
      <c r="Q30" s="60">
        <v>11.43</v>
      </c>
      <c r="R30" s="194"/>
      <c r="S30" s="194"/>
      <c r="T30" s="194"/>
      <c r="U30" s="194"/>
    </row>
    <row r="31" spans="1:21" s="12" customFormat="1" ht="15">
      <c r="A31" s="197" t="s">
        <v>939</v>
      </c>
      <c r="B31" s="60">
        <v>3.85</v>
      </c>
      <c r="C31" s="60">
        <v>7.83</v>
      </c>
      <c r="D31" s="60">
        <v>11.68</v>
      </c>
      <c r="E31" s="60">
        <v>8.89</v>
      </c>
      <c r="F31" s="60">
        <v>0.30</v>
      </c>
      <c r="G31" s="214" t="s">
        <v>36</v>
      </c>
      <c r="H31" s="60">
        <v>8.32</v>
      </c>
      <c r="I31" s="60">
        <v>2.69</v>
      </c>
      <c r="J31" s="60">
        <v>0.22</v>
      </c>
      <c r="K31" s="60">
        <v>150.96</v>
      </c>
      <c r="L31" s="60">
        <v>42.67</v>
      </c>
      <c r="M31" s="60">
        <v>98.74</v>
      </c>
      <c r="N31" s="60">
        <v>8.3000000000000007</v>
      </c>
      <c r="O31" s="60">
        <v>0</v>
      </c>
      <c r="P31" s="60">
        <v>2.4700000000000002</v>
      </c>
      <c r="Q31" s="60">
        <v>11.72</v>
      </c>
      <c r="R31" s="194"/>
      <c r="S31" s="194"/>
      <c r="T31" s="194"/>
      <c r="U31" s="194"/>
    </row>
    <row r="32" spans="1:21" s="12" customFormat="1" ht="15">
      <c r="A32" s="197" t="s">
        <v>940</v>
      </c>
      <c r="B32" s="60">
        <v>4.22</v>
      </c>
      <c r="C32" s="60">
        <v>8.84</v>
      </c>
      <c r="D32" s="60">
        <v>13.07</v>
      </c>
      <c r="E32" s="60">
        <v>8.7100000000000009</v>
      </c>
      <c r="F32" s="60">
        <v>0.98</v>
      </c>
      <c r="G32" s="214" t="s">
        <v>36</v>
      </c>
      <c r="H32" s="60">
        <v>8.32</v>
      </c>
      <c r="I32" s="60">
        <v>3.36</v>
      </c>
      <c r="J32" s="60">
        <v>0.26</v>
      </c>
      <c r="K32" s="60">
        <v>171.64</v>
      </c>
      <c r="L32" s="60">
        <v>42.80</v>
      </c>
      <c r="M32" s="60">
        <v>98.09</v>
      </c>
      <c r="N32" s="60">
        <v>13.20</v>
      </c>
      <c r="O32" s="60">
        <v>0</v>
      </c>
      <c r="P32" s="60">
        <v>2.48</v>
      </c>
      <c r="Q32" s="60">
        <v>12.24</v>
      </c>
      <c r="R32" s="194"/>
      <c r="S32" s="194"/>
      <c r="T32" s="194"/>
      <c r="U32" s="194"/>
    </row>
    <row r="33" spans="1:21" s="12" customFormat="1" ht="15">
      <c r="A33" s="197" t="s">
        <v>941</v>
      </c>
      <c r="B33" s="60">
        <v>4.51</v>
      </c>
      <c r="C33" s="60">
        <v>9.9499999999999993</v>
      </c>
      <c r="D33" s="60">
        <v>14.46</v>
      </c>
      <c r="E33" s="60">
        <v>8.7799999999999994</v>
      </c>
      <c r="F33" s="60">
        <v>0.66</v>
      </c>
      <c r="G33" s="214" t="s">
        <v>36</v>
      </c>
      <c r="H33" s="60">
        <v>8.6300000000000008</v>
      </c>
      <c r="I33" s="60">
        <v>4.21</v>
      </c>
      <c r="J33" s="60">
        <v>0.68</v>
      </c>
      <c r="K33" s="60">
        <v>160.72</v>
      </c>
      <c r="L33" s="60">
        <v>42.37</v>
      </c>
      <c r="M33" s="60">
        <v>97.40</v>
      </c>
      <c r="N33" s="60">
        <v>18.30</v>
      </c>
      <c r="O33" s="60">
        <v>0</v>
      </c>
      <c r="P33" s="60">
        <v>2.48</v>
      </c>
      <c r="Q33" s="60">
        <v>12.48</v>
      </c>
      <c r="R33" s="194"/>
      <c r="S33" s="194"/>
      <c r="T33" s="194"/>
      <c r="U33" s="194"/>
    </row>
    <row r="34" spans="1:21" s="12" customFormat="1" ht="15">
      <c r="A34" s="197" t="s">
        <v>942</v>
      </c>
      <c r="B34" s="60">
        <v>4.68</v>
      </c>
      <c r="C34" s="60">
        <v>10.74</v>
      </c>
      <c r="D34" s="60">
        <v>15.42</v>
      </c>
      <c r="E34" s="60">
        <v>9.01</v>
      </c>
      <c r="F34" s="60">
        <v>0.05</v>
      </c>
      <c r="G34" s="214" t="s">
        <v>36</v>
      </c>
      <c r="H34" s="60">
        <v>9.39</v>
      </c>
      <c r="I34" s="60">
        <v>4.58</v>
      </c>
      <c r="J34" s="60">
        <v>0.02</v>
      </c>
      <c r="K34" s="60">
        <v>143.68</v>
      </c>
      <c r="L34" s="60">
        <v>41.78</v>
      </c>
      <c r="M34" s="60">
        <v>97.64</v>
      </c>
      <c r="N34" s="60">
        <v>32.90</v>
      </c>
      <c r="O34" s="60">
        <v>0</v>
      </c>
      <c r="P34" s="60">
        <v>2.48</v>
      </c>
      <c r="Q34" s="60">
        <v>12.46</v>
      </c>
      <c r="R34" s="194"/>
      <c r="S34" s="194"/>
      <c r="T34" s="194"/>
      <c r="U34" s="194"/>
    </row>
    <row r="35" spans="1:21" s="12" customFormat="1" ht="15">
      <c r="A35" s="197" t="s">
        <v>943</v>
      </c>
      <c r="B35" s="60">
        <v>4.8600000000000003</v>
      </c>
      <c r="C35" s="60">
        <v>11.13</v>
      </c>
      <c r="D35" s="60">
        <v>15.99</v>
      </c>
      <c r="E35" s="60">
        <v>8.60</v>
      </c>
      <c r="F35" s="60">
        <v>0.5</v>
      </c>
      <c r="G35" s="214" t="s">
        <v>36</v>
      </c>
      <c r="H35" s="60">
        <v>9.39</v>
      </c>
      <c r="I35" s="60">
        <v>4.58</v>
      </c>
      <c r="J35" s="60">
        <v>0.34</v>
      </c>
      <c r="K35" s="60">
        <v>175.77</v>
      </c>
      <c r="L35" s="60">
        <v>41.41</v>
      </c>
      <c r="M35" s="60">
        <v>96.73</v>
      </c>
      <c r="N35" s="60">
        <v>68.80</v>
      </c>
      <c r="O35" s="60">
        <v>0</v>
      </c>
      <c r="P35" s="60">
        <v>2.48</v>
      </c>
      <c r="Q35" s="60">
        <v>12.38</v>
      </c>
      <c r="R35" s="194"/>
      <c r="S35" s="194"/>
      <c r="T35" s="194"/>
      <c r="U35" s="194"/>
    </row>
    <row r="36" spans="1:21" s="12" customFormat="1" ht="15">
      <c r="A36" s="197" t="s">
        <v>944</v>
      </c>
      <c r="B36" s="60">
        <v>5.15</v>
      </c>
      <c r="C36" s="60">
        <v>11.45</v>
      </c>
      <c r="D36" s="60">
        <v>16.600000000000001</v>
      </c>
      <c r="E36" s="60">
        <v>8.49</v>
      </c>
      <c r="F36" s="60">
        <v>0.85</v>
      </c>
      <c r="G36" s="214" t="s">
        <v>36</v>
      </c>
      <c r="H36" s="60">
        <v>9.39</v>
      </c>
      <c r="I36" s="60">
        <v>4.62</v>
      </c>
      <c r="J36" s="60">
        <v>0.31</v>
      </c>
      <c r="K36" s="60">
        <v>147.56</v>
      </c>
      <c r="L36" s="60">
        <v>41.70</v>
      </c>
      <c r="M36" s="60">
        <v>95.5</v>
      </c>
      <c r="N36" s="60">
        <v>126.10</v>
      </c>
      <c r="O36" s="60">
        <v>0</v>
      </c>
      <c r="P36" s="60">
        <v>2.48</v>
      </c>
      <c r="Q36" s="60">
        <v>12.54</v>
      </c>
      <c r="R36" s="194"/>
      <c r="S36" s="194"/>
      <c r="T36" s="194"/>
      <c r="U36" s="194"/>
    </row>
    <row r="37" spans="1:21" s="12" customFormat="1" ht="15">
      <c r="A37" s="197" t="s">
        <v>945</v>
      </c>
      <c r="B37" s="60">
        <v>5.28</v>
      </c>
      <c r="C37" s="60">
        <v>11.47</v>
      </c>
      <c r="D37" s="60">
        <v>16.75</v>
      </c>
      <c r="E37" s="60">
        <v>8.17</v>
      </c>
      <c r="F37" s="60">
        <v>0.83</v>
      </c>
      <c r="G37" s="214" t="s">
        <v>36</v>
      </c>
      <c r="H37" s="60">
        <v>9.82</v>
      </c>
      <c r="I37" s="60">
        <v>4.5599999999999996</v>
      </c>
      <c r="J37" s="60">
        <v>0.46</v>
      </c>
      <c r="K37" s="60">
        <v>126.74</v>
      </c>
      <c r="L37" s="60">
        <v>42.25</v>
      </c>
      <c r="M37" s="60">
        <v>93.74</v>
      </c>
      <c r="N37" s="60">
        <v>145.5</v>
      </c>
      <c r="O37" s="60">
        <v>0</v>
      </c>
      <c r="P37" s="60">
        <v>2.4700000000000002</v>
      </c>
      <c r="Q37" s="60">
        <v>12.70</v>
      </c>
      <c r="R37" s="194"/>
      <c r="S37" s="194"/>
      <c r="T37" s="194"/>
      <c r="U37" s="194"/>
    </row>
    <row r="38" spans="1:21" s="12" customFormat="1" ht="15">
      <c r="A38" s="197" t="s">
        <v>946</v>
      </c>
      <c r="B38" s="60">
        <v>5.37</v>
      </c>
      <c r="C38" s="60">
        <v>11.31</v>
      </c>
      <c r="D38" s="60">
        <v>16.670000000000002</v>
      </c>
      <c r="E38" s="60">
        <v>8.5399999999999991</v>
      </c>
      <c r="F38" s="60">
        <v>0.71</v>
      </c>
      <c r="G38" s="214" t="s">
        <v>36</v>
      </c>
      <c r="H38" s="60">
        <v>10.88</v>
      </c>
      <c r="I38" s="60">
        <v>4.59</v>
      </c>
      <c r="J38" s="60">
        <v>0.85</v>
      </c>
      <c r="K38" s="60">
        <v>163.52000000000001</v>
      </c>
      <c r="L38" s="60">
        <v>42.84</v>
      </c>
      <c r="M38" s="60">
        <v>91.40</v>
      </c>
      <c r="N38" s="60">
        <v>215.70</v>
      </c>
      <c r="O38" s="60">
        <v>0</v>
      </c>
      <c r="P38" s="60">
        <v>2.48</v>
      </c>
      <c r="Q38" s="60">
        <v>13.04</v>
      </c>
      <c r="R38" s="194"/>
      <c r="S38" s="194"/>
      <c r="T38" s="194"/>
      <c r="U38" s="194"/>
    </row>
    <row r="39" spans="1:21" s="12" customFormat="1" ht="15">
      <c r="A39" s="197" t="s">
        <v>947</v>
      </c>
      <c r="B39" s="60">
        <v>5.39</v>
      </c>
      <c r="C39" s="60">
        <v>10.86</v>
      </c>
      <c r="D39" s="60">
        <v>16.260000000000002</v>
      </c>
      <c r="E39" s="60">
        <v>8.8699999999999992</v>
      </c>
      <c r="F39" s="60">
        <v>0.26</v>
      </c>
      <c r="G39" s="214" t="s">
        <v>36</v>
      </c>
      <c r="H39" s="60">
        <v>10.88</v>
      </c>
      <c r="I39" s="60">
        <v>4.59</v>
      </c>
      <c r="J39" s="60">
        <v>0.49</v>
      </c>
      <c r="K39" s="60">
        <v>121.84</v>
      </c>
      <c r="L39" s="60">
        <v>43.37</v>
      </c>
      <c r="M39" s="60">
        <v>91.37</v>
      </c>
      <c r="N39" s="60">
        <v>152.80000000000001</v>
      </c>
      <c r="O39" s="60">
        <v>0</v>
      </c>
      <c r="P39" s="60">
        <v>2.48</v>
      </c>
      <c r="Q39" s="60">
        <v>12.56</v>
      </c>
      <c r="R39" s="194"/>
      <c r="S39" s="194"/>
      <c r="T39" s="194"/>
      <c r="U39" s="194"/>
    </row>
    <row r="40" spans="1:21" s="12" customFormat="1" ht="15">
      <c r="A40" s="197" t="s">
        <v>948</v>
      </c>
      <c r="B40" s="60">
        <v>5.48</v>
      </c>
      <c r="C40" s="60">
        <v>10.16</v>
      </c>
      <c r="D40" s="60">
        <v>15.64</v>
      </c>
      <c r="E40" s="60">
        <v>3.83</v>
      </c>
      <c r="F40" s="60">
        <v>1.19</v>
      </c>
      <c r="G40" s="214" t="s">
        <v>36</v>
      </c>
      <c r="H40" s="60">
        <v>10.88</v>
      </c>
      <c r="I40" s="60">
        <v>4.42</v>
      </c>
      <c r="J40" s="60">
        <v>0.81</v>
      </c>
      <c r="K40" s="60">
        <v>162.69999999999999</v>
      </c>
      <c r="L40" s="60">
        <v>46.05</v>
      </c>
      <c r="M40" s="60">
        <v>89.75</v>
      </c>
      <c r="N40" s="60">
        <v>201</v>
      </c>
      <c r="O40" s="60">
        <v>0</v>
      </c>
      <c r="P40" s="60">
        <v>2.4900000000000002</v>
      </c>
      <c r="Q40" s="60">
        <v>12.30</v>
      </c>
      <c r="R40" s="194"/>
      <c r="S40" s="194"/>
      <c r="T40" s="194"/>
      <c r="U40" s="194"/>
    </row>
    <row r="41" spans="1:21" s="12" customFormat="1" ht="15">
      <c r="A41" s="197" t="s">
        <v>949</v>
      </c>
      <c r="B41" s="60">
        <v>5.51</v>
      </c>
      <c r="C41" s="60">
        <v>10</v>
      </c>
      <c r="D41" s="60">
        <v>15.51</v>
      </c>
      <c r="E41" s="60">
        <v>7.32</v>
      </c>
      <c r="F41" s="60">
        <v>0.35</v>
      </c>
      <c r="G41" s="214" t="s">
        <v>36</v>
      </c>
      <c r="H41" s="60">
        <v>10.82</v>
      </c>
      <c r="I41" s="60">
        <v>4.43</v>
      </c>
      <c r="J41" s="60">
        <v>0.74</v>
      </c>
      <c r="K41" s="60">
        <v>167.31</v>
      </c>
      <c r="L41" s="60">
        <v>44.10</v>
      </c>
      <c r="M41" s="60">
        <v>89.35</v>
      </c>
      <c r="N41" s="60">
        <v>190.60</v>
      </c>
      <c r="O41" s="60">
        <v>0</v>
      </c>
      <c r="P41" s="60">
        <v>2.48</v>
      </c>
      <c r="Q41" s="60">
        <v>12.23</v>
      </c>
      <c r="R41" s="194"/>
      <c r="S41" s="194"/>
      <c r="T41" s="194"/>
      <c r="U41" s="194"/>
    </row>
    <row r="42" spans="1:21" s="12" customFormat="1" ht="15">
      <c r="A42" s="197" t="s">
        <v>950</v>
      </c>
      <c r="B42" s="60">
        <v>5.41</v>
      </c>
      <c r="C42" s="60">
        <v>10.029999999999999</v>
      </c>
      <c r="D42" s="60">
        <v>15.44</v>
      </c>
      <c r="E42" s="60">
        <v>7.55</v>
      </c>
      <c r="F42" s="60">
        <v>0.04</v>
      </c>
      <c r="G42" s="214" t="s">
        <v>36</v>
      </c>
      <c r="H42" s="60">
        <v>10.68</v>
      </c>
      <c r="I42" s="60">
        <v>4.74</v>
      </c>
      <c r="J42" s="60">
        <v>0.90</v>
      </c>
      <c r="K42" s="60">
        <v>158.5</v>
      </c>
      <c r="L42" s="60">
        <v>45.53</v>
      </c>
      <c r="M42" s="60">
        <v>86.80</v>
      </c>
      <c r="N42" s="60">
        <v>298.89999999999998</v>
      </c>
      <c r="O42" s="60">
        <v>0</v>
      </c>
      <c r="P42" s="60">
        <v>2.48</v>
      </c>
      <c r="Q42" s="60">
        <v>12.06</v>
      </c>
      <c r="R42" s="194"/>
      <c r="S42" s="194"/>
      <c r="T42" s="194"/>
      <c r="U42" s="194"/>
    </row>
    <row r="43" spans="1:21" s="12" customFormat="1" ht="15">
      <c r="A43" s="197" t="s">
        <v>951</v>
      </c>
      <c r="B43" s="60">
        <v>5.26</v>
      </c>
      <c r="C43" s="60">
        <v>9.89</v>
      </c>
      <c r="D43" s="60">
        <v>15.15</v>
      </c>
      <c r="E43" s="60">
        <v>7.79</v>
      </c>
      <c r="F43" s="60">
        <v>0.55000000000000004</v>
      </c>
      <c r="G43" s="214" t="s">
        <v>36</v>
      </c>
      <c r="H43" s="60">
        <v>10.68</v>
      </c>
      <c r="I43" s="60">
        <v>4.6900000000000004</v>
      </c>
      <c r="J43" s="60">
        <v>0.41</v>
      </c>
      <c r="K43" s="60">
        <v>145.85</v>
      </c>
      <c r="L43" s="60">
        <v>48.45</v>
      </c>
      <c r="M43" s="60">
        <v>85.83</v>
      </c>
      <c r="N43" s="60">
        <v>269</v>
      </c>
      <c r="O43" s="60">
        <v>0</v>
      </c>
      <c r="P43" s="60">
        <v>2.48</v>
      </c>
      <c r="Q43" s="60">
        <v>11.78</v>
      </c>
      <c r="R43" s="194"/>
      <c r="S43" s="194"/>
      <c r="T43" s="194"/>
      <c r="U43" s="194"/>
    </row>
    <row r="44" spans="1:21" s="12" customFormat="1" ht="15">
      <c r="A44" s="197" t="s">
        <v>952</v>
      </c>
      <c r="B44" s="60">
        <v>5.08</v>
      </c>
      <c r="C44" s="60">
        <v>9.81</v>
      </c>
      <c r="D44" s="60">
        <v>14.89</v>
      </c>
      <c r="E44" s="60">
        <v>8.41</v>
      </c>
      <c r="F44" s="60">
        <v>0.73</v>
      </c>
      <c r="G44" s="214" t="s">
        <v>36</v>
      </c>
      <c r="H44" s="60">
        <v>10.68</v>
      </c>
      <c r="I44" s="60">
        <v>4.20</v>
      </c>
      <c r="J44" s="60">
        <v>0.96</v>
      </c>
      <c r="K44" s="60">
        <v>82.10</v>
      </c>
      <c r="L44" s="60">
        <v>47.5</v>
      </c>
      <c r="M44" s="60">
        <v>85.22</v>
      </c>
      <c r="N44" s="60">
        <v>321.70</v>
      </c>
      <c r="O44" s="60">
        <v>0</v>
      </c>
      <c r="P44" s="60">
        <v>2.4700000000000002</v>
      </c>
      <c r="Q44" s="60">
        <v>11.56</v>
      </c>
      <c r="R44" s="194"/>
      <c r="S44" s="194"/>
      <c r="T44" s="194"/>
      <c r="U44" s="194"/>
    </row>
    <row r="45" spans="1:21" s="12" customFormat="1" ht="15">
      <c r="A45" s="197" t="s">
        <v>953</v>
      </c>
      <c r="B45" s="60">
        <v>5</v>
      </c>
      <c r="C45" s="60">
        <v>9.73</v>
      </c>
      <c r="D45" s="60">
        <v>14.73</v>
      </c>
      <c r="E45" s="60">
        <v>8.2200000000000006</v>
      </c>
      <c r="F45" s="60">
        <v>0.56999999999999995</v>
      </c>
      <c r="G45" s="214" t="s">
        <v>36</v>
      </c>
      <c r="H45" s="60">
        <v>10.81</v>
      </c>
      <c r="I45" s="60">
        <v>4.43</v>
      </c>
      <c r="J45" s="60">
        <v>1.24</v>
      </c>
      <c r="K45" s="60">
        <v>88.17</v>
      </c>
      <c r="L45" s="60">
        <v>46.05</v>
      </c>
      <c r="M45" s="60">
        <v>83.75</v>
      </c>
      <c r="N45" s="60">
        <v>392</v>
      </c>
      <c r="O45" s="60">
        <v>0</v>
      </c>
      <c r="P45" s="60">
        <v>2.4700000000000002</v>
      </c>
      <c r="Q45" s="60">
        <v>11.35</v>
      </c>
      <c r="R45" s="194"/>
      <c r="S45" s="194"/>
      <c r="T45" s="194"/>
      <c r="U45" s="194"/>
    </row>
    <row r="46" spans="1:21" s="12" customFormat="1" ht="15">
      <c r="A46" s="197" t="s">
        <v>954</v>
      </c>
      <c r="B46" s="60">
        <v>4.5999999999999996</v>
      </c>
      <c r="C46" s="60">
        <v>10.07</v>
      </c>
      <c r="D46" s="60">
        <v>14.66</v>
      </c>
      <c r="E46" s="60">
        <v>7.85</v>
      </c>
      <c r="F46" s="60">
        <v>0.78</v>
      </c>
      <c r="G46" s="214" t="s">
        <v>36</v>
      </c>
      <c r="H46" s="60">
        <v>11.14</v>
      </c>
      <c r="I46" s="60">
        <v>4.38</v>
      </c>
      <c r="J46" s="60">
        <v>1.49</v>
      </c>
      <c r="K46" s="60">
        <v>96.33</v>
      </c>
      <c r="L46" s="60">
        <v>43.88</v>
      </c>
      <c r="M46" s="60">
        <v>82.38</v>
      </c>
      <c r="N46" s="60">
        <v>503.30</v>
      </c>
      <c r="O46" s="60">
        <v>0</v>
      </c>
      <c r="P46" s="60">
        <v>2.4700000000000002</v>
      </c>
      <c r="Q46" s="60">
        <v>11.09</v>
      </c>
      <c r="R46" s="194"/>
      <c r="S46" s="194"/>
      <c r="T46" s="194"/>
      <c r="U46" s="194"/>
    </row>
    <row r="47" spans="1:21" s="12" customFormat="1" ht="15">
      <c r="A47" s="197" t="s">
        <v>955</v>
      </c>
      <c r="B47" s="60">
        <v>3.69</v>
      </c>
      <c r="C47" s="60">
        <v>10.62</v>
      </c>
      <c r="D47" s="60">
        <v>14.31</v>
      </c>
      <c r="E47" s="60">
        <v>7.69</v>
      </c>
      <c r="F47" s="60">
        <v>0.83</v>
      </c>
      <c r="G47" s="214" t="s">
        <v>36</v>
      </c>
      <c r="H47" s="60">
        <v>11.14</v>
      </c>
      <c r="I47" s="60">
        <v>4.38</v>
      </c>
      <c r="J47" s="60">
        <v>0.71</v>
      </c>
      <c r="K47" s="60">
        <v>104.49</v>
      </c>
      <c r="L47" s="60">
        <v>47.37</v>
      </c>
      <c r="M47" s="60">
        <v>81.66</v>
      </c>
      <c r="N47" s="60">
        <v>336.70</v>
      </c>
      <c r="O47" s="60">
        <v>0</v>
      </c>
      <c r="P47" s="60">
        <v>2.4700000000000002</v>
      </c>
      <c r="Q47" s="60">
        <v>10.67</v>
      </c>
      <c r="R47" s="194"/>
      <c r="S47" s="194"/>
      <c r="T47" s="194"/>
      <c r="U47" s="194"/>
    </row>
    <row r="48" spans="1:21" s="12" customFormat="1" ht="15">
      <c r="A48" s="197" t="s">
        <v>956</v>
      </c>
      <c r="B48" s="60">
        <v>2.97</v>
      </c>
      <c r="C48" s="60">
        <v>11.07</v>
      </c>
      <c r="D48" s="60">
        <v>14.05</v>
      </c>
      <c r="E48" s="60">
        <v>7.61</v>
      </c>
      <c r="F48" s="60">
        <v>0.95</v>
      </c>
      <c r="G48" s="214" t="s">
        <v>36</v>
      </c>
      <c r="H48" s="60">
        <v>11.14</v>
      </c>
      <c r="I48" s="60">
        <v>4.93</v>
      </c>
      <c r="J48" s="60">
        <v>0.79</v>
      </c>
      <c r="K48" s="60">
        <v>112.73</v>
      </c>
      <c r="L48" s="60">
        <v>44.40</v>
      </c>
      <c r="M48" s="60">
        <v>79.69</v>
      </c>
      <c r="N48" s="60">
        <v>666</v>
      </c>
      <c r="O48" s="60">
        <v>0</v>
      </c>
      <c r="P48" s="60">
        <v>2.4700000000000002</v>
      </c>
      <c r="Q48" s="60">
        <v>10.37</v>
      </c>
      <c r="R48" s="194"/>
      <c r="S48" s="194"/>
      <c r="T48" s="194"/>
      <c r="U48" s="194"/>
    </row>
    <row r="49" spans="1:21" s="12" customFormat="1" ht="15">
      <c r="A49" s="197" t="s">
        <v>957</v>
      </c>
      <c r="B49" s="60">
        <v>2.34</v>
      </c>
      <c r="C49" s="60">
        <v>11.18</v>
      </c>
      <c r="D49" s="60">
        <v>13.52</v>
      </c>
      <c r="E49" s="60">
        <v>7.57</v>
      </c>
      <c r="F49" s="60">
        <v>1.03</v>
      </c>
      <c r="G49" s="214" t="s">
        <v>36</v>
      </c>
      <c r="H49" s="60">
        <v>13.17</v>
      </c>
      <c r="I49" s="60">
        <v>4.87</v>
      </c>
      <c r="J49" s="60">
        <v>1.24</v>
      </c>
      <c r="K49" s="60">
        <v>91.71</v>
      </c>
      <c r="L49" s="60">
        <v>45.55</v>
      </c>
      <c r="M49" s="60">
        <v>76.09</v>
      </c>
      <c r="N49" s="60">
        <v>696.20</v>
      </c>
      <c r="O49" s="60">
        <v>0</v>
      </c>
      <c r="P49" s="60">
        <v>2.4700000000000002</v>
      </c>
      <c r="Q49" s="60">
        <v>10.07</v>
      </c>
      <c r="R49" s="194"/>
      <c r="S49" s="194"/>
      <c r="T49" s="194"/>
      <c r="U49" s="194"/>
    </row>
    <row r="50" spans="1:21" s="12" customFormat="1" ht="15">
      <c r="A50" s="197" t="s">
        <v>958</v>
      </c>
      <c r="B50" s="60">
        <v>1.56</v>
      </c>
      <c r="C50" s="60">
        <v>11.20</v>
      </c>
      <c r="D50" s="60">
        <v>12.76</v>
      </c>
      <c r="E50" s="60">
        <v>6.81</v>
      </c>
      <c r="F50" s="60">
        <v>1.26</v>
      </c>
      <c r="G50" s="214" t="s">
        <v>36</v>
      </c>
      <c r="H50" s="60">
        <v>18.190000000000001</v>
      </c>
      <c r="I50" s="60">
        <v>4.7699999999999996</v>
      </c>
      <c r="J50" s="60">
        <v>1.26</v>
      </c>
      <c r="K50" s="60">
        <v>100.14</v>
      </c>
      <c r="L50" s="60">
        <v>44.88</v>
      </c>
      <c r="M50" s="60">
        <v>76.34</v>
      </c>
      <c r="N50" s="60">
        <v>449.30</v>
      </c>
      <c r="O50" s="60">
        <v>0</v>
      </c>
      <c r="P50" s="60">
        <v>2.46</v>
      </c>
      <c r="Q50" s="60">
        <v>9.65</v>
      </c>
      <c r="R50" s="194"/>
      <c r="S50" s="194"/>
      <c r="T50" s="194"/>
      <c r="U50" s="194"/>
    </row>
    <row r="51" spans="1:21" s="12" customFormat="1" ht="15">
      <c r="A51" s="197" t="s">
        <v>959</v>
      </c>
      <c r="B51" s="60">
        <v>1.27</v>
      </c>
      <c r="C51" s="60">
        <v>10.28</v>
      </c>
      <c r="D51" s="60">
        <v>11.54</v>
      </c>
      <c r="E51" s="60">
        <v>6.61</v>
      </c>
      <c r="F51" s="60">
        <v>1.48</v>
      </c>
      <c r="G51" s="214" t="s">
        <v>36</v>
      </c>
      <c r="H51" s="60">
        <v>18.190000000000001</v>
      </c>
      <c r="I51" s="60">
        <v>4.54</v>
      </c>
      <c r="J51" s="60">
        <v>1.1599999999999999</v>
      </c>
      <c r="K51" s="60">
        <v>97.39</v>
      </c>
      <c r="L51" s="60">
        <v>43.73</v>
      </c>
      <c r="M51" s="60">
        <v>75.39</v>
      </c>
      <c r="N51" s="60">
        <v>635.29999999999995</v>
      </c>
      <c r="O51" s="60">
        <v>0</v>
      </c>
      <c r="P51" s="60">
        <v>2.4300000000000002</v>
      </c>
      <c r="Q51" s="60">
        <v>9.02</v>
      </c>
      <c r="R51" s="194"/>
      <c r="S51" s="194"/>
      <c r="T51" s="194"/>
      <c r="U51" s="194"/>
    </row>
    <row r="52" spans="1:21" s="12" customFormat="1" ht="15">
      <c r="A52" s="197" t="s">
        <v>960</v>
      </c>
      <c r="B52" s="60">
        <v>1.29</v>
      </c>
      <c r="C52" s="60">
        <v>9.6999999999999993</v>
      </c>
      <c r="D52" s="60">
        <v>10.99</v>
      </c>
      <c r="E52" s="60">
        <v>6.35</v>
      </c>
      <c r="F52" s="60">
        <v>0.66</v>
      </c>
      <c r="G52" s="214" t="s">
        <v>36</v>
      </c>
      <c r="H52" s="60">
        <v>18.190000000000001</v>
      </c>
      <c r="I52" s="60">
        <v>4.43</v>
      </c>
      <c r="J52" s="60">
        <v>1</v>
      </c>
      <c r="K52" s="60">
        <v>78.67</v>
      </c>
      <c r="L52" s="60">
        <v>43.62</v>
      </c>
      <c r="M52" s="60">
        <v>72.319999999999993</v>
      </c>
      <c r="N52" s="60">
        <v>787.30</v>
      </c>
      <c r="O52" s="60">
        <v>0</v>
      </c>
      <c r="P52" s="60">
        <v>2.4300000000000002</v>
      </c>
      <c r="Q52" s="60">
        <v>9.8699999999999992</v>
      </c>
      <c r="R52" s="194"/>
      <c r="S52" s="194"/>
      <c r="T52" s="194"/>
      <c r="U52" s="194"/>
    </row>
    <row r="53" spans="1:21" s="12" customFormat="1" ht="15">
      <c r="A53" s="197" t="s">
        <v>961</v>
      </c>
      <c r="B53" s="60">
        <v>1.22</v>
      </c>
      <c r="C53" s="60">
        <v>9.26</v>
      </c>
      <c r="D53" s="60">
        <v>10.47</v>
      </c>
      <c r="E53" s="60">
        <v>5.94</v>
      </c>
      <c r="F53" s="60">
        <v>1.54</v>
      </c>
      <c r="G53" s="214" t="s">
        <v>36</v>
      </c>
      <c r="H53" s="60">
        <v>16.80</v>
      </c>
      <c r="I53" s="60">
        <v>4.2699999999999996</v>
      </c>
      <c r="J53" s="60">
        <v>1.0900000000000001</v>
      </c>
      <c r="K53" s="60">
        <v>100.87</v>
      </c>
      <c r="L53" s="60">
        <v>50.37</v>
      </c>
      <c r="M53" s="60">
        <v>74.72</v>
      </c>
      <c r="N53" s="60">
        <v>456.80</v>
      </c>
      <c r="O53" s="60">
        <v>0</v>
      </c>
      <c r="P53" s="60">
        <v>2.42</v>
      </c>
      <c r="Q53" s="60">
        <v>8</v>
      </c>
      <c r="R53" s="194"/>
      <c r="S53" s="194"/>
      <c r="T53" s="194"/>
      <c r="U53" s="194"/>
    </row>
    <row r="54" spans="1:21" s="12" customFormat="1" ht="15">
      <c r="A54" s="197" t="s">
        <v>962</v>
      </c>
      <c r="B54" s="60">
        <v>1.28</v>
      </c>
      <c r="C54" s="60">
        <v>9.15</v>
      </c>
      <c r="D54" s="60">
        <v>10.43</v>
      </c>
      <c r="E54" s="60">
        <v>5.62</v>
      </c>
      <c r="F54" s="60">
        <v>1.84</v>
      </c>
      <c r="G54" s="214" t="s">
        <v>36</v>
      </c>
      <c r="H54" s="60">
        <v>13.37</v>
      </c>
      <c r="I54" s="60">
        <v>3.99</v>
      </c>
      <c r="J54" s="60">
        <v>0.69</v>
      </c>
      <c r="K54" s="60">
        <v>79.760000000000005</v>
      </c>
      <c r="L54" s="60">
        <v>54.56</v>
      </c>
      <c r="M54" s="60">
        <v>71.66</v>
      </c>
      <c r="N54" s="60">
        <v>724.80</v>
      </c>
      <c r="O54" s="60">
        <v>0</v>
      </c>
      <c r="P54" s="60">
        <v>2.44</v>
      </c>
      <c r="Q54" s="60">
        <v>11.08</v>
      </c>
      <c r="R54" s="194"/>
      <c r="S54" s="194"/>
      <c r="T54" s="194"/>
      <c r="U54" s="194"/>
    </row>
    <row r="55" spans="1:21" s="12" customFormat="1" ht="15">
      <c r="A55" s="197" t="s">
        <v>963</v>
      </c>
      <c r="B55" s="60">
        <v>1.70</v>
      </c>
      <c r="C55" s="60">
        <v>8.3800000000000008</v>
      </c>
      <c r="D55" s="60">
        <v>10.09</v>
      </c>
      <c r="E55" s="60">
        <v>6.05</v>
      </c>
      <c r="F55" s="60">
        <v>1.43</v>
      </c>
      <c r="G55" s="214" t="s">
        <v>36</v>
      </c>
      <c r="H55" s="60">
        <v>13.37</v>
      </c>
      <c r="I55" s="60">
        <v>4.01</v>
      </c>
      <c r="J55" s="60">
        <v>0.73</v>
      </c>
      <c r="K55" s="60">
        <v>80.989999999999995</v>
      </c>
      <c r="L55" s="60">
        <v>53.68</v>
      </c>
      <c r="M55" s="60">
        <v>70.540000000000006</v>
      </c>
      <c r="N55" s="60">
        <v>942.40</v>
      </c>
      <c r="O55" s="60">
        <v>0</v>
      </c>
      <c r="P55" s="60">
        <v>2.44</v>
      </c>
      <c r="Q55" s="60">
        <v>10.23</v>
      </c>
      <c r="R55" s="194"/>
      <c r="S55" s="194"/>
      <c r="T55" s="194"/>
      <c r="U55" s="194"/>
    </row>
    <row r="56" spans="1:21" s="12" customFormat="1" ht="15">
      <c r="A56" s="197" t="s">
        <v>964</v>
      </c>
      <c r="B56" s="60">
        <v>2.02</v>
      </c>
      <c r="C56" s="60">
        <v>8.3000000000000007</v>
      </c>
      <c r="D56" s="60">
        <v>10.32</v>
      </c>
      <c r="E56" s="60">
        <v>3.38</v>
      </c>
      <c r="F56" s="60">
        <v>1.53</v>
      </c>
      <c r="G56" s="214" t="s">
        <v>36</v>
      </c>
      <c r="H56" s="60">
        <v>13.37</v>
      </c>
      <c r="I56" s="60">
        <v>4.0199999999999996</v>
      </c>
      <c r="J56" s="60">
        <v>0.80</v>
      </c>
      <c r="K56" s="60">
        <v>100.68</v>
      </c>
      <c r="L56" s="60">
        <v>51.30</v>
      </c>
      <c r="M56" s="60">
        <v>68.63</v>
      </c>
      <c r="N56" s="60">
        <v>638.20000000000005</v>
      </c>
      <c r="O56" s="60">
        <v>0</v>
      </c>
      <c r="P56" s="60">
        <v>2.44</v>
      </c>
      <c r="Q56" s="60">
        <v>10.89</v>
      </c>
      <c r="R56" s="194"/>
      <c r="S56" s="194"/>
      <c r="T56" s="194"/>
      <c r="U56" s="194"/>
    </row>
    <row r="57" spans="1:21" s="12" customFormat="1" ht="15">
      <c r="A57" s="197" t="s">
        <v>965</v>
      </c>
      <c r="B57" s="60">
        <v>1.74</v>
      </c>
      <c r="C57" s="60">
        <v>8.23</v>
      </c>
      <c r="D57" s="60">
        <v>9.9600000000000009</v>
      </c>
      <c r="E57" s="60">
        <v>6.14</v>
      </c>
      <c r="F57" s="60">
        <v>2.65</v>
      </c>
      <c r="G57" s="214" t="s">
        <v>36</v>
      </c>
      <c r="H57" s="60">
        <v>15.41</v>
      </c>
      <c r="I57" s="60">
        <v>4.08</v>
      </c>
      <c r="J57" s="60">
        <v>0.64</v>
      </c>
      <c r="K57" s="60">
        <v>79.709999999999994</v>
      </c>
      <c r="L57" s="60">
        <v>52.22</v>
      </c>
      <c r="M57" s="60">
        <v>69.33</v>
      </c>
      <c r="N57" s="60">
        <v>606.90</v>
      </c>
      <c r="O57" s="60">
        <v>0</v>
      </c>
      <c r="P57" s="60">
        <v>2.42</v>
      </c>
      <c r="Q57" s="60">
        <v>11.25</v>
      </c>
      <c r="R57" s="194"/>
      <c r="S57" s="194"/>
      <c r="T57" s="194"/>
      <c r="U57" s="194"/>
    </row>
    <row r="58" spans="1:21" s="12" customFormat="1" ht="15">
      <c r="A58" s="197" t="s">
        <v>966</v>
      </c>
      <c r="B58" s="60">
        <v>1.31</v>
      </c>
      <c r="C58" s="60">
        <v>8.8699999999999992</v>
      </c>
      <c r="D58" s="60">
        <v>10.19</v>
      </c>
      <c r="E58" s="60">
        <v>6.21</v>
      </c>
      <c r="F58" s="60">
        <v>2.23</v>
      </c>
      <c r="G58" s="214" t="s">
        <v>36</v>
      </c>
      <c r="H58" s="60">
        <v>20.420000000000002</v>
      </c>
      <c r="I58" s="60">
        <v>4.13</v>
      </c>
      <c r="J58" s="60">
        <v>0.32</v>
      </c>
      <c r="K58" s="60">
        <v>78.05</v>
      </c>
      <c r="L58" s="60">
        <v>52.52</v>
      </c>
      <c r="M58" s="60">
        <v>67.39</v>
      </c>
      <c r="N58" s="60">
        <v>703.80</v>
      </c>
      <c r="O58" s="60">
        <v>0</v>
      </c>
      <c r="P58" s="60">
        <v>2.4300000000000002</v>
      </c>
      <c r="Q58" s="60">
        <v>11.48</v>
      </c>
      <c r="R58" s="194"/>
      <c r="S58" s="194"/>
      <c r="T58" s="194"/>
      <c r="U58" s="194"/>
    </row>
    <row r="59" spans="1:21" s="12" customFormat="1" ht="15">
      <c r="A59" s="197" t="s">
        <v>967</v>
      </c>
      <c r="B59" s="60">
        <v>0.90</v>
      </c>
      <c r="C59" s="60">
        <v>9.06</v>
      </c>
      <c r="D59" s="60">
        <v>9.9600000000000009</v>
      </c>
      <c r="E59" s="60">
        <v>6.18</v>
      </c>
      <c r="F59" s="60">
        <v>1.96</v>
      </c>
      <c r="G59" s="214" t="s">
        <v>36</v>
      </c>
      <c r="H59" s="60">
        <v>20.420000000000002</v>
      </c>
      <c r="I59" s="60">
        <v>3.88</v>
      </c>
      <c r="J59" s="60">
        <v>0.63</v>
      </c>
      <c r="K59" s="60">
        <v>91.72</v>
      </c>
      <c r="L59" s="60">
        <v>54.14</v>
      </c>
      <c r="M59" s="60">
        <v>68.06</v>
      </c>
      <c r="N59" s="60">
        <v>576.20000000000005</v>
      </c>
      <c r="O59" s="60">
        <v>0</v>
      </c>
      <c r="P59" s="60">
        <v>2.42</v>
      </c>
      <c r="Q59" s="60">
        <v>12.66</v>
      </c>
      <c r="R59" s="194"/>
      <c r="S59" s="194"/>
      <c r="T59" s="194"/>
      <c r="U59" s="194"/>
    </row>
    <row r="60" spans="1:21" s="12" customFormat="1" ht="15">
      <c r="A60" s="197" t="s">
        <v>968</v>
      </c>
      <c r="B60" s="60">
        <v>0.82</v>
      </c>
      <c r="C60" s="60">
        <v>9.8699999999999992</v>
      </c>
      <c r="D60" s="60">
        <v>10.69</v>
      </c>
      <c r="E60" s="60">
        <v>6.33</v>
      </c>
      <c r="F60" s="60">
        <v>0.94</v>
      </c>
      <c r="G60" s="214" t="s">
        <v>36</v>
      </c>
      <c r="H60" s="60">
        <v>20.420000000000002</v>
      </c>
      <c r="I60" s="60">
        <v>4</v>
      </c>
      <c r="J60" s="60">
        <v>0.90</v>
      </c>
      <c r="K60" s="60">
        <v>96.26</v>
      </c>
      <c r="L60" s="60">
        <v>54.97</v>
      </c>
      <c r="M60" s="60">
        <v>66.67</v>
      </c>
      <c r="N60" s="60">
        <v>725.40</v>
      </c>
      <c r="O60" s="60">
        <v>0</v>
      </c>
      <c r="P60" s="60">
        <v>2.41</v>
      </c>
      <c r="Q60" s="60">
        <v>13.54</v>
      </c>
      <c r="R60" s="194"/>
      <c r="S60" s="194"/>
      <c r="T60" s="194"/>
      <c r="U60" s="194"/>
    </row>
    <row r="61" spans="1:21" s="12" customFormat="1" ht="15">
      <c r="A61" s="197" t="s">
        <v>969</v>
      </c>
      <c r="B61" s="60">
        <v>0.90</v>
      </c>
      <c r="C61" s="60">
        <v>9.5</v>
      </c>
      <c r="D61" s="60">
        <v>10.40</v>
      </c>
      <c r="E61" s="60">
        <v>6.58</v>
      </c>
      <c r="F61" s="60">
        <v>1.33</v>
      </c>
      <c r="G61" s="214" t="s">
        <v>36</v>
      </c>
      <c r="H61" s="60">
        <v>18.670000000000002</v>
      </c>
      <c r="I61" s="60">
        <v>3.96</v>
      </c>
      <c r="J61" s="60">
        <v>0.87</v>
      </c>
      <c r="K61" s="60">
        <v>35.82</v>
      </c>
      <c r="L61" s="60">
        <v>54.42</v>
      </c>
      <c r="M61" s="60">
        <v>71.790000000000006</v>
      </c>
      <c r="N61" s="60">
        <v>131.10</v>
      </c>
      <c r="O61" s="60">
        <v>0</v>
      </c>
      <c r="P61" s="60">
        <v>2.41</v>
      </c>
      <c r="Q61" s="60">
        <v>21.68</v>
      </c>
      <c r="R61" s="194"/>
      <c r="S61" s="194"/>
      <c r="T61" s="194"/>
      <c r="U61" s="194"/>
    </row>
    <row r="62" spans="1:21" s="12" customFormat="1" ht="15">
      <c r="A62" s="197" t="s">
        <v>970</v>
      </c>
      <c r="B62" s="60">
        <v>1.80</v>
      </c>
      <c r="C62" s="60">
        <v>9.91</v>
      </c>
      <c r="D62" s="60">
        <v>11.71</v>
      </c>
      <c r="E62" s="60">
        <v>5.98</v>
      </c>
      <c r="F62" s="60">
        <v>2.52</v>
      </c>
      <c r="G62" s="214" t="s">
        <v>36</v>
      </c>
      <c r="H62" s="60">
        <v>14.37</v>
      </c>
      <c r="I62" s="60">
        <v>4</v>
      </c>
      <c r="J62" s="60">
        <v>0.87</v>
      </c>
      <c r="K62" s="60">
        <v>4.42</v>
      </c>
      <c r="L62" s="60">
        <v>53.03</v>
      </c>
      <c r="M62" s="60">
        <v>75.069999999999993</v>
      </c>
      <c r="N62" s="60">
        <v>296.60000000000002</v>
      </c>
      <c r="O62" s="60">
        <v>0</v>
      </c>
      <c r="P62" s="60">
        <v>2.48</v>
      </c>
      <c r="Q62" s="60">
        <v>28.76</v>
      </c>
      <c r="R62" s="194"/>
      <c r="S62" s="194"/>
      <c r="T62" s="194"/>
      <c r="U62" s="194"/>
    </row>
    <row r="63" spans="1:21" s="12" customFormat="1" ht="15">
      <c r="A63" s="197" t="s">
        <v>971</v>
      </c>
      <c r="B63" s="60">
        <v>3.01</v>
      </c>
      <c r="C63" s="60">
        <v>12.55</v>
      </c>
      <c r="D63" s="60">
        <v>15.56</v>
      </c>
      <c r="E63" s="60">
        <v>5.69</v>
      </c>
      <c r="F63" s="60">
        <v>0.65</v>
      </c>
      <c r="G63" s="214" t="s">
        <v>36</v>
      </c>
      <c r="H63" s="60">
        <v>14.37</v>
      </c>
      <c r="I63" s="60">
        <v>4.0599999999999996</v>
      </c>
      <c r="J63" s="60">
        <v>1.23</v>
      </c>
      <c r="K63" s="60">
        <v>1.93</v>
      </c>
      <c r="L63" s="60">
        <v>52.04</v>
      </c>
      <c r="M63" s="60">
        <v>66.58</v>
      </c>
      <c r="N63" s="60">
        <v>606.60</v>
      </c>
      <c r="O63" s="60">
        <v>0</v>
      </c>
      <c r="P63" s="60">
        <v>2.5499999999999998</v>
      </c>
      <c r="Q63" s="60">
        <v>27.34</v>
      </c>
      <c r="R63" s="194"/>
      <c r="S63" s="194"/>
      <c r="T63" s="194"/>
      <c r="U63" s="194"/>
    </row>
    <row r="64" spans="1:21" s="12" customFormat="1" ht="15">
      <c r="A64" s="197" t="s">
        <v>972</v>
      </c>
      <c r="B64" s="60">
        <v>4.2300000000000004</v>
      </c>
      <c r="C64" s="60">
        <v>12.64</v>
      </c>
      <c r="D64" s="60">
        <v>16.87</v>
      </c>
      <c r="E64" s="60">
        <v>5.66</v>
      </c>
      <c r="F64" s="60">
        <v>1.41</v>
      </c>
      <c r="G64" s="214" t="s">
        <v>36</v>
      </c>
      <c r="H64" s="60">
        <v>14.37</v>
      </c>
      <c r="I64" s="60">
        <v>4.2300000000000004</v>
      </c>
      <c r="J64" s="60">
        <v>0.78</v>
      </c>
      <c r="K64" s="60">
        <v>11.05</v>
      </c>
      <c r="L64" s="60">
        <v>53.53</v>
      </c>
      <c r="M64" s="60">
        <v>69.55</v>
      </c>
      <c r="N64" s="60">
        <v>116.70</v>
      </c>
      <c r="O64" s="60">
        <v>0</v>
      </c>
      <c r="P64" s="60">
        <v>2.60</v>
      </c>
      <c r="Q64" s="60">
        <v>27.33</v>
      </c>
      <c r="R64" s="194"/>
      <c r="S64" s="194"/>
      <c r="T64" s="194"/>
      <c r="U64" s="194"/>
    </row>
    <row r="65" spans="1:21" s="12" customFormat="1" ht="15">
      <c r="A65" s="197" t="s">
        <v>973</v>
      </c>
      <c r="B65" s="60">
        <v>5.5</v>
      </c>
      <c r="C65" s="60">
        <v>13.92</v>
      </c>
      <c r="D65" s="60">
        <v>19.420000000000002</v>
      </c>
      <c r="E65" s="60">
        <v>5.58</v>
      </c>
      <c r="F65" s="60">
        <v>0.52</v>
      </c>
      <c r="G65" s="214" t="s">
        <v>36</v>
      </c>
      <c r="H65" s="60">
        <v>13.28</v>
      </c>
      <c r="I65" s="60">
        <v>4.49</v>
      </c>
      <c r="J65" s="60">
        <v>1.1000000000000001</v>
      </c>
      <c r="K65" s="60">
        <v>71.87</v>
      </c>
      <c r="L65" s="60">
        <v>47.38</v>
      </c>
      <c r="M65" s="60">
        <v>82.07</v>
      </c>
      <c r="N65" s="60">
        <v>69.30</v>
      </c>
      <c r="O65" s="60">
        <v>0.60</v>
      </c>
      <c r="P65" s="60">
        <v>2.64</v>
      </c>
      <c r="Q65" s="60">
        <v>25.58</v>
      </c>
      <c r="R65" s="194"/>
      <c r="S65" s="194"/>
      <c r="T65" s="194"/>
      <c r="U65" s="194"/>
    </row>
    <row r="66" spans="1:21" s="12" customFormat="1" ht="15">
      <c r="A66" s="197" t="s">
        <v>974</v>
      </c>
      <c r="B66" s="60">
        <v>6.17</v>
      </c>
      <c r="C66" s="60">
        <v>14.24</v>
      </c>
      <c r="D66" s="60">
        <v>20.41</v>
      </c>
      <c r="E66" s="60">
        <v>5.67</v>
      </c>
      <c r="F66" s="60">
        <v>0.53</v>
      </c>
      <c r="G66" s="214" t="s">
        <v>36</v>
      </c>
      <c r="H66" s="60">
        <v>10.59</v>
      </c>
      <c r="I66" s="60">
        <v>4.68</v>
      </c>
      <c r="J66" s="60">
        <v>0.92</v>
      </c>
      <c r="K66" s="60">
        <v>62.28</v>
      </c>
      <c r="L66" s="60">
        <v>45.96</v>
      </c>
      <c r="M66" s="60">
        <v>93.64</v>
      </c>
      <c r="N66" s="60">
        <v>94.40</v>
      </c>
      <c r="O66" s="60">
        <v>0.40</v>
      </c>
      <c r="P66" s="60">
        <v>2.65</v>
      </c>
      <c r="Q66" s="60">
        <v>24.97</v>
      </c>
      <c r="R66" s="194"/>
      <c r="S66" s="194"/>
      <c r="T66" s="194"/>
      <c r="U66" s="194"/>
    </row>
    <row r="67" spans="1:21" s="12" customFormat="1" ht="15">
      <c r="A67" s="197" t="s">
        <v>975</v>
      </c>
      <c r="B67" s="60">
        <v>6.39</v>
      </c>
      <c r="C67" s="60">
        <v>13.01</v>
      </c>
      <c r="D67" s="60">
        <v>19.39</v>
      </c>
      <c r="E67" s="60">
        <v>6.15</v>
      </c>
      <c r="F67" s="60">
        <v>0.20</v>
      </c>
      <c r="G67" s="214" t="s">
        <v>36</v>
      </c>
      <c r="H67" s="60">
        <v>10.59</v>
      </c>
      <c r="I67" s="60">
        <v>4.92</v>
      </c>
      <c r="J67" s="60">
        <v>0.67</v>
      </c>
      <c r="K67" s="60">
        <v>73.709999999999994</v>
      </c>
      <c r="L67" s="60">
        <v>48.25</v>
      </c>
      <c r="M67" s="60">
        <v>94.09</v>
      </c>
      <c r="N67" s="60">
        <v>114.90</v>
      </c>
      <c r="O67" s="60">
        <v>0</v>
      </c>
      <c r="P67" s="60">
        <v>2.66</v>
      </c>
      <c r="Q67" s="60">
        <v>22.17</v>
      </c>
      <c r="R67" s="194"/>
      <c r="S67" s="194"/>
      <c r="T67" s="194"/>
      <c r="U67" s="194"/>
    </row>
    <row r="68" spans="1:21" s="12" customFormat="1" ht="15">
      <c r="A68" s="197" t="s">
        <v>976</v>
      </c>
      <c r="B68" s="60">
        <v>6.83</v>
      </c>
      <c r="C68" s="60">
        <v>11.61</v>
      </c>
      <c r="D68" s="60">
        <v>18.440000000000001</v>
      </c>
      <c r="E68" s="60">
        <v>6.05</v>
      </c>
      <c r="F68" s="60">
        <v>1.37</v>
      </c>
      <c r="G68" s="214" t="s">
        <v>36</v>
      </c>
      <c r="H68" s="60">
        <v>10.59</v>
      </c>
      <c r="I68" s="60">
        <v>4.95</v>
      </c>
      <c r="J68" s="60">
        <v>0.86</v>
      </c>
      <c r="K68" s="60">
        <v>58.47</v>
      </c>
      <c r="L68" s="60">
        <v>54.99</v>
      </c>
      <c r="M68" s="60">
        <v>92.02</v>
      </c>
      <c r="N68" s="60">
        <v>153.40</v>
      </c>
      <c r="O68" s="60">
        <v>0</v>
      </c>
      <c r="P68" s="60">
        <v>2.68</v>
      </c>
      <c r="Q68" s="60">
        <v>16.68</v>
      </c>
      <c r="R68" s="194"/>
      <c r="S68" s="194"/>
      <c r="T68" s="194"/>
      <c r="U68" s="194"/>
    </row>
    <row r="69" spans="1:21" s="12" customFormat="1" ht="15">
      <c r="A69" s="197" t="s">
        <v>977</v>
      </c>
      <c r="B69" s="60">
        <v>7.33</v>
      </c>
      <c r="C69" s="60">
        <v>10.85</v>
      </c>
      <c r="D69" s="60">
        <v>18.18</v>
      </c>
      <c r="E69" s="60">
        <v>6.06</v>
      </c>
      <c r="F69" s="60">
        <v>0.98</v>
      </c>
      <c r="G69" s="214" t="s">
        <v>36</v>
      </c>
      <c r="H69" s="60">
        <v>10.5</v>
      </c>
      <c r="I69" s="60">
        <v>4.8899999999999997</v>
      </c>
      <c r="J69" s="60">
        <v>0.52</v>
      </c>
      <c r="K69" s="60">
        <v>19.600000000000001</v>
      </c>
      <c r="L69" s="60">
        <v>56.37</v>
      </c>
      <c r="M69" s="60">
        <v>91.20</v>
      </c>
      <c r="N69" s="60">
        <v>183.80</v>
      </c>
      <c r="O69" s="60">
        <v>0</v>
      </c>
      <c r="P69" s="60">
        <v>2.71</v>
      </c>
      <c r="Q69" s="60">
        <v>14.35</v>
      </c>
      <c r="R69" s="194"/>
      <c r="S69" s="194"/>
      <c r="T69" s="194"/>
      <c r="U69" s="194"/>
    </row>
    <row r="70" spans="1:21" s="12" customFormat="1" ht="15">
      <c r="A70" s="197" t="s">
        <v>978</v>
      </c>
      <c r="B70" s="60">
        <v>8.32</v>
      </c>
      <c r="C70" s="60">
        <v>10.43</v>
      </c>
      <c r="D70" s="60">
        <v>18.75</v>
      </c>
      <c r="E70" s="60">
        <v>5.95</v>
      </c>
      <c r="F70" s="60">
        <v>0.60</v>
      </c>
      <c r="G70" s="214" t="s">
        <v>36</v>
      </c>
      <c r="H70" s="60">
        <v>10.26</v>
      </c>
      <c r="I70" s="60">
        <v>4.9800000000000004</v>
      </c>
      <c r="J70" s="60">
        <v>0.75</v>
      </c>
      <c r="K70" s="60">
        <v>3.81</v>
      </c>
      <c r="L70" s="60">
        <v>57.38</v>
      </c>
      <c r="M70" s="60">
        <v>87.86</v>
      </c>
      <c r="N70" s="60">
        <v>219.10</v>
      </c>
      <c r="O70" s="60">
        <v>0</v>
      </c>
      <c r="P70" s="60">
        <v>2.74</v>
      </c>
      <c r="Q70" s="60">
        <v>13.92</v>
      </c>
      <c r="R70" s="194"/>
      <c r="S70" s="194"/>
      <c r="T70" s="194"/>
      <c r="U70" s="194"/>
    </row>
    <row r="71" spans="1:21" s="12" customFormat="1" ht="15">
      <c r="A71" s="197" t="s">
        <v>979</v>
      </c>
      <c r="B71" s="60">
        <v>9.49</v>
      </c>
      <c r="C71" s="60">
        <v>10.52</v>
      </c>
      <c r="D71" s="60">
        <v>20.010000000000002</v>
      </c>
      <c r="E71" s="60">
        <v>6.22</v>
      </c>
      <c r="F71" s="60">
        <v>1.04</v>
      </c>
      <c r="G71" s="214" t="s">
        <v>36</v>
      </c>
      <c r="H71" s="60">
        <v>10.26</v>
      </c>
      <c r="I71" s="60">
        <v>5.22</v>
      </c>
      <c r="J71" s="60">
        <v>0.79</v>
      </c>
      <c r="K71" s="60">
        <v>357.10</v>
      </c>
      <c r="L71" s="60">
        <v>61</v>
      </c>
      <c r="M71" s="60">
        <v>83.71</v>
      </c>
      <c r="N71" s="60">
        <v>239.30</v>
      </c>
      <c r="O71" s="60">
        <v>0</v>
      </c>
      <c r="P71" s="60">
        <v>2.77</v>
      </c>
      <c r="Q71" s="60">
        <v>14.51</v>
      </c>
      <c r="R71" s="194"/>
      <c r="S71" s="194"/>
      <c r="T71" s="194"/>
      <c r="U71" s="194"/>
    </row>
    <row r="72" spans="1:21" s="12" customFormat="1" ht="15">
      <c r="A72" s="197" t="s">
        <v>980</v>
      </c>
      <c r="B72" s="60">
        <v>10.36</v>
      </c>
      <c r="C72" s="60">
        <v>10.65</v>
      </c>
      <c r="D72" s="60">
        <v>21.02</v>
      </c>
      <c r="E72" s="60">
        <v>2.99</v>
      </c>
      <c r="F72" s="60">
        <v>1.35</v>
      </c>
      <c r="G72" s="214" t="s">
        <v>36</v>
      </c>
      <c r="H72" s="60">
        <v>10.26</v>
      </c>
      <c r="I72" s="60">
        <v>5.56</v>
      </c>
      <c r="J72" s="60">
        <v>0.42</v>
      </c>
      <c r="K72" s="60">
        <v>10.77</v>
      </c>
      <c r="L72" s="60">
        <v>64.80</v>
      </c>
      <c r="M72" s="60">
        <v>79.70</v>
      </c>
      <c r="N72" s="60">
        <v>227.80</v>
      </c>
      <c r="O72" s="60">
        <v>0</v>
      </c>
      <c r="P72" s="60">
        <v>2.81</v>
      </c>
      <c r="Q72" s="60">
        <v>15.47</v>
      </c>
      <c r="R72" s="194"/>
      <c r="S72" s="194"/>
      <c r="T72" s="194"/>
      <c r="U72" s="194"/>
    </row>
    <row r="73" spans="1:21" s="12" customFormat="1" ht="15">
      <c r="A73" s="197" t="s">
        <v>981</v>
      </c>
      <c r="B73" s="60">
        <v>10.96</v>
      </c>
      <c r="C73" s="60">
        <v>10.69</v>
      </c>
      <c r="D73" s="60">
        <v>21.65</v>
      </c>
      <c r="E73" s="60">
        <v>6.39</v>
      </c>
      <c r="F73" s="60">
        <v>1.18</v>
      </c>
      <c r="G73" s="214" t="s">
        <v>36</v>
      </c>
      <c r="H73" s="60">
        <v>10.77</v>
      </c>
      <c r="I73" s="60">
        <v>5.59</v>
      </c>
      <c r="J73" s="60">
        <v>0.69</v>
      </c>
      <c r="K73" s="60">
        <v>84.02</v>
      </c>
      <c r="L73" s="60">
        <v>61.5</v>
      </c>
      <c r="M73" s="60">
        <v>77.98</v>
      </c>
      <c r="N73" s="60">
        <v>287.80</v>
      </c>
      <c r="O73" s="60">
        <v>0</v>
      </c>
      <c r="P73" s="60">
        <v>2.86</v>
      </c>
      <c r="Q73" s="60">
        <v>16.02</v>
      </c>
      <c r="R73" s="194"/>
      <c r="S73" s="194"/>
      <c r="T73" s="194"/>
      <c r="U73" s="194"/>
    </row>
    <row r="74" spans="1:21" s="12" customFormat="1" ht="15">
      <c r="A74" s="197" t="s">
        <v>982</v>
      </c>
      <c r="B74" s="60">
        <v>11.16</v>
      </c>
      <c r="C74" s="60">
        <v>10.98</v>
      </c>
      <c r="D74" s="60">
        <v>22.14</v>
      </c>
      <c r="E74" s="60">
        <v>6.72</v>
      </c>
      <c r="F74" s="60">
        <v>0.78</v>
      </c>
      <c r="G74" s="214" t="s">
        <v>36</v>
      </c>
      <c r="H74" s="60">
        <v>12.01</v>
      </c>
      <c r="I74" s="60">
        <v>5.71</v>
      </c>
      <c r="J74" s="60">
        <v>0.82</v>
      </c>
      <c r="K74" s="60">
        <v>81.569999999999993</v>
      </c>
      <c r="L74" s="60">
        <v>66.30</v>
      </c>
      <c r="M74" s="60">
        <v>76.95</v>
      </c>
      <c r="N74" s="60">
        <v>302</v>
      </c>
      <c r="O74" s="60">
        <v>0</v>
      </c>
      <c r="P74" s="60">
        <v>2.86</v>
      </c>
      <c r="Q74" s="60">
        <v>16.53</v>
      </c>
      <c r="R74" s="194"/>
      <c r="S74" s="194"/>
      <c r="T74" s="194"/>
      <c r="U74" s="194"/>
    </row>
    <row r="75" spans="1:21" s="12" customFormat="1" ht="15">
      <c r="A75" s="197" t="s">
        <v>983</v>
      </c>
      <c r="B75" s="60">
        <v>10.63</v>
      </c>
      <c r="C75" s="60">
        <v>12.36</v>
      </c>
      <c r="D75" s="60">
        <v>22.98</v>
      </c>
      <c r="E75" s="60">
        <v>6.65</v>
      </c>
      <c r="F75" s="60">
        <v>2.80</v>
      </c>
      <c r="G75" s="214" t="s">
        <v>36</v>
      </c>
      <c r="H75" s="60">
        <v>12.01</v>
      </c>
      <c r="I75" s="60">
        <v>6.14</v>
      </c>
      <c r="J75" s="60">
        <v>0.94</v>
      </c>
      <c r="K75" s="60">
        <v>102.13</v>
      </c>
      <c r="L75" s="60">
        <v>55.5</v>
      </c>
      <c r="M75" s="60">
        <v>75.44</v>
      </c>
      <c r="N75" s="60">
        <v>160.19999999999999</v>
      </c>
      <c r="O75" s="60">
        <v>0</v>
      </c>
      <c r="P75" s="60">
        <v>2.86</v>
      </c>
      <c r="Q75" s="60">
        <v>23.37</v>
      </c>
      <c r="R75" s="194"/>
      <c r="S75" s="194"/>
      <c r="T75" s="194"/>
      <c r="U75" s="194"/>
    </row>
    <row r="76" spans="1:21" s="12" customFormat="1" ht="15">
      <c r="A76" s="197" t="s">
        <v>984</v>
      </c>
      <c r="B76" s="60">
        <v>8.89</v>
      </c>
      <c r="C76" s="60">
        <v>13.69</v>
      </c>
      <c r="D76" s="60">
        <v>22.58</v>
      </c>
      <c r="E76" s="60">
        <v>6.85</v>
      </c>
      <c r="F76" s="60">
        <v>1.18</v>
      </c>
      <c r="G76" s="214" t="s">
        <v>36</v>
      </c>
      <c r="H76" s="60">
        <v>12.01</v>
      </c>
      <c r="I76" s="60">
        <v>5.89</v>
      </c>
      <c r="J76" s="60">
        <v>0.28000000000000003</v>
      </c>
      <c r="K76" s="60">
        <v>55.11</v>
      </c>
      <c r="L76" s="60">
        <v>55.55</v>
      </c>
      <c r="M76" s="60">
        <v>75.08</v>
      </c>
      <c r="N76" s="60">
        <v>146.69999999999999</v>
      </c>
      <c r="O76" s="60">
        <v>0</v>
      </c>
      <c r="P76" s="60">
        <v>2.85</v>
      </c>
      <c r="Q76" s="60">
        <v>30.28</v>
      </c>
      <c r="R76" s="194"/>
      <c r="S76" s="194"/>
      <c r="T76" s="194"/>
      <c r="U76" s="194"/>
    </row>
    <row r="77" spans="1:21" s="12" customFormat="1" ht="15">
      <c r="A77" s="197" t="s">
        <v>985</v>
      </c>
      <c r="B77" s="60">
        <v>7.64</v>
      </c>
      <c r="C77" s="60">
        <v>14.94</v>
      </c>
      <c r="D77" s="60">
        <v>22.58</v>
      </c>
      <c r="E77" s="60">
        <v>6.63</v>
      </c>
      <c r="F77" s="60">
        <v>1.23</v>
      </c>
      <c r="G77" s="214" t="s">
        <v>36</v>
      </c>
      <c r="H77" s="60">
        <v>12.14</v>
      </c>
      <c r="I77" s="60">
        <v>5.90</v>
      </c>
      <c r="J77" s="60">
        <v>0.59</v>
      </c>
      <c r="K77" s="60">
        <v>81.97</v>
      </c>
      <c r="L77" s="60">
        <v>53.88</v>
      </c>
      <c r="M77" s="60">
        <v>74.92</v>
      </c>
      <c r="N77" s="60">
        <v>153.80000000000001</v>
      </c>
      <c r="O77" s="60">
        <v>0</v>
      </c>
      <c r="P77" s="60">
        <v>2.87</v>
      </c>
      <c r="Q77" s="60">
        <v>31.15</v>
      </c>
      <c r="R77" s="194"/>
      <c r="S77" s="194"/>
      <c r="T77" s="194"/>
      <c r="U77" s="194"/>
    </row>
    <row r="78" spans="1:21" s="12" customFormat="1" ht="15">
      <c r="A78" s="197" t="s">
        <v>986</v>
      </c>
      <c r="B78" s="60">
        <v>7.25</v>
      </c>
      <c r="C78" s="60">
        <v>16.420000000000002</v>
      </c>
      <c r="D78" s="60">
        <v>23.67</v>
      </c>
      <c r="E78" s="60">
        <v>6.37</v>
      </c>
      <c r="F78" s="60">
        <v>0.76</v>
      </c>
      <c r="G78" s="214" t="s">
        <v>36</v>
      </c>
      <c r="H78" s="60">
        <v>12.47</v>
      </c>
      <c r="I78" s="60">
        <v>5.68</v>
      </c>
      <c r="J78" s="60">
        <v>0.74</v>
      </c>
      <c r="K78" s="60">
        <v>72.33</v>
      </c>
      <c r="L78" s="60">
        <v>51.76</v>
      </c>
      <c r="M78" s="60">
        <v>75.23</v>
      </c>
      <c r="N78" s="60">
        <v>129.30000000000001</v>
      </c>
      <c r="O78" s="60">
        <v>0</v>
      </c>
      <c r="P78" s="60">
        <v>2.89</v>
      </c>
      <c r="Q78" s="60">
        <v>28.74</v>
      </c>
      <c r="R78" s="194"/>
      <c r="S78" s="194"/>
      <c r="T78" s="194"/>
      <c r="U78" s="194"/>
    </row>
    <row r="79" spans="1:21" s="12" customFormat="1" ht="15">
      <c r="A79" s="197" t="s">
        <v>987</v>
      </c>
      <c r="B79" s="60">
        <v>6.85</v>
      </c>
      <c r="C79" s="60">
        <v>17.170000000000002</v>
      </c>
      <c r="D79" s="60">
        <v>24.02</v>
      </c>
      <c r="E79" s="60">
        <v>6.06</v>
      </c>
      <c r="F79" s="60">
        <v>0.45</v>
      </c>
      <c r="G79" s="214" t="s">
        <v>36</v>
      </c>
      <c r="H79" s="60">
        <v>12.47</v>
      </c>
      <c r="I79" s="60">
        <v>5.83</v>
      </c>
      <c r="J79" s="60">
        <v>0.52</v>
      </c>
      <c r="K79" s="60">
        <v>49.97</v>
      </c>
      <c r="L79" s="60">
        <v>53.75</v>
      </c>
      <c r="M79" s="60">
        <v>75.989999999999995</v>
      </c>
      <c r="N79" s="60">
        <v>116.30</v>
      </c>
      <c r="O79" s="60">
        <v>0</v>
      </c>
      <c r="P79" s="60">
        <v>2.92</v>
      </c>
      <c r="Q79" s="60">
        <v>26.79</v>
      </c>
      <c r="R79" s="194"/>
      <c r="S79" s="194"/>
      <c r="T79" s="194"/>
      <c r="U79" s="194"/>
    </row>
    <row r="80" spans="1:21" s="12" customFormat="1" ht="15">
      <c r="A80" s="197" t="s">
        <v>988</v>
      </c>
      <c r="B80" s="60">
        <v>6.58</v>
      </c>
      <c r="C80" s="60">
        <v>17.96</v>
      </c>
      <c r="D80" s="60">
        <v>24.55</v>
      </c>
      <c r="E80" s="60">
        <v>6.31</v>
      </c>
      <c r="F80" s="60">
        <v>0.74</v>
      </c>
      <c r="G80" s="214" t="s">
        <v>36</v>
      </c>
      <c r="H80" s="60">
        <v>12.47</v>
      </c>
      <c r="I80" s="60">
        <v>6.05</v>
      </c>
      <c r="J80" s="60">
        <v>0.22</v>
      </c>
      <c r="K80" s="60">
        <v>67.540000000000006</v>
      </c>
      <c r="L80" s="60">
        <v>52.73</v>
      </c>
      <c r="M80" s="60">
        <v>76</v>
      </c>
      <c r="N80" s="60">
        <v>78.20</v>
      </c>
      <c r="O80" s="60">
        <v>0</v>
      </c>
      <c r="P80" s="60">
        <v>2.97</v>
      </c>
      <c r="Q80" s="60">
        <v>24.69</v>
      </c>
      <c r="R80" s="194"/>
      <c r="S80" s="194"/>
      <c r="T80" s="194"/>
      <c r="U80" s="194"/>
    </row>
    <row r="81" spans="1:21" s="12" customFormat="1" ht="15">
      <c r="A81" s="197" t="s">
        <v>989</v>
      </c>
      <c r="B81" s="60">
        <v>6.38</v>
      </c>
      <c r="C81" s="60">
        <v>18.22</v>
      </c>
      <c r="D81" s="60">
        <v>24.59</v>
      </c>
      <c r="E81" s="60">
        <v>6.39</v>
      </c>
      <c r="F81" s="60">
        <v>1.08</v>
      </c>
      <c r="G81" s="214" t="s">
        <v>36</v>
      </c>
      <c r="H81" s="60">
        <v>14.35</v>
      </c>
      <c r="I81" s="60">
        <v>6.16</v>
      </c>
      <c r="J81" s="60">
        <v>0.13</v>
      </c>
      <c r="K81" s="60">
        <v>107.67</v>
      </c>
      <c r="L81" s="60">
        <v>51.14</v>
      </c>
      <c r="M81" s="60">
        <v>75.28</v>
      </c>
      <c r="N81" s="60">
        <v>55.90</v>
      </c>
      <c r="O81" s="60">
        <v>0</v>
      </c>
      <c r="P81" s="60">
        <v>3</v>
      </c>
      <c r="Q81" s="60">
        <v>23.01</v>
      </c>
      <c r="R81" s="194"/>
      <c r="S81" s="194"/>
      <c r="T81" s="194"/>
      <c r="U81" s="194"/>
    </row>
    <row r="82" spans="1:21" s="12" customFormat="1" ht="15">
      <c r="A82" s="197" t="s">
        <v>990</v>
      </c>
      <c r="B82" s="60">
        <v>6.37</v>
      </c>
      <c r="C82" s="60">
        <v>17.440000000000001</v>
      </c>
      <c r="D82" s="60">
        <v>23.81</v>
      </c>
      <c r="E82" s="60">
        <v>6.01</v>
      </c>
      <c r="F82" s="60">
        <v>1.19</v>
      </c>
      <c r="G82" s="214" t="s">
        <v>36</v>
      </c>
      <c r="H82" s="60">
        <v>18.98</v>
      </c>
      <c r="I82" s="60">
        <v>6.27</v>
      </c>
      <c r="J82" s="60">
        <v>0.24</v>
      </c>
      <c r="K82" s="60">
        <v>24.54</v>
      </c>
      <c r="L82" s="60">
        <v>58.24</v>
      </c>
      <c r="M82" s="60">
        <v>76.03</v>
      </c>
      <c r="N82" s="60">
        <v>38</v>
      </c>
      <c r="O82" s="60">
        <v>0</v>
      </c>
      <c r="P82" s="60">
        <v>3.08</v>
      </c>
      <c r="Q82" s="60">
        <v>17.98</v>
      </c>
      <c r="R82" s="194"/>
      <c r="S82" s="194"/>
      <c r="T82" s="194"/>
      <c r="U82" s="194"/>
    </row>
    <row r="83" spans="1:21" s="12" customFormat="1" ht="15">
      <c r="A83" s="197" t="s">
        <v>991</v>
      </c>
      <c r="B83" s="60">
        <v>6.54</v>
      </c>
      <c r="C83" s="60">
        <v>16.510000000000002</v>
      </c>
      <c r="D83" s="60">
        <v>23.04</v>
      </c>
      <c r="E83" s="60">
        <v>6.13</v>
      </c>
      <c r="F83" s="60">
        <v>2.0099999999999998</v>
      </c>
      <c r="G83" s="214" t="s">
        <v>36</v>
      </c>
      <c r="H83" s="60">
        <v>18.98</v>
      </c>
      <c r="I83" s="60">
        <v>6.37</v>
      </c>
      <c r="J83" s="60">
        <v>0.06</v>
      </c>
      <c r="K83" s="60">
        <v>339.59</v>
      </c>
      <c r="L83" s="60">
        <v>58.61</v>
      </c>
      <c r="M83" s="60">
        <v>77.930000000000007</v>
      </c>
      <c r="N83" s="60">
        <v>15.70</v>
      </c>
      <c r="O83" s="60">
        <v>0</v>
      </c>
      <c r="P83" s="60">
        <v>3.06</v>
      </c>
      <c r="Q83" s="60">
        <v>13.86</v>
      </c>
      <c r="R83" s="194"/>
      <c r="S83" s="194"/>
      <c r="T83" s="194"/>
      <c r="U83" s="194"/>
    </row>
    <row r="84" spans="1:21" s="12" customFormat="1" ht="15">
      <c r="A84" s="197" t="s">
        <v>992</v>
      </c>
      <c r="B84" s="60">
        <v>6.75</v>
      </c>
      <c r="C84" s="60">
        <v>15.66</v>
      </c>
      <c r="D84" s="60">
        <v>22.41</v>
      </c>
      <c r="E84" s="60">
        <v>6.36</v>
      </c>
      <c r="F84" s="60">
        <v>2.90</v>
      </c>
      <c r="G84" s="214" t="s">
        <v>36</v>
      </c>
      <c r="H84" s="60">
        <v>18.98</v>
      </c>
      <c r="I84" s="60">
        <v>6.93</v>
      </c>
      <c r="J84" s="60">
        <v>0.15</v>
      </c>
      <c r="K84" s="60">
        <v>342.75</v>
      </c>
      <c r="L84" s="9" t="s">
        <v>36</v>
      </c>
      <c r="M84" s="60">
        <v>84.51</v>
      </c>
      <c r="N84" s="60">
        <v>2.2999999999999998</v>
      </c>
      <c r="O84" s="60">
        <v>0</v>
      </c>
      <c r="P84" s="60">
        <v>3.14</v>
      </c>
      <c r="Q84" s="60">
        <v>12.29</v>
      </c>
      <c r="R84" s="194"/>
      <c r="S84" s="194"/>
      <c r="T84" s="194"/>
      <c r="U84" s="194"/>
    </row>
    <row r="85" spans="1:21" s="12" customFormat="1" ht="15">
      <c r="A85" s="197" t="s">
        <v>993</v>
      </c>
      <c r="B85" s="60">
        <v>7.75</v>
      </c>
      <c r="C85" s="60">
        <v>15.22</v>
      </c>
      <c r="D85" s="60">
        <v>22.97</v>
      </c>
      <c r="E85" s="60">
        <v>6.98</v>
      </c>
      <c r="F85" s="60">
        <v>2.15</v>
      </c>
      <c r="G85" s="214" t="s">
        <v>36</v>
      </c>
      <c r="H85" s="60">
        <v>20.309999999999999</v>
      </c>
      <c r="I85" s="60">
        <v>6.33</v>
      </c>
      <c r="J85" s="60">
        <v>0.23</v>
      </c>
      <c r="K85" s="60">
        <v>102.30</v>
      </c>
      <c r="L85" s="9" t="s">
        <v>36</v>
      </c>
      <c r="M85" s="60">
        <v>83.88</v>
      </c>
      <c r="N85" s="60">
        <v>0.40</v>
      </c>
      <c r="O85" s="60">
        <v>0</v>
      </c>
      <c r="P85" s="60">
        <v>3.20</v>
      </c>
      <c r="Q85" s="60">
        <v>12.14</v>
      </c>
      <c r="R85" s="194"/>
      <c r="S85" s="194"/>
      <c r="T85" s="194"/>
      <c r="U85" s="194"/>
    </row>
    <row r="86" spans="1:21" s="12" customFormat="1" ht="15">
      <c r="A86" s="197" t="s">
        <v>994</v>
      </c>
      <c r="B86" s="60">
        <v>8.06</v>
      </c>
      <c r="C86" s="60">
        <v>14.81</v>
      </c>
      <c r="D86" s="60">
        <v>22.87</v>
      </c>
      <c r="E86" s="60">
        <v>7.05</v>
      </c>
      <c r="F86" s="60">
        <v>5.61</v>
      </c>
      <c r="G86" s="214" t="s">
        <v>36</v>
      </c>
      <c r="H86" s="60">
        <v>23.59</v>
      </c>
      <c r="I86" s="60">
        <v>7.35</v>
      </c>
      <c r="J86" s="60">
        <v>0.31</v>
      </c>
      <c r="K86" s="60">
        <v>358.77</v>
      </c>
      <c r="L86" s="9" t="s">
        <v>36</v>
      </c>
      <c r="M86" s="60">
        <v>86.13</v>
      </c>
      <c r="N86" s="60">
        <v>0.20</v>
      </c>
      <c r="O86" s="60">
        <v>0</v>
      </c>
      <c r="P86" s="60">
        <v>3.25</v>
      </c>
      <c r="Q86" s="60">
        <v>12.22</v>
      </c>
      <c r="R86" s="194"/>
      <c r="S86" s="194"/>
      <c r="T86" s="194"/>
      <c r="U86" s="194"/>
    </row>
    <row r="87" spans="1:21" s="12" customFormat="1" ht="15">
      <c r="A87" s="197" t="s">
        <v>995</v>
      </c>
      <c r="B87" s="60">
        <v>9.23</v>
      </c>
      <c r="C87" s="60">
        <v>14.42</v>
      </c>
      <c r="D87" s="60">
        <v>23.65</v>
      </c>
      <c r="E87" s="60">
        <v>6.44</v>
      </c>
      <c r="F87" s="60">
        <v>0.85</v>
      </c>
      <c r="G87" s="214" t="s">
        <v>36</v>
      </c>
      <c r="H87" s="60">
        <v>23.59</v>
      </c>
      <c r="I87" s="60">
        <v>7.98</v>
      </c>
      <c r="J87" s="60">
        <v>0.11</v>
      </c>
      <c r="K87" s="60">
        <v>338.22</v>
      </c>
      <c r="L87" s="9" t="s">
        <v>36</v>
      </c>
      <c r="M87" s="60">
        <v>86.63</v>
      </c>
      <c r="N87" s="60">
        <v>0.20</v>
      </c>
      <c r="O87" s="60">
        <v>0</v>
      </c>
      <c r="P87" s="60">
        <v>3.37</v>
      </c>
      <c r="Q87" s="60">
        <v>12.81</v>
      </c>
      <c r="R87" s="194"/>
      <c r="S87" s="194"/>
      <c r="T87" s="194"/>
      <c r="U87" s="194"/>
    </row>
    <row r="88" spans="1:21" s="12" customFormat="1" ht="15">
      <c r="A88" s="197" t="s">
        <v>996</v>
      </c>
      <c r="B88" s="60">
        <v>10.95</v>
      </c>
      <c r="C88" s="60">
        <v>14.46</v>
      </c>
      <c r="D88" s="60">
        <v>25.42</v>
      </c>
      <c r="E88" s="60">
        <v>4.1399999999999997</v>
      </c>
      <c r="F88" s="60">
        <v>0.73</v>
      </c>
      <c r="G88" s="214" t="s">
        <v>36</v>
      </c>
      <c r="H88" s="60">
        <v>23.59</v>
      </c>
      <c r="I88" s="60">
        <v>8.7200000000000006</v>
      </c>
      <c r="J88" s="60">
        <v>0.19</v>
      </c>
      <c r="K88" s="60">
        <v>332.25</v>
      </c>
      <c r="L88" s="9" t="s">
        <v>36</v>
      </c>
      <c r="M88" s="60">
        <v>86.43</v>
      </c>
      <c r="N88" s="214" t="s">
        <v>36</v>
      </c>
      <c r="O88" s="60">
        <v>0</v>
      </c>
      <c r="P88" s="60">
        <v>3.46</v>
      </c>
      <c r="Q88" s="60">
        <v>13.59</v>
      </c>
      <c r="R88" s="194"/>
      <c r="S88" s="194"/>
      <c r="T88" s="194"/>
      <c r="U88" s="194"/>
    </row>
    <row r="89" spans="1:21" s="12" customFormat="1" ht="15">
      <c r="A89" s="197" t="s">
        <v>997</v>
      </c>
      <c r="B89" s="60">
        <v>12.63</v>
      </c>
      <c r="C89" s="60">
        <v>14.80</v>
      </c>
      <c r="D89" s="60">
        <v>27.43</v>
      </c>
      <c r="E89" s="60">
        <v>7.27</v>
      </c>
      <c r="F89" s="60">
        <v>1.21</v>
      </c>
      <c r="G89" s="214" t="s">
        <v>36</v>
      </c>
      <c r="H89" s="60">
        <v>24.94</v>
      </c>
      <c r="I89" s="60">
        <v>9.89</v>
      </c>
      <c r="J89" s="60">
        <v>0.19</v>
      </c>
      <c r="K89" s="60">
        <v>327.55</v>
      </c>
      <c r="L89" s="9" t="s">
        <v>36</v>
      </c>
      <c r="M89" s="60">
        <v>84.37</v>
      </c>
      <c r="N89" s="60">
        <v>0.30</v>
      </c>
      <c r="O89" s="60">
        <v>0</v>
      </c>
      <c r="P89" s="60">
        <v>3.5</v>
      </c>
      <c r="Q89" s="60">
        <v>15.27</v>
      </c>
      <c r="R89" s="194"/>
      <c r="S89" s="194"/>
      <c r="T89" s="194"/>
      <c r="U89" s="194"/>
    </row>
    <row r="90" spans="1:21" s="12" customFormat="1" ht="15">
      <c r="A90" s="197" t="s">
        <v>998</v>
      </c>
      <c r="B90" s="60">
        <v>13.16</v>
      </c>
      <c r="C90" s="60">
        <v>15.56</v>
      </c>
      <c r="D90" s="60">
        <v>28.72</v>
      </c>
      <c r="E90" s="60">
        <v>7.11</v>
      </c>
      <c r="F90" s="60">
        <v>0.41</v>
      </c>
      <c r="G90" s="214" t="s">
        <v>36</v>
      </c>
      <c r="H90" s="60">
        <v>28.26</v>
      </c>
      <c r="I90" s="60">
        <v>10.039999999999999</v>
      </c>
      <c r="J90" s="60">
        <v>2.23</v>
      </c>
      <c r="K90" s="60">
        <v>160.72999999999999</v>
      </c>
      <c r="L90" s="9" t="s">
        <v>36</v>
      </c>
      <c r="M90" s="60">
        <v>84.58</v>
      </c>
      <c r="N90" s="60">
        <v>1.60</v>
      </c>
      <c r="O90" s="60">
        <v>0</v>
      </c>
      <c r="P90" s="60">
        <v>3.51</v>
      </c>
      <c r="Q90" s="60">
        <v>21.77</v>
      </c>
      <c r="R90" s="194"/>
      <c r="S90" s="194"/>
      <c r="T90" s="194"/>
      <c r="U90" s="194"/>
    </row>
    <row r="91" spans="1:21" s="12" customFormat="1" ht="15">
      <c r="A91" s="197" t="s">
        <v>999</v>
      </c>
      <c r="B91" s="60">
        <v>11.92</v>
      </c>
      <c r="C91" s="60">
        <v>15.58</v>
      </c>
      <c r="D91" s="60">
        <v>27.51</v>
      </c>
      <c r="E91" s="60">
        <v>7.08</v>
      </c>
      <c r="F91" s="60">
        <v>0.05</v>
      </c>
      <c r="G91" s="214" t="s">
        <v>36</v>
      </c>
      <c r="H91" s="60">
        <v>28.26</v>
      </c>
      <c r="I91" s="60">
        <v>8.8699999999999992</v>
      </c>
      <c r="J91" s="60">
        <v>1.59</v>
      </c>
      <c r="K91" s="60">
        <v>172.42</v>
      </c>
      <c r="L91" s="60">
        <v>49.06</v>
      </c>
      <c r="M91" s="60">
        <v>88.59</v>
      </c>
      <c r="N91" s="60">
        <v>1.90</v>
      </c>
      <c r="O91" s="60">
        <v>0</v>
      </c>
      <c r="P91" s="60">
        <v>3.41</v>
      </c>
      <c r="Q91" s="60">
        <v>26.78</v>
      </c>
      <c r="R91" s="194"/>
      <c r="S91" s="194"/>
      <c r="T91" s="194"/>
      <c r="U91" s="194"/>
    </row>
    <row r="92" spans="1:21" s="12" customFormat="1" ht="15">
      <c r="A92" s="197" t="s">
        <v>1000</v>
      </c>
      <c r="B92" s="60">
        <v>9.9600000000000009</v>
      </c>
      <c r="C92" s="60">
        <v>15.40</v>
      </c>
      <c r="D92" s="60">
        <v>25.36</v>
      </c>
      <c r="E92" s="60">
        <v>6.99</v>
      </c>
      <c r="F92" s="60">
        <v>0.24</v>
      </c>
      <c r="G92" s="214" t="s">
        <v>36</v>
      </c>
      <c r="H92" s="60">
        <v>28.26</v>
      </c>
      <c r="I92" s="60">
        <v>8.65</v>
      </c>
      <c r="J92" s="60">
        <v>0.11</v>
      </c>
      <c r="K92" s="60">
        <v>221.22</v>
      </c>
      <c r="L92" s="60">
        <v>50.61</v>
      </c>
      <c r="M92" s="60">
        <v>92.15</v>
      </c>
      <c r="N92" s="60">
        <v>0.70</v>
      </c>
      <c r="O92" s="60">
        <v>0</v>
      </c>
      <c r="P92" s="60">
        <v>3.32</v>
      </c>
      <c r="Q92" s="60">
        <v>25.88</v>
      </c>
      <c r="R92" s="194"/>
      <c r="S92" s="194"/>
      <c r="T92" s="194"/>
      <c r="U92" s="194"/>
    </row>
    <row r="93" spans="1:21" s="12" customFormat="1" ht="15">
      <c r="A93" s="197" t="s">
        <v>1001</v>
      </c>
      <c r="B93" s="60">
        <v>8.51</v>
      </c>
      <c r="C93" s="60">
        <v>15.55</v>
      </c>
      <c r="D93" s="60">
        <v>24.06</v>
      </c>
      <c r="E93" s="60">
        <v>6.96</v>
      </c>
      <c r="F93" s="60">
        <v>0.54</v>
      </c>
      <c r="G93" s="214" t="s">
        <v>36</v>
      </c>
      <c r="H93" s="60">
        <v>27</v>
      </c>
      <c r="I93" s="60">
        <v>8.18</v>
      </c>
      <c r="J93" s="60">
        <v>0.11</v>
      </c>
      <c r="K93" s="60">
        <v>199.49</v>
      </c>
      <c r="L93" s="60">
        <v>55.72</v>
      </c>
      <c r="M93" s="60">
        <v>89.58</v>
      </c>
      <c r="N93" s="60">
        <v>0.60</v>
      </c>
      <c r="O93" s="60">
        <v>0</v>
      </c>
      <c r="P93" s="60">
        <v>3.27</v>
      </c>
      <c r="Q93" s="60">
        <v>23.88</v>
      </c>
      <c r="R93" s="194"/>
      <c r="S93" s="194"/>
      <c r="T93" s="194"/>
      <c r="U93" s="194"/>
    </row>
    <row r="94" spans="1:21" s="12" customFormat="1" ht="15">
      <c r="A94" s="197" t="s">
        <v>1002</v>
      </c>
      <c r="B94" s="60">
        <v>7.58</v>
      </c>
      <c r="C94" s="60">
        <v>15.36</v>
      </c>
      <c r="D94" s="60">
        <v>22.94</v>
      </c>
      <c r="E94" s="60">
        <v>6.98</v>
      </c>
      <c r="F94" s="60">
        <v>0</v>
      </c>
      <c r="G94" s="214" t="s">
        <v>36</v>
      </c>
      <c r="H94" s="60">
        <v>23.90</v>
      </c>
      <c r="I94" s="60">
        <v>7.77</v>
      </c>
      <c r="J94" s="60">
        <v>1.67</v>
      </c>
      <c r="K94" s="60">
        <v>158.13999999999999</v>
      </c>
      <c r="L94" s="60">
        <v>54.33</v>
      </c>
      <c r="M94" s="60">
        <v>89.26</v>
      </c>
      <c r="N94" s="60">
        <v>0.10</v>
      </c>
      <c r="O94" s="60">
        <v>0</v>
      </c>
      <c r="P94" s="60">
        <v>3.22</v>
      </c>
      <c r="Q94" s="60">
        <v>21.59</v>
      </c>
      <c r="R94" s="194"/>
      <c r="S94" s="194"/>
      <c r="T94" s="194"/>
      <c r="U94" s="194"/>
    </row>
    <row r="95" spans="1:21" s="12" customFormat="1" ht="15">
      <c r="A95" s="197" t="s">
        <v>1003</v>
      </c>
      <c r="B95" s="60">
        <v>6.59</v>
      </c>
      <c r="C95" s="60">
        <v>14.86</v>
      </c>
      <c r="D95" s="60">
        <v>21.45</v>
      </c>
      <c r="E95" s="60">
        <v>6.97</v>
      </c>
      <c r="F95" s="60">
        <v>0.48</v>
      </c>
      <c r="G95" s="214" t="s">
        <v>36</v>
      </c>
      <c r="H95" s="60">
        <v>23.90</v>
      </c>
      <c r="I95" s="60">
        <v>7.54</v>
      </c>
      <c r="J95" s="60">
        <v>1.37</v>
      </c>
      <c r="K95" s="60">
        <v>165.25</v>
      </c>
      <c r="L95" s="60">
        <v>52.62</v>
      </c>
      <c r="M95" s="60">
        <v>88.47</v>
      </c>
      <c r="N95" s="60">
        <v>0.40</v>
      </c>
      <c r="O95" s="60">
        <v>0.40</v>
      </c>
      <c r="P95" s="60">
        <v>3.16</v>
      </c>
      <c r="Q95" s="60">
        <v>19.77</v>
      </c>
      <c r="R95" s="194"/>
      <c r="S95" s="194"/>
      <c r="T95" s="194"/>
      <c r="U95" s="194"/>
    </row>
    <row r="96" spans="1:26" s="12" customFormat="1" ht="15">
      <c r="A96" s="197" t="s">
        <v>1004</v>
      </c>
      <c r="B96" s="60">
        <v>5.54</v>
      </c>
      <c r="C96" s="60">
        <v>14.34</v>
      </c>
      <c r="D96" s="60">
        <v>19.88</v>
      </c>
      <c r="E96" s="60">
        <v>6.82</v>
      </c>
      <c r="F96" s="60">
        <v>0.40</v>
      </c>
      <c r="G96" s="214" t="s">
        <v>36</v>
      </c>
      <c r="H96" s="60">
        <v>23.90</v>
      </c>
      <c r="I96" s="60">
        <v>7.25</v>
      </c>
      <c r="J96" s="60">
        <v>1.5</v>
      </c>
      <c r="K96" s="60">
        <v>154.15</v>
      </c>
      <c r="L96" s="60">
        <v>46.29</v>
      </c>
      <c r="M96" s="60">
        <v>93.03</v>
      </c>
      <c r="N96" s="60">
        <v>1.5</v>
      </c>
      <c r="O96" s="60">
        <v>2.40</v>
      </c>
      <c r="P96" s="60">
        <v>3.10</v>
      </c>
      <c r="Q96" s="60">
        <v>16.649999999999999</v>
      </c>
      <c r="R96" s="194"/>
      <c r="S96" s="194"/>
      <c r="T96" s="194"/>
      <c r="U96" s="194"/>
      <c r="Z96" s="105"/>
    </row>
    <row r="97" spans="1:21" s="12" customFormat="1" ht="15">
      <c r="A97" s="197" t="s">
        <v>1005</v>
      </c>
      <c r="B97" s="60">
        <v>4.99</v>
      </c>
      <c r="C97" s="60">
        <v>13.28</v>
      </c>
      <c r="D97" s="60">
        <v>18.27</v>
      </c>
      <c r="E97" s="60">
        <v>6.94</v>
      </c>
      <c r="F97" s="60">
        <v>0.94</v>
      </c>
      <c r="G97" s="214" t="s">
        <v>36</v>
      </c>
      <c r="H97" s="60">
        <v>22.03</v>
      </c>
      <c r="I97" s="60">
        <v>7</v>
      </c>
      <c r="J97" s="60">
        <v>0.15</v>
      </c>
      <c r="K97" s="60">
        <v>303.45999999999998</v>
      </c>
      <c r="L97" s="60">
        <v>56.63</v>
      </c>
      <c r="M97" s="60">
        <v>97.51</v>
      </c>
      <c r="N97" s="60">
        <v>0.20</v>
      </c>
      <c r="O97" s="60">
        <v>0</v>
      </c>
      <c r="P97" s="60">
        <v>3.07</v>
      </c>
      <c r="Q97" s="60">
        <v>12.17</v>
      </c>
      <c r="R97" s="194"/>
      <c r="S97" s="194"/>
      <c r="T97" s="194"/>
      <c r="U97" s="194"/>
    </row>
    <row r="98" spans="1:21" s="12" customFormat="1" ht="15">
      <c r="A98" s="197" t="s">
        <v>1006</v>
      </c>
      <c r="B98" s="60">
        <v>5.28</v>
      </c>
      <c r="C98" s="60">
        <v>12.42</v>
      </c>
      <c r="D98" s="60">
        <v>17.70</v>
      </c>
      <c r="E98" s="60">
        <v>7.01</v>
      </c>
      <c r="F98" s="60">
        <v>0.98</v>
      </c>
      <c r="G98" s="214" t="s">
        <v>36</v>
      </c>
      <c r="H98" s="60">
        <v>17.420000000000002</v>
      </c>
      <c r="I98" s="60">
        <v>6.70</v>
      </c>
      <c r="J98" s="60">
        <v>0.95</v>
      </c>
      <c r="K98" s="60">
        <v>351.78</v>
      </c>
      <c r="L98" s="60">
        <v>59.03</v>
      </c>
      <c r="M98" s="60">
        <v>98.54</v>
      </c>
      <c r="N98" s="214" t="s">
        <v>36</v>
      </c>
      <c r="O98" s="60">
        <v>1</v>
      </c>
      <c r="P98" s="60">
        <v>3.06</v>
      </c>
      <c r="Q98" s="60">
        <v>9.9600000000000009</v>
      </c>
      <c r="R98" s="194"/>
      <c r="S98" s="194"/>
      <c r="T98" s="194"/>
      <c r="U98" s="194"/>
    </row>
    <row r="99" spans="1:21" s="12" customFormat="1" ht="15">
      <c r="A99" s="197" t="s">
        <v>1007</v>
      </c>
      <c r="B99" s="60">
        <v>5.70</v>
      </c>
      <c r="C99" s="60">
        <v>11.68</v>
      </c>
      <c r="D99" s="60">
        <v>17.38</v>
      </c>
      <c r="E99" s="60">
        <v>7.19</v>
      </c>
      <c r="F99" s="60">
        <v>0.84</v>
      </c>
      <c r="G99" s="214" t="s">
        <v>36</v>
      </c>
      <c r="H99" s="60">
        <v>17.420000000000002</v>
      </c>
      <c r="I99" s="60">
        <v>6.17</v>
      </c>
      <c r="J99" s="60">
        <v>0.67</v>
      </c>
      <c r="K99" s="60">
        <v>316.99</v>
      </c>
      <c r="L99" s="60">
        <v>48.63</v>
      </c>
      <c r="M99" s="60">
        <v>98.66</v>
      </c>
      <c r="N99" s="60">
        <v>0.10</v>
      </c>
      <c r="O99" s="60">
        <v>1.80</v>
      </c>
      <c r="P99" s="60">
        <v>3.06</v>
      </c>
      <c r="Q99" s="60">
        <v>9.10</v>
      </c>
      <c r="R99" s="194"/>
      <c r="S99" s="194"/>
      <c r="T99" s="194"/>
      <c r="U99" s="194"/>
    </row>
    <row r="100" spans="1:33" s="12" customFormat="1" ht="15">
      <c r="A100" s="197" t="s">
        <v>1008</v>
      </c>
      <c r="B100" s="60">
        <v>5.75</v>
      </c>
      <c r="C100" s="60">
        <v>10.95</v>
      </c>
      <c r="D100" s="60">
        <v>16.71</v>
      </c>
      <c r="E100" s="60">
        <v>7.22</v>
      </c>
      <c r="F100" s="60">
        <v>1.40</v>
      </c>
      <c r="G100" s="214" t="s">
        <v>36</v>
      </c>
      <c r="H100" s="60">
        <v>17.420000000000002</v>
      </c>
      <c r="I100" s="60">
        <v>6.39</v>
      </c>
      <c r="J100" s="60">
        <v>0.16</v>
      </c>
      <c r="K100" s="60">
        <v>169.53</v>
      </c>
      <c r="L100" s="9" t="s">
        <v>36</v>
      </c>
      <c r="M100" s="60">
        <v>98.92</v>
      </c>
      <c r="N100" s="60">
        <v>0.30</v>
      </c>
      <c r="O100" s="60">
        <v>1.40</v>
      </c>
      <c r="P100" s="60">
        <v>3.02</v>
      </c>
      <c r="Q100" s="60">
        <v>8.75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1009</v>
      </c>
      <c r="B101" s="60">
        <v>5.88</v>
      </c>
      <c r="C101" s="60">
        <v>10.32</v>
      </c>
      <c r="D101" s="60">
        <v>16.190000000000001</v>
      </c>
      <c r="E101" s="60">
        <v>7.41</v>
      </c>
      <c r="F101" s="60">
        <v>1.27</v>
      </c>
      <c r="G101" s="214" t="s">
        <v>36</v>
      </c>
      <c r="H101" s="60">
        <v>16.09</v>
      </c>
      <c r="I101" s="60">
        <v>6.43</v>
      </c>
      <c r="J101" s="60">
        <v>0.14000000000000001</v>
      </c>
      <c r="K101" s="60">
        <v>320.42</v>
      </c>
      <c r="L101" s="9" t="s">
        <v>36</v>
      </c>
      <c r="M101" s="60">
        <v>98.85</v>
      </c>
      <c r="N101" s="60">
        <v>0.20</v>
      </c>
      <c r="O101" s="60">
        <v>0</v>
      </c>
      <c r="P101" s="60">
        <v>3.01</v>
      </c>
      <c r="Q101" s="60">
        <v>8.67</v>
      </c>
      <c r="R101" s="194"/>
      <c r="S101" s="194"/>
      <c r="T101" s="194"/>
      <c r="U101" s="194"/>
    </row>
    <row r="102" spans="1:21" s="12" customFormat="1" ht="15">
      <c r="A102" s="197" t="s">
        <v>1010</v>
      </c>
      <c r="B102" s="60">
        <v>6.07</v>
      </c>
      <c r="C102" s="60">
        <v>9.9600000000000009</v>
      </c>
      <c r="D102" s="60">
        <v>16.02</v>
      </c>
      <c r="E102" s="60">
        <v>7.94</v>
      </c>
      <c r="F102" s="60">
        <v>0.90</v>
      </c>
      <c r="G102" s="214" t="s">
        <v>36</v>
      </c>
      <c r="H102" s="60">
        <v>12.82</v>
      </c>
      <c r="I102" s="60">
        <v>5.75</v>
      </c>
      <c r="J102" s="60">
        <v>0.10</v>
      </c>
      <c r="K102" s="60">
        <v>345.46</v>
      </c>
      <c r="L102" s="9" t="s">
        <v>36</v>
      </c>
      <c r="M102" s="60">
        <v>98.68</v>
      </c>
      <c r="N102" s="60">
        <v>0.10</v>
      </c>
      <c r="O102" s="60">
        <v>0</v>
      </c>
      <c r="P102" s="60">
        <v>3</v>
      </c>
      <c r="Q102" s="60">
        <v>8.86</v>
      </c>
      <c r="R102" s="194"/>
      <c r="S102" s="194"/>
      <c r="T102" s="194"/>
      <c r="U102" s="194"/>
    </row>
    <row r="103" spans="1:21" s="12" customFormat="1" ht="15">
      <c r="A103" s="197" t="s">
        <v>1011</v>
      </c>
      <c r="B103" s="60">
        <v>6.15</v>
      </c>
      <c r="C103" s="60">
        <v>9.8000000000000007</v>
      </c>
      <c r="D103" s="60">
        <v>15.94</v>
      </c>
      <c r="E103" s="60">
        <v>7.52</v>
      </c>
      <c r="F103" s="60">
        <v>0.10</v>
      </c>
      <c r="G103" s="214" t="s">
        <v>36</v>
      </c>
      <c r="H103" s="60">
        <v>12.82</v>
      </c>
      <c r="I103" s="60">
        <v>5.72</v>
      </c>
      <c r="J103" s="60">
        <v>0.04</v>
      </c>
      <c r="K103" s="60">
        <v>319.13</v>
      </c>
      <c r="L103" s="9" t="s">
        <v>36</v>
      </c>
      <c r="M103" s="60">
        <v>98.69</v>
      </c>
      <c r="N103" s="60">
        <v>0.20</v>
      </c>
      <c r="O103" s="60">
        <v>0</v>
      </c>
      <c r="P103" s="60">
        <v>2.99</v>
      </c>
      <c r="Q103" s="60">
        <v>9.2200000000000006</v>
      </c>
      <c r="R103" s="194"/>
      <c r="S103" s="194"/>
      <c r="T103" s="194"/>
      <c r="U103" s="194"/>
    </row>
    <row r="104" spans="1:21" s="12" customFormat="1" ht="15">
      <c r="A104" s="197" t="s">
        <v>1012</v>
      </c>
      <c r="B104" s="60">
        <v>6.11</v>
      </c>
      <c r="C104" s="60">
        <v>10.65</v>
      </c>
      <c r="D104" s="60">
        <v>16.75</v>
      </c>
      <c r="E104" s="60">
        <v>4.66</v>
      </c>
      <c r="F104" s="60">
        <v>1.01</v>
      </c>
      <c r="G104" s="214" t="s">
        <v>36</v>
      </c>
      <c r="H104" s="60">
        <v>12.82</v>
      </c>
      <c r="I104" s="60">
        <v>6.05</v>
      </c>
      <c r="J104" s="60">
        <v>0.15</v>
      </c>
      <c r="K104" s="60">
        <v>211.56</v>
      </c>
      <c r="L104" s="9" t="s">
        <v>36</v>
      </c>
      <c r="M104" s="60">
        <v>99.09</v>
      </c>
      <c r="N104" s="60">
        <v>0.20</v>
      </c>
      <c r="O104" s="60">
        <v>0.20</v>
      </c>
      <c r="P104" s="60">
        <v>2.97</v>
      </c>
      <c r="Q104" s="60">
        <v>11.53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0.81999999999999995</v>
      </c>
      <c r="C106" s="67">
        <f>MIN(C9:C104)</f>
        <v>6.9100000000000001</v>
      </c>
      <c r="D106" s="67">
        <f t="shared" si="0" ref="D106:Q106">MIN(D9:D104)</f>
        <v>9.9600000000000009</v>
      </c>
      <c r="E106" s="67">
        <f t="shared" si="0"/>
        <v>2.9900000000000002</v>
      </c>
      <c r="F106" s="67">
        <f t="shared" si="0"/>
        <v>0</v>
      </c>
      <c r="G106" s="67">
        <f t="shared" si="0"/>
        <v>0</v>
      </c>
      <c r="H106" s="67">
        <f t="shared" si="0"/>
        <v>8.3200000000000003</v>
      </c>
      <c r="I106" s="67">
        <f t="shared" si="0"/>
        <v>2.3599999999999999</v>
      </c>
      <c r="J106" s="67">
        <f t="shared" si="0"/>
        <v>0.02</v>
      </c>
      <c r="K106" s="67">
        <f t="shared" si="0"/>
        <v>1.9299999999999999</v>
      </c>
      <c r="L106" s="67">
        <f t="shared" si="0"/>
        <v>36.200000000000003</v>
      </c>
      <c r="M106" s="67">
        <f t="shared" si="0"/>
        <v>66.579999999999998</v>
      </c>
      <c r="N106" s="67">
        <f t="shared" si="0"/>
        <v>0.10000000000000001</v>
      </c>
      <c r="O106" s="67">
        <f t="shared" si="0"/>
        <v>0</v>
      </c>
      <c r="P106" s="67">
        <f t="shared" si="0"/>
        <v>2.4100000000000001</v>
      </c>
      <c r="Q106" s="67">
        <f t="shared" si="0"/>
        <v>8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13.16</v>
      </c>
      <c r="C107" s="66">
        <f t="shared" si="1" ref="C107:Q107">MAX(C9:C104)</f>
        <v>18.219999999999999</v>
      </c>
      <c r="D107" s="66">
        <f t="shared" si="1"/>
        <v>28.719999999999999</v>
      </c>
      <c r="E107" s="66">
        <f t="shared" si="1"/>
        <v>9.3699999999999992</v>
      </c>
      <c r="F107" s="66">
        <f t="shared" si="1"/>
        <v>5.6100000000000003</v>
      </c>
      <c r="G107" s="66">
        <f t="shared" si="1"/>
        <v>0</v>
      </c>
      <c r="H107" s="66">
        <f t="shared" si="1"/>
        <v>28.260000000000002</v>
      </c>
      <c r="I107" s="66">
        <f t="shared" si="1"/>
        <v>10.039999999999999</v>
      </c>
      <c r="J107" s="66">
        <f t="shared" si="1"/>
        <v>2.23</v>
      </c>
      <c r="K107" s="66">
        <f t="shared" si="1"/>
        <v>358.76999999999998</v>
      </c>
      <c r="L107" s="66">
        <f t="shared" si="1"/>
        <v>66.299999999999997</v>
      </c>
      <c r="M107" s="66">
        <f t="shared" si="1"/>
        <v>99.090000000000003</v>
      </c>
      <c r="N107" s="66">
        <f t="shared" si="1"/>
        <v>942.39999999999998</v>
      </c>
      <c r="O107" s="66">
        <f t="shared" si="1"/>
        <v>2.3999999999999999</v>
      </c>
      <c r="P107" s="66">
        <f t="shared" si="1"/>
        <v>3.5099999999999998</v>
      </c>
      <c r="Q107" s="66">
        <f t="shared" si="1"/>
        <v>31.149999999999999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5.2827083333333329</v>
      </c>
      <c r="C108" s="67">
        <f t="shared" si="2" ref="C108:Q108">AVERAGE(C9:C104)</f>
        <v>11.0175</v>
      </c>
      <c r="D108" s="67">
        <f t="shared" si="2"/>
        <v>16.300312500000004</v>
      </c>
      <c r="E108" s="67">
        <f t="shared" si="2"/>
        <v>7.0064583333333381</v>
      </c>
      <c r="F108" s="67">
        <f t="shared" si="2"/>
        <v>0.9545744680851066</v>
      </c>
      <c r="G108" s="67" t="e">
        <f t="shared" si="2"/>
        <v>#DIV/0!</v>
      </c>
      <c r="H108" s="67">
        <f t="shared" si="2"/>
        <v>14.28125</v>
      </c>
      <c r="I108" s="67">
        <f t="shared" si="2"/>
        <v>5.1556250000000006</v>
      </c>
      <c r="J108" s="67">
        <f t="shared" si="2"/>
        <v>0.61916666666666675</v>
      </c>
      <c r="K108" s="67">
        <f t="shared" si="2"/>
        <v>146.58875</v>
      </c>
      <c r="L108" s="67">
        <f t="shared" si="2"/>
        <v>47.762857142857143</v>
      </c>
      <c r="M108" s="67">
        <f t="shared" si="2"/>
        <v>87.341770833333328</v>
      </c>
      <c r="N108" s="67">
        <f t="shared" si="2"/>
        <v>176.21333333333337</v>
      </c>
      <c r="O108" s="67">
        <f t="shared" si="2"/>
        <v>0.093749999999999986</v>
      </c>
      <c r="P108" s="67">
        <f t="shared" si="2"/>
        <v>2.714479166666667</v>
      </c>
      <c r="Q108" s="67">
        <f t="shared" si="2"/>
        <v>15.035520833333331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2.8185346992501623</v>
      </c>
      <c r="C109" s="67">
        <f t="shared" si="3" ref="C109:Q109">STDEV(C9:C104)</f>
        <v>2.9890952688590882</v>
      </c>
      <c r="D109" s="67">
        <f t="shared" si="3"/>
        <v>5.2197006272541948</v>
      </c>
      <c r="E109" s="67">
        <f t="shared" si="3"/>
        <v>1.2620250887210376</v>
      </c>
      <c r="F109" s="67">
        <f t="shared" si="3"/>
        <v>0.79938910128615759</v>
      </c>
      <c r="G109" s="67" t="e">
        <f t="shared" si="3"/>
        <v>#DIV/0!</v>
      </c>
      <c r="H109" s="67">
        <f t="shared" si="3"/>
        <v>5.1352140835811824</v>
      </c>
      <c r="I109" s="67">
        <f t="shared" si="3"/>
        <v>1.5309507280049695</v>
      </c>
      <c r="J109" s="67">
        <f t="shared" si="3"/>
        <v>0.42648296483944781</v>
      </c>
      <c r="K109" s="67">
        <f t="shared" si="3"/>
        <v>89.857105922330007</v>
      </c>
      <c r="L109" s="67">
        <f t="shared" si="3"/>
        <v>7.1442941377251223</v>
      </c>
      <c r="M109" s="67">
        <f t="shared" si="3"/>
        <v>10.423519457638756</v>
      </c>
      <c r="N109" s="67">
        <f t="shared" si="3"/>
        <v>239.38271092987233</v>
      </c>
      <c r="O109" s="67">
        <f t="shared" si="3"/>
        <v>0.35535378960899466</v>
      </c>
      <c r="P109" s="67">
        <f t="shared" si="3"/>
        <v>0.30779648023590661</v>
      </c>
      <c r="Q109" s="67">
        <f t="shared" si="3"/>
        <v>5.7584294038879618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COUNT(L9:L104)+12</f>
        <v>96</v>
      </c>
      <c r="M110" s="66">
        <f t="shared" si="4"/>
        <v>96</v>
      </c>
      <c r="N110" s="66">
        <f>COUNT(N9:N104)+6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7d871e8-d25a-4b69-8176-535e65dd44e3}">
  <sheetPr codeName=""/>
  <dimension ref="A1:AG117"/>
  <sheetViews>
    <sheetView workbookViewId="0" topLeftCell="A1">
      <pane xSplit="1" ySplit="8" topLeftCell="B9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N58" sqref="N58:N6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09-07-2022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1013</v>
      </c>
      <c r="B9" s="60">
        <v>5.44</v>
      </c>
      <c r="C9" s="60">
        <v>11.04</v>
      </c>
      <c r="D9" s="60">
        <v>16.48</v>
      </c>
      <c r="E9" s="60">
        <v>8.57</v>
      </c>
      <c r="F9" s="60">
        <v>0.54</v>
      </c>
      <c r="G9" s="214" t="s">
        <v>36</v>
      </c>
      <c r="H9" s="60">
        <v>13.38</v>
      </c>
      <c r="I9" s="60">
        <v>6.17</v>
      </c>
      <c r="J9" s="60">
        <v>0.09</v>
      </c>
      <c r="K9" s="60">
        <v>222.20</v>
      </c>
      <c r="L9" s="9" t="s">
        <v>36</v>
      </c>
      <c r="M9" s="60">
        <v>98.69</v>
      </c>
      <c r="N9" s="214" t="s">
        <v>36</v>
      </c>
      <c r="O9" s="60">
        <v>0</v>
      </c>
      <c r="P9" s="60">
        <v>2.94</v>
      </c>
      <c r="Q9" s="60">
        <v>17.079999999999998</v>
      </c>
      <c r="R9" s="194"/>
      <c r="S9" s="194"/>
      <c r="T9" s="194"/>
      <c r="U9" s="194"/>
    </row>
    <row r="10" spans="1:21" s="12" customFormat="1" ht="15">
      <c r="A10" s="197" t="s">
        <v>1014</v>
      </c>
      <c r="B10" s="60">
        <v>4.74</v>
      </c>
      <c r="C10" s="60">
        <v>11.06</v>
      </c>
      <c r="D10" s="60">
        <v>15.80</v>
      </c>
      <c r="E10" s="60">
        <v>8.60</v>
      </c>
      <c r="F10" s="60">
        <v>0.15</v>
      </c>
      <c r="G10" s="214" t="s">
        <v>36</v>
      </c>
      <c r="H10" s="60">
        <v>14.75</v>
      </c>
      <c r="I10" s="60">
        <v>6.29</v>
      </c>
      <c r="J10" s="60">
        <v>0.17</v>
      </c>
      <c r="K10" s="60">
        <v>222.99</v>
      </c>
      <c r="L10" s="9" t="s">
        <v>36</v>
      </c>
      <c r="M10" s="60">
        <v>98.68</v>
      </c>
      <c r="N10" s="214" t="s">
        <v>36</v>
      </c>
      <c r="O10" s="60">
        <v>0</v>
      </c>
      <c r="P10" s="60">
        <v>2.91</v>
      </c>
      <c r="Q10" s="60">
        <v>20.170000000000002</v>
      </c>
      <c r="R10" s="194"/>
      <c r="S10" s="194"/>
      <c r="T10" s="194"/>
      <c r="U10" s="194"/>
    </row>
    <row r="11" spans="1:21" s="12" customFormat="1" ht="15">
      <c r="A11" s="197" t="s">
        <v>1015</v>
      </c>
      <c r="B11" s="60">
        <v>4.22</v>
      </c>
      <c r="C11" s="60">
        <v>11.06</v>
      </c>
      <c r="D11" s="60">
        <v>15.29</v>
      </c>
      <c r="E11" s="60">
        <v>8.73</v>
      </c>
      <c r="F11" s="60">
        <v>0.27</v>
      </c>
      <c r="G11" s="214" t="s">
        <v>36</v>
      </c>
      <c r="H11" s="60">
        <v>14.75</v>
      </c>
      <c r="I11" s="60">
        <v>6.09</v>
      </c>
      <c r="J11" s="60">
        <v>0.04</v>
      </c>
      <c r="K11" s="60">
        <v>330.10</v>
      </c>
      <c r="L11" s="9" t="s">
        <v>36</v>
      </c>
      <c r="M11" s="60">
        <v>99.10</v>
      </c>
      <c r="N11" s="60">
        <v>0.10</v>
      </c>
      <c r="O11" s="60">
        <v>0</v>
      </c>
      <c r="P11" s="60">
        <v>2.88</v>
      </c>
      <c r="Q11" s="60">
        <v>19.920000000000002</v>
      </c>
      <c r="R11" s="194"/>
      <c r="S11" s="194"/>
      <c r="T11" s="194"/>
      <c r="U11" s="194"/>
    </row>
    <row r="12" spans="1:21" s="12" customFormat="1" ht="15">
      <c r="A12" s="197" t="s">
        <v>1016</v>
      </c>
      <c r="B12" s="60">
        <v>3.93</v>
      </c>
      <c r="C12" s="60">
        <v>10.94</v>
      </c>
      <c r="D12" s="60">
        <v>14.87</v>
      </c>
      <c r="E12" s="60">
        <v>8.4499999999999993</v>
      </c>
      <c r="F12" s="60">
        <v>0.35</v>
      </c>
      <c r="G12" s="214" t="s">
        <v>36</v>
      </c>
      <c r="H12" s="60">
        <v>14.75</v>
      </c>
      <c r="I12" s="60">
        <v>5.84</v>
      </c>
      <c r="J12" s="60">
        <v>0.01</v>
      </c>
      <c r="K12" s="60">
        <v>248.57</v>
      </c>
      <c r="L12" s="9" t="s">
        <v>36</v>
      </c>
      <c r="M12" s="60">
        <v>99.10</v>
      </c>
      <c r="N12" s="60">
        <v>0.10</v>
      </c>
      <c r="O12" s="60">
        <v>0</v>
      </c>
      <c r="P12" s="60">
        <v>2.85</v>
      </c>
      <c r="Q12" s="60">
        <v>18.93</v>
      </c>
      <c r="R12" s="194"/>
      <c r="S12" s="194"/>
      <c r="T12" s="194"/>
      <c r="U12" s="194"/>
    </row>
    <row r="13" spans="1:21" s="12" customFormat="1" ht="15">
      <c r="A13" s="197" t="s">
        <v>1017</v>
      </c>
      <c r="B13" s="60">
        <v>3.67</v>
      </c>
      <c r="C13" s="60">
        <v>10.76</v>
      </c>
      <c r="D13" s="60">
        <v>14.43</v>
      </c>
      <c r="E13" s="60">
        <v>8.65</v>
      </c>
      <c r="F13" s="60">
        <v>0.14000000000000001</v>
      </c>
      <c r="G13" s="214" t="s">
        <v>36</v>
      </c>
      <c r="H13" s="60">
        <v>14.19</v>
      </c>
      <c r="I13" s="60">
        <v>5.67</v>
      </c>
      <c r="J13" s="60">
        <v>0.25</v>
      </c>
      <c r="K13" s="60">
        <v>103.20</v>
      </c>
      <c r="L13" s="9" t="s">
        <v>36</v>
      </c>
      <c r="M13" s="60">
        <v>99.10</v>
      </c>
      <c r="N13" s="60">
        <v>0.40</v>
      </c>
      <c r="O13" s="60">
        <v>0</v>
      </c>
      <c r="P13" s="60">
        <v>2.83</v>
      </c>
      <c r="Q13" s="60">
        <v>17.670000000000002</v>
      </c>
      <c r="R13" s="194"/>
      <c r="S13" s="194"/>
      <c r="T13" s="194"/>
      <c r="U13" s="194"/>
    </row>
    <row r="14" spans="1:21" s="12" customFormat="1" ht="15">
      <c r="A14" s="197" t="s">
        <v>1018</v>
      </c>
      <c r="B14" s="60">
        <v>3.49</v>
      </c>
      <c r="C14" s="60">
        <v>10.63</v>
      </c>
      <c r="D14" s="60">
        <v>14.13</v>
      </c>
      <c r="E14" s="60">
        <v>8.43</v>
      </c>
      <c r="F14" s="215" t="s">
        <v>47</v>
      </c>
      <c r="G14" s="214" t="s">
        <v>36</v>
      </c>
      <c r="H14" s="60">
        <v>12.81</v>
      </c>
      <c r="I14" s="60">
        <v>5.57</v>
      </c>
      <c r="J14" s="60">
        <v>0.38</v>
      </c>
      <c r="K14" s="60">
        <v>351.80</v>
      </c>
      <c r="L14" s="9" t="s">
        <v>36</v>
      </c>
      <c r="M14" s="60">
        <v>99.10</v>
      </c>
      <c r="N14" s="60">
        <v>0.80</v>
      </c>
      <c r="O14" s="60">
        <v>0</v>
      </c>
      <c r="P14" s="60">
        <v>2.81</v>
      </c>
      <c r="Q14" s="60">
        <v>16.18</v>
      </c>
      <c r="R14" s="194"/>
      <c r="S14" s="194"/>
      <c r="T14" s="194"/>
      <c r="U14" s="194"/>
    </row>
    <row r="15" spans="1:21" s="12" customFormat="1" ht="15">
      <c r="A15" s="197" t="s">
        <v>1019</v>
      </c>
      <c r="B15" s="60">
        <v>3.41</v>
      </c>
      <c r="C15" s="60">
        <v>10.06</v>
      </c>
      <c r="D15" s="60">
        <v>13.47</v>
      </c>
      <c r="E15" s="60">
        <v>8.14</v>
      </c>
      <c r="F15" s="60">
        <v>0.63</v>
      </c>
      <c r="G15" s="214" t="s">
        <v>36</v>
      </c>
      <c r="H15" s="60">
        <v>12.81</v>
      </c>
      <c r="I15" s="60">
        <v>5.39</v>
      </c>
      <c r="J15" s="60">
        <v>1.03</v>
      </c>
      <c r="K15" s="60">
        <v>350.22</v>
      </c>
      <c r="L15" s="9" t="s">
        <v>36</v>
      </c>
      <c r="M15" s="60">
        <v>99.08</v>
      </c>
      <c r="N15" s="60">
        <v>1.1000000000000001</v>
      </c>
      <c r="O15" s="60">
        <v>0</v>
      </c>
      <c r="P15" s="60">
        <v>2.79</v>
      </c>
      <c r="Q15" s="60">
        <v>12.89</v>
      </c>
      <c r="R15" s="194"/>
      <c r="S15" s="194"/>
      <c r="T15" s="194"/>
      <c r="U15" s="194"/>
    </row>
    <row r="16" spans="1:21" s="12" customFormat="1" ht="15">
      <c r="A16" s="197" t="s">
        <v>1020</v>
      </c>
      <c r="B16" s="60">
        <v>3.49</v>
      </c>
      <c r="C16" s="60">
        <v>9.58</v>
      </c>
      <c r="D16" s="60">
        <v>13.07</v>
      </c>
      <c r="E16" s="60">
        <v>8.8000000000000007</v>
      </c>
      <c r="F16" s="60">
        <v>0.57999999999999996</v>
      </c>
      <c r="G16" s="214" t="s">
        <v>36</v>
      </c>
      <c r="H16" s="60">
        <v>12.81</v>
      </c>
      <c r="I16" s="60">
        <v>5.34</v>
      </c>
      <c r="J16" s="60">
        <v>1.0900000000000001</v>
      </c>
      <c r="K16" s="60">
        <v>0.02</v>
      </c>
      <c r="L16" s="9" t="s">
        <v>36</v>
      </c>
      <c r="M16" s="60">
        <v>99.03</v>
      </c>
      <c r="N16" s="60">
        <v>1.1000000000000001</v>
      </c>
      <c r="O16" s="60">
        <v>0</v>
      </c>
      <c r="P16" s="60">
        <v>2.79</v>
      </c>
      <c r="Q16" s="60">
        <v>9.40</v>
      </c>
      <c r="R16" s="194"/>
      <c r="S16" s="194"/>
      <c r="T16" s="194"/>
      <c r="U16" s="194"/>
    </row>
    <row r="17" spans="1:21" s="12" customFormat="1" ht="15">
      <c r="A17" s="197" t="s">
        <v>1021</v>
      </c>
      <c r="B17" s="60">
        <v>3.59</v>
      </c>
      <c r="C17" s="60">
        <v>9.61</v>
      </c>
      <c r="D17" s="60">
        <v>13.19</v>
      </c>
      <c r="E17" s="60">
        <v>8.64</v>
      </c>
      <c r="F17" s="60">
        <v>0.53</v>
      </c>
      <c r="G17" s="214" t="s">
        <v>36</v>
      </c>
      <c r="H17" s="60">
        <v>14.05</v>
      </c>
      <c r="I17" s="60">
        <v>5.32</v>
      </c>
      <c r="J17" s="60">
        <v>0.85</v>
      </c>
      <c r="K17" s="60">
        <v>4.46</v>
      </c>
      <c r="L17" s="9" t="s">
        <v>36</v>
      </c>
      <c r="M17" s="60">
        <v>99.03</v>
      </c>
      <c r="N17" s="60">
        <v>1.30</v>
      </c>
      <c r="O17" s="60">
        <v>0</v>
      </c>
      <c r="P17" s="60">
        <v>2.80</v>
      </c>
      <c r="Q17" s="60">
        <v>7.98</v>
      </c>
      <c r="R17" s="194"/>
      <c r="S17" s="194"/>
      <c r="T17" s="194"/>
      <c r="U17" s="194"/>
    </row>
    <row r="18" spans="1:21" s="12" customFormat="1" ht="15">
      <c r="A18" s="197" t="s">
        <v>1022</v>
      </c>
      <c r="B18" s="60">
        <v>4.0599999999999996</v>
      </c>
      <c r="C18" s="60">
        <v>10.53</v>
      </c>
      <c r="D18" s="60">
        <v>14.59</v>
      </c>
      <c r="E18" s="60">
        <v>8.90</v>
      </c>
      <c r="F18" s="60">
        <v>0.20</v>
      </c>
      <c r="G18" s="214" t="s">
        <v>36</v>
      </c>
      <c r="H18" s="60">
        <v>17.13</v>
      </c>
      <c r="I18" s="60">
        <v>5.57</v>
      </c>
      <c r="J18" s="60">
        <v>1.17</v>
      </c>
      <c r="K18" s="60">
        <v>2.73</v>
      </c>
      <c r="L18" s="9" t="s">
        <v>36</v>
      </c>
      <c r="M18" s="60">
        <v>98.96</v>
      </c>
      <c r="N18" s="60">
        <v>1.40</v>
      </c>
      <c r="O18" s="60">
        <v>0</v>
      </c>
      <c r="P18" s="60">
        <v>2.86</v>
      </c>
      <c r="Q18" s="60">
        <v>7.80</v>
      </c>
      <c r="R18" s="194"/>
      <c r="S18" s="194"/>
      <c r="T18" s="194"/>
      <c r="U18" s="194"/>
    </row>
    <row r="19" spans="1:21" s="12" customFormat="1" ht="15">
      <c r="A19" s="197" t="s">
        <v>1023</v>
      </c>
      <c r="B19" s="60">
        <v>4.74</v>
      </c>
      <c r="C19" s="60">
        <v>11.44</v>
      </c>
      <c r="D19" s="60">
        <v>16.18</v>
      </c>
      <c r="E19" s="60">
        <v>9.02</v>
      </c>
      <c r="F19" s="60">
        <v>0.32</v>
      </c>
      <c r="G19" s="214" t="s">
        <v>36</v>
      </c>
      <c r="H19" s="60">
        <v>17.13</v>
      </c>
      <c r="I19" s="60">
        <v>5.57</v>
      </c>
      <c r="J19" s="60">
        <v>0.98</v>
      </c>
      <c r="K19" s="60">
        <v>8.3699999999999992</v>
      </c>
      <c r="L19" s="9" t="s">
        <v>36</v>
      </c>
      <c r="M19" s="60">
        <v>98.40</v>
      </c>
      <c r="N19" s="60">
        <v>1.5</v>
      </c>
      <c r="O19" s="60">
        <v>0</v>
      </c>
      <c r="P19" s="60">
        <v>2.95</v>
      </c>
      <c r="Q19" s="60">
        <v>8.1199999999999992</v>
      </c>
      <c r="R19" s="194"/>
      <c r="S19" s="194"/>
      <c r="T19" s="194"/>
      <c r="U19" s="194"/>
    </row>
    <row r="20" spans="1:21" s="12" customFormat="1" ht="15">
      <c r="A20" s="197" t="s">
        <v>1024</v>
      </c>
      <c r="B20" s="60">
        <v>5.28</v>
      </c>
      <c r="C20" s="60">
        <v>12.14</v>
      </c>
      <c r="D20" s="60">
        <v>17.420000000000002</v>
      </c>
      <c r="E20" s="60">
        <v>9.1300000000000008</v>
      </c>
      <c r="F20" s="60">
        <v>0.16</v>
      </c>
      <c r="G20" s="214" t="s">
        <v>36</v>
      </c>
      <c r="H20" s="60">
        <v>17.13</v>
      </c>
      <c r="I20" s="60">
        <v>5.77</v>
      </c>
      <c r="J20" s="60">
        <v>1.07</v>
      </c>
      <c r="K20" s="60">
        <v>6.44</v>
      </c>
      <c r="L20" s="9" t="s">
        <v>36</v>
      </c>
      <c r="M20" s="60">
        <v>97.79</v>
      </c>
      <c r="N20" s="60">
        <v>1.5</v>
      </c>
      <c r="O20" s="60">
        <v>0</v>
      </c>
      <c r="P20" s="60">
        <v>3.10</v>
      </c>
      <c r="Q20" s="60">
        <v>8.44</v>
      </c>
      <c r="R20" s="194"/>
      <c r="S20" s="194"/>
      <c r="T20" s="194"/>
      <c r="U20" s="194"/>
    </row>
    <row r="21" spans="1:21" s="12" customFormat="1" ht="15">
      <c r="A21" s="197" t="s">
        <v>1025</v>
      </c>
      <c r="B21" s="60">
        <v>5.52</v>
      </c>
      <c r="C21" s="60">
        <v>12.19</v>
      </c>
      <c r="D21" s="60">
        <v>17.71</v>
      </c>
      <c r="E21" s="60">
        <v>9.5299999999999994</v>
      </c>
      <c r="F21" s="60">
        <v>0.37</v>
      </c>
      <c r="G21" s="214" t="s">
        <v>36</v>
      </c>
      <c r="H21" s="60">
        <v>18.5</v>
      </c>
      <c r="I21" s="60">
        <v>5.85</v>
      </c>
      <c r="J21" s="60">
        <v>0.64</v>
      </c>
      <c r="K21" s="60">
        <v>40.369999999999997</v>
      </c>
      <c r="L21" s="9" t="s">
        <v>36</v>
      </c>
      <c r="M21" s="60">
        <v>97.65</v>
      </c>
      <c r="N21" s="60">
        <v>0.90</v>
      </c>
      <c r="O21" s="60">
        <v>0</v>
      </c>
      <c r="P21" s="60">
        <v>3.20</v>
      </c>
      <c r="Q21" s="60">
        <v>8.69</v>
      </c>
      <c r="R21" s="194"/>
      <c r="S21" s="194"/>
      <c r="T21" s="194"/>
      <c r="U21" s="194"/>
    </row>
    <row r="22" spans="1:21" s="12" customFormat="1" ht="15">
      <c r="A22" s="197" t="s">
        <v>1026</v>
      </c>
      <c r="B22" s="60">
        <v>5.62</v>
      </c>
      <c r="C22" s="60">
        <v>12.13</v>
      </c>
      <c r="D22" s="60">
        <v>17.75</v>
      </c>
      <c r="E22" s="60">
        <v>9.5299999999999994</v>
      </c>
      <c r="F22" s="60">
        <v>0.96</v>
      </c>
      <c r="G22" s="214" t="s">
        <v>36</v>
      </c>
      <c r="H22" s="60">
        <v>21.89</v>
      </c>
      <c r="I22" s="60">
        <v>5.79</v>
      </c>
      <c r="J22" s="60">
        <v>0.64</v>
      </c>
      <c r="K22" s="60">
        <v>33.520000000000003</v>
      </c>
      <c r="L22" s="9" t="s">
        <v>36</v>
      </c>
      <c r="M22" s="60">
        <v>97.48</v>
      </c>
      <c r="N22" s="60">
        <v>1</v>
      </c>
      <c r="O22" s="60">
        <v>0</v>
      </c>
      <c r="P22" s="60">
        <v>3.19</v>
      </c>
      <c r="Q22" s="60">
        <v>9.25</v>
      </c>
      <c r="R22" s="194"/>
      <c r="S22" s="194"/>
      <c r="T22" s="194"/>
      <c r="U22" s="194"/>
    </row>
    <row r="23" spans="1:21" s="12" customFormat="1" ht="15">
      <c r="A23" s="197" t="s">
        <v>1027</v>
      </c>
      <c r="B23" s="60">
        <v>5.55</v>
      </c>
      <c r="C23" s="60">
        <v>12.12</v>
      </c>
      <c r="D23" s="60">
        <v>17.670000000000002</v>
      </c>
      <c r="E23" s="60">
        <v>9.85</v>
      </c>
      <c r="F23" s="60">
        <v>0.75</v>
      </c>
      <c r="G23" s="214" t="s">
        <v>36</v>
      </c>
      <c r="H23" s="60">
        <v>21.89</v>
      </c>
      <c r="I23" s="60">
        <v>5.82</v>
      </c>
      <c r="J23" s="60">
        <v>0.72</v>
      </c>
      <c r="K23" s="60">
        <v>18.70</v>
      </c>
      <c r="L23" s="9" t="s">
        <v>36</v>
      </c>
      <c r="M23" s="60">
        <v>97.56</v>
      </c>
      <c r="N23" s="60">
        <v>0.70</v>
      </c>
      <c r="O23" s="60">
        <v>0</v>
      </c>
      <c r="P23" s="60">
        <v>3.13</v>
      </c>
      <c r="Q23" s="60">
        <v>13.69</v>
      </c>
      <c r="R23" s="194"/>
      <c r="S23" s="194"/>
      <c r="T23" s="194"/>
      <c r="U23" s="194"/>
    </row>
    <row r="24" spans="1:21" s="12" customFormat="1" ht="15">
      <c r="A24" s="197" t="s">
        <v>1028</v>
      </c>
      <c r="B24" s="60">
        <v>5.16</v>
      </c>
      <c r="C24" s="60">
        <v>11.65</v>
      </c>
      <c r="D24" s="60">
        <v>16.809999999999999</v>
      </c>
      <c r="E24" s="60">
        <v>4.75</v>
      </c>
      <c r="F24" s="60">
        <v>0.47</v>
      </c>
      <c r="G24" s="214" t="s">
        <v>36</v>
      </c>
      <c r="H24" s="60">
        <v>21.89</v>
      </c>
      <c r="I24" s="60">
        <v>5.81</v>
      </c>
      <c r="J24" s="60">
        <v>0.57999999999999996</v>
      </c>
      <c r="K24" s="60">
        <v>55.23</v>
      </c>
      <c r="L24" s="9" t="s">
        <v>36</v>
      </c>
      <c r="M24" s="60">
        <v>97.97</v>
      </c>
      <c r="N24" s="60">
        <v>0.40</v>
      </c>
      <c r="O24" s="60">
        <v>0</v>
      </c>
      <c r="P24" s="60">
        <v>3.10</v>
      </c>
      <c r="Q24" s="60">
        <v>18.53</v>
      </c>
      <c r="R24" s="194"/>
      <c r="S24" s="194"/>
      <c r="T24" s="194"/>
      <c r="U24" s="194"/>
    </row>
    <row r="25" spans="1:21" s="12" customFormat="1" ht="15">
      <c r="A25" s="197" t="s">
        <v>1029</v>
      </c>
      <c r="B25" s="60">
        <v>4.88</v>
      </c>
      <c r="C25" s="60">
        <v>11.24</v>
      </c>
      <c r="D25" s="60">
        <v>16.12</v>
      </c>
      <c r="E25" s="60">
        <v>8.59</v>
      </c>
      <c r="F25" s="60">
        <v>0.33</v>
      </c>
      <c r="G25" s="214" t="s">
        <v>36</v>
      </c>
      <c r="H25" s="60">
        <v>21.46</v>
      </c>
      <c r="I25" s="60">
        <v>5.76</v>
      </c>
      <c r="J25" s="60">
        <v>0.59</v>
      </c>
      <c r="K25" s="60">
        <v>55.05</v>
      </c>
      <c r="L25" s="9" t="s">
        <v>36</v>
      </c>
      <c r="M25" s="60">
        <v>98.43</v>
      </c>
      <c r="N25" s="60">
        <v>0.10</v>
      </c>
      <c r="O25" s="60">
        <v>0</v>
      </c>
      <c r="P25" s="60">
        <v>3.06</v>
      </c>
      <c r="Q25" s="60">
        <v>19.93</v>
      </c>
      <c r="R25" s="194"/>
      <c r="S25" s="194"/>
      <c r="T25" s="194"/>
      <c r="U25" s="194"/>
    </row>
    <row r="26" spans="1:21" s="12" customFormat="1" ht="15">
      <c r="A26" s="197" t="s">
        <v>1030</v>
      </c>
      <c r="B26" s="60">
        <v>4.7699999999999996</v>
      </c>
      <c r="C26" s="60">
        <v>10.79</v>
      </c>
      <c r="D26" s="60">
        <v>15.56</v>
      </c>
      <c r="E26" s="60">
        <v>8.74</v>
      </c>
      <c r="F26" s="60">
        <v>0.43</v>
      </c>
      <c r="G26" s="214" t="s">
        <v>36</v>
      </c>
      <c r="H26" s="60">
        <v>20.41</v>
      </c>
      <c r="I26" s="60">
        <v>5.69</v>
      </c>
      <c r="J26" s="60">
        <v>0.55000000000000004</v>
      </c>
      <c r="K26" s="60">
        <v>28.32</v>
      </c>
      <c r="L26" s="9" t="s">
        <v>36</v>
      </c>
      <c r="M26" s="60">
        <v>97.83</v>
      </c>
      <c r="N26" s="60">
        <v>0.40</v>
      </c>
      <c r="O26" s="60">
        <v>0</v>
      </c>
      <c r="P26" s="60">
        <v>3.03</v>
      </c>
      <c r="Q26" s="60">
        <v>19.260000000000002</v>
      </c>
      <c r="R26" s="194"/>
      <c r="S26" s="194"/>
      <c r="T26" s="194"/>
      <c r="U26" s="194"/>
    </row>
    <row r="27" spans="1:21" s="12" customFormat="1" ht="15">
      <c r="A27" s="197" t="s">
        <v>1031</v>
      </c>
      <c r="B27" s="60">
        <v>4.75</v>
      </c>
      <c r="C27" s="60">
        <v>10.56</v>
      </c>
      <c r="D27" s="60">
        <v>15.31</v>
      </c>
      <c r="E27" s="60">
        <v>8.5500000000000007</v>
      </c>
      <c r="F27" s="60">
        <v>0.94</v>
      </c>
      <c r="G27" s="214" t="s">
        <v>36</v>
      </c>
      <c r="H27" s="60">
        <v>20.41</v>
      </c>
      <c r="I27" s="60">
        <v>5.59</v>
      </c>
      <c r="J27" s="60">
        <v>0.69</v>
      </c>
      <c r="K27" s="60">
        <v>11.37</v>
      </c>
      <c r="L27" s="9" t="s">
        <v>36</v>
      </c>
      <c r="M27" s="60">
        <v>97.75</v>
      </c>
      <c r="N27" s="60">
        <v>0.30</v>
      </c>
      <c r="O27" s="60">
        <v>0</v>
      </c>
      <c r="P27" s="60">
        <v>2.99</v>
      </c>
      <c r="Q27" s="60">
        <v>17.96</v>
      </c>
      <c r="R27" s="194"/>
      <c r="S27" s="194"/>
      <c r="T27" s="194"/>
      <c r="U27" s="194"/>
    </row>
    <row r="28" spans="1:21" s="12" customFormat="1" ht="15">
      <c r="A28" s="197" t="s">
        <v>1032</v>
      </c>
      <c r="B28" s="60">
        <v>4.8099999999999996</v>
      </c>
      <c r="C28" s="60">
        <v>10.67</v>
      </c>
      <c r="D28" s="60">
        <v>15.48</v>
      </c>
      <c r="E28" s="60">
        <v>8.89</v>
      </c>
      <c r="F28" s="60">
        <v>0.28000000000000003</v>
      </c>
      <c r="G28" s="214" t="s">
        <v>36</v>
      </c>
      <c r="H28" s="60">
        <v>20.41</v>
      </c>
      <c r="I28" s="60">
        <v>5.48</v>
      </c>
      <c r="J28" s="60">
        <v>1.06</v>
      </c>
      <c r="K28" s="60">
        <v>359.35</v>
      </c>
      <c r="L28" s="9" t="s">
        <v>36</v>
      </c>
      <c r="M28" s="60">
        <v>97.85</v>
      </c>
      <c r="N28" s="60">
        <v>0.30</v>
      </c>
      <c r="O28" s="60">
        <v>0</v>
      </c>
      <c r="P28" s="60">
        <v>2.95</v>
      </c>
      <c r="Q28" s="60">
        <v>16.63</v>
      </c>
      <c r="R28" s="194"/>
      <c r="S28" s="194"/>
      <c r="T28" s="194"/>
      <c r="U28" s="194"/>
    </row>
    <row r="29" spans="1:21" s="12" customFormat="1" ht="15">
      <c r="A29" s="197" t="s">
        <v>1033</v>
      </c>
      <c r="B29" s="60">
        <v>4.9000000000000004</v>
      </c>
      <c r="C29" s="60">
        <v>10.58</v>
      </c>
      <c r="D29" s="60">
        <v>15.47</v>
      </c>
      <c r="E29" s="60">
        <v>8.3000000000000007</v>
      </c>
      <c r="F29" s="60">
        <v>0.12</v>
      </c>
      <c r="G29" s="214" t="s">
        <v>36</v>
      </c>
      <c r="H29" s="60">
        <v>18.80</v>
      </c>
      <c r="I29" s="60">
        <v>5.36</v>
      </c>
      <c r="J29" s="60">
        <v>0.89</v>
      </c>
      <c r="K29" s="60">
        <v>7.66</v>
      </c>
      <c r="L29" s="9" t="s">
        <v>36</v>
      </c>
      <c r="M29" s="60">
        <v>98.08</v>
      </c>
      <c r="N29" s="60">
        <v>0.70</v>
      </c>
      <c r="O29" s="60">
        <v>0</v>
      </c>
      <c r="P29" s="60">
        <v>2.92</v>
      </c>
      <c r="Q29" s="60">
        <v>14.93</v>
      </c>
      <c r="R29" s="194"/>
      <c r="S29" s="194"/>
      <c r="T29" s="194"/>
      <c r="U29" s="194"/>
    </row>
    <row r="30" spans="1:21" s="12" customFormat="1" ht="15">
      <c r="A30" s="197" t="s">
        <v>1034</v>
      </c>
      <c r="B30" s="60">
        <v>5.01</v>
      </c>
      <c r="C30" s="60">
        <v>10.31</v>
      </c>
      <c r="D30" s="60">
        <v>15.32</v>
      </c>
      <c r="E30" s="60">
        <v>8.66</v>
      </c>
      <c r="F30" s="60">
        <v>0.48</v>
      </c>
      <c r="G30" s="214" t="s">
        <v>36</v>
      </c>
      <c r="H30" s="60">
        <v>14.86</v>
      </c>
      <c r="I30" s="60">
        <v>5.24</v>
      </c>
      <c r="J30" s="60">
        <v>0.77</v>
      </c>
      <c r="K30" s="60">
        <v>5.97</v>
      </c>
      <c r="L30" s="9" t="s">
        <v>36</v>
      </c>
      <c r="M30" s="60">
        <v>98.52</v>
      </c>
      <c r="N30" s="60">
        <v>7.60</v>
      </c>
      <c r="O30" s="60">
        <v>0</v>
      </c>
      <c r="P30" s="60">
        <v>2.89</v>
      </c>
      <c r="Q30" s="60">
        <v>10.96</v>
      </c>
      <c r="R30" s="194"/>
      <c r="S30" s="194"/>
      <c r="T30" s="194"/>
      <c r="U30" s="194"/>
    </row>
    <row r="31" spans="1:21" s="12" customFormat="1" ht="15">
      <c r="A31" s="197" t="s">
        <v>1035</v>
      </c>
      <c r="B31" s="60">
        <v>5.35</v>
      </c>
      <c r="C31" s="60">
        <v>10.17</v>
      </c>
      <c r="D31" s="60">
        <v>15.52</v>
      </c>
      <c r="E31" s="60">
        <v>8.5399999999999991</v>
      </c>
      <c r="F31" s="60">
        <v>0.22</v>
      </c>
      <c r="G31" s="214" t="s">
        <v>36</v>
      </c>
      <c r="H31" s="60">
        <v>14.86</v>
      </c>
      <c r="I31" s="60">
        <v>5.13</v>
      </c>
      <c r="J31" s="60">
        <v>0.79</v>
      </c>
      <c r="K31" s="60">
        <v>6.77</v>
      </c>
      <c r="L31" s="9" t="s">
        <v>36</v>
      </c>
      <c r="M31" s="60">
        <v>98.70</v>
      </c>
      <c r="N31" s="60">
        <v>9.10</v>
      </c>
      <c r="O31" s="60">
        <v>0</v>
      </c>
      <c r="P31" s="60">
        <v>2.87</v>
      </c>
      <c r="Q31" s="60">
        <v>8.74</v>
      </c>
      <c r="R31" s="194"/>
      <c r="S31" s="194"/>
      <c r="T31" s="194"/>
      <c r="U31" s="194"/>
    </row>
    <row r="32" spans="1:21" s="12" customFormat="1" ht="15">
      <c r="A32" s="197" t="s">
        <v>1036</v>
      </c>
      <c r="B32" s="60">
        <v>6.03</v>
      </c>
      <c r="C32" s="60">
        <v>10.01</v>
      </c>
      <c r="D32" s="60">
        <v>16.04</v>
      </c>
      <c r="E32" s="60">
        <v>8.7799999999999994</v>
      </c>
      <c r="F32" s="60">
        <v>0.63</v>
      </c>
      <c r="G32" s="214" t="s">
        <v>36</v>
      </c>
      <c r="H32" s="60">
        <v>14.86</v>
      </c>
      <c r="I32" s="60">
        <v>5.13</v>
      </c>
      <c r="J32" s="60">
        <v>0.85</v>
      </c>
      <c r="K32" s="60">
        <v>6.68</v>
      </c>
      <c r="L32" s="9" t="s">
        <v>36</v>
      </c>
      <c r="M32" s="60">
        <v>98.81</v>
      </c>
      <c r="N32" s="60">
        <v>9.8000000000000007</v>
      </c>
      <c r="O32" s="60">
        <v>0</v>
      </c>
      <c r="P32" s="60">
        <v>2.87</v>
      </c>
      <c r="Q32" s="60">
        <v>7.98</v>
      </c>
      <c r="R32" s="194"/>
      <c r="S32" s="194"/>
      <c r="T32" s="194"/>
      <c r="U32" s="194"/>
    </row>
    <row r="33" spans="1:21" s="12" customFormat="1" ht="15">
      <c r="A33" s="197" t="s">
        <v>1037</v>
      </c>
      <c r="B33" s="60">
        <v>6.53</v>
      </c>
      <c r="C33" s="60">
        <v>9.82</v>
      </c>
      <c r="D33" s="60">
        <v>16.350000000000001</v>
      </c>
      <c r="E33" s="60">
        <v>9.14</v>
      </c>
      <c r="F33" s="60">
        <v>0.78</v>
      </c>
      <c r="G33" s="214" t="s">
        <v>36</v>
      </c>
      <c r="H33" s="60">
        <v>14.63</v>
      </c>
      <c r="I33" s="60">
        <v>5.14</v>
      </c>
      <c r="J33" s="60">
        <v>0.86</v>
      </c>
      <c r="K33" s="60">
        <v>4.6399999999999997</v>
      </c>
      <c r="L33" s="9" t="s">
        <v>36</v>
      </c>
      <c r="M33" s="60">
        <v>98.55</v>
      </c>
      <c r="N33" s="60">
        <v>23.10</v>
      </c>
      <c r="O33" s="60">
        <v>0</v>
      </c>
      <c r="P33" s="60">
        <v>2.85</v>
      </c>
      <c r="Q33" s="60">
        <v>7.69</v>
      </c>
      <c r="R33" s="194"/>
      <c r="S33" s="194"/>
      <c r="T33" s="194"/>
      <c r="U33" s="194"/>
    </row>
    <row r="34" spans="1:21" s="12" customFormat="1" ht="15">
      <c r="A34" s="197" t="s">
        <v>1038</v>
      </c>
      <c r="B34" s="60">
        <v>7.11</v>
      </c>
      <c r="C34" s="60">
        <v>10</v>
      </c>
      <c r="D34" s="60">
        <v>17.11</v>
      </c>
      <c r="E34" s="60">
        <v>9.40</v>
      </c>
      <c r="F34" s="60">
        <v>0.56999999999999995</v>
      </c>
      <c r="G34" s="214" t="s">
        <v>36</v>
      </c>
      <c r="H34" s="60">
        <v>14.07</v>
      </c>
      <c r="I34" s="60">
        <v>5.17</v>
      </c>
      <c r="J34" s="60">
        <v>1.1599999999999999</v>
      </c>
      <c r="K34" s="60">
        <v>2.38</v>
      </c>
      <c r="L34" s="9" t="s">
        <v>36</v>
      </c>
      <c r="M34" s="60">
        <v>97.72</v>
      </c>
      <c r="N34" s="60">
        <v>48.70</v>
      </c>
      <c r="O34" s="60">
        <v>0</v>
      </c>
      <c r="P34" s="60">
        <v>2.84</v>
      </c>
      <c r="Q34" s="60">
        <v>7.84</v>
      </c>
      <c r="R34" s="194"/>
      <c r="S34" s="194"/>
      <c r="T34" s="194"/>
      <c r="U34" s="194"/>
    </row>
    <row r="35" spans="1:21" s="12" customFormat="1" ht="15">
      <c r="A35" s="197" t="s">
        <v>1039</v>
      </c>
      <c r="B35" s="60">
        <v>7.81</v>
      </c>
      <c r="C35" s="60">
        <v>10.18</v>
      </c>
      <c r="D35" s="60">
        <v>17.989999999999998</v>
      </c>
      <c r="E35" s="60">
        <v>8.9600000000000009</v>
      </c>
      <c r="F35" s="60">
        <v>0.11</v>
      </c>
      <c r="G35" s="214" t="s">
        <v>36</v>
      </c>
      <c r="H35" s="60">
        <v>14.07</v>
      </c>
      <c r="I35" s="60">
        <v>5.08</v>
      </c>
      <c r="J35" s="60">
        <v>0.75</v>
      </c>
      <c r="K35" s="60">
        <v>54.06</v>
      </c>
      <c r="L35" s="9" t="s">
        <v>36</v>
      </c>
      <c r="M35" s="60">
        <v>96.90</v>
      </c>
      <c r="N35" s="60">
        <v>60</v>
      </c>
      <c r="O35" s="60">
        <v>0</v>
      </c>
      <c r="P35" s="60">
        <v>2.83</v>
      </c>
      <c r="Q35" s="60">
        <v>8.15</v>
      </c>
      <c r="R35" s="194"/>
      <c r="S35" s="194"/>
      <c r="T35" s="194"/>
      <c r="U35" s="194"/>
    </row>
    <row r="36" spans="1:21" s="12" customFormat="1" ht="15">
      <c r="A36" s="197" t="s">
        <v>1040</v>
      </c>
      <c r="B36" s="60">
        <v>8.40</v>
      </c>
      <c r="C36" s="60">
        <v>10.050000000000001</v>
      </c>
      <c r="D36" s="60">
        <v>18.45</v>
      </c>
      <c r="E36" s="60">
        <v>9.0299999999999994</v>
      </c>
      <c r="F36" s="60">
        <v>0.84</v>
      </c>
      <c r="G36" s="214" t="s">
        <v>36</v>
      </c>
      <c r="H36" s="60">
        <v>14.07</v>
      </c>
      <c r="I36" s="60">
        <v>5.09</v>
      </c>
      <c r="J36" s="60">
        <v>1.07</v>
      </c>
      <c r="K36" s="60">
        <v>74.38</v>
      </c>
      <c r="L36" s="9" t="s">
        <v>36</v>
      </c>
      <c r="M36" s="60">
        <v>97.16</v>
      </c>
      <c r="N36" s="60">
        <v>52.80</v>
      </c>
      <c r="O36" s="60">
        <v>0</v>
      </c>
      <c r="P36" s="60">
        <v>2.81</v>
      </c>
      <c r="Q36" s="60">
        <v>8.51</v>
      </c>
      <c r="R36" s="194"/>
      <c r="S36" s="194"/>
      <c r="T36" s="194"/>
      <c r="U36" s="194"/>
    </row>
    <row r="37" spans="1:21" s="12" customFormat="1" ht="15">
      <c r="A37" s="197" t="s">
        <v>1041</v>
      </c>
      <c r="B37" s="60">
        <v>8.7100000000000009</v>
      </c>
      <c r="C37" s="60">
        <v>10.130000000000001</v>
      </c>
      <c r="D37" s="60">
        <v>18.829999999999998</v>
      </c>
      <c r="E37" s="60">
        <v>9.5500000000000007</v>
      </c>
      <c r="F37" s="215" t="s">
        <v>47</v>
      </c>
      <c r="G37" s="214" t="s">
        <v>36</v>
      </c>
      <c r="H37" s="60">
        <v>14.30</v>
      </c>
      <c r="I37" s="60">
        <v>5.0999999999999996</v>
      </c>
      <c r="J37" s="60">
        <v>1.75</v>
      </c>
      <c r="K37" s="60">
        <v>87.98</v>
      </c>
      <c r="L37" s="9" t="s">
        <v>36</v>
      </c>
      <c r="M37" s="60">
        <v>96.69</v>
      </c>
      <c r="N37" s="60">
        <v>74.5</v>
      </c>
      <c r="O37" s="60">
        <v>0</v>
      </c>
      <c r="P37" s="60">
        <v>2.80</v>
      </c>
      <c r="Q37" s="60">
        <v>10.14</v>
      </c>
      <c r="R37" s="194"/>
      <c r="S37" s="194"/>
      <c r="T37" s="194"/>
      <c r="U37" s="194"/>
    </row>
    <row r="38" spans="1:21" s="12" customFormat="1" ht="15">
      <c r="A38" s="197" t="s">
        <v>1042</v>
      </c>
      <c r="B38" s="60">
        <v>8.92</v>
      </c>
      <c r="C38" s="60">
        <v>10.25</v>
      </c>
      <c r="D38" s="60">
        <v>19.170000000000002</v>
      </c>
      <c r="E38" s="60">
        <v>9.2899999999999991</v>
      </c>
      <c r="F38" s="60">
        <v>0.91</v>
      </c>
      <c r="G38" s="214" t="s">
        <v>36</v>
      </c>
      <c r="H38" s="60">
        <v>14.88</v>
      </c>
      <c r="I38" s="60">
        <v>5.12</v>
      </c>
      <c r="J38" s="60">
        <v>1.52</v>
      </c>
      <c r="K38" s="60">
        <v>88.12</v>
      </c>
      <c r="L38" s="9" t="s">
        <v>36</v>
      </c>
      <c r="M38" s="60">
        <v>96.01</v>
      </c>
      <c r="N38" s="60">
        <v>92.80</v>
      </c>
      <c r="O38" s="60">
        <v>0</v>
      </c>
      <c r="P38" s="60">
        <v>2.77</v>
      </c>
      <c r="Q38" s="60">
        <v>15.11</v>
      </c>
      <c r="R38" s="194"/>
      <c r="S38" s="194"/>
      <c r="T38" s="194"/>
      <c r="U38" s="194"/>
    </row>
    <row r="39" spans="1:21" s="12" customFormat="1" ht="15">
      <c r="A39" s="197" t="s">
        <v>1043</v>
      </c>
      <c r="B39" s="60">
        <v>9.02</v>
      </c>
      <c r="C39" s="60">
        <v>10.66</v>
      </c>
      <c r="D39" s="60">
        <v>19.68</v>
      </c>
      <c r="E39" s="60">
        <v>9.6999999999999993</v>
      </c>
      <c r="F39" s="60">
        <v>1.1299999999999999</v>
      </c>
      <c r="G39" s="214" t="s">
        <v>36</v>
      </c>
      <c r="H39" s="60">
        <v>14.88</v>
      </c>
      <c r="I39" s="60">
        <v>5.21</v>
      </c>
      <c r="J39" s="60">
        <v>1.38</v>
      </c>
      <c r="K39" s="60">
        <v>78.19</v>
      </c>
      <c r="L39" s="9" t="s">
        <v>36</v>
      </c>
      <c r="M39" s="60">
        <v>95.46</v>
      </c>
      <c r="N39" s="60">
        <v>117.80</v>
      </c>
      <c r="O39" s="60">
        <v>0</v>
      </c>
      <c r="P39" s="60">
        <v>2.75</v>
      </c>
      <c r="Q39" s="60">
        <v>18.079999999999998</v>
      </c>
      <c r="R39" s="194"/>
      <c r="S39" s="194"/>
      <c r="T39" s="194"/>
      <c r="U39" s="194"/>
    </row>
    <row r="40" spans="1:21" s="12" customFormat="1" ht="15">
      <c r="A40" s="197" t="s">
        <v>1044</v>
      </c>
      <c r="B40" s="60">
        <v>9.0299999999999994</v>
      </c>
      <c r="C40" s="60">
        <v>10.86</v>
      </c>
      <c r="D40" s="60">
        <v>19.89</v>
      </c>
      <c r="E40" s="60">
        <v>4.21</v>
      </c>
      <c r="F40" s="60">
        <v>0.42</v>
      </c>
      <c r="G40" s="214" t="s">
        <v>36</v>
      </c>
      <c r="H40" s="60">
        <v>14.88</v>
      </c>
      <c r="I40" s="60">
        <v>5.1100000000000003</v>
      </c>
      <c r="J40" s="60">
        <v>0.96</v>
      </c>
      <c r="K40" s="60">
        <v>72.430000000000007</v>
      </c>
      <c r="L40" s="9" t="s">
        <v>36</v>
      </c>
      <c r="M40" s="60">
        <v>93.94</v>
      </c>
      <c r="N40" s="60">
        <v>117.30</v>
      </c>
      <c r="O40" s="60">
        <v>0</v>
      </c>
      <c r="P40" s="60">
        <v>2.73</v>
      </c>
      <c r="Q40" s="60">
        <v>19.12</v>
      </c>
      <c r="R40" s="194"/>
      <c r="S40" s="194"/>
      <c r="T40" s="194"/>
      <c r="U40" s="194"/>
    </row>
    <row r="41" spans="1:21" s="12" customFormat="1" ht="15">
      <c r="A41" s="197" t="s">
        <v>1045</v>
      </c>
      <c r="B41" s="60">
        <v>8.7799999999999994</v>
      </c>
      <c r="C41" s="60">
        <v>11.01</v>
      </c>
      <c r="D41" s="60">
        <v>19.79</v>
      </c>
      <c r="E41" s="60">
        <v>8.07</v>
      </c>
      <c r="F41" s="60">
        <v>0.39</v>
      </c>
      <c r="G41" s="214" t="s">
        <v>36</v>
      </c>
      <c r="H41" s="60">
        <v>13.78</v>
      </c>
      <c r="I41" s="60">
        <v>5.08</v>
      </c>
      <c r="J41" s="60">
        <v>1.03</v>
      </c>
      <c r="K41" s="60">
        <v>83.84</v>
      </c>
      <c r="L41" s="9" t="s">
        <v>36</v>
      </c>
      <c r="M41" s="60">
        <v>92.51</v>
      </c>
      <c r="N41" s="60">
        <v>213.40</v>
      </c>
      <c r="O41" s="60">
        <v>0</v>
      </c>
      <c r="P41" s="60">
        <v>2.72</v>
      </c>
      <c r="Q41" s="60">
        <v>18.72</v>
      </c>
      <c r="R41" s="194"/>
      <c r="S41" s="194"/>
      <c r="T41" s="194"/>
      <c r="U41" s="194"/>
    </row>
    <row r="42" spans="1:21" s="12" customFormat="1" ht="15">
      <c r="A42" s="197" t="s">
        <v>1046</v>
      </c>
      <c r="B42" s="60">
        <v>8.31</v>
      </c>
      <c r="C42" s="60">
        <v>11.06</v>
      </c>
      <c r="D42" s="60">
        <v>19.37</v>
      </c>
      <c r="E42" s="60">
        <v>7.97</v>
      </c>
      <c r="F42" s="60">
        <v>0.46</v>
      </c>
      <c r="G42" s="214" t="s">
        <v>36</v>
      </c>
      <c r="H42" s="60">
        <v>11.05</v>
      </c>
      <c r="I42" s="60">
        <v>4.99</v>
      </c>
      <c r="J42" s="60">
        <v>0.85</v>
      </c>
      <c r="K42" s="60">
        <v>82.16</v>
      </c>
      <c r="L42" s="9" t="s">
        <v>36</v>
      </c>
      <c r="M42" s="60">
        <v>90.06</v>
      </c>
      <c r="N42" s="60">
        <v>314.70</v>
      </c>
      <c r="O42" s="60">
        <v>0</v>
      </c>
      <c r="P42" s="60">
        <v>2.71</v>
      </c>
      <c r="Q42" s="60">
        <v>17.36</v>
      </c>
      <c r="R42" s="194"/>
      <c r="S42" s="194"/>
      <c r="T42" s="194"/>
      <c r="U42" s="194"/>
    </row>
    <row r="43" spans="1:21" s="12" customFormat="1" ht="15">
      <c r="A43" s="197" t="s">
        <v>1047</v>
      </c>
      <c r="B43" s="60">
        <v>8.02</v>
      </c>
      <c r="C43" s="60">
        <v>11.14</v>
      </c>
      <c r="D43" s="60">
        <v>19.16</v>
      </c>
      <c r="E43" s="60">
        <v>7.97</v>
      </c>
      <c r="F43" s="60">
        <v>1.60</v>
      </c>
      <c r="G43" s="214" t="s">
        <v>36</v>
      </c>
      <c r="H43" s="60">
        <v>11.05</v>
      </c>
      <c r="I43" s="60">
        <v>4.9400000000000004</v>
      </c>
      <c r="J43" s="60">
        <v>1.55</v>
      </c>
      <c r="K43" s="60">
        <v>95.20</v>
      </c>
      <c r="L43" s="9" t="s">
        <v>36</v>
      </c>
      <c r="M43" s="60">
        <v>86.13</v>
      </c>
      <c r="N43" s="60">
        <v>563.29999999999995</v>
      </c>
      <c r="O43" s="60">
        <v>0</v>
      </c>
      <c r="P43" s="60">
        <v>2.70</v>
      </c>
      <c r="Q43" s="60">
        <v>16.30</v>
      </c>
      <c r="R43" s="194"/>
      <c r="S43" s="194"/>
      <c r="T43" s="194"/>
      <c r="U43" s="194"/>
    </row>
    <row r="44" spans="1:21" s="12" customFormat="1" ht="15">
      <c r="A44" s="197" t="s">
        <v>1048</v>
      </c>
      <c r="B44" s="60">
        <v>7.62</v>
      </c>
      <c r="C44" s="60">
        <v>10.92</v>
      </c>
      <c r="D44" s="60">
        <v>18.54</v>
      </c>
      <c r="E44" s="60">
        <v>7.66</v>
      </c>
      <c r="F44" s="60">
        <v>1.08</v>
      </c>
      <c r="G44" s="214" t="s">
        <v>36</v>
      </c>
      <c r="H44" s="60">
        <v>11.05</v>
      </c>
      <c r="I44" s="60">
        <v>4.8899999999999997</v>
      </c>
      <c r="J44" s="60">
        <v>1.0900000000000001</v>
      </c>
      <c r="K44" s="60">
        <v>77.02</v>
      </c>
      <c r="L44" s="9" t="s">
        <v>36</v>
      </c>
      <c r="M44" s="60">
        <v>85.58</v>
      </c>
      <c r="N44" s="60">
        <v>231.90</v>
      </c>
      <c r="O44" s="60">
        <v>0</v>
      </c>
      <c r="P44" s="60">
        <v>2.69</v>
      </c>
      <c r="Q44" s="60">
        <v>13.41</v>
      </c>
      <c r="R44" s="194"/>
      <c r="S44" s="194"/>
      <c r="T44" s="194"/>
      <c r="U44" s="194"/>
    </row>
    <row r="45" spans="1:21" s="12" customFormat="1" ht="15">
      <c r="A45" s="197" t="s">
        <v>1049</v>
      </c>
      <c r="B45" s="60">
        <v>7.31</v>
      </c>
      <c r="C45" s="60">
        <v>10.72</v>
      </c>
      <c r="D45" s="60">
        <v>18.03</v>
      </c>
      <c r="E45" s="60">
        <v>7.84</v>
      </c>
      <c r="F45" s="60">
        <v>0.52</v>
      </c>
      <c r="G45" s="214" t="s">
        <v>36</v>
      </c>
      <c r="H45" s="60">
        <v>11.54</v>
      </c>
      <c r="I45" s="60">
        <v>4.84</v>
      </c>
      <c r="J45" s="60">
        <v>1.66</v>
      </c>
      <c r="K45" s="60">
        <v>91.82</v>
      </c>
      <c r="L45" s="9" t="s">
        <v>36</v>
      </c>
      <c r="M45" s="60">
        <v>85.78</v>
      </c>
      <c r="N45" s="60">
        <v>348.40</v>
      </c>
      <c r="O45" s="60">
        <v>0</v>
      </c>
      <c r="P45" s="60">
        <v>2.68</v>
      </c>
      <c r="Q45" s="60">
        <v>9.82</v>
      </c>
      <c r="R45" s="194"/>
      <c r="S45" s="194"/>
      <c r="T45" s="194"/>
      <c r="U45" s="194"/>
    </row>
    <row r="46" spans="1:21" s="12" customFormat="1" ht="15">
      <c r="A46" s="197" t="s">
        <v>1050</v>
      </c>
      <c r="B46" s="60">
        <v>7.01</v>
      </c>
      <c r="C46" s="60">
        <v>10.29</v>
      </c>
      <c r="D46" s="60">
        <v>17.30</v>
      </c>
      <c r="E46" s="60">
        <v>8.2100000000000009</v>
      </c>
      <c r="F46" s="60">
        <v>0.47</v>
      </c>
      <c r="G46" s="214" t="s">
        <v>36</v>
      </c>
      <c r="H46" s="60">
        <v>12.75</v>
      </c>
      <c r="I46" s="60">
        <v>4.70</v>
      </c>
      <c r="J46" s="60">
        <v>0.69</v>
      </c>
      <c r="K46" s="60">
        <v>75.14</v>
      </c>
      <c r="L46" s="9" t="s">
        <v>36</v>
      </c>
      <c r="M46" s="60">
        <v>84.72</v>
      </c>
      <c r="N46" s="60">
        <v>270.89999999999998</v>
      </c>
      <c r="O46" s="60">
        <v>0</v>
      </c>
      <c r="P46" s="60">
        <v>2.66</v>
      </c>
      <c r="Q46" s="60">
        <v>8.17</v>
      </c>
      <c r="R46" s="194"/>
      <c r="S46" s="194"/>
      <c r="T46" s="194"/>
      <c r="U46" s="194"/>
    </row>
    <row r="47" spans="1:21" s="12" customFormat="1" ht="15">
      <c r="A47" s="197" t="s">
        <v>1051</v>
      </c>
      <c r="B47" s="60">
        <v>6.86</v>
      </c>
      <c r="C47" s="60">
        <v>9.92</v>
      </c>
      <c r="D47" s="60">
        <v>16.78</v>
      </c>
      <c r="E47" s="60">
        <v>7.84</v>
      </c>
      <c r="F47" s="60">
        <v>1.17</v>
      </c>
      <c r="G47" s="214" t="s">
        <v>36</v>
      </c>
      <c r="H47" s="60">
        <v>12.75</v>
      </c>
      <c r="I47" s="60">
        <v>4.78</v>
      </c>
      <c r="J47" s="60">
        <v>0.75</v>
      </c>
      <c r="K47" s="60">
        <v>86.27</v>
      </c>
      <c r="L47" s="9" t="s">
        <v>36</v>
      </c>
      <c r="M47" s="60">
        <v>82.14</v>
      </c>
      <c r="N47" s="60">
        <v>311.30</v>
      </c>
      <c r="O47" s="60">
        <v>0</v>
      </c>
      <c r="P47" s="60">
        <v>2.66</v>
      </c>
      <c r="Q47" s="60">
        <v>7.44</v>
      </c>
      <c r="R47" s="194"/>
      <c r="S47" s="194"/>
      <c r="T47" s="194"/>
      <c r="U47" s="194"/>
    </row>
    <row r="48" spans="1:21" s="12" customFormat="1" ht="15">
      <c r="A48" s="197" t="s">
        <v>1052</v>
      </c>
      <c r="B48" s="60">
        <v>6.66</v>
      </c>
      <c r="C48" s="60">
        <v>9.84</v>
      </c>
      <c r="D48" s="60">
        <v>16.5</v>
      </c>
      <c r="E48" s="60">
        <v>7.76</v>
      </c>
      <c r="F48" s="60">
        <v>0.45</v>
      </c>
      <c r="G48" s="214" t="s">
        <v>36</v>
      </c>
      <c r="H48" s="60">
        <v>12.75</v>
      </c>
      <c r="I48" s="60">
        <v>4.4400000000000004</v>
      </c>
      <c r="J48" s="60">
        <v>1.05</v>
      </c>
      <c r="K48" s="60">
        <v>71.62</v>
      </c>
      <c r="L48" s="9" t="s">
        <v>36</v>
      </c>
      <c r="M48" s="60">
        <v>78.900000000000006</v>
      </c>
      <c r="N48" s="60">
        <v>369</v>
      </c>
      <c r="O48" s="60">
        <v>0</v>
      </c>
      <c r="P48" s="60">
        <v>2.66</v>
      </c>
      <c r="Q48" s="60">
        <v>7.13</v>
      </c>
      <c r="R48" s="194"/>
      <c r="S48" s="194"/>
      <c r="T48" s="194"/>
      <c r="U48" s="194"/>
    </row>
    <row r="49" spans="1:21" s="12" customFormat="1" ht="15">
      <c r="A49" s="197" t="s">
        <v>1053</v>
      </c>
      <c r="B49" s="60">
        <v>6.41</v>
      </c>
      <c r="C49" s="60">
        <v>9.82</v>
      </c>
      <c r="D49" s="60">
        <v>16.23</v>
      </c>
      <c r="E49" s="60">
        <v>8.3000000000000007</v>
      </c>
      <c r="F49" s="60">
        <v>0.47</v>
      </c>
      <c r="G49" s="214" t="s">
        <v>36</v>
      </c>
      <c r="H49" s="60">
        <v>12.33</v>
      </c>
      <c r="I49" s="60">
        <v>4.51</v>
      </c>
      <c r="J49" s="60">
        <v>1.48</v>
      </c>
      <c r="K49" s="60">
        <v>92.13</v>
      </c>
      <c r="L49" s="9" t="s">
        <v>36</v>
      </c>
      <c r="M49" s="60">
        <v>77.510000000000005</v>
      </c>
      <c r="N49" s="60">
        <v>497</v>
      </c>
      <c r="O49" s="60">
        <v>0</v>
      </c>
      <c r="P49" s="60">
        <v>2.64</v>
      </c>
      <c r="Q49" s="60">
        <v>6.96</v>
      </c>
      <c r="R49" s="194"/>
      <c r="S49" s="194"/>
      <c r="T49" s="194"/>
      <c r="U49" s="194"/>
    </row>
    <row r="50" spans="1:21" s="12" customFormat="1" ht="15">
      <c r="A50" s="197" t="s">
        <v>1054</v>
      </c>
      <c r="B50" s="60">
        <v>6.18</v>
      </c>
      <c r="C50" s="60">
        <v>9.75</v>
      </c>
      <c r="D50" s="60">
        <v>15.94</v>
      </c>
      <c r="E50" s="60">
        <v>8.2200000000000006</v>
      </c>
      <c r="F50" s="60">
        <v>1.26</v>
      </c>
      <c r="G50" s="214" t="s">
        <v>36</v>
      </c>
      <c r="H50" s="60">
        <v>11.30</v>
      </c>
      <c r="I50" s="60">
        <v>4.7300000000000004</v>
      </c>
      <c r="J50" s="60">
        <v>1.26</v>
      </c>
      <c r="K50" s="60">
        <v>84.26</v>
      </c>
      <c r="L50" s="9" t="s">
        <v>36</v>
      </c>
      <c r="M50" s="60">
        <v>76.790000000000006</v>
      </c>
      <c r="N50" s="60">
        <v>357.10</v>
      </c>
      <c r="O50" s="60">
        <v>0</v>
      </c>
      <c r="P50" s="60">
        <v>2.64</v>
      </c>
      <c r="Q50" s="60">
        <v>6.87</v>
      </c>
      <c r="R50" s="194"/>
      <c r="S50" s="194"/>
      <c r="T50" s="194"/>
      <c r="U50" s="194"/>
    </row>
    <row r="51" spans="1:21" s="12" customFormat="1" ht="15">
      <c r="A51" s="197" t="s">
        <v>1055</v>
      </c>
      <c r="B51" s="60">
        <v>5.93</v>
      </c>
      <c r="C51" s="60">
        <v>9.44</v>
      </c>
      <c r="D51" s="60">
        <v>15.37</v>
      </c>
      <c r="E51" s="60">
        <v>8.0299999999999994</v>
      </c>
      <c r="F51" s="60">
        <v>0.48</v>
      </c>
      <c r="G51" s="214" t="s">
        <v>36</v>
      </c>
      <c r="H51" s="60">
        <v>11.30</v>
      </c>
      <c r="I51" s="60">
        <v>4.72</v>
      </c>
      <c r="J51" s="60">
        <v>1.45</v>
      </c>
      <c r="K51" s="60">
        <v>92.99</v>
      </c>
      <c r="L51" s="9" t="s">
        <v>36</v>
      </c>
      <c r="M51" s="60">
        <v>77.45</v>
      </c>
      <c r="N51" s="60">
        <v>269.80</v>
      </c>
      <c r="O51" s="60">
        <v>0</v>
      </c>
      <c r="P51" s="60">
        <v>2.64</v>
      </c>
      <c r="Q51" s="60">
        <v>7.03</v>
      </c>
      <c r="R51" s="194"/>
      <c r="S51" s="194"/>
      <c r="T51" s="194"/>
      <c r="U51" s="194"/>
    </row>
    <row r="52" spans="1:21" s="12" customFormat="1" ht="15">
      <c r="A52" s="197" t="s">
        <v>1056</v>
      </c>
      <c r="B52" s="60">
        <v>5.5</v>
      </c>
      <c r="C52" s="60">
        <v>9.5</v>
      </c>
      <c r="D52" s="60">
        <v>14.99</v>
      </c>
      <c r="E52" s="60">
        <v>8.2799999999999994</v>
      </c>
      <c r="F52" s="60">
        <v>0.18</v>
      </c>
      <c r="G52" s="214" t="s">
        <v>36</v>
      </c>
      <c r="H52" s="60">
        <v>11.30</v>
      </c>
      <c r="I52" s="60">
        <v>4.8099999999999996</v>
      </c>
      <c r="J52" s="60">
        <v>1.1399999999999999</v>
      </c>
      <c r="K52" s="60">
        <v>77.41</v>
      </c>
      <c r="L52" s="9" t="s">
        <v>36</v>
      </c>
      <c r="M52" s="60">
        <v>77.20</v>
      </c>
      <c r="N52" s="60">
        <v>261.89999999999998</v>
      </c>
      <c r="O52" s="60">
        <v>0</v>
      </c>
      <c r="P52" s="60">
        <v>2.64</v>
      </c>
      <c r="Q52" s="60">
        <v>9.5</v>
      </c>
      <c r="R52" s="194"/>
      <c r="S52" s="194"/>
      <c r="T52" s="194"/>
      <c r="U52" s="194"/>
    </row>
    <row r="53" spans="1:21" s="12" customFormat="1" ht="15">
      <c r="A53" s="197" t="s">
        <v>1057</v>
      </c>
      <c r="B53" s="60">
        <v>4.9400000000000004</v>
      </c>
      <c r="C53" s="60">
        <v>9.75</v>
      </c>
      <c r="D53" s="60">
        <v>14.69</v>
      </c>
      <c r="E53" s="60">
        <v>7.61</v>
      </c>
      <c r="F53" s="60">
        <v>1.0900000000000001</v>
      </c>
      <c r="G53" s="214" t="s">
        <v>36</v>
      </c>
      <c r="H53" s="60">
        <v>10.33</v>
      </c>
      <c r="I53" s="60">
        <v>4.82</v>
      </c>
      <c r="J53" s="60">
        <v>2.35</v>
      </c>
      <c r="K53" s="60">
        <v>99.33</v>
      </c>
      <c r="L53" s="9" t="s">
        <v>36</v>
      </c>
      <c r="M53" s="60">
        <v>76.78</v>
      </c>
      <c r="N53" s="60">
        <v>239.20</v>
      </c>
      <c r="O53" s="60">
        <v>0</v>
      </c>
      <c r="P53" s="60">
        <v>2.63</v>
      </c>
      <c r="Q53" s="60">
        <v>13.26</v>
      </c>
      <c r="R53" s="194"/>
      <c r="S53" s="194"/>
      <c r="T53" s="194"/>
      <c r="U53" s="194"/>
    </row>
    <row r="54" spans="1:21" s="12" customFormat="1" ht="15">
      <c r="A54" s="197" t="s">
        <v>1058</v>
      </c>
      <c r="B54" s="60">
        <v>4.30</v>
      </c>
      <c r="C54" s="60">
        <v>9.98</v>
      </c>
      <c r="D54" s="60">
        <v>14.29</v>
      </c>
      <c r="E54" s="60">
        <v>7.34</v>
      </c>
      <c r="F54" s="60">
        <v>1</v>
      </c>
      <c r="G54" s="214" t="s">
        <v>36</v>
      </c>
      <c r="H54" s="60">
        <v>7.94</v>
      </c>
      <c r="I54" s="60">
        <v>4.71</v>
      </c>
      <c r="J54" s="60">
        <v>2.06</v>
      </c>
      <c r="K54" s="60">
        <v>105.41</v>
      </c>
      <c r="L54" s="9" t="s">
        <v>36</v>
      </c>
      <c r="M54" s="60">
        <v>80.989999999999995</v>
      </c>
      <c r="N54" s="60">
        <v>872.30</v>
      </c>
      <c r="O54" s="60">
        <v>0</v>
      </c>
      <c r="P54" s="60">
        <v>2.62</v>
      </c>
      <c r="Q54" s="60">
        <v>14.74</v>
      </c>
      <c r="R54" s="194"/>
      <c r="S54" s="194"/>
      <c r="T54" s="194"/>
      <c r="U54" s="194"/>
    </row>
    <row r="55" spans="1:21" s="12" customFormat="1" ht="15">
      <c r="A55" s="197" t="s">
        <v>1059</v>
      </c>
      <c r="B55" s="60">
        <v>3.68</v>
      </c>
      <c r="C55" s="60">
        <v>10.09</v>
      </c>
      <c r="D55" s="60">
        <v>13.77</v>
      </c>
      <c r="E55" s="60">
        <v>7.13</v>
      </c>
      <c r="F55" s="60">
        <v>1.18</v>
      </c>
      <c r="G55" s="214" t="s">
        <v>36</v>
      </c>
      <c r="H55" s="60">
        <v>7.94</v>
      </c>
      <c r="I55" s="60">
        <v>4.71</v>
      </c>
      <c r="J55" s="60">
        <v>1.66</v>
      </c>
      <c r="K55" s="60">
        <v>97.14</v>
      </c>
      <c r="L55" s="9" t="s">
        <v>36</v>
      </c>
      <c r="M55" s="60">
        <v>77.650000000000006</v>
      </c>
      <c r="N55" s="60">
        <v>981.20</v>
      </c>
      <c r="O55" s="60">
        <v>0</v>
      </c>
      <c r="P55" s="60">
        <v>2.60</v>
      </c>
      <c r="Q55" s="60">
        <v>14.73</v>
      </c>
      <c r="R55" s="194"/>
      <c r="S55" s="194"/>
      <c r="T55" s="194"/>
      <c r="U55" s="194"/>
    </row>
    <row r="56" spans="1:21" s="12" customFormat="1" ht="15">
      <c r="A56" s="197" t="s">
        <v>1060</v>
      </c>
      <c r="B56" s="60">
        <v>3.28</v>
      </c>
      <c r="C56" s="60">
        <v>10.09</v>
      </c>
      <c r="D56" s="60">
        <v>13.37</v>
      </c>
      <c r="E56" s="60">
        <v>3.69</v>
      </c>
      <c r="F56" s="60">
        <v>0.12</v>
      </c>
      <c r="G56" s="214" t="s">
        <v>36</v>
      </c>
      <c r="H56" s="60">
        <v>7.94</v>
      </c>
      <c r="I56" s="60">
        <v>4.6500000000000004</v>
      </c>
      <c r="J56" s="60">
        <v>1.41</v>
      </c>
      <c r="K56" s="60">
        <v>74.52</v>
      </c>
      <c r="L56" s="9" t="s">
        <v>36</v>
      </c>
      <c r="M56" s="60">
        <v>75.66</v>
      </c>
      <c r="N56" s="60">
        <v>225.60</v>
      </c>
      <c r="O56" s="60">
        <v>0.20</v>
      </c>
      <c r="P56" s="60">
        <v>2.59</v>
      </c>
      <c r="Q56" s="60">
        <v>14.30</v>
      </c>
      <c r="R56" s="194"/>
      <c r="S56" s="194"/>
      <c r="T56" s="194"/>
      <c r="U56" s="194"/>
    </row>
    <row r="57" spans="1:21" s="12" customFormat="1" ht="15">
      <c r="A57" s="197" t="s">
        <v>1061</v>
      </c>
      <c r="B57" s="60">
        <v>3.52</v>
      </c>
      <c r="C57" s="60">
        <v>10.58</v>
      </c>
      <c r="D57" s="60">
        <v>14.10</v>
      </c>
      <c r="E57" s="60">
        <v>6.51</v>
      </c>
      <c r="F57" s="60">
        <v>0.47</v>
      </c>
      <c r="G57" s="214" t="s">
        <v>36</v>
      </c>
      <c r="H57" s="60">
        <v>7.43</v>
      </c>
      <c r="I57" s="60">
        <v>4.53</v>
      </c>
      <c r="J57" s="60">
        <v>1.1399999999999999</v>
      </c>
      <c r="K57" s="60">
        <v>8.83</v>
      </c>
      <c r="L57" s="9" t="s">
        <v>36</v>
      </c>
      <c r="M57" s="60">
        <v>87.87</v>
      </c>
      <c r="N57" s="60">
        <v>370.70</v>
      </c>
      <c r="O57" s="60">
        <v>0.40</v>
      </c>
      <c r="P57" s="60">
        <v>2.60</v>
      </c>
      <c r="Q57" s="60">
        <v>13.69</v>
      </c>
      <c r="R57" s="194"/>
      <c r="S57" s="194"/>
      <c r="T57" s="194"/>
      <c r="U57" s="194"/>
    </row>
    <row r="58" spans="1:21" s="12" customFormat="1" ht="15">
      <c r="A58" s="197" t="s">
        <v>1062</v>
      </c>
      <c r="B58" s="60">
        <v>4.4800000000000004</v>
      </c>
      <c r="C58" s="60">
        <v>12.09</v>
      </c>
      <c r="D58" s="60">
        <v>16.579999999999998</v>
      </c>
      <c r="E58" s="60">
        <v>6.44</v>
      </c>
      <c r="F58" s="60">
        <v>1.31</v>
      </c>
      <c r="G58" s="214" t="s">
        <v>36</v>
      </c>
      <c r="H58" s="60">
        <v>6.17</v>
      </c>
      <c r="I58" s="60">
        <v>4.51</v>
      </c>
      <c r="J58" s="60">
        <v>1.1200000000000001</v>
      </c>
      <c r="K58" s="60">
        <v>23.07</v>
      </c>
      <c r="L58" s="9" t="s">
        <v>36</v>
      </c>
      <c r="M58" s="60">
        <v>83.86</v>
      </c>
      <c r="N58" s="10" t="s">
        <v>43</v>
      </c>
      <c r="O58" s="60">
        <v>0.20</v>
      </c>
      <c r="P58" s="60">
        <v>2.63</v>
      </c>
      <c r="Q58" s="60">
        <v>12.61</v>
      </c>
      <c r="R58" s="194"/>
      <c r="S58" s="194"/>
      <c r="T58" s="194"/>
      <c r="U58" s="194"/>
    </row>
    <row r="59" spans="1:21" s="12" customFormat="1" ht="15">
      <c r="A59" s="197" t="s">
        <v>1063</v>
      </c>
      <c r="B59" s="60">
        <v>4.93</v>
      </c>
      <c r="C59" s="60">
        <v>12.64</v>
      </c>
      <c r="D59" s="60">
        <v>17.57</v>
      </c>
      <c r="E59" s="60">
        <v>6.62</v>
      </c>
      <c r="F59" s="60">
        <v>0.85</v>
      </c>
      <c r="G59" s="214" t="s">
        <v>36</v>
      </c>
      <c r="H59" s="60">
        <v>6.17</v>
      </c>
      <c r="I59" s="60">
        <v>4.5199999999999996</v>
      </c>
      <c r="J59" s="60">
        <v>0.78</v>
      </c>
      <c r="K59" s="60">
        <v>43.59</v>
      </c>
      <c r="L59" s="9" t="s">
        <v>36</v>
      </c>
      <c r="M59" s="60">
        <v>82.54</v>
      </c>
      <c r="N59" s="10" t="s">
        <v>43</v>
      </c>
      <c r="O59" s="60">
        <v>0</v>
      </c>
      <c r="P59" s="60">
        <v>2.65</v>
      </c>
      <c r="Q59" s="60">
        <v>9.7799999999999994</v>
      </c>
      <c r="R59" s="194"/>
      <c r="S59" s="194"/>
      <c r="T59" s="194"/>
      <c r="U59" s="194"/>
    </row>
    <row r="60" spans="1:21" s="12" customFormat="1" ht="15">
      <c r="A60" s="197" t="s">
        <v>1064</v>
      </c>
      <c r="B60" s="60">
        <v>5.13</v>
      </c>
      <c r="C60" s="60">
        <v>12.82</v>
      </c>
      <c r="D60" s="60">
        <v>17.95</v>
      </c>
      <c r="E60" s="60">
        <v>6.78</v>
      </c>
      <c r="F60" s="60">
        <v>0.19</v>
      </c>
      <c r="G60" s="214" t="s">
        <v>36</v>
      </c>
      <c r="H60" s="60">
        <v>6.17</v>
      </c>
      <c r="I60" s="60">
        <v>4.53</v>
      </c>
      <c r="J60" s="60">
        <v>1.22</v>
      </c>
      <c r="K60" s="60">
        <v>17.78</v>
      </c>
      <c r="L60" s="9" t="s">
        <v>36</v>
      </c>
      <c r="M60" s="60">
        <v>74.48</v>
      </c>
      <c r="N60" s="10" t="s">
        <v>43</v>
      </c>
      <c r="O60" s="60">
        <v>0</v>
      </c>
      <c r="P60" s="60">
        <v>2.67</v>
      </c>
      <c r="Q60" s="60">
        <v>7.88</v>
      </c>
      <c r="R60" s="194"/>
      <c r="S60" s="194"/>
      <c r="T60" s="194"/>
      <c r="U60" s="194"/>
    </row>
    <row r="61" spans="1:21" s="12" customFormat="1" ht="15">
      <c r="A61" s="197" t="s">
        <v>1065</v>
      </c>
      <c r="B61" s="60">
        <v>5.05</v>
      </c>
      <c r="C61" s="60">
        <v>13.07</v>
      </c>
      <c r="D61" s="60">
        <v>18.12</v>
      </c>
      <c r="E61" s="60">
        <v>6.78</v>
      </c>
      <c r="F61" s="60">
        <v>0.35</v>
      </c>
      <c r="G61" s="214" t="s">
        <v>36</v>
      </c>
      <c r="H61" s="60">
        <v>8.15</v>
      </c>
      <c r="I61" s="60">
        <v>4.4000000000000004</v>
      </c>
      <c r="J61" s="60">
        <v>1.1100000000000001</v>
      </c>
      <c r="K61" s="60">
        <v>79.27</v>
      </c>
      <c r="L61" s="9" t="s">
        <v>36</v>
      </c>
      <c r="M61" s="60">
        <v>74.44</v>
      </c>
      <c r="N61" s="60">
        <v>553.70000000000005</v>
      </c>
      <c r="O61" s="60">
        <v>0</v>
      </c>
      <c r="P61" s="60">
        <v>2.67</v>
      </c>
      <c r="Q61" s="60">
        <v>7</v>
      </c>
      <c r="R61" s="194"/>
      <c r="S61" s="194"/>
      <c r="T61" s="194"/>
      <c r="U61" s="194"/>
    </row>
    <row r="62" spans="1:21" s="12" customFormat="1" ht="15">
      <c r="A62" s="197" t="s">
        <v>1066</v>
      </c>
      <c r="B62" s="60">
        <v>4.8899999999999997</v>
      </c>
      <c r="C62" s="60">
        <v>12.86</v>
      </c>
      <c r="D62" s="60">
        <v>17.739999999999998</v>
      </c>
      <c r="E62" s="60">
        <v>6.74</v>
      </c>
      <c r="F62" s="60">
        <v>1.38</v>
      </c>
      <c r="G62" s="214" t="s">
        <v>36</v>
      </c>
      <c r="H62" s="60">
        <v>13.02</v>
      </c>
      <c r="I62" s="60">
        <v>4.54</v>
      </c>
      <c r="J62" s="60">
        <v>1.25</v>
      </c>
      <c r="K62" s="60">
        <v>87.60</v>
      </c>
      <c r="L62" s="9" t="s">
        <v>36</v>
      </c>
      <c r="M62" s="60">
        <v>74.069999999999993</v>
      </c>
      <c r="N62" s="60">
        <v>392.10</v>
      </c>
      <c r="O62" s="60">
        <v>0</v>
      </c>
      <c r="P62" s="60">
        <v>2.68</v>
      </c>
      <c r="Q62" s="60">
        <v>6.54</v>
      </c>
      <c r="R62" s="194"/>
      <c r="S62" s="194"/>
      <c r="T62" s="194"/>
      <c r="U62" s="194"/>
    </row>
    <row r="63" spans="1:21" s="12" customFormat="1" ht="15">
      <c r="A63" s="197" t="s">
        <v>1067</v>
      </c>
      <c r="B63" s="60">
        <v>4.5999999999999996</v>
      </c>
      <c r="C63" s="60">
        <v>12.36</v>
      </c>
      <c r="D63" s="60">
        <v>16.96</v>
      </c>
      <c r="E63" s="60">
        <v>6.59</v>
      </c>
      <c r="F63" s="60">
        <v>0.61</v>
      </c>
      <c r="G63" s="214" t="s">
        <v>36</v>
      </c>
      <c r="H63" s="60">
        <v>13.02</v>
      </c>
      <c r="I63" s="60">
        <v>4.47</v>
      </c>
      <c r="J63" s="60">
        <v>1.90</v>
      </c>
      <c r="K63" s="60">
        <v>100.06</v>
      </c>
      <c r="L63" s="9" t="s">
        <v>36</v>
      </c>
      <c r="M63" s="60">
        <v>80.510000000000005</v>
      </c>
      <c r="N63" s="60">
        <v>188.40</v>
      </c>
      <c r="O63" s="60">
        <v>0.40</v>
      </c>
      <c r="P63" s="60">
        <v>2.67</v>
      </c>
      <c r="Q63" s="60">
        <v>6.24</v>
      </c>
      <c r="R63" s="194"/>
      <c r="S63" s="194"/>
      <c r="T63" s="194"/>
      <c r="U63" s="194"/>
    </row>
    <row r="64" spans="1:21" s="12" customFormat="1" ht="15">
      <c r="A64" s="197" t="s">
        <v>1068</v>
      </c>
      <c r="B64" s="60">
        <v>4.16</v>
      </c>
      <c r="C64" s="60">
        <v>11.79</v>
      </c>
      <c r="D64" s="60">
        <v>15.95</v>
      </c>
      <c r="E64" s="60">
        <v>7.20</v>
      </c>
      <c r="F64" s="60">
        <v>1.01</v>
      </c>
      <c r="G64" s="214" t="s">
        <v>36</v>
      </c>
      <c r="H64" s="60">
        <v>13.02</v>
      </c>
      <c r="I64" s="60">
        <v>4.58</v>
      </c>
      <c r="J64" s="60">
        <v>1.87</v>
      </c>
      <c r="K64" s="60">
        <v>105.25</v>
      </c>
      <c r="L64" s="9" t="s">
        <v>36</v>
      </c>
      <c r="M64" s="60">
        <v>81.98</v>
      </c>
      <c r="N64" s="60">
        <v>404.60</v>
      </c>
      <c r="O64" s="60">
        <v>0.20</v>
      </c>
      <c r="P64" s="60">
        <v>2.67</v>
      </c>
      <c r="Q64" s="60">
        <v>5.98</v>
      </c>
      <c r="R64" s="194"/>
      <c r="S64" s="194"/>
      <c r="T64" s="194"/>
      <c r="U64" s="194"/>
    </row>
    <row r="65" spans="1:21" s="12" customFormat="1" ht="15">
      <c r="A65" s="197" t="s">
        <v>1069</v>
      </c>
      <c r="B65" s="60">
        <v>3.78</v>
      </c>
      <c r="C65" s="60">
        <v>11.29</v>
      </c>
      <c r="D65" s="60">
        <v>15.06</v>
      </c>
      <c r="E65" s="60">
        <v>7.06</v>
      </c>
      <c r="F65" s="60">
        <v>0.55000000000000004</v>
      </c>
      <c r="G65" s="214" t="s">
        <v>36</v>
      </c>
      <c r="H65" s="60">
        <v>12.26</v>
      </c>
      <c r="I65" s="60">
        <v>4.72</v>
      </c>
      <c r="J65" s="60">
        <v>0.67</v>
      </c>
      <c r="K65" s="60">
        <v>110.06</v>
      </c>
      <c r="L65" s="60">
        <v>43.82</v>
      </c>
      <c r="M65" s="60">
        <v>82.38</v>
      </c>
      <c r="N65" s="60">
        <v>168</v>
      </c>
      <c r="O65" s="60">
        <v>0</v>
      </c>
      <c r="P65" s="60">
        <v>2.65</v>
      </c>
      <c r="Q65" s="60">
        <v>5.71</v>
      </c>
      <c r="R65" s="194"/>
      <c r="S65" s="194"/>
      <c r="T65" s="194"/>
      <c r="U65" s="194"/>
    </row>
    <row r="66" spans="1:21" s="12" customFormat="1" ht="15">
      <c r="A66" s="197" t="s">
        <v>1070</v>
      </c>
      <c r="B66" s="60">
        <v>3.55</v>
      </c>
      <c r="C66" s="60">
        <v>11.45</v>
      </c>
      <c r="D66" s="60">
        <v>15.01</v>
      </c>
      <c r="E66" s="60">
        <v>7.36</v>
      </c>
      <c r="F66" s="60">
        <v>1.64</v>
      </c>
      <c r="G66" s="214" t="s">
        <v>36</v>
      </c>
      <c r="H66" s="60">
        <v>10.38</v>
      </c>
      <c r="I66" s="60">
        <v>4.6399999999999997</v>
      </c>
      <c r="J66" s="60">
        <v>1.0900000000000001</v>
      </c>
      <c r="K66" s="60">
        <v>168.52</v>
      </c>
      <c r="L66" s="60">
        <v>39.159999999999997</v>
      </c>
      <c r="M66" s="60">
        <v>84.62</v>
      </c>
      <c r="N66" s="60">
        <v>162.90</v>
      </c>
      <c r="O66" s="60">
        <v>0</v>
      </c>
      <c r="P66" s="60">
        <v>2.64</v>
      </c>
      <c r="Q66" s="60">
        <v>6.42</v>
      </c>
      <c r="R66" s="194"/>
      <c r="S66" s="194"/>
      <c r="T66" s="194"/>
      <c r="U66" s="194"/>
    </row>
    <row r="67" spans="1:21" s="12" customFormat="1" ht="15">
      <c r="A67" s="197" t="s">
        <v>1071</v>
      </c>
      <c r="B67" s="60">
        <v>3.37</v>
      </c>
      <c r="C67" s="60">
        <v>11.98</v>
      </c>
      <c r="D67" s="60">
        <v>15.35</v>
      </c>
      <c r="E67" s="60">
        <v>7.16</v>
      </c>
      <c r="F67" s="60">
        <v>0.48</v>
      </c>
      <c r="G67" s="214" t="s">
        <v>36</v>
      </c>
      <c r="H67" s="60">
        <v>10.38</v>
      </c>
      <c r="I67" s="60">
        <v>4.26</v>
      </c>
      <c r="J67" s="60">
        <v>1.78</v>
      </c>
      <c r="K67" s="60">
        <v>159.43</v>
      </c>
      <c r="L67" s="60">
        <v>37.869999999999997</v>
      </c>
      <c r="M67" s="60">
        <v>87.70</v>
      </c>
      <c r="N67" s="60">
        <v>96</v>
      </c>
      <c r="O67" s="60">
        <v>2.80</v>
      </c>
      <c r="P67" s="60">
        <v>2.64</v>
      </c>
      <c r="Q67" s="60">
        <v>9.1999999999999993</v>
      </c>
      <c r="R67" s="194"/>
      <c r="S67" s="194"/>
      <c r="T67" s="194"/>
      <c r="U67" s="194"/>
    </row>
    <row r="68" spans="1:21" s="12" customFormat="1" ht="15">
      <c r="A68" s="197" t="s">
        <v>1072</v>
      </c>
      <c r="B68" s="60">
        <v>3.11</v>
      </c>
      <c r="C68" s="60">
        <v>12.37</v>
      </c>
      <c r="D68" s="60">
        <v>15.48</v>
      </c>
      <c r="E68" s="60">
        <v>6.76</v>
      </c>
      <c r="F68" s="60">
        <v>0.57999999999999996</v>
      </c>
      <c r="G68" s="214" t="s">
        <v>36</v>
      </c>
      <c r="H68" s="60">
        <v>10.38</v>
      </c>
      <c r="I68" s="60">
        <v>4.63</v>
      </c>
      <c r="J68" s="60">
        <v>1.83</v>
      </c>
      <c r="K68" s="60">
        <v>172.31</v>
      </c>
      <c r="L68" s="60">
        <v>34.86</v>
      </c>
      <c r="M68" s="60">
        <v>97.72</v>
      </c>
      <c r="N68" s="60">
        <v>40.799999999999997</v>
      </c>
      <c r="O68" s="60">
        <v>5.20</v>
      </c>
      <c r="P68" s="60">
        <v>2.62</v>
      </c>
      <c r="Q68" s="60">
        <v>11.67</v>
      </c>
      <c r="R68" s="194"/>
      <c r="S68" s="194"/>
      <c r="T68" s="194"/>
      <c r="U68" s="194"/>
    </row>
    <row r="69" spans="1:21" s="12" customFormat="1" ht="15">
      <c r="A69" s="197" t="s">
        <v>1073</v>
      </c>
      <c r="B69" s="60">
        <v>2.68</v>
      </c>
      <c r="C69" s="60">
        <v>12.56</v>
      </c>
      <c r="D69" s="60">
        <v>15.24</v>
      </c>
      <c r="E69" s="60">
        <v>6.60</v>
      </c>
      <c r="F69" s="60">
        <v>0.34</v>
      </c>
      <c r="G69" s="214" t="s">
        <v>36</v>
      </c>
      <c r="H69" s="60">
        <v>9.64</v>
      </c>
      <c r="I69" s="60">
        <v>4.59</v>
      </c>
      <c r="J69" s="60">
        <v>0.49</v>
      </c>
      <c r="K69" s="60">
        <v>185.16</v>
      </c>
      <c r="L69" s="60">
        <v>34.42</v>
      </c>
      <c r="M69" s="60">
        <v>99.10</v>
      </c>
      <c r="N69" s="60">
        <v>39.799999999999997</v>
      </c>
      <c r="O69" s="60">
        <v>0.20</v>
      </c>
      <c r="P69" s="60">
        <v>2.60</v>
      </c>
      <c r="Q69" s="60">
        <v>12.44</v>
      </c>
      <c r="R69" s="194"/>
      <c r="S69" s="194"/>
      <c r="T69" s="194"/>
      <c r="U69" s="194"/>
    </row>
    <row r="70" spans="1:21" s="12" customFormat="1" ht="15">
      <c r="A70" s="197" t="s">
        <v>1074</v>
      </c>
      <c r="B70" s="60">
        <v>2.35</v>
      </c>
      <c r="C70" s="60">
        <v>12.31</v>
      </c>
      <c r="D70" s="60">
        <v>14.66</v>
      </c>
      <c r="E70" s="60">
        <v>6.49</v>
      </c>
      <c r="F70" s="60">
        <v>0.30</v>
      </c>
      <c r="G70" s="214" t="s">
        <v>36</v>
      </c>
      <c r="H70" s="60">
        <v>7.81</v>
      </c>
      <c r="I70" s="60">
        <v>4.41</v>
      </c>
      <c r="J70" s="60">
        <v>1.53</v>
      </c>
      <c r="K70" s="60">
        <v>158.93</v>
      </c>
      <c r="L70" s="60">
        <v>34.56</v>
      </c>
      <c r="M70" s="60">
        <v>99.09</v>
      </c>
      <c r="N70" s="60">
        <v>15.20</v>
      </c>
      <c r="O70" s="60">
        <v>0</v>
      </c>
      <c r="P70" s="60">
        <v>2.59</v>
      </c>
      <c r="Q70" s="60">
        <v>12.04</v>
      </c>
      <c r="R70" s="194"/>
      <c r="S70" s="194"/>
      <c r="T70" s="194"/>
      <c r="U70" s="194"/>
    </row>
    <row r="71" spans="1:21" s="12" customFormat="1" ht="15">
      <c r="A71" s="197" t="s">
        <v>1075</v>
      </c>
      <c r="B71" s="60">
        <v>2.14</v>
      </c>
      <c r="C71" s="60">
        <v>12.09</v>
      </c>
      <c r="D71" s="60">
        <v>14.24</v>
      </c>
      <c r="E71" s="60">
        <v>6.46</v>
      </c>
      <c r="F71" s="60">
        <v>0.93</v>
      </c>
      <c r="G71" s="214" t="s">
        <v>36</v>
      </c>
      <c r="H71" s="60">
        <v>7.81</v>
      </c>
      <c r="I71" s="60">
        <v>4.30</v>
      </c>
      <c r="J71" s="60">
        <v>0.80</v>
      </c>
      <c r="K71" s="60">
        <v>141.66999999999999</v>
      </c>
      <c r="L71" s="60">
        <v>34.450000000000003</v>
      </c>
      <c r="M71" s="60">
        <v>99.01</v>
      </c>
      <c r="N71" s="60">
        <v>7.80</v>
      </c>
      <c r="O71" s="60">
        <v>3.80</v>
      </c>
      <c r="P71" s="60">
        <v>2.58</v>
      </c>
      <c r="Q71" s="60">
        <v>11.52</v>
      </c>
      <c r="R71" s="194"/>
      <c r="S71" s="194"/>
      <c r="T71" s="194"/>
      <c r="U71" s="194"/>
    </row>
    <row r="72" spans="1:21" s="12" customFormat="1" ht="15">
      <c r="A72" s="197" t="s">
        <v>1076</v>
      </c>
      <c r="B72" s="60">
        <v>1.97</v>
      </c>
      <c r="C72" s="60">
        <v>11.86</v>
      </c>
      <c r="D72" s="60">
        <v>13.83</v>
      </c>
      <c r="E72" s="60">
        <v>3.84</v>
      </c>
      <c r="F72" s="60">
        <v>0.17</v>
      </c>
      <c r="G72" s="214" t="s">
        <v>36</v>
      </c>
      <c r="H72" s="60">
        <v>7.81</v>
      </c>
      <c r="I72" s="60">
        <v>4.2300000000000004</v>
      </c>
      <c r="J72" s="60">
        <v>0.70</v>
      </c>
      <c r="K72" s="60">
        <v>107.62</v>
      </c>
      <c r="L72" s="60">
        <v>34.08</v>
      </c>
      <c r="M72" s="60">
        <v>99.07</v>
      </c>
      <c r="N72" s="60">
        <v>9.8000000000000007</v>
      </c>
      <c r="O72" s="60">
        <v>0</v>
      </c>
      <c r="P72" s="60">
        <v>2.56</v>
      </c>
      <c r="Q72" s="60">
        <v>10.97</v>
      </c>
      <c r="R72" s="194"/>
      <c r="S72" s="194"/>
      <c r="T72" s="194"/>
      <c r="U72" s="194"/>
    </row>
    <row r="73" spans="1:21" s="12" customFormat="1" ht="15">
      <c r="A73" s="197" t="s">
        <v>1077</v>
      </c>
      <c r="B73" s="60">
        <v>1.95</v>
      </c>
      <c r="C73" s="60">
        <v>11.79</v>
      </c>
      <c r="D73" s="60">
        <v>13.74</v>
      </c>
      <c r="E73" s="60">
        <v>6.19</v>
      </c>
      <c r="F73" s="60">
        <v>1.71</v>
      </c>
      <c r="G73" s="214" t="s">
        <v>36</v>
      </c>
      <c r="H73" s="60">
        <v>8.07</v>
      </c>
      <c r="I73" s="60">
        <v>4.1500000000000004</v>
      </c>
      <c r="J73" s="60">
        <v>0.47</v>
      </c>
      <c r="K73" s="60">
        <v>93.75</v>
      </c>
      <c r="L73" s="60">
        <v>34.130000000000003</v>
      </c>
      <c r="M73" s="60">
        <v>99.09</v>
      </c>
      <c r="N73" s="60">
        <v>16.30</v>
      </c>
      <c r="O73" s="60">
        <v>0</v>
      </c>
      <c r="P73" s="60">
        <v>2.57</v>
      </c>
      <c r="Q73" s="60">
        <v>9.39</v>
      </c>
      <c r="R73" s="194"/>
      <c r="S73" s="194"/>
      <c r="T73" s="194"/>
      <c r="U73" s="194"/>
    </row>
    <row r="74" spans="1:21" s="12" customFormat="1" ht="15">
      <c r="A74" s="197" t="s">
        <v>1078</v>
      </c>
      <c r="B74" s="60">
        <v>2.33</v>
      </c>
      <c r="C74" s="60">
        <v>11.40</v>
      </c>
      <c r="D74" s="60">
        <v>13.73</v>
      </c>
      <c r="E74" s="60">
        <v>6.35</v>
      </c>
      <c r="F74" s="60">
        <v>0.84</v>
      </c>
      <c r="G74" s="214" t="s">
        <v>36</v>
      </c>
      <c r="H74" s="60">
        <v>8.6999999999999993</v>
      </c>
      <c r="I74" s="60">
        <v>4.09</v>
      </c>
      <c r="J74" s="60">
        <v>0.48</v>
      </c>
      <c r="K74" s="60">
        <v>172.05</v>
      </c>
      <c r="L74" s="60">
        <v>34.229999999999997</v>
      </c>
      <c r="M74" s="60">
        <v>99.10</v>
      </c>
      <c r="N74" s="60">
        <v>20.20</v>
      </c>
      <c r="O74" s="60">
        <v>0</v>
      </c>
      <c r="P74" s="60">
        <v>2.58</v>
      </c>
      <c r="Q74" s="60">
        <v>7.16</v>
      </c>
      <c r="R74" s="194"/>
      <c r="S74" s="194"/>
      <c r="T74" s="194"/>
      <c r="U74" s="194"/>
    </row>
    <row r="75" spans="1:21" s="12" customFormat="1" ht="15">
      <c r="A75" s="197" t="s">
        <v>1079</v>
      </c>
      <c r="B75" s="60">
        <v>2.86</v>
      </c>
      <c r="C75" s="60">
        <v>11.10</v>
      </c>
      <c r="D75" s="60">
        <v>13.96</v>
      </c>
      <c r="E75" s="60">
        <v>6.73</v>
      </c>
      <c r="F75" s="214" t="s">
        <v>36</v>
      </c>
      <c r="G75" s="214" t="s">
        <v>36</v>
      </c>
      <c r="H75" s="60">
        <v>8.6999999999999993</v>
      </c>
      <c r="I75" s="60">
        <v>3.99</v>
      </c>
      <c r="J75" s="60">
        <v>0.81</v>
      </c>
      <c r="K75" s="60">
        <v>163.80000000000001</v>
      </c>
      <c r="L75" s="60">
        <v>34.32</v>
      </c>
      <c r="M75" s="60">
        <v>99.07</v>
      </c>
      <c r="N75" s="60">
        <v>21.60</v>
      </c>
      <c r="O75" s="60">
        <v>0</v>
      </c>
      <c r="P75" s="60">
        <v>2.57</v>
      </c>
      <c r="Q75" s="60">
        <v>6.01</v>
      </c>
      <c r="R75" s="194"/>
      <c r="S75" s="194"/>
      <c r="T75" s="194"/>
      <c r="U75" s="194"/>
    </row>
    <row r="76" spans="1:21" s="12" customFormat="1" ht="15">
      <c r="A76" s="197" t="s">
        <v>1080</v>
      </c>
      <c r="B76" s="60">
        <v>3.23</v>
      </c>
      <c r="C76" s="60">
        <v>10.99</v>
      </c>
      <c r="D76" s="60">
        <v>14.22</v>
      </c>
      <c r="E76" s="60">
        <v>7.08</v>
      </c>
      <c r="F76" s="214" t="s">
        <v>36</v>
      </c>
      <c r="G76" s="214" t="s">
        <v>36</v>
      </c>
      <c r="H76" s="60">
        <v>8.6999999999999993</v>
      </c>
      <c r="I76" s="60">
        <v>4.1399999999999997</v>
      </c>
      <c r="J76" s="60">
        <v>0.16</v>
      </c>
      <c r="K76" s="60">
        <v>258.33</v>
      </c>
      <c r="L76" s="60">
        <v>34.49</v>
      </c>
      <c r="M76" s="60">
        <v>99.10</v>
      </c>
      <c r="N76" s="60">
        <v>19.399999999999999</v>
      </c>
      <c r="O76" s="60">
        <v>0</v>
      </c>
      <c r="P76" s="60">
        <v>2.58</v>
      </c>
      <c r="Q76" s="60">
        <v>5.48</v>
      </c>
      <c r="R76" s="194"/>
      <c r="S76" s="194"/>
      <c r="T76" s="194"/>
      <c r="U76" s="194"/>
    </row>
    <row r="77" spans="1:21" s="12" customFormat="1" ht="15">
      <c r="A77" s="197" t="s">
        <v>1081</v>
      </c>
      <c r="B77" s="60">
        <v>3.82</v>
      </c>
      <c r="C77" s="60">
        <v>10.60</v>
      </c>
      <c r="D77" s="60">
        <v>14.42</v>
      </c>
      <c r="E77" s="60">
        <v>6.88</v>
      </c>
      <c r="F77" s="60">
        <v>0.47</v>
      </c>
      <c r="G77" s="214" t="s">
        <v>36</v>
      </c>
      <c r="H77" s="60">
        <v>8.26</v>
      </c>
      <c r="I77" s="60">
        <v>4.18</v>
      </c>
      <c r="J77" s="60">
        <v>0.28000000000000003</v>
      </c>
      <c r="K77" s="60">
        <v>303.62</v>
      </c>
      <c r="L77" s="60">
        <v>34.85</v>
      </c>
      <c r="M77" s="60">
        <v>99.10</v>
      </c>
      <c r="N77" s="60">
        <v>34</v>
      </c>
      <c r="O77" s="60">
        <v>0</v>
      </c>
      <c r="P77" s="60">
        <v>2.60</v>
      </c>
      <c r="Q77" s="60">
        <v>5.36</v>
      </c>
      <c r="R77" s="194"/>
      <c r="S77" s="194"/>
      <c r="T77" s="194"/>
      <c r="U77" s="194"/>
    </row>
    <row r="78" spans="1:21" s="12" customFormat="1" ht="15">
      <c r="A78" s="197" t="s">
        <v>1082</v>
      </c>
      <c r="B78" s="60">
        <v>4.53</v>
      </c>
      <c r="C78" s="60">
        <v>10.47</v>
      </c>
      <c r="D78" s="60">
        <v>14.99</v>
      </c>
      <c r="E78" s="60">
        <v>7.10</v>
      </c>
      <c r="F78" s="60">
        <v>0.13</v>
      </c>
      <c r="G78" s="214" t="s">
        <v>36</v>
      </c>
      <c r="H78" s="60">
        <v>7.18</v>
      </c>
      <c r="I78" s="60">
        <v>4.0199999999999996</v>
      </c>
      <c r="J78" s="60">
        <v>0.28999999999999998</v>
      </c>
      <c r="K78" s="60">
        <v>196.73</v>
      </c>
      <c r="L78" s="60">
        <v>34.74</v>
      </c>
      <c r="M78" s="60">
        <v>99.10</v>
      </c>
      <c r="N78" s="60">
        <v>52.20</v>
      </c>
      <c r="O78" s="60">
        <v>0</v>
      </c>
      <c r="P78" s="60">
        <v>2.63</v>
      </c>
      <c r="Q78" s="60">
        <v>5.46</v>
      </c>
      <c r="R78" s="194"/>
      <c r="S78" s="194"/>
      <c r="T78" s="194"/>
      <c r="U78" s="194"/>
    </row>
    <row r="79" spans="1:21" s="12" customFormat="1" ht="15">
      <c r="A79" s="197" t="s">
        <v>1083</v>
      </c>
      <c r="B79" s="60">
        <v>4.99</v>
      </c>
      <c r="C79" s="60">
        <v>10.57</v>
      </c>
      <c r="D79" s="60">
        <v>15.56</v>
      </c>
      <c r="E79" s="60">
        <v>7.47</v>
      </c>
      <c r="F79" s="60">
        <v>0.24</v>
      </c>
      <c r="G79" s="214" t="s">
        <v>36</v>
      </c>
      <c r="H79" s="60">
        <v>7.18</v>
      </c>
      <c r="I79" s="60">
        <v>4.4800000000000004</v>
      </c>
      <c r="J79" s="60">
        <v>0.32</v>
      </c>
      <c r="K79" s="60">
        <v>203.18</v>
      </c>
      <c r="L79" s="60">
        <v>34.74</v>
      </c>
      <c r="M79" s="60">
        <v>99.09</v>
      </c>
      <c r="N79" s="60">
        <v>46.40</v>
      </c>
      <c r="O79" s="60">
        <v>0</v>
      </c>
      <c r="P79" s="60">
        <v>2.64</v>
      </c>
      <c r="Q79" s="60">
        <v>5.53</v>
      </c>
      <c r="R79" s="194"/>
      <c r="S79" s="194"/>
      <c r="T79" s="194"/>
      <c r="U79" s="194"/>
    </row>
    <row r="80" spans="1:21" s="12" customFormat="1" ht="15">
      <c r="A80" s="197" t="s">
        <v>1084</v>
      </c>
      <c r="B80" s="60">
        <v>5.32</v>
      </c>
      <c r="C80" s="60">
        <v>10.74</v>
      </c>
      <c r="D80" s="60">
        <v>16.059999999999999</v>
      </c>
      <c r="E80" s="60">
        <v>7.61</v>
      </c>
      <c r="F80" s="60">
        <v>0.24</v>
      </c>
      <c r="G80" s="214" t="s">
        <v>36</v>
      </c>
      <c r="H80" s="60">
        <v>7.18</v>
      </c>
      <c r="I80" s="60">
        <v>4.80</v>
      </c>
      <c r="J80" s="60">
        <v>0.15</v>
      </c>
      <c r="K80" s="60">
        <v>313.36</v>
      </c>
      <c r="L80" s="60">
        <v>34.78</v>
      </c>
      <c r="M80" s="60">
        <v>99.10</v>
      </c>
      <c r="N80" s="60">
        <v>36.299999999999997</v>
      </c>
      <c r="O80" s="60">
        <v>0</v>
      </c>
      <c r="P80" s="60">
        <v>2.65</v>
      </c>
      <c r="Q80" s="60">
        <v>5.78</v>
      </c>
      <c r="R80" s="194"/>
      <c r="S80" s="194"/>
      <c r="T80" s="194"/>
      <c r="U80" s="194"/>
    </row>
    <row r="81" spans="1:21" s="12" customFormat="1" ht="15">
      <c r="A81" s="197" t="s">
        <v>1085</v>
      </c>
      <c r="B81" s="60">
        <v>6.33</v>
      </c>
      <c r="C81" s="60">
        <v>11.27</v>
      </c>
      <c r="D81" s="60">
        <v>17.600000000000001</v>
      </c>
      <c r="E81" s="60">
        <v>7.78</v>
      </c>
      <c r="F81" s="60">
        <v>0.56999999999999995</v>
      </c>
      <c r="G81" s="214" t="s">
        <v>36</v>
      </c>
      <c r="H81" s="60">
        <v>6.80</v>
      </c>
      <c r="I81" s="60">
        <v>4.71</v>
      </c>
      <c r="J81" s="60">
        <v>0.17</v>
      </c>
      <c r="K81" s="60">
        <v>316.54000000000002</v>
      </c>
      <c r="L81" s="60">
        <v>34.92</v>
      </c>
      <c r="M81" s="60">
        <v>99.10</v>
      </c>
      <c r="N81" s="60">
        <v>18.5</v>
      </c>
      <c r="O81" s="60">
        <v>0</v>
      </c>
      <c r="P81" s="60">
        <v>2.70</v>
      </c>
      <c r="Q81" s="60">
        <v>7.55</v>
      </c>
      <c r="R81" s="194"/>
      <c r="S81" s="194"/>
      <c r="T81" s="194"/>
      <c r="U81" s="194"/>
    </row>
    <row r="82" spans="1:21" s="12" customFormat="1" ht="15">
      <c r="A82" s="197" t="s">
        <v>1086</v>
      </c>
      <c r="B82" s="60">
        <v>8.23</v>
      </c>
      <c r="C82" s="60">
        <v>12.38</v>
      </c>
      <c r="D82" s="60">
        <v>20.61</v>
      </c>
      <c r="E82" s="60">
        <v>8.3699999999999992</v>
      </c>
      <c r="F82" s="60">
        <v>0.48</v>
      </c>
      <c r="G82" s="214" t="s">
        <v>36</v>
      </c>
      <c r="H82" s="60">
        <v>5.85</v>
      </c>
      <c r="I82" s="60">
        <v>4.6399999999999997</v>
      </c>
      <c r="J82" s="60">
        <v>0.31</v>
      </c>
      <c r="K82" s="60">
        <v>342.08</v>
      </c>
      <c r="L82" s="60">
        <v>34.950000000000003</v>
      </c>
      <c r="M82" s="60">
        <v>99.10</v>
      </c>
      <c r="N82" s="60">
        <v>11.90</v>
      </c>
      <c r="O82" s="60">
        <v>0</v>
      </c>
      <c r="P82" s="60">
        <v>2.78</v>
      </c>
      <c r="Q82" s="60">
        <v>10.73</v>
      </c>
      <c r="R82" s="194"/>
      <c r="S82" s="194"/>
      <c r="T82" s="194"/>
      <c r="U82" s="194"/>
    </row>
    <row r="83" spans="1:21" s="12" customFormat="1" ht="15">
      <c r="A83" s="197" t="s">
        <v>1087</v>
      </c>
      <c r="B83" s="60">
        <v>10.220000000000001</v>
      </c>
      <c r="C83" s="60">
        <v>13.22</v>
      </c>
      <c r="D83" s="60">
        <v>23.45</v>
      </c>
      <c r="E83" s="60">
        <v>7.79</v>
      </c>
      <c r="F83" s="60">
        <v>0.52</v>
      </c>
      <c r="G83" s="214" t="s">
        <v>36</v>
      </c>
      <c r="H83" s="60">
        <v>5.85</v>
      </c>
      <c r="I83" s="60">
        <v>4.93</v>
      </c>
      <c r="J83" s="60">
        <v>0.41</v>
      </c>
      <c r="K83" s="60">
        <v>320.11</v>
      </c>
      <c r="L83" s="60">
        <v>34.869999999999997</v>
      </c>
      <c r="M83" s="60">
        <v>99.10</v>
      </c>
      <c r="N83" s="60">
        <v>3.70</v>
      </c>
      <c r="O83" s="60">
        <v>0</v>
      </c>
      <c r="P83" s="60">
        <v>2.87</v>
      </c>
      <c r="Q83" s="60">
        <v>13.23</v>
      </c>
      <c r="R83" s="194"/>
      <c r="S83" s="194"/>
      <c r="T83" s="194"/>
      <c r="U83" s="194"/>
    </row>
    <row r="84" spans="1:21" s="12" customFormat="1" ht="15">
      <c r="A84" s="197" t="s">
        <v>1088</v>
      </c>
      <c r="B84" s="60">
        <v>11.52</v>
      </c>
      <c r="C84" s="60">
        <v>13.94</v>
      </c>
      <c r="D84" s="60">
        <v>25.46</v>
      </c>
      <c r="E84" s="60">
        <v>7.87</v>
      </c>
      <c r="F84" s="60">
        <v>0.23</v>
      </c>
      <c r="G84" s="214" t="s">
        <v>36</v>
      </c>
      <c r="H84" s="60">
        <v>5.85</v>
      </c>
      <c r="I84" s="60">
        <v>5.19</v>
      </c>
      <c r="J84" s="60">
        <v>0.90</v>
      </c>
      <c r="K84" s="60">
        <v>327.77</v>
      </c>
      <c r="L84" s="60">
        <v>35.22</v>
      </c>
      <c r="M84" s="60">
        <v>99.10</v>
      </c>
      <c r="N84" s="60">
        <v>1.1000000000000001</v>
      </c>
      <c r="O84" s="60">
        <v>0</v>
      </c>
      <c r="P84" s="60">
        <v>2.95</v>
      </c>
      <c r="Q84" s="60">
        <v>14.22</v>
      </c>
      <c r="R84" s="194"/>
      <c r="S84" s="194"/>
      <c r="T84" s="194"/>
      <c r="U84" s="194"/>
    </row>
    <row r="85" spans="1:21" s="12" customFormat="1" ht="15">
      <c r="A85" s="197" t="s">
        <v>1089</v>
      </c>
      <c r="B85" s="60">
        <v>13.09</v>
      </c>
      <c r="C85" s="60">
        <v>14.43</v>
      </c>
      <c r="D85" s="60">
        <v>27.53</v>
      </c>
      <c r="E85" s="60">
        <v>7.47</v>
      </c>
      <c r="F85" s="60">
        <v>0.24</v>
      </c>
      <c r="G85" s="214" t="s">
        <v>36</v>
      </c>
      <c r="H85" s="60">
        <v>5.99</v>
      </c>
      <c r="I85" s="60">
        <v>5.45</v>
      </c>
      <c r="J85" s="60">
        <v>0.83</v>
      </c>
      <c r="K85" s="60">
        <v>323.38</v>
      </c>
      <c r="L85" s="60">
        <v>35.44</v>
      </c>
      <c r="M85" s="60">
        <v>99.10</v>
      </c>
      <c r="N85" s="60">
        <v>0.40</v>
      </c>
      <c r="O85" s="60">
        <v>0</v>
      </c>
      <c r="P85" s="60">
        <v>3.01</v>
      </c>
      <c r="Q85" s="60">
        <v>14.91</v>
      </c>
      <c r="R85" s="194"/>
      <c r="S85" s="194"/>
      <c r="T85" s="194"/>
      <c r="U85" s="194"/>
    </row>
    <row r="86" spans="1:21" s="12" customFormat="1" ht="15">
      <c r="A86" s="197" t="s">
        <v>1090</v>
      </c>
      <c r="B86" s="60">
        <v>14.47</v>
      </c>
      <c r="C86" s="60">
        <v>15.21</v>
      </c>
      <c r="D86" s="60">
        <v>29.69</v>
      </c>
      <c r="E86" s="60">
        <v>7.5</v>
      </c>
      <c r="F86" s="60">
        <v>0.05</v>
      </c>
      <c r="G86" s="214" t="s">
        <v>36</v>
      </c>
      <c r="H86" s="60">
        <v>6.33</v>
      </c>
      <c r="I86" s="60">
        <v>5.77</v>
      </c>
      <c r="J86" s="60">
        <v>1.21</v>
      </c>
      <c r="K86" s="60">
        <v>319.76</v>
      </c>
      <c r="L86" s="60">
        <v>35.61</v>
      </c>
      <c r="M86" s="60">
        <v>99.10</v>
      </c>
      <c r="N86" s="60">
        <v>0.5</v>
      </c>
      <c r="O86" s="60">
        <v>0</v>
      </c>
      <c r="P86" s="60">
        <v>3.06</v>
      </c>
      <c r="Q86" s="60">
        <v>14.69</v>
      </c>
      <c r="R86" s="194"/>
      <c r="S86" s="194"/>
      <c r="T86" s="194"/>
      <c r="U86" s="194"/>
    </row>
    <row r="87" spans="1:21" s="12" customFormat="1" ht="15">
      <c r="A87" s="197" t="s">
        <v>1091</v>
      </c>
      <c r="B87" s="60">
        <v>15.36</v>
      </c>
      <c r="C87" s="60">
        <v>15.84</v>
      </c>
      <c r="D87" s="60">
        <v>31.20</v>
      </c>
      <c r="E87" s="60">
        <v>7.55</v>
      </c>
      <c r="F87" s="60">
        <v>0.17</v>
      </c>
      <c r="G87" s="214" t="s">
        <v>36</v>
      </c>
      <c r="H87" s="60">
        <v>6.33</v>
      </c>
      <c r="I87" s="60">
        <v>6.07</v>
      </c>
      <c r="J87" s="60">
        <v>0.69</v>
      </c>
      <c r="K87" s="60">
        <v>348.46</v>
      </c>
      <c r="L87" s="9" t="s">
        <v>36</v>
      </c>
      <c r="M87" s="60">
        <v>99.10</v>
      </c>
      <c r="N87" s="60">
        <v>0.70</v>
      </c>
      <c r="O87" s="60">
        <v>0</v>
      </c>
      <c r="P87" s="60">
        <v>3.13</v>
      </c>
      <c r="Q87" s="60">
        <v>14.5</v>
      </c>
      <c r="R87" s="194"/>
      <c r="S87" s="194"/>
      <c r="T87" s="194"/>
      <c r="U87" s="194"/>
    </row>
    <row r="88" spans="1:21" s="12" customFormat="1" ht="15">
      <c r="A88" s="197" t="s">
        <v>1092</v>
      </c>
      <c r="B88" s="60">
        <v>16.649999999999999</v>
      </c>
      <c r="C88" s="60">
        <v>15.79</v>
      </c>
      <c r="D88" s="60">
        <v>32.44</v>
      </c>
      <c r="E88" s="60">
        <v>3.43</v>
      </c>
      <c r="F88" s="60">
        <v>0.24</v>
      </c>
      <c r="G88" s="214" t="s">
        <v>36</v>
      </c>
      <c r="H88" s="60">
        <v>6.33</v>
      </c>
      <c r="I88" s="60">
        <v>6.31</v>
      </c>
      <c r="J88" s="60">
        <v>1.08</v>
      </c>
      <c r="K88" s="60">
        <v>349.22</v>
      </c>
      <c r="L88" s="9" t="s">
        <v>36</v>
      </c>
      <c r="M88" s="60">
        <v>99.10</v>
      </c>
      <c r="N88" s="60">
        <v>0.60</v>
      </c>
      <c r="O88" s="60">
        <v>0</v>
      </c>
      <c r="P88" s="60">
        <v>3.18</v>
      </c>
      <c r="Q88" s="60">
        <v>12.73</v>
      </c>
      <c r="R88" s="194"/>
      <c r="S88" s="194"/>
      <c r="T88" s="194"/>
      <c r="U88" s="194"/>
    </row>
    <row r="89" spans="1:21" s="12" customFormat="1" ht="15">
      <c r="A89" s="197" t="s">
        <v>1093</v>
      </c>
      <c r="B89" s="60">
        <v>17.72</v>
      </c>
      <c r="C89" s="60">
        <v>16.12</v>
      </c>
      <c r="D89" s="60">
        <v>33.840000000000003</v>
      </c>
      <c r="E89" s="60">
        <v>6.96</v>
      </c>
      <c r="F89" s="60">
        <v>0.47</v>
      </c>
      <c r="G89" s="214" t="s">
        <v>36</v>
      </c>
      <c r="H89" s="60">
        <v>7.27</v>
      </c>
      <c r="I89" s="60">
        <v>6.61</v>
      </c>
      <c r="J89" s="60">
        <v>1.58</v>
      </c>
      <c r="K89" s="60">
        <v>353.67</v>
      </c>
      <c r="L89" s="9" t="s">
        <v>36</v>
      </c>
      <c r="M89" s="60">
        <v>99.08</v>
      </c>
      <c r="N89" s="60">
        <v>0.70</v>
      </c>
      <c r="O89" s="60">
        <v>0</v>
      </c>
      <c r="P89" s="60">
        <v>3.26</v>
      </c>
      <c r="Q89" s="60">
        <v>11.49</v>
      </c>
      <c r="R89" s="194"/>
      <c r="S89" s="194"/>
      <c r="T89" s="194"/>
      <c r="U89" s="194"/>
    </row>
    <row r="90" spans="1:21" s="12" customFormat="1" ht="15">
      <c r="A90" s="197" t="s">
        <v>1094</v>
      </c>
      <c r="B90" s="60">
        <v>19.149999999999999</v>
      </c>
      <c r="C90" s="60">
        <v>16.43</v>
      </c>
      <c r="D90" s="60">
        <v>35.58</v>
      </c>
      <c r="E90" s="60">
        <v>7.65</v>
      </c>
      <c r="F90" s="60">
        <v>0.79</v>
      </c>
      <c r="G90" s="214" t="s">
        <v>36</v>
      </c>
      <c r="H90" s="60">
        <v>9.59</v>
      </c>
      <c r="I90" s="60">
        <v>6.90</v>
      </c>
      <c r="J90" s="60">
        <v>1.17</v>
      </c>
      <c r="K90" s="60">
        <v>343.63</v>
      </c>
      <c r="L90" s="9" t="s">
        <v>36</v>
      </c>
      <c r="M90" s="60">
        <v>99.09</v>
      </c>
      <c r="N90" s="60">
        <v>0.40</v>
      </c>
      <c r="O90" s="60">
        <v>0</v>
      </c>
      <c r="P90" s="60">
        <v>3.34</v>
      </c>
      <c r="Q90" s="60">
        <v>11.21</v>
      </c>
      <c r="R90" s="194"/>
      <c r="S90" s="194"/>
      <c r="T90" s="194"/>
      <c r="U90" s="194"/>
    </row>
    <row r="91" spans="1:21" s="12" customFormat="1" ht="15">
      <c r="A91" s="197" t="s">
        <v>1095</v>
      </c>
      <c r="B91" s="60">
        <v>20.58</v>
      </c>
      <c r="C91" s="60">
        <v>16.28</v>
      </c>
      <c r="D91" s="60">
        <v>36.86</v>
      </c>
      <c r="E91" s="60">
        <v>7.70</v>
      </c>
      <c r="F91" s="60">
        <v>0.42</v>
      </c>
      <c r="G91" s="214" t="s">
        <v>36</v>
      </c>
      <c r="H91" s="60">
        <v>9.59</v>
      </c>
      <c r="I91" s="60">
        <v>7.41</v>
      </c>
      <c r="J91" s="60">
        <v>1.1399999999999999</v>
      </c>
      <c r="K91" s="60">
        <v>333.92</v>
      </c>
      <c r="L91" s="9" t="s">
        <v>36</v>
      </c>
      <c r="M91" s="60">
        <v>99.09</v>
      </c>
      <c r="N91" s="60">
        <v>0.40</v>
      </c>
      <c r="O91" s="60">
        <v>0</v>
      </c>
      <c r="P91" s="60">
        <v>3.40</v>
      </c>
      <c r="Q91" s="60">
        <v>11.31</v>
      </c>
      <c r="R91" s="194"/>
      <c r="S91" s="194"/>
      <c r="T91" s="194"/>
      <c r="U91" s="194"/>
    </row>
    <row r="92" spans="1:21" s="12" customFormat="1" ht="15">
      <c r="A92" s="197" t="s">
        <v>1096</v>
      </c>
      <c r="B92" s="60">
        <v>21.37</v>
      </c>
      <c r="C92" s="60">
        <v>15.95</v>
      </c>
      <c r="D92" s="60">
        <v>37.32</v>
      </c>
      <c r="E92" s="60">
        <v>7.89</v>
      </c>
      <c r="F92" s="60">
        <v>0.38</v>
      </c>
      <c r="G92" s="214" t="s">
        <v>36</v>
      </c>
      <c r="H92" s="60">
        <v>9.59</v>
      </c>
      <c r="I92" s="60">
        <v>8.32</v>
      </c>
      <c r="J92" s="60">
        <v>1.22</v>
      </c>
      <c r="K92" s="60">
        <v>326.24</v>
      </c>
      <c r="L92" s="9" t="s">
        <v>36</v>
      </c>
      <c r="M92" s="60">
        <v>99.10</v>
      </c>
      <c r="N92" s="60">
        <v>0.10</v>
      </c>
      <c r="O92" s="60">
        <v>0</v>
      </c>
      <c r="P92" s="60">
        <v>3.42</v>
      </c>
      <c r="Q92" s="60">
        <v>11.32</v>
      </c>
      <c r="R92" s="194"/>
      <c r="S92" s="194"/>
      <c r="T92" s="194"/>
      <c r="U92" s="194"/>
    </row>
    <row r="93" spans="1:21" s="12" customFormat="1" ht="15">
      <c r="A93" s="197" t="s">
        <v>1097</v>
      </c>
      <c r="B93" s="60">
        <v>21.97</v>
      </c>
      <c r="C93" s="60">
        <v>15.84</v>
      </c>
      <c r="D93" s="60">
        <v>37.81</v>
      </c>
      <c r="E93" s="60">
        <v>8.17</v>
      </c>
      <c r="F93" s="60">
        <v>0.56000000000000005</v>
      </c>
      <c r="G93" s="214" t="s">
        <v>36</v>
      </c>
      <c r="H93" s="60">
        <v>13.51</v>
      </c>
      <c r="I93" s="60">
        <v>9.07</v>
      </c>
      <c r="J93" s="60">
        <v>1.52</v>
      </c>
      <c r="K93" s="60">
        <v>336.17</v>
      </c>
      <c r="L93" s="9" t="s">
        <v>36</v>
      </c>
      <c r="M93" s="60">
        <v>99.08</v>
      </c>
      <c r="N93" s="60">
        <v>0.5</v>
      </c>
      <c r="O93" s="60">
        <v>0</v>
      </c>
      <c r="P93" s="60">
        <v>3.46</v>
      </c>
      <c r="Q93" s="60">
        <v>11.39</v>
      </c>
      <c r="R93" s="194"/>
      <c r="S93" s="194"/>
      <c r="T93" s="194"/>
      <c r="U93" s="194"/>
    </row>
    <row r="94" spans="1:21" s="12" customFormat="1" ht="15">
      <c r="A94" s="197" t="s">
        <v>1098</v>
      </c>
      <c r="B94" s="60">
        <v>22.40</v>
      </c>
      <c r="C94" s="60">
        <v>15.91</v>
      </c>
      <c r="D94" s="60">
        <v>38.31</v>
      </c>
      <c r="E94" s="60">
        <v>8.10</v>
      </c>
      <c r="F94" s="60">
        <v>0.42</v>
      </c>
      <c r="G94" s="214" t="s">
        <v>36</v>
      </c>
      <c r="H94" s="60">
        <v>23.16</v>
      </c>
      <c r="I94" s="60">
        <v>9.4499999999999993</v>
      </c>
      <c r="J94" s="60">
        <v>1.28</v>
      </c>
      <c r="K94" s="60">
        <v>326.55</v>
      </c>
      <c r="L94" s="9" t="s">
        <v>36</v>
      </c>
      <c r="M94" s="60">
        <v>99.05</v>
      </c>
      <c r="N94" s="60">
        <v>0.5</v>
      </c>
      <c r="O94" s="60">
        <v>0</v>
      </c>
      <c r="P94" s="60">
        <v>3.48</v>
      </c>
      <c r="Q94" s="60">
        <v>11.60</v>
      </c>
      <c r="R94" s="194"/>
      <c r="S94" s="194"/>
      <c r="T94" s="194"/>
      <c r="U94" s="194"/>
    </row>
    <row r="95" spans="1:21" s="12" customFormat="1" ht="15">
      <c r="A95" s="197" t="s">
        <v>1099</v>
      </c>
      <c r="B95" s="60">
        <v>22.47</v>
      </c>
      <c r="C95" s="60">
        <v>15.91</v>
      </c>
      <c r="D95" s="60">
        <v>38.380000000000003</v>
      </c>
      <c r="E95" s="60">
        <v>8.26</v>
      </c>
      <c r="F95" s="60">
        <v>0.17</v>
      </c>
      <c r="G95" s="214" t="s">
        <v>36</v>
      </c>
      <c r="H95" s="60">
        <v>23.16</v>
      </c>
      <c r="I95" s="60">
        <v>9.7100000000000009</v>
      </c>
      <c r="J95" s="60">
        <v>1.5</v>
      </c>
      <c r="K95" s="60">
        <v>330.97</v>
      </c>
      <c r="L95" s="9" t="s">
        <v>36</v>
      </c>
      <c r="M95" s="60">
        <v>98.81</v>
      </c>
      <c r="N95" s="60">
        <v>0.70</v>
      </c>
      <c r="O95" s="60">
        <v>0</v>
      </c>
      <c r="P95" s="60">
        <v>3.48</v>
      </c>
      <c r="Q95" s="60">
        <v>12.20</v>
      </c>
      <c r="R95" s="194"/>
      <c r="S95" s="194"/>
      <c r="T95" s="194"/>
      <c r="U95" s="194"/>
    </row>
    <row r="96" spans="1:26" s="12" customFormat="1" ht="15">
      <c r="A96" s="197" t="s">
        <v>1100</v>
      </c>
      <c r="B96" s="60">
        <v>21.92</v>
      </c>
      <c r="C96" s="60">
        <v>16.079999999999998</v>
      </c>
      <c r="D96" s="60">
        <v>38</v>
      </c>
      <c r="E96" s="60">
        <v>8.2100000000000009</v>
      </c>
      <c r="F96" s="60">
        <v>0.39</v>
      </c>
      <c r="G96" s="214" t="s">
        <v>36</v>
      </c>
      <c r="H96" s="60">
        <v>23.16</v>
      </c>
      <c r="I96" s="60">
        <v>9.81</v>
      </c>
      <c r="J96" s="60">
        <v>1.61</v>
      </c>
      <c r="K96" s="60">
        <v>342.15</v>
      </c>
      <c r="L96" s="9" t="s">
        <v>36</v>
      </c>
      <c r="M96" s="60">
        <v>98.19</v>
      </c>
      <c r="N96" s="60">
        <v>0.80</v>
      </c>
      <c r="O96" s="60">
        <v>0</v>
      </c>
      <c r="P96" s="60">
        <v>3.48</v>
      </c>
      <c r="Q96" s="60">
        <v>14.18</v>
      </c>
      <c r="R96" s="194"/>
      <c r="S96" s="194"/>
      <c r="T96" s="194"/>
      <c r="U96" s="194"/>
      <c r="Z96" s="105"/>
    </row>
    <row r="97" spans="1:21" s="12" customFormat="1" ht="15">
      <c r="A97" s="197" t="s">
        <v>1101</v>
      </c>
      <c r="B97" s="60">
        <v>20.81</v>
      </c>
      <c r="C97" s="60">
        <v>16.43</v>
      </c>
      <c r="D97" s="60">
        <v>37.24</v>
      </c>
      <c r="E97" s="60">
        <v>7.53</v>
      </c>
      <c r="F97" s="60">
        <v>0.86</v>
      </c>
      <c r="G97" s="214" t="s">
        <v>36</v>
      </c>
      <c r="H97" s="60">
        <v>23.91</v>
      </c>
      <c r="I97" s="60">
        <v>9.85</v>
      </c>
      <c r="J97" s="60">
        <v>1.97</v>
      </c>
      <c r="K97" s="60">
        <v>354.84</v>
      </c>
      <c r="L97" s="9" t="s">
        <v>36</v>
      </c>
      <c r="M97" s="60">
        <v>97.30</v>
      </c>
      <c r="N97" s="60">
        <v>0.70</v>
      </c>
      <c r="O97" s="60">
        <v>0</v>
      </c>
      <c r="P97" s="60">
        <v>3.46</v>
      </c>
      <c r="Q97" s="60">
        <v>16.02</v>
      </c>
      <c r="R97" s="194"/>
      <c r="S97" s="194"/>
      <c r="T97" s="194"/>
      <c r="U97" s="194"/>
    </row>
    <row r="98" spans="1:21" s="12" customFormat="1" ht="15">
      <c r="A98" s="197" t="s">
        <v>1102</v>
      </c>
      <c r="B98" s="60">
        <v>19.61</v>
      </c>
      <c r="C98" s="60">
        <v>16.809999999999999</v>
      </c>
      <c r="D98" s="60">
        <v>36.42</v>
      </c>
      <c r="E98" s="60">
        <v>7.48</v>
      </c>
      <c r="F98" s="60">
        <v>0.5</v>
      </c>
      <c r="G98" s="214" t="s">
        <v>36</v>
      </c>
      <c r="H98" s="60">
        <v>25.76</v>
      </c>
      <c r="I98" s="60">
        <v>9.6199999999999992</v>
      </c>
      <c r="J98" s="60">
        <v>1.61</v>
      </c>
      <c r="K98" s="60">
        <v>346.75</v>
      </c>
      <c r="L98" s="9" t="s">
        <v>36</v>
      </c>
      <c r="M98" s="60">
        <v>97.39</v>
      </c>
      <c r="N98" s="60">
        <v>0.90</v>
      </c>
      <c r="O98" s="60">
        <v>0.20</v>
      </c>
      <c r="P98" s="60">
        <v>3.43</v>
      </c>
      <c r="Q98" s="60">
        <v>16.329999999999998</v>
      </c>
      <c r="R98" s="194"/>
      <c r="S98" s="194"/>
      <c r="T98" s="194"/>
      <c r="U98" s="194"/>
    </row>
    <row r="99" spans="1:21" s="12" customFormat="1" ht="15">
      <c r="A99" s="197" t="s">
        <v>1103</v>
      </c>
      <c r="B99" s="60">
        <v>18.16</v>
      </c>
      <c r="C99" s="60">
        <v>16.68</v>
      </c>
      <c r="D99" s="60">
        <v>34.840000000000003</v>
      </c>
      <c r="E99" s="60">
        <v>7.48</v>
      </c>
      <c r="F99" s="60">
        <v>0.05</v>
      </c>
      <c r="G99" s="214" t="s">
        <v>36</v>
      </c>
      <c r="H99" s="60">
        <v>25.76</v>
      </c>
      <c r="I99" s="60">
        <v>9.3699999999999992</v>
      </c>
      <c r="J99" s="60">
        <v>1.68</v>
      </c>
      <c r="K99" s="60">
        <v>350.44</v>
      </c>
      <c r="L99" s="9" t="s">
        <v>36</v>
      </c>
      <c r="M99" s="60">
        <v>97.55</v>
      </c>
      <c r="N99" s="60">
        <v>0.5</v>
      </c>
      <c r="O99" s="60">
        <v>0</v>
      </c>
      <c r="P99" s="60">
        <v>3.40</v>
      </c>
      <c r="Q99" s="60">
        <v>15.74</v>
      </c>
      <c r="R99" s="194"/>
      <c r="S99" s="194"/>
      <c r="T99" s="194"/>
      <c r="U99" s="194"/>
    </row>
    <row r="100" spans="1:33" s="12" customFormat="1" ht="15">
      <c r="A100" s="197" t="s">
        <v>1104</v>
      </c>
      <c r="B100" s="60">
        <v>17.03</v>
      </c>
      <c r="C100" s="60">
        <v>16.440000000000001</v>
      </c>
      <c r="D100" s="60">
        <v>33.47</v>
      </c>
      <c r="E100" s="60">
        <v>7.46</v>
      </c>
      <c r="F100" s="214" t="s">
        <v>36</v>
      </c>
      <c r="G100" s="214" t="s">
        <v>36</v>
      </c>
      <c r="H100" s="60">
        <v>25.76</v>
      </c>
      <c r="I100" s="60">
        <v>9.2200000000000006</v>
      </c>
      <c r="J100" s="60">
        <v>0.74</v>
      </c>
      <c r="K100" s="60">
        <v>321.54000000000002</v>
      </c>
      <c r="L100" s="9" t="s">
        <v>36</v>
      </c>
      <c r="M100" s="60">
        <v>98.30</v>
      </c>
      <c r="N100" s="60">
        <v>0.20</v>
      </c>
      <c r="O100" s="60">
        <v>0</v>
      </c>
      <c r="P100" s="60">
        <v>3.36</v>
      </c>
      <c r="Q100" s="60">
        <v>15.30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1105</v>
      </c>
      <c r="B101" s="60">
        <v>16.32</v>
      </c>
      <c r="C101" s="60">
        <v>16.25</v>
      </c>
      <c r="D101" s="60">
        <v>32.57</v>
      </c>
      <c r="E101" s="60">
        <v>7.65</v>
      </c>
      <c r="F101" s="214" t="s">
        <v>36</v>
      </c>
      <c r="G101" s="214" t="s">
        <v>36</v>
      </c>
      <c r="H101" s="60">
        <v>26.24</v>
      </c>
      <c r="I101" s="60">
        <v>9.02</v>
      </c>
      <c r="J101" s="60">
        <v>1.65</v>
      </c>
      <c r="K101" s="60">
        <v>335.73</v>
      </c>
      <c r="L101" s="9" t="s">
        <v>36</v>
      </c>
      <c r="M101" s="60">
        <v>97.96</v>
      </c>
      <c r="N101" s="60">
        <v>0.70</v>
      </c>
      <c r="O101" s="60">
        <v>0</v>
      </c>
      <c r="P101" s="60">
        <v>3.33</v>
      </c>
      <c r="Q101" s="60">
        <v>14.86</v>
      </c>
      <c r="R101" s="194"/>
      <c r="S101" s="194"/>
      <c r="T101" s="194"/>
      <c r="U101" s="194"/>
    </row>
    <row r="102" spans="1:21" s="12" customFormat="1" ht="15">
      <c r="A102" s="197" t="s">
        <v>1106</v>
      </c>
      <c r="B102" s="60">
        <v>15.49</v>
      </c>
      <c r="C102" s="60">
        <v>16.22</v>
      </c>
      <c r="D102" s="60">
        <v>31.71</v>
      </c>
      <c r="E102" s="60">
        <v>7.64</v>
      </c>
      <c r="F102" s="60">
        <v>0.22</v>
      </c>
      <c r="G102" s="214" t="s">
        <v>36</v>
      </c>
      <c r="H102" s="60">
        <v>27.43</v>
      </c>
      <c r="I102" s="60">
        <v>8.76</v>
      </c>
      <c r="J102" s="60">
        <v>1.60</v>
      </c>
      <c r="K102" s="60">
        <v>350.81</v>
      </c>
      <c r="L102" s="9" t="s">
        <v>36</v>
      </c>
      <c r="M102" s="60">
        <v>97.90</v>
      </c>
      <c r="N102" s="60">
        <v>0.90</v>
      </c>
      <c r="O102" s="60">
        <v>0</v>
      </c>
      <c r="P102" s="60">
        <v>3.28</v>
      </c>
      <c r="Q102" s="60">
        <v>13.36</v>
      </c>
      <c r="R102" s="194"/>
      <c r="S102" s="194"/>
      <c r="T102" s="194"/>
      <c r="U102" s="194"/>
    </row>
    <row r="103" spans="1:21" s="12" customFormat="1" ht="15">
      <c r="A103" s="197" t="s">
        <v>1107</v>
      </c>
      <c r="B103" s="60">
        <v>14.93</v>
      </c>
      <c r="C103" s="60">
        <v>15.98</v>
      </c>
      <c r="D103" s="60">
        <v>30.91</v>
      </c>
      <c r="E103" s="60">
        <v>7.25</v>
      </c>
      <c r="F103" s="60">
        <v>1.25</v>
      </c>
      <c r="G103" s="214" t="s">
        <v>36</v>
      </c>
      <c r="H103" s="60">
        <v>27.43</v>
      </c>
      <c r="I103" s="60">
        <v>8.68</v>
      </c>
      <c r="J103" s="60">
        <v>1.28</v>
      </c>
      <c r="K103" s="60">
        <v>358.61</v>
      </c>
      <c r="L103" s="9" t="s">
        <v>36</v>
      </c>
      <c r="M103" s="60">
        <v>98.02</v>
      </c>
      <c r="N103" s="60">
        <v>0.80</v>
      </c>
      <c r="O103" s="60">
        <v>0</v>
      </c>
      <c r="P103" s="60">
        <v>3.25</v>
      </c>
      <c r="Q103" s="60">
        <v>11.06</v>
      </c>
      <c r="R103" s="194"/>
      <c r="S103" s="194"/>
      <c r="T103" s="194"/>
      <c r="U103" s="194"/>
    </row>
    <row r="104" spans="1:21" s="12" customFormat="1" ht="15">
      <c r="A104" s="197" t="s">
        <v>1108</v>
      </c>
      <c r="B104" s="60">
        <v>14.48</v>
      </c>
      <c r="C104" s="60">
        <v>15.58</v>
      </c>
      <c r="D104" s="60">
        <v>30.06</v>
      </c>
      <c r="E104" s="60">
        <v>4.0599999999999996</v>
      </c>
      <c r="F104" s="60">
        <v>0.31</v>
      </c>
      <c r="G104" s="214" t="s">
        <v>36</v>
      </c>
      <c r="H104" s="60">
        <v>27.43</v>
      </c>
      <c r="I104" s="60">
        <v>8.39</v>
      </c>
      <c r="J104" s="60">
        <v>1.28</v>
      </c>
      <c r="K104" s="60">
        <v>1.25</v>
      </c>
      <c r="L104" s="9" t="s">
        <v>36</v>
      </c>
      <c r="M104" s="60">
        <v>97.90</v>
      </c>
      <c r="N104" s="60">
        <v>0.80</v>
      </c>
      <c r="O104" s="60">
        <v>0</v>
      </c>
      <c r="P104" s="60">
        <v>3.23</v>
      </c>
      <c r="Q104" s="60">
        <v>9.7200000000000006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1.95</v>
      </c>
      <c r="C106" s="67">
        <f>MIN(C9:C104)</f>
        <v>9.4399999999999995</v>
      </c>
      <c r="D106" s="67">
        <f t="shared" si="0" ref="D106:Q106">MIN(D9:D104)</f>
        <v>13.07</v>
      </c>
      <c r="E106" s="67">
        <f t="shared" si="0"/>
        <v>3.4300000000000002</v>
      </c>
      <c r="F106" s="67">
        <f t="shared" si="0"/>
        <v>0.050000000000000003</v>
      </c>
      <c r="G106" s="67">
        <f t="shared" si="0"/>
        <v>0</v>
      </c>
      <c r="H106" s="67">
        <f t="shared" si="0"/>
        <v>5.8499999999999996</v>
      </c>
      <c r="I106" s="67">
        <f t="shared" si="0"/>
        <v>3.9900000000000002</v>
      </c>
      <c r="J106" s="67">
        <f t="shared" si="0"/>
        <v>0.01</v>
      </c>
      <c r="K106" s="67">
        <f t="shared" si="0"/>
        <v>0.02</v>
      </c>
      <c r="L106" s="67">
        <f t="shared" si="0"/>
        <v>34.079999999999998</v>
      </c>
      <c r="M106" s="67">
        <f t="shared" si="0"/>
        <v>74.069999999999993</v>
      </c>
      <c r="N106" s="67">
        <f t="shared" si="0"/>
        <v>0.10000000000000001</v>
      </c>
      <c r="O106" s="67">
        <f t="shared" si="0"/>
        <v>0</v>
      </c>
      <c r="P106" s="67">
        <f t="shared" si="0"/>
        <v>2.5600000000000001</v>
      </c>
      <c r="Q106" s="67">
        <f t="shared" si="0"/>
        <v>5.3600000000000003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22.469999999999999</v>
      </c>
      <c r="C107" s="66">
        <f t="shared" si="1" ref="C107:Q107">MAX(C9:C104)</f>
        <v>16.809999999999999</v>
      </c>
      <c r="D107" s="66">
        <f t="shared" si="1"/>
        <v>38.380000000000003</v>
      </c>
      <c r="E107" s="66">
        <f t="shared" si="1"/>
        <v>9.8499999999999996</v>
      </c>
      <c r="F107" s="66">
        <f t="shared" si="1"/>
        <v>1.71</v>
      </c>
      <c r="G107" s="66">
        <f t="shared" si="1"/>
        <v>0</v>
      </c>
      <c r="H107" s="66">
        <f t="shared" si="1"/>
        <v>27.43</v>
      </c>
      <c r="I107" s="66">
        <f t="shared" si="1"/>
        <v>9.8499999999999996</v>
      </c>
      <c r="J107" s="66">
        <f t="shared" si="1"/>
        <v>2.3500000000000001</v>
      </c>
      <c r="K107" s="66">
        <f t="shared" si="1"/>
        <v>359.35000000000002</v>
      </c>
      <c r="L107" s="66">
        <f t="shared" si="1"/>
        <v>43.82</v>
      </c>
      <c r="M107" s="66">
        <f t="shared" si="1"/>
        <v>99.099999999999994</v>
      </c>
      <c r="N107" s="66">
        <f t="shared" si="1"/>
        <v>981.20000000000005</v>
      </c>
      <c r="O107" s="66">
        <f t="shared" si="1"/>
        <v>5.2000000000000002</v>
      </c>
      <c r="P107" s="66">
        <f t="shared" si="1"/>
        <v>3.48</v>
      </c>
      <c r="Q107" s="66">
        <f t="shared" si="1"/>
        <v>20.170000000000002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7.997395833333333</v>
      </c>
      <c r="C108" s="67">
        <f t="shared" si="2" ref="C108:Q108">AVERAGE(C9:C104)</f>
        <v>12.076145833333335</v>
      </c>
      <c r="D108" s="67">
        <f t="shared" si="2"/>
        <v>20.073854166666667</v>
      </c>
      <c r="E108" s="67">
        <f t="shared" si="2"/>
        <v>7.6668749999999983</v>
      </c>
      <c r="F108" s="67">
        <f t="shared" si="2"/>
        <v>0.56233333333333335</v>
      </c>
      <c r="G108" s="67" t="e">
        <f t="shared" si="2"/>
        <v>#DIV/0!</v>
      </c>
      <c r="H108" s="67">
        <f t="shared" si="2"/>
        <v>13.442500000000003</v>
      </c>
      <c r="I108" s="67">
        <f t="shared" si="2"/>
        <v>5.641145833333332</v>
      </c>
      <c r="J108" s="67">
        <f t="shared" si="2"/>
        <v>1.015625</v>
      </c>
      <c r="K108" s="67">
        <f t="shared" si="2"/>
        <v>161.07385416666668</v>
      </c>
      <c r="L108" s="67">
        <f t="shared" si="2"/>
        <v>35.477727272727279</v>
      </c>
      <c r="M108" s="67">
        <f t="shared" si="2"/>
        <v>93.633020833333333</v>
      </c>
      <c r="N108" s="67">
        <f t="shared" si="2"/>
        <v>106.56923076923076</v>
      </c>
      <c r="O108" s="67">
        <f t="shared" si="2"/>
        <v>0.14166666666666664</v>
      </c>
      <c r="P108" s="67">
        <f t="shared" si="2"/>
        <v>2.8776041666666647</v>
      </c>
      <c r="Q108" s="67">
        <f t="shared" si="2"/>
        <v>11.677291666666664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5.7307176449269601</v>
      </c>
      <c r="C109" s="67">
        <f t="shared" si="3" ref="C109:Q109">STDEV(C9:C104)</f>
        <v>2.2337376606046306</v>
      </c>
      <c r="D109" s="67">
        <f t="shared" si="3"/>
        <v>7.7053155090689396</v>
      </c>
      <c r="E109" s="67">
        <f t="shared" si="3"/>
        <v>1.2876026785832395</v>
      </c>
      <c r="F109" s="67">
        <f t="shared" si="3"/>
        <v>0.38376622682817269</v>
      </c>
      <c r="G109" s="67" t="e">
        <f t="shared" si="3"/>
        <v>#DIV/0!</v>
      </c>
      <c r="H109" s="67">
        <f t="shared" si="3"/>
        <v>5.9726453629509084</v>
      </c>
      <c r="I109" s="67">
        <f t="shared" si="3"/>
        <v>1.553249137701981</v>
      </c>
      <c r="J109" s="67">
        <f t="shared" si="3"/>
        <v>0.51154011521451981</v>
      </c>
      <c r="K109" s="67">
        <f t="shared" si="3"/>
        <v>129.01098393359905</v>
      </c>
      <c r="L109" s="67">
        <f t="shared" si="3"/>
        <v>2.2139254769110939</v>
      </c>
      <c r="M109" s="67">
        <f t="shared" si="3"/>
        <v>8.1223451526334927</v>
      </c>
      <c r="N109" s="67">
        <f t="shared" si="3"/>
        <v>188.05931906496815</v>
      </c>
      <c r="O109" s="67">
        <f t="shared" si="3"/>
        <v>0.71017665210353298</v>
      </c>
      <c r="P109" s="67">
        <f t="shared" si="3"/>
        <v>0.2779691190408583</v>
      </c>
      <c r="Q109" s="67">
        <f t="shared" si="3"/>
        <v>4.1680975034475498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>COUNT(F9:F104)+6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COUNT(L9:L104)+74</f>
        <v>96</v>
      </c>
      <c r="M110" s="66">
        <f t="shared" si="4"/>
        <v>96</v>
      </c>
      <c r="N110" s="66">
        <f>COUNT(N9:N104)+2</f>
        <v>93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32e4df-a963-44ee-864a-68ce914bc433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A9" sqref="A9:Q104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10-07-2022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1109</v>
      </c>
      <c r="B9" s="60">
        <v>13.51</v>
      </c>
      <c r="C9" s="60">
        <v>15.58</v>
      </c>
      <c r="D9" s="60">
        <v>29.09</v>
      </c>
      <c r="E9" s="60">
        <v>7.71</v>
      </c>
      <c r="F9" s="60">
        <v>0.21</v>
      </c>
      <c r="G9" s="214" t="s">
        <v>36</v>
      </c>
      <c r="H9" s="60">
        <v>25.31</v>
      </c>
      <c r="I9" s="60">
        <v>8.18</v>
      </c>
      <c r="J9" s="60">
        <v>1.79</v>
      </c>
      <c r="K9" s="60">
        <v>359.53</v>
      </c>
      <c r="L9" s="60">
        <v>42.43</v>
      </c>
      <c r="M9" s="60">
        <v>97.15</v>
      </c>
      <c r="N9" s="60">
        <v>0.90</v>
      </c>
      <c r="O9" s="60">
        <v>0</v>
      </c>
      <c r="P9" s="60">
        <v>3.22</v>
      </c>
      <c r="Q9" s="60">
        <v>8.9600000000000009</v>
      </c>
      <c r="R9" s="194"/>
      <c r="S9" s="194"/>
      <c r="T9" s="194"/>
      <c r="U9" s="194"/>
    </row>
    <row r="10" spans="1:21" s="12" customFormat="1" ht="15">
      <c r="A10" s="197" t="s">
        <v>1110</v>
      </c>
      <c r="B10" s="60">
        <v>12.56</v>
      </c>
      <c r="C10" s="60">
        <v>15.88</v>
      </c>
      <c r="D10" s="60">
        <v>28.44</v>
      </c>
      <c r="E10" s="60">
        <v>7.93</v>
      </c>
      <c r="F10" s="60">
        <v>0.25</v>
      </c>
      <c r="G10" s="214" t="s">
        <v>36</v>
      </c>
      <c r="H10" s="60">
        <v>20.07</v>
      </c>
      <c r="I10" s="60">
        <v>8</v>
      </c>
      <c r="J10" s="60">
        <v>1.1000000000000001</v>
      </c>
      <c r="K10" s="60">
        <v>1.63</v>
      </c>
      <c r="L10" s="60">
        <v>38.520000000000003</v>
      </c>
      <c r="M10" s="60">
        <v>97.47</v>
      </c>
      <c r="N10" s="60">
        <v>0.5</v>
      </c>
      <c r="O10" s="60">
        <v>0</v>
      </c>
      <c r="P10" s="60">
        <v>3.27</v>
      </c>
      <c r="Q10" s="60">
        <v>8.4700000000000006</v>
      </c>
      <c r="R10" s="194"/>
      <c r="S10" s="194"/>
      <c r="T10" s="194"/>
      <c r="U10" s="194"/>
    </row>
    <row r="11" spans="1:21" s="12" customFormat="1" ht="15">
      <c r="A11" s="197" t="s">
        <v>1111</v>
      </c>
      <c r="B11" s="60">
        <v>12.01</v>
      </c>
      <c r="C11" s="60">
        <v>15.52</v>
      </c>
      <c r="D11" s="60">
        <v>27.53</v>
      </c>
      <c r="E11" s="60">
        <v>8.17</v>
      </c>
      <c r="F11" s="60">
        <v>0.49</v>
      </c>
      <c r="G11" s="214" t="s">
        <v>36</v>
      </c>
      <c r="H11" s="60">
        <v>20.07</v>
      </c>
      <c r="I11" s="60">
        <v>7.80</v>
      </c>
      <c r="J11" s="60">
        <v>1.02</v>
      </c>
      <c r="K11" s="60">
        <v>11.36</v>
      </c>
      <c r="L11" s="60">
        <v>38.340000000000003</v>
      </c>
      <c r="M11" s="60">
        <v>97.18</v>
      </c>
      <c r="N11" s="60">
        <v>0.70</v>
      </c>
      <c r="O11" s="60">
        <v>0</v>
      </c>
      <c r="P11" s="60">
        <v>3.30</v>
      </c>
      <c r="Q11" s="60">
        <v>8.18</v>
      </c>
      <c r="R11" s="194"/>
      <c r="S11" s="194"/>
      <c r="T11" s="194"/>
      <c r="U11" s="194"/>
    </row>
    <row r="12" spans="1:21" s="12" customFormat="1" ht="15">
      <c r="A12" s="197" t="s">
        <v>1112</v>
      </c>
      <c r="B12" s="60">
        <v>11.45</v>
      </c>
      <c r="C12" s="60">
        <v>14.96</v>
      </c>
      <c r="D12" s="60">
        <v>26.41</v>
      </c>
      <c r="E12" s="60">
        <v>8.18</v>
      </c>
      <c r="F12" s="60">
        <v>0.03</v>
      </c>
      <c r="G12" s="214" t="s">
        <v>36</v>
      </c>
      <c r="H12" s="60">
        <v>20.07</v>
      </c>
      <c r="I12" s="60">
        <v>7.52</v>
      </c>
      <c r="J12" s="60">
        <v>0.86</v>
      </c>
      <c r="K12" s="60">
        <v>17.37</v>
      </c>
      <c r="L12" s="60">
        <v>44.17</v>
      </c>
      <c r="M12" s="60">
        <v>97.53</v>
      </c>
      <c r="N12" s="60">
        <v>0.5</v>
      </c>
      <c r="O12" s="60">
        <v>0</v>
      </c>
      <c r="P12" s="60">
        <v>3.27</v>
      </c>
      <c r="Q12" s="60">
        <v>7.85</v>
      </c>
      <c r="R12" s="194"/>
      <c r="S12" s="194"/>
      <c r="T12" s="194"/>
      <c r="U12" s="194"/>
    </row>
    <row r="13" spans="1:21" s="12" customFormat="1" ht="15">
      <c r="A13" s="197" t="s">
        <v>1113</v>
      </c>
      <c r="B13" s="60">
        <v>10.92</v>
      </c>
      <c r="C13" s="60">
        <v>14.02</v>
      </c>
      <c r="D13" s="60">
        <v>24.93</v>
      </c>
      <c r="E13" s="60">
        <v>8.39</v>
      </c>
      <c r="F13" s="60">
        <v>0.32</v>
      </c>
      <c r="G13" s="214" t="s">
        <v>36</v>
      </c>
      <c r="H13" s="60">
        <v>20.92</v>
      </c>
      <c r="I13" s="60">
        <v>7.30</v>
      </c>
      <c r="J13" s="60">
        <v>0.80</v>
      </c>
      <c r="K13" s="60">
        <v>21.14</v>
      </c>
      <c r="L13" s="60">
        <v>46.01</v>
      </c>
      <c r="M13" s="60">
        <v>97.84</v>
      </c>
      <c r="N13" s="60">
        <v>0.5</v>
      </c>
      <c r="O13" s="60">
        <v>0</v>
      </c>
      <c r="P13" s="60">
        <v>3.24</v>
      </c>
      <c r="Q13" s="60">
        <v>7.55</v>
      </c>
      <c r="R13" s="194"/>
      <c r="S13" s="194"/>
      <c r="T13" s="194"/>
      <c r="U13" s="194"/>
    </row>
    <row r="14" spans="1:21" s="12" customFormat="1" ht="15">
      <c r="A14" s="197" t="s">
        <v>1114</v>
      </c>
      <c r="B14" s="60">
        <v>10.199999999999999</v>
      </c>
      <c r="C14" s="60">
        <v>13.17</v>
      </c>
      <c r="D14" s="60">
        <v>23.37</v>
      </c>
      <c r="E14" s="60">
        <v>8.61</v>
      </c>
      <c r="F14" s="60">
        <v>0.39</v>
      </c>
      <c r="G14" s="214" t="s">
        <v>36</v>
      </c>
      <c r="H14" s="60">
        <v>23.01</v>
      </c>
      <c r="I14" s="60">
        <v>7.15</v>
      </c>
      <c r="J14" s="60">
        <v>0.63</v>
      </c>
      <c r="K14" s="60">
        <v>18.41</v>
      </c>
      <c r="L14" s="60">
        <v>45.17</v>
      </c>
      <c r="M14" s="60">
        <v>98.27</v>
      </c>
      <c r="N14" s="60">
        <v>0.30</v>
      </c>
      <c r="O14" s="60">
        <v>0</v>
      </c>
      <c r="P14" s="60">
        <v>3.19</v>
      </c>
      <c r="Q14" s="60">
        <v>8.07</v>
      </c>
      <c r="R14" s="194"/>
      <c r="S14" s="194"/>
      <c r="T14" s="194"/>
      <c r="U14" s="194"/>
    </row>
    <row r="15" spans="1:21" s="12" customFormat="1" ht="15">
      <c r="A15" s="197" t="s">
        <v>1115</v>
      </c>
      <c r="B15" s="60">
        <v>9.39</v>
      </c>
      <c r="C15" s="60">
        <v>12.30</v>
      </c>
      <c r="D15" s="60">
        <v>21.68</v>
      </c>
      <c r="E15" s="60">
        <v>7.93</v>
      </c>
      <c r="F15" s="60">
        <v>0.12</v>
      </c>
      <c r="G15" s="214" t="s">
        <v>36</v>
      </c>
      <c r="H15" s="60">
        <v>23.01</v>
      </c>
      <c r="I15" s="60">
        <v>7.01</v>
      </c>
      <c r="J15" s="60">
        <v>0.85</v>
      </c>
      <c r="K15" s="60">
        <v>20.04</v>
      </c>
      <c r="L15" s="60">
        <v>42.21</v>
      </c>
      <c r="M15" s="60">
        <v>98.32</v>
      </c>
      <c r="N15" s="60">
        <v>0.30</v>
      </c>
      <c r="O15" s="60">
        <v>0</v>
      </c>
      <c r="P15" s="60">
        <v>3.14</v>
      </c>
      <c r="Q15" s="60">
        <v>10.02</v>
      </c>
      <c r="R15" s="194"/>
      <c r="S15" s="194"/>
      <c r="T15" s="194"/>
      <c r="U15" s="194"/>
    </row>
    <row r="16" spans="1:21" s="12" customFormat="1" ht="15">
      <c r="A16" s="197" t="s">
        <v>1116</v>
      </c>
      <c r="B16" s="60">
        <v>8.6199999999999992</v>
      </c>
      <c r="C16" s="60">
        <v>11.68</v>
      </c>
      <c r="D16" s="60">
        <v>20.309999999999999</v>
      </c>
      <c r="E16" s="60">
        <v>8.48</v>
      </c>
      <c r="F16" s="60">
        <v>0.23</v>
      </c>
      <c r="G16" s="214" t="s">
        <v>36</v>
      </c>
      <c r="H16" s="60">
        <v>23.01</v>
      </c>
      <c r="I16" s="60">
        <v>6.85</v>
      </c>
      <c r="J16" s="60">
        <v>0.65</v>
      </c>
      <c r="K16" s="60">
        <v>19.77</v>
      </c>
      <c r="L16" s="60">
        <v>45.11</v>
      </c>
      <c r="M16" s="60">
        <v>98.33</v>
      </c>
      <c r="N16" s="60">
        <v>0.40</v>
      </c>
      <c r="O16" s="60">
        <v>0</v>
      </c>
      <c r="P16" s="60">
        <v>3.09</v>
      </c>
      <c r="Q16" s="60">
        <v>11.26</v>
      </c>
      <c r="R16" s="194"/>
      <c r="S16" s="194"/>
      <c r="T16" s="194"/>
      <c r="U16" s="194"/>
    </row>
    <row r="17" spans="1:21" s="12" customFormat="1" ht="15">
      <c r="A17" s="197" t="s">
        <v>1117</v>
      </c>
      <c r="B17" s="60">
        <v>7.97</v>
      </c>
      <c r="C17" s="60">
        <v>11.36</v>
      </c>
      <c r="D17" s="60">
        <v>19.329999999999998</v>
      </c>
      <c r="E17" s="60">
        <v>8.0399999999999991</v>
      </c>
      <c r="F17" s="60">
        <v>0.75</v>
      </c>
      <c r="G17" s="214" t="s">
        <v>36</v>
      </c>
      <c r="H17" s="60">
        <v>21.27</v>
      </c>
      <c r="I17" s="60">
        <v>6.59</v>
      </c>
      <c r="J17" s="60">
        <v>0.70</v>
      </c>
      <c r="K17" s="60">
        <v>20.239999999999998</v>
      </c>
      <c r="L17" s="60">
        <v>41.62</v>
      </c>
      <c r="M17" s="60">
        <v>98.43</v>
      </c>
      <c r="N17" s="60">
        <v>0.30</v>
      </c>
      <c r="O17" s="60">
        <v>0</v>
      </c>
      <c r="P17" s="60">
        <v>3.05</v>
      </c>
      <c r="Q17" s="60">
        <v>11.56</v>
      </c>
      <c r="R17" s="194"/>
      <c r="S17" s="194"/>
      <c r="T17" s="194"/>
      <c r="U17" s="194"/>
    </row>
    <row r="18" spans="1:21" s="12" customFormat="1" ht="15">
      <c r="A18" s="197" t="s">
        <v>1118</v>
      </c>
      <c r="B18" s="60">
        <v>7.34</v>
      </c>
      <c r="C18" s="60">
        <v>10.84</v>
      </c>
      <c r="D18" s="60">
        <v>18.190000000000001</v>
      </c>
      <c r="E18" s="60">
        <v>8.51</v>
      </c>
      <c r="F18" s="60">
        <v>0.60</v>
      </c>
      <c r="G18" s="214" t="s">
        <v>36</v>
      </c>
      <c r="H18" s="60">
        <v>17</v>
      </c>
      <c r="I18" s="60">
        <v>6.47</v>
      </c>
      <c r="J18" s="60">
        <v>0.67</v>
      </c>
      <c r="K18" s="60">
        <v>29.06</v>
      </c>
      <c r="L18" s="60">
        <v>42.17</v>
      </c>
      <c r="M18" s="60">
        <v>98.39</v>
      </c>
      <c r="N18" s="60">
        <v>0.20</v>
      </c>
      <c r="O18" s="60">
        <v>0</v>
      </c>
      <c r="P18" s="60">
        <v>2.99</v>
      </c>
      <c r="Q18" s="60">
        <v>11.31</v>
      </c>
      <c r="R18" s="194"/>
      <c r="S18" s="194"/>
      <c r="T18" s="194"/>
      <c r="U18" s="194"/>
    </row>
    <row r="19" spans="1:21" s="12" customFormat="1" ht="15">
      <c r="A19" s="197" t="s">
        <v>1119</v>
      </c>
      <c r="B19" s="60">
        <v>6.81</v>
      </c>
      <c r="C19" s="60">
        <v>10.62</v>
      </c>
      <c r="D19" s="60">
        <v>17.43</v>
      </c>
      <c r="E19" s="60">
        <v>8.10</v>
      </c>
      <c r="F19" s="60">
        <v>0.39</v>
      </c>
      <c r="G19" s="214" t="s">
        <v>36</v>
      </c>
      <c r="H19" s="60">
        <v>17</v>
      </c>
      <c r="I19" s="60">
        <v>6.27</v>
      </c>
      <c r="J19" s="60">
        <v>0.51</v>
      </c>
      <c r="K19" s="60">
        <v>21.77</v>
      </c>
      <c r="L19" s="60">
        <v>45.31</v>
      </c>
      <c r="M19" s="60">
        <v>98.27</v>
      </c>
      <c r="N19" s="60">
        <v>0.30</v>
      </c>
      <c r="O19" s="60">
        <v>0</v>
      </c>
      <c r="P19" s="60">
        <v>2.95</v>
      </c>
      <c r="Q19" s="60">
        <v>10.64</v>
      </c>
      <c r="R19" s="194"/>
      <c r="S19" s="194"/>
      <c r="T19" s="194"/>
      <c r="U19" s="194"/>
    </row>
    <row r="20" spans="1:21" s="12" customFormat="1" ht="15">
      <c r="A20" s="197" t="s">
        <v>1120</v>
      </c>
      <c r="B20" s="60">
        <v>6.43</v>
      </c>
      <c r="C20" s="60">
        <v>10.63</v>
      </c>
      <c r="D20" s="60">
        <v>17.059999999999999</v>
      </c>
      <c r="E20" s="60">
        <v>8.2899999999999991</v>
      </c>
      <c r="F20" s="60">
        <v>0.06</v>
      </c>
      <c r="G20" s="214" t="s">
        <v>36</v>
      </c>
      <c r="H20" s="60">
        <v>17</v>
      </c>
      <c r="I20" s="60">
        <v>6.10</v>
      </c>
      <c r="J20" s="60">
        <v>0.56999999999999995</v>
      </c>
      <c r="K20" s="60">
        <v>28.30</v>
      </c>
      <c r="L20" s="60">
        <v>46.59</v>
      </c>
      <c r="M20" s="60">
        <v>98.01</v>
      </c>
      <c r="N20" s="60">
        <v>0.40</v>
      </c>
      <c r="O20" s="60">
        <v>0</v>
      </c>
      <c r="P20" s="60">
        <v>2.92</v>
      </c>
      <c r="Q20" s="60">
        <v>10.17</v>
      </c>
      <c r="R20" s="194"/>
      <c r="S20" s="194"/>
      <c r="T20" s="194"/>
      <c r="U20" s="194"/>
    </row>
    <row r="21" spans="1:21" s="12" customFormat="1" ht="15">
      <c r="A21" s="197" t="s">
        <v>1121</v>
      </c>
      <c r="B21" s="60">
        <v>6.23</v>
      </c>
      <c r="C21" s="60">
        <v>10.29</v>
      </c>
      <c r="D21" s="60">
        <v>16.52</v>
      </c>
      <c r="E21" s="60">
        <v>8.39</v>
      </c>
      <c r="F21" s="60">
        <v>0.78</v>
      </c>
      <c r="G21" s="214" t="s">
        <v>36</v>
      </c>
      <c r="H21" s="60">
        <v>16.239999999999998</v>
      </c>
      <c r="I21" s="60">
        <v>5.90</v>
      </c>
      <c r="J21" s="60">
        <v>0.52</v>
      </c>
      <c r="K21" s="60">
        <v>29.53</v>
      </c>
      <c r="L21" s="60">
        <v>48.07</v>
      </c>
      <c r="M21" s="60">
        <v>98.24</v>
      </c>
      <c r="N21" s="60">
        <v>0.30</v>
      </c>
      <c r="O21" s="60">
        <v>0</v>
      </c>
      <c r="P21" s="60">
        <v>2.89</v>
      </c>
      <c r="Q21" s="60">
        <v>8.26</v>
      </c>
      <c r="R21" s="194"/>
      <c r="S21" s="194"/>
      <c r="T21" s="194"/>
      <c r="U21" s="194"/>
    </row>
    <row r="22" spans="1:21" s="12" customFormat="1" ht="15">
      <c r="A22" s="197" t="s">
        <v>1122</v>
      </c>
      <c r="B22" s="60">
        <v>6.21</v>
      </c>
      <c r="C22" s="60">
        <v>9.9499999999999993</v>
      </c>
      <c r="D22" s="60">
        <v>16.16</v>
      </c>
      <c r="E22" s="60">
        <v>8.3800000000000008</v>
      </c>
      <c r="F22" s="60">
        <v>0.98</v>
      </c>
      <c r="G22" s="214" t="s">
        <v>36</v>
      </c>
      <c r="H22" s="60">
        <v>14.38</v>
      </c>
      <c r="I22" s="60">
        <v>5.68</v>
      </c>
      <c r="J22" s="60">
        <v>0.51</v>
      </c>
      <c r="K22" s="60">
        <v>44.01</v>
      </c>
      <c r="L22" s="60">
        <v>45.31</v>
      </c>
      <c r="M22" s="60">
        <v>98.07</v>
      </c>
      <c r="N22" s="214" t="s">
        <v>36</v>
      </c>
      <c r="O22" s="60">
        <v>0</v>
      </c>
      <c r="P22" s="60">
        <v>2.88</v>
      </c>
      <c r="Q22" s="60">
        <v>6.64</v>
      </c>
      <c r="R22" s="194"/>
      <c r="S22" s="194"/>
      <c r="T22" s="194"/>
      <c r="U22" s="194"/>
    </row>
    <row r="23" spans="1:21" s="12" customFormat="1" ht="15">
      <c r="A23" s="197" t="s">
        <v>1123</v>
      </c>
      <c r="B23" s="60">
        <v>6.34</v>
      </c>
      <c r="C23" s="60">
        <v>9.4700000000000006</v>
      </c>
      <c r="D23" s="60">
        <v>15.81</v>
      </c>
      <c r="E23" s="60">
        <v>8.8000000000000007</v>
      </c>
      <c r="F23" s="60">
        <v>0.26</v>
      </c>
      <c r="G23" s="214" t="s">
        <v>36</v>
      </c>
      <c r="H23" s="60">
        <v>14.38</v>
      </c>
      <c r="I23" s="60">
        <v>5.5</v>
      </c>
      <c r="J23" s="60">
        <v>1.05</v>
      </c>
      <c r="K23" s="60">
        <v>76.959999999999994</v>
      </c>
      <c r="L23" s="60">
        <v>45.74</v>
      </c>
      <c r="M23" s="60">
        <v>97.40</v>
      </c>
      <c r="N23" s="214" t="s">
        <v>36</v>
      </c>
      <c r="O23" s="60">
        <v>0</v>
      </c>
      <c r="P23" s="60">
        <v>2.86</v>
      </c>
      <c r="Q23" s="60">
        <v>5.86</v>
      </c>
      <c r="R23" s="194"/>
      <c r="S23" s="194"/>
      <c r="T23" s="194"/>
      <c r="U23" s="194"/>
    </row>
    <row r="24" spans="1:21" s="12" customFormat="1" ht="15">
      <c r="A24" s="197" t="s">
        <v>1124</v>
      </c>
      <c r="B24" s="60">
        <v>6.46</v>
      </c>
      <c r="C24" s="60">
        <v>9</v>
      </c>
      <c r="D24" s="60">
        <v>15.46</v>
      </c>
      <c r="E24" s="60">
        <v>4.87</v>
      </c>
      <c r="F24" s="60">
        <v>0.24</v>
      </c>
      <c r="G24" s="214" t="s">
        <v>36</v>
      </c>
      <c r="H24" s="60">
        <v>14.38</v>
      </c>
      <c r="I24" s="60">
        <v>5.44</v>
      </c>
      <c r="J24" s="60">
        <v>0.77</v>
      </c>
      <c r="K24" s="60">
        <v>70.11</v>
      </c>
      <c r="L24" s="60">
        <v>47.38</v>
      </c>
      <c r="M24" s="60">
        <v>97.43</v>
      </c>
      <c r="N24" s="60">
        <v>0.10</v>
      </c>
      <c r="O24" s="60">
        <v>0</v>
      </c>
      <c r="P24" s="60">
        <v>2.85</v>
      </c>
      <c r="Q24" s="60">
        <v>5.49</v>
      </c>
      <c r="R24" s="194"/>
      <c r="S24" s="194"/>
      <c r="T24" s="194"/>
      <c r="U24" s="194"/>
    </row>
    <row r="25" spans="1:21" s="12" customFormat="1" ht="15">
      <c r="A25" s="197" t="s">
        <v>1125</v>
      </c>
      <c r="B25" s="60">
        <v>6.48</v>
      </c>
      <c r="C25" s="60">
        <v>8.7200000000000006</v>
      </c>
      <c r="D25" s="60">
        <v>15.19</v>
      </c>
      <c r="E25" s="60">
        <v>8.8800000000000008</v>
      </c>
      <c r="F25" s="60">
        <v>1.65</v>
      </c>
      <c r="G25" s="214" t="s">
        <v>36</v>
      </c>
      <c r="H25" s="60">
        <v>13.87</v>
      </c>
      <c r="I25" s="60">
        <v>5.54</v>
      </c>
      <c r="J25" s="60">
        <v>0.74</v>
      </c>
      <c r="K25" s="60">
        <v>46.85</v>
      </c>
      <c r="L25" s="60">
        <v>47.14</v>
      </c>
      <c r="M25" s="60">
        <v>97.31</v>
      </c>
      <c r="N25" s="60">
        <v>0.20</v>
      </c>
      <c r="O25" s="60">
        <v>0</v>
      </c>
      <c r="P25" s="60">
        <v>2.83</v>
      </c>
      <c r="Q25" s="60">
        <v>5.33</v>
      </c>
      <c r="R25" s="194"/>
      <c r="S25" s="194"/>
      <c r="T25" s="194"/>
      <c r="U25" s="194"/>
    </row>
    <row r="26" spans="1:21" s="12" customFormat="1" ht="15">
      <c r="A26" s="197" t="s">
        <v>1126</v>
      </c>
      <c r="B26" s="60">
        <v>6.53</v>
      </c>
      <c r="C26" s="60">
        <v>8.7100000000000009</v>
      </c>
      <c r="D26" s="60">
        <v>15.24</v>
      </c>
      <c r="E26" s="60">
        <v>9.5399999999999991</v>
      </c>
      <c r="F26" s="60">
        <v>0.22</v>
      </c>
      <c r="G26" s="214" t="s">
        <v>36</v>
      </c>
      <c r="H26" s="60">
        <v>12.63</v>
      </c>
      <c r="I26" s="60">
        <v>5.53</v>
      </c>
      <c r="J26" s="60">
        <v>0.23</v>
      </c>
      <c r="K26" s="60">
        <v>299.89999999999998</v>
      </c>
      <c r="L26" s="60">
        <v>50.49</v>
      </c>
      <c r="M26" s="60">
        <v>97.34</v>
      </c>
      <c r="N26" s="60">
        <v>0.30</v>
      </c>
      <c r="O26" s="60">
        <v>0</v>
      </c>
      <c r="P26" s="60">
        <v>2.81</v>
      </c>
      <c r="Q26" s="60">
        <v>5.30</v>
      </c>
      <c r="R26" s="194"/>
      <c r="S26" s="194"/>
      <c r="T26" s="194"/>
      <c r="U26" s="194"/>
    </row>
    <row r="27" spans="1:21" s="12" customFormat="1" ht="15">
      <c r="A27" s="197" t="s">
        <v>1127</v>
      </c>
      <c r="B27" s="60">
        <v>6.60</v>
      </c>
      <c r="C27" s="60">
        <v>8.6199999999999992</v>
      </c>
      <c r="D27" s="60">
        <v>15.23</v>
      </c>
      <c r="E27" s="60">
        <v>9.6999999999999993</v>
      </c>
      <c r="F27" s="60">
        <v>0.57999999999999996</v>
      </c>
      <c r="G27" s="214" t="s">
        <v>36</v>
      </c>
      <c r="H27" s="60">
        <v>12.63</v>
      </c>
      <c r="I27" s="60">
        <v>5.17</v>
      </c>
      <c r="J27" s="60">
        <v>0.28000000000000003</v>
      </c>
      <c r="K27" s="60">
        <v>105.60</v>
      </c>
      <c r="L27" s="60">
        <v>46.14</v>
      </c>
      <c r="M27" s="60">
        <v>97.11</v>
      </c>
      <c r="N27" s="60">
        <v>0.10</v>
      </c>
      <c r="O27" s="60">
        <v>0</v>
      </c>
      <c r="P27" s="60">
        <v>2.80</v>
      </c>
      <c r="Q27" s="60">
        <v>5.24</v>
      </c>
      <c r="R27" s="194"/>
      <c r="S27" s="194"/>
      <c r="T27" s="194"/>
      <c r="U27" s="194"/>
    </row>
    <row r="28" spans="1:21" s="12" customFormat="1" ht="15">
      <c r="A28" s="197" t="s">
        <v>1128</v>
      </c>
      <c r="B28" s="60">
        <v>6.64</v>
      </c>
      <c r="C28" s="60">
        <v>8.69</v>
      </c>
      <c r="D28" s="60">
        <v>15.33</v>
      </c>
      <c r="E28" s="60">
        <v>10.09</v>
      </c>
      <c r="F28" s="60">
        <v>0.33</v>
      </c>
      <c r="G28" s="214" t="s">
        <v>36</v>
      </c>
      <c r="H28" s="60">
        <v>12.63</v>
      </c>
      <c r="I28" s="60">
        <v>5.23</v>
      </c>
      <c r="J28" s="60">
        <v>0.31</v>
      </c>
      <c r="K28" s="60">
        <v>39.17</v>
      </c>
      <c r="L28" s="60">
        <v>46.67</v>
      </c>
      <c r="M28" s="60">
        <v>97.23</v>
      </c>
      <c r="N28" s="60">
        <v>0.30</v>
      </c>
      <c r="O28" s="60">
        <v>0</v>
      </c>
      <c r="P28" s="60">
        <v>2.79</v>
      </c>
      <c r="Q28" s="60">
        <v>5.60</v>
      </c>
      <c r="R28" s="194"/>
      <c r="S28" s="194"/>
      <c r="T28" s="194"/>
      <c r="U28" s="194"/>
    </row>
    <row r="29" spans="1:21" s="12" customFormat="1" ht="15">
      <c r="A29" s="197" t="s">
        <v>1129</v>
      </c>
      <c r="B29" s="60">
        <v>6.58</v>
      </c>
      <c r="C29" s="60">
        <v>8.5500000000000007</v>
      </c>
      <c r="D29" s="60">
        <v>15.13</v>
      </c>
      <c r="E29" s="60">
        <v>9.52</v>
      </c>
      <c r="F29" s="215" t="s">
        <v>47</v>
      </c>
      <c r="G29" s="214" t="s">
        <v>36</v>
      </c>
      <c r="H29" s="60">
        <v>13.30</v>
      </c>
      <c r="I29" s="60">
        <v>5.31</v>
      </c>
      <c r="J29" s="60">
        <v>0.75</v>
      </c>
      <c r="K29" s="60">
        <v>74.59</v>
      </c>
      <c r="L29" s="60">
        <v>44.49</v>
      </c>
      <c r="M29" s="60">
        <v>96.12</v>
      </c>
      <c r="N29" s="60">
        <v>0.40</v>
      </c>
      <c r="O29" s="60">
        <v>0</v>
      </c>
      <c r="P29" s="60">
        <v>2.77</v>
      </c>
      <c r="Q29" s="60">
        <v>7.44</v>
      </c>
      <c r="R29" s="194"/>
      <c r="S29" s="194"/>
      <c r="T29" s="194"/>
      <c r="U29" s="194"/>
    </row>
    <row r="30" spans="1:21" s="12" customFormat="1" ht="15">
      <c r="A30" s="197" t="s">
        <v>1130</v>
      </c>
      <c r="B30" s="60">
        <v>6.51</v>
      </c>
      <c r="C30" s="60">
        <v>8.91</v>
      </c>
      <c r="D30" s="60">
        <v>15.43</v>
      </c>
      <c r="E30" s="60">
        <v>9.68</v>
      </c>
      <c r="F30" s="60">
        <v>0.21</v>
      </c>
      <c r="G30" s="214" t="s">
        <v>36</v>
      </c>
      <c r="H30" s="60">
        <v>14.94</v>
      </c>
      <c r="I30" s="60">
        <v>5.39</v>
      </c>
      <c r="J30" s="60">
        <v>0.35</v>
      </c>
      <c r="K30" s="60">
        <v>80.150000000000006</v>
      </c>
      <c r="L30" s="60">
        <v>49.20</v>
      </c>
      <c r="M30" s="60">
        <v>95.89</v>
      </c>
      <c r="N30" s="60">
        <v>3.40</v>
      </c>
      <c r="O30" s="60">
        <v>0</v>
      </c>
      <c r="P30" s="60">
        <v>2.75</v>
      </c>
      <c r="Q30" s="60">
        <v>9.3800000000000008</v>
      </c>
      <c r="R30" s="194"/>
      <c r="S30" s="194"/>
      <c r="T30" s="194"/>
      <c r="U30" s="194"/>
    </row>
    <row r="31" spans="1:21" s="12" customFormat="1" ht="15">
      <c r="A31" s="197" t="s">
        <v>1131</v>
      </c>
      <c r="B31" s="60">
        <v>6.43</v>
      </c>
      <c r="C31" s="60">
        <v>9.1300000000000008</v>
      </c>
      <c r="D31" s="60">
        <v>15.56</v>
      </c>
      <c r="E31" s="60">
        <v>9.7200000000000006</v>
      </c>
      <c r="F31" s="60">
        <v>0.38</v>
      </c>
      <c r="G31" s="214" t="s">
        <v>36</v>
      </c>
      <c r="H31" s="60">
        <v>14.94</v>
      </c>
      <c r="I31" s="60">
        <v>5.43</v>
      </c>
      <c r="J31" s="60">
        <v>0.77</v>
      </c>
      <c r="K31" s="60">
        <v>79.680000000000007</v>
      </c>
      <c r="L31" s="60">
        <v>45.47</v>
      </c>
      <c r="M31" s="60">
        <v>95.27</v>
      </c>
      <c r="N31" s="60">
        <v>9.6999999999999993</v>
      </c>
      <c r="O31" s="60">
        <v>0</v>
      </c>
      <c r="P31" s="60">
        <v>2.73</v>
      </c>
      <c r="Q31" s="60">
        <v>10.34</v>
      </c>
      <c r="R31" s="194"/>
      <c r="S31" s="194"/>
      <c r="T31" s="194"/>
      <c r="U31" s="194"/>
    </row>
    <row r="32" spans="1:21" s="12" customFormat="1" ht="15">
      <c r="A32" s="197" t="s">
        <v>1132</v>
      </c>
      <c r="B32" s="60">
        <v>6.14</v>
      </c>
      <c r="C32" s="60">
        <v>9.1300000000000008</v>
      </c>
      <c r="D32" s="60">
        <v>15.28</v>
      </c>
      <c r="E32" s="60">
        <v>9.36</v>
      </c>
      <c r="F32" s="60">
        <v>0.37</v>
      </c>
      <c r="G32" s="214" t="s">
        <v>36</v>
      </c>
      <c r="H32" s="60">
        <v>14.94</v>
      </c>
      <c r="I32" s="60">
        <v>5.36</v>
      </c>
      <c r="J32" s="60">
        <v>0.61</v>
      </c>
      <c r="K32" s="60">
        <v>62.47</v>
      </c>
      <c r="L32" s="60">
        <v>48.11</v>
      </c>
      <c r="M32" s="60">
        <v>94.89</v>
      </c>
      <c r="N32" s="60">
        <v>26.60</v>
      </c>
      <c r="O32" s="60">
        <v>0</v>
      </c>
      <c r="P32" s="60">
        <v>2.71</v>
      </c>
      <c r="Q32" s="60">
        <v>10.77</v>
      </c>
      <c r="R32" s="194"/>
      <c r="S32" s="194"/>
      <c r="T32" s="194"/>
      <c r="U32" s="194"/>
    </row>
    <row r="33" spans="1:21" s="12" customFormat="1" ht="15">
      <c r="A33" s="197" t="s">
        <v>1133</v>
      </c>
      <c r="B33" s="60">
        <v>6.21</v>
      </c>
      <c r="C33" s="60">
        <v>9.35</v>
      </c>
      <c r="D33" s="60">
        <v>15.55</v>
      </c>
      <c r="E33" s="60">
        <v>9.3000000000000007</v>
      </c>
      <c r="F33" s="60">
        <v>0.21</v>
      </c>
      <c r="G33" s="214" t="s">
        <v>36</v>
      </c>
      <c r="H33" s="60">
        <v>13.71</v>
      </c>
      <c r="I33" s="60">
        <v>5.27</v>
      </c>
      <c r="J33" s="60">
        <v>0.73</v>
      </c>
      <c r="K33" s="60">
        <v>65.34</v>
      </c>
      <c r="L33" s="60">
        <v>52.06</v>
      </c>
      <c r="M33" s="60">
        <v>94.92</v>
      </c>
      <c r="N33" s="60">
        <v>42.40</v>
      </c>
      <c r="O33" s="60">
        <v>0</v>
      </c>
      <c r="P33" s="60">
        <v>2.71</v>
      </c>
      <c r="Q33" s="60">
        <v>10.63</v>
      </c>
      <c r="R33" s="194"/>
      <c r="S33" s="194"/>
      <c r="T33" s="194"/>
      <c r="U33" s="194"/>
    </row>
    <row r="34" spans="1:21" s="12" customFormat="1" ht="15">
      <c r="A34" s="197" t="s">
        <v>1134</v>
      </c>
      <c r="B34" s="60">
        <v>6.94</v>
      </c>
      <c r="C34" s="60">
        <v>9.76</v>
      </c>
      <c r="D34" s="60">
        <v>16.70</v>
      </c>
      <c r="E34" s="60">
        <v>9.31</v>
      </c>
      <c r="F34" s="60">
        <v>0.01</v>
      </c>
      <c r="G34" s="214" t="s">
        <v>36</v>
      </c>
      <c r="H34" s="60">
        <v>10.69</v>
      </c>
      <c r="I34" s="60">
        <v>5.15</v>
      </c>
      <c r="J34" s="60">
        <v>0.60</v>
      </c>
      <c r="K34" s="60">
        <v>53.01</v>
      </c>
      <c r="L34" s="60">
        <v>51.28</v>
      </c>
      <c r="M34" s="60">
        <v>94.47</v>
      </c>
      <c r="N34" s="60">
        <v>56.40</v>
      </c>
      <c r="O34" s="60">
        <v>0</v>
      </c>
      <c r="P34" s="60">
        <v>2.70</v>
      </c>
      <c r="Q34" s="60">
        <v>10.51</v>
      </c>
      <c r="R34" s="194"/>
      <c r="S34" s="194"/>
      <c r="T34" s="194"/>
      <c r="U34" s="194"/>
    </row>
    <row r="35" spans="1:21" s="12" customFormat="1" ht="15">
      <c r="A35" s="197" t="s">
        <v>1135</v>
      </c>
      <c r="B35" s="60">
        <v>7.20</v>
      </c>
      <c r="C35" s="60">
        <v>10.01</v>
      </c>
      <c r="D35" s="60">
        <v>17.21</v>
      </c>
      <c r="E35" s="60">
        <v>9.18</v>
      </c>
      <c r="F35" s="60">
        <v>0.17</v>
      </c>
      <c r="G35" s="214" t="s">
        <v>36</v>
      </c>
      <c r="H35" s="60">
        <v>10.69</v>
      </c>
      <c r="I35" s="60">
        <v>5.08</v>
      </c>
      <c r="J35" s="60">
        <v>0.92</v>
      </c>
      <c r="K35" s="60">
        <v>74.44</v>
      </c>
      <c r="L35" s="60">
        <v>48.58</v>
      </c>
      <c r="M35" s="60">
        <v>93.68</v>
      </c>
      <c r="N35" s="60">
        <v>82.60</v>
      </c>
      <c r="O35" s="60">
        <v>0</v>
      </c>
      <c r="P35" s="60">
        <v>2.69</v>
      </c>
      <c r="Q35" s="60">
        <v>9.5</v>
      </c>
      <c r="R35" s="194"/>
      <c r="S35" s="194"/>
      <c r="T35" s="194"/>
      <c r="U35" s="194"/>
    </row>
    <row r="36" spans="1:21" s="12" customFormat="1" ht="15">
      <c r="A36" s="197" t="s">
        <v>1136</v>
      </c>
      <c r="B36" s="60">
        <v>7.35</v>
      </c>
      <c r="C36" s="60">
        <v>9.67</v>
      </c>
      <c r="D36" s="60">
        <v>17.010000000000002</v>
      </c>
      <c r="E36" s="60">
        <v>9.07</v>
      </c>
      <c r="F36" s="60">
        <v>0.28999999999999998</v>
      </c>
      <c r="G36" s="214" t="s">
        <v>36</v>
      </c>
      <c r="H36" s="60">
        <v>10.69</v>
      </c>
      <c r="I36" s="60">
        <v>5.08</v>
      </c>
      <c r="J36" s="60">
        <v>0.73</v>
      </c>
      <c r="K36" s="60">
        <v>81.97</v>
      </c>
      <c r="L36" s="60">
        <v>43.34</v>
      </c>
      <c r="M36" s="60">
        <v>93.09</v>
      </c>
      <c r="N36" s="60">
        <v>84.80</v>
      </c>
      <c r="O36" s="60">
        <v>0</v>
      </c>
      <c r="P36" s="60">
        <v>2.69</v>
      </c>
      <c r="Q36" s="60">
        <v>7.52</v>
      </c>
      <c r="R36" s="194"/>
      <c r="S36" s="194"/>
      <c r="T36" s="194"/>
      <c r="U36" s="194"/>
    </row>
    <row r="37" spans="1:21" s="12" customFormat="1" ht="15">
      <c r="A37" s="197" t="s">
        <v>1137</v>
      </c>
      <c r="B37" s="60">
        <v>7.46</v>
      </c>
      <c r="C37" s="60">
        <v>9.32</v>
      </c>
      <c r="D37" s="60">
        <v>16.79</v>
      </c>
      <c r="E37" s="60">
        <v>9.4600000000000009</v>
      </c>
      <c r="F37" s="60">
        <v>0.36</v>
      </c>
      <c r="G37" s="214" t="s">
        <v>36</v>
      </c>
      <c r="H37" s="60">
        <v>9.77</v>
      </c>
      <c r="I37" s="60">
        <v>4.9800000000000004</v>
      </c>
      <c r="J37" s="60">
        <v>1.32</v>
      </c>
      <c r="K37" s="60">
        <v>97.67</v>
      </c>
      <c r="L37" s="60">
        <v>42.80</v>
      </c>
      <c r="M37" s="60">
        <v>92.26</v>
      </c>
      <c r="N37" s="60">
        <v>110.30</v>
      </c>
      <c r="O37" s="60">
        <v>0</v>
      </c>
      <c r="P37" s="60">
        <v>2.69</v>
      </c>
      <c r="Q37" s="60">
        <v>6.27</v>
      </c>
      <c r="R37" s="194"/>
      <c r="S37" s="194"/>
      <c r="T37" s="194"/>
      <c r="U37" s="194"/>
    </row>
    <row r="38" spans="1:21" s="12" customFormat="1" ht="15">
      <c r="A38" s="197" t="s">
        <v>1138</v>
      </c>
      <c r="B38" s="60">
        <v>7.5</v>
      </c>
      <c r="C38" s="60">
        <v>9.08</v>
      </c>
      <c r="D38" s="60">
        <v>16.579999999999998</v>
      </c>
      <c r="E38" s="60">
        <v>9.39</v>
      </c>
      <c r="F38" s="60">
        <v>0.51</v>
      </c>
      <c r="G38" s="214" t="s">
        <v>36</v>
      </c>
      <c r="H38" s="60">
        <v>7.48</v>
      </c>
      <c r="I38" s="60">
        <v>4.95</v>
      </c>
      <c r="J38" s="60">
        <v>0.94</v>
      </c>
      <c r="K38" s="60">
        <v>85.88</v>
      </c>
      <c r="L38" s="60">
        <v>50.62</v>
      </c>
      <c r="M38" s="60">
        <v>91.41</v>
      </c>
      <c r="N38" s="60">
        <v>151.40</v>
      </c>
      <c r="O38" s="60">
        <v>0</v>
      </c>
      <c r="P38" s="60">
        <v>2.68</v>
      </c>
      <c r="Q38" s="60">
        <v>5.72</v>
      </c>
      <c r="R38" s="194"/>
      <c r="S38" s="194"/>
      <c r="T38" s="194"/>
      <c r="U38" s="194"/>
    </row>
    <row r="39" spans="1:21" s="12" customFormat="1" ht="15">
      <c r="A39" s="197" t="s">
        <v>1139</v>
      </c>
      <c r="B39" s="60">
        <v>7.45</v>
      </c>
      <c r="C39" s="60">
        <v>8.9700000000000006</v>
      </c>
      <c r="D39" s="60">
        <v>16.420000000000002</v>
      </c>
      <c r="E39" s="60">
        <v>9.39</v>
      </c>
      <c r="F39" s="60">
        <v>0.68</v>
      </c>
      <c r="G39" s="214" t="s">
        <v>36</v>
      </c>
      <c r="H39" s="60">
        <v>7.48</v>
      </c>
      <c r="I39" s="60">
        <v>4.96</v>
      </c>
      <c r="J39" s="60">
        <v>1.02</v>
      </c>
      <c r="K39" s="60">
        <v>77.25</v>
      </c>
      <c r="L39" s="60">
        <v>49.99</v>
      </c>
      <c r="M39" s="60">
        <v>89.81</v>
      </c>
      <c r="N39" s="60">
        <v>166.70</v>
      </c>
      <c r="O39" s="60">
        <v>0</v>
      </c>
      <c r="P39" s="60">
        <v>2.67</v>
      </c>
      <c r="Q39" s="60">
        <v>5.44</v>
      </c>
      <c r="R39" s="194"/>
      <c r="S39" s="194"/>
      <c r="T39" s="194"/>
      <c r="U39" s="194"/>
    </row>
    <row r="40" spans="1:21" s="12" customFormat="1" ht="15">
      <c r="A40" s="197" t="s">
        <v>1140</v>
      </c>
      <c r="B40" s="60">
        <v>7.45</v>
      </c>
      <c r="C40" s="60">
        <v>9</v>
      </c>
      <c r="D40" s="60">
        <v>16.45</v>
      </c>
      <c r="E40" s="60">
        <v>4.43</v>
      </c>
      <c r="F40" s="60">
        <v>0.80</v>
      </c>
      <c r="G40" s="214" t="s">
        <v>36</v>
      </c>
      <c r="H40" s="60">
        <v>7.48</v>
      </c>
      <c r="I40" s="60">
        <v>4.9800000000000004</v>
      </c>
      <c r="J40" s="60">
        <v>1.36</v>
      </c>
      <c r="K40" s="60">
        <v>79.11</v>
      </c>
      <c r="L40" s="60">
        <v>48.54</v>
      </c>
      <c r="M40" s="60">
        <v>89.64</v>
      </c>
      <c r="N40" s="60">
        <v>191.70</v>
      </c>
      <c r="O40" s="60">
        <v>0</v>
      </c>
      <c r="P40" s="60">
        <v>2.66</v>
      </c>
      <c r="Q40" s="60">
        <v>5.32</v>
      </c>
      <c r="R40" s="194"/>
      <c r="S40" s="194"/>
      <c r="T40" s="194"/>
      <c r="U40" s="194"/>
    </row>
    <row r="41" spans="1:21" s="12" customFormat="1" ht="15">
      <c r="A41" s="197" t="s">
        <v>1141</v>
      </c>
      <c r="B41" s="60">
        <v>7.42</v>
      </c>
      <c r="C41" s="60">
        <v>9.10</v>
      </c>
      <c r="D41" s="60">
        <v>16.53</v>
      </c>
      <c r="E41" s="60">
        <v>8.9499999999999993</v>
      </c>
      <c r="F41" s="60">
        <v>0.26</v>
      </c>
      <c r="G41" s="214" t="s">
        <v>36</v>
      </c>
      <c r="H41" s="60">
        <v>6.84</v>
      </c>
      <c r="I41" s="60">
        <v>4.9400000000000004</v>
      </c>
      <c r="J41" s="60">
        <v>1.34</v>
      </c>
      <c r="K41" s="60">
        <v>86.45</v>
      </c>
      <c r="L41" s="60">
        <v>45.02</v>
      </c>
      <c r="M41" s="60">
        <v>88.79</v>
      </c>
      <c r="N41" s="60">
        <v>312.70</v>
      </c>
      <c r="O41" s="60">
        <v>0</v>
      </c>
      <c r="P41" s="60">
        <v>2.64</v>
      </c>
      <c r="Q41" s="60">
        <v>5.27</v>
      </c>
      <c r="R41" s="194"/>
      <c r="S41" s="194"/>
      <c r="T41" s="194"/>
      <c r="U41" s="194"/>
    </row>
    <row r="42" spans="1:21" s="12" customFormat="1" ht="15">
      <c r="A42" s="197" t="s">
        <v>1142</v>
      </c>
      <c r="B42" s="60">
        <v>7.39</v>
      </c>
      <c r="C42" s="60">
        <v>9.17</v>
      </c>
      <c r="D42" s="60">
        <v>16.559999999999999</v>
      </c>
      <c r="E42" s="60">
        <v>8.9600000000000009</v>
      </c>
      <c r="F42" s="60">
        <v>0.60</v>
      </c>
      <c r="G42" s="214" t="s">
        <v>36</v>
      </c>
      <c r="H42" s="60">
        <v>5.24</v>
      </c>
      <c r="I42" s="60">
        <v>5.0199999999999996</v>
      </c>
      <c r="J42" s="60">
        <v>1.1200000000000001</v>
      </c>
      <c r="K42" s="60">
        <v>70.27</v>
      </c>
      <c r="L42" s="60">
        <v>44.88</v>
      </c>
      <c r="M42" s="60">
        <v>85.75</v>
      </c>
      <c r="N42" s="60">
        <v>339.20</v>
      </c>
      <c r="O42" s="60">
        <v>0</v>
      </c>
      <c r="P42" s="60">
        <v>2.64</v>
      </c>
      <c r="Q42" s="60">
        <v>5.24</v>
      </c>
      <c r="R42" s="194"/>
      <c r="S42" s="194"/>
      <c r="T42" s="194"/>
      <c r="U42" s="194"/>
    </row>
    <row r="43" spans="1:21" s="12" customFormat="1" ht="15">
      <c r="A43" s="197" t="s">
        <v>1143</v>
      </c>
      <c r="B43" s="60">
        <v>7.59</v>
      </c>
      <c r="C43" s="60">
        <v>9.4499999999999993</v>
      </c>
      <c r="D43" s="60">
        <v>17.04</v>
      </c>
      <c r="E43" s="60">
        <v>8.7100000000000009</v>
      </c>
      <c r="F43" s="60">
        <v>1.33</v>
      </c>
      <c r="G43" s="214" t="s">
        <v>36</v>
      </c>
      <c r="H43" s="60">
        <v>5.24</v>
      </c>
      <c r="I43" s="60">
        <v>4.80</v>
      </c>
      <c r="J43" s="60">
        <v>1.46</v>
      </c>
      <c r="K43" s="60">
        <v>78.11</v>
      </c>
      <c r="L43" s="60">
        <v>49.20</v>
      </c>
      <c r="M43" s="60">
        <v>86.03</v>
      </c>
      <c r="N43" s="60">
        <v>399.80</v>
      </c>
      <c r="O43" s="60">
        <v>0</v>
      </c>
      <c r="P43" s="60">
        <v>2.64</v>
      </c>
      <c r="Q43" s="60">
        <v>6.12</v>
      </c>
      <c r="R43" s="194"/>
      <c r="S43" s="194"/>
      <c r="T43" s="194"/>
      <c r="U43" s="194"/>
    </row>
    <row r="44" spans="1:21" s="12" customFormat="1" ht="15">
      <c r="A44" s="197" t="s">
        <v>1144</v>
      </c>
      <c r="B44" s="60">
        <v>7.34</v>
      </c>
      <c r="C44" s="60">
        <v>9.94</v>
      </c>
      <c r="D44" s="60">
        <v>17.27</v>
      </c>
      <c r="E44" s="60">
        <v>8.76</v>
      </c>
      <c r="F44" s="60">
        <v>0.06</v>
      </c>
      <c r="G44" s="214" t="s">
        <v>36</v>
      </c>
      <c r="H44" s="60">
        <v>5.24</v>
      </c>
      <c r="I44" s="60">
        <v>4.87</v>
      </c>
      <c r="J44" s="60">
        <v>1.1000000000000001</v>
      </c>
      <c r="K44" s="60">
        <v>60.24</v>
      </c>
      <c r="L44" s="60">
        <v>50.56</v>
      </c>
      <c r="M44" s="60">
        <v>83.43</v>
      </c>
      <c r="N44" s="60">
        <v>486.70</v>
      </c>
      <c r="O44" s="60">
        <v>0</v>
      </c>
      <c r="P44" s="60">
        <v>2.64</v>
      </c>
      <c r="Q44" s="60">
        <v>8.09</v>
      </c>
      <c r="R44" s="194"/>
      <c r="S44" s="194"/>
      <c r="T44" s="194"/>
      <c r="U44" s="194"/>
    </row>
    <row r="45" spans="1:21" s="12" customFormat="1" ht="15">
      <c r="A45" s="197" t="s">
        <v>1145</v>
      </c>
      <c r="B45" s="60">
        <v>7.07</v>
      </c>
      <c r="C45" s="60">
        <v>10.69</v>
      </c>
      <c r="D45" s="60">
        <v>17.760000000000002</v>
      </c>
      <c r="E45" s="60">
        <v>8.73</v>
      </c>
      <c r="F45" s="60">
        <v>0.34</v>
      </c>
      <c r="G45" s="214" t="s">
        <v>36</v>
      </c>
      <c r="H45" s="60">
        <v>6.10</v>
      </c>
      <c r="I45" s="60">
        <v>4.99</v>
      </c>
      <c r="J45" s="60">
        <v>1.57</v>
      </c>
      <c r="K45" s="60">
        <v>75.239999999999995</v>
      </c>
      <c r="L45" s="60">
        <v>50.63</v>
      </c>
      <c r="M45" s="60">
        <v>80.650000000000006</v>
      </c>
      <c r="N45" s="60">
        <v>428.10</v>
      </c>
      <c r="O45" s="60">
        <v>0</v>
      </c>
      <c r="P45" s="60">
        <v>2.63</v>
      </c>
      <c r="Q45" s="60">
        <v>9.69</v>
      </c>
      <c r="R45" s="194"/>
      <c r="S45" s="194"/>
      <c r="T45" s="194"/>
      <c r="U45" s="194"/>
    </row>
    <row r="46" spans="1:21" s="12" customFormat="1" ht="15">
      <c r="A46" s="197" t="s">
        <v>1146</v>
      </c>
      <c r="B46" s="60">
        <v>6.76</v>
      </c>
      <c r="C46" s="60">
        <v>11.28</v>
      </c>
      <c r="D46" s="60">
        <v>18.04</v>
      </c>
      <c r="E46" s="60">
        <v>8.5</v>
      </c>
      <c r="F46" s="60">
        <v>1.18</v>
      </c>
      <c r="G46" s="214" t="s">
        <v>36</v>
      </c>
      <c r="H46" s="60">
        <v>8.23</v>
      </c>
      <c r="I46" s="60">
        <v>4.99</v>
      </c>
      <c r="J46" s="60">
        <v>1.84</v>
      </c>
      <c r="K46" s="60">
        <v>88.21</v>
      </c>
      <c r="L46" s="60">
        <v>50.81</v>
      </c>
      <c r="M46" s="60">
        <v>81.81</v>
      </c>
      <c r="N46" s="60">
        <v>352.80</v>
      </c>
      <c r="O46" s="60">
        <v>0</v>
      </c>
      <c r="P46" s="60">
        <v>2.63</v>
      </c>
      <c r="Q46" s="60">
        <v>10.26</v>
      </c>
      <c r="R46" s="194"/>
      <c r="S46" s="194"/>
      <c r="T46" s="194"/>
      <c r="U46" s="194"/>
    </row>
    <row r="47" spans="1:21" s="12" customFormat="1" ht="15">
      <c r="A47" s="197" t="s">
        <v>1147</v>
      </c>
      <c r="B47" s="60">
        <v>6.06</v>
      </c>
      <c r="C47" s="60">
        <v>11.5</v>
      </c>
      <c r="D47" s="60">
        <v>17.559999999999999</v>
      </c>
      <c r="E47" s="60">
        <v>8.3000000000000007</v>
      </c>
      <c r="F47" s="60">
        <v>1.24</v>
      </c>
      <c r="G47" s="214" t="s">
        <v>36</v>
      </c>
      <c r="H47" s="60">
        <v>8.23</v>
      </c>
      <c r="I47" s="60">
        <v>4.95</v>
      </c>
      <c r="J47" s="60">
        <v>1.20</v>
      </c>
      <c r="K47" s="60">
        <v>74.319999999999993</v>
      </c>
      <c r="L47" s="60">
        <v>51.59</v>
      </c>
      <c r="M47" s="60">
        <v>79.36</v>
      </c>
      <c r="N47" s="60">
        <v>570.40</v>
      </c>
      <c r="O47" s="60">
        <v>0</v>
      </c>
      <c r="P47" s="60">
        <v>2.62</v>
      </c>
      <c r="Q47" s="60">
        <v>10.130000000000001</v>
      </c>
      <c r="R47" s="194"/>
      <c r="S47" s="194"/>
      <c r="T47" s="194"/>
      <c r="U47" s="194"/>
    </row>
    <row r="48" spans="1:21" s="12" customFormat="1" ht="15">
      <c r="A48" s="197" t="s">
        <v>1148</v>
      </c>
      <c r="B48" s="60">
        <v>5.60</v>
      </c>
      <c r="C48" s="60">
        <v>11.76</v>
      </c>
      <c r="D48" s="60">
        <v>17.36</v>
      </c>
      <c r="E48" s="60">
        <v>7.94</v>
      </c>
      <c r="F48" s="60">
        <v>0.04</v>
      </c>
      <c r="G48" s="214" t="s">
        <v>36</v>
      </c>
      <c r="H48" s="60">
        <v>8.23</v>
      </c>
      <c r="I48" s="60">
        <v>4.91</v>
      </c>
      <c r="J48" s="60">
        <v>1.1100000000000001</v>
      </c>
      <c r="K48" s="60">
        <v>81.540000000000006</v>
      </c>
      <c r="L48" s="60">
        <v>51.92</v>
      </c>
      <c r="M48" s="60">
        <v>77.459999999999994</v>
      </c>
      <c r="N48" s="60">
        <v>630.5</v>
      </c>
      <c r="O48" s="60">
        <v>0</v>
      </c>
      <c r="P48" s="60">
        <v>2.62</v>
      </c>
      <c r="Q48" s="60">
        <v>9.93</v>
      </c>
      <c r="R48" s="194"/>
      <c r="S48" s="194"/>
      <c r="T48" s="194"/>
      <c r="U48" s="194"/>
    </row>
    <row r="49" spans="1:21" s="12" customFormat="1" ht="15">
      <c r="A49" s="197" t="s">
        <v>1149</v>
      </c>
      <c r="B49" s="60">
        <v>5.20</v>
      </c>
      <c r="C49" s="60">
        <v>12.15</v>
      </c>
      <c r="D49" s="60">
        <v>17.350000000000001</v>
      </c>
      <c r="E49" s="60">
        <v>7.98</v>
      </c>
      <c r="F49" s="60">
        <v>0.70</v>
      </c>
      <c r="G49" s="214" t="s">
        <v>36</v>
      </c>
      <c r="H49" s="60">
        <v>9.14</v>
      </c>
      <c r="I49" s="60">
        <v>4.76</v>
      </c>
      <c r="J49" s="60">
        <v>1.29</v>
      </c>
      <c r="K49" s="60">
        <v>61.54</v>
      </c>
      <c r="L49" s="60">
        <v>53.17</v>
      </c>
      <c r="M49" s="60">
        <v>75.63</v>
      </c>
      <c r="N49" s="60">
        <v>810.70</v>
      </c>
      <c r="O49" s="60">
        <v>0</v>
      </c>
      <c r="P49" s="60">
        <v>2.62</v>
      </c>
      <c r="Q49" s="60">
        <v>9.65</v>
      </c>
      <c r="R49" s="194"/>
      <c r="S49" s="194"/>
      <c r="T49" s="194"/>
      <c r="U49" s="194"/>
    </row>
    <row r="50" spans="1:21" s="12" customFormat="1" ht="15">
      <c r="A50" s="197" t="s">
        <v>1150</v>
      </c>
      <c r="B50" s="60">
        <v>5.14</v>
      </c>
      <c r="C50" s="60">
        <v>12.54</v>
      </c>
      <c r="D50" s="60">
        <v>17.690000000000001</v>
      </c>
      <c r="E50" s="60">
        <v>7.65</v>
      </c>
      <c r="F50" s="60">
        <v>0.65</v>
      </c>
      <c r="G50" s="214" t="s">
        <v>36</v>
      </c>
      <c r="H50" s="60">
        <v>11.38</v>
      </c>
      <c r="I50" s="60">
        <v>4.72</v>
      </c>
      <c r="J50" s="60">
        <v>1.38</v>
      </c>
      <c r="K50" s="60">
        <v>75.17</v>
      </c>
      <c r="L50" s="60">
        <v>54.75</v>
      </c>
      <c r="M50" s="60">
        <v>73.400000000000006</v>
      </c>
      <c r="N50" s="60">
        <v>990.10</v>
      </c>
      <c r="O50" s="60">
        <v>0</v>
      </c>
      <c r="P50" s="60">
        <v>2.62</v>
      </c>
      <c r="Q50" s="60">
        <v>8.0399999999999991</v>
      </c>
      <c r="R50" s="194"/>
      <c r="S50" s="194"/>
      <c r="T50" s="194"/>
      <c r="U50" s="194"/>
    </row>
    <row r="51" spans="1:21" s="12" customFormat="1" ht="15">
      <c r="A51" s="197" t="s">
        <v>1151</v>
      </c>
      <c r="B51" s="60">
        <v>5.08</v>
      </c>
      <c r="C51" s="60">
        <v>12.30</v>
      </c>
      <c r="D51" s="60">
        <v>17.38</v>
      </c>
      <c r="E51" s="60">
        <v>7.88</v>
      </c>
      <c r="F51" s="60">
        <v>0.62</v>
      </c>
      <c r="G51" s="214" t="s">
        <v>36</v>
      </c>
      <c r="H51" s="60">
        <v>11.38</v>
      </c>
      <c r="I51" s="60">
        <v>4.5999999999999996</v>
      </c>
      <c r="J51" s="60">
        <v>1.53</v>
      </c>
      <c r="K51" s="60">
        <v>64.25</v>
      </c>
      <c r="L51" s="60">
        <v>54.07</v>
      </c>
      <c r="M51" s="60">
        <v>72.89</v>
      </c>
      <c r="N51" s="60">
        <v>969.10</v>
      </c>
      <c r="O51" s="60">
        <v>0</v>
      </c>
      <c r="P51" s="60">
        <v>2.63</v>
      </c>
      <c r="Q51" s="60">
        <v>6.33</v>
      </c>
      <c r="R51" s="194"/>
      <c r="S51" s="194"/>
      <c r="T51" s="194"/>
      <c r="U51" s="194"/>
    </row>
    <row r="52" spans="1:21" s="12" customFormat="1" ht="15">
      <c r="A52" s="197" t="s">
        <v>1152</v>
      </c>
      <c r="B52" s="60">
        <v>4.9400000000000004</v>
      </c>
      <c r="C52" s="60">
        <v>12.35</v>
      </c>
      <c r="D52" s="60">
        <v>17.29</v>
      </c>
      <c r="E52" s="60">
        <v>7.72</v>
      </c>
      <c r="F52" s="60">
        <v>0.66</v>
      </c>
      <c r="G52" s="214" t="s">
        <v>36</v>
      </c>
      <c r="H52" s="60">
        <v>11.38</v>
      </c>
      <c r="I52" s="60">
        <v>4.5</v>
      </c>
      <c r="J52" s="60">
        <v>1.42</v>
      </c>
      <c r="K52" s="60">
        <v>49.28</v>
      </c>
      <c r="L52" s="60">
        <v>50.71</v>
      </c>
      <c r="M52" s="60">
        <v>73.790000000000006</v>
      </c>
      <c r="N52" s="60">
        <v>746.20</v>
      </c>
      <c r="O52" s="60">
        <v>0</v>
      </c>
      <c r="P52" s="60">
        <v>2.63</v>
      </c>
      <c r="Q52" s="60">
        <v>5.52</v>
      </c>
      <c r="R52" s="194"/>
      <c r="S52" s="194"/>
      <c r="T52" s="194"/>
      <c r="U52" s="194"/>
    </row>
    <row r="53" spans="1:21" s="12" customFormat="1" ht="15">
      <c r="A53" s="197" t="s">
        <v>1153</v>
      </c>
      <c r="B53" s="60">
        <v>5</v>
      </c>
      <c r="C53" s="60">
        <v>12.77</v>
      </c>
      <c r="D53" s="60">
        <v>17.77</v>
      </c>
      <c r="E53" s="60">
        <v>7.87</v>
      </c>
      <c r="F53" s="60">
        <v>0.83</v>
      </c>
      <c r="G53" s="214" t="s">
        <v>36</v>
      </c>
      <c r="H53" s="60">
        <v>12.21</v>
      </c>
      <c r="I53" s="60">
        <v>4.63</v>
      </c>
      <c r="J53" s="60">
        <v>1.23</v>
      </c>
      <c r="K53" s="60">
        <v>50.35</v>
      </c>
      <c r="L53" s="60">
        <v>53.61</v>
      </c>
      <c r="M53" s="60">
        <v>71.709999999999994</v>
      </c>
      <c r="N53" s="60">
        <v>1026.5</v>
      </c>
      <c r="O53" s="60">
        <v>0</v>
      </c>
      <c r="P53" s="60">
        <v>2.64</v>
      </c>
      <c r="Q53" s="60">
        <v>5.25</v>
      </c>
      <c r="R53" s="194"/>
      <c r="S53" s="194"/>
      <c r="T53" s="194"/>
      <c r="U53" s="194"/>
    </row>
    <row r="54" spans="1:21" s="12" customFormat="1" ht="15">
      <c r="A54" s="197" t="s">
        <v>1154</v>
      </c>
      <c r="B54" s="60">
        <v>5.14</v>
      </c>
      <c r="C54" s="60">
        <v>12.94</v>
      </c>
      <c r="D54" s="60">
        <v>18.07</v>
      </c>
      <c r="E54" s="60">
        <v>7.59</v>
      </c>
      <c r="F54" s="60">
        <v>0.45</v>
      </c>
      <c r="G54" s="214" t="s">
        <v>36</v>
      </c>
      <c r="H54" s="60">
        <v>14.24</v>
      </c>
      <c r="I54" s="60">
        <v>4.66</v>
      </c>
      <c r="J54" s="60">
        <v>1.1299999999999999</v>
      </c>
      <c r="K54" s="60">
        <v>40.74</v>
      </c>
      <c r="L54" s="60">
        <v>55.34</v>
      </c>
      <c r="M54" s="60">
        <v>73.89</v>
      </c>
      <c r="N54" s="60">
        <v>658.70</v>
      </c>
      <c r="O54" s="60">
        <v>0</v>
      </c>
      <c r="P54" s="60">
        <v>2.64</v>
      </c>
      <c r="Q54" s="60">
        <v>5.07</v>
      </c>
      <c r="R54" s="194"/>
      <c r="S54" s="194"/>
      <c r="T54" s="194"/>
      <c r="U54" s="194"/>
    </row>
    <row r="55" spans="1:21" s="12" customFormat="1" ht="15">
      <c r="A55" s="197" t="s">
        <v>1155</v>
      </c>
      <c r="B55" s="60">
        <v>5.09</v>
      </c>
      <c r="C55" s="60">
        <v>12.68</v>
      </c>
      <c r="D55" s="60">
        <v>17.77</v>
      </c>
      <c r="E55" s="60">
        <v>7.67</v>
      </c>
      <c r="F55" s="60">
        <v>0.88</v>
      </c>
      <c r="G55" s="214" t="s">
        <v>36</v>
      </c>
      <c r="H55" s="60">
        <v>14.24</v>
      </c>
      <c r="I55" s="60">
        <v>4.5599999999999996</v>
      </c>
      <c r="J55" s="60">
        <v>1.41</v>
      </c>
      <c r="K55" s="60">
        <v>78.89</v>
      </c>
      <c r="L55" s="60">
        <v>52.20</v>
      </c>
      <c r="M55" s="60">
        <v>73.02</v>
      </c>
      <c r="N55" s="60">
        <v>798.80</v>
      </c>
      <c r="O55" s="60">
        <v>0</v>
      </c>
      <c r="P55" s="60">
        <v>2.65</v>
      </c>
      <c r="Q55" s="60">
        <v>4.8499999999999996</v>
      </c>
      <c r="R55" s="194"/>
      <c r="S55" s="194"/>
      <c r="T55" s="194"/>
      <c r="U55" s="194"/>
    </row>
    <row r="56" spans="1:21" s="12" customFormat="1" ht="15">
      <c r="A56" s="197" t="s">
        <v>1156</v>
      </c>
      <c r="B56" s="60">
        <v>4.84</v>
      </c>
      <c r="C56" s="60">
        <v>12.44</v>
      </c>
      <c r="D56" s="60">
        <v>17.28</v>
      </c>
      <c r="E56" s="60">
        <v>3.15</v>
      </c>
      <c r="F56" s="60">
        <v>0.68</v>
      </c>
      <c r="G56" s="214" t="s">
        <v>36</v>
      </c>
      <c r="H56" s="60">
        <v>14.24</v>
      </c>
      <c r="I56" s="60">
        <v>4.6399999999999997</v>
      </c>
      <c r="J56" s="60">
        <v>1.86</v>
      </c>
      <c r="K56" s="60">
        <v>80.180000000000007</v>
      </c>
      <c r="L56" s="60">
        <v>50.67</v>
      </c>
      <c r="M56" s="60">
        <v>74.64</v>
      </c>
      <c r="N56" s="60">
        <v>411.30</v>
      </c>
      <c r="O56" s="60">
        <v>0</v>
      </c>
      <c r="P56" s="60">
        <v>2.64</v>
      </c>
      <c r="Q56" s="60">
        <v>4.74</v>
      </c>
      <c r="R56" s="194"/>
      <c r="S56" s="194"/>
      <c r="T56" s="194"/>
      <c r="U56" s="194"/>
    </row>
    <row r="57" spans="1:21" s="12" customFormat="1" ht="15">
      <c r="A57" s="197" t="s">
        <v>1157</v>
      </c>
      <c r="B57" s="60">
        <v>4.5599999999999996</v>
      </c>
      <c r="C57" s="60">
        <v>12.35</v>
      </c>
      <c r="D57" s="60">
        <v>16.91</v>
      </c>
      <c r="E57" s="60">
        <v>7.21</v>
      </c>
      <c r="F57" s="60">
        <v>0.34</v>
      </c>
      <c r="G57" s="214" t="s">
        <v>36</v>
      </c>
      <c r="H57" s="60">
        <v>13.02</v>
      </c>
      <c r="I57" s="60">
        <v>4.68</v>
      </c>
      <c r="J57" s="60">
        <v>1.53</v>
      </c>
      <c r="K57" s="60">
        <v>80.77</v>
      </c>
      <c r="L57" s="60">
        <v>51.72</v>
      </c>
      <c r="M57" s="60">
        <v>74.45</v>
      </c>
      <c r="N57" s="60">
        <v>253.30</v>
      </c>
      <c r="O57" s="60">
        <v>0</v>
      </c>
      <c r="P57" s="60">
        <v>2.65</v>
      </c>
      <c r="Q57" s="60">
        <v>4.91</v>
      </c>
      <c r="R57" s="194"/>
      <c r="S57" s="194"/>
      <c r="T57" s="194"/>
      <c r="U57" s="194"/>
    </row>
    <row r="58" spans="1:21" s="12" customFormat="1" ht="15">
      <c r="A58" s="197" t="s">
        <v>1158</v>
      </c>
      <c r="B58" s="60">
        <v>4.3899999999999997</v>
      </c>
      <c r="C58" s="60">
        <v>11.83</v>
      </c>
      <c r="D58" s="60">
        <v>16.22</v>
      </c>
      <c r="E58" s="60">
        <v>7.51</v>
      </c>
      <c r="F58" s="60">
        <v>0.28999999999999998</v>
      </c>
      <c r="G58" s="214" t="s">
        <v>36</v>
      </c>
      <c r="H58" s="60">
        <v>10.02</v>
      </c>
      <c r="I58" s="60">
        <v>4.72</v>
      </c>
      <c r="J58" s="60">
        <v>1.72</v>
      </c>
      <c r="K58" s="60">
        <v>89.91</v>
      </c>
      <c r="L58" s="60">
        <v>49.26</v>
      </c>
      <c r="M58" s="60">
        <v>74.61</v>
      </c>
      <c r="N58" s="60">
        <v>252.90</v>
      </c>
      <c r="O58" s="60">
        <v>0</v>
      </c>
      <c r="P58" s="60">
        <v>2.64</v>
      </c>
      <c r="Q58" s="60">
        <v>6.15</v>
      </c>
      <c r="R58" s="194"/>
      <c r="S58" s="194"/>
      <c r="T58" s="194"/>
      <c r="U58" s="194"/>
    </row>
    <row r="59" spans="1:21" s="12" customFormat="1" ht="15">
      <c r="A59" s="197" t="s">
        <v>1159</v>
      </c>
      <c r="B59" s="60">
        <v>4.03</v>
      </c>
      <c r="C59" s="60">
        <v>11.81</v>
      </c>
      <c r="D59" s="60">
        <v>15.83</v>
      </c>
      <c r="E59" s="60">
        <v>7.39</v>
      </c>
      <c r="F59" s="60">
        <v>0.47</v>
      </c>
      <c r="G59" s="214" t="s">
        <v>36</v>
      </c>
      <c r="H59" s="60">
        <v>10.02</v>
      </c>
      <c r="I59" s="60">
        <v>4.74</v>
      </c>
      <c r="J59" s="60">
        <v>1.93</v>
      </c>
      <c r="K59" s="60">
        <v>92.60</v>
      </c>
      <c r="L59" s="60">
        <v>52.38</v>
      </c>
      <c r="M59" s="60">
        <v>77.44</v>
      </c>
      <c r="N59" s="60">
        <v>278.30</v>
      </c>
      <c r="O59" s="60">
        <v>0</v>
      </c>
      <c r="P59" s="60">
        <v>2.63</v>
      </c>
      <c r="Q59" s="60">
        <v>7.75</v>
      </c>
      <c r="R59" s="194"/>
      <c r="S59" s="194"/>
      <c r="T59" s="194"/>
      <c r="U59" s="194"/>
    </row>
    <row r="60" spans="1:21" s="12" customFormat="1" ht="15">
      <c r="A60" s="197" t="s">
        <v>1160</v>
      </c>
      <c r="B60" s="60">
        <v>3.42</v>
      </c>
      <c r="C60" s="60">
        <v>11.79</v>
      </c>
      <c r="D60" s="60">
        <v>15.20</v>
      </c>
      <c r="E60" s="60">
        <v>7.53</v>
      </c>
      <c r="F60" s="60">
        <v>0.48</v>
      </c>
      <c r="G60" s="214" t="s">
        <v>36</v>
      </c>
      <c r="H60" s="60">
        <v>10.02</v>
      </c>
      <c r="I60" s="60">
        <v>4.6900000000000004</v>
      </c>
      <c r="J60" s="60">
        <v>2.36</v>
      </c>
      <c r="K60" s="60">
        <v>101.43</v>
      </c>
      <c r="L60" s="60">
        <v>50.74</v>
      </c>
      <c r="M60" s="60">
        <v>82.52</v>
      </c>
      <c r="N60" s="60">
        <v>366.60</v>
      </c>
      <c r="O60" s="60">
        <v>0</v>
      </c>
      <c r="P60" s="60">
        <v>2.63</v>
      </c>
      <c r="Q60" s="60">
        <v>8.49</v>
      </c>
      <c r="R60" s="194"/>
      <c r="S60" s="194"/>
      <c r="T60" s="194"/>
      <c r="U60" s="194"/>
    </row>
    <row r="61" spans="1:21" s="12" customFormat="1" ht="15">
      <c r="A61" s="197" t="s">
        <v>1161</v>
      </c>
      <c r="B61" s="60">
        <v>2.89</v>
      </c>
      <c r="C61" s="60">
        <v>11.5</v>
      </c>
      <c r="D61" s="60">
        <v>14.40</v>
      </c>
      <c r="E61" s="60">
        <v>7.38</v>
      </c>
      <c r="F61" s="60">
        <v>0.20</v>
      </c>
      <c r="G61" s="214" t="s">
        <v>36</v>
      </c>
      <c r="H61" s="60">
        <v>9.27</v>
      </c>
      <c r="I61" s="60">
        <v>4.59</v>
      </c>
      <c r="J61" s="60">
        <v>1.44</v>
      </c>
      <c r="K61" s="60">
        <v>91.28</v>
      </c>
      <c r="L61" s="60">
        <v>50.48</v>
      </c>
      <c r="M61" s="60">
        <v>82.55</v>
      </c>
      <c r="N61" s="60">
        <v>279.10000000000002</v>
      </c>
      <c r="O61" s="60">
        <v>0</v>
      </c>
      <c r="P61" s="60">
        <v>2.60</v>
      </c>
      <c r="Q61" s="60">
        <v>8.32</v>
      </c>
      <c r="R61" s="194"/>
      <c r="S61" s="194"/>
      <c r="T61" s="194"/>
      <c r="U61" s="194"/>
    </row>
    <row r="62" spans="1:21" s="12" customFormat="1" ht="15">
      <c r="A62" s="197" t="s">
        <v>1162</v>
      </c>
      <c r="B62" s="60">
        <v>2.70</v>
      </c>
      <c r="C62" s="60">
        <v>11.40</v>
      </c>
      <c r="D62" s="60">
        <v>14.10</v>
      </c>
      <c r="E62" s="60">
        <v>6.48</v>
      </c>
      <c r="F62" s="60">
        <v>1.36</v>
      </c>
      <c r="G62" s="214" t="s">
        <v>36</v>
      </c>
      <c r="H62" s="60">
        <v>7.43</v>
      </c>
      <c r="I62" s="60">
        <v>4.54</v>
      </c>
      <c r="J62" s="60">
        <v>1.1299999999999999</v>
      </c>
      <c r="K62" s="60">
        <v>91.57</v>
      </c>
      <c r="L62" s="60">
        <v>47.64</v>
      </c>
      <c r="M62" s="60">
        <v>81.599999999999994</v>
      </c>
      <c r="N62" s="60">
        <v>145.5</v>
      </c>
      <c r="O62" s="60">
        <v>0</v>
      </c>
      <c r="P62" s="60">
        <v>2.61</v>
      </c>
      <c r="Q62" s="60">
        <v>8.23</v>
      </c>
      <c r="R62" s="194"/>
      <c r="S62" s="194"/>
      <c r="T62" s="194"/>
      <c r="U62" s="194"/>
    </row>
    <row r="63" spans="1:21" s="12" customFormat="1" ht="15">
      <c r="A63" s="197" t="s">
        <v>1163</v>
      </c>
      <c r="B63" s="60">
        <v>2.93</v>
      </c>
      <c r="C63" s="60">
        <v>11.73</v>
      </c>
      <c r="D63" s="60">
        <v>14.66</v>
      </c>
      <c r="E63" s="60">
        <v>6.95</v>
      </c>
      <c r="F63" s="60">
        <v>0.38</v>
      </c>
      <c r="G63" s="214" t="s">
        <v>36</v>
      </c>
      <c r="H63" s="60">
        <v>7.43</v>
      </c>
      <c r="I63" s="60">
        <v>4.43</v>
      </c>
      <c r="J63" s="60">
        <v>1.21</v>
      </c>
      <c r="K63" s="60">
        <v>22.43</v>
      </c>
      <c r="L63" s="60">
        <v>50.87</v>
      </c>
      <c r="M63" s="60">
        <v>84.09</v>
      </c>
      <c r="N63" s="60">
        <v>116.5</v>
      </c>
      <c r="O63" s="60">
        <v>0</v>
      </c>
      <c r="P63" s="60">
        <v>2.62</v>
      </c>
      <c r="Q63" s="60">
        <v>8.31</v>
      </c>
      <c r="R63" s="194"/>
      <c r="S63" s="194"/>
      <c r="T63" s="194"/>
      <c r="U63" s="194"/>
    </row>
    <row r="64" spans="1:21" s="12" customFormat="1" ht="15">
      <c r="A64" s="197" t="s">
        <v>1164</v>
      </c>
      <c r="B64" s="60">
        <v>3.88</v>
      </c>
      <c r="C64" s="60">
        <v>13.11</v>
      </c>
      <c r="D64" s="60">
        <v>17</v>
      </c>
      <c r="E64" s="60">
        <v>6.93</v>
      </c>
      <c r="F64" s="60">
        <v>0.32</v>
      </c>
      <c r="G64" s="214" t="s">
        <v>36</v>
      </c>
      <c r="H64" s="60">
        <v>7.43</v>
      </c>
      <c r="I64" s="60">
        <v>4.42</v>
      </c>
      <c r="J64" s="60">
        <v>1.94</v>
      </c>
      <c r="K64" s="60">
        <v>355.34</v>
      </c>
      <c r="L64" s="60">
        <v>52.40</v>
      </c>
      <c r="M64" s="60">
        <v>82.77</v>
      </c>
      <c r="N64" s="60">
        <v>799.80</v>
      </c>
      <c r="O64" s="60">
        <v>0</v>
      </c>
      <c r="P64" s="60">
        <v>2.65</v>
      </c>
      <c r="Q64" s="60">
        <v>8.2200000000000006</v>
      </c>
      <c r="R64" s="194"/>
      <c r="S64" s="194"/>
      <c r="T64" s="194"/>
      <c r="U64" s="194"/>
    </row>
    <row r="65" spans="1:21" s="12" customFormat="1" ht="15">
      <c r="A65" s="197" t="s">
        <v>1165</v>
      </c>
      <c r="B65" s="60">
        <v>4.70</v>
      </c>
      <c r="C65" s="60">
        <v>14.11</v>
      </c>
      <c r="D65" s="60">
        <v>18.809999999999999</v>
      </c>
      <c r="E65" s="60">
        <v>6.68</v>
      </c>
      <c r="F65" s="60">
        <v>0.83</v>
      </c>
      <c r="G65" s="214" t="s">
        <v>36</v>
      </c>
      <c r="H65" s="60">
        <v>8.0500000000000007</v>
      </c>
      <c r="I65" s="60">
        <v>4.45</v>
      </c>
      <c r="J65" s="60">
        <v>1.69</v>
      </c>
      <c r="K65" s="60">
        <v>344.07</v>
      </c>
      <c r="L65" s="60">
        <v>54.89</v>
      </c>
      <c r="M65" s="60">
        <v>71.42</v>
      </c>
      <c r="N65" s="60">
        <v>677.30</v>
      </c>
      <c r="O65" s="60">
        <v>0</v>
      </c>
      <c r="P65" s="60">
        <v>2.68</v>
      </c>
      <c r="Q65" s="60">
        <v>6.89</v>
      </c>
      <c r="R65" s="194"/>
      <c r="S65" s="194"/>
      <c r="T65" s="194"/>
      <c r="U65" s="194"/>
    </row>
    <row r="66" spans="1:21" s="12" customFormat="1" ht="15">
      <c r="A66" s="197" t="s">
        <v>1166</v>
      </c>
      <c r="B66" s="60">
        <v>5.38</v>
      </c>
      <c r="C66" s="60">
        <v>14.95</v>
      </c>
      <c r="D66" s="60">
        <v>20.329999999999998</v>
      </c>
      <c r="E66" s="60">
        <v>6.69</v>
      </c>
      <c r="F66" s="60">
        <v>2</v>
      </c>
      <c r="G66" s="214" t="s">
        <v>36</v>
      </c>
      <c r="H66" s="60">
        <v>9.56</v>
      </c>
      <c r="I66" s="60">
        <v>4.4400000000000004</v>
      </c>
      <c r="J66" s="60">
        <v>1.69</v>
      </c>
      <c r="K66" s="60">
        <v>347.06</v>
      </c>
      <c r="L66" s="60">
        <v>55.66</v>
      </c>
      <c r="M66" s="60">
        <v>71.53</v>
      </c>
      <c r="N66" s="60">
        <v>411</v>
      </c>
      <c r="O66" s="60">
        <v>0</v>
      </c>
      <c r="P66" s="60">
        <v>2.70</v>
      </c>
      <c r="Q66" s="60">
        <v>6.17</v>
      </c>
      <c r="R66" s="194"/>
      <c r="S66" s="194"/>
      <c r="T66" s="194"/>
      <c r="U66" s="194"/>
    </row>
    <row r="67" spans="1:21" s="12" customFormat="1" ht="15">
      <c r="A67" s="197" t="s">
        <v>1167</v>
      </c>
      <c r="B67" s="60">
        <v>5.41</v>
      </c>
      <c r="C67" s="60">
        <v>15.66</v>
      </c>
      <c r="D67" s="60">
        <v>21.06</v>
      </c>
      <c r="E67" s="60">
        <v>6.83</v>
      </c>
      <c r="F67" s="60">
        <v>1.02</v>
      </c>
      <c r="G67" s="214" t="s">
        <v>36</v>
      </c>
      <c r="H67" s="60">
        <v>9.56</v>
      </c>
      <c r="I67" s="60">
        <v>4.46</v>
      </c>
      <c r="J67" s="60">
        <v>1.73</v>
      </c>
      <c r="K67" s="60">
        <v>355.03</v>
      </c>
      <c r="L67" s="60">
        <v>54.5</v>
      </c>
      <c r="M67" s="60">
        <v>70.59</v>
      </c>
      <c r="N67" s="60">
        <v>305.30</v>
      </c>
      <c r="O67" s="60">
        <v>0</v>
      </c>
      <c r="P67" s="60">
        <v>2.72</v>
      </c>
      <c r="Q67" s="60">
        <v>5.80</v>
      </c>
      <c r="R67" s="194"/>
      <c r="S67" s="194"/>
      <c r="T67" s="194"/>
      <c r="U67" s="194"/>
    </row>
    <row r="68" spans="1:21" s="12" customFormat="1" ht="15">
      <c r="A68" s="197" t="s">
        <v>1168</v>
      </c>
      <c r="B68" s="60">
        <v>5.38</v>
      </c>
      <c r="C68" s="60">
        <v>16.36</v>
      </c>
      <c r="D68" s="60">
        <v>21.75</v>
      </c>
      <c r="E68" s="60">
        <v>6.60</v>
      </c>
      <c r="F68" s="60">
        <v>1.1499999999999999</v>
      </c>
      <c r="G68" s="214" t="s">
        <v>36</v>
      </c>
      <c r="H68" s="60">
        <v>9.56</v>
      </c>
      <c r="I68" s="60">
        <v>4.4800000000000004</v>
      </c>
      <c r="J68" s="60">
        <v>1.57</v>
      </c>
      <c r="K68" s="60">
        <v>0.36</v>
      </c>
      <c r="L68" s="60">
        <v>57.62</v>
      </c>
      <c r="M68" s="60">
        <v>73.78</v>
      </c>
      <c r="N68" s="60">
        <v>316.10000000000002</v>
      </c>
      <c r="O68" s="60">
        <v>0</v>
      </c>
      <c r="P68" s="60">
        <v>2.73</v>
      </c>
      <c r="Q68" s="60">
        <v>5.59</v>
      </c>
      <c r="R68" s="194"/>
      <c r="S68" s="194"/>
      <c r="T68" s="194"/>
      <c r="U68" s="194"/>
    </row>
    <row r="69" spans="1:21" s="12" customFormat="1" ht="15">
      <c r="A69" s="197" t="s">
        <v>1169</v>
      </c>
      <c r="B69" s="60">
        <v>5.12</v>
      </c>
      <c r="C69" s="60">
        <v>16.84</v>
      </c>
      <c r="D69" s="60">
        <v>21.97</v>
      </c>
      <c r="E69" s="60">
        <v>7</v>
      </c>
      <c r="F69" s="60">
        <v>0.93</v>
      </c>
      <c r="G69" s="214" t="s">
        <v>36</v>
      </c>
      <c r="H69" s="60">
        <v>8.73</v>
      </c>
      <c r="I69" s="60">
        <v>4.54</v>
      </c>
      <c r="J69" s="60">
        <v>1.42</v>
      </c>
      <c r="K69" s="60">
        <v>6.51</v>
      </c>
      <c r="L69" s="60">
        <v>56.44</v>
      </c>
      <c r="M69" s="60">
        <v>73.06</v>
      </c>
      <c r="N69" s="60">
        <v>450.30</v>
      </c>
      <c r="O69" s="60">
        <v>0</v>
      </c>
      <c r="P69" s="60">
        <v>2.74</v>
      </c>
      <c r="Q69" s="60">
        <v>5.52</v>
      </c>
      <c r="R69" s="194"/>
      <c r="S69" s="194"/>
      <c r="T69" s="194"/>
      <c r="U69" s="194"/>
    </row>
    <row r="70" spans="1:21" s="12" customFormat="1" ht="15">
      <c r="A70" s="197" t="s">
        <v>1170</v>
      </c>
      <c r="B70" s="60">
        <v>5.24</v>
      </c>
      <c r="C70" s="60">
        <v>17.309999999999999</v>
      </c>
      <c r="D70" s="60">
        <v>22.55</v>
      </c>
      <c r="E70" s="60">
        <v>6.59</v>
      </c>
      <c r="F70" s="60">
        <v>0.81</v>
      </c>
      <c r="G70" s="214" t="s">
        <v>36</v>
      </c>
      <c r="H70" s="60">
        <v>6.69</v>
      </c>
      <c r="I70" s="60">
        <v>4.68</v>
      </c>
      <c r="J70" s="60">
        <v>1.59</v>
      </c>
      <c r="K70" s="60">
        <v>348</v>
      </c>
      <c r="L70" s="60">
        <v>55.86</v>
      </c>
      <c r="M70" s="60">
        <v>72.77</v>
      </c>
      <c r="N70" s="60">
        <v>459.60</v>
      </c>
      <c r="O70" s="60">
        <v>0</v>
      </c>
      <c r="P70" s="60">
        <v>2.76</v>
      </c>
      <c r="Q70" s="60">
        <v>5.54</v>
      </c>
      <c r="R70" s="194"/>
      <c r="S70" s="194"/>
      <c r="T70" s="194"/>
      <c r="U70" s="194"/>
    </row>
    <row r="71" spans="1:21" s="12" customFormat="1" ht="15">
      <c r="A71" s="197" t="s">
        <v>1171</v>
      </c>
      <c r="B71" s="60">
        <v>5.45</v>
      </c>
      <c r="C71" s="60">
        <v>17.77</v>
      </c>
      <c r="D71" s="60">
        <v>23.21</v>
      </c>
      <c r="E71" s="60">
        <v>6.67</v>
      </c>
      <c r="F71" s="60">
        <v>0.63</v>
      </c>
      <c r="G71" s="214" t="s">
        <v>36</v>
      </c>
      <c r="H71" s="60">
        <v>6.69</v>
      </c>
      <c r="I71" s="60">
        <v>4.67</v>
      </c>
      <c r="J71" s="60">
        <v>2.0099999999999998</v>
      </c>
      <c r="K71" s="60">
        <v>331.74</v>
      </c>
      <c r="L71" s="60">
        <v>54.90</v>
      </c>
      <c r="M71" s="60">
        <v>74.010000000000005</v>
      </c>
      <c r="N71" s="60">
        <v>577</v>
      </c>
      <c r="O71" s="60">
        <v>0</v>
      </c>
      <c r="P71" s="60">
        <v>2.78</v>
      </c>
      <c r="Q71" s="60">
        <v>5.75</v>
      </c>
      <c r="R71" s="194"/>
      <c r="S71" s="194"/>
      <c r="T71" s="194"/>
      <c r="U71" s="194"/>
    </row>
    <row r="72" spans="1:21" s="12" customFormat="1" ht="15">
      <c r="A72" s="197" t="s">
        <v>1172</v>
      </c>
      <c r="B72" s="60">
        <v>5.58</v>
      </c>
      <c r="C72" s="60">
        <v>17.96</v>
      </c>
      <c r="D72" s="60">
        <v>23.53</v>
      </c>
      <c r="E72" s="60">
        <v>3.24</v>
      </c>
      <c r="F72" s="60">
        <v>1</v>
      </c>
      <c r="G72" s="214" t="s">
        <v>36</v>
      </c>
      <c r="H72" s="60">
        <v>6.69</v>
      </c>
      <c r="I72" s="60">
        <v>4.7699999999999996</v>
      </c>
      <c r="J72" s="60">
        <v>2.08</v>
      </c>
      <c r="K72" s="60">
        <v>346.64</v>
      </c>
      <c r="L72" s="60">
        <v>56.19</v>
      </c>
      <c r="M72" s="60">
        <v>71.25</v>
      </c>
      <c r="N72" s="60">
        <v>467</v>
      </c>
      <c r="O72" s="60">
        <v>0</v>
      </c>
      <c r="P72" s="60">
        <v>2.79</v>
      </c>
      <c r="Q72" s="60">
        <v>6.42</v>
      </c>
      <c r="R72" s="194"/>
      <c r="S72" s="194"/>
      <c r="T72" s="194"/>
      <c r="U72" s="194"/>
    </row>
    <row r="73" spans="1:21" s="12" customFormat="1" ht="15">
      <c r="A73" s="197" t="s">
        <v>1173</v>
      </c>
      <c r="B73" s="60">
        <v>5.84</v>
      </c>
      <c r="C73" s="60">
        <v>18.97</v>
      </c>
      <c r="D73" s="60">
        <v>24.81</v>
      </c>
      <c r="E73" s="60">
        <v>6.51</v>
      </c>
      <c r="F73" s="60">
        <v>0.46</v>
      </c>
      <c r="G73" s="214" t="s">
        <v>36</v>
      </c>
      <c r="H73" s="60">
        <v>8.51</v>
      </c>
      <c r="I73" s="60">
        <v>4.84</v>
      </c>
      <c r="J73" s="60">
        <v>1.80</v>
      </c>
      <c r="K73" s="60">
        <v>356.08</v>
      </c>
      <c r="L73" s="60">
        <v>51.20</v>
      </c>
      <c r="M73" s="60">
        <v>71.88</v>
      </c>
      <c r="N73" s="60">
        <v>422.80</v>
      </c>
      <c r="O73" s="60">
        <v>0</v>
      </c>
      <c r="P73" s="60">
        <v>2.82</v>
      </c>
      <c r="Q73" s="60">
        <v>8.33</v>
      </c>
      <c r="R73" s="194"/>
      <c r="S73" s="194"/>
      <c r="T73" s="194"/>
      <c r="U73" s="194"/>
    </row>
    <row r="74" spans="1:21" s="12" customFormat="1" ht="15">
      <c r="A74" s="197" t="s">
        <v>1174</v>
      </c>
      <c r="B74" s="60">
        <v>6.22</v>
      </c>
      <c r="C74" s="60">
        <v>19.75</v>
      </c>
      <c r="D74" s="60">
        <v>25.97</v>
      </c>
      <c r="E74" s="60">
        <v>6.40</v>
      </c>
      <c r="F74" s="60">
        <v>0.20</v>
      </c>
      <c r="G74" s="214" t="s">
        <v>36</v>
      </c>
      <c r="H74" s="60">
        <v>13</v>
      </c>
      <c r="I74" s="60">
        <v>4.82</v>
      </c>
      <c r="J74" s="60">
        <v>1.78</v>
      </c>
      <c r="K74" s="60">
        <v>358.86</v>
      </c>
      <c r="L74" s="60">
        <v>53.90</v>
      </c>
      <c r="M74" s="60">
        <v>73.489999999999995</v>
      </c>
      <c r="N74" s="60">
        <v>300.10000000000002</v>
      </c>
      <c r="O74" s="60">
        <v>0</v>
      </c>
      <c r="P74" s="60">
        <v>2.86</v>
      </c>
      <c r="Q74" s="60">
        <v>9.77</v>
      </c>
      <c r="R74" s="194"/>
      <c r="S74" s="194"/>
      <c r="T74" s="194"/>
      <c r="U74" s="194"/>
    </row>
    <row r="75" spans="1:21" s="12" customFormat="1" ht="15">
      <c r="A75" s="197" t="s">
        <v>1175</v>
      </c>
      <c r="B75" s="60">
        <v>6.78</v>
      </c>
      <c r="C75" s="60">
        <v>20.64</v>
      </c>
      <c r="D75" s="60">
        <v>27.41</v>
      </c>
      <c r="E75" s="60">
        <v>6.87</v>
      </c>
      <c r="F75" s="60">
        <v>0.38</v>
      </c>
      <c r="G75" s="214" t="s">
        <v>36</v>
      </c>
      <c r="H75" s="60">
        <v>13</v>
      </c>
      <c r="I75" s="60">
        <v>4.97</v>
      </c>
      <c r="J75" s="60">
        <v>2.10</v>
      </c>
      <c r="K75" s="60">
        <v>1.1399999999999999</v>
      </c>
      <c r="L75" s="60">
        <v>49.45</v>
      </c>
      <c r="M75" s="60">
        <v>73.05</v>
      </c>
      <c r="N75" s="60">
        <v>204.40</v>
      </c>
      <c r="O75" s="60">
        <v>0</v>
      </c>
      <c r="P75" s="60">
        <v>2.91</v>
      </c>
      <c r="Q75" s="60">
        <v>10.80</v>
      </c>
      <c r="R75" s="194"/>
      <c r="S75" s="194"/>
      <c r="T75" s="194"/>
      <c r="U75" s="194"/>
    </row>
    <row r="76" spans="1:21" s="12" customFormat="1" ht="15">
      <c r="A76" s="197" t="s">
        <v>1176</v>
      </c>
      <c r="B76" s="60">
        <v>6.84</v>
      </c>
      <c r="C76" s="60">
        <v>20.94</v>
      </c>
      <c r="D76" s="60">
        <v>27.79</v>
      </c>
      <c r="E76" s="60">
        <v>6.26</v>
      </c>
      <c r="F76" s="60">
        <v>0.61</v>
      </c>
      <c r="G76" s="214" t="s">
        <v>36</v>
      </c>
      <c r="H76" s="60">
        <v>13</v>
      </c>
      <c r="I76" s="60">
        <v>4.99</v>
      </c>
      <c r="J76" s="60">
        <v>1.75</v>
      </c>
      <c r="K76" s="60">
        <v>355.20</v>
      </c>
      <c r="L76" s="60">
        <v>51.74</v>
      </c>
      <c r="M76" s="60">
        <v>74.260000000000005</v>
      </c>
      <c r="N76" s="60">
        <v>204.90</v>
      </c>
      <c r="O76" s="60">
        <v>0</v>
      </c>
      <c r="P76" s="60">
        <v>2.91</v>
      </c>
      <c r="Q76" s="60">
        <v>11.08</v>
      </c>
      <c r="R76" s="194"/>
      <c r="S76" s="194"/>
      <c r="T76" s="194"/>
      <c r="U76" s="194"/>
    </row>
    <row r="77" spans="1:21" s="12" customFormat="1" ht="15">
      <c r="A77" s="197" t="s">
        <v>1177</v>
      </c>
      <c r="B77" s="60">
        <v>6.69</v>
      </c>
      <c r="C77" s="60">
        <v>20.61</v>
      </c>
      <c r="D77" s="60">
        <v>27.30</v>
      </c>
      <c r="E77" s="60">
        <v>5.94</v>
      </c>
      <c r="F77" s="60">
        <v>1.18</v>
      </c>
      <c r="G77" s="214" t="s">
        <v>36</v>
      </c>
      <c r="H77" s="60">
        <v>13.77</v>
      </c>
      <c r="I77" s="60">
        <v>4.99</v>
      </c>
      <c r="J77" s="60">
        <v>1.1000000000000001</v>
      </c>
      <c r="K77" s="60">
        <v>2.67</v>
      </c>
      <c r="L77" s="60">
        <v>51.37</v>
      </c>
      <c r="M77" s="60">
        <v>74.02</v>
      </c>
      <c r="N77" s="60">
        <v>83.10</v>
      </c>
      <c r="O77" s="60">
        <v>0</v>
      </c>
      <c r="P77" s="60">
        <v>2.92</v>
      </c>
      <c r="Q77" s="60">
        <v>11.02</v>
      </c>
      <c r="R77" s="194"/>
      <c r="S77" s="194"/>
      <c r="T77" s="194"/>
      <c r="U77" s="194"/>
    </row>
    <row r="78" spans="1:21" s="12" customFormat="1" ht="15">
      <c r="A78" s="197" t="s">
        <v>1178</v>
      </c>
      <c r="B78" s="60">
        <v>6.94</v>
      </c>
      <c r="C78" s="60">
        <v>20.80</v>
      </c>
      <c r="D78" s="60">
        <v>27.74</v>
      </c>
      <c r="E78" s="60">
        <v>5.62</v>
      </c>
      <c r="F78" s="60">
        <v>0.16</v>
      </c>
      <c r="G78" s="214" t="s">
        <v>36</v>
      </c>
      <c r="H78" s="60">
        <v>15.65</v>
      </c>
      <c r="I78" s="60">
        <v>4.95</v>
      </c>
      <c r="J78" s="60">
        <v>1.37</v>
      </c>
      <c r="K78" s="60">
        <v>0.31</v>
      </c>
      <c r="L78" s="60">
        <v>51.60</v>
      </c>
      <c r="M78" s="60">
        <v>75.680000000000007</v>
      </c>
      <c r="N78" s="60">
        <v>67.599999999999994</v>
      </c>
      <c r="O78" s="60">
        <v>0</v>
      </c>
      <c r="P78" s="60">
        <v>2.93</v>
      </c>
      <c r="Q78" s="60">
        <v>10.77</v>
      </c>
      <c r="R78" s="194"/>
      <c r="S78" s="194"/>
      <c r="T78" s="194"/>
      <c r="U78" s="194"/>
    </row>
    <row r="79" spans="1:21" s="12" customFormat="1" ht="15">
      <c r="A79" s="197" t="s">
        <v>1179</v>
      </c>
      <c r="B79" s="60">
        <v>7.58</v>
      </c>
      <c r="C79" s="60">
        <v>21.15</v>
      </c>
      <c r="D79" s="60">
        <v>28.72</v>
      </c>
      <c r="E79" s="60">
        <v>5.90</v>
      </c>
      <c r="F79" s="60">
        <v>0.70</v>
      </c>
      <c r="G79" s="214" t="s">
        <v>36</v>
      </c>
      <c r="H79" s="60">
        <v>15.65</v>
      </c>
      <c r="I79" s="60">
        <v>4.91</v>
      </c>
      <c r="J79" s="60">
        <v>1.49</v>
      </c>
      <c r="K79" s="60">
        <v>359.11</v>
      </c>
      <c r="L79" s="60">
        <v>53.22</v>
      </c>
      <c r="M79" s="60">
        <v>77.239999999999995</v>
      </c>
      <c r="N79" s="60">
        <v>45.60</v>
      </c>
      <c r="O79" s="60">
        <v>0</v>
      </c>
      <c r="P79" s="60">
        <v>2.93</v>
      </c>
      <c r="Q79" s="60">
        <v>9.6300000000000008</v>
      </c>
      <c r="R79" s="194"/>
      <c r="S79" s="194"/>
      <c r="T79" s="194"/>
      <c r="U79" s="194"/>
    </row>
    <row r="80" spans="1:21" s="12" customFormat="1" ht="15">
      <c r="A80" s="197" t="s">
        <v>1180</v>
      </c>
      <c r="B80" s="60">
        <v>8.4499999999999993</v>
      </c>
      <c r="C80" s="60">
        <v>21.53</v>
      </c>
      <c r="D80" s="60">
        <v>29.98</v>
      </c>
      <c r="E80" s="60">
        <v>6.10</v>
      </c>
      <c r="F80" s="60">
        <v>0.56999999999999995</v>
      </c>
      <c r="G80" s="214" t="s">
        <v>36</v>
      </c>
      <c r="H80" s="60">
        <v>15.65</v>
      </c>
      <c r="I80" s="60">
        <v>5</v>
      </c>
      <c r="J80" s="60">
        <v>1.92</v>
      </c>
      <c r="K80" s="60">
        <v>355.20</v>
      </c>
      <c r="L80" s="60">
        <v>52.44</v>
      </c>
      <c r="M80" s="60">
        <v>79.61</v>
      </c>
      <c r="N80" s="60">
        <v>19.899999999999999</v>
      </c>
      <c r="O80" s="60">
        <v>0</v>
      </c>
      <c r="P80" s="60">
        <v>2.99</v>
      </c>
      <c r="Q80" s="60">
        <v>8.5399999999999991</v>
      </c>
      <c r="R80" s="194"/>
      <c r="S80" s="194"/>
      <c r="T80" s="194"/>
      <c r="U80" s="194"/>
    </row>
    <row r="81" spans="1:21" s="12" customFormat="1" ht="15">
      <c r="A81" s="197" t="s">
        <v>1181</v>
      </c>
      <c r="B81" s="60">
        <v>8.7799999999999994</v>
      </c>
      <c r="C81" s="60">
        <v>21.73</v>
      </c>
      <c r="D81" s="60">
        <v>30.51</v>
      </c>
      <c r="E81" s="60">
        <v>5.91</v>
      </c>
      <c r="F81" s="60">
        <v>0.53</v>
      </c>
      <c r="G81" s="214" t="s">
        <v>36</v>
      </c>
      <c r="H81" s="60">
        <v>15.33</v>
      </c>
      <c r="I81" s="60">
        <v>4.97</v>
      </c>
      <c r="J81" s="60">
        <v>1.57</v>
      </c>
      <c r="K81" s="60">
        <v>356.01</v>
      </c>
      <c r="L81" s="60">
        <v>56.87</v>
      </c>
      <c r="M81" s="60">
        <v>81.290000000000006</v>
      </c>
      <c r="N81" s="60">
        <v>25.20</v>
      </c>
      <c r="O81" s="60">
        <v>0</v>
      </c>
      <c r="P81" s="60">
        <v>3.06</v>
      </c>
      <c r="Q81" s="60">
        <v>8</v>
      </c>
      <c r="R81" s="194"/>
      <c r="S81" s="194"/>
      <c r="T81" s="194"/>
      <c r="U81" s="194"/>
    </row>
    <row r="82" spans="1:21" s="12" customFormat="1" ht="15">
      <c r="A82" s="197" t="s">
        <v>1182</v>
      </c>
      <c r="B82" s="60">
        <v>9.32</v>
      </c>
      <c r="C82" s="60">
        <v>21.30</v>
      </c>
      <c r="D82" s="60">
        <v>30.61</v>
      </c>
      <c r="E82" s="60">
        <v>6.20</v>
      </c>
      <c r="F82" s="60">
        <v>0.53</v>
      </c>
      <c r="G82" s="214" t="s">
        <v>36</v>
      </c>
      <c r="H82" s="60">
        <v>14.53</v>
      </c>
      <c r="I82" s="60">
        <v>5.1100000000000003</v>
      </c>
      <c r="J82" s="60">
        <v>1.1100000000000001</v>
      </c>
      <c r="K82" s="60">
        <v>356.38</v>
      </c>
      <c r="L82" s="60">
        <v>56.68</v>
      </c>
      <c r="M82" s="60">
        <v>81.38</v>
      </c>
      <c r="N82" s="60">
        <v>17.399999999999999</v>
      </c>
      <c r="O82" s="60">
        <v>0</v>
      </c>
      <c r="P82" s="60">
        <v>3.10</v>
      </c>
      <c r="Q82" s="60">
        <v>7.70</v>
      </c>
      <c r="R82" s="194"/>
      <c r="S82" s="194"/>
      <c r="T82" s="194"/>
      <c r="U82" s="194"/>
    </row>
    <row r="83" spans="1:21" s="12" customFormat="1" ht="15">
      <c r="A83" s="197" t="s">
        <v>1183</v>
      </c>
      <c r="B83" s="60">
        <v>9.86</v>
      </c>
      <c r="C83" s="60">
        <v>20.47</v>
      </c>
      <c r="D83" s="60">
        <v>30.34</v>
      </c>
      <c r="E83" s="60">
        <v>6.06</v>
      </c>
      <c r="F83" s="60">
        <v>0.37</v>
      </c>
      <c r="G83" s="214" t="s">
        <v>36</v>
      </c>
      <c r="H83" s="60">
        <v>14.53</v>
      </c>
      <c r="I83" s="60">
        <v>5.28</v>
      </c>
      <c r="J83" s="60">
        <v>1.41</v>
      </c>
      <c r="K83" s="60">
        <v>353.37</v>
      </c>
      <c r="L83" s="60">
        <v>54.54</v>
      </c>
      <c r="M83" s="60">
        <v>82.56</v>
      </c>
      <c r="N83" s="60">
        <v>5.70</v>
      </c>
      <c r="O83" s="60">
        <v>0</v>
      </c>
      <c r="P83" s="60">
        <v>3.12</v>
      </c>
      <c r="Q83" s="60">
        <v>7.53</v>
      </c>
      <c r="R83" s="194"/>
      <c r="S83" s="194"/>
      <c r="T83" s="194"/>
      <c r="U83" s="194"/>
    </row>
    <row r="84" spans="1:21" s="12" customFormat="1" ht="15">
      <c r="A84" s="197" t="s">
        <v>1184</v>
      </c>
      <c r="B84" s="60">
        <v>10.32</v>
      </c>
      <c r="C84" s="60">
        <v>19.829999999999998</v>
      </c>
      <c r="D84" s="60">
        <v>30.15</v>
      </c>
      <c r="E84" s="60">
        <v>6.54</v>
      </c>
      <c r="F84" s="60">
        <v>0.38</v>
      </c>
      <c r="G84" s="214" t="s">
        <v>36</v>
      </c>
      <c r="H84" s="60">
        <v>14.53</v>
      </c>
      <c r="I84" s="60">
        <v>5.49</v>
      </c>
      <c r="J84" s="60">
        <v>0.90</v>
      </c>
      <c r="K84" s="60">
        <v>3.59</v>
      </c>
      <c r="L84" s="60">
        <v>55.05</v>
      </c>
      <c r="M84" s="60">
        <v>82.59</v>
      </c>
      <c r="N84" s="60">
        <v>1</v>
      </c>
      <c r="O84" s="60">
        <v>0</v>
      </c>
      <c r="P84" s="60">
        <v>3.16</v>
      </c>
      <c r="Q84" s="60">
        <v>7.42</v>
      </c>
      <c r="R84" s="194"/>
      <c r="S84" s="194"/>
      <c r="T84" s="194"/>
      <c r="U84" s="194"/>
    </row>
    <row r="85" spans="1:21" s="12" customFormat="1" ht="15">
      <c r="A85" s="197" t="s">
        <v>1185</v>
      </c>
      <c r="B85" s="60">
        <v>10.88</v>
      </c>
      <c r="C85" s="60">
        <v>19.149999999999999</v>
      </c>
      <c r="D85" s="60">
        <v>30.03</v>
      </c>
      <c r="E85" s="60">
        <v>6.83</v>
      </c>
      <c r="F85" s="60">
        <v>0.17</v>
      </c>
      <c r="G85" s="214" t="s">
        <v>36</v>
      </c>
      <c r="H85" s="60">
        <v>16.329999999999998</v>
      </c>
      <c r="I85" s="60">
        <v>5.74</v>
      </c>
      <c r="J85" s="60">
        <v>1.0900000000000001</v>
      </c>
      <c r="K85" s="60">
        <v>8.2200000000000006</v>
      </c>
      <c r="L85" s="60">
        <v>53.21</v>
      </c>
      <c r="M85" s="60">
        <v>82.73</v>
      </c>
      <c r="N85" s="60">
        <v>0.20</v>
      </c>
      <c r="O85" s="60">
        <v>0</v>
      </c>
      <c r="P85" s="60">
        <v>3.19</v>
      </c>
      <c r="Q85" s="60">
        <v>7.41</v>
      </c>
      <c r="R85" s="194"/>
      <c r="S85" s="194"/>
      <c r="T85" s="194"/>
      <c r="U85" s="194"/>
    </row>
    <row r="86" spans="1:21" s="12" customFormat="1" ht="15">
      <c r="A86" s="197" t="s">
        <v>1186</v>
      </c>
      <c r="B86" s="60">
        <v>11.26</v>
      </c>
      <c r="C86" s="60">
        <v>18.850000000000001</v>
      </c>
      <c r="D86" s="60">
        <v>30.11</v>
      </c>
      <c r="E86" s="60">
        <v>6.77</v>
      </c>
      <c r="F86" s="60">
        <v>0.09</v>
      </c>
      <c r="G86" s="214" t="s">
        <v>36</v>
      </c>
      <c r="H86" s="60">
        <v>20.77</v>
      </c>
      <c r="I86" s="60">
        <v>5.98</v>
      </c>
      <c r="J86" s="60">
        <v>1.40</v>
      </c>
      <c r="K86" s="60">
        <v>0.21</v>
      </c>
      <c r="L86" s="60">
        <v>51.26</v>
      </c>
      <c r="M86" s="60">
        <v>83.97</v>
      </c>
      <c r="N86" s="214" t="s">
        <v>36</v>
      </c>
      <c r="O86" s="60">
        <v>0</v>
      </c>
      <c r="P86" s="60">
        <v>3.23</v>
      </c>
      <c r="Q86" s="60">
        <v>7.59</v>
      </c>
      <c r="R86" s="194"/>
      <c r="S86" s="194"/>
      <c r="T86" s="194"/>
      <c r="U86" s="194"/>
    </row>
    <row r="87" spans="1:21" s="12" customFormat="1" ht="15">
      <c r="A87" s="197" t="s">
        <v>1187</v>
      </c>
      <c r="B87" s="60">
        <v>11.98</v>
      </c>
      <c r="C87" s="60">
        <v>19.079999999999998</v>
      </c>
      <c r="D87" s="60">
        <v>31.06</v>
      </c>
      <c r="E87" s="60">
        <v>6.46</v>
      </c>
      <c r="F87" s="60">
        <v>0.17</v>
      </c>
      <c r="G87" s="214" t="s">
        <v>36</v>
      </c>
      <c r="H87" s="60">
        <v>20.77</v>
      </c>
      <c r="I87" s="60">
        <v>6.03</v>
      </c>
      <c r="J87" s="60">
        <v>1.02</v>
      </c>
      <c r="K87" s="60">
        <v>358.51</v>
      </c>
      <c r="L87" s="60">
        <v>46.76</v>
      </c>
      <c r="M87" s="60">
        <v>84.63</v>
      </c>
      <c r="N87" s="214" t="s">
        <v>36</v>
      </c>
      <c r="O87" s="60">
        <v>0</v>
      </c>
      <c r="P87" s="60">
        <v>3.29</v>
      </c>
      <c r="Q87" s="60">
        <v>8.7200000000000006</v>
      </c>
      <c r="R87" s="194"/>
      <c r="S87" s="194"/>
      <c r="T87" s="194"/>
      <c r="U87" s="194"/>
    </row>
    <row r="88" spans="1:21" s="12" customFormat="1" ht="15">
      <c r="A88" s="197" t="s">
        <v>1188</v>
      </c>
      <c r="B88" s="60">
        <v>12.84</v>
      </c>
      <c r="C88" s="60">
        <v>19.34</v>
      </c>
      <c r="D88" s="60">
        <v>32.18</v>
      </c>
      <c r="E88" s="60">
        <v>3.56</v>
      </c>
      <c r="F88" s="60">
        <v>0.20</v>
      </c>
      <c r="G88" s="214" t="s">
        <v>36</v>
      </c>
      <c r="H88" s="60">
        <v>20.77</v>
      </c>
      <c r="I88" s="60">
        <v>6.12</v>
      </c>
      <c r="J88" s="60">
        <v>1.34</v>
      </c>
      <c r="K88" s="60">
        <v>359.30</v>
      </c>
      <c r="L88" s="60">
        <v>45.60</v>
      </c>
      <c r="M88" s="60">
        <v>84.90</v>
      </c>
      <c r="N88" s="214" t="s">
        <v>36</v>
      </c>
      <c r="O88" s="60">
        <v>0</v>
      </c>
      <c r="P88" s="60">
        <v>3.38</v>
      </c>
      <c r="Q88" s="60">
        <v>10.67</v>
      </c>
      <c r="R88" s="194"/>
      <c r="S88" s="194"/>
      <c r="T88" s="194"/>
      <c r="U88" s="194"/>
    </row>
    <row r="89" spans="1:21" s="12" customFormat="1" ht="15">
      <c r="A89" s="197" t="s">
        <v>1189</v>
      </c>
      <c r="B89" s="60">
        <v>13.87</v>
      </c>
      <c r="C89" s="60">
        <v>19.70</v>
      </c>
      <c r="D89" s="60">
        <v>33.57</v>
      </c>
      <c r="E89" s="60">
        <v>7.11</v>
      </c>
      <c r="F89" s="60">
        <v>0.20</v>
      </c>
      <c r="G89" s="214" t="s">
        <v>36</v>
      </c>
      <c r="H89" s="60">
        <v>21.63</v>
      </c>
      <c r="I89" s="60">
        <v>6.29</v>
      </c>
      <c r="J89" s="60">
        <v>0.61</v>
      </c>
      <c r="K89" s="60">
        <v>33.82</v>
      </c>
      <c r="L89" s="60">
        <v>45.86</v>
      </c>
      <c r="M89" s="60">
        <v>84.71</v>
      </c>
      <c r="N89" s="60">
        <v>0.10</v>
      </c>
      <c r="O89" s="60">
        <v>0</v>
      </c>
      <c r="P89" s="60">
        <v>3.46</v>
      </c>
      <c r="Q89" s="60">
        <v>12.09</v>
      </c>
      <c r="R89" s="194"/>
      <c r="S89" s="194"/>
      <c r="T89" s="194"/>
      <c r="U89" s="194"/>
    </row>
    <row r="90" spans="1:21" s="12" customFormat="1" ht="15">
      <c r="A90" s="197" t="s">
        <v>1190</v>
      </c>
      <c r="B90" s="60">
        <v>14.64</v>
      </c>
      <c r="C90" s="60">
        <v>19.66</v>
      </c>
      <c r="D90" s="60">
        <v>34.299999999999997</v>
      </c>
      <c r="E90" s="60">
        <v>7.05</v>
      </c>
      <c r="F90" s="60">
        <v>0.02</v>
      </c>
      <c r="G90" s="214" t="s">
        <v>36</v>
      </c>
      <c r="H90" s="60">
        <v>23.75</v>
      </c>
      <c r="I90" s="60">
        <v>6.49</v>
      </c>
      <c r="J90" s="60">
        <v>1.06</v>
      </c>
      <c r="K90" s="60">
        <v>7.26</v>
      </c>
      <c r="L90" s="60">
        <v>46.56</v>
      </c>
      <c r="M90" s="60">
        <v>84.56</v>
      </c>
      <c r="N90" s="60">
        <v>0.10</v>
      </c>
      <c r="O90" s="60">
        <v>0</v>
      </c>
      <c r="P90" s="60">
        <v>3.55</v>
      </c>
      <c r="Q90" s="60">
        <v>12.54</v>
      </c>
      <c r="R90" s="194"/>
      <c r="S90" s="194"/>
      <c r="T90" s="194"/>
      <c r="U90" s="194"/>
    </row>
    <row r="91" spans="1:21" s="12" customFormat="1" ht="15">
      <c r="A91" s="197" t="s">
        <v>1191</v>
      </c>
      <c r="B91" s="60">
        <v>15.59</v>
      </c>
      <c r="C91" s="60">
        <v>19.68</v>
      </c>
      <c r="D91" s="60">
        <v>35.270000000000003</v>
      </c>
      <c r="E91" s="60">
        <v>7.20</v>
      </c>
      <c r="F91" s="60">
        <v>0.05</v>
      </c>
      <c r="G91" s="214" t="s">
        <v>36</v>
      </c>
      <c r="H91" s="60">
        <v>23.75</v>
      </c>
      <c r="I91" s="60">
        <v>6.74</v>
      </c>
      <c r="J91" s="60">
        <v>0.74</v>
      </c>
      <c r="K91" s="60">
        <v>7.77</v>
      </c>
      <c r="L91" s="60">
        <v>46.89</v>
      </c>
      <c r="M91" s="60">
        <v>86.65</v>
      </c>
      <c r="N91" s="60">
        <v>0.80</v>
      </c>
      <c r="O91" s="60">
        <v>0.20</v>
      </c>
      <c r="P91" s="60">
        <v>3.63</v>
      </c>
      <c r="Q91" s="60">
        <v>12.95</v>
      </c>
      <c r="R91" s="194"/>
      <c r="S91" s="194"/>
      <c r="T91" s="194"/>
      <c r="U91" s="194"/>
    </row>
    <row r="92" spans="1:21" s="12" customFormat="1" ht="15">
      <c r="A92" s="197" t="s">
        <v>1192</v>
      </c>
      <c r="B92" s="60">
        <v>17.09</v>
      </c>
      <c r="C92" s="60">
        <v>19.52</v>
      </c>
      <c r="D92" s="60">
        <v>36.61</v>
      </c>
      <c r="E92" s="60">
        <v>6.85</v>
      </c>
      <c r="F92" s="60">
        <v>0.16</v>
      </c>
      <c r="G92" s="214" t="s">
        <v>36</v>
      </c>
      <c r="H92" s="60">
        <v>23.75</v>
      </c>
      <c r="I92" s="60">
        <v>6.88</v>
      </c>
      <c r="J92" s="60">
        <v>0.54</v>
      </c>
      <c r="K92" s="60">
        <v>66.819999999999993</v>
      </c>
      <c r="L92" s="60">
        <v>48.13</v>
      </c>
      <c r="M92" s="60">
        <v>89.81</v>
      </c>
      <c r="N92" s="214" t="s">
        <v>36</v>
      </c>
      <c r="O92" s="60">
        <v>0</v>
      </c>
      <c r="P92" s="60">
        <v>3.72</v>
      </c>
      <c r="Q92" s="60">
        <v>13.31</v>
      </c>
      <c r="R92" s="194"/>
      <c r="S92" s="194"/>
      <c r="T92" s="194"/>
      <c r="U92" s="194"/>
    </row>
    <row r="93" spans="1:21" s="12" customFormat="1" ht="15">
      <c r="A93" s="197" t="s">
        <v>1193</v>
      </c>
      <c r="B93" s="60">
        <v>17.62</v>
      </c>
      <c r="C93" s="60">
        <v>19.23</v>
      </c>
      <c r="D93" s="60">
        <v>36.85</v>
      </c>
      <c r="E93" s="60">
        <v>7.19</v>
      </c>
      <c r="F93" s="60">
        <v>0.32</v>
      </c>
      <c r="G93" s="214" t="s">
        <v>36</v>
      </c>
      <c r="H93" s="60">
        <v>23.59</v>
      </c>
      <c r="I93" s="60">
        <v>7.09</v>
      </c>
      <c r="J93" s="60">
        <v>0.68</v>
      </c>
      <c r="K93" s="60">
        <v>67.45</v>
      </c>
      <c r="L93" s="60">
        <v>48.73</v>
      </c>
      <c r="M93" s="60">
        <v>93.14</v>
      </c>
      <c r="N93" s="60">
        <v>0.70</v>
      </c>
      <c r="O93" s="60">
        <v>2.60</v>
      </c>
      <c r="P93" s="60">
        <v>3.77</v>
      </c>
      <c r="Q93" s="60">
        <v>12.95</v>
      </c>
      <c r="R93" s="194"/>
      <c r="S93" s="194"/>
      <c r="T93" s="194"/>
      <c r="U93" s="194"/>
    </row>
    <row r="94" spans="1:21" s="12" customFormat="1" ht="15">
      <c r="A94" s="197" t="s">
        <v>1194</v>
      </c>
      <c r="B94" s="60">
        <v>17.82</v>
      </c>
      <c r="C94" s="60">
        <v>18.03</v>
      </c>
      <c r="D94" s="60">
        <v>35.85</v>
      </c>
      <c r="E94" s="60">
        <v>7.44</v>
      </c>
      <c r="F94" s="60">
        <v>0.45</v>
      </c>
      <c r="G94" s="214" t="s">
        <v>36</v>
      </c>
      <c r="H94" s="60">
        <v>23.20</v>
      </c>
      <c r="I94" s="60">
        <v>7.37</v>
      </c>
      <c r="J94" s="60">
        <v>2.19</v>
      </c>
      <c r="K94" s="60">
        <v>91.47</v>
      </c>
      <c r="L94" s="60">
        <v>55.11</v>
      </c>
      <c r="M94" s="60">
        <v>98.54</v>
      </c>
      <c r="N94" s="60">
        <v>2.60</v>
      </c>
      <c r="O94" s="60">
        <v>3.80</v>
      </c>
      <c r="P94" s="60">
        <v>3.74</v>
      </c>
      <c r="Q94" s="60">
        <v>11.31</v>
      </c>
      <c r="R94" s="194"/>
      <c r="S94" s="194"/>
      <c r="T94" s="194"/>
      <c r="U94" s="194"/>
    </row>
    <row r="95" spans="1:21" s="12" customFormat="1" ht="15">
      <c r="A95" s="197" t="s">
        <v>1195</v>
      </c>
      <c r="B95" s="60">
        <v>17.21</v>
      </c>
      <c r="C95" s="60">
        <v>16.80</v>
      </c>
      <c r="D95" s="60">
        <v>34.01</v>
      </c>
      <c r="E95" s="60">
        <v>7.42</v>
      </c>
      <c r="F95" s="60">
        <v>0.28000000000000003</v>
      </c>
      <c r="G95" s="214" t="s">
        <v>36</v>
      </c>
      <c r="H95" s="60">
        <v>23.20</v>
      </c>
      <c r="I95" s="60">
        <v>7.5</v>
      </c>
      <c r="J95" s="60">
        <v>1.41</v>
      </c>
      <c r="K95" s="60">
        <v>92.63</v>
      </c>
      <c r="L95" s="60">
        <v>40.46</v>
      </c>
      <c r="M95" s="60">
        <v>99.06</v>
      </c>
      <c r="N95" s="60">
        <v>1.40</v>
      </c>
      <c r="O95" s="60">
        <v>3</v>
      </c>
      <c r="P95" s="60">
        <v>3.69</v>
      </c>
      <c r="Q95" s="60">
        <v>9.77</v>
      </c>
      <c r="R95" s="194"/>
      <c r="S95" s="194"/>
      <c r="T95" s="194"/>
      <c r="U95" s="194"/>
    </row>
    <row r="96" spans="1:26" s="12" customFormat="1" ht="15">
      <c r="A96" s="197" t="s">
        <v>1196</v>
      </c>
      <c r="B96" s="60">
        <v>16.260000000000002</v>
      </c>
      <c r="C96" s="60">
        <v>15.83</v>
      </c>
      <c r="D96" s="60">
        <v>32.090000000000003</v>
      </c>
      <c r="E96" s="60">
        <v>7.59</v>
      </c>
      <c r="F96" s="60">
        <v>0.41</v>
      </c>
      <c r="G96" s="214" t="s">
        <v>36</v>
      </c>
      <c r="H96" s="60">
        <v>23.20</v>
      </c>
      <c r="I96" s="60">
        <v>7.57</v>
      </c>
      <c r="J96" s="60">
        <v>0.34</v>
      </c>
      <c r="K96" s="60">
        <v>351.26</v>
      </c>
      <c r="L96" s="60">
        <v>47.36</v>
      </c>
      <c r="M96" s="60">
        <v>99.10</v>
      </c>
      <c r="N96" s="60">
        <v>0.60</v>
      </c>
      <c r="O96" s="60">
        <v>0.40</v>
      </c>
      <c r="P96" s="60">
        <v>3.64</v>
      </c>
      <c r="Q96" s="60">
        <v>8.86</v>
      </c>
      <c r="R96" s="194"/>
      <c r="S96" s="194"/>
      <c r="T96" s="194"/>
      <c r="U96" s="194"/>
      <c r="Z96" s="105"/>
    </row>
    <row r="97" spans="1:21" s="12" customFormat="1" ht="15">
      <c r="A97" s="197" t="s">
        <v>1197</v>
      </c>
      <c r="B97" s="60">
        <v>15.78</v>
      </c>
      <c r="C97" s="60">
        <v>15.17</v>
      </c>
      <c r="D97" s="60">
        <v>30.95</v>
      </c>
      <c r="E97" s="60">
        <v>7.75</v>
      </c>
      <c r="F97" s="60">
        <v>0.43</v>
      </c>
      <c r="G97" s="214" t="s">
        <v>36</v>
      </c>
      <c r="H97" s="60">
        <v>22.44</v>
      </c>
      <c r="I97" s="60">
        <v>7.48</v>
      </c>
      <c r="J97" s="60">
        <v>0.48</v>
      </c>
      <c r="K97" s="60">
        <v>250.84</v>
      </c>
      <c r="L97" s="60">
        <v>45.52</v>
      </c>
      <c r="M97" s="60">
        <v>99.10</v>
      </c>
      <c r="N97" s="60">
        <v>0.20</v>
      </c>
      <c r="O97" s="60">
        <v>0</v>
      </c>
      <c r="P97" s="60">
        <v>3.61</v>
      </c>
      <c r="Q97" s="60">
        <v>8.41</v>
      </c>
      <c r="R97" s="194"/>
      <c r="S97" s="194"/>
      <c r="T97" s="194"/>
      <c r="U97" s="194"/>
    </row>
    <row r="98" spans="1:21" s="12" customFormat="1" ht="15">
      <c r="A98" s="197" t="s">
        <v>1198</v>
      </c>
      <c r="B98" s="60">
        <v>15.82</v>
      </c>
      <c r="C98" s="60">
        <v>14.63</v>
      </c>
      <c r="D98" s="60">
        <v>30.45</v>
      </c>
      <c r="E98" s="60">
        <v>7.95</v>
      </c>
      <c r="F98" s="60">
        <v>0.18</v>
      </c>
      <c r="G98" s="214" t="s">
        <v>36</v>
      </c>
      <c r="H98" s="60">
        <v>20.57</v>
      </c>
      <c r="I98" s="60">
        <v>7.29</v>
      </c>
      <c r="J98" s="60">
        <v>0.44</v>
      </c>
      <c r="K98" s="60">
        <v>218.85</v>
      </c>
      <c r="L98" s="60">
        <v>45.24</v>
      </c>
      <c r="M98" s="60">
        <v>99.10</v>
      </c>
      <c r="N98" s="60">
        <v>0.10</v>
      </c>
      <c r="O98" s="60">
        <v>0</v>
      </c>
      <c r="P98" s="60">
        <v>3.61</v>
      </c>
      <c r="Q98" s="60">
        <v>8.23</v>
      </c>
      <c r="R98" s="194"/>
      <c r="S98" s="194"/>
      <c r="T98" s="194"/>
      <c r="U98" s="194"/>
    </row>
    <row r="99" spans="1:21" s="12" customFormat="1" ht="15">
      <c r="A99" s="197" t="s">
        <v>1199</v>
      </c>
      <c r="B99" s="60">
        <v>15.80</v>
      </c>
      <c r="C99" s="60">
        <v>14.06</v>
      </c>
      <c r="D99" s="60">
        <v>29.86</v>
      </c>
      <c r="E99" s="60">
        <v>8.3800000000000008</v>
      </c>
      <c r="F99" s="60">
        <v>0.26</v>
      </c>
      <c r="G99" s="214" t="s">
        <v>36</v>
      </c>
      <c r="H99" s="60">
        <v>20.57</v>
      </c>
      <c r="I99" s="60">
        <v>7.13</v>
      </c>
      <c r="J99" s="60">
        <v>0.38</v>
      </c>
      <c r="K99" s="60">
        <v>323.52999999999997</v>
      </c>
      <c r="L99" s="60">
        <v>47.72</v>
      </c>
      <c r="M99" s="60">
        <v>99.10</v>
      </c>
      <c r="N99" s="60">
        <v>1.1000000000000001</v>
      </c>
      <c r="O99" s="60">
        <v>0</v>
      </c>
      <c r="P99" s="60">
        <v>3.61</v>
      </c>
      <c r="Q99" s="60">
        <v>8.09</v>
      </c>
      <c r="R99" s="194"/>
      <c r="S99" s="194"/>
      <c r="T99" s="194"/>
      <c r="U99" s="194"/>
    </row>
    <row r="100" spans="1:33" s="12" customFormat="1" ht="15">
      <c r="A100" s="197" t="s">
        <v>1200</v>
      </c>
      <c r="B100" s="60">
        <v>15.81</v>
      </c>
      <c r="C100" s="60">
        <v>13.39</v>
      </c>
      <c r="D100" s="60">
        <v>29.19</v>
      </c>
      <c r="E100" s="60">
        <v>8.24</v>
      </c>
      <c r="F100" s="60">
        <v>0.42</v>
      </c>
      <c r="G100" s="214" t="s">
        <v>36</v>
      </c>
      <c r="H100" s="60">
        <v>20.57</v>
      </c>
      <c r="I100" s="60">
        <v>7.08</v>
      </c>
      <c r="J100" s="60">
        <v>0.38</v>
      </c>
      <c r="K100" s="60">
        <v>333.72</v>
      </c>
      <c r="L100" s="60">
        <v>48.23</v>
      </c>
      <c r="M100" s="60">
        <v>99.10</v>
      </c>
      <c r="N100" s="60">
        <v>1.30</v>
      </c>
      <c r="O100" s="60">
        <v>0</v>
      </c>
      <c r="P100" s="60">
        <v>3.60</v>
      </c>
      <c r="Q100" s="60">
        <v>7.90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1201</v>
      </c>
      <c r="B101" s="60">
        <v>15.68</v>
      </c>
      <c r="C101" s="60">
        <v>13.39</v>
      </c>
      <c r="D101" s="60">
        <v>29.08</v>
      </c>
      <c r="E101" s="60">
        <v>8.5399999999999991</v>
      </c>
      <c r="F101" s="60">
        <v>0.11</v>
      </c>
      <c r="G101" s="214" t="s">
        <v>36</v>
      </c>
      <c r="H101" s="60">
        <v>20.23</v>
      </c>
      <c r="I101" s="60">
        <v>7.05</v>
      </c>
      <c r="J101" s="60">
        <v>0.32</v>
      </c>
      <c r="K101" s="60">
        <v>356.27</v>
      </c>
      <c r="L101" s="60">
        <v>46.29</v>
      </c>
      <c r="M101" s="60">
        <v>99.10</v>
      </c>
      <c r="N101" s="60">
        <v>0.30</v>
      </c>
      <c r="O101" s="60">
        <v>0</v>
      </c>
      <c r="P101" s="60">
        <v>3.57</v>
      </c>
      <c r="Q101" s="60">
        <v>8.2799999999999994</v>
      </c>
      <c r="R101" s="194"/>
      <c r="S101" s="194"/>
      <c r="T101" s="194"/>
      <c r="U101" s="194"/>
    </row>
    <row r="102" spans="1:21" s="12" customFormat="1" ht="15">
      <c r="A102" s="197" t="s">
        <v>1202</v>
      </c>
      <c r="B102" s="60">
        <v>15.87</v>
      </c>
      <c r="C102" s="60">
        <v>13.66</v>
      </c>
      <c r="D102" s="60">
        <v>29.53</v>
      </c>
      <c r="E102" s="60">
        <v>8.1300000000000008</v>
      </c>
      <c r="F102" s="60">
        <v>0.12</v>
      </c>
      <c r="G102" s="214" t="s">
        <v>36</v>
      </c>
      <c r="H102" s="60">
        <v>19.39</v>
      </c>
      <c r="I102" s="60">
        <v>7.26</v>
      </c>
      <c r="J102" s="60">
        <v>0.18</v>
      </c>
      <c r="K102" s="60">
        <v>26.66</v>
      </c>
      <c r="L102" s="60">
        <v>53.46</v>
      </c>
      <c r="M102" s="60">
        <v>99.10</v>
      </c>
      <c r="N102" s="60">
        <v>0.5</v>
      </c>
      <c r="O102" s="60">
        <v>0</v>
      </c>
      <c r="P102" s="60">
        <v>3.55</v>
      </c>
      <c r="Q102" s="60">
        <v>9.5500000000000007</v>
      </c>
      <c r="R102" s="194"/>
      <c r="S102" s="194"/>
      <c r="T102" s="194"/>
      <c r="U102" s="194"/>
    </row>
    <row r="103" spans="1:21" s="12" customFormat="1" ht="15">
      <c r="A103" s="197" t="s">
        <v>1203</v>
      </c>
      <c r="B103" s="60">
        <v>17.350000000000001</v>
      </c>
      <c r="C103" s="60">
        <v>14.49</v>
      </c>
      <c r="D103" s="60">
        <v>31.83</v>
      </c>
      <c r="E103" s="60">
        <v>7.89</v>
      </c>
      <c r="F103" s="60">
        <v>0.18</v>
      </c>
      <c r="G103" s="214" t="s">
        <v>36</v>
      </c>
      <c r="H103" s="60">
        <v>19.39</v>
      </c>
      <c r="I103" s="60">
        <v>7.26</v>
      </c>
      <c r="J103" s="60">
        <v>0.070000000000000007</v>
      </c>
      <c r="K103" s="60">
        <v>28.26</v>
      </c>
      <c r="L103" s="60">
        <v>47.38</v>
      </c>
      <c r="M103" s="60">
        <v>99.10</v>
      </c>
      <c r="N103" s="60">
        <v>0.70</v>
      </c>
      <c r="O103" s="60">
        <v>0</v>
      </c>
      <c r="P103" s="60">
        <v>3.53</v>
      </c>
      <c r="Q103" s="60">
        <v>11.38</v>
      </c>
      <c r="R103" s="194"/>
      <c r="S103" s="194"/>
      <c r="T103" s="194"/>
      <c r="U103" s="194"/>
    </row>
    <row r="104" spans="1:21" s="12" customFormat="1" ht="15">
      <c r="A104" s="197" t="s">
        <v>1204</v>
      </c>
      <c r="B104" s="60">
        <v>17.809999999999999</v>
      </c>
      <c r="C104" s="60">
        <v>14.92</v>
      </c>
      <c r="D104" s="60">
        <v>32.729999999999997</v>
      </c>
      <c r="E104" s="60">
        <v>3.59</v>
      </c>
      <c r="F104" s="60">
        <v>0.13</v>
      </c>
      <c r="G104" s="214" t="s">
        <v>36</v>
      </c>
      <c r="H104" s="60">
        <v>19.39</v>
      </c>
      <c r="I104" s="60">
        <v>7.14</v>
      </c>
      <c r="J104" s="60">
        <v>0.78</v>
      </c>
      <c r="K104" s="60">
        <v>357.63</v>
      </c>
      <c r="L104" s="60">
        <v>41.91</v>
      </c>
      <c r="M104" s="60">
        <v>99.10</v>
      </c>
      <c r="N104" s="60">
        <v>0.5</v>
      </c>
      <c r="O104" s="60">
        <v>0</v>
      </c>
      <c r="P104" s="60">
        <v>3.51</v>
      </c>
      <c r="Q104" s="60">
        <v>12.31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2.7000000000000002</v>
      </c>
      <c r="C106" s="67">
        <f>MIN(C9:C104)</f>
        <v>8.5500000000000007</v>
      </c>
      <c r="D106" s="67">
        <f t="shared" si="0" ref="D106:Q106">MIN(D9:D104)</f>
        <v>14.1</v>
      </c>
      <c r="E106" s="67">
        <f t="shared" si="0"/>
        <v>3.1499999999999999</v>
      </c>
      <c r="F106" s="67">
        <f t="shared" si="0"/>
        <v>0.01</v>
      </c>
      <c r="G106" s="67">
        <f t="shared" si="0"/>
        <v>0</v>
      </c>
      <c r="H106" s="67">
        <f t="shared" si="0"/>
        <v>5.2400000000000002</v>
      </c>
      <c r="I106" s="67">
        <f t="shared" si="0"/>
        <v>4.4199999999999999</v>
      </c>
      <c r="J106" s="67">
        <f t="shared" si="0"/>
        <v>0.070000000000000007</v>
      </c>
      <c r="K106" s="67">
        <f t="shared" si="0"/>
        <v>0.20999999999999999</v>
      </c>
      <c r="L106" s="67">
        <f t="shared" si="0"/>
        <v>38.340000000000003</v>
      </c>
      <c r="M106" s="67">
        <f t="shared" si="0"/>
        <v>70.590000000000003</v>
      </c>
      <c r="N106" s="67">
        <f t="shared" si="0"/>
        <v>0.10000000000000001</v>
      </c>
      <c r="O106" s="67">
        <f t="shared" si="0"/>
        <v>0</v>
      </c>
      <c r="P106" s="67">
        <f t="shared" si="0"/>
        <v>2.6000000000000001</v>
      </c>
      <c r="Q106" s="67">
        <f t="shared" si="0"/>
        <v>4.7400000000000002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17.82</v>
      </c>
      <c r="C107" s="66">
        <f t="shared" si="1" ref="C107:Q107">MAX(C9:C104)</f>
        <v>21.73</v>
      </c>
      <c r="D107" s="66">
        <f t="shared" si="1"/>
        <v>36.850000000000001</v>
      </c>
      <c r="E107" s="66">
        <f t="shared" si="1"/>
        <v>10.09</v>
      </c>
      <c r="F107" s="66">
        <f t="shared" si="1"/>
        <v>2</v>
      </c>
      <c r="G107" s="66">
        <f t="shared" si="1"/>
        <v>0</v>
      </c>
      <c r="H107" s="66">
        <f t="shared" si="1"/>
        <v>25.309999999999999</v>
      </c>
      <c r="I107" s="66">
        <f t="shared" si="1"/>
        <v>8.1799999999999997</v>
      </c>
      <c r="J107" s="66">
        <f t="shared" si="1"/>
        <v>2.3599999999999999</v>
      </c>
      <c r="K107" s="66">
        <f t="shared" si="1"/>
        <v>359.52999999999997</v>
      </c>
      <c r="L107" s="66">
        <f t="shared" si="1"/>
        <v>57.619999999999997</v>
      </c>
      <c r="M107" s="66">
        <f t="shared" si="1"/>
        <v>99.099999999999994</v>
      </c>
      <c r="N107" s="66">
        <f t="shared" si="1"/>
        <v>1026.5</v>
      </c>
      <c r="O107" s="66">
        <f t="shared" si="1"/>
        <v>3.7999999999999998</v>
      </c>
      <c r="P107" s="66">
        <f t="shared" si="1"/>
        <v>3.77</v>
      </c>
      <c r="Q107" s="66">
        <f t="shared" si="1"/>
        <v>13.31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8.5337499999999959</v>
      </c>
      <c r="C108" s="67">
        <f t="shared" si="2" ref="C108:Q108">AVERAGE(C9:C104)</f>
        <v>13.924270833333338</v>
      </c>
      <c r="D108" s="67">
        <f t="shared" si="2"/>
        <v>22.457812499999992</v>
      </c>
      <c r="E108" s="67">
        <f t="shared" si="2"/>
        <v>7.553020833333334</v>
      </c>
      <c r="F108" s="67">
        <f t="shared" si="2"/>
        <v>0.48442105263157903</v>
      </c>
      <c r="G108" s="67" t="e">
        <f t="shared" si="2"/>
        <v>#DIV/0!</v>
      </c>
      <c r="H108" s="67">
        <f t="shared" si="2"/>
        <v>14.386770833333335</v>
      </c>
      <c r="I108" s="67">
        <f t="shared" si="2"/>
        <v>5.6127083333333347</v>
      </c>
      <c r="J108" s="67">
        <f t="shared" si="2"/>
        <v>1.1191666666666666</v>
      </c>
      <c r="K108" s="67">
        <f t="shared" si="2"/>
        <v>130.31489583333328</v>
      </c>
      <c r="L108" s="67">
        <f t="shared" si="2"/>
        <v>49.265520833333312</v>
      </c>
      <c r="M108" s="67">
        <f t="shared" si="2"/>
        <v>86.865729166666725</v>
      </c>
      <c r="N108" s="67">
        <f t="shared" si="2"/>
        <v>204.76777777777767</v>
      </c>
      <c r="O108" s="67">
        <f t="shared" si="2"/>
        <v>0.10416666666666667</v>
      </c>
      <c r="P108" s="67">
        <f t="shared" si="2"/>
        <v>2.9629166666666666</v>
      </c>
      <c r="Q108" s="67">
        <f t="shared" si="2"/>
        <v>8.2890624999999982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4.105538044103235</v>
      </c>
      <c r="C109" s="67">
        <f t="shared" si="3" ref="C109:Q109">STDEV(C9:C104)</f>
        <v>4.0690895774159239</v>
      </c>
      <c r="D109" s="67">
        <f t="shared" si="3"/>
        <v>6.8159400175154667</v>
      </c>
      <c r="E109" s="67">
        <f t="shared" si="3"/>
        <v>1.4397142404999219</v>
      </c>
      <c r="F109" s="67">
        <f t="shared" si="3"/>
        <v>0.37631391318179974</v>
      </c>
      <c r="G109" s="67" t="e">
        <f t="shared" si="3"/>
        <v>#DIV/0!</v>
      </c>
      <c r="H109" s="67">
        <f t="shared" si="3"/>
        <v>5.5868317911602912</v>
      </c>
      <c r="I109" s="67">
        <f t="shared" si="3"/>
        <v>1.0572800049050035</v>
      </c>
      <c r="J109" s="67">
        <f t="shared" si="3"/>
        <v>0.5324989086554992</v>
      </c>
      <c r="K109" s="67">
        <f t="shared" si="3"/>
        <v>132.72494948890034</v>
      </c>
      <c r="L109" s="67">
        <f t="shared" si="3"/>
        <v>4.3897794860793971</v>
      </c>
      <c r="M109" s="67">
        <f t="shared" si="3"/>
        <v>10.156105837303089</v>
      </c>
      <c r="N109" s="67">
        <f t="shared" si="3"/>
        <v>273.55082917270352</v>
      </c>
      <c r="O109" s="67">
        <f t="shared" si="3"/>
        <v>0.55590924413909348</v>
      </c>
      <c r="P109" s="67">
        <f t="shared" si="3"/>
        <v>0.35454319510178733</v>
      </c>
      <c r="Q109" s="67">
        <f t="shared" si="3"/>
        <v>2.2477057674672047</v>
      </c>
      <c r="R109" s="195"/>
      <c r="S109" s="195"/>
      <c r="T109" s="195"/>
      <c r="U109" s="195"/>
    </row>
    <row r="110" spans="1:22" ht="15">
      <c r="A110" s="65" t="s">
        <v>62</v>
      </c>
      <c r="B110" s="66">
        <v>96</v>
      </c>
      <c r="C110" s="66">
        <v>96</v>
      </c>
      <c r="D110" s="66">
        <v>96</v>
      </c>
      <c r="E110" s="66">
        <v>96</v>
      </c>
      <c r="F110" s="66">
        <v>96</v>
      </c>
      <c r="G110" s="66">
        <v>96</v>
      </c>
      <c r="H110" s="66">
        <v>96</v>
      </c>
      <c r="I110" s="66">
        <v>96</v>
      </c>
      <c r="J110" s="66">
        <v>96</v>
      </c>
      <c r="K110" s="66">
        <v>96</v>
      </c>
      <c r="L110" s="66">
        <v>96</v>
      </c>
      <c r="M110" s="66">
        <v>96</v>
      </c>
      <c r="N110" s="66">
        <v>96</v>
      </c>
      <c r="O110" s="66">
        <v>96</v>
      </c>
      <c r="P110" s="66">
        <v>96</v>
      </c>
      <c r="Q110" s="66"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4" ref="C111:Q111">IF(C110&gt;=87,"&gt;90%",IF(C110&lt;=87,"&lt;90%"))</f>
        <v>&gt;90%</v>
      </c>
      <c r="D111" s="13" t="str">
        <f t="shared" si="4"/>
        <v>&gt;90%</v>
      </c>
      <c r="E111" s="13" t="str">
        <f t="shared" si="4"/>
        <v>&gt;90%</v>
      </c>
      <c r="F111" s="13" t="str">
        <f t="shared" si="4"/>
        <v>&gt;90%</v>
      </c>
      <c r="G111" s="13" t="str">
        <f t="shared" si="4"/>
        <v>&gt;90%</v>
      </c>
      <c r="H111" s="13" t="str">
        <f t="shared" si="4"/>
        <v>&gt;90%</v>
      </c>
      <c r="I111" s="13" t="str">
        <f t="shared" si="4"/>
        <v>&gt;90%</v>
      </c>
      <c r="J111" s="13" t="str">
        <f t="shared" si="4"/>
        <v>&gt;90%</v>
      </c>
      <c r="K111" s="13" t="str">
        <f t="shared" si="4"/>
        <v>&gt;90%</v>
      </c>
      <c r="L111" s="13" t="str">
        <f t="shared" si="4"/>
        <v>&gt;90%</v>
      </c>
      <c r="M111" s="13" t="str">
        <f t="shared" si="4"/>
        <v>&gt;90%</v>
      </c>
      <c r="N111" s="13" t="str">
        <f t="shared" si="4"/>
        <v>&gt;90%</v>
      </c>
      <c r="O111" s="13" t="str">
        <f t="shared" si="4"/>
        <v>&gt;90%</v>
      </c>
      <c r="P111" s="13" t="str">
        <f t="shared" si="4"/>
        <v>&gt;90%</v>
      </c>
      <c r="Q111" s="13" t="str">
        <f t="shared" si="4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5" ref="C112:Q112">IF(C110&gt;=87,"OK",IF(C110&lt;=87,"LESS"))</f>
        <v>OK</v>
      </c>
      <c r="D112" s="13" t="str">
        <f t="shared" si="5"/>
        <v>OK</v>
      </c>
      <c r="E112" s="13" t="str">
        <f t="shared" si="5"/>
        <v>OK</v>
      </c>
      <c r="F112" s="13" t="str">
        <f t="shared" si="5"/>
        <v>OK</v>
      </c>
      <c r="G112" s="13" t="str">
        <f t="shared" si="5"/>
        <v>OK</v>
      </c>
      <c r="H112" s="13" t="str">
        <f t="shared" si="5"/>
        <v>OK</v>
      </c>
      <c r="I112" s="13" t="str">
        <f t="shared" si="5"/>
        <v>OK</v>
      </c>
      <c r="J112" s="13" t="str">
        <f t="shared" si="5"/>
        <v>OK</v>
      </c>
      <c r="K112" s="13" t="str">
        <f t="shared" si="5"/>
        <v>OK</v>
      </c>
      <c r="L112" s="13" t="str">
        <f t="shared" si="5"/>
        <v>OK</v>
      </c>
      <c r="M112" s="13" t="str">
        <f t="shared" si="5"/>
        <v>OK</v>
      </c>
      <c r="N112" s="13" t="str">
        <f t="shared" si="5"/>
        <v>OK</v>
      </c>
      <c r="O112" s="13" t="str">
        <f t="shared" si="5"/>
        <v>OK</v>
      </c>
      <c r="P112" s="13" t="str">
        <f t="shared" si="5"/>
        <v>OK</v>
      </c>
      <c r="Q112" s="13" t="str">
        <f t="shared" si="5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a4e399f-1446-4103-8ede-ab61d19842ee}">
  <sheetPr codeName=""/>
  <dimension ref="A1:AG117"/>
  <sheetViews>
    <sheetView workbookViewId="0" topLeftCell="A1">
      <pane xSplit="1" ySplit="8" topLeftCell="B6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11-07-2022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1205</v>
      </c>
      <c r="B9" s="60">
        <v>17.440000000000001</v>
      </c>
      <c r="C9" s="60">
        <v>15.44</v>
      </c>
      <c r="D9" s="60">
        <v>32.880000000000003</v>
      </c>
      <c r="E9" s="60">
        <v>7.12</v>
      </c>
      <c r="F9" s="60">
        <v>0.04</v>
      </c>
      <c r="G9" s="214" t="s">
        <v>36</v>
      </c>
      <c r="H9" s="60">
        <v>18.920000000000002</v>
      </c>
      <c r="I9" s="60">
        <v>7.06</v>
      </c>
      <c r="J9" s="60">
        <v>1.08</v>
      </c>
      <c r="K9" s="60">
        <v>351.5</v>
      </c>
      <c r="L9" s="9" t="s">
        <v>36</v>
      </c>
      <c r="M9" s="60">
        <v>99.10</v>
      </c>
      <c r="N9" s="60">
        <v>0.30</v>
      </c>
      <c r="O9" s="60">
        <v>0</v>
      </c>
      <c r="P9" s="60">
        <v>3.5</v>
      </c>
      <c r="Q9" s="60">
        <v>12.29</v>
      </c>
      <c r="R9" s="194"/>
      <c r="S9" s="194"/>
      <c r="T9" s="194"/>
      <c r="U9" s="194"/>
    </row>
    <row r="10" spans="1:21" s="12" customFormat="1" ht="15">
      <c r="A10" s="197" t="s">
        <v>1206</v>
      </c>
      <c r="B10" s="60">
        <v>16.71</v>
      </c>
      <c r="C10" s="60">
        <v>15.49</v>
      </c>
      <c r="D10" s="60">
        <v>32.21</v>
      </c>
      <c r="E10" s="60">
        <v>7.52</v>
      </c>
      <c r="F10" s="60">
        <v>0.02</v>
      </c>
      <c r="G10" s="214" t="s">
        <v>36</v>
      </c>
      <c r="H10" s="60">
        <v>17.760000000000002</v>
      </c>
      <c r="I10" s="60">
        <v>7.08</v>
      </c>
      <c r="J10" s="60">
        <v>1.1000000000000001</v>
      </c>
      <c r="K10" s="60">
        <v>343.82</v>
      </c>
      <c r="L10" s="9" t="s">
        <v>36</v>
      </c>
      <c r="M10" s="60">
        <v>99.10</v>
      </c>
      <c r="N10" s="60">
        <v>0.40</v>
      </c>
      <c r="O10" s="60">
        <v>0</v>
      </c>
      <c r="P10" s="60">
        <v>3.47</v>
      </c>
      <c r="Q10" s="60">
        <v>12.12</v>
      </c>
      <c r="R10" s="194"/>
      <c r="S10" s="194"/>
      <c r="T10" s="194"/>
      <c r="U10" s="194"/>
    </row>
    <row r="11" spans="1:21" s="12" customFormat="1" ht="15">
      <c r="A11" s="197" t="s">
        <v>1207</v>
      </c>
      <c r="B11" s="60">
        <v>15.82</v>
      </c>
      <c r="C11" s="60">
        <v>15.37</v>
      </c>
      <c r="D11" s="60">
        <v>31.19</v>
      </c>
      <c r="E11" s="60">
        <v>7.35</v>
      </c>
      <c r="F11" s="60">
        <v>0.03</v>
      </c>
      <c r="G11" s="214" t="s">
        <v>36</v>
      </c>
      <c r="H11" s="60">
        <v>17.760000000000002</v>
      </c>
      <c r="I11" s="60">
        <v>7.09</v>
      </c>
      <c r="J11" s="60">
        <v>1.18</v>
      </c>
      <c r="K11" s="60">
        <v>354.30</v>
      </c>
      <c r="L11" s="9" t="s">
        <v>36</v>
      </c>
      <c r="M11" s="60">
        <v>99.10</v>
      </c>
      <c r="N11" s="60">
        <v>0.70</v>
      </c>
      <c r="O11" s="60">
        <v>0</v>
      </c>
      <c r="P11" s="60">
        <v>3.43</v>
      </c>
      <c r="Q11" s="60">
        <v>11.74</v>
      </c>
      <c r="R11" s="194"/>
      <c r="S11" s="194"/>
      <c r="T11" s="194"/>
      <c r="U11" s="194"/>
    </row>
    <row r="12" spans="1:21" s="12" customFormat="1" ht="15">
      <c r="A12" s="197" t="s">
        <v>1208</v>
      </c>
      <c r="B12" s="60">
        <v>15.17</v>
      </c>
      <c r="C12" s="60">
        <v>15.17</v>
      </c>
      <c r="D12" s="60">
        <v>30.34</v>
      </c>
      <c r="E12" s="60">
        <v>7.46</v>
      </c>
      <c r="F12" s="60">
        <v>0.22</v>
      </c>
      <c r="G12" s="214" t="s">
        <v>36</v>
      </c>
      <c r="H12" s="60">
        <v>17.760000000000002</v>
      </c>
      <c r="I12" s="60">
        <v>7.07</v>
      </c>
      <c r="J12" s="60">
        <v>1.22</v>
      </c>
      <c r="K12" s="60">
        <v>357.19</v>
      </c>
      <c r="L12" s="9" t="s">
        <v>36</v>
      </c>
      <c r="M12" s="60">
        <v>99.10</v>
      </c>
      <c r="N12" s="60">
        <v>1.30</v>
      </c>
      <c r="O12" s="60">
        <v>0</v>
      </c>
      <c r="P12" s="60">
        <v>3.39</v>
      </c>
      <c r="Q12" s="60">
        <v>10.47</v>
      </c>
      <c r="R12" s="194"/>
      <c r="S12" s="194"/>
      <c r="T12" s="194"/>
      <c r="U12" s="194"/>
    </row>
    <row r="13" spans="1:21" s="12" customFormat="1" ht="15">
      <c r="A13" s="197" t="s">
        <v>1209</v>
      </c>
      <c r="B13" s="60">
        <v>14.67</v>
      </c>
      <c r="C13" s="60">
        <v>15.51</v>
      </c>
      <c r="D13" s="60">
        <v>30.17</v>
      </c>
      <c r="E13" s="60">
        <v>7.84</v>
      </c>
      <c r="F13" s="60">
        <v>0.24</v>
      </c>
      <c r="G13" s="214" t="s">
        <v>36</v>
      </c>
      <c r="H13" s="60">
        <v>18.489999999999998</v>
      </c>
      <c r="I13" s="60">
        <v>7.02</v>
      </c>
      <c r="J13" s="60">
        <v>1.79</v>
      </c>
      <c r="K13" s="60">
        <v>354.37</v>
      </c>
      <c r="L13" s="9" t="s">
        <v>36</v>
      </c>
      <c r="M13" s="60">
        <v>99.09</v>
      </c>
      <c r="N13" s="60">
        <v>1.20</v>
      </c>
      <c r="O13" s="60">
        <v>0.20</v>
      </c>
      <c r="P13" s="60">
        <v>3.39</v>
      </c>
      <c r="Q13" s="60">
        <v>9.09</v>
      </c>
      <c r="R13" s="194"/>
      <c r="S13" s="194"/>
      <c r="T13" s="194"/>
      <c r="U13" s="194"/>
    </row>
    <row r="14" spans="1:21" s="12" customFormat="1" ht="15">
      <c r="A14" s="197" t="s">
        <v>1210</v>
      </c>
      <c r="B14" s="60">
        <v>13.96</v>
      </c>
      <c r="C14" s="60">
        <v>15.93</v>
      </c>
      <c r="D14" s="60">
        <v>29.88</v>
      </c>
      <c r="E14" s="60">
        <v>7.42</v>
      </c>
      <c r="F14" s="60">
        <v>0.26</v>
      </c>
      <c r="G14" s="214" t="s">
        <v>36</v>
      </c>
      <c r="H14" s="60">
        <v>20.27</v>
      </c>
      <c r="I14" s="60">
        <v>6.98</v>
      </c>
      <c r="J14" s="60">
        <v>1.66</v>
      </c>
      <c r="K14" s="60">
        <v>354.73</v>
      </c>
      <c r="L14" s="9" t="s">
        <v>36</v>
      </c>
      <c r="M14" s="60">
        <v>99.10</v>
      </c>
      <c r="N14" s="60">
        <v>1.1000000000000001</v>
      </c>
      <c r="O14" s="60">
        <v>0</v>
      </c>
      <c r="P14" s="60">
        <v>3.35</v>
      </c>
      <c r="Q14" s="60">
        <v>8.36</v>
      </c>
      <c r="R14" s="194"/>
      <c r="S14" s="194"/>
      <c r="T14" s="194"/>
      <c r="U14" s="194"/>
    </row>
    <row r="15" spans="1:21" s="12" customFormat="1" ht="15">
      <c r="A15" s="197" t="s">
        <v>1211</v>
      </c>
      <c r="B15" s="60">
        <v>12.94</v>
      </c>
      <c r="C15" s="60">
        <v>15.58</v>
      </c>
      <c r="D15" s="60">
        <v>28.52</v>
      </c>
      <c r="E15" s="60">
        <v>7.90</v>
      </c>
      <c r="F15" s="60">
        <v>0.28000000000000003</v>
      </c>
      <c r="G15" s="214" t="s">
        <v>36</v>
      </c>
      <c r="H15" s="60">
        <v>20.27</v>
      </c>
      <c r="I15" s="60">
        <v>6.99</v>
      </c>
      <c r="J15" s="60">
        <v>1.29</v>
      </c>
      <c r="K15" s="60">
        <v>356.65</v>
      </c>
      <c r="L15" s="9" t="s">
        <v>36</v>
      </c>
      <c r="M15" s="60">
        <v>99.10</v>
      </c>
      <c r="N15" s="60">
        <v>0.80</v>
      </c>
      <c r="O15" s="60">
        <v>0</v>
      </c>
      <c r="P15" s="60">
        <v>3.29</v>
      </c>
      <c r="Q15" s="60">
        <v>7.60</v>
      </c>
      <c r="R15" s="194"/>
      <c r="S15" s="194"/>
      <c r="T15" s="194"/>
      <c r="U15" s="194"/>
    </row>
    <row r="16" spans="1:21" s="12" customFormat="1" ht="15">
      <c r="A16" s="197" t="s">
        <v>1212</v>
      </c>
      <c r="B16" s="60">
        <v>12.27</v>
      </c>
      <c r="C16" s="60">
        <v>14.88</v>
      </c>
      <c r="D16" s="60">
        <v>27.14</v>
      </c>
      <c r="E16" s="60">
        <v>8.1999999999999993</v>
      </c>
      <c r="F16" s="60">
        <v>0.22</v>
      </c>
      <c r="G16" s="214" t="s">
        <v>36</v>
      </c>
      <c r="H16" s="60">
        <v>20.27</v>
      </c>
      <c r="I16" s="60">
        <v>6.84</v>
      </c>
      <c r="J16" s="60">
        <v>0.76</v>
      </c>
      <c r="K16" s="60">
        <v>359.98</v>
      </c>
      <c r="L16" s="9" t="s">
        <v>36</v>
      </c>
      <c r="M16" s="60">
        <v>99.10</v>
      </c>
      <c r="N16" s="60">
        <v>0.60</v>
      </c>
      <c r="O16" s="60">
        <v>0</v>
      </c>
      <c r="P16" s="60">
        <v>3.25</v>
      </c>
      <c r="Q16" s="60">
        <v>7.10</v>
      </c>
      <c r="R16" s="194"/>
      <c r="S16" s="194"/>
      <c r="T16" s="194"/>
      <c r="U16" s="194"/>
    </row>
    <row r="17" spans="1:21" s="12" customFormat="1" ht="15">
      <c r="A17" s="197" t="s">
        <v>1213</v>
      </c>
      <c r="B17" s="60">
        <v>12.01</v>
      </c>
      <c r="C17" s="60">
        <v>13.90</v>
      </c>
      <c r="D17" s="60">
        <v>25.91</v>
      </c>
      <c r="E17" s="60">
        <v>8.2799999999999994</v>
      </c>
      <c r="F17" s="60">
        <v>0.28999999999999998</v>
      </c>
      <c r="G17" s="214" t="s">
        <v>36</v>
      </c>
      <c r="H17" s="60">
        <v>20.91</v>
      </c>
      <c r="I17" s="60">
        <v>6.64</v>
      </c>
      <c r="J17" s="60">
        <v>0.28999999999999998</v>
      </c>
      <c r="K17" s="60">
        <v>20.13</v>
      </c>
      <c r="L17" s="9" t="s">
        <v>36</v>
      </c>
      <c r="M17" s="60">
        <v>99.10</v>
      </c>
      <c r="N17" s="60">
        <v>0.5</v>
      </c>
      <c r="O17" s="60">
        <v>0</v>
      </c>
      <c r="P17" s="60">
        <v>3.24</v>
      </c>
      <c r="Q17" s="60">
        <v>6.77</v>
      </c>
      <c r="R17" s="194"/>
      <c r="S17" s="194"/>
      <c r="T17" s="194"/>
      <c r="U17" s="194"/>
    </row>
    <row r="18" spans="1:21" s="12" customFormat="1" ht="15">
      <c r="A18" s="197" t="s">
        <v>1214</v>
      </c>
      <c r="B18" s="60">
        <v>12.08</v>
      </c>
      <c r="C18" s="60">
        <v>13.20</v>
      </c>
      <c r="D18" s="60">
        <v>25.28</v>
      </c>
      <c r="E18" s="60">
        <v>8.93</v>
      </c>
      <c r="F18" s="60">
        <v>0.14000000000000001</v>
      </c>
      <c r="G18" s="214" t="s">
        <v>36</v>
      </c>
      <c r="H18" s="60">
        <v>22.47</v>
      </c>
      <c r="I18" s="60">
        <v>6.31</v>
      </c>
      <c r="J18" s="60">
        <v>0.24</v>
      </c>
      <c r="K18" s="60">
        <v>41.32</v>
      </c>
      <c r="L18" s="9" t="s">
        <v>36</v>
      </c>
      <c r="M18" s="60">
        <v>99.10</v>
      </c>
      <c r="N18" s="60">
        <v>0.40</v>
      </c>
      <c r="O18" s="60">
        <v>0</v>
      </c>
      <c r="P18" s="60">
        <v>3.23</v>
      </c>
      <c r="Q18" s="60">
        <v>6.67</v>
      </c>
      <c r="R18" s="194"/>
      <c r="S18" s="194"/>
      <c r="T18" s="194"/>
      <c r="U18" s="194"/>
    </row>
    <row r="19" spans="1:21" s="12" customFormat="1" ht="15">
      <c r="A19" s="197" t="s">
        <v>1215</v>
      </c>
      <c r="B19" s="60">
        <v>12.18</v>
      </c>
      <c r="C19" s="60">
        <v>12.93</v>
      </c>
      <c r="D19" s="60">
        <v>25.11</v>
      </c>
      <c r="E19" s="60">
        <v>8.4700000000000006</v>
      </c>
      <c r="F19" s="60">
        <v>0.14000000000000001</v>
      </c>
      <c r="G19" s="214" t="s">
        <v>36</v>
      </c>
      <c r="H19" s="60">
        <v>22.47</v>
      </c>
      <c r="I19" s="60">
        <v>6.17</v>
      </c>
      <c r="J19" s="60">
        <v>0.28000000000000003</v>
      </c>
      <c r="K19" s="60">
        <v>4.2699999999999996</v>
      </c>
      <c r="L19" s="9" t="s">
        <v>36</v>
      </c>
      <c r="M19" s="60">
        <v>99.10</v>
      </c>
      <c r="N19" s="60">
        <v>0.30</v>
      </c>
      <c r="O19" s="60">
        <v>0</v>
      </c>
      <c r="P19" s="60">
        <v>3.25</v>
      </c>
      <c r="Q19" s="60">
        <v>6.84</v>
      </c>
      <c r="R19" s="194"/>
      <c r="S19" s="194"/>
      <c r="T19" s="194"/>
      <c r="U19" s="194"/>
    </row>
    <row r="20" spans="1:21" s="12" customFormat="1" ht="15">
      <c r="A20" s="197" t="s">
        <v>1216</v>
      </c>
      <c r="B20" s="60">
        <v>12.17</v>
      </c>
      <c r="C20" s="60">
        <v>12.75</v>
      </c>
      <c r="D20" s="60">
        <v>24.92</v>
      </c>
      <c r="E20" s="60">
        <v>8.77</v>
      </c>
      <c r="F20" s="60">
        <v>0.21</v>
      </c>
      <c r="G20" s="214" t="s">
        <v>36</v>
      </c>
      <c r="H20" s="60">
        <v>22.47</v>
      </c>
      <c r="I20" s="60">
        <v>6.32</v>
      </c>
      <c r="J20" s="60">
        <v>0.53</v>
      </c>
      <c r="K20" s="60">
        <v>4.1500000000000004</v>
      </c>
      <c r="L20" s="9" t="s">
        <v>36</v>
      </c>
      <c r="M20" s="60">
        <v>99.10</v>
      </c>
      <c r="N20" s="60">
        <v>0.40</v>
      </c>
      <c r="O20" s="60">
        <v>0</v>
      </c>
      <c r="P20" s="60">
        <v>3.28</v>
      </c>
      <c r="Q20" s="60">
        <v>7.69</v>
      </c>
      <c r="R20" s="194"/>
      <c r="S20" s="194"/>
      <c r="T20" s="194"/>
      <c r="U20" s="194"/>
    </row>
    <row r="21" spans="1:21" s="12" customFormat="1" ht="15">
      <c r="A21" s="197" t="s">
        <v>1217</v>
      </c>
      <c r="B21" s="60">
        <v>11.85</v>
      </c>
      <c r="C21" s="60">
        <v>13.08</v>
      </c>
      <c r="D21" s="60">
        <v>24.93</v>
      </c>
      <c r="E21" s="60">
        <v>8.3800000000000008</v>
      </c>
      <c r="F21" s="60">
        <v>0.05</v>
      </c>
      <c r="G21" s="214" t="s">
        <v>36</v>
      </c>
      <c r="H21" s="60">
        <v>24.46</v>
      </c>
      <c r="I21" s="60">
        <v>6.47</v>
      </c>
      <c r="J21" s="60">
        <v>0.71</v>
      </c>
      <c r="K21" s="60">
        <v>351.78</v>
      </c>
      <c r="L21" s="9" t="s">
        <v>36</v>
      </c>
      <c r="M21" s="60">
        <v>99.10</v>
      </c>
      <c r="N21" s="60">
        <v>0.30</v>
      </c>
      <c r="O21" s="60">
        <v>0</v>
      </c>
      <c r="P21" s="60">
        <v>3.32</v>
      </c>
      <c r="Q21" s="60">
        <v>9.0500000000000007</v>
      </c>
      <c r="R21" s="194"/>
      <c r="S21" s="194"/>
      <c r="T21" s="194"/>
      <c r="U21" s="194"/>
    </row>
    <row r="22" spans="1:21" s="12" customFormat="1" ht="15">
      <c r="A22" s="197" t="s">
        <v>1218</v>
      </c>
      <c r="B22" s="60">
        <v>11.47</v>
      </c>
      <c r="C22" s="60">
        <v>13.52</v>
      </c>
      <c r="D22" s="60">
        <v>24.99</v>
      </c>
      <c r="E22" s="60">
        <v>8.40</v>
      </c>
      <c r="F22" s="60">
        <v>0.04</v>
      </c>
      <c r="G22" s="214" t="s">
        <v>36</v>
      </c>
      <c r="H22" s="60">
        <v>29.36</v>
      </c>
      <c r="I22" s="60">
        <v>6.72</v>
      </c>
      <c r="J22" s="60">
        <v>0.63</v>
      </c>
      <c r="K22" s="60">
        <v>357.46</v>
      </c>
      <c r="L22" s="9" t="s">
        <v>36</v>
      </c>
      <c r="M22" s="60">
        <v>99.10</v>
      </c>
      <c r="N22" s="60">
        <v>0.20</v>
      </c>
      <c r="O22" s="60">
        <v>0</v>
      </c>
      <c r="P22" s="60">
        <v>3.35</v>
      </c>
      <c r="Q22" s="60">
        <v>9.83</v>
      </c>
      <c r="R22" s="194"/>
      <c r="S22" s="194"/>
      <c r="T22" s="194"/>
      <c r="U22" s="194"/>
    </row>
    <row r="23" spans="1:21" s="12" customFormat="1" ht="15">
      <c r="A23" s="197" t="s">
        <v>1219</v>
      </c>
      <c r="B23" s="60">
        <v>11.12</v>
      </c>
      <c r="C23" s="60">
        <v>13.44</v>
      </c>
      <c r="D23" s="60">
        <v>24.56</v>
      </c>
      <c r="E23" s="60">
        <v>8.0399999999999991</v>
      </c>
      <c r="F23" s="60">
        <v>0.08</v>
      </c>
      <c r="G23" s="214" t="s">
        <v>36</v>
      </c>
      <c r="H23" s="60">
        <v>29.36</v>
      </c>
      <c r="I23" s="60">
        <v>6.65</v>
      </c>
      <c r="J23" s="60">
        <v>0.85</v>
      </c>
      <c r="K23" s="60">
        <v>2.62</v>
      </c>
      <c r="L23" s="9" t="s">
        <v>36</v>
      </c>
      <c r="M23" s="60">
        <v>99.10</v>
      </c>
      <c r="N23" s="60">
        <v>0.60</v>
      </c>
      <c r="O23" s="60">
        <v>0</v>
      </c>
      <c r="P23" s="60">
        <v>3.34</v>
      </c>
      <c r="Q23" s="60">
        <v>10.17</v>
      </c>
      <c r="R23" s="194"/>
      <c r="S23" s="194"/>
      <c r="T23" s="194"/>
      <c r="U23" s="194"/>
    </row>
    <row r="24" spans="1:21" s="12" customFormat="1" ht="15">
      <c r="A24" s="197" t="s">
        <v>1220</v>
      </c>
      <c r="B24" s="60">
        <v>10.5</v>
      </c>
      <c r="C24" s="60">
        <v>13.29</v>
      </c>
      <c r="D24" s="60">
        <v>23.79</v>
      </c>
      <c r="E24" s="60">
        <v>3.14</v>
      </c>
      <c r="F24" s="60">
        <v>0.02</v>
      </c>
      <c r="G24" s="214" t="s">
        <v>36</v>
      </c>
      <c r="H24" s="60">
        <v>29.36</v>
      </c>
      <c r="I24" s="60">
        <v>6.59</v>
      </c>
      <c r="J24" s="60">
        <v>1.1100000000000001</v>
      </c>
      <c r="K24" s="60">
        <v>358.45</v>
      </c>
      <c r="L24" s="9" t="s">
        <v>36</v>
      </c>
      <c r="M24" s="60">
        <v>99.07</v>
      </c>
      <c r="N24" s="60">
        <v>0.5</v>
      </c>
      <c r="O24" s="60">
        <v>0</v>
      </c>
      <c r="P24" s="60">
        <v>3.32</v>
      </c>
      <c r="Q24" s="60">
        <v>10</v>
      </c>
      <c r="R24" s="194"/>
      <c r="S24" s="194"/>
      <c r="T24" s="194"/>
      <c r="U24" s="194"/>
    </row>
    <row r="25" spans="1:21" s="12" customFormat="1" ht="15">
      <c r="A25" s="197" t="s">
        <v>1221</v>
      </c>
      <c r="B25" s="60">
        <v>10.16</v>
      </c>
      <c r="C25" s="60">
        <v>13.54</v>
      </c>
      <c r="D25" s="60">
        <v>23.70</v>
      </c>
      <c r="E25" s="60">
        <v>6.65</v>
      </c>
      <c r="F25" s="60">
        <v>0.01</v>
      </c>
      <c r="G25" s="214" t="s">
        <v>36</v>
      </c>
      <c r="H25" s="60">
        <v>26.91</v>
      </c>
      <c r="I25" s="60">
        <v>6.5</v>
      </c>
      <c r="J25" s="60">
        <v>0.89</v>
      </c>
      <c r="K25" s="60">
        <v>359.30</v>
      </c>
      <c r="L25" s="9" t="s">
        <v>36</v>
      </c>
      <c r="M25" s="60">
        <v>99.07</v>
      </c>
      <c r="N25" s="60">
        <v>0.40</v>
      </c>
      <c r="O25" s="60">
        <v>0</v>
      </c>
      <c r="P25" s="60">
        <v>3.33</v>
      </c>
      <c r="Q25" s="60">
        <v>9.9499999999999993</v>
      </c>
      <c r="R25" s="194"/>
      <c r="S25" s="194"/>
      <c r="T25" s="194"/>
      <c r="U25" s="194"/>
    </row>
    <row r="26" spans="1:21" s="12" customFormat="1" ht="15">
      <c r="A26" s="197" t="s">
        <v>1222</v>
      </c>
      <c r="B26" s="60">
        <v>10.80</v>
      </c>
      <c r="C26" s="60">
        <v>14.26</v>
      </c>
      <c r="D26" s="60">
        <v>25.05</v>
      </c>
      <c r="E26" s="60">
        <v>7.27</v>
      </c>
      <c r="F26" s="60">
        <v>0.10</v>
      </c>
      <c r="G26" s="214" t="s">
        <v>36</v>
      </c>
      <c r="H26" s="60">
        <v>20.88</v>
      </c>
      <c r="I26" s="60">
        <v>6.34</v>
      </c>
      <c r="J26" s="60">
        <v>1.06</v>
      </c>
      <c r="K26" s="60">
        <v>358.71</v>
      </c>
      <c r="L26" s="9" t="s">
        <v>36</v>
      </c>
      <c r="M26" s="60">
        <v>99.09</v>
      </c>
      <c r="N26" s="60">
        <v>0.20</v>
      </c>
      <c r="O26" s="60">
        <v>0</v>
      </c>
      <c r="P26" s="60">
        <v>3.39</v>
      </c>
      <c r="Q26" s="60">
        <v>9.7200000000000006</v>
      </c>
      <c r="R26" s="194"/>
      <c r="S26" s="194"/>
      <c r="T26" s="194"/>
      <c r="U26" s="194"/>
    </row>
    <row r="27" spans="1:21" s="12" customFormat="1" ht="15">
      <c r="A27" s="197" t="s">
        <v>1223</v>
      </c>
      <c r="B27" s="60">
        <v>11.58</v>
      </c>
      <c r="C27" s="60">
        <v>14.20</v>
      </c>
      <c r="D27" s="60">
        <v>25.77</v>
      </c>
      <c r="E27" s="60">
        <v>7.15</v>
      </c>
      <c r="F27" s="60">
        <v>0.5</v>
      </c>
      <c r="G27" s="214" t="s">
        <v>36</v>
      </c>
      <c r="H27" s="60">
        <v>20.88</v>
      </c>
      <c r="I27" s="60">
        <v>6.23</v>
      </c>
      <c r="J27" s="60">
        <v>1.39</v>
      </c>
      <c r="K27" s="60">
        <v>355.43</v>
      </c>
      <c r="L27" s="9" t="s">
        <v>36</v>
      </c>
      <c r="M27" s="60">
        <v>99.10</v>
      </c>
      <c r="N27" s="60">
        <v>0.10</v>
      </c>
      <c r="O27" s="60">
        <v>0</v>
      </c>
      <c r="P27" s="60">
        <v>3.47</v>
      </c>
      <c r="Q27" s="60">
        <v>8.61</v>
      </c>
      <c r="R27" s="194"/>
      <c r="S27" s="194"/>
      <c r="T27" s="194"/>
      <c r="U27" s="194"/>
    </row>
    <row r="28" spans="1:21" s="12" customFormat="1" ht="15">
      <c r="A28" s="197" t="s">
        <v>1224</v>
      </c>
      <c r="B28" s="60">
        <v>12.01</v>
      </c>
      <c r="C28" s="60">
        <v>14.07</v>
      </c>
      <c r="D28" s="60">
        <v>26.09</v>
      </c>
      <c r="E28" s="60">
        <v>6.92</v>
      </c>
      <c r="F28" s="60">
        <v>0.25</v>
      </c>
      <c r="G28" s="214" t="s">
        <v>36</v>
      </c>
      <c r="H28" s="60">
        <v>20.88</v>
      </c>
      <c r="I28" s="60">
        <v>6.26</v>
      </c>
      <c r="J28" s="60">
        <v>1.43</v>
      </c>
      <c r="K28" s="60">
        <v>357.73</v>
      </c>
      <c r="L28" s="9" t="s">
        <v>36</v>
      </c>
      <c r="M28" s="60">
        <v>98.99</v>
      </c>
      <c r="N28" s="60">
        <v>0.80</v>
      </c>
      <c r="O28" s="60">
        <v>0</v>
      </c>
      <c r="P28" s="60">
        <v>3.49</v>
      </c>
      <c r="Q28" s="60">
        <v>7.69</v>
      </c>
      <c r="R28" s="194"/>
      <c r="S28" s="194"/>
      <c r="T28" s="194"/>
      <c r="U28" s="194"/>
    </row>
    <row r="29" spans="1:21" s="12" customFormat="1" ht="15">
      <c r="A29" s="197" t="s">
        <v>1225</v>
      </c>
      <c r="B29" s="60">
        <v>12.09</v>
      </c>
      <c r="C29" s="60">
        <v>13.90</v>
      </c>
      <c r="D29" s="60">
        <v>25.99</v>
      </c>
      <c r="E29" s="60">
        <v>7.20</v>
      </c>
      <c r="F29" s="60">
        <v>0.15</v>
      </c>
      <c r="G29" s="214" t="s">
        <v>36</v>
      </c>
      <c r="H29" s="60">
        <v>24.57</v>
      </c>
      <c r="I29" s="60">
        <v>6.39</v>
      </c>
      <c r="J29" s="60">
        <v>0.87</v>
      </c>
      <c r="K29" s="60">
        <v>6.04</v>
      </c>
      <c r="L29" s="9" t="s">
        <v>36</v>
      </c>
      <c r="M29" s="60">
        <v>99.04</v>
      </c>
      <c r="N29" s="60">
        <v>0.70</v>
      </c>
      <c r="O29" s="60">
        <v>0</v>
      </c>
      <c r="P29" s="60">
        <v>3.47</v>
      </c>
      <c r="Q29" s="60">
        <v>7.21</v>
      </c>
      <c r="R29" s="194"/>
      <c r="S29" s="194"/>
      <c r="T29" s="194"/>
      <c r="U29" s="194"/>
    </row>
    <row r="30" spans="1:21" s="12" customFormat="1" ht="15">
      <c r="A30" s="197" t="s">
        <v>1226</v>
      </c>
      <c r="B30" s="60">
        <v>12.52</v>
      </c>
      <c r="C30" s="60">
        <v>13.49</v>
      </c>
      <c r="D30" s="60">
        <v>26.01</v>
      </c>
      <c r="E30" s="60">
        <v>7.32</v>
      </c>
      <c r="F30" s="60">
        <v>0.31</v>
      </c>
      <c r="G30" s="214" t="s">
        <v>36</v>
      </c>
      <c r="H30" s="60">
        <v>33.65</v>
      </c>
      <c r="I30" s="60">
        <v>6.45</v>
      </c>
      <c r="J30" s="60">
        <v>0.38</v>
      </c>
      <c r="K30" s="60">
        <v>43.66</v>
      </c>
      <c r="L30" s="9" t="s">
        <v>36</v>
      </c>
      <c r="M30" s="60">
        <v>99.08</v>
      </c>
      <c r="N30" s="60">
        <v>2.70</v>
      </c>
      <c r="O30" s="60">
        <v>0</v>
      </c>
      <c r="P30" s="60">
        <v>3.49</v>
      </c>
      <c r="Q30" s="60">
        <v>7.08</v>
      </c>
      <c r="R30" s="194"/>
      <c r="S30" s="194"/>
      <c r="T30" s="194"/>
      <c r="U30" s="194"/>
    </row>
    <row r="31" spans="1:21" s="12" customFormat="1" ht="15">
      <c r="A31" s="197" t="s">
        <v>1227</v>
      </c>
      <c r="B31" s="60">
        <v>13.37</v>
      </c>
      <c r="C31" s="60">
        <v>12.88</v>
      </c>
      <c r="D31" s="60">
        <v>26.25</v>
      </c>
      <c r="E31" s="60">
        <v>7.95</v>
      </c>
      <c r="F31" s="60">
        <v>0.24</v>
      </c>
      <c r="G31" s="214" t="s">
        <v>36</v>
      </c>
      <c r="H31" s="60">
        <v>33.65</v>
      </c>
      <c r="I31" s="60">
        <v>6.53</v>
      </c>
      <c r="J31" s="60">
        <v>0.51</v>
      </c>
      <c r="K31" s="60">
        <v>17.670000000000002</v>
      </c>
      <c r="L31" s="9" t="s">
        <v>36</v>
      </c>
      <c r="M31" s="60">
        <v>99.08</v>
      </c>
      <c r="N31" s="60">
        <v>11.30</v>
      </c>
      <c r="O31" s="60">
        <v>0</v>
      </c>
      <c r="P31" s="60">
        <v>3.51</v>
      </c>
      <c r="Q31" s="60">
        <v>7.10</v>
      </c>
      <c r="R31" s="194"/>
      <c r="S31" s="194"/>
      <c r="T31" s="194"/>
      <c r="U31" s="194"/>
    </row>
    <row r="32" spans="1:21" s="12" customFormat="1" ht="15">
      <c r="A32" s="197" t="s">
        <v>1228</v>
      </c>
      <c r="B32" s="60">
        <v>14.27</v>
      </c>
      <c r="C32" s="60">
        <v>12.37</v>
      </c>
      <c r="D32" s="60">
        <v>26.64</v>
      </c>
      <c r="E32" s="60">
        <v>7.87</v>
      </c>
      <c r="F32" s="60">
        <v>0.09</v>
      </c>
      <c r="G32" s="214" t="s">
        <v>36</v>
      </c>
      <c r="H32" s="60">
        <v>33.65</v>
      </c>
      <c r="I32" s="60">
        <v>6.62</v>
      </c>
      <c r="J32" s="60">
        <v>0.34</v>
      </c>
      <c r="K32" s="60">
        <v>25.01</v>
      </c>
      <c r="L32" s="9" t="s">
        <v>36</v>
      </c>
      <c r="M32" s="60">
        <v>98.99</v>
      </c>
      <c r="N32" s="60">
        <v>31.60</v>
      </c>
      <c r="O32" s="60">
        <v>0</v>
      </c>
      <c r="P32" s="60">
        <v>3.54</v>
      </c>
      <c r="Q32" s="60">
        <v>7.21</v>
      </c>
      <c r="R32" s="194"/>
      <c r="S32" s="194"/>
      <c r="T32" s="194"/>
      <c r="U32" s="194"/>
    </row>
    <row r="33" spans="1:21" s="12" customFormat="1" ht="15">
      <c r="A33" s="197" t="s">
        <v>1229</v>
      </c>
      <c r="B33" s="60">
        <v>14.92</v>
      </c>
      <c r="C33" s="60">
        <v>11.91</v>
      </c>
      <c r="D33" s="60">
        <v>26.83</v>
      </c>
      <c r="E33" s="60">
        <v>8.08</v>
      </c>
      <c r="F33" s="60">
        <v>0.10</v>
      </c>
      <c r="G33" s="214" t="s">
        <v>36</v>
      </c>
      <c r="H33" s="60">
        <v>33.33</v>
      </c>
      <c r="I33" s="60">
        <v>6.72</v>
      </c>
      <c r="J33" s="60">
        <v>0.30</v>
      </c>
      <c r="K33" s="60">
        <v>66.37</v>
      </c>
      <c r="L33" s="9" t="s">
        <v>36</v>
      </c>
      <c r="M33" s="60">
        <v>97.99</v>
      </c>
      <c r="N33" s="60">
        <v>71.30</v>
      </c>
      <c r="O33" s="60">
        <v>0</v>
      </c>
      <c r="P33" s="60">
        <v>3.53</v>
      </c>
      <c r="Q33" s="60">
        <v>7.36</v>
      </c>
      <c r="R33" s="194"/>
      <c r="S33" s="194"/>
      <c r="T33" s="194"/>
      <c r="U33" s="194"/>
    </row>
    <row r="34" spans="1:21" s="12" customFormat="1" ht="15">
      <c r="A34" s="197" t="s">
        <v>1230</v>
      </c>
      <c r="B34" s="60">
        <v>15.72</v>
      </c>
      <c r="C34" s="60">
        <v>11.53</v>
      </c>
      <c r="D34" s="60">
        <v>27.26</v>
      </c>
      <c r="E34" s="60">
        <v>8.49</v>
      </c>
      <c r="F34" s="60">
        <v>0.13</v>
      </c>
      <c r="G34" s="214" t="s">
        <v>36</v>
      </c>
      <c r="H34" s="60">
        <v>32.53</v>
      </c>
      <c r="I34" s="60">
        <v>6.54</v>
      </c>
      <c r="J34" s="60">
        <v>0.43</v>
      </c>
      <c r="K34" s="60">
        <v>45.74</v>
      </c>
      <c r="L34" s="9" t="s">
        <v>36</v>
      </c>
      <c r="M34" s="60">
        <v>96.32</v>
      </c>
      <c r="N34" s="60">
        <v>99.60</v>
      </c>
      <c r="O34" s="60">
        <v>0</v>
      </c>
      <c r="P34" s="60">
        <v>3.5</v>
      </c>
      <c r="Q34" s="60">
        <v>7.71</v>
      </c>
      <c r="R34" s="194"/>
      <c r="S34" s="194"/>
      <c r="T34" s="194"/>
      <c r="U34" s="194"/>
    </row>
    <row r="35" spans="1:21" s="12" customFormat="1" ht="15">
      <c r="A35" s="197" t="s">
        <v>1231</v>
      </c>
      <c r="B35" s="60">
        <v>16.670000000000002</v>
      </c>
      <c r="C35" s="60">
        <v>11.77</v>
      </c>
      <c r="D35" s="60">
        <v>28.44</v>
      </c>
      <c r="E35" s="60">
        <v>8.35</v>
      </c>
      <c r="F35" s="60">
        <v>0.13</v>
      </c>
      <c r="G35" s="214" t="s">
        <v>36</v>
      </c>
      <c r="H35" s="60">
        <v>32.53</v>
      </c>
      <c r="I35" s="60">
        <v>6.33</v>
      </c>
      <c r="J35" s="60">
        <v>0.88</v>
      </c>
      <c r="K35" s="60">
        <v>84.97</v>
      </c>
      <c r="L35" s="9" t="s">
        <v>36</v>
      </c>
      <c r="M35" s="60">
        <v>95.68</v>
      </c>
      <c r="N35" s="60">
        <v>147.30000000000001</v>
      </c>
      <c r="O35" s="60">
        <v>0</v>
      </c>
      <c r="P35" s="60">
        <v>3.46</v>
      </c>
      <c r="Q35" s="60">
        <v>9.16</v>
      </c>
      <c r="R35" s="194"/>
      <c r="S35" s="194"/>
      <c r="T35" s="194"/>
      <c r="U35" s="194"/>
    </row>
    <row r="36" spans="1:21" s="12" customFormat="1" ht="15">
      <c r="A36" s="197" t="s">
        <v>1232</v>
      </c>
      <c r="B36" s="60">
        <v>16.91</v>
      </c>
      <c r="C36" s="60">
        <v>11.92</v>
      </c>
      <c r="D36" s="60">
        <v>28.83</v>
      </c>
      <c r="E36" s="60">
        <v>8.10</v>
      </c>
      <c r="F36" s="60">
        <v>0.47</v>
      </c>
      <c r="G36" s="214" t="s">
        <v>36</v>
      </c>
      <c r="H36" s="60">
        <v>32.53</v>
      </c>
      <c r="I36" s="60">
        <v>6.63</v>
      </c>
      <c r="J36" s="60">
        <v>0.57999999999999996</v>
      </c>
      <c r="K36" s="60">
        <v>11.99</v>
      </c>
      <c r="L36" s="9" t="s">
        <v>36</v>
      </c>
      <c r="M36" s="60">
        <v>94.65</v>
      </c>
      <c r="N36" s="60">
        <v>116</v>
      </c>
      <c r="O36" s="60">
        <v>0</v>
      </c>
      <c r="P36" s="60">
        <v>3.42</v>
      </c>
      <c r="Q36" s="60">
        <v>10.62</v>
      </c>
      <c r="R36" s="194"/>
      <c r="S36" s="194"/>
      <c r="T36" s="194"/>
      <c r="U36" s="194"/>
    </row>
    <row r="37" spans="1:21" s="12" customFormat="1" ht="15">
      <c r="A37" s="197" t="s">
        <v>1233</v>
      </c>
      <c r="B37" s="60">
        <v>16.97</v>
      </c>
      <c r="C37" s="60">
        <v>12.22</v>
      </c>
      <c r="D37" s="60">
        <v>29.19</v>
      </c>
      <c r="E37" s="60">
        <v>8.1300000000000008</v>
      </c>
      <c r="F37" s="60">
        <v>0.20</v>
      </c>
      <c r="G37" s="214" t="s">
        <v>36</v>
      </c>
      <c r="H37" s="60">
        <v>29.80</v>
      </c>
      <c r="I37" s="60">
        <v>6.75</v>
      </c>
      <c r="J37" s="60">
        <v>0.74</v>
      </c>
      <c r="K37" s="60">
        <v>23.51</v>
      </c>
      <c r="L37" s="9" t="s">
        <v>36</v>
      </c>
      <c r="M37" s="60">
        <v>94.66</v>
      </c>
      <c r="N37" s="60">
        <v>71.400000000000006</v>
      </c>
      <c r="O37" s="60">
        <v>0</v>
      </c>
      <c r="P37" s="60">
        <v>3.40</v>
      </c>
      <c r="Q37" s="60">
        <v>11.31</v>
      </c>
      <c r="R37" s="194"/>
      <c r="S37" s="194"/>
      <c r="T37" s="194"/>
      <c r="U37" s="194"/>
    </row>
    <row r="38" spans="1:21" s="12" customFormat="1" ht="15">
      <c r="A38" s="197" t="s">
        <v>1234</v>
      </c>
      <c r="B38" s="60">
        <v>17.059999999999999</v>
      </c>
      <c r="C38" s="60">
        <v>12.67</v>
      </c>
      <c r="D38" s="60">
        <v>29.73</v>
      </c>
      <c r="E38" s="60">
        <v>8.26</v>
      </c>
      <c r="F38" s="60">
        <v>0.03</v>
      </c>
      <c r="G38" s="214" t="s">
        <v>36</v>
      </c>
      <c r="H38" s="60">
        <v>23.09</v>
      </c>
      <c r="I38" s="60">
        <v>6.68</v>
      </c>
      <c r="J38" s="60">
        <v>0.56999999999999995</v>
      </c>
      <c r="K38" s="60">
        <v>51.72</v>
      </c>
      <c r="L38" s="9" t="s">
        <v>36</v>
      </c>
      <c r="M38" s="60">
        <v>94.46</v>
      </c>
      <c r="N38" s="60">
        <v>136.40</v>
      </c>
      <c r="O38" s="60">
        <v>0</v>
      </c>
      <c r="P38" s="60">
        <v>3.36</v>
      </c>
      <c r="Q38" s="60">
        <v>11.51</v>
      </c>
      <c r="R38" s="194"/>
      <c r="S38" s="194"/>
      <c r="T38" s="194"/>
      <c r="U38" s="194"/>
    </row>
    <row r="39" spans="1:21" s="12" customFormat="1" ht="15">
      <c r="A39" s="197" t="s">
        <v>1235</v>
      </c>
      <c r="B39" s="60">
        <v>17.260000000000002</v>
      </c>
      <c r="C39" s="60">
        <v>12.69</v>
      </c>
      <c r="D39" s="60">
        <v>29.95</v>
      </c>
      <c r="E39" s="60">
        <v>7.60</v>
      </c>
      <c r="F39" s="60">
        <v>0.08</v>
      </c>
      <c r="G39" s="214" t="s">
        <v>36</v>
      </c>
      <c r="H39" s="60">
        <v>23.09</v>
      </c>
      <c r="I39" s="60">
        <v>6.57</v>
      </c>
      <c r="J39" s="60">
        <v>0.47</v>
      </c>
      <c r="K39" s="60">
        <v>21.65</v>
      </c>
      <c r="L39" s="9" t="s">
        <v>36</v>
      </c>
      <c r="M39" s="60">
        <v>93.83</v>
      </c>
      <c r="N39" s="60">
        <v>150.30000000000001</v>
      </c>
      <c r="O39" s="60">
        <v>0</v>
      </c>
      <c r="P39" s="60">
        <v>3.32</v>
      </c>
      <c r="Q39" s="60">
        <v>11.64</v>
      </c>
      <c r="R39" s="194"/>
      <c r="S39" s="194"/>
      <c r="T39" s="194"/>
      <c r="U39" s="194"/>
    </row>
    <row r="40" spans="1:21" s="12" customFormat="1" ht="15">
      <c r="A40" s="197" t="s">
        <v>1236</v>
      </c>
      <c r="B40" s="60">
        <v>17.71</v>
      </c>
      <c r="C40" s="60">
        <v>13.07</v>
      </c>
      <c r="D40" s="60">
        <v>30.77</v>
      </c>
      <c r="E40" s="60">
        <v>3.47</v>
      </c>
      <c r="F40" s="60">
        <v>0.14000000000000001</v>
      </c>
      <c r="G40" s="214" t="s">
        <v>36</v>
      </c>
      <c r="H40" s="60">
        <v>23.09</v>
      </c>
      <c r="I40" s="60">
        <v>6.53</v>
      </c>
      <c r="J40" s="60">
        <v>0.43</v>
      </c>
      <c r="K40" s="60">
        <v>40</v>
      </c>
      <c r="L40" s="9" t="s">
        <v>36</v>
      </c>
      <c r="M40" s="60">
        <v>92.30</v>
      </c>
      <c r="N40" s="60">
        <v>142.5</v>
      </c>
      <c r="O40" s="60">
        <v>0</v>
      </c>
      <c r="P40" s="60">
        <v>3.32</v>
      </c>
      <c r="Q40" s="60">
        <v>11.75</v>
      </c>
      <c r="R40" s="194"/>
      <c r="S40" s="194"/>
      <c r="T40" s="194"/>
      <c r="U40" s="194"/>
    </row>
    <row r="41" spans="1:21" s="12" customFormat="1" ht="15">
      <c r="A41" s="197" t="s">
        <v>1237</v>
      </c>
      <c r="B41" s="60">
        <v>18.41</v>
      </c>
      <c r="C41" s="60">
        <v>13.29</v>
      </c>
      <c r="D41" s="60">
        <v>31.70</v>
      </c>
      <c r="E41" s="60">
        <v>7.27</v>
      </c>
      <c r="F41" s="60">
        <v>0.20</v>
      </c>
      <c r="G41" s="214" t="s">
        <v>36</v>
      </c>
      <c r="H41" s="60">
        <v>22.71</v>
      </c>
      <c r="I41" s="60">
        <v>6.45</v>
      </c>
      <c r="J41" s="60">
        <v>0.90</v>
      </c>
      <c r="K41" s="60">
        <v>74.22</v>
      </c>
      <c r="L41" s="9" t="s">
        <v>36</v>
      </c>
      <c r="M41" s="60">
        <v>91.94</v>
      </c>
      <c r="N41" s="60">
        <v>188</v>
      </c>
      <c r="O41" s="60">
        <v>0</v>
      </c>
      <c r="P41" s="60">
        <v>3.29</v>
      </c>
      <c r="Q41" s="60">
        <v>11.14</v>
      </c>
      <c r="R41" s="194"/>
      <c r="S41" s="194"/>
      <c r="T41" s="194"/>
      <c r="U41" s="194"/>
    </row>
    <row r="42" spans="1:21" s="12" customFormat="1" ht="15">
      <c r="A42" s="197" t="s">
        <v>1238</v>
      </c>
      <c r="B42" s="60">
        <v>18.68</v>
      </c>
      <c r="C42" s="60">
        <v>12.82</v>
      </c>
      <c r="D42" s="60">
        <v>31.51</v>
      </c>
      <c r="E42" s="60">
        <v>7.38</v>
      </c>
      <c r="F42" s="60">
        <v>0.25</v>
      </c>
      <c r="G42" s="214" t="s">
        <v>36</v>
      </c>
      <c r="H42" s="60">
        <v>21.77</v>
      </c>
      <c r="I42" s="60">
        <v>6.40</v>
      </c>
      <c r="J42" s="60">
        <v>1.06</v>
      </c>
      <c r="K42" s="60">
        <v>84.39</v>
      </c>
      <c r="L42" s="9" t="s">
        <v>36</v>
      </c>
      <c r="M42" s="60">
        <v>90.98</v>
      </c>
      <c r="N42" s="60">
        <v>190.70</v>
      </c>
      <c r="O42" s="60">
        <v>0</v>
      </c>
      <c r="P42" s="60">
        <v>3.27</v>
      </c>
      <c r="Q42" s="60">
        <v>9.93</v>
      </c>
      <c r="R42" s="194"/>
      <c r="S42" s="194"/>
      <c r="T42" s="194"/>
      <c r="U42" s="194"/>
    </row>
    <row r="43" spans="1:21" s="12" customFormat="1" ht="15">
      <c r="A43" s="197" t="s">
        <v>1239</v>
      </c>
      <c r="B43" s="60">
        <v>18.649999999999999</v>
      </c>
      <c r="C43" s="60">
        <v>12.30</v>
      </c>
      <c r="D43" s="60">
        <v>30.94</v>
      </c>
      <c r="E43" s="60">
        <v>7.88</v>
      </c>
      <c r="F43" s="60">
        <v>0.33</v>
      </c>
      <c r="G43" s="214" t="s">
        <v>36</v>
      </c>
      <c r="H43" s="60">
        <v>21.77</v>
      </c>
      <c r="I43" s="60">
        <v>6.10</v>
      </c>
      <c r="J43" s="60">
        <v>0.90</v>
      </c>
      <c r="K43" s="60">
        <v>81.22</v>
      </c>
      <c r="L43" s="9" t="s">
        <v>36</v>
      </c>
      <c r="M43" s="60">
        <v>90.76</v>
      </c>
      <c r="N43" s="60">
        <v>190.20</v>
      </c>
      <c r="O43" s="60">
        <v>0</v>
      </c>
      <c r="P43" s="60">
        <v>3.25</v>
      </c>
      <c r="Q43" s="60">
        <v>9.06</v>
      </c>
      <c r="R43" s="194"/>
      <c r="S43" s="194"/>
      <c r="T43" s="194"/>
      <c r="U43" s="194"/>
    </row>
    <row r="44" spans="1:21" s="12" customFormat="1" ht="15">
      <c r="A44" s="197" t="s">
        <v>1240</v>
      </c>
      <c r="B44" s="60">
        <v>18.670000000000002</v>
      </c>
      <c r="C44" s="60">
        <v>11.81</v>
      </c>
      <c r="D44" s="60">
        <v>30.48</v>
      </c>
      <c r="E44" s="60">
        <v>7.73</v>
      </c>
      <c r="F44" s="60">
        <v>0.61</v>
      </c>
      <c r="G44" s="214" t="s">
        <v>36</v>
      </c>
      <c r="H44" s="60">
        <v>21.77</v>
      </c>
      <c r="I44" s="60">
        <v>6.20</v>
      </c>
      <c r="J44" s="60">
        <v>0.75</v>
      </c>
      <c r="K44" s="60">
        <v>60.86</v>
      </c>
      <c r="L44" s="9" t="s">
        <v>36</v>
      </c>
      <c r="M44" s="60">
        <v>88.25</v>
      </c>
      <c r="N44" s="60">
        <v>486.40</v>
      </c>
      <c r="O44" s="60">
        <v>0</v>
      </c>
      <c r="P44" s="60">
        <v>3.23</v>
      </c>
      <c r="Q44" s="60">
        <v>8.66</v>
      </c>
      <c r="R44" s="194"/>
      <c r="S44" s="194"/>
      <c r="T44" s="194"/>
      <c r="U44" s="194"/>
    </row>
    <row r="45" spans="1:21" s="12" customFormat="1" ht="15">
      <c r="A45" s="197" t="s">
        <v>1241</v>
      </c>
      <c r="B45" s="60">
        <v>18.75</v>
      </c>
      <c r="C45" s="60">
        <v>11.56</v>
      </c>
      <c r="D45" s="60">
        <v>30.31</v>
      </c>
      <c r="E45" s="60">
        <v>8.26</v>
      </c>
      <c r="F45" s="60">
        <v>0.77</v>
      </c>
      <c r="G45" s="214" t="s">
        <v>36</v>
      </c>
      <c r="H45" s="60">
        <v>20.29</v>
      </c>
      <c r="I45" s="60">
        <v>6.12</v>
      </c>
      <c r="J45" s="60">
        <v>1.29</v>
      </c>
      <c r="K45" s="60">
        <v>93.53</v>
      </c>
      <c r="L45" s="9" t="s">
        <v>36</v>
      </c>
      <c r="M45" s="60">
        <v>84.22</v>
      </c>
      <c r="N45" s="60">
        <v>403.10</v>
      </c>
      <c r="O45" s="60">
        <v>0</v>
      </c>
      <c r="P45" s="60">
        <v>3.22</v>
      </c>
      <c r="Q45" s="60">
        <v>8.43</v>
      </c>
      <c r="R45" s="194"/>
      <c r="S45" s="194"/>
      <c r="T45" s="194"/>
      <c r="U45" s="194"/>
    </row>
    <row r="46" spans="1:21" s="12" customFormat="1" ht="15">
      <c r="A46" s="197" t="s">
        <v>1242</v>
      </c>
      <c r="B46" s="60">
        <v>18.32</v>
      </c>
      <c r="C46" s="60">
        <v>11.41</v>
      </c>
      <c r="D46" s="60">
        <v>29.73</v>
      </c>
      <c r="E46" s="60">
        <v>8.1999999999999993</v>
      </c>
      <c r="F46" s="60">
        <v>0.41</v>
      </c>
      <c r="G46" s="214" t="s">
        <v>36</v>
      </c>
      <c r="H46" s="60">
        <v>16.649999999999999</v>
      </c>
      <c r="I46" s="60">
        <v>6.21</v>
      </c>
      <c r="J46" s="60">
        <v>1.72</v>
      </c>
      <c r="K46" s="60">
        <v>96.85</v>
      </c>
      <c r="L46" s="9" t="s">
        <v>36</v>
      </c>
      <c r="M46" s="60">
        <v>83.34</v>
      </c>
      <c r="N46" s="60">
        <v>686.10</v>
      </c>
      <c r="O46" s="60">
        <v>0</v>
      </c>
      <c r="P46" s="60">
        <v>3.18</v>
      </c>
      <c r="Q46" s="60">
        <v>8.18</v>
      </c>
      <c r="R46" s="194"/>
      <c r="S46" s="194"/>
      <c r="T46" s="194"/>
      <c r="U46" s="194"/>
    </row>
    <row r="47" spans="1:21" s="12" customFormat="1" ht="15">
      <c r="A47" s="197" t="s">
        <v>1243</v>
      </c>
      <c r="B47" s="60">
        <v>17.37</v>
      </c>
      <c r="C47" s="60">
        <v>11.29</v>
      </c>
      <c r="D47" s="60">
        <v>28.67</v>
      </c>
      <c r="E47" s="60">
        <v>8.4600000000000009</v>
      </c>
      <c r="F47" s="60">
        <v>0.40</v>
      </c>
      <c r="G47" s="214" t="s">
        <v>36</v>
      </c>
      <c r="H47" s="60">
        <v>16.649999999999999</v>
      </c>
      <c r="I47" s="60">
        <v>6.39</v>
      </c>
      <c r="J47" s="60">
        <v>1.42</v>
      </c>
      <c r="K47" s="60">
        <v>101.65</v>
      </c>
      <c r="L47" s="9" t="s">
        <v>36</v>
      </c>
      <c r="M47" s="60">
        <v>81.45</v>
      </c>
      <c r="N47" s="60">
        <v>565.70000000000005</v>
      </c>
      <c r="O47" s="60">
        <v>0</v>
      </c>
      <c r="P47" s="60">
        <v>3.15</v>
      </c>
      <c r="Q47" s="60">
        <v>7.88</v>
      </c>
      <c r="R47" s="194"/>
      <c r="S47" s="194"/>
      <c r="T47" s="194"/>
      <c r="U47" s="194"/>
    </row>
    <row r="48" spans="1:21" s="12" customFormat="1" ht="15">
      <c r="A48" s="197" t="s">
        <v>1244</v>
      </c>
      <c r="B48" s="60">
        <v>16.32</v>
      </c>
      <c r="C48" s="60">
        <v>11.60</v>
      </c>
      <c r="D48" s="60">
        <v>27.92</v>
      </c>
      <c r="E48" s="60">
        <v>8.59</v>
      </c>
      <c r="F48" s="60">
        <v>0.19</v>
      </c>
      <c r="G48" s="214" t="s">
        <v>36</v>
      </c>
      <c r="H48" s="60">
        <v>16.649999999999999</v>
      </c>
      <c r="I48" s="60">
        <v>6.49</v>
      </c>
      <c r="J48" s="60">
        <v>1.18</v>
      </c>
      <c r="K48" s="60">
        <v>85.20</v>
      </c>
      <c r="L48" s="9" t="s">
        <v>36</v>
      </c>
      <c r="M48" s="60">
        <v>78.290000000000006</v>
      </c>
      <c r="N48" s="60">
        <v>457.20</v>
      </c>
      <c r="O48" s="60">
        <v>0</v>
      </c>
      <c r="P48" s="60">
        <v>3.11</v>
      </c>
      <c r="Q48" s="60">
        <v>7.69</v>
      </c>
      <c r="R48" s="194"/>
      <c r="S48" s="194"/>
      <c r="T48" s="194"/>
      <c r="U48" s="194"/>
    </row>
    <row r="49" spans="1:21" s="12" customFormat="1" ht="15">
      <c r="A49" s="197" t="s">
        <v>1245</v>
      </c>
      <c r="B49" s="60">
        <v>14.78</v>
      </c>
      <c r="C49" s="60">
        <v>11.90</v>
      </c>
      <c r="D49" s="60">
        <v>26.68</v>
      </c>
      <c r="E49" s="60">
        <v>7.93</v>
      </c>
      <c r="F49" s="60">
        <v>0.52</v>
      </c>
      <c r="G49" s="214" t="s">
        <v>36</v>
      </c>
      <c r="H49" s="60">
        <v>16.399999999999999</v>
      </c>
      <c r="I49" s="60">
        <v>6.33</v>
      </c>
      <c r="J49" s="60">
        <v>1.64</v>
      </c>
      <c r="K49" s="60">
        <v>98.80</v>
      </c>
      <c r="L49" s="9" t="s">
        <v>36</v>
      </c>
      <c r="M49" s="60">
        <v>77.64</v>
      </c>
      <c r="N49" s="60">
        <v>490.60</v>
      </c>
      <c r="O49" s="60">
        <v>0</v>
      </c>
      <c r="P49" s="60">
        <v>3.07</v>
      </c>
      <c r="Q49" s="60">
        <v>8.0500000000000007</v>
      </c>
      <c r="R49" s="194"/>
      <c r="S49" s="194"/>
      <c r="T49" s="194"/>
      <c r="U49" s="194"/>
    </row>
    <row r="50" spans="1:21" s="12" customFormat="1" ht="15">
      <c r="A50" s="197" t="s">
        <v>1246</v>
      </c>
      <c r="B50" s="60">
        <v>12.58</v>
      </c>
      <c r="C50" s="60">
        <v>12.72</v>
      </c>
      <c r="D50" s="60">
        <v>25.30</v>
      </c>
      <c r="E50" s="60">
        <v>8.36</v>
      </c>
      <c r="F50" s="60">
        <v>0.30</v>
      </c>
      <c r="G50" s="214" t="s">
        <v>36</v>
      </c>
      <c r="H50" s="60">
        <v>15.77</v>
      </c>
      <c r="I50" s="60">
        <v>6.13</v>
      </c>
      <c r="J50" s="60">
        <v>1.46</v>
      </c>
      <c r="K50" s="60">
        <v>96.22</v>
      </c>
      <c r="L50" s="9" t="s">
        <v>36</v>
      </c>
      <c r="M50" s="60">
        <v>74.61</v>
      </c>
      <c r="N50" s="60">
        <v>739.70</v>
      </c>
      <c r="O50" s="60">
        <v>0</v>
      </c>
      <c r="P50" s="60">
        <v>3.04</v>
      </c>
      <c r="Q50" s="60">
        <v>8.81</v>
      </c>
      <c r="R50" s="194"/>
      <c r="S50" s="194"/>
      <c r="T50" s="194"/>
      <c r="U50" s="194"/>
    </row>
    <row r="51" spans="1:21" s="12" customFormat="1" ht="15">
      <c r="A51" s="197" t="s">
        <v>1247</v>
      </c>
      <c r="B51" s="60">
        <v>10.45</v>
      </c>
      <c r="C51" s="60">
        <v>13.24</v>
      </c>
      <c r="D51" s="60">
        <v>23.69</v>
      </c>
      <c r="E51" s="60">
        <v>8.10</v>
      </c>
      <c r="F51" s="60">
        <v>0.68</v>
      </c>
      <c r="G51" s="214" t="s">
        <v>36</v>
      </c>
      <c r="H51" s="60">
        <v>15.77</v>
      </c>
      <c r="I51" s="60">
        <v>6.27</v>
      </c>
      <c r="J51" s="60">
        <v>1.91</v>
      </c>
      <c r="K51" s="60">
        <v>98.54</v>
      </c>
      <c r="L51" s="9" t="s">
        <v>36</v>
      </c>
      <c r="M51" s="60">
        <v>73.17</v>
      </c>
      <c r="N51" s="60">
        <v>442</v>
      </c>
      <c r="O51" s="60">
        <v>0</v>
      </c>
      <c r="P51" s="60">
        <v>2.98</v>
      </c>
      <c r="Q51" s="60">
        <v>9.07</v>
      </c>
      <c r="R51" s="194"/>
      <c r="S51" s="194"/>
      <c r="T51" s="194"/>
      <c r="U51" s="194"/>
    </row>
    <row r="52" spans="1:21" s="12" customFormat="1" ht="15">
      <c r="A52" s="197" t="s">
        <v>1248</v>
      </c>
      <c r="B52" s="60">
        <v>8.4700000000000006</v>
      </c>
      <c r="C52" s="60">
        <v>13.63</v>
      </c>
      <c r="D52" s="60">
        <v>22.10</v>
      </c>
      <c r="E52" s="60">
        <v>7.64</v>
      </c>
      <c r="F52" s="60">
        <v>0.65</v>
      </c>
      <c r="G52" s="214" t="s">
        <v>36</v>
      </c>
      <c r="H52" s="60">
        <v>15.77</v>
      </c>
      <c r="I52" s="60">
        <v>6.04</v>
      </c>
      <c r="J52" s="60">
        <v>0.78</v>
      </c>
      <c r="K52" s="60">
        <v>70.97</v>
      </c>
      <c r="L52" s="9" t="s">
        <v>36</v>
      </c>
      <c r="M52" s="60">
        <v>71.709999999999994</v>
      </c>
      <c r="N52" s="60">
        <v>729.60</v>
      </c>
      <c r="O52" s="60">
        <v>0</v>
      </c>
      <c r="P52" s="60">
        <v>2.94</v>
      </c>
      <c r="Q52" s="60">
        <v>8.9600000000000009</v>
      </c>
      <c r="R52" s="194"/>
      <c r="S52" s="194"/>
      <c r="T52" s="194"/>
      <c r="U52" s="194"/>
    </row>
    <row r="53" spans="1:21" s="12" customFormat="1" ht="15">
      <c r="A53" s="197" t="s">
        <v>1249</v>
      </c>
      <c r="B53" s="60">
        <v>7.20</v>
      </c>
      <c r="C53" s="60">
        <v>14.22</v>
      </c>
      <c r="D53" s="60">
        <v>21.42</v>
      </c>
      <c r="E53" s="60">
        <v>7.17</v>
      </c>
      <c r="F53" s="60">
        <v>1.06</v>
      </c>
      <c r="G53" s="214" t="s">
        <v>36</v>
      </c>
      <c r="H53" s="60">
        <v>14.92</v>
      </c>
      <c r="I53" s="60">
        <v>5.95</v>
      </c>
      <c r="J53" s="60">
        <v>1.56</v>
      </c>
      <c r="K53" s="60">
        <v>94.95</v>
      </c>
      <c r="L53" s="9" t="s">
        <v>36</v>
      </c>
      <c r="M53" s="60">
        <v>70.599999999999994</v>
      </c>
      <c r="N53" s="60">
        <v>364.70</v>
      </c>
      <c r="O53" s="60">
        <v>0</v>
      </c>
      <c r="P53" s="60">
        <v>2.93</v>
      </c>
      <c r="Q53" s="60">
        <v>8.90</v>
      </c>
      <c r="R53" s="194"/>
      <c r="S53" s="194"/>
      <c r="T53" s="194"/>
      <c r="U53" s="194"/>
    </row>
    <row r="54" spans="1:21" s="12" customFormat="1" ht="15">
      <c r="A54" s="197" t="s">
        <v>1250</v>
      </c>
      <c r="B54" s="60">
        <v>6.10</v>
      </c>
      <c r="C54" s="60">
        <v>14.15</v>
      </c>
      <c r="D54" s="60">
        <v>20.25</v>
      </c>
      <c r="E54" s="60">
        <v>7.32</v>
      </c>
      <c r="F54" s="60">
        <v>0.87</v>
      </c>
      <c r="G54" s="214" t="s">
        <v>36</v>
      </c>
      <c r="H54" s="60">
        <v>12.82</v>
      </c>
      <c r="I54" s="60">
        <v>5.78</v>
      </c>
      <c r="J54" s="60">
        <v>1.55</v>
      </c>
      <c r="K54" s="60">
        <v>94.77</v>
      </c>
      <c r="L54" s="9" t="s">
        <v>36</v>
      </c>
      <c r="M54" s="60">
        <v>71.02</v>
      </c>
      <c r="N54" s="60">
        <v>454.90</v>
      </c>
      <c r="O54" s="60">
        <v>0</v>
      </c>
      <c r="P54" s="60">
        <v>2.90</v>
      </c>
      <c r="Q54" s="60">
        <v>8.59</v>
      </c>
      <c r="R54" s="194"/>
      <c r="S54" s="194"/>
      <c r="T54" s="194"/>
      <c r="U54" s="194"/>
    </row>
    <row r="55" spans="1:21" s="12" customFormat="1" ht="15">
      <c r="A55" s="197" t="s">
        <v>1251</v>
      </c>
      <c r="B55" s="60">
        <v>5.15</v>
      </c>
      <c r="C55" s="60">
        <v>14.35</v>
      </c>
      <c r="D55" s="60">
        <v>19.5</v>
      </c>
      <c r="E55" s="60">
        <v>7.16</v>
      </c>
      <c r="F55" s="60">
        <v>0.81</v>
      </c>
      <c r="G55" s="214" t="s">
        <v>36</v>
      </c>
      <c r="H55" s="60">
        <v>12.82</v>
      </c>
      <c r="I55" s="60">
        <v>5.71</v>
      </c>
      <c r="J55" s="60">
        <v>1.43</v>
      </c>
      <c r="K55" s="60">
        <v>96.78</v>
      </c>
      <c r="L55" s="9" t="s">
        <v>36</v>
      </c>
      <c r="M55" s="60">
        <v>69.11</v>
      </c>
      <c r="N55" s="60">
        <v>582.29999999999995</v>
      </c>
      <c r="O55" s="60">
        <v>0</v>
      </c>
      <c r="P55" s="60">
        <v>2.87</v>
      </c>
      <c r="Q55" s="60">
        <v>8.24</v>
      </c>
      <c r="R55" s="194"/>
      <c r="S55" s="194"/>
      <c r="T55" s="194"/>
      <c r="U55" s="194"/>
    </row>
    <row r="56" spans="1:21" s="12" customFormat="1" ht="15">
      <c r="A56" s="197" t="s">
        <v>1252</v>
      </c>
      <c r="B56" s="60">
        <v>4.4400000000000004</v>
      </c>
      <c r="C56" s="60">
        <v>13.89</v>
      </c>
      <c r="D56" s="60">
        <v>18.32</v>
      </c>
      <c r="E56" s="60">
        <v>4.08</v>
      </c>
      <c r="F56" s="60">
        <v>0.84</v>
      </c>
      <c r="G56" s="214" t="s">
        <v>36</v>
      </c>
      <c r="H56" s="60">
        <v>12.82</v>
      </c>
      <c r="I56" s="60">
        <v>5.54</v>
      </c>
      <c r="J56" s="60">
        <v>1.27</v>
      </c>
      <c r="K56" s="60">
        <v>87.99</v>
      </c>
      <c r="L56" s="9" t="s">
        <v>36</v>
      </c>
      <c r="M56" s="60">
        <v>67.84</v>
      </c>
      <c r="N56" s="60">
        <v>680.10</v>
      </c>
      <c r="O56" s="60">
        <v>0</v>
      </c>
      <c r="P56" s="60">
        <v>2.84</v>
      </c>
      <c r="Q56" s="60">
        <v>6.77</v>
      </c>
      <c r="R56" s="194"/>
      <c r="S56" s="194"/>
      <c r="T56" s="194"/>
      <c r="U56" s="194"/>
    </row>
    <row r="57" spans="1:21" s="12" customFormat="1" ht="15">
      <c r="A57" s="197" t="s">
        <v>1253</v>
      </c>
      <c r="B57" s="60">
        <v>3.96</v>
      </c>
      <c r="C57" s="60">
        <v>13.22</v>
      </c>
      <c r="D57" s="60">
        <v>17.190000000000001</v>
      </c>
      <c r="E57" s="60">
        <v>7.36</v>
      </c>
      <c r="F57" s="60">
        <v>0.75</v>
      </c>
      <c r="G57" s="214" t="s">
        <v>36</v>
      </c>
      <c r="H57" s="60">
        <v>13.12</v>
      </c>
      <c r="I57" s="60">
        <v>5.43</v>
      </c>
      <c r="J57" s="60">
        <v>1.5</v>
      </c>
      <c r="K57" s="60">
        <v>90.23</v>
      </c>
      <c r="L57" s="9" t="s">
        <v>36</v>
      </c>
      <c r="M57" s="60">
        <v>66.09</v>
      </c>
      <c r="N57" s="60">
        <v>1048.30</v>
      </c>
      <c r="O57" s="60">
        <v>0</v>
      </c>
      <c r="P57" s="60">
        <v>2.82</v>
      </c>
      <c r="Q57" s="60">
        <v>5.24</v>
      </c>
      <c r="R57" s="194"/>
      <c r="S57" s="194"/>
      <c r="T57" s="194"/>
      <c r="U57" s="194"/>
    </row>
    <row r="58" spans="1:21" s="12" customFormat="1" ht="15">
      <c r="A58" s="197" t="s">
        <v>1254</v>
      </c>
      <c r="B58" s="60">
        <v>3.55</v>
      </c>
      <c r="C58" s="60">
        <v>12.59</v>
      </c>
      <c r="D58" s="60">
        <v>16.14</v>
      </c>
      <c r="E58" s="60">
        <v>7.84</v>
      </c>
      <c r="F58" s="60">
        <v>0.73</v>
      </c>
      <c r="G58" s="214" t="s">
        <v>36</v>
      </c>
      <c r="H58" s="60">
        <v>13.84</v>
      </c>
      <c r="I58" s="60">
        <v>5.09</v>
      </c>
      <c r="J58" s="60">
        <v>1.56</v>
      </c>
      <c r="K58" s="60">
        <v>83.68</v>
      </c>
      <c r="L58" s="9" t="s">
        <v>36</v>
      </c>
      <c r="M58" s="60">
        <v>64.47</v>
      </c>
      <c r="N58" s="60">
        <v>820.10</v>
      </c>
      <c r="O58" s="60">
        <v>0</v>
      </c>
      <c r="P58" s="60">
        <v>2.79</v>
      </c>
      <c r="Q58" s="60">
        <v>4.4000000000000004</v>
      </c>
      <c r="R58" s="194"/>
      <c r="S58" s="194"/>
      <c r="T58" s="194"/>
      <c r="U58" s="194"/>
    </row>
    <row r="59" spans="1:21" s="12" customFormat="1" ht="15">
      <c r="A59" s="197" t="s">
        <v>1255</v>
      </c>
      <c r="B59" s="60">
        <v>3.34</v>
      </c>
      <c r="C59" s="60">
        <v>12.63</v>
      </c>
      <c r="D59" s="60">
        <v>15.97</v>
      </c>
      <c r="E59" s="60">
        <v>7.78</v>
      </c>
      <c r="F59" s="60">
        <v>0.45</v>
      </c>
      <c r="G59" s="214" t="s">
        <v>36</v>
      </c>
      <c r="H59" s="60">
        <v>13.84</v>
      </c>
      <c r="I59" s="60">
        <v>5.05</v>
      </c>
      <c r="J59" s="60">
        <v>1.19</v>
      </c>
      <c r="K59" s="60">
        <v>86.99</v>
      </c>
      <c r="L59" s="9" t="s">
        <v>36</v>
      </c>
      <c r="M59" s="60">
        <v>63.48</v>
      </c>
      <c r="N59" s="60">
        <v>809.80</v>
      </c>
      <c r="O59" s="60">
        <v>0</v>
      </c>
      <c r="P59" s="60">
        <v>2.79</v>
      </c>
      <c r="Q59" s="60">
        <v>4.1100000000000003</v>
      </c>
      <c r="R59" s="194"/>
      <c r="S59" s="194"/>
      <c r="T59" s="194"/>
      <c r="U59" s="194"/>
    </row>
    <row r="60" spans="1:21" s="12" customFormat="1" ht="15">
      <c r="A60" s="197" t="s">
        <v>1256</v>
      </c>
      <c r="B60" s="60">
        <v>3.10</v>
      </c>
      <c r="C60" s="60">
        <v>12.67</v>
      </c>
      <c r="D60" s="60">
        <v>15.77</v>
      </c>
      <c r="E60" s="60">
        <v>7.80</v>
      </c>
      <c r="F60" s="60">
        <v>0.61</v>
      </c>
      <c r="G60" s="214" t="s">
        <v>36</v>
      </c>
      <c r="H60" s="60">
        <v>13.84</v>
      </c>
      <c r="I60" s="60">
        <v>5.05</v>
      </c>
      <c r="J60" s="60">
        <v>1.06</v>
      </c>
      <c r="K60" s="60">
        <v>51.05</v>
      </c>
      <c r="L60" s="9" t="s">
        <v>36</v>
      </c>
      <c r="M60" s="60">
        <v>62.90</v>
      </c>
      <c r="N60" s="60">
        <v>848.80</v>
      </c>
      <c r="O60" s="60">
        <v>0</v>
      </c>
      <c r="P60" s="60">
        <v>2.78</v>
      </c>
      <c r="Q60" s="60">
        <v>3.97</v>
      </c>
      <c r="R60" s="194"/>
      <c r="S60" s="194"/>
      <c r="T60" s="194"/>
      <c r="U60" s="194"/>
    </row>
    <row r="61" spans="1:21" s="12" customFormat="1" ht="15">
      <c r="A61" s="197" t="s">
        <v>1257</v>
      </c>
      <c r="B61" s="60">
        <v>3.11</v>
      </c>
      <c r="C61" s="60">
        <v>12.39</v>
      </c>
      <c r="D61" s="60">
        <v>15.5</v>
      </c>
      <c r="E61" s="60">
        <v>7.84</v>
      </c>
      <c r="F61" s="60">
        <v>1.02</v>
      </c>
      <c r="G61" s="214" t="s">
        <v>36</v>
      </c>
      <c r="H61" s="60">
        <v>13.66</v>
      </c>
      <c r="I61" s="60">
        <v>4.6500000000000004</v>
      </c>
      <c r="J61" s="60">
        <v>1.49</v>
      </c>
      <c r="K61" s="60">
        <v>95.65</v>
      </c>
      <c r="L61" s="9" t="s">
        <v>36</v>
      </c>
      <c r="M61" s="60">
        <v>63.23</v>
      </c>
      <c r="N61" s="60">
        <v>414.10</v>
      </c>
      <c r="O61" s="60">
        <v>0</v>
      </c>
      <c r="P61" s="60">
        <v>2.78</v>
      </c>
      <c r="Q61" s="60">
        <v>3.70</v>
      </c>
      <c r="R61" s="194"/>
      <c r="S61" s="194"/>
      <c r="T61" s="194"/>
      <c r="U61" s="194"/>
    </row>
    <row r="62" spans="1:21" s="12" customFormat="1" ht="15">
      <c r="A62" s="197" t="s">
        <v>1258</v>
      </c>
      <c r="B62" s="60">
        <v>3.06</v>
      </c>
      <c r="C62" s="60">
        <v>12.49</v>
      </c>
      <c r="D62" s="60">
        <v>15.55</v>
      </c>
      <c r="E62" s="60">
        <v>7.45</v>
      </c>
      <c r="F62" s="60">
        <v>1.01</v>
      </c>
      <c r="G62" s="214" t="s">
        <v>36</v>
      </c>
      <c r="H62" s="60">
        <v>13.23</v>
      </c>
      <c r="I62" s="60">
        <v>4.99</v>
      </c>
      <c r="J62" s="60">
        <v>0.90</v>
      </c>
      <c r="K62" s="60">
        <v>78.010000000000005</v>
      </c>
      <c r="L62" s="9" t="s">
        <v>36</v>
      </c>
      <c r="M62" s="60">
        <v>65.62</v>
      </c>
      <c r="N62" s="60">
        <v>140.5</v>
      </c>
      <c r="O62" s="60">
        <v>0</v>
      </c>
      <c r="P62" s="60">
        <v>2.77</v>
      </c>
      <c r="Q62" s="60">
        <v>3.75</v>
      </c>
      <c r="R62" s="194"/>
      <c r="S62" s="194"/>
      <c r="T62" s="194"/>
      <c r="U62" s="194"/>
    </row>
    <row r="63" spans="1:21" s="12" customFormat="1" ht="15">
      <c r="A63" s="197" t="s">
        <v>1259</v>
      </c>
      <c r="B63" s="60">
        <v>2.98</v>
      </c>
      <c r="C63" s="60">
        <v>12.21</v>
      </c>
      <c r="D63" s="60">
        <v>15.19</v>
      </c>
      <c r="E63" s="60">
        <v>7.87</v>
      </c>
      <c r="F63" s="60">
        <v>1.04</v>
      </c>
      <c r="G63" s="214" t="s">
        <v>36</v>
      </c>
      <c r="H63" s="60">
        <v>13.23</v>
      </c>
      <c r="I63" s="60">
        <v>5.09</v>
      </c>
      <c r="J63" s="60">
        <v>1.56</v>
      </c>
      <c r="K63" s="60">
        <v>82.69</v>
      </c>
      <c r="L63" s="9" t="s">
        <v>36</v>
      </c>
      <c r="M63" s="60">
        <v>68.09</v>
      </c>
      <c r="N63" s="60">
        <v>173.30</v>
      </c>
      <c r="O63" s="60">
        <v>0.40</v>
      </c>
      <c r="P63" s="60">
        <v>2.76</v>
      </c>
      <c r="Q63" s="60">
        <v>3.80</v>
      </c>
      <c r="R63" s="194"/>
      <c r="S63" s="194"/>
      <c r="T63" s="194"/>
      <c r="U63" s="194"/>
    </row>
    <row r="64" spans="1:21" s="12" customFormat="1" ht="15">
      <c r="A64" s="197" t="s">
        <v>1260</v>
      </c>
      <c r="B64" s="60">
        <v>2.72</v>
      </c>
      <c r="C64" s="60">
        <v>12.07</v>
      </c>
      <c r="D64" s="60">
        <v>14.79</v>
      </c>
      <c r="E64" s="60">
        <v>7.82</v>
      </c>
      <c r="F64" s="60">
        <v>1.1499999999999999</v>
      </c>
      <c r="G64" s="214" t="s">
        <v>36</v>
      </c>
      <c r="H64" s="60">
        <v>13.23</v>
      </c>
      <c r="I64" s="60">
        <v>5.04</v>
      </c>
      <c r="J64" s="60">
        <v>1.43</v>
      </c>
      <c r="K64" s="60">
        <v>89.39</v>
      </c>
      <c r="L64" s="9" t="s">
        <v>36</v>
      </c>
      <c r="M64" s="60">
        <v>84.41</v>
      </c>
      <c r="N64" s="60">
        <v>224.90</v>
      </c>
      <c r="O64" s="60">
        <v>0.60</v>
      </c>
      <c r="P64" s="60">
        <v>2.74</v>
      </c>
      <c r="Q64" s="60">
        <v>4.66</v>
      </c>
      <c r="R64" s="194"/>
      <c r="S64" s="194"/>
      <c r="T64" s="194"/>
      <c r="U64" s="194"/>
    </row>
    <row r="65" spans="1:21" s="12" customFormat="1" ht="15">
      <c r="A65" s="197" t="s">
        <v>1261</v>
      </c>
      <c r="B65" s="60">
        <v>2.38</v>
      </c>
      <c r="C65" s="60">
        <v>11.90</v>
      </c>
      <c r="D65" s="60">
        <v>14.28</v>
      </c>
      <c r="E65" s="60">
        <v>7.90</v>
      </c>
      <c r="F65" s="60">
        <v>0.87</v>
      </c>
      <c r="G65" s="214" t="s">
        <v>36</v>
      </c>
      <c r="H65" s="60">
        <v>12.17</v>
      </c>
      <c r="I65" s="60">
        <v>5.17</v>
      </c>
      <c r="J65" s="60">
        <v>1.1499999999999999</v>
      </c>
      <c r="K65" s="60">
        <v>101.51</v>
      </c>
      <c r="L65" s="9" t="s">
        <v>36</v>
      </c>
      <c r="M65" s="60">
        <v>82.95</v>
      </c>
      <c r="N65" s="60">
        <v>246.5</v>
      </c>
      <c r="O65" s="60">
        <v>0</v>
      </c>
      <c r="P65" s="60">
        <v>2.73</v>
      </c>
      <c r="Q65" s="60">
        <v>5.81</v>
      </c>
      <c r="R65" s="194"/>
      <c r="S65" s="194"/>
      <c r="T65" s="194"/>
      <c r="U65" s="194"/>
    </row>
    <row r="66" spans="1:21" s="12" customFormat="1" ht="15">
      <c r="A66" s="197" t="s">
        <v>1262</v>
      </c>
      <c r="B66" s="60">
        <v>2.2400000000000002</v>
      </c>
      <c r="C66" s="60">
        <v>12.28</v>
      </c>
      <c r="D66" s="60">
        <v>14.52</v>
      </c>
      <c r="E66" s="60">
        <v>7.67</v>
      </c>
      <c r="F66" s="60">
        <v>0.64</v>
      </c>
      <c r="G66" s="214" t="s">
        <v>36</v>
      </c>
      <c r="H66" s="60">
        <v>9.5399999999999991</v>
      </c>
      <c r="I66" s="60">
        <v>5.08</v>
      </c>
      <c r="J66" s="60">
        <v>1</v>
      </c>
      <c r="K66" s="60">
        <v>84.20</v>
      </c>
      <c r="L66" s="9" t="s">
        <v>36</v>
      </c>
      <c r="M66" s="60">
        <v>79.52</v>
      </c>
      <c r="N66" s="60">
        <v>745.70</v>
      </c>
      <c r="O66" s="60">
        <v>0</v>
      </c>
      <c r="P66" s="60">
        <v>2.75</v>
      </c>
      <c r="Q66" s="60">
        <v>6.63</v>
      </c>
      <c r="R66" s="194"/>
      <c r="S66" s="194"/>
      <c r="T66" s="194"/>
      <c r="U66" s="194"/>
    </row>
    <row r="67" spans="1:21" s="12" customFormat="1" ht="15">
      <c r="A67" s="197" t="s">
        <v>1263</v>
      </c>
      <c r="B67" s="60">
        <v>2.19</v>
      </c>
      <c r="C67" s="60">
        <v>12.42</v>
      </c>
      <c r="D67" s="60">
        <v>14.61</v>
      </c>
      <c r="E67" s="60">
        <v>7.76</v>
      </c>
      <c r="F67" s="60">
        <v>0.85</v>
      </c>
      <c r="G67" s="214" t="s">
        <v>36</v>
      </c>
      <c r="H67" s="60">
        <v>9.5399999999999991</v>
      </c>
      <c r="I67" s="60">
        <v>4.99</v>
      </c>
      <c r="J67" s="60">
        <v>1.43</v>
      </c>
      <c r="K67" s="60">
        <v>104.14</v>
      </c>
      <c r="L67" s="9" t="s">
        <v>36</v>
      </c>
      <c r="M67" s="60">
        <v>73.06</v>
      </c>
      <c r="N67" s="60">
        <v>780.40</v>
      </c>
      <c r="O67" s="60">
        <v>0</v>
      </c>
      <c r="P67" s="60">
        <v>2.75</v>
      </c>
      <c r="Q67" s="60">
        <v>6.91</v>
      </c>
      <c r="R67" s="194"/>
      <c r="S67" s="194"/>
      <c r="T67" s="194"/>
      <c r="U67" s="194"/>
    </row>
    <row r="68" spans="1:21" s="12" customFormat="1" ht="15">
      <c r="A68" s="197" t="s">
        <v>1264</v>
      </c>
      <c r="B68" s="60">
        <v>1.76</v>
      </c>
      <c r="C68" s="60">
        <v>12.14</v>
      </c>
      <c r="D68" s="60">
        <v>13.90</v>
      </c>
      <c r="E68" s="60">
        <v>7.18</v>
      </c>
      <c r="F68" s="60">
        <v>1.04</v>
      </c>
      <c r="G68" s="214" t="s">
        <v>36</v>
      </c>
      <c r="H68" s="60">
        <v>9.5399999999999991</v>
      </c>
      <c r="I68" s="60">
        <v>4.96</v>
      </c>
      <c r="J68" s="60">
        <v>1.30</v>
      </c>
      <c r="K68" s="60">
        <v>104.52</v>
      </c>
      <c r="L68" s="9" t="s">
        <v>36</v>
      </c>
      <c r="M68" s="60">
        <v>71.540000000000006</v>
      </c>
      <c r="N68" s="60">
        <v>705.20</v>
      </c>
      <c r="O68" s="60">
        <v>0</v>
      </c>
      <c r="P68" s="60">
        <v>2.73</v>
      </c>
      <c r="Q68" s="60">
        <v>6.75</v>
      </c>
      <c r="R68" s="194"/>
      <c r="S68" s="194"/>
      <c r="T68" s="194"/>
      <c r="U68" s="194"/>
    </row>
    <row r="69" spans="1:21" s="12" customFormat="1" ht="15">
      <c r="A69" s="197" t="s">
        <v>1265</v>
      </c>
      <c r="B69" s="60">
        <v>1.30</v>
      </c>
      <c r="C69" s="60">
        <v>11.92</v>
      </c>
      <c r="D69" s="60">
        <v>13.22</v>
      </c>
      <c r="E69" s="60">
        <v>6.91</v>
      </c>
      <c r="F69" s="60">
        <v>0.99</v>
      </c>
      <c r="G69" s="214" t="s">
        <v>36</v>
      </c>
      <c r="H69" s="60">
        <v>11.61</v>
      </c>
      <c r="I69" s="60">
        <v>4.9000000000000004</v>
      </c>
      <c r="J69" s="60">
        <v>0.66</v>
      </c>
      <c r="K69" s="60">
        <v>74.09</v>
      </c>
      <c r="L69" s="9" t="s">
        <v>36</v>
      </c>
      <c r="M69" s="60">
        <v>68.75</v>
      </c>
      <c r="N69" s="60">
        <v>668.60</v>
      </c>
      <c r="O69" s="60">
        <v>0</v>
      </c>
      <c r="P69" s="60">
        <v>2.71</v>
      </c>
      <c r="Q69" s="60">
        <v>6.60</v>
      </c>
      <c r="R69" s="194"/>
      <c r="S69" s="194"/>
      <c r="T69" s="194"/>
      <c r="U69" s="194"/>
    </row>
    <row r="70" spans="1:21" s="12" customFormat="1" ht="15">
      <c r="A70" s="197" t="s">
        <v>1266</v>
      </c>
      <c r="B70" s="60">
        <v>1.18</v>
      </c>
      <c r="C70" s="60">
        <v>12.39</v>
      </c>
      <c r="D70" s="60">
        <v>13.57</v>
      </c>
      <c r="E70" s="60">
        <v>7.54</v>
      </c>
      <c r="F70" s="60">
        <v>0.81</v>
      </c>
      <c r="G70" s="214" t="s">
        <v>36</v>
      </c>
      <c r="H70" s="60">
        <v>16.70</v>
      </c>
      <c r="I70" s="60">
        <v>4.8600000000000003</v>
      </c>
      <c r="J70" s="60">
        <v>0.56999999999999995</v>
      </c>
      <c r="K70" s="60">
        <v>36.72</v>
      </c>
      <c r="L70" s="9" t="s">
        <v>36</v>
      </c>
      <c r="M70" s="60">
        <v>62.76</v>
      </c>
      <c r="N70" s="60">
        <v>520.10</v>
      </c>
      <c r="O70" s="60">
        <v>0</v>
      </c>
      <c r="P70" s="60">
        <v>2.72</v>
      </c>
      <c r="Q70" s="60">
        <v>6.33</v>
      </c>
      <c r="R70" s="194"/>
      <c r="S70" s="194"/>
      <c r="T70" s="194"/>
      <c r="U70" s="194"/>
    </row>
    <row r="71" spans="1:21" s="12" customFormat="1" ht="15">
      <c r="A71" s="197" t="s">
        <v>1267</v>
      </c>
      <c r="B71" s="60">
        <v>1.43</v>
      </c>
      <c r="C71" s="60">
        <v>12.75</v>
      </c>
      <c r="D71" s="60">
        <v>14.18</v>
      </c>
      <c r="E71" s="60">
        <v>6.77</v>
      </c>
      <c r="F71" s="60">
        <v>0.41</v>
      </c>
      <c r="G71" s="214" t="s">
        <v>36</v>
      </c>
      <c r="H71" s="60">
        <v>16.70</v>
      </c>
      <c r="I71" s="60">
        <v>4.57</v>
      </c>
      <c r="J71" s="60">
        <v>0.63</v>
      </c>
      <c r="K71" s="60">
        <v>24.31</v>
      </c>
      <c r="L71" s="9" t="s">
        <v>36</v>
      </c>
      <c r="M71" s="60">
        <v>62.19</v>
      </c>
      <c r="N71" s="60">
        <v>555.70000000000005</v>
      </c>
      <c r="O71" s="60">
        <v>0</v>
      </c>
      <c r="P71" s="60">
        <v>2.73</v>
      </c>
      <c r="Q71" s="60">
        <v>5.14</v>
      </c>
      <c r="R71" s="194"/>
      <c r="S71" s="194"/>
      <c r="T71" s="194"/>
      <c r="U71" s="194"/>
    </row>
    <row r="72" spans="1:21" s="12" customFormat="1" ht="15">
      <c r="A72" s="197" t="s">
        <v>1268</v>
      </c>
      <c r="B72" s="60">
        <v>1.84</v>
      </c>
      <c r="C72" s="60">
        <v>12.86</v>
      </c>
      <c r="D72" s="60">
        <v>14.71</v>
      </c>
      <c r="E72" s="60">
        <v>3.76</v>
      </c>
      <c r="F72" s="60">
        <v>0.73</v>
      </c>
      <c r="G72" s="214" t="s">
        <v>36</v>
      </c>
      <c r="H72" s="60">
        <v>16.70</v>
      </c>
      <c r="I72" s="60">
        <v>4.5599999999999996</v>
      </c>
      <c r="J72" s="60">
        <v>1.08</v>
      </c>
      <c r="K72" s="60">
        <v>72.87</v>
      </c>
      <c r="L72" s="9" t="s">
        <v>36</v>
      </c>
      <c r="M72" s="60">
        <v>63.61</v>
      </c>
      <c r="N72" s="60">
        <v>465.60</v>
      </c>
      <c r="O72" s="60">
        <v>0</v>
      </c>
      <c r="P72" s="60">
        <v>2.73</v>
      </c>
      <c r="Q72" s="60">
        <v>4.30</v>
      </c>
      <c r="R72" s="194"/>
      <c r="S72" s="194"/>
      <c r="T72" s="194"/>
      <c r="U72" s="194"/>
    </row>
    <row r="73" spans="1:21" s="12" customFormat="1" ht="15">
      <c r="A73" s="197" t="s">
        <v>1269</v>
      </c>
      <c r="B73" s="60">
        <v>1.92</v>
      </c>
      <c r="C73" s="60">
        <v>12.67</v>
      </c>
      <c r="D73" s="60">
        <v>14.59</v>
      </c>
      <c r="E73" s="60">
        <v>6.44</v>
      </c>
      <c r="F73" s="60">
        <v>1.1200000000000001</v>
      </c>
      <c r="G73" s="214" t="s">
        <v>36</v>
      </c>
      <c r="H73" s="60">
        <v>15.60</v>
      </c>
      <c r="I73" s="60">
        <v>4.6500000000000004</v>
      </c>
      <c r="J73" s="60">
        <v>0.82</v>
      </c>
      <c r="K73" s="60">
        <v>87.01</v>
      </c>
      <c r="L73" s="9" t="s">
        <v>36</v>
      </c>
      <c r="M73" s="60">
        <v>64.72</v>
      </c>
      <c r="N73" s="60">
        <v>296.10000000000002</v>
      </c>
      <c r="O73" s="60">
        <v>0</v>
      </c>
      <c r="P73" s="60">
        <v>2.72</v>
      </c>
      <c r="Q73" s="60">
        <v>3.80</v>
      </c>
      <c r="R73" s="194"/>
      <c r="S73" s="194"/>
      <c r="T73" s="194"/>
      <c r="U73" s="194"/>
    </row>
    <row r="74" spans="1:21" s="12" customFormat="1" ht="15">
      <c r="A74" s="197" t="s">
        <v>1270</v>
      </c>
      <c r="B74" s="60">
        <v>1.89</v>
      </c>
      <c r="C74" s="60">
        <v>12.51</v>
      </c>
      <c r="D74" s="60">
        <v>14.39</v>
      </c>
      <c r="E74" s="60">
        <v>7.11</v>
      </c>
      <c r="F74" s="60">
        <v>1.1100000000000001</v>
      </c>
      <c r="G74" s="214" t="s">
        <v>36</v>
      </c>
      <c r="H74" s="60">
        <v>12.89</v>
      </c>
      <c r="I74" s="60">
        <v>4.83</v>
      </c>
      <c r="J74" s="60">
        <v>1.23</v>
      </c>
      <c r="K74" s="60">
        <v>86.70</v>
      </c>
      <c r="L74" s="9" t="s">
        <v>36</v>
      </c>
      <c r="M74" s="60">
        <v>63.81</v>
      </c>
      <c r="N74" s="60">
        <v>309</v>
      </c>
      <c r="O74" s="60">
        <v>0</v>
      </c>
      <c r="P74" s="60">
        <v>2.73</v>
      </c>
      <c r="Q74" s="60">
        <v>3.62</v>
      </c>
      <c r="R74" s="194"/>
      <c r="S74" s="194"/>
      <c r="T74" s="194"/>
      <c r="U74" s="194"/>
    </row>
    <row r="75" spans="1:21" s="12" customFormat="1" ht="15">
      <c r="A75" s="197" t="s">
        <v>1271</v>
      </c>
      <c r="B75" s="60">
        <v>1.93</v>
      </c>
      <c r="C75" s="60">
        <v>12.31</v>
      </c>
      <c r="D75" s="60">
        <v>14.24</v>
      </c>
      <c r="E75" s="60">
        <v>7.14</v>
      </c>
      <c r="F75" s="60">
        <v>0.78</v>
      </c>
      <c r="G75" s="214" t="s">
        <v>36</v>
      </c>
      <c r="H75" s="60">
        <v>12.89</v>
      </c>
      <c r="I75" s="60">
        <v>4.5999999999999996</v>
      </c>
      <c r="J75" s="60">
        <v>0.83</v>
      </c>
      <c r="K75" s="60">
        <v>72.95</v>
      </c>
      <c r="L75" s="9" t="s">
        <v>36</v>
      </c>
      <c r="M75" s="60">
        <v>65</v>
      </c>
      <c r="N75" s="60">
        <v>216.70</v>
      </c>
      <c r="O75" s="60">
        <v>0</v>
      </c>
      <c r="P75" s="60">
        <v>2.73</v>
      </c>
      <c r="Q75" s="60">
        <v>3.54</v>
      </c>
      <c r="R75" s="194"/>
      <c r="S75" s="194"/>
      <c r="T75" s="194"/>
      <c r="U75" s="194"/>
    </row>
    <row r="76" spans="1:21" s="12" customFormat="1" ht="15">
      <c r="A76" s="197" t="s">
        <v>1272</v>
      </c>
      <c r="B76" s="60">
        <v>2.10</v>
      </c>
      <c r="C76" s="60">
        <v>12.03</v>
      </c>
      <c r="D76" s="60">
        <v>14.14</v>
      </c>
      <c r="E76" s="60">
        <v>7.28</v>
      </c>
      <c r="F76" s="60">
        <v>1.22</v>
      </c>
      <c r="G76" s="214" t="s">
        <v>36</v>
      </c>
      <c r="H76" s="60">
        <v>12.89</v>
      </c>
      <c r="I76" s="60">
        <v>4.76</v>
      </c>
      <c r="J76" s="60">
        <v>0.60</v>
      </c>
      <c r="K76" s="60">
        <v>32.08</v>
      </c>
      <c r="L76" s="9" t="s">
        <v>36</v>
      </c>
      <c r="M76" s="60">
        <v>64.540000000000006</v>
      </c>
      <c r="N76" s="60">
        <v>126.30</v>
      </c>
      <c r="O76" s="60">
        <v>0</v>
      </c>
      <c r="P76" s="60">
        <v>2.73</v>
      </c>
      <c r="Q76" s="60">
        <v>3.32</v>
      </c>
      <c r="R76" s="194"/>
      <c r="S76" s="194"/>
      <c r="T76" s="194"/>
      <c r="U76" s="194"/>
    </row>
    <row r="77" spans="1:21" s="12" customFormat="1" ht="15">
      <c r="A77" s="197" t="s">
        <v>1273</v>
      </c>
      <c r="B77" s="60">
        <v>2.56</v>
      </c>
      <c r="C77" s="60">
        <v>12.88</v>
      </c>
      <c r="D77" s="60">
        <v>15.43</v>
      </c>
      <c r="E77" s="60">
        <v>7.28</v>
      </c>
      <c r="F77" s="60">
        <v>0.72</v>
      </c>
      <c r="G77" s="214" t="s">
        <v>36</v>
      </c>
      <c r="H77" s="60">
        <v>13.78</v>
      </c>
      <c r="I77" s="60">
        <v>4.75</v>
      </c>
      <c r="J77" s="60">
        <v>0.69</v>
      </c>
      <c r="K77" s="60">
        <v>6.14</v>
      </c>
      <c r="L77" s="9" t="s">
        <v>36</v>
      </c>
      <c r="M77" s="60">
        <v>66.33</v>
      </c>
      <c r="N77" s="60">
        <v>74.400000000000006</v>
      </c>
      <c r="O77" s="60">
        <v>0</v>
      </c>
      <c r="P77" s="60">
        <v>2.76</v>
      </c>
      <c r="Q77" s="60">
        <v>3.62</v>
      </c>
      <c r="R77" s="194"/>
      <c r="S77" s="194"/>
      <c r="T77" s="194"/>
      <c r="U77" s="194"/>
    </row>
    <row r="78" spans="1:21" s="12" customFormat="1" ht="15">
      <c r="A78" s="197" t="s">
        <v>1274</v>
      </c>
      <c r="B78" s="60">
        <v>3.61</v>
      </c>
      <c r="C78" s="60">
        <v>14.17</v>
      </c>
      <c r="D78" s="60">
        <v>17.78</v>
      </c>
      <c r="E78" s="60">
        <v>7.03</v>
      </c>
      <c r="F78" s="60">
        <v>0.59</v>
      </c>
      <c r="G78" s="214" t="s">
        <v>36</v>
      </c>
      <c r="H78" s="60">
        <v>15.99</v>
      </c>
      <c r="I78" s="60">
        <v>4.80</v>
      </c>
      <c r="J78" s="60">
        <v>0.75</v>
      </c>
      <c r="K78" s="60">
        <v>76.650000000000006</v>
      </c>
      <c r="L78" s="9" t="s">
        <v>36</v>
      </c>
      <c r="M78" s="60">
        <v>65.94</v>
      </c>
      <c r="N78" s="60">
        <v>54.20</v>
      </c>
      <c r="O78" s="60">
        <v>0</v>
      </c>
      <c r="P78" s="60">
        <v>2.79</v>
      </c>
      <c r="Q78" s="60">
        <v>4.53</v>
      </c>
      <c r="R78" s="194"/>
      <c r="S78" s="194"/>
      <c r="T78" s="194"/>
      <c r="U78" s="194"/>
    </row>
    <row r="79" spans="1:21" s="12" customFormat="1" ht="15">
      <c r="A79" s="197" t="s">
        <v>1275</v>
      </c>
      <c r="B79" s="60">
        <v>3.80</v>
      </c>
      <c r="C79" s="60">
        <v>15.47</v>
      </c>
      <c r="D79" s="60">
        <v>19.27</v>
      </c>
      <c r="E79" s="60">
        <v>7.23</v>
      </c>
      <c r="F79" s="60">
        <v>0.93</v>
      </c>
      <c r="G79" s="214" t="s">
        <v>36</v>
      </c>
      <c r="H79" s="60">
        <v>15.99</v>
      </c>
      <c r="I79" s="60">
        <v>4.74</v>
      </c>
      <c r="J79" s="60">
        <v>0.64</v>
      </c>
      <c r="K79" s="60">
        <v>78.989999999999995</v>
      </c>
      <c r="L79" s="9" t="s">
        <v>36</v>
      </c>
      <c r="M79" s="60">
        <v>66.38</v>
      </c>
      <c r="N79" s="60">
        <v>26.20</v>
      </c>
      <c r="O79" s="60">
        <v>0</v>
      </c>
      <c r="P79" s="60">
        <v>2.81</v>
      </c>
      <c r="Q79" s="60">
        <v>6.05</v>
      </c>
      <c r="R79" s="194"/>
      <c r="S79" s="194"/>
      <c r="T79" s="194"/>
      <c r="U79" s="194"/>
    </row>
    <row r="80" spans="1:21" s="12" customFormat="1" ht="15">
      <c r="A80" s="197" t="s">
        <v>1276</v>
      </c>
      <c r="B80" s="60">
        <v>3.34</v>
      </c>
      <c r="C80" s="60">
        <v>16.32</v>
      </c>
      <c r="D80" s="60">
        <v>19.66</v>
      </c>
      <c r="E80" s="60">
        <v>7.17</v>
      </c>
      <c r="F80" s="60">
        <v>1.06</v>
      </c>
      <c r="G80" s="214" t="s">
        <v>36</v>
      </c>
      <c r="H80" s="60">
        <v>15.99</v>
      </c>
      <c r="I80" s="60">
        <v>5.17</v>
      </c>
      <c r="J80" s="60">
        <v>0.72</v>
      </c>
      <c r="K80" s="60">
        <v>83.59</v>
      </c>
      <c r="L80" s="9" t="s">
        <v>36</v>
      </c>
      <c r="M80" s="60">
        <v>67.06</v>
      </c>
      <c r="N80" s="60">
        <v>8.8000000000000007</v>
      </c>
      <c r="O80" s="60">
        <v>0</v>
      </c>
      <c r="P80" s="60">
        <v>2.82</v>
      </c>
      <c r="Q80" s="60">
        <v>7.23</v>
      </c>
      <c r="R80" s="194"/>
      <c r="S80" s="194"/>
      <c r="T80" s="194"/>
      <c r="U80" s="194"/>
    </row>
    <row r="81" spans="1:21" s="12" customFormat="1" ht="15">
      <c r="A81" s="197" t="s">
        <v>1277</v>
      </c>
      <c r="B81" s="60">
        <v>2.66</v>
      </c>
      <c r="C81" s="60">
        <v>16.39</v>
      </c>
      <c r="D81" s="60">
        <v>19.05</v>
      </c>
      <c r="E81" s="60">
        <v>7.10</v>
      </c>
      <c r="F81" s="60">
        <v>0.82</v>
      </c>
      <c r="G81" s="214" t="s">
        <v>36</v>
      </c>
      <c r="H81" s="60">
        <v>16.02</v>
      </c>
      <c r="I81" s="60">
        <v>5.14</v>
      </c>
      <c r="J81" s="60">
        <v>0.90</v>
      </c>
      <c r="K81" s="60">
        <v>101.87</v>
      </c>
      <c r="L81" s="9" t="s">
        <v>36</v>
      </c>
      <c r="M81" s="60">
        <v>66</v>
      </c>
      <c r="N81" s="60">
        <v>4.30</v>
      </c>
      <c r="O81" s="60">
        <v>0</v>
      </c>
      <c r="P81" s="60">
        <v>2.81</v>
      </c>
      <c r="Q81" s="60">
        <v>7.66</v>
      </c>
      <c r="R81" s="194"/>
      <c r="S81" s="194"/>
      <c r="T81" s="194"/>
      <c r="U81" s="194"/>
    </row>
    <row r="82" spans="1:21" s="12" customFormat="1" ht="15">
      <c r="A82" s="197" t="s">
        <v>1278</v>
      </c>
      <c r="B82" s="60">
        <v>2.08</v>
      </c>
      <c r="C82" s="60">
        <v>16.43</v>
      </c>
      <c r="D82" s="60">
        <v>18.510000000000002</v>
      </c>
      <c r="E82" s="60">
        <v>6.55</v>
      </c>
      <c r="F82" s="60">
        <v>1.1599999999999999</v>
      </c>
      <c r="G82" s="214" t="s">
        <v>36</v>
      </c>
      <c r="H82" s="60">
        <v>16.11</v>
      </c>
      <c r="I82" s="60">
        <v>5.13</v>
      </c>
      <c r="J82" s="60">
        <v>0.63</v>
      </c>
      <c r="K82" s="60">
        <v>168.39</v>
      </c>
      <c r="L82" s="9" t="s">
        <v>36</v>
      </c>
      <c r="M82" s="60">
        <v>78.5</v>
      </c>
      <c r="N82" s="60">
        <v>6.5</v>
      </c>
      <c r="O82" s="60">
        <v>2</v>
      </c>
      <c r="P82" s="60">
        <v>2.81</v>
      </c>
      <c r="Q82" s="60">
        <v>7.60</v>
      </c>
      <c r="R82" s="194"/>
      <c r="S82" s="194"/>
      <c r="T82" s="194"/>
      <c r="U82" s="194"/>
    </row>
    <row r="83" spans="1:21" s="12" customFormat="1" ht="15">
      <c r="A83" s="197" t="s">
        <v>1279</v>
      </c>
      <c r="B83" s="60">
        <v>1.67</v>
      </c>
      <c r="C83" s="60">
        <v>16.38</v>
      </c>
      <c r="D83" s="60">
        <v>18.05</v>
      </c>
      <c r="E83" s="60">
        <v>7.09</v>
      </c>
      <c r="F83" s="60">
        <v>0.72</v>
      </c>
      <c r="G83" s="214" t="s">
        <v>36</v>
      </c>
      <c r="H83" s="60">
        <v>16.11</v>
      </c>
      <c r="I83" s="60">
        <v>5.27</v>
      </c>
      <c r="J83" s="60">
        <v>0.60</v>
      </c>
      <c r="K83" s="60">
        <v>147.53</v>
      </c>
      <c r="L83" s="9" t="s">
        <v>36</v>
      </c>
      <c r="M83" s="60">
        <v>88.05</v>
      </c>
      <c r="N83" s="60">
        <v>1.40</v>
      </c>
      <c r="O83" s="60">
        <v>0.20</v>
      </c>
      <c r="P83" s="60">
        <v>2.80</v>
      </c>
      <c r="Q83" s="60">
        <v>7.45</v>
      </c>
      <c r="R83" s="194"/>
      <c r="S83" s="194"/>
      <c r="T83" s="194"/>
      <c r="U83" s="194"/>
    </row>
    <row r="84" spans="1:21" s="12" customFormat="1" ht="15">
      <c r="A84" s="197" t="s">
        <v>1280</v>
      </c>
      <c r="B84" s="60">
        <v>1.39</v>
      </c>
      <c r="C84" s="60">
        <v>16.25</v>
      </c>
      <c r="D84" s="60">
        <v>17.64</v>
      </c>
      <c r="E84" s="60">
        <v>7.04</v>
      </c>
      <c r="F84" s="60">
        <v>0.54</v>
      </c>
      <c r="G84" s="214" t="s">
        <v>36</v>
      </c>
      <c r="H84" s="60">
        <v>16.11</v>
      </c>
      <c r="I84" s="60">
        <v>5.30</v>
      </c>
      <c r="J84" s="60">
        <v>0.17</v>
      </c>
      <c r="K84" s="60">
        <v>92.92</v>
      </c>
      <c r="L84" s="9" t="s">
        <v>36</v>
      </c>
      <c r="M84" s="60">
        <v>90.49</v>
      </c>
      <c r="N84" s="60">
        <v>0.60</v>
      </c>
      <c r="O84" s="60">
        <v>0</v>
      </c>
      <c r="P84" s="60">
        <v>2.80</v>
      </c>
      <c r="Q84" s="60">
        <v>7.28</v>
      </c>
      <c r="R84" s="194"/>
      <c r="S84" s="194"/>
      <c r="T84" s="194"/>
      <c r="U84" s="194"/>
    </row>
    <row r="85" spans="1:21" s="12" customFormat="1" ht="15">
      <c r="A85" s="197" t="s">
        <v>1281</v>
      </c>
      <c r="B85" s="60">
        <v>1.52</v>
      </c>
      <c r="C85" s="60">
        <v>16.440000000000001</v>
      </c>
      <c r="D85" s="60">
        <v>17.96</v>
      </c>
      <c r="E85" s="60">
        <v>6.74</v>
      </c>
      <c r="F85" s="60">
        <v>0.37</v>
      </c>
      <c r="G85" s="214" t="s">
        <v>36</v>
      </c>
      <c r="H85" s="60">
        <v>16.850000000000001</v>
      </c>
      <c r="I85" s="60">
        <v>5.25</v>
      </c>
      <c r="J85" s="60">
        <v>1.06</v>
      </c>
      <c r="K85" s="60">
        <v>82.41</v>
      </c>
      <c r="L85" s="9" t="s">
        <v>36</v>
      </c>
      <c r="M85" s="60">
        <v>86.47</v>
      </c>
      <c r="N85" s="60">
        <v>0.10</v>
      </c>
      <c r="O85" s="60">
        <v>0</v>
      </c>
      <c r="P85" s="60">
        <v>2.81</v>
      </c>
      <c r="Q85" s="60">
        <v>6.45</v>
      </c>
      <c r="R85" s="194"/>
      <c r="S85" s="194"/>
      <c r="T85" s="194"/>
      <c r="U85" s="194"/>
    </row>
    <row r="86" spans="1:21" s="12" customFormat="1" ht="15">
      <c r="A86" s="197" t="s">
        <v>1282</v>
      </c>
      <c r="B86" s="60">
        <v>1.87</v>
      </c>
      <c r="C86" s="60">
        <v>16.010000000000002</v>
      </c>
      <c r="D86" s="60">
        <v>17.88</v>
      </c>
      <c r="E86" s="60">
        <v>6.68</v>
      </c>
      <c r="F86" s="60">
        <v>0.36</v>
      </c>
      <c r="G86" s="214" t="s">
        <v>36</v>
      </c>
      <c r="H86" s="60">
        <v>18.670000000000002</v>
      </c>
      <c r="I86" s="60">
        <v>5.19</v>
      </c>
      <c r="J86" s="60">
        <v>2.36</v>
      </c>
      <c r="K86" s="60">
        <v>86.12</v>
      </c>
      <c r="L86" s="9" t="s">
        <v>36</v>
      </c>
      <c r="M86" s="60">
        <v>93.58</v>
      </c>
      <c r="N86" s="60">
        <v>1.90</v>
      </c>
      <c r="O86" s="60">
        <v>0.40</v>
      </c>
      <c r="P86" s="60">
        <v>2.83</v>
      </c>
      <c r="Q86" s="60">
        <v>5.34</v>
      </c>
      <c r="R86" s="194"/>
      <c r="S86" s="194"/>
      <c r="T86" s="194"/>
      <c r="U86" s="194"/>
    </row>
    <row r="87" spans="1:21" s="12" customFormat="1" ht="15">
      <c r="A87" s="197" t="s">
        <v>1283</v>
      </c>
      <c r="B87" s="60">
        <v>2.02</v>
      </c>
      <c r="C87" s="60">
        <v>15.14</v>
      </c>
      <c r="D87" s="60">
        <v>17.16</v>
      </c>
      <c r="E87" s="60">
        <v>6.82</v>
      </c>
      <c r="F87" s="60">
        <v>0.28000000000000003</v>
      </c>
      <c r="G87" s="214" t="s">
        <v>36</v>
      </c>
      <c r="H87" s="60">
        <v>18.670000000000002</v>
      </c>
      <c r="I87" s="60">
        <v>5.22</v>
      </c>
      <c r="J87" s="60">
        <v>1.43</v>
      </c>
      <c r="K87" s="60">
        <v>88.42</v>
      </c>
      <c r="L87" s="9" t="s">
        <v>36</v>
      </c>
      <c r="M87" s="60">
        <v>95.48</v>
      </c>
      <c r="N87" s="60">
        <v>0.40</v>
      </c>
      <c r="O87" s="60">
        <v>0.40</v>
      </c>
      <c r="P87" s="60">
        <v>2.82</v>
      </c>
      <c r="Q87" s="60">
        <v>4.5199999999999996</v>
      </c>
      <c r="R87" s="194"/>
      <c r="S87" s="194"/>
      <c r="T87" s="194"/>
      <c r="U87" s="194"/>
    </row>
    <row r="88" spans="1:21" s="12" customFormat="1" ht="15">
      <c r="A88" s="197" t="s">
        <v>1284</v>
      </c>
      <c r="B88" s="60">
        <v>2.19</v>
      </c>
      <c r="C88" s="60">
        <v>14.34</v>
      </c>
      <c r="D88" s="60">
        <v>16.54</v>
      </c>
      <c r="E88" s="60">
        <v>4.51</v>
      </c>
      <c r="F88" s="60">
        <v>0.54</v>
      </c>
      <c r="G88" s="214" t="s">
        <v>36</v>
      </c>
      <c r="H88" s="60">
        <v>18.670000000000002</v>
      </c>
      <c r="I88" s="60">
        <v>5.49</v>
      </c>
      <c r="J88" s="60">
        <v>0.49</v>
      </c>
      <c r="K88" s="60">
        <v>83.22</v>
      </c>
      <c r="L88" s="9" t="s">
        <v>36</v>
      </c>
      <c r="M88" s="60">
        <v>97.68</v>
      </c>
      <c r="N88" s="60">
        <v>0.20</v>
      </c>
      <c r="O88" s="60">
        <v>0.60</v>
      </c>
      <c r="P88" s="60">
        <v>2.84</v>
      </c>
      <c r="Q88" s="60">
        <v>4.0999999999999996</v>
      </c>
      <c r="R88" s="194"/>
      <c r="S88" s="194"/>
      <c r="T88" s="194"/>
      <c r="U88" s="194"/>
    </row>
    <row r="89" spans="1:21" s="12" customFormat="1" ht="15">
      <c r="A89" s="197" t="s">
        <v>1285</v>
      </c>
      <c r="B89" s="60">
        <v>2.67</v>
      </c>
      <c r="C89" s="60">
        <v>13.99</v>
      </c>
      <c r="D89" s="60">
        <v>16.649999999999999</v>
      </c>
      <c r="E89" s="60">
        <v>7.81</v>
      </c>
      <c r="F89" s="60">
        <v>0.73</v>
      </c>
      <c r="G89" s="214" t="s">
        <v>36</v>
      </c>
      <c r="H89" s="60">
        <v>17.88</v>
      </c>
      <c r="I89" s="60">
        <v>5.48</v>
      </c>
      <c r="J89" s="60">
        <v>0.09</v>
      </c>
      <c r="K89" s="60">
        <v>235.82</v>
      </c>
      <c r="L89" s="9" t="s">
        <v>36</v>
      </c>
      <c r="M89" s="60">
        <v>98.96</v>
      </c>
      <c r="N89" s="60">
        <v>0.10</v>
      </c>
      <c r="O89" s="60">
        <v>0</v>
      </c>
      <c r="P89" s="60">
        <v>2.84</v>
      </c>
      <c r="Q89" s="60">
        <v>3.96</v>
      </c>
      <c r="R89" s="194"/>
      <c r="S89" s="194"/>
      <c r="T89" s="194"/>
      <c r="U89" s="194"/>
    </row>
    <row r="90" spans="1:21" s="12" customFormat="1" ht="15">
      <c r="A90" s="197" t="s">
        <v>1286</v>
      </c>
      <c r="B90" s="60">
        <v>3.06</v>
      </c>
      <c r="C90" s="60">
        <v>14.22</v>
      </c>
      <c r="D90" s="60">
        <v>17.29</v>
      </c>
      <c r="E90" s="60">
        <v>8.26</v>
      </c>
      <c r="F90" s="60">
        <v>0.48</v>
      </c>
      <c r="G90" s="214" t="s">
        <v>36</v>
      </c>
      <c r="H90" s="60">
        <v>15.93</v>
      </c>
      <c r="I90" s="60">
        <v>5.43</v>
      </c>
      <c r="J90" s="60">
        <v>0.11</v>
      </c>
      <c r="K90" s="60">
        <v>206.75</v>
      </c>
      <c r="L90" s="9" t="s">
        <v>36</v>
      </c>
      <c r="M90" s="60">
        <v>98.78</v>
      </c>
      <c r="N90" s="60">
        <v>0.20</v>
      </c>
      <c r="O90" s="60">
        <v>0</v>
      </c>
      <c r="P90" s="60">
        <v>2.85</v>
      </c>
      <c r="Q90" s="60">
        <v>4.0599999999999996</v>
      </c>
      <c r="R90" s="194"/>
      <c r="S90" s="194"/>
      <c r="T90" s="194"/>
      <c r="U90" s="194"/>
    </row>
    <row r="91" spans="1:21" s="12" customFormat="1" ht="15">
      <c r="A91" s="197" t="s">
        <v>1287</v>
      </c>
      <c r="B91" s="60">
        <v>3.42</v>
      </c>
      <c r="C91" s="60">
        <v>14.42</v>
      </c>
      <c r="D91" s="60">
        <v>17.84</v>
      </c>
      <c r="E91" s="60">
        <v>8.09</v>
      </c>
      <c r="F91" s="60">
        <v>0.49</v>
      </c>
      <c r="G91" s="214" t="s">
        <v>36</v>
      </c>
      <c r="H91" s="60">
        <v>15.93</v>
      </c>
      <c r="I91" s="60">
        <v>5.32</v>
      </c>
      <c r="J91" s="60">
        <v>0.10</v>
      </c>
      <c r="K91" s="60">
        <v>25.66</v>
      </c>
      <c r="L91" s="9" t="s">
        <v>36</v>
      </c>
      <c r="M91" s="60">
        <v>98.52</v>
      </c>
      <c r="N91" s="60">
        <v>0.5</v>
      </c>
      <c r="O91" s="60">
        <v>0</v>
      </c>
      <c r="P91" s="60">
        <v>2.86</v>
      </c>
      <c r="Q91" s="60">
        <v>4.1399999999999997</v>
      </c>
      <c r="R91" s="194"/>
      <c r="S91" s="194"/>
      <c r="T91" s="194"/>
      <c r="U91" s="194"/>
    </row>
    <row r="92" spans="1:21" s="12" customFormat="1" ht="15">
      <c r="A92" s="197" t="s">
        <v>1288</v>
      </c>
      <c r="B92" s="60">
        <v>3.79</v>
      </c>
      <c r="C92" s="60">
        <v>15.74</v>
      </c>
      <c r="D92" s="60">
        <v>19.53</v>
      </c>
      <c r="E92" s="60">
        <v>8.11</v>
      </c>
      <c r="F92" s="60">
        <v>0.06</v>
      </c>
      <c r="G92" s="214" t="s">
        <v>36</v>
      </c>
      <c r="H92" s="60">
        <v>15.93</v>
      </c>
      <c r="I92" s="60">
        <v>5.53</v>
      </c>
      <c r="J92" s="60">
        <v>0.27</v>
      </c>
      <c r="K92" s="60">
        <v>23.08</v>
      </c>
      <c r="L92" s="9" t="s">
        <v>36</v>
      </c>
      <c r="M92" s="60">
        <v>96.79</v>
      </c>
      <c r="N92" s="60">
        <v>1.1000000000000001</v>
      </c>
      <c r="O92" s="60">
        <v>0</v>
      </c>
      <c r="P92" s="60">
        <v>2.87</v>
      </c>
      <c r="Q92" s="60">
        <v>4.58</v>
      </c>
      <c r="R92" s="194"/>
      <c r="S92" s="194"/>
      <c r="T92" s="194"/>
      <c r="U92" s="194"/>
    </row>
    <row r="93" spans="1:21" s="12" customFormat="1" ht="15">
      <c r="A93" s="197" t="s">
        <v>1289</v>
      </c>
      <c r="B93" s="60">
        <v>3.39</v>
      </c>
      <c r="C93" s="60">
        <v>16.260000000000002</v>
      </c>
      <c r="D93" s="60">
        <v>19.649999999999999</v>
      </c>
      <c r="E93" s="60">
        <v>7.79</v>
      </c>
      <c r="F93" s="60">
        <v>0.51</v>
      </c>
      <c r="G93" s="214" t="s">
        <v>36</v>
      </c>
      <c r="H93" s="60">
        <v>15.97</v>
      </c>
      <c r="I93" s="60">
        <v>5.57</v>
      </c>
      <c r="J93" s="60">
        <v>0.20</v>
      </c>
      <c r="K93" s="60">
        <v>340.55</v>
      </c>
      <c r="L93" s="9" t="s">
        <v>36</v>
      </c>
      <c r="M93" s="60">
        <v>98.31</v>
      </c>
      <c r="N93" s="60">
        <v>0.20</v>
      </c>
      <c r="O93" s="60">
        <v>0.20</v>
      </c>
      <c r="P93" s="60">
        <v>2.88</v>
      </c>
      <c r="Q93" s="60">
        <v>5.20</v>
      </c>
      <c r="R93" s="194"/>
      <c r="S93" s="194"/>
      <c r="T93" s="194"/>
      <c r="U93" s="194"/>
    </row>
    <row r="94" spans="1:21" s="12" customFormat="1" ht="15">
      <c r="A94" s="197" t="s">
        <v>1290</v>
      </c>
      <c r="B94" s="60">
        <v>3.56</v>
      </c>
      <c r="C94" s="60">
        <v>16.809999999999999</v>
      </c>
      <c r="D94" s="60">
        <v>20.37</v>
      </c>
      <c r="E94" s="60">
        <v>7.65</v>
      </c>
      <c r="F94" s="60">
        <v>0.02</v>
      </c>
      <c r="G94" s="214" t="s">
        <v>36</v>
      </c>
      <c r="H94" s="60">
        <v>16.07</v>
      </c>
      <c r="I94" s="60">
        <v>5.64</v>
      </c>
      <c r="J94" s="60">
        <v>0.03</v>
      </c>
      <c r="K94" s="60">
        <v>262.01</v>
      </c>
      <c r="L94" s="9" t="s">
        <v>36</v>
      </c>
      <c r="M94" s="60">
        <v>98.73</v>
      </c>
      <c r="N94" s="60">
        <v>0.20</v>
      </c>
      <c r="O94" s="60">
        <v>0</v>
      </c>
      <c r="P94" s="60">
        <v>2.92</v>
      </c>
      <c r="Q94" s="60">
        <v>6.47</v>
      </c>
      <c r="R94" s="194"/>
      <c r="S94" s="194"/>
      <c r="T94" s="194"/>
      <c r="U94" s="194"/>
    </row>
    <row r="95" spans="1:21" s="12" customFormat="1" ht="15">
      <c r="A95" s="197" t="s">
        <v>1291</v>
      </c>
      <c r="B95" s="60">
        <v>4.12</v>
      </c>
      <c r="C95" s="60">
        <v>17.190000000000001</v>
      </c>
      <c r="D95" s="60">
        <v>21.31</v>
      </c>
      <c r="E95" s="60">
        <v>7.46</v>
      </c>
      <c r="F95" s="60">
        <v>0.04</v>
      </c>
      <c r="G95" s="214" t="s">
        <v>36</v>
      </c>
      <c r="H95" s="60">
        <v>16.07</v>
      </c>
      <c r="I95" s="60">
        <v>5.64</v>
      </c>
      <c r="J95" s="60">
        <v>0.23</v>
      </c>
      <c r="K95" s="60">
        <v>321.76</v>
      </c>
      <c r="L95" s="9" t="s">
        <v>36</v>
      </c>
      <c r="M95" s="60">
        <v>99.04</v>
      </c>
      <c r="N95" s="60">
        <v>0.10</v>
      </c>
      <c r="O95" s="60">
        <v>0</v>
      </c>
      <c r="P95" s="60">
        <v>2.99</v>
      </c>
      <c r="Q95" s="60">
        <v>7.51</v>
      </c>
      <c r="R95" s="194"/>
      <c r="S95" s="194"/>
      <c r="T95" s="194"/>
      <c r="U95" s="194"/>
    </row>
    <row r="96" spans="1:26" s="12" customFormat="1" ht="15">
      <c r="A96" s="197" t="s">
        <v>1292</v>
      </c>
      <c r="B96" s="60">
        <v>4.8600000000000003</v>
      </c>
      <c r="C96" s="60">
        <v>17.47</v>
      </c>
      <c r="D96" s="60">
        <v>22.33</v>
      </c>
      <c r="E96" s="60">
        <v>7.45</v>
      </c>
      <c r="F96" s="60">
        <v>1.33</v>
      </c>
      <c r="G96" s="214" t="s">
        <v>36</v>
      </c>
      <c r="H96" s="60">
        <v>16.07</v>
      </c>
      <c r="I96" s="60">
        <v>5.92</v>
      </c>
      <c r="J96" s="60">
        <v>0.19</v>
      </c>
      <c r="K96" s="60">
        <v>177.84</v>
      </c>
      <c r="L96" s="9" t="s">
        <v>36</v>
      </c>
      <c r="M96" s="60">
        <v>98.89</v>
      </c>
      <c r="N96" s="60">
        <v>0.40</v>
      </c>
      <c r="O96" s="60">
        <v>0</v>
      </c>
      <c r="P96" s="60">
        <v>3.07</v>
      </c>
      <c r="Q96" s="60">
        <v>8.09</v>
      </c>
      <c r="R96" s="194"/>
      <c r="S96" s="194"/>
      <c r="T96" s="194"/>
      <c r="U96" s="194"/>
      <c r="Z96" s="105"/>
    </row>
    <row r="97" spans="1:21" s="12" customFormat="1" ht="15">
      <c r="A97" s="197" t="s">
        <v>1293</v>
      </c>
      <c r="B97" s="60">
        <v>4.95</v>
      </c>
      <c r="C97" s="60">
        <v>16.88</v>
      </c>
      <c r="D97" s="60">
        <v>21.83</v>
      </c>
      <c r="E97" s="60">
        <v>7.54</v>
      </c>
      <c r="F97" s="60">
        <v>0.35</v>
      </c>
      <c r="G97" s="214" t="s">
        <v>36</v>
      </c>
      <c r="H97" s="60">
        <v>16.02</v>
      </c>
      <c r="I97" s="60">
        <v>6.48</v>
      </c>
      <c r="J97" s="60">
        <v>0.37</v>
      </c>
      <c r="K97" s="60">
        <v>180.01</v>
      </c>
      <c r="L97" s="9" t="s">
        <v>36</v>
      </c>
      <c r="M97" s="60">
        <v>98.83</v>
      </c>
      <c r="N97" s="60">
        <v>0.70</v>
      </c>
      <c r="O97" s="60">
        <v>0.20</v>
      </c>
      <c r="P97" s="60">
        <v>3.09</v>
      </c>
      <c r="Q97" s="60">
        <v>8.01</v>
      </c>
      <c r="R97" s="194"/>
      <c r="S97" s="194"/>
      <c r="T97" s="194"/>
      <c r="U97" s="194"/>
    </row>
    <row r="98" spans="1:21" s="12" customFormat="1" ht="15">
      <c r="A98" s="197" t="s">
        <v>1294</v>
      </c>
      <c r="B98" s="60">
        <v>4.5199999999999996</v>
      </c>
      <c r="C98" s="60">
        <v>15.78</v>
      </c>
      <c r="D98" s="60">
        <v>20.30</v>
      </c>
      <c r="E98" s="60">
        <v>7.13</v>
      </c>
      <c r="F98" s="60">
        <v>0.15</v>
      </c>
      <c r="G98" s="214" t="s">
        <v>36</v>
      </c>
      <c r="H98" s="60">
        <v>15.89</v>
      </c>
      <c r="I98" s="60">
        <v>7.22</v>
      </c>
      <c r="J98" s="60">
        <v>0.63</v>
      </c>
      <c r="K98" s="60">
        <v>134.04</v>
      </c>
      <c r="L98" s="9" t="s">
        <v>36</v>
      </c>
      <c r="M98" s="60">
        <v>98.92</v>
      </c>
      <c r="N98" s="60">
        <v>0.5</v>
      </c>
      <c r="O98" s="60">
        <v>3.80</v>
      </c>
      <c r="P98" s="60">
        <v>3.06</v>
      </c>
      <c r="Q98" s="60">
        <v>7.62</v>
      </c>
      <c r="R98" s="194"/>
      <c r="S98" s="194"/>
      <c r="T98" s="194"/>
      <c r="U98" s="194"/>
    </row>
    <row r="99" spans="1:21" s="12" customFormat="1" ht="15">
      <c r="A99" s="197" t="s">
        <v>1295</v>
      </c>
      <c r="B99" s="60">
        <v>4.04</v>
      </c>
      <c r="C99" s="60">
        <v>15.09</v>
      </c>
      <c r="D99" s="60">
        <v>19.12</v>
      </c>
      <c r="E99" s="60">
        <v>7.07</v>
      </c>
      <c r="F99" s="60">
        <v>0.40</v>
      </c>
      <c r="G99" s="214" t="s">
        <v>36</v>
      </c>
      <c r="H99" s="60">
        <v>15.89</v>
      </c>
      <c r="I99" s="60">
        <v>7.56</v>
      </c>
      <c r="J99" s="60">
        <v>0.17</v>
      </c>
      <c r="K99" s="60">
        <v>283.69</v>
      </c>
      <c r="L99" s="9" t="s">
        <v>36</v>
      </c>
      <c r="M99" s="60">
        <v>99.10</v>
      </c>
      <c r="N99" s="60">
        <v>0.5</v>
      </c>
      <c r="O99" s="60">
        <v>2.2000000000000002</v>
      </c>
      <c r="P99" s="60">
        <v>3.04</v>
      </c>
      <c r="Q99" s="60">
        <v>6.86</v>
      </c>
      <c r="R99" s="194"/>
      <c r="S99" s="194"/>
      <c r="T99" s="194"/>
      <c r="U99" s="194"/>
    </row>
    <row r="100" spans="1:33" s="12" customFormat="1" ht="15">
      <c r="A100" s="197" t="s">
        <v>1296</v>
      </c>
      <c r="B100" s="60">
        <v>3.75</v>
      </c>
      <c r="C100" s="60">
        <v>14.56</v>
      </c>
      <c r="D100" s="60">
        <v>18.309999999999999</v>
      </c>
      <c r="E100" s="60">
        <v>7.48</v>
      </c>
      <c r="F100" s="60">
        <v>0.53</v>
      </c>
      <c r="G100" s="214" t="s">
        <v>36</v>
      </c>
      <c r="H100" s="60">
        <v>15.89</v>
      </c>
      <c r="I100" s="60">
        <v>7.36</v>
      </c>
      <c r="J100" s="60">
        <v>0.41</v>
      </c>
      <c r="K100" s="60">
        <v>326.99</v>
      </c>
      <c r="L100" s="9" t="s">
        <v>36</v>
      </c>
      <c r="M100" s="60">
        <v>99.10</v>
      </c>
      <c r="N100" s="60">
        <v>0.40</v>
      </c>
      <c r="O100" s="60">
        <v>0</v>
      </c>
      <c r="P100" s="60">
        <v>3.01</v>
      </c>
      <c r="Q100" s="60">
        <v>5.65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1297</v>
      </c>
      <c r="B101" s="60">
        <v>3.87</v>
      </c>
      <c r="C101" s="60">
        <v>14.05</v>
      </c>
      <c r="D101" s="60">
        <v>17.920000000000002</v>
      </c>
      <c r="E101" s="60">
        <v>7.90</v>
      </c>
      <c r="F101" s="60">
        <v>0.21</v>
      </c>
      <c r="G101" s="214" t="s">
        <v>36</v>
      </c>
      <c r="H101" s="60">
        <v>14.74</v>
      </c>
      <c r="I101" s="60">
        <v>7.17</v>
      </c>
      <c r="J101" s="60">
        <v>0.03</v>
      </c>
      <c r="K101" s="60">
        <v>245.30</v>
      </c>
      <c r="L101" s="9" t="s">
        <v>36</v>
      </c>
      <c r="M101" s="60">
        <v>99.10</v>
      </c>
      <c r="N101" s="60">
        <v>0.30</v>
      </c>
      <c r="O101" s="60">
        <v>0</v>
      </c>
      <c r="P101" s="60">
        <v>3.02</v>
      </c>
      <c r="Q101" s="60">
        <v>4.83</v>
      </c>
      <c r="R101" s="194"/>
      <c r="S101" s="194"/>
      <c r="T101" s="194"/>
      <c r="U101" s="194"/>
    </row>
    <row r="102" spans="1:21" s="12" customFormat="1" ht="15">
      <c r="A102" s="197" t="s">
        <v>1298</v>
      </c>
      <c r="B102" s="60">
        <v>4.03</v>
      </c>
      <c r="C102" s="60">
        <v>13.68</v>
      </c>
      <c r="D102" s="60">
        <v>17.71</v>
      </c>
      <c r="E102" s="60">
        <v>7.47</v>
      </c>
      <c r="F102" s="60">
        <v>0.35</v>
      </c>
      <c r="G102" s="214" t="s">
        <v>36</v>
      </c>
      <c r="H102" s="60">
        <v>11.91</v>
      </c>
      <c r="I102" s="60">
        <v>7.24</v>
      </c>
      <c r="J102" s="60">
        <v>0.05</v>
      </c>
      <c r="K102" s="60">
        <v>57.76</v>
      </c>
      <c r="L102" s="9" t="s">
        <v>36</v>
      </c>
      <c r="M102" s="60">
        <v>99.10</v>
      </c>
      <c r="N102" s="60">
        <v>0.40</v>
      </c>
      <c r="O102" s="60">
        <v>0</v>
      </c>
      <c r="P102" s="60">
        <v>3.03</v>
      </c>
      <c r="Q102" s="60">
        <v>4.38</v>
      </c>
      <c r="R102" s="194"/>
      <c r="S102" s="194"/>
      <c r="T102" s="194"/>
      <c r="U102" s="194"/>
    </row>
    <row r="103" spans="1:21" s="12" customFormat="1" ht="15">
      <c r="A103" s="197" t="s">
        <v>1299</v>
      </c>
      <c r="B103" s="60">
        <v>4.1900000000000004</v>
      </c>
      <c r="C103" s="60">
        <v>13.52</v>
      </c>
      <c r="D103" s="60">
        <v>17.71</v>
      </c>
      <c r="E103" s="60">
        <v>7.55</v>
      </c>
      <c r="F103" s="60">
        <v>0.46</v>
      </c>
      <c r="G103" s="214" t="s">
        <v>36</v>
      </c>
      <c r="H103" s="60">
        <v>11.91</v>
      </c>
      <c r="I103" s="60">
        <v>7.61</v>
      </c>
      <c r="J103" s="60">
        <v>0.10</v>
      </c>
      <c r="K103" s="60">
        <v>14.86</v>
      </c>
      <c r="L103" s="9" t="s">
        <v>36</v>
      </c>
      <c r="M103" s="60">
        <v>99.10</v>
      </c>
      <c r="N103" s="60">
        <v>0.70</v>
      </c>
      <c r="O103" s="60">
        <v>0</v>
      </c>
      <c r="P103" s="60">
        <v>3.07</v>
      </c>
      <c r="Q103" s="60">
        <v>4.24</v>
      </c>
      <c r="R103" s="194"/>
      <c r="S103" s="194"/>
      <c r="T103" s="194"/>
      <c r="U103" s="194"/>
    </row>
    <row r="104" spans="1:21" s="12" customFormat="1" ht="15">
      <c r="A104" s="197" t="s">
        <v>1300</v>
      </c>
      <c r="B104" s="60">
        <v>4.18</v>
      </c>
      <c r="C104" s="60">
        <v>13.43</v>
      </c>
      <c r="D104" s="60">
        <v>17.61</v>
      </c>
      <c r="E104" s="60">
        <v>3.33</v>
      </c>
      <c r="F104" s="60">
        <v>4.03</v>
      </c>
      <c r="G104" s="214" t="s">
        <v>36</v>
      </c>
      <c r="H104" s="60">
        <v>11.91</v>
      </c>
      <c r="I104" s="60">
        <v>8.34</v>
      </c>
      <c r="J104" s="60">
        <v>0.60</v>
      </c>
      <c r="K104" s="60">
        <v>313.39</v>
      </c>
      <c r="L104" s="9" t="s">
        <v>36</v>
      </c>
      <c r="M104" s="60">
        <v>99.10</v>
      </c>
      <c r="N104" s="60">
        <v>0.5</v>
      </c>
      <c r="O104" s="60">
        <v>0</v>
      </c>
      <c r="P104" s="60">
        <v>3.10</v>
      </c>
      <c r="Q104" s="60">
        <v>4.1399999999999997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1.1799999999999999</v>
      </c>
      <c r="C106" s="67">
        <f>MIN(C9:C104)</f>
        <v>11.289999999999999</v>
      </c>
      <c r="D106" s="67">
        <f t="shared" si="0" ref="D106:Q106">MIN(D9:D104)</f>
        <v>13.220000000000001</v>
      </c>
      <c r="E106" s="67">
        <f t="shared" si="0"/>
        <v>3.1400000000000001</v>
      </c>
      <c r="F106" s="67">
        <f t="shared" si="0"/>
        <v>0.01</v>
      </c>
      <c r="G106" s="67">
        <f t="shared" si="0"/>
        <v>0</v>
      </c>
      <c r="H106" s="67">
        <f t="shared" si="0"/>
        <v>9.5399999999999991</v>
      </c>
      <c r="I106" s="67">
        <f t="shared" si="0"/>
        <v>4.5599999999999996</v>
      </c>
      <c r="J106" s="67">
        <f t="shared" si="0"/>
        <v>0.029999999999999999</v>
      </c>
      <c r="K106" s="67">
        <f t="shared" si="0"/>
        <v>2.6200000000000001</v>
      </c>
      <c r="L106" s="67">
        <f t="shared" si="0"/>
        <v>0</v>
      </c>
      <c r="M106" s="67">
        <f t="shared" si="0"/>
        <v>62.189999999999998</v>
      </c>
      <c r="N106" s="67">
        <f t="shared" si="0"/>
        <v>0.10000000000000001</v>
      </c>
      <c r="O106" s="67">
        <f t="shared" si="0"/>
        <v>0</v>
      </c>
      <c r="P106" s="67">
        <f t="shared" si="0"/>
        <v>2.71</v>
      </c>
      <c r="Q106" s="67">
        <f t="shared" si="0"/>
        <v>3.3199999999999998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18.75</v>
      </c>
      <c r="C107" s="66">
        <f t="shared" si="1" ref="C107:Q107">MAX(C9:C104)</f>
        <v>17.469999999999999</v>
      </c>
      <c r="D107" s="66">
        <f t="shared" si="1"/>
        <v>32.880000000000003</v>
      </c>
      <c r="E107" s="66">
        <f t="shared" si="1"/>
        <v>8.9299999999999997</v>
      </c>
      <c r="F107" s="66">
        <f t="shared" si="1"/>
        <v>4.0300000000000002</v>
      </c>
      <c r="G107" s="66">
        <f t="shared" si="1"/>
        <v>0</v>
      </c>
      <c r="H107" s="66">
        <f t="shared" si="1"/>
        <v>33.649999999999999</v>
      </c>
      <c r="I107" s="66">
        <f t="shared" si="1"/>
        <v>8.3399999999999999</v>
      </c>
      <c r="J107" s="66">
        <f t="shared" si="1"/>
        <v>2.3599999999999999</v>
      </c>
      <c r="K107" s="66">
        <f t="shared" si="1"/>
        <v>359.98000000000002</v>
      </c>
      <c r="L107" s="66">
        <f t="shared" si="1"/>
        <v>0</v>
      </c>
      <c r="M107" s="66">
        <f t="shared" si="1"/>
        <v>99.099999999999994</v>
      </c>
      <c r="N107" s="66">
        <f t="shared" si="1"/>
        <v>1048.3</v>
      </c>
      <c r="O107" s="66">
        <f t="shared" si="1"/>
        <v>3.7999999999999998</v>
      </c>
      <c r="P107" s="66">
        <f t="shared" si="1"/>
        <v>3.54</v>
      </c>
      <c r="Q107" s="66">
        <f t="shared" si="1"/>
        <v>12.289999999999999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8.2896874999999977</v>
      </c>
      <c r="C108" s="67">
        <f t="shared" si="2" ref="C108:Q108">AVERAGE(C9:C104)</f>
        <v>13.728229166666667</v>
      </c>
      <c r="D108" s="67">
        <f t="shared" si="2"/>
        <v>22.017708333333342</v>
      </c>
      <c r="E108" s="67">
        <f t="shared" si="2"/>
        <v>7.3761458333333323</v>
      </c>
      <c r="F108" s="67">
        <f t="shared" si="2"/>
        <v>0.51729166666666659</v>
      </c>
      <c r="G108" s="67" t="e">
        <f t="shared" si="2"/>
        <v>#DIV/0!</v>
      </c>
      <c r="H108" s="67">
        <f t="shared" si="2"/>
        <v>18.546875000000004</v>
      </c>
      <c r="I108" s="67">
        <f t="shared" si="2"/>
        <v>5.973541666666665</v>
      </c>
      <c r="J108" s="67">
        <f t="shared" si="2"/>
        <v>0.86270833333333297</v>
      </c>
      <c r="K108" s="67">
        <f t="shared" si="2"/>
        <v>135.8719791666667</v>
      </c>
      <c r="L108" s="67" t="e">
        <f t="shared" si="2"/>
        <v>#DIV/0!</v>
      </c>
      <c r="M108" s="67">
        <f t="shared" si="2"/>
        <v>86.519687500000018</v>
      </c>
      <c r="N108" s="67">
        <f t="shared" si="2"/>
        <v>197.34375000000003</v>
      </c>
      <c r="O108" s="67">
        <f t="shared" si="2"/>
        <v>0.11666666666666665</v>
      </c>
      <c r="P108" s="67">
        <f t="shared" si="2"/>
        <v>3.0631249999999994</v>
      </c>
      <c r="Q108" s="67">
        <f t="shared" si="2"/>
        <v>7.1638541666666677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6.0516761406937594</v>
      </c>
      <c r="C109" s="67">
        <f t="shared" si="3" ref="C109:Q109">STDEV(C9:C104)</f>
        <v>1.5749265612229841</v>
      </c>
      <c r="D109" s="67">
        <f t="shared" si="3"/>
        <v>5.8031135888039502</v>
      </c>
      <c r="E109" s="67">
        <f t="shared" si="3"/>
        <v>1.089911024655998</v>
      </c>
      <c r="F109" s="67">
        <f t="shared" si="3"/>
        <v>0.50521174126179202</v>
      </c>
      <c r="G109" s="67" t="e">
        <f t="shared" si="3"/>
        <v>#DIV/0!</v>
      </c>
      <c r="H109" s="67">
        <f t="shared" si="3"/>
        <v>5.9753265160729159</v>
      </c>
      <c r="I109" s="67">
        <f t="shared" si="3"/>
        <v>0.85438186848330155</v>
      </c>
      <c r="J109" s="67">
        <f t="shared" si="3"/>
        <v>0.506104792907071</v>
      </c>
      <c r="K109" s="67">
        <f t="shared" si="3"/>
        <v>118.74718320532729</v>
      </c>
      <c r="L109" s="67" t="e">
        <f t="shared" si="3"/>
        <v>#DIV/0!</v>
      </c>
      <c r="M109" s="67">
        <f t="shared" si="3"/>
        <v>14.076174529146837</v>
      </c>
      <c r="N109" s="67">
        <f t="shared" si="3"/>
        <v>274.99773427296287</v>
      </c>
      <c r="O109" s="67">
        <f t="shared" si="3"/>
        <v>0.49559462778335212</v>
      </c>
      <c r="P109" s="67">
        <f t="shared" si="3"/>
        <v>0.27148058959401833</v>
      </c>
      <c r="Q109" s="67">
        <f t="shared" si="3"/>
        <v>2.3672641859068393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af79b5-c33d-4141-843c-fe3ea5dbdc6b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12-07-2022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1301</v>
      </c>
      <c r="B9" s="60">
        <v>4.09</v>
      </c>
      <c r="C9" s="60">
        <v>13.01</v>
      </c>
      <c r="D9" s="60">
        <v>17.100000000000001</v>
      </c>
      <c r="E9" s="60">
        <v>6.51</v>
      </c>
      <c r="F9" s="60">
        <v>1.37</v>
      </c>
      <c r="G9" s="214" t="s">
        <v>36</v>
      </c>
      <c r="H9" s="60">
        <v>11.79</v>
      </c>
      <c r="I9" s="60">
        <v>8.08</v>
      </c>
      <c r="J9" s="60">
        <v>0.34</v>
      </c>
      <c r="K9" s="60">
        <v>324.64999999999998</v>
      </c>
      <c r="L9" s="9" t="s">
        <v>36</v>
      </c>
      <c r="M9" s="60">
        <v>99.10</v>
      </c>
      <c r="N9" s="60">
        <v>0.5</v>
      </c>
      <c r="O9" s="60">
        <v>0</v>
      </c>
      <c r="P9" s="60">
        <v>3.13</v>
      </c>
      <c r="Q9" s="60">
        <v>3.94</v>
      </c>
      <c r="R9" s="194"/>
      <c r="S9" s="194"/>
      <c r="T9" s="194"/>
      <c r="U9" s="194"/>
    </row>
    <row r="10" spans="1:21" s="12" customFormat="1" ht="15">
      <c r="A10" s="197" t="s">
        <v>1302</v>
      </c>
      <c r="B10" s="60">
        <v>4.01</v>
      </c>
      <c r="C10" s="60">
        <v>12.72</v>
      </c>
      <c r="D10" s="60">
        <v>16.73</v>
      </c>
      <c r="E10" s="60">
        <v>7.17</v>
      </c>
      <c r="F10" s="60">
        <v>0.98</v>
      </c>
      <c r="G10" s="214" t="s">
        <v>36</v>
      </c>
      <c r="H10" s="60">
        <v>11.5</v>
      </c>
      <c r="I10" s="60">
        <v>8.3000000000000007</v>
      </c>
      <c r="J10" s="60">
        <v>0.88</v>
      </c>
      <c r="K10" s="60">
        <v>312.24</v>
      </c>
      <c r="L10" s="9" t="s">
        <v>36</v>
      </c>
      <c r="M10" s="60">
        <v>99.10</v>
      </c>
      <c r="N10" s="60">
        <v>0.5</v>
      </c>
      <c r="O10" s="60">
        <v>0</v>
      </c>
      <c r="P10" s="60">
        <v>3.13</v>
      </c>
      <c r="Q10" s="60">
        <v>3.88</v>
      </c>
      <c r="R10" s="194"/>
      <c r="S10" s="194"/>
      <c r="T10" s="194"/>
      <c r="U10" s="194"/>
    </row>
    <row r="11" spans="1:21" s="12" customFormat="1" ht="15">
      <c r="A11" s="197" t="s">
        <v>1303</v>
      </c>
      <c r="B11" s="60">
        <v>3.78</v>
      </c>
      <c r="C11" s="60">
        <v>12.66</v>
      </c>
      <c r="D11" s="60">
        <v>16.440000000000001</v>
      </c>
      <c r="E11" s="60">
        <v>7.22</v>
      </c>
      <c r="F11" s="60">
        <v>0.37</v>
      </c>
      <c r="G11" s="214" t="s">
        <v>36</v>
      </c>
      <c r="H11" s="60">
        <v>11.5</v>
      </c>
      <c r="I11" s="60">
        <v>8.35</v>
      </c>
      <c r="J11" s="60">
        <v>0.84</v>
      </c>
      <c r="K11" s="60">
        <v>315.22000000000003</v>
      </c>
      <c r="L11" s="9" t="s">
        <v>36</v>
      </c>
      <c r="M11" s="60">
        <v>99.10</v>
      </c>
      <c r="N11" s="60">
        <v>0.70</v>
      </c>
      <c r="O11" s="60">
        <v>0</v>
      </c>
      <c r="P11" s="60">
        <v>3.10</v>
      </c>
      <c r="Q11" s="60">
        <v>3.97</v>
      </c>
      <c r="R11" s="194"/>
      <c r="S11" s="194"/>
      <c r="T11" s="194"/>
      <c r="U11" s="194"/>
    </row>
    <row r="12" spans="1:21" s="12" customFormat="1" ht="15">
      <c r="A12" s="197" t="s">
        <v>1304</v>
      </c>
      <c r="B12" s="60">
        <v>3.34</v>
      </c>
      <c r="C12" s="60">
        <v>13</v>
      </c>
      <c r="D12" s="60">
        <v>16.34</v>
      </c>
      <c r="E12" s="60">
        <v>7.41</v>
      </c>
      <c r="F12" s="60">
        <v>0.09</v>
      </c>
      <c r="G12" s="214" t="s">
        <v>36</v>
      </c>
      <c r="H12" s="60">
        <v>11.5</v>
      </c>
      <c r="I12" s="60">
        <v>8.2200000000000006</v>
      </c>
      <c r="J12" s="60">
        <v>0.67</v>
      </c>
      <c r="K12" s="60">
        <v>331.86</v>
      </c>
      <c r="L12" s="9" t="s">
        <v>36</v>
      </c>
      <c r="M12" s="60">
        <v>99.10</v>
      </c>
      <c r="N12" s="60">
        <v>0.60</v>
      </c>
      <c r="O12" s="60">
        <v>0</v>
      </c>
      <c r="P12" s="60">
        <v>3.06</v>
      </c>
      <c r="Q12" s="60">
        <v>4.7699999999999996</v>
      </c>
      <c r="R12" s="194"/>
      <c r="S12" s="194"/>
      <c r="T12" s="194"/>
      <c r="U12" s="194"/>
    </row>
    <row r="13" spans="1:21" s="12" customFormat="1" ht="15">
      <c r="A13" s="197" t="s">
        <v>1305</v>
      </c>
      <c r="B13" s="60">
        <v>2.99</v>
      </c>
      <c r="C13" s="60">
        <v>12.96</v>
      </c>
      <c r="D13" s="60">
        <v>15.94</v>
      </c>
      <c r="E13" s="60">
        <v>7.63</v>
      </c>
      <c r="F13" s="60">
        <v>0.46</v>
      </c>
      <c r="G13" s="214" t="s">
        <v>36</v>
      </c>
      <c r="H13" s="60">
        <v>11.59</v>
      </c>
      <c r="I13" s="60">
        <v>7.96</v>
      </c>
      <c r="J13" s="60">
        <v>0.77</v>
      </c>
      <c r="K13" s="60">
        <v>315.43</v>
      </c>
      <c r="L13" s="9" t="s">
        <v>36</v>
      </c>
      <c r="M13" s="60">
        <v>99.10</v>
      </c>
      <c r="N13" s="60">
        <v>0.70</v>
      </c>
      <c r="O13" s="60">
        <v>0</v>
      </c>
      <c r="P13" s="60">
        <v>3.04</v>
      </c>
      <c r="Q13" s="60">
        <v>5.71</v>
      </c>
      <c r="R13" s="194"/>
      <c r="S13" s="194"/>
      <c r="T13" s="194"/>
      <c r="U13" s="194"/>
    </row>
    <row r="14" spans="1:21" s="12" customFormat="1" ht="15">
      <c r="A14" s="197" t="s">
        <v>1306</v>
      </c>
      <c r="B14" s="60">
        <v>2.60</v>
      </c>
      <c r="C14" s="60">
        <v>12.78</v>
      </c>
      <c r="D14" s="60">
        <v>15.38</v>
      </c>
      <c r="E14" s="60">
        <v>7.14</v>
      </c>
      <c r="F14" s="60">
        <v>0.81</v>
      </c>
      <c r="G14" s="214" t="s">
        <v>36</v>
      </c>
      <c r="H14" s="60">
        <v>11.82</v>
      </c>
      <c r="I14" s="60">
        <v>7.71</v>
      </c>
      <c r="J14" s="60">
        <v>0.64</v>
      </c>
      <c r="K14" s="60">
        <v>322.32</v>
      </c>
      <c r="L14" s="9" t="s">
        <v>36</v>
      </c>
      <c r="M14" s="60">
        <v>99.10</v>
      </c>
      <c r="N14" s="60">
        <v>0.60</v>
      </c>
      <c r="O14" s="60">
        <v>0</v>
      </c>
      <c r="P14" s="60">
        <v>3.01</v>
      </c>
      <c r="Q14" s="60">
        <v>6.10</v>
      </c>
      <c r="R14" s="194"/>
      <c r="S14" s="194"/>
      <c r="T14" s="194"/>
      <c r="U14" s="194"/>
    </row>
    <row r="15" spans="1:21" s="12" customFormat="1" ht="15">
      <c r="A15" s="197" t="s">
        <v>1307</v>
      </c>
      <c r="B15" s="60">
        <v>2.2400000000000002</v>
      </c>
      <c r="C15" s="60">
        <v>12.43</v>
      </c>
      <c r="D15" s="60">
        <v>14.67</v>
      </c>
      <c r="E15" s="60">
        <v>7.11</v>
      </c>
      <c r="F15" s="60">
        <v>0.61</v>
      </c>
      <c r="G15" s="214" t="s">
        <v>36</v>
      </c>
      <c r="H15" s="60">
        <v>11.82</v>
      </c>
      <c r="I15" s="60">
        <v>7.57</v>
      </c>
      <c r="J15" s="60">
        <v>0.49</v>
      </c>
      <c r="K15" s="60">
        <v>310.69</v>
      </c>
      <c r="L15" s="9" t="s">
        <v>36</v>
      </c>
      <c r="M15" s="60">
        <v>99.10</v>
      </c>
      <c r="N15" s="60">
        <v>0.40</v>
      </c>
      <c r="O15" s="60">
        <v>0</v>
      </c>
      <c r="P15" s="60">
        <v>2.98</v>
      </c>
      <c r="Q15" s="60">
        <v>6.11</v>
      </c>
      <c r="R15" s="194"/>
      <c r="S15" s="194"/>
      <c r="T15" s="194"/>
      <c r="U15" s="194"/>
    </row>
    <row r="16" spans="1:21" s="12" customFormat="1" ht="15">
      <c r="A16" s="197" t="s">
        <v>1308</v>
      </c>
      <c r="B16" s="60">
        <v>1.94</v>
      </c>
      <c r="C16" s="60">
        <v>12.04</v>
      </c>
      <c r="D16" s="60">
        <v>13.97</v>
      </c>
      <c r="E16" s="60">
        <v>6.77</v>
      </c>
      <c r="F16" s="60">
        <v>0.37</v>
      </c>
      <c r="G16" s="214" t="s">
        <v>36</v>
      </c>
      <c r="H16" s="60">
        <v>11.82</v>
      </c>
      <c r="I16" s="60">
        <v>7.34</v>
      </c>
      <c r="J16" s="60">
        <v>1.01</v>
      </c>
      <c r="K16" s="60">
        <v>311.86</v>
      </c>
      <c r="L16" s="9" t="s">
        <v>36</v>
      </c>
      <c r="M16" s="60">
        <v>99.10</v>
      </c>
      <c r="N16" s="60">
        <v>0.30</v>
      </c>
      <c r="O16" s="60">
        <v>0</v>
      </c>
      <c r="P16" s="60">
        <v>2.95</v>
      </c>
      <c r="Q16" s="60">
        <v>6.01</v>
      </c>
      <c r="R16" s="194"/>
      <c r="S16" s="194"/>
      <c r="T16" s="194"/>
      <c r="U16" s="194"/>
    </row>
    <row r="17" spans="1:21" s="12" customFormat="1" ht="15">
      <c r="A17" s="197" t="s">
        <v>1309</v>
      </c>
      <c r="B17" s="60">
        <v>1.59</v>
      </c>
      <c r="C17" s="60">
        <v>11.55</v>
      </c>
      <c r="D17" s="60">
        <v>13.15</v>
      </c>
      <c r="E17" s="60">
        <v>7.18</v>
      </c>
      <c r="F17" s="60">
        <v>0.74</v>
      </c>
      <c r="G17" s="214" t="s">
        <v>36</v>
      </c>
      <c r="H17" s="60">
        <v>11.37</v>
      </c>
      <c r="I17" s="60">
        <v>7.16</v>
      </c>
      <c r="J17" s="60">
        <v>1.64</v>
      </c>
      <c r="K17" s="60">
        <v>328.48</v>
      </c>
      <c r="L17" s="9" t="s">
        <v>36</v>
      </c>
      <c r="M17" s="60">
        <v>99.10</v>
      </c>
      <c r="N17" s="60">
        <v>0.60</v>
      </c>
      <c r="O17" s="60">
        <v>0</v>
      </c>
      <c r="P17" s="60">
        <v>2.91</v>
      </c>
      <c r="Q17" s="60">
        <v>5.83</v>
      </c>
      <c r="R17" s="194"/>
      <c r="S17" s="194"/>
      <c r="T17" s="194"/>
      <c r="U17" s="194"/>
    </row>
    <row r="18" spans="1:21" s="12" customFormat="1" ht="15">
      <c r="A18" s="197" t="s">
        <v>1310</v>
      </c>
      <c r="B18" s="60">
        <v>1.30</v>
      </c>
      <c r="C18" s="60">
        <v>11.55</v>
      </c>
      <c r="D18" s="60">
        <v>12.85</v>
      </c>
      <c r="E18" s="60">
        <v>6.78</v>
      </c>
      <c r="F18" s="60">
        <v>0.78</v>
      </c>
      <c r="G18" s="214" t="s">
        <v>36</v>
      </c>
      <c r="H18" s="60">
        <v>10.27</v>
      </c>
      <c r="I18" s="60">
        <v>6.93</v>
      </c>
      <c r="J18" s="60">
        <v>1.28</v>
      </c>
      <c r="K18" s="60">
        <v>328.92</v>
      </c>
      <c r="L18" s="9" t="s">
        <v>36</v>
      </c>
      <c r="M18" s="60">
        <v>99.10</v>
      </c>
      <c r="N18" s="60">
        <v>0.30</v>
      </c>
      <c r="O18" s="60">
        <v>0</v>
      </c>
      <c r="P18" s="60">
        <v>2.88</v>
      </c>
      <c r="Q18" s="60">
        <v>5.01</v>
      </c>
      <c r="R18" s="194"/>
      <c r="S18" s="194"/>
      <c r="T18" s="194"/>
      <c r="U18" s="194"/>
    </row>
    <row r="19" spans="1:21" s="12" customFormat="1" ht="15">
      <c r="A19" s="197" t="s">
        <v>1311</v>
      </c>
      <c r="B19" s="60">
        <v>1.21</v>
      </c>
      <c r="C19" s="60">
        <v>11.03</v>
      </c>
      <c r="D19" s="60">
        <v>12.24</v>
      </c>
      <c r="E19" s="60">
        <v>7.20</v>
      </c>
      <c r="F19" s="60">
        <v>1.04</v>
      </c>
      <c r="G19" s="214" t="s">
        <v>36</v>
      </c>
      <c r="H19" s="60">
        <v>10.27</v>
      </c>
      <c r="I19" s="60">
        <v>6.65</v>
      </c>
      <c r="J19" s="60">
        <v>1.22</v>
      </c>
      <c r="K19" s="60">
        <v>323.48</v>
      </c>
      <c r="L19" s="9" t="s">
        <v>36</v>
      </c>
      <c r="M19" s="60">
        <v>99.10</v>
      </c>
      <c r="N19" s="60">
        <v>0.20</v>
      </c>
      <c r="O19" s="60">
        <v>0</v>
      </c>
      <c r="P19" s="60">
        <v>2.86</v>
      </c>
      <c r="Q19" s="60">
        <v>3.85</v>
      </c>
      <c r="R19" s="194"/>
      <c r="S19" s="194"/>
      <c r="T19" s="194"/>
      <c r="U19" s="194"/>
    </row>
    <row r="20" spans="1:21" s="12" customFormat="1" ht="15">
      <c r="A20" s="197" t="s">
        <v>1312</v>
      </c>
      <c r="B20" s="60">
        <v>1.21</v>
      </c>
      <c r="C20" s="60">
        <v>10.5</v>
      </c>
      <c r="D20" s="60">
        <v>11.71</v>
      </c>
      <c r="E20" s="60">
        <v>7.03</v>
      </c>
      <c r="F20" s="60">
        <v>0.40</v>
      </c>
      <c r="G20" s="214" t="s">
        <v>36</v>
      </c>
      <c r="H20" s="60">
        <v>10.27</v>
      </c>
      <c r="I20" s="60">
        <v>6.40</v>
      </c>
      <c r="J20" s="60">
        <v>1.33</v>
      </c>
      <c r="K20" s="60">
        <v>324.95</v>
      </c>
      <c r="L20" s="9" t="s">
        <v>36</v>
      </c>
      <c r="M20" s="60">
        <v>99.10</v>
      </c>
      <c r="N20" s="60">
        <v>0.40</v>
      </c>
      <c r="O20" s="60">
        <v>0</v>
      </c>
      <c r="P20" s="60">
        <v>2.84</v>
      </c>
      <c r="Q20" s="60">
        <v>3.05</v>
      </c>
      <c r="R20" s="194"/>
      <c r="S20" s="194"/>
      <c r="T20" s="194"/>
      <c r="U20" s="194"/>
    </row>
    <row r="21" spans="1:21" s="12" customFormat="1" ht="15">
      <c r="A21" s="197" t="s">
        <v>1313</v>
      </c>
      <c r="B21" s="60">
        <v>1.24</v>
      </c>
      <c r="C21" s="60">
        <v>10.06</v>
      </c>
      <c r="D21" s="60">
        <v>11.30</v>
      </c>
      <c r="E21" s="60">
        <v>7.76</v>
      </c>
      <c r="F21" s="60">
        <v>0.31</v>
      </c>
      <c r="G21" s="214" t="s">
        <v>36</v>
      </c>
      <c r="H21" s="60">
        <v>10.34</v>
      </c>
      <c r="I21" s="60">
        <v>6.27</v>
      </c>
      <c r="J21" s="60">
        <v>1.1000000000000001</v>
      </c>
      <c r="K21" s="60">
        <v>321.58</v>
      </c>
      <c r="L21" s="9" t="s">
        <v>36</v>
      </c>
      <c r="M21" s="60">
        <v>99.10</v>
      </c>
      <c r="N21" s="60">
        <v>0.40</v>
      </c>
      <c r="O21" s="60">
        <v>0</v>
      </c>
      <c r="P21" s="60">
        <v>2.82</v>
      </c>
      <c r="Q21" s="60">
        <v>2.58</v>
      </c>
      <c r="R21" s="194"/>
      <c r="S21" s="194"/>
      <c r="T21" s="194"/>
      <c r="U21" s="194"/>
    </row>
    <row r="22" spans="1:21" s="12" customFormat="1" ht="15">
      <c r="A22" s="197" t="s">
        <v>1314</v>
      </c>
      <c r="B22" s="60">
        <v>1.31</v>
      </c>
      <c r="C22" s="60">
        <v>9.82</v>
      </c>
      <c r="D22" s="60">
        <v>11.13</v>
      </c>
      <c r="E22" s="60">
        <v>7.81</v>
      </c>
      <c r="F22" s="60">
        <v>0.88</v>
      </c>
      <c r="G22" s="214" t="s">
        <v>36</v>
      </c>
      <c r="H22" s="60">
        <v>10.53</v>
      </c>
      <c r="I22" s="60">
        <v>6.16</v>
      </c>
      <c r="J22" s="60">
        <v>0.80</v>
      </c>
      <c r="K22" s="60">
        <v>324.77999999999997</v>
      </c>
      <c r="L22" s="9" t="s">
        <v>36</v>
      </c>
      <c r="M22" s="60">
        <v>99.10</v>
      </c>
      <c r="N22" s="60">
        <v>0.40</v>
      </c>
      <c r="O22" s="60">
        <v>0</v>
      </c>
      <c r="P22" s="60">
        <v>2.81</v>
      </c>
      <c r="Q22" s="60">
        <v>2.39</v>
      </c>
      <c r="R22" s="194"/>
      <c r="S22" s="194"/>
      <c r="T22" s="194"/>
      <c r="U22" s="194"/>
    </row>
    <row r="23" spans="1:21" s="12" customFormat="1" ht="15">
      <c r="A23" s="197" t="s">
        <v>1315</v>
      </c>
      <c r="B23" s="60">
        <v>1.47</v>
      </c>
      <c r="C23" s="60">
        <v>9.6199999999999992</v>
      </c>
      <c r="D23" s="60">
        <v>11.09</v>
      </c>
      <c r="E23" s="60">
        <v>7.37</v>
      </c>
      <c r="F23" s="60">
        <v>0.71</v>
      </c>
      <c r="G23" s="214" t="s">
        <v>36</v>
      </c>
      <c r="H23" s="60">
        <v>10.53</v>
      </c>
      <c r="I23" s="60">
        <v>6.02</v>
      </c>
      <c r="J23" s="60">
        <v>0.78</v>
      </c>
      <c r="K23" s="60">
        <v>331.23</v>
      </c>
      <c r="L23" s="9" t="s">
        <v>36</v>
      </c>
      <c r="M23" s="60">
        <v>99.10</v>
      </c>
      <c r="N23" s="60">
        <v>0.30</v>
      </c>
      <c r="O23" s="60">
        <v>0</v>
      </c>
      <c r="P23" s="60">
        <v>2.81</v>
      </c>
      <c r="Q23" s="60">
        <v>2.31</v>
      </c>
      <c r="R23" s="194"/>
      <c r="S23" s="194"/>
      <c r="T23" s="194"/>
      <c r="U23" s="194"/>
    </row>
    <row r="24" spans="1:21" s="12" customFormat="1" ht="15">
      <c r="A24" s="197" t="s">
        <v>1316</v>
      </c>
      <c r="B24" s="60">
        <v>1.70</v>
      </c>
      <c r="C24" s="60">
        <v>9.59</v>
      </c>
      <c r="D24" s="60">
        <v>11.30</v>
      </c>
      <c r="E24" s="60">
        <v>4.34</v>
      </c>
      <c r="F24" s="60">
        <v>0.51</v>
      </c>
      <c r="G24" s="214" t="s">
        <v>36</v>
      </c>
      <c r="H24" s="60">
        <v>10.53</v>
      </c>
      <c r="I24" s="60">
        <v>5.94</v>
      </c>
      <c r="J24" s="60">
        <v>0.83</v>
      </c>
      <c r="K24" s="60">
        <v>341.63</v>
      </c>
      <c r="L24" s="9" t="s">
        <v>36</v>
      </c>
      <c r="M24" s="60">
        <v>99.10</v>
      </c>
      <c r="N24" s="60">
        <v>0.40</v>
      </c>
      <c r="O24" s="60">
        <v>0</v>
      </c>
      <c r="P24" s="60">
        <v>2.81</v>
      </c>
      <c r="Q24" s="60">
        <v>2.34</v>
      </c>
      <c r="R24" s="194"/>
      <c r="S24" s="194"/>
      <c r="T24" s="194"/>
      <c r="U24" s="194"/>
    </row>
    <row r="25" spans="1:21" s="12" customFormat="1" ht="15">
      <c r="A25" s="197" t="s">
        <v>1317</v>
      </c>
      <c r="B25" s="60">
        <v>1.98</v>
      </c>
      <c r="C25" s="60">
        <v>9.8800000000000008</v>
      </c>
      <c r="D25" s="60">
        <v>11.86</v>
      </c>
      <c r="E25" s="60">
        <v>8.11</v>
      </c>
      <c r="F25" s="60">
        <v>0.34</v>
      </c>
      <c r="G25" s="214" t="s">
        <v>36</v>
      </c>
      <c r="H25" s="60">
        <v>11.84</v>
      </c>
      <c r="I25" s="60">
        <v>5.92</v>
      </c>
      <c r="J25" s="60">
        <v>1.42</v>
      </c>
      <c r="K25" s="60">
        <v>352.67</v>
      </c>
      <c r="L25" s="9" t="s">
        <v>36</v>
      </c>
      <c r="M25" s="60">
        <v>99.10</v>
      </c>
      <c r="N25" s="60">
        <v>0.40</v>
      </c>
      <c r="O25" s="60">
        <v>0</v>
      </c>
      <c r="P25" s="60">
        <v>2.81</v>
      </c>
      <c r="Q25" s="60">
        <v>2.58</v>
      </c>
      <c r="R25" s="194"/>
      <c r="S25" s="194"/>
      <c r="T25" s="194"/>
      <c r="U25" s="194"/>
    </row>
    <row r="26" spans="1:21" s="12" customFormat="1" ht="15">
      <c r="A26" s="197" t="s">
        <v>1318</v>
      </c>
      <c r="B26" s="60">
        <v>2.2200000000000002</v>
      </c>
      <c r="C26" s="60">
        <v>10.70</v>
      </c>
      <c r="D26" s="60">
        <v>12.92</v>
      </c>
      <c r="E26" s="60">
        <v>8.76</v>
      </c>
      <c r="F26" s="60">
        <v>0.19</v>
      </c>
      <c r="G26" s="214" t="s">
        <v>36</v>
      </c>
      <c r="H26" s="60">
        <v>15.07</v>
      </c>
      <c r="I26" s="60">
        <v>5.97</v>
      </c>
      <c r="J26" s="60">
        <v>1.41</v>
      </c>
      <c r="K26" s="60">
        <v>353.89</v>
      </c>
      <c r="L26" s="9" t="s">
        <v>36</v>
      </c>
      <c r="M26" s="60">
        <v>99.10</v>
      </c>
      <c r="N26" s="60">
        <v>0.40</v>
      </c>
      <c r="O26" s="60">
        <v>0</v>
      </c>
      <c r="P26" s="60">
        <v>2.82</v>
      </c>
      <c r="Q26" s="60">
        <v>3.24</v>
      </c>
      <c r="R26" s="194"/>
      <c r="S26" s="194"/>
      <c r="T26" s="194"/>
      <c r="U26" s="194"/>
    </row>
    <row r="27" spans="1:21" s="12" customFormat="1" ht="15">
      <c r="A27" s="197" t="s">
        <v>1319</v>
      </c>
      <c r="B27" s="60">
        <v>2.37</v>
      </c>
      <c r="C27" s="60">
        <v>10.88</v>
      </c>
      <c r="D27" s="60">
        <v>13.25</v>
      </c>
      <c r="E27" s="60">
        <v>8.3800000000000008</v>
      </c>
      <c r="F27" s="60">
        <v>0.45</v>
      </c>
      <c r="G27" s="214" t="s">
        <v>36</v>
      </c>
      <c r="H27" s="60">
        <v>15.07</v>
      </c>
      <c r="I27" s="60">
        <v>6</v>
      </c>
      <c r="J27" s="60">
        <v>1.54</v>
      </c>
      <c r="K27" s="60">
        <v>357.86</v>
      </c>
      <c r="L27" s="9" t="s">
        <v>36</v>
      </c>
      <c r="M27" s="60">
        <v>99.10</v>
      </c>
      <c r="N27" s="60">
        <v>0.60</v>
      </c>
      <c r="O27" s="60">
        <v>0</v>
      </c>
      <c r="P27" s="60">
        <v>2.82</v>
      </c>
      <c r="Q27" s="60">
        <v>4.30</v>
      </c>
      <c r="R27" s="194"/>
      <c r="S27" s="194"/>
      <c r="T27" s="194"/>
      <c r="U27" s="194"/>
    </row>
    <row r="28" spans="1:21" s="12" customFormat="1" ht="15">
      <c r="A28" s="197" t="s">
        <v>1320</v>
      </c>
      <c r="B28" s="60">
        <v>2.56</v>
      </c>
      <c r="C28" s="60">
        <v>10.93</v>
      </c>
      <c r="D28" s="60">
        <v>13.49</v>
      </c>
      <c r="E28" s="60">
        <v>8.16</v>
      </c>
      <c r="F28" s="60">
        <v>0.28999999999999998</v>
      </c>
      <c r="G28" s="214" t="s">
        <v>36</v>
      </c>
      <c r="H28" s="60">
        <v>15.07</v>
      </c>
      <c r="I28" s="60">
        <v>6.14</v>
      </c>
      <c r="J28" s="60">
        <v>1.19</v>
      </c>
      <c r="K28" s="60">
        <v>357.99</v>
      </c>
      <c r="L28" s="9" t="s">
        <v>36</v>
      </c>
      <c r="M28" s="60">
        <v>99.10</v>
      </c>
      <c r="N28" s="60">
        <v>0.60</v>
      </c>
      <c r="O28" s="60">
        <v>0</v>
      </c>
      <c r="P28" s="60">
        <v>2.81</v>
      </c>
      <c r="Q28" s="60">
        <v>5.19</v>
      </c>
      <c r="R28" s="194"/>
      <c r="S28" s="194"/>
      <c r="T28" s="194"/>
      <c r="U28" s="194"/>
    </row>
    <row r="29" spans="1:21" s="12" customFormat="1" ht="15">
      <c r="A29" s="197" t="s">
        <v>1321</v>
      </c>
      <c r="B29" s="60">
        <v>2.88</v>
      </c>
      <c r="C29" s="60">
        <v>11.12</v>
      </c>
      <c r="D29" s="60">
        <v>14</v>
      </c>
      <c r="E29" s="60">
        <v>8.3699999999999992</v>
      </c>
      <c r="F29" s="60">
        <v>0.14000000000000001</v>
      </c>
      <c r="G29" s="214" t="s">
        <v>36</v>
      </c>
      <c r="H29" s="60">
        <v>15.53</v>
      </c>
      <c r="I29" s="60">
        <v>6.09</v>
      </c>
      <c r="J29" s="60">
        <v>0.76</v>
      </c>
      <c r="K29" s="60">
        <v>2.29</v>
      </c>
      <c r="L29" s="9" t="s">
        <v>36</v>
      </c>
      <c r="M29" s="60">
        <v>99.10</v>
      </c>
      <c r="N29" s="60">
        <v>1.1000000000000001</v>
      </c>
      <c r="O29" s="60">
        <v>0</v>
      </c>
      <c r="P29" s="60">
        <v>2.81</v>
      </c>
      <c r="Q29" s="60">
        <v>5.78</v>
      </c>
      <c r="R29" s="194"/>
      <c r="S29" s="194"/>
      <c r="T29" s="194"/>
      <c r="U29" s="194"/>
    </row>
    <row r="30" spans="1:21" s="12" customFormat="1" ht="15">
      <c r="A30" s="197" t="s">
        <v>1322</v>
      </c>
      <c r="B30" s="60">
        <v>3.38</v>
      </c>
      <c r="C30" s="60">
        <v>11.56</v>
      </c>
      <c r="D30" s="60">
        <v>14.95</v>
      </c>
      <c r="E30" s="60">
        <v>7.85</v>
      </c>
      <c r="F30" s="60">
        <v>0.04</v>
      </c>
      <c r="G30" s="214" t="s">
        <v>36</v>
      </c>
      <c r="H30" s="60">
        <v>16.649999999999999</v>
      </c>
      <c r="I30" s="60">
        <v>6.04</v>
      </c>
      <c r="J30" s="60">
        <v>1.38</v>
      </c>
      <c r="K30" s="60">
        <v>0.71</v>
      </c>
      <c r="L30" s="9" t="s">
        <v>36</v>
      </c>
      <c r="M30" s="60">
        <v>98.78</v>
      </c>
      <c r="N30" s="60">
        <v>5.0999999999999996</v>
      </c>
      <c r="O30" s="60">
        <v>0</v>
      </c>
      <c r="P30" s="60">
        <v>2.81</v>
      </c>
      <c r="Q30" s="60">
        <v>6.05</v>
      </c>
      <c r="R30" s="194"/>
      <c r="S30" s="194"/>
      <c r="T30" s="194"/>
      <c r="U30" s="194"/>
    </row>
    <row r="31" spans="1:21" s="12" customFormat="1" ht="15">
      <c r="A31" s="197" t="s">
        <v>1323</v>
      </c>
      <c r="B31" s="60">
        <v>3.85</v>
      </c>
      <c r="C31" s="60">
        <v>11.84</v>
      </c>
      <c r="D31" s="60">
        <v>15.69</v>
      </c>
      <c r="E31" s="60">
        <v>7.84</v>
      </c>
      <c r="F31" s="60">
        <v>0.09</v>
      </c>
      <c r="G31" s="214" t="s">
        <v>36</v>
      </c>
      <c r="H31" s="60">
        <v>16.649999999999999</v>
      </c>
      <c r="I31" s="60">
        <v>5.98</v>
      </c>
      <c r="J31" s="60">
        <v>0.83</v>
      </c>
      <c r="K31" s="60">
        <v>4.22</v>
      </c>
      <c r="L31" s="9" t="s">
        <v>36</v>
      </c>
      <c r="M31" s="60">
        <v>98.26</v>
      </c>
      <c r="N31" s="60">
        <v>10.80</v>
      </c>
      <c r="O31" s="60">
        <v>0</v>
      </c>
      <c r="P31" s="60">
        <v>2.82</v>
      </c>
      <c r="Q31" s="60">
        <v>6.28</v>
      </c>
      <c r="R31" s="194"/>
      <c r="S31" s="194"/>
      <c r="T31" s="194"/>
      <c r="U31" s="194"/>
    </row>
    <row r="32" spans="1:21" s="12" customFormat="1" ht="15">
      <c r="A32" s="197" t="s">
        <v>1324</v>
      </c>
      <c r="B32" s="60">
        <v>4.41</v>
      </c>
      <c r="C32" s="60">
        <v>12.06</v>
      </c>
      <c r="D32" s="60">
        <v>16.47</v>
      </c>
      <c r="E32" s="60">
        <v>7.60</v>
      </c>
      <c r="F32" s="60">
        <v>0.11</v>
      </c>
      <c r="G32" s="214" t="s">
        <v>36</v>
      </c>
      <c r="H32" s="60">
        <v>16.649999999999999</v>
      </c>
      <c r="I32" s="60">
        <v>5.89</v>
      </c>
      <c r="J32" s="60">
        <v>0.89</v>
      </c>
      <c r="K32" s="60">
        <v>8.26</v>
      </c>
      <c r="L32" s="9" t="s">
        <v>36</v>
      </c>
      <c r="M32" s="60">
        <v>97.43</v>
      </c>
      <c r="N32" s="60">
        <v>28.70</v>
      </c>
      <c r="O32" s="60">
        <v>0</v>
      </c>
      <c r="P32" s="60">
        <v>2.82</v>
      </c>
      <c r="Q32" s="60">
        <v>6.45</v>
      </c>
      <c r="R32" s="194"/>
      <c r="S32" s="194"/>
      <c r="T32" s="194"/>
      <c r="U32" s="194"/>
    </row>
    <row r="33" spans="1:21" s="12" customFormat="1" ht="15">
      <c r="A33" s="197" t="s">
        <v>1325</v>
      </c>
      <c r="B33" s="60">
        <v>5.0199999999999996</v>
      </c>
      <c r="C33" s="60">
        <v>11.96</v>
      </c>
      <c r="D33" s="60">
        <v>16.98</v>
      </c>
      <c r="E33" s="60">
        <v>7.95</v>
      </c>
      <c r="F33" s="60">
        <v>0.10</v>
      </c>
      <c r="G33" s="214" t="s">
        <v>36</v>
      </c>
      <c r="H33" s="60">
        <v>16.73</v>
      </c>
      <c r="I33" s="60">
        <v>5.76</v>
      </c>
      <c r="J33" s="60">
        <v>0.72</v>
      </c>
      <c r="K33" s="60">
        <v>12.89</v>
      </c>
      <c r="L33" s="9" t="s">
        <v>36</v>
      </c>
      <c r="M33" s="60">
        <v>96.70</v>
      </c>
      <c r="N33" s="60">
        <v>43.30</v>
      </c>
      <c r="O33" s="60">
        <v>0</v>
      </c>
      <c r="P33" s="60">
        <v>2.82</v>
      </c>
      <c r="Q33" s="60">
        <v>5.65</v>
      </c>
      <c r="R33" s="194"/>
      <c r="S33" s="194"/>
      <c r="T33" s="194"/>
      <c r="U33" s="194"/>
    </row>
    <row r="34" spans="1:21" s="12" customFormat="1" ht="15">
      <c r="A34" s="197" t="s">
        <v>1326</v>
      </c>
      <c r="B34" s="60">
        <v>5.73</v>
      </c>
      <c r="C34" s="60">
        <v>11.71</v>
      </c>
      <c r="D34" s="60">
        <v>17.440000000000001</v>
      </c>
      <c r="E34" s="60">
        <v>8.06</v>
      </c>
      <c r="F34" s="60">
        <v>0.15</v>
      </c>
      <c r="G34" s="214" t="s">
        <v>36</v>
      </c>
      <c r="H34" s="60">
        <v>16.940000000000001</v>
      </c>
      <c r="I34" s="60">
        <v>5.53</v>
      </c>
      <c r="J34" s="60">
        <v>0.64</v>
      </c>
      <c r="K34" s="60">
        <v>23.36</v>
      </c>
      <c r="L34" s="9" t="s">
        <v>36</v>
      </c>
      <c r="M34" s="60">
        <v>96.27</v>
      </c>
      <c r="N34" s="60">
        <v>65.599999999999994</v>
      </c>
      <c r="O34" s="60">
        <v>0</v>
      </c>
      <c r="P34" s="60">
        <v>2.81</v>
      </c>
      <c r="Q34" s="60">
        <v>4.88</v>
      </c>
      <c r="R34" s="194"/>
      <c r="S34" s="194"/>
      <c r="T34" s="194"/>
      <c r="U34" s="194"/>
    </row>
    <row r="35" spans="1:21" s="12" customFormat="1" ht="15">
      <c r="A35" s="197" t="s">
        <v>1327</v>
      </c>
      <c r="B35" s="60">
        <v>6.71</v>
      </c>
      <c r="C35" s="60">
        <v>11.49</v>
      </c>
      <c r="D35" s="60">
        <v>18.190000000000001</v>
      </c>
      <c r="E35" s="60">
        <v>8.14</v>
      </c>
      <c r="F35" s="60">
        <v>0.11</v>
      </c>
      <c r="G35" s="214" t="s">
        <v>36</v>
      </c>
      <c r="H35" s="60">
        <v>16.940000000000001</v>
      </c>
      <c r="I35" s="60">
        <v>5.21</v>
      </c>
      <c r="J35" s="60">
        <v>0.75</v>
      </c>
      <c r="K35" s="60">
        <v>48.38</v>
      </c>
      <c r="L35" s="9" t="s">
        <v>36</v>
      </c>
      <c r="M35" s="60">
        <v>93.37</v>
      </c>
      <c r="N35" s="60">
        <v>215.20</v>
      </c>
      <c r="O35" s="60">
        <v>0</v>
      </c>
      <c r="P35" s="60">
        <v>2.82</v>
      </c>
      <c r="Q35" s="60">
        <v>4.5999999999999996</v>
      </c>
      <c r="R35" s="194"/>
      <c r="S35" s="194"/>
      <c r="T35" s="194"/>
      <c r="U35" s="194"/>
    </row>
    <row r="36" spans="1:21" s="12" customFormat="1" ht="15">
      <c r="A36" s="197" t="s">
        <v>1328</v>
      </c>
      <c r="B36" s="60">
        <v>7.67</v>
      </c>
      <c r="C36" s="60">
        <v>11.44</v>
      </c>
      <c r="D36" s="60">
        <v>19.11</v>
      </c>
      <c r="E36" s="60">
        <v>8.27</v>
      </c>
      <c r="F36" s="60">
        <v>0.08</v>
      </c>
      <c r="G36" s="214" t="s">
        <v>36</v>
      </c>
      <c r="H36" s="60">
        <v>16.940000000000001</v>
      </c>
      <c r="I36" s="60">
        <v>5.36</v>
      </c>
      <c r="J36" s="60">
        <v>0.76</v>
      </c>
      <c r="K36" s="60">
        <v>25.25</v>
      </c>
      <c r="L36" s="9" t="s">
        <v>36</v>
      </c>
      <c r="M36" s="60">
        <v>87.39</v>
      </c>
      <c r="N36" s="60">
        <v>274</v>
      </c>
      <c r="O36" s="60">
        <v>0</v>
      </c>
      <c r="P36" s="60">
        <v>2.82</v>
      </c>
      <c r="Q36" s="60">
        <v>4.6399999999999997</v>
      </c>
      <c r="R36" s="194"/>
      <c r="S36" s="194"/>
      <c r="T36" s="194"/>
      <c r="U36" s="194"/>
    </row>
    <row r="37" spans="1:21" s="12" customFormat="1" ht="15">
      <c r="A37" s="197" t="s">
        <v>1329</v>
      </c>
      <c r="B37" s="60">
        <v>8.56</v>
      </c>
      <c r="C37" s="60">
        <v>11.39</v>
      </c>
      <c r="D37" s="60">
        <v>19.95</v>
      </c>
      <c r="E37" s="60">
        <v>8.0399999999999991</v>
      </c>
      <c r="F37" s="60">
        <v>0.31</v>
      </c>
      <c r="G37" s="214" t="s">
        <v>36</v>
      </c>
      <c r="H37" s="60">
        <v>16.47</v>
      </c>
      <c r="I37" s="60">
        <v>5.38</v>
      </c>
      <c r="J37" s="60">
        <v>0.97</v>
      </c>
      <c r="K37" s="60">
        <v>61.72</v>
      </c>
      <c r="L37" s="9" t="s">
        <v>36</v>
      </c>
      <c r="M37" s="60">
        <v>84.53</v>
      </c>
      <c r="N37" s="60">
        <v>260.80</v>
      </c>
      <c r="O37" s="60">
        <v>0</v>
      </c>
      <c r="P37" s="60">
        <v>2.82</v>
      </c>
      <c r="Q37" s="60">
        <v>4.78</v>
      </c>
      <c r="R37" s="194"/>
      <c r="S37" s="194"/>
      <c r="T37" s="194"/>
      <c r="U37" s="194"/>
    </row>
    <row r="38" spans="1:21" s="12" customFormat="1" ht="15">
      <c r="A38" s="197" t="s">
        <v>1330</v>
      </c>
      <c r="B38" s="60">
        <v>9.19</v>
      </c>
      <c r="C38" s="60">
        <v>11.35</v>
      </c>
      <c r="D38" s="60">
        <v>20.54</v>
      </c>
      <c r="E38" s="60">
        <v>8.76</v>
      </c>
      <c r="F38" s="60">
        <v>0.22</v>
      </c>
      <c r="G38" s="214" t="s">
        <v>36</v>
      </c>
      <c r="H38" s="60">
        <v>15.33</v>
      </c>
      <c r="I38" s="60">
        <v>5.25</v>
      </c>
      <c r="J38" s="60">
        <v>0.92</v>
      </c>
      <c r="K38" s="60">
        <v>60.31</v>
      </c>
      <c r="L38" s="9" t="s">
        <v>36</v>
      </c>
      <c r="M38" s="60">
        <v>82.81</v>
      </c>
      <c r="N38" s="60">
        <v>326.60000000000002</v>
      </c>
      <c r="O38" s="60">
        <v>0</v>
      </c>
      <c r="P38" s="60">
        <v>2.82</v>
      </c>
      <c r="Q38" s="60">
        <v>4.88</v>
      </c>
      <c r="R38" s="194"/>
      <c r="S38" s="194"/>
      <c r="T38" s="194"/>
      <c r="U38" s="194"/>
    </row>
    <row r="39" spans="1:21" s="12" customFormat="1" ht="15">
      <c r="A39" s="197" t="s">
        <v>1331</v>
      </c>
      <c r="B39" s="60">
        <v>9.75</v>
      </c>
      <c r="C39" s="60">
        <v>11.25</v>
      </c>
      <c r="D39" s="60">
        <v>21</v>
      </c>
      <c r="E39" s="60">
        <v>8.92</v>
      </c>
      <c r="F39" s="60">
        <v>0.26</v>
      </c>
      <c r="G39" s="214" t="s">
        <v>36</v>
      </c>
      <c r="H39" s="60">
        <v>15.33</v>
      </c>
      <c r="I39" s="60">
        <v>5.28</v>
      </c>
      <c r="J39" s="60">
        <v>1.05</v>
      </c>
      <c r="K39" s="60">
        <v>65.34</v>
      </c>
      <c r="L39" s="9" t="s">
        <v>36</v>
      </c>
      <c r="M39" s="60">
        <v>81.75</v>
      </c>
      <c r="N39" s="60">
        <v>344</v>
      </c>
      <c r="O39" s="60">
        <v>0</v>
      </c>
      <c r="P39" s="60">
        <v>2.81</v>
      </c>
      <c r="Q39" s="60">
        <v>5</v>
      </c>
      <c r="R39" s="194"/>
      <c r="S39" s="194"/>
      <c r="T39" s="194"/>
      <c r="U39" s="194"/>
    </row>
    <row r="40" spans="1:21" s="12" customFormat="1" ht="15">
      <c r="A40" s="197" t="s">
        <v>1332</v>
      </c>
      <c r="B40" s="60">
        <v>10.5</v>
      </c>
      <c r="C40" s="60">
        <v>11.79</v>
      </c>
      <c r="D40" s="60">
        <v>22.28</v>
      </c>
      <c r="E40" s="60">
        <v>4.49</v>
      </c>
      <c r="F40" s="60">
        <v>0.09</v>
      </c>
      <c r="G40" s="214" t="s">
        <v>36</v>
      </c>
      <c r="H40" s="60">
        <v>15.33</v>
      </c>
      <c r="I40" s="60">
        <v>5.56</v>
      </c>
      <c r="J40" s="60">
        <v>0.97</v>
      </c>
      <c r="K40" s="60">
        <v>16.13</v>
      </c>
      <c r="L40" s="9" t="s">
        <v>36</v>
      </c>
      <c r="M40" s="60">
        <v>76.97</v>
      </c>
      <c r="N40" s="60">
        <v>437.10</v>
      </c>
      <c r="O40" s="60">
        <v>0</v>
      </c>
      <c r="P40" s="60">
        <v>2.81</v>
      </c>
      <c r="Q40" s="60">
        <v>5.55</v>
      </c>
      <c r="R40" s="194"/>
      <c r="S40" s="194"/>
      <c r="T40" s="194"/>
      <c r="U40" s="194"/>
    </row>
    <row r="41" spans="1:21" s="12" customFormat="1" ht="15">
      <c r="A41" s="197" t="s">
        <v>1333</v>
      </c>
      <c r="B41" s="60">
        <v>11.44</v>
      </c>
      <c r="C41" s="60">
        <v>12.31</v>
      </c>
      <c r="D41" s="60">
        <v>23.75</v>
      </c>
      <c r="E41" s="60">
        <v>8</v>
      </c>
      <c r="F41" s="60">
        <v>0.25</v>
      </c>
      <c r="G41" s="214" t="s">
        <v>36</v>
      </c>
      <c r="H41" s="60">
        <v>15.44</v>
      </c>
      <c r="I41" s="60">
        <v>5.60</v>
      </c>
      <c r="J41" s="60">
        <v>1</v>
      </c>
      <c r="K41" s="60">
        <v>17.98</v>
      </c>
      <c r="L41" s="9" t="s">
        <v>36</v>
      </c>
      <c r="M41" s="60">
        <v>75.709999999999994</v>
      </c>
      <c r="N41" s="60">
        <v>411.80</v>
      </c>
      <c r="O41" s="60">
        <v>0</v>
      </c>
      <c r="P41" s="60">
        <v>2.82</v>
      </c>
      <c r="Q41" s="60">
        <v>6.72</v>
      </c>
      <c r="R41" s="194"/>
      <c r="S41" s="194"/>
      <c r="T41" s="194"/>
      <c r="U41" s="194"/>
    </row>
    <row r="42" spans="1:21" s="12" customFormat="1" ht="15">
      <c r="A42" s="197" t="s">
        <v>1334</v>
      </c>
      <c r="B42" s="60">
        <v>11.81</v>
      </c>
      <c r="C42" s="60">
        <v>13.25</v>
      </c>
      <c r="D42" s="60">
        <v>25.06</v>
      </c>
      <c r="E42" s="60">
        <v>8</v>
      </c>
      <c r="F42" s="60">
        <v>0.20</v>
      </c>
      <c r="G42" s="214" t="s">
        <v>36</v>
      </c>
      <c r="H42" s="60">
        <v>15.72</v>
      </c>
      <c r="I42" s="60">
        <v>5.76</v>
      </c>
      <c r="J42" s="60">
        <v>1.1200000000000001</v>
      </c>
      <c r="K42" s="60">
        <v>36.15</v>
      </c>
      <c r="L42" s="9" t="s">
        <v>36</v>
      </c>
      <c r="M42" s="60">
        <v>77.47</v>
      </c>
      <c r="N42" s="60">
        <v>168.10</v>
      </c>
      <c r="O42" s="60">
        <v>0</v>
      </c>
      <c r="P42" s="60">
        <v>2.82</v>
      </c>
      <c r="Q42" s="60">
        <v>7.92</v>
      </c>
      <c r="R42" s="194"/>
      <c r="S42" s="194"/>
      <c r="T42" s="194"/>
      <c r="U42" s="194"/>
    </row>
    <row r="43" spans="1:21" s="12" customFormat="1" ht="15">
      <c r="A43" s="197" t="s">
        <v>1335</v>
      </c>
      <c r="B43" s="60">
        <v>11.88</v>
      </c>
      <c r="C43" s="60">
        <v>13.82</v>
      </c>
      <c r="D43" s="60">
        <v>25.70</v>
      </c>
      <c r="E43" s="60">
        <v>8.09</v>
      </c>
      <c r="F43" s="60">
        <v>0.32</v>
      </c>
      <c r="G43" s="214" t="s">
        <v>36</v>
      </c>
      <c r="H43" s="60">
        <v>15.72</v>
      </c>
      <c r="I43" s="60">
        <v>5.59</v>
      </c>
      <c r="J43" s="60">
        <v>1.41</v>
      </c>
      <c r="K43" s="60">
        <v>73.08</v>
      </c>
      <c r="L43" s="9" t="s">
        <v>36</v>
      </c>
      <c r="M43" s="60">
        <v>80.069999999999993</v>
      </c>
      <c r="N43" s="60">
        <v>112.70</v>
      </c>
      <c r="O43" s="60">
        <v>0</v>
      </c>
      <c r="P43" s="60">
        <v>2.81</v>
      </c>
      <c r="Q43" s="60">
        <v>8.6199999999999992</v>
      </c>
      <c r="R43" s="194"/>
      <c r="S43" s="194"/>
      <c r="T43" s="194"/>
      <c r="U43" s="194"/>
    </row>
    <row r="44" spans="1:21" s="12" customFormat="1" ht="15">
      <c r="A44" s="197" t="s">
        <v>1336</v>
      </c>
      <c r="B44" s="60">
        <v>11.76</v>
      </c>
      <c r="C44" s="60">
        <v>14.01</v>
      </c>
      <c r="D44" s="60">
        <v>25.76</v>
      </c>
      <c r="E44" s="60">
        <v>7.80</v>
      </c>
      <c r="F44" s="60">
        <v>0.31</v>
      </c>
      <c r="G44" s="214" t="s">
        <v>36</v>
      </c>
      <c r="H44" s="60">
        <v>15.72</v>
      </c>
      <c r="I44" s="60">
        <v>5.57</v>
      </c>
      <c r="J44" s="60">
        <v>1.1399999999999999</v>
      </c>
      <c r="K44" s="60">
        <v>81.05</v>
      </c>
      <c r="L44" s="9" t="s">
        <v>36</v>
      </c>
      <c r="M44" s="60">
        <v>80.87</v>
      </c>
      <c r="N44" s="60">
        <v>106.30</v>
      </c>
      <c r="O44" s="60">
        <v>0</v>
      </c>
      <c r="P44" s="60">
        <v>2.81</v>
      </c>
      <c r="Q44" s="60">
        <v>8.91</v>
      </c>
      <c r="R44" s="194"/>
      <c r="S44" s="194"/>
      <c r="T44" s="194"/>
      <c r="U44" s="194"/>
    </row>
    <row r="45" spans="1:21" s="12" customFormat="1" ht="15">
      <c r="A45" s="197" t="s">
        <v>1337</v>
      </c>
      <c r="B45" s="60">
        <v>11.68</v>
      </c>
      <c r="C45" s="60">
        <v>14.01</v>
      </c>
      <c r="D45" s="60">
        <v>25.69</v>
      </c>
      <c r="E45" s="60">
        <v>8.0399999999999991</v>
      </c>
      <c r="F45" s="60">
        <v>0.41</v>
      </c>
      <c r="G45" s="214" t="s">
        <v>36</v>
      </c>
      <c r="H45" s="60">
        <v>14.55</v>
      </c>
      <c r="I45" s="60">
        <v>5.54</v>
      </c>
      <c r="J45" s="60">
        <v>1.33</v>
      </c>
      <c r="K45" s="60">
        <v>81.099999999999994</v>
      </c>
      <c r="L45" s="9" t="s">
        <v>36</v>
      </c>
      <c r="M45" s="60">
        <v>81</v>
      </c>
      <c r="N45" s="60">
        <v>143.90</v>
      </c>
      <c r="O45" s="60">
        <v>0</v>
      </c>
      <c r="P45" s="60">
        <v>2.80</v>
      </c>
      <c r="Q45" s="60">
        <v>9.0299999999999994</v>
      </c>
      <c r="R45" s="194"/>
      <c r="S45" s="194"/>
      <c r="T45" s="194"/>
      <c r="U45" s="194"/>
    </row>
    <row r="46" spans="1:21" s="12" customFormat="1" ht="15">
      <c r="A46" s="197" t="s">
        <v>1338</v>
      </c>
      <c r="B46" s="60">
        <v>11.44</v>
      </c>
      <c r="C46" s="60">
        <v>13.98</v>
      </c>
      <c r="D46" s="60">
        <v>25.43</v>
      </c>
      <c r="E46" s="60">
        <v>7.56</v>
      </c>
      <c r="F46" s="60">
        <v>0.070000000000000007</v>
      </c>
      <c r="G46" s="214" t="s">
        <v>36</v>
      </c>
      <c r="H46" s="60">
        <v>11.67</v>
      </c>
      <c r="I46" s="60">
        <v>5.45</v>
      </c>
      <c r="J46" s="60">
        <v>1.06</v>
      </c>
      <c r="K46" s="60">
        <v>74.39</v>
      </c>
      <c r="L46" s="9" t="s">
        <v>36</v>
      </c>
      <c r="M46" s="60">
        <v>80.69</v>
      </c>
      <c r="N46" s="60">
        <v>211.20</v>
      </c>
      <c r="O46" s="60">
        <v>0</v>
      </c>
      <c r="P46" s="60">
        <v>2.80</v>
      </c>
      <c r="Q46" s="60">
        <v>8.93</v>
      </c>
      <c r="R46" s="194"/>
      <c r="S46" s="194"/>
      <c r="T46" s="194"/>
      <c r="U46" s="194"/>
    </row>
    <row r="47" spans="1:21" s="12" customFormat="1" ht="15">
      <c r="A47" s="197" t="s">
        <v>1339</v>
      </c>
      <c r="B47" s="60">
        <v>11.26</v>
      </c>
      <c r="C47" s="60">
        <v>14.09</v>
      </c>
      <c r="D47" s="60">
        <v>25.35</v>
      </c>
      <c r="E47" s="60">
        <v>7.46</v>
      </c>
      <c r="F47" s="60">
        <v>0.13</v>
      </c>
      <c r="G47" s="214" t="s">
        <v>36</v>
      </c>
      <c r="H47" s="60">
        <v>11.67</v>
      </c>
      <c r="I47" s="60">
        <v>5.40</v>
      </c>
      <c r="J47" s="60">
        <v>0.77</v>
      </c>
      <c r="K47" s="60">
        <v>58.56</v>
      </c>
      <c r="L47" s="9" t="s">
        <v>36</v>
      </c>
      <c r="M47" s="60">
        <v>80.27</v>
      </c>
      <c r="N47" s="60">
        <v>275.80</v>
      </c>
      <c r="O47" s="60">
        <v>0</v>
      </c>
      <c r="P47" s="60">
        <v>2.80</v>
      </c>
      <c r="Q47" s="60">
        <v>8.44</v>
      </c>
      <c r="R47" s="194"/>
      <c r="S47" s="194"/>
      <c r="T47" s="194"/>
      <c r="U47" s="194"/>
    </row>
    <row r="48" spans="1:21" s="12" customFormat="1" ht="15">
      <c r="A48" s="197" t="s">
        <v>1340</v>
      </c>
      <c r="B48" s="60">
        <v>11.21</v>
      </c>
      <c r="C48" s="60">
        <v>13.76</v>
      </c>
      <c r="D48" s="60">
        <v>24.97</v>
      </c>
      <c r="E48" s="60">
        <v>7.54</v>
      </c>
      <c r="F48" s="60">
        <v>0.16</v>
      </c>
      <c r="G48" s="214" t="s">
        <v>36</v>
      </c>
      <c r="H48" s="60">
        <v>11.67</v>
      </c>
      <c r="I48" s="60">
        <v>5.34</v>
      </c>
      <c r="J48" s="60">
        <v>0.82</v>
      </c>
      <c r="K48" s="60">
        <v>54.73</v>
      </c>
      <c r="L48" s="9" t="s">
        <v>36</v>
      </c>
      <c r="M48" s="60">
        <v>76.69</v>
      </c>
      <c r="N48" s="60">
        <v>634.20000000000005</v>
      </c>
      <c r="O48" s="60">
        <v>0</v>
      </c>
      <c r="P48" s="60">
        <v>2.81</v>
      </c>
      <c r="Q48" s="60">
        <v>7.26</v>
      </c>
      <c r="R48" s="194"/>
      <c r="S48" s="194"/>
      <c r="T48" s="194"/>
      <c r="U48" s="194"/>
    </row>
    <row r="49" spans="1:21" s="12" customFormat="1" ht="15">
      <c r="A49" s="197" t="s">
        <v>1341</v>
      </c>
      <c r="B49" s="60">
        <v>11.05</v>
      </c>
      <c r="C49" s="60">
        <v>13.73</v>
      </c>
      <c r="D49" s="60">
        <v>24.78</v>
      </c>
      <c r="E49" s="60">
        <v>7.84</v>
      </c>
      <c r="F49" s="60">
        <v>0.34</v>
      </c>
      <c r="G49" s="214" t="s">
        <v>36</v>
      </c>
      <c r="H49" s="60">
        <v>11.63</v>
      </c>
      <c r="I49" s="60">
        <v>5.20</v>
      </c>
      <c r="J49" s="60">
        <v>0.98</v>
      </c>
      <c r="K49" s="60">
        <v>23.07</v>
      </c>
      <c r="L49" s="9" t="s">
        <v>36</v>
      </c>
      <c r="M49" s="60">
        <v>73.58</v>
      </c>
      <c r="N49" s="60">
        <v>374.30</v>
      </c>
      <c r="O49" s="60">
        <v>0</v>
      </c>
      <c r="P49" s="60">
        <v>2.82</v>
      </c>
      <c r="Q49" s="60">
        <v>6.49</v>
      </c>
      <c r="R49" s="194"/>
      <c r="S49" s="194"/>
      <c r="T49" s="194"/>
      <c r="U49" s="194"/>
    </row>
    <row r="50" spans="1:21" s="12" customFormat="1" ht="15">
      <c r="A50" s="197" t="s">
        <v>1342</v>
      </c>
      <c r="B50" s="60">
        <v>10.85</v>
      </c>
      <c r="C50" s="60">
        <v>14.17</v>
      </c>
      <c r="D50" s="60">
        <v>25.02</v>
      </c>
      <c r="E50" s="60">
        <v>7.83</v>
      </c>
      <c r="F50" s="60">
        <v>0.28000000000000003</v>
      </c>
      <c r="G50" s="214" t="s">
        <v>36</v>
      </c>
      <c r="H50" s="60">
        <v>11.54</v>
      </c>
      <c r="I50" s="60">
        <v>5.0199999999999996</v>
      </c>
      <c r="J50" s="60">
        <v>0.79</v>
      </c>
      <c r="K50" s="60">
        <v>45.22</v>
      </c>
      <c r="L50" s="9" t="s">
        <v>36</v>
      </c>
      <c r="M50" s="60">
        <v>73.510000000000005</v>
      </c>
      <c r="N50" s="60">
        <v>521.40</v>
      </c>
      <c r="O50" s="60">
        <v>0</v>
      </c>
      <c r="P50" s="60">
        <v>2.84</v>
      </c>
      <c r="Q50" s="60">
        <v>6.20</v>
      </c>
      <c r="R50" s="194"/>
      <c r="S50" s="194"/>
      <c r="T50" s="194"/>
      <c r="U50" s="194"/>
    </row>
    <row r="51" spans="1:21" s="12" customFormat="1" ht="15">
      <c r="A51" s="197" t="s">
        <v>1343</v>
      </c>
      <c r="B51" s="60">
        <v>10.52</v>
      </c>
      <c r="C51" s="60">
        <v>14.13</v>
      </c>
      <c r="D51" s="60">
        <v>24.65</v>
      </c>
      <c r="E51" s="60">
        <v>7.56</v>
      </c>
      <c r="F51" s="60">
        <v>0.41</v>
      </c>
      <c r="G51" s="214" t="s">
        <v>36</v>
      </c>
      <c r="H51" s="60">
        <v>11.54</v>
      </c>
      <c r="I51" s="60">
        <v>5.27</v>
      </c>
      <c r="J51" s="60">
        <v>1.06</v>
      </c>
      <c r="K51" s="60">
        <v>24.69</v>
      </c>
      <c r="L51" s="9" t="s">
        <v>36</v>
      </c>
      <c r="M51" s="60">
        <v>70.45</v>
      </c>
      <c r="N51" s="60">
        <v>664.40</v>
      </c>
      <c r="O51" s="60">
        <v>0</v>
      </c>
      <c r="P51" s="60">
        <v>2.83</v>
      </c>
      <c r="Q51" s="60">
        <v>5.84</v>
      </c>
      <c r="R51" s="194"/>
      <c r="S51" s="194"/>
      <c r="T51" s="194"/>
      <c r="U51" s="194"/>
    </row>
    <row r="52" spans="1:21" s="12" customFormat="1" ht="15">
      <c r="A52" s="197" t="s">
        <v>1344</v>
      </c>
      <c r="B52" s="60">
        <v>10.039999999999999</v>
      </c>
      <c r="C52" s="60">
        <v>14.64</v>
      </c>
      <c r="D52" s="60">
        <v>24.67</v>
      </c>
      <c r="E52" s="60">
        <v>7.95</v>
      </c>
      <c r="F52" s="60">
        <v>0.76</v>
      </c>
      <c r="G52" s="214" t="s">
        <v>36</v>
      </c>
      <c r="H52" s="60">
        <v>11.54</v>
      </c>
      <c r="I52" s="60">
        <v>5.31</v>
      </c>
      <c r="J52" s="60">
        <v>1.02</v>
      </c>
      <c r="K52" s="60">
        <v>32.11</v>
      </c>
      <c r="L52" s="9" t="s">
        <v>36</v>
      </c>
      <c r="M52" s="60">
        <v>67.33</v>
      </c>
      <c r="N52" s="60">
        <v>895.10</v>
      </c>
      <c r="O52" s="60">
        <v>0</v>
      </c>
      <c r="P52" s="60">
        <v>2.85</v>
      </c>
      <c r="Q52" s="60">
        <v>5.66</v>
      </c>
      <c r="R52" s="194"/>
      <c r="S52" s="194"/>
      <c r="T52" s="194"/>
      <c r="U52" s="194"/>
    </row>
    <row r="53" spans="1:21" s="12" customFormat="1" ht="15">
      <c r="A53" s="197" t="s">
        <v>1345</v>
      </c>
      <c r="B53" s="60">
        <v>9.66</v>
      </c>
      <c r="C53" s="60">
        <v>15.96</v>
      </c>
      <c r="D53" s="60">
        <v>25.62</v>
      </c>
      <c r="E53" s="60">
        <v>7.49</v>
      </c>
      <c r="F53" s="60">
        <v>0.56999999999999995</v>
      </c>
      <c r="G53" s="214" t="s">
        <v>36</v>
      </c>
      <c r="H53" s="60">
        <v>12.10</v>
      </c>
      <c r="I53" s="60">
        <v>4.97</v>
      </c>
      <c r="J53" s="60">
        <v>1.29</v>
      </c>
      <c r="K53" s="60">
        <v>9.16</v>
      </c>
      <c r="L53" s="9" t="s">
        <v>36</v>
      </c>
      <c r="M53" s="60">
        <v>66.87</v>
      </c>
      <c r="N53" s="60">
        <v>495</v>
      </c>
      <c r="O53" s="60">
        <v>0</v>
      </c>
      <c r="P53" s="60">
        <v>2.86</v>
      </c>
      <c r="Q53" s="60">
        <v>5.78</v>
      </c>
      <c r="R53" s="194"/>
      <c r="S53" s="194"/>
      <c r="T53" s="194"/>
      <c r="U53" s="194"/>
    </row>
    <row r="54" spans="1:21" s="12" customFormat="1" ht="15">
      <c r="A54" s="197" t="s">
        <v>1346</v>
      </c>
      <c r="B54" s="60">
        <v>9.3800000000000008</v>
      </c>
      <c r="C54" s="60">
        <v>17.190000000000001</v>
      </c>
      <c r="D54" s="60">
        <v>26.57</v>
      </c>
      <c r="E54" s="60">
        <v>7.80</v>
      </c>
      <c r="F54" s="60">
        <v>0.60</v>
      </c>
      <c r="G54" s="214" t="s">
        <v>36</v>
      </c>
      <c r="H54" s="60">
        <v>13.48</v>
      </c>
      <c r="I54" s="60">
        <v>5.16</v>
      </c>
      <c r="J54" s="60">
        <v>1.08</v>
      </c>
      <c r="K54" s="60">
        <v>15.30</v>
      </c>
      <c r="L54" s="9" t="s">
        <v>36</v>
      </c>
      <c r="M54" s="60">
        <v>71.38</v>
      </c>
      <c r="N54" s="60">
        <v>194.90</v>
      </c>
      <c r="O54" s="60">
        <v>0</v>
      </c>
      <c r="P54" s="60">
        <v>2.87</v>
      </c>
      <c r="Q54" s="60">
        <v>5.89</v>
      </c>
      <c r="R54" s="194"/>
      <c r="S54" s="194"/>
      <c r="T54" s="194"/>
      <c r="U54" s="194"/>
    </row>
    <row r="55" spans="1:21" s="12" customFormat="1" ht="15">
      <c r="A55" s="197" t="s">
        <v>1347</v>
      </c>
      <c r="B55" s="60">
        <v>9.2100000000000009</v>
      </c>
      <c r="C55" s="60">
        <v>17.48</v>
      </c>
      <c r="D55" s="60">
        <v>26.69</v>
      </c>
      <c r="E55" s="60">
        <v>7.94</v>
      </c>
      <c r="F55" s="60">
        <v>0.76</v>
      </c>
      <c r="G55" s="214" t="s">
        <v>36</v>
      </c>
      <c r="H55" s="60">
        <v>13.48</v>
      </c>
      <c r="I55" s="60">
        <v>5.32</v>
      </c>
      <c r="J55" s="60">
        <v>0.63</v>
      </c>
      <c r="K55" s="60">
        <v>28.79</v>
      </c>
      <c r="L55" s="9" t="s">
        <v>36</v>
      </c>
      <c r="M55" s="60">
        <v>74.64</v>
      </c>
      <c r="N55" s="60">
        <v>277.60000000000002</v>
      </c>
      <c r="O55" s="60">
        <v>0</v>
      </c>
      <c r="P55" s="60">
        <v>2.89</v>
      </c>
      <c r="Q55" s="60">
        <v>6.30</v>
      </c>
      <c r="R55" s="194"/>
      <c r="S55" s="194"/>
      <c r="T55" s="194"/>
      <c r="U55" s="194"/>
    </row>
    <row r="56" spans="1:21" s="12" customFormat="1" ht="15">
      <c r="A56" s="197" t="s">
        <v>1348</v>
      </c>
      <c r="B56" s="60">
        <v>9.40</v>
      </c>
      <c r="C56" s="60">
        <v>17.82</v>
      </c>
      <c r="D56" s="60">
        <v>27.22</v>
      </c>
      <c r="E56" s="60">
        <v>3.44</v>
      </c>
      <c r="F56" s="60">
        <v>0.53</v>
      </c>
      <c r="G56" s="214" t="s">
        <v>36</v>
      </c>
      <c r="H56" s="60">
        <v>13.48</v>
      </c>
      <c r="I56" s="60">
        <v>5.40</v>
      </c>
      <c r="J56" s="60">
        <v>0.90</v>
      </c>
      <c r="K56" s="60">
        <v>22.60</v>
      </c>
      <c r="L56" s="9" t="s">
        <v>36</v>
      </c>
      <c r="M56" s="60">
        <v>71.87</v>
      </c>
      <c r="N56" s="60">
        <v>532.10</v>
      </c>
      <c r="O56" s="60">
        <v>0</v>
      </c>
      <c r="P56" s="60">
        <v>2.93</v>
      </c>
      <c r="Q56" s="60">
        <v>7.48</v>
      </c>
      <c r="R56" s="194"/>
      <c r="S56" s="194"/>
      <c r="T56" s="194"/>
      <c r="U56" s="194"/>
    </row>
    <row r="57" spans="1:21" s="12" customFormat="1" ht="15">
      <c r="A57" s="197" t="s">
        <v>1349</v>
      </c>
      <c r="B57" s="60">
        <v>9.49</v>
      </c>
      <c r="C57" s="60">
        <v>18.43</v>
      </c>
      <c r="D57" s="60">
        <v>27.92</v>
      </c>
      <c r="E57" s="60">
        <v>7.18</v>
      </c>
      <c r="F57" s="60">
        <v>0.60</v>
      </c>
      <c r="G57" s="214" t="s">
        <v>36</v>
      </c>
      <c r="H57" s="60">
        <v>12.92</v>
      </c>
      <c r="I57" s="60">
        <v>5.53</v>
      </c>
      <c r="J57" s="60">
        <v>1.30</v>
      </c>
      <c r="K57" s="60">
        <v>11.63</v>
      </c>
      <c r="L57" s="9" t="s">
        <v>36</v>
      </c>
      <c r="M57" s="60">
        <v>67.900000000000006</v>
      </c>
      <c r="N57" s="60">
        <v>657.90</v>
      </c>
      <c r="O57" s="60">
        <v>0</v>
      </c>
      <c r="P57" s="60">
        <v>2.94</v>
      </c>
      <c r="Q57" s="60">
        <v>8.65</v>
      </c>
      <c r="R57" s="194"/>
      <c r="S57" s="194"/>
      <c r="T57" s="194"/>
      <c r="U57" s="194"/>
    </row>
    <row r="58" spans="1:21" s="12" customFormat="1" ht="15">
      <c r="A58" s="197" t="s">
        <v>1350</v>
      </c>
      <c r="B58" s="60">
        <v>9.66</v>
      </c>
      <c r="C58" s="60">
        <v>19.510000000000002</v>
      </c>
      <c r="D58" s="60">
        <v>29.17</v>
      </c>
      <c r="E58" s="60">
        <v>7.29</v>
      </c>
      <c r="F58" s="60">
        <v>0.52</v>
      </c>
      <c r="G58" s="214" t="s">
        <v>36</v>
      </c>
      <c r="H58" s="60">
        <v>11.55</v>
      </c>
      <c r="I58" s="60">
        <v>5.61</v>
      </c>
      <c r="J58" s="60">
        <v>1.17</v>
      </c>
      <c r="K58" s="60">
        <v>12.30</v>
      </c>
      <c r="L58" s="9" t="s">
        <v>36</v>
      </c>
      <c r="M58" s="60">
        <v>66.89</v>
      </c>
      <c r="N58" s="60">
        <v>599.5</v>
      </c>
      <c r="O58" s="60">
        <v>0</v>
      </c>
      <c r="P58" s="60">
        <v>2.96</v>
      </c>
      <c r="Q58" s="60">
        <v>9.40</v>
      </c>
      <c r="R58" s="194"/>
      <c r="S58" s="194"/>
      <c r="T58" s="194"/>
      <c r="U58" s="194"/>
    </row>
    <row r="59" spans="1:21" s="12" customFormat="1" ht="15">
      <c r="A59" s="197" t="s">
        <v>1351</v>
      </c>
      <c r="B59" s="60">
        <v>10.17</v>
      </c>
      <c r="C59" s="60">
        <v>20.81</v>
      </c>
      <c r="D59" s="60">
        <v>30.97</v>
      </c>
      <c r="E59" s="60">
        <v>6.95</v>
      </c>
      <c r="F59" s="60">
        <v>0.69</v>
      </c>
      <c r="G59" s="214" t="s">
        <v>36</v>
      </c>
      <c r="H59" s="60">
        <v>11.55</v>
      </c>
      <c r="I59" s="60">
        <v>5.66</v>
      </c>
      <c r="J59" s="60">
        <v>1.57</v>
      </c>
      <c r="K59" s="60">
        <v>2.13</v>
      </c>
      <c r="L59" s="9" t="s">
        <v>36</v>
      </c>
      <c r="M59" s="60">
        <v>68.069999999999993</v>
      </c>
      <c r="N59" s="60">
        <v>145.5</v>
      </c>
      <c r="O59" s="60">
        <v>0</v>
      </c>
      <c r="P59" s="60">
        <v>2.98</v>
      </c>
      <c r="Q59" s="60">
        <v>10.02</v>
      </c>
      <c r="R59" s="194"/>
      <c r="S59" s="194"/>
      <c r="T59" s="194"/>
      <c r="U59" s="194"/>
    </row>
    <row r="60" spans="1:21" s="12" customFormat="1" ht="15">
      <c r="A60" s="197" t="s">
        <v>1352</v>
      </c>
      <c r="B60" s="60">
        <v>10.36</v>
      </c>
      <c r="C60" s="60">
        <v>21.79</v>
      </c>
      <c r="D60" s="60">
        <v>32.15</v>
      </c>
      <c r="E60" s="60">
        <v>6.72</v>
      </c>
      <c r="F60" s="60">
        <v>0.59</v>
      </c>
      <c r="G60" s="214" t="s">
        <v>36</v>
      </c>
      <c r="H60" s="60">
        <v>11.55</v>
      </c>
      <c r="I60" s="60">
        <v>5.74</v>
      </c>
      <c r="J60" s="60">
        <v>0.92</v>
      </c>
      <c r="K60" s="60">
        <v>0.51</v>
      </c>
      <c r="L60" s="9" t="s">
        <v>36</v>
      </c>
      <c r="M60" s="60">
        <v>70.84</v>
      </c>
      <c r="N60" s="60">
        <v>179.90</v>
      </c>
      <c r="O60" s="60">
        <v>0</v>
      </c>
      <c r="P60" s="60">
        <v>3</v>
      </c>
      <c r="Q60" s="60">
        <v>10.37</v>
      </c>
      <c r="R60" s="194"/>
      <c r="S60" s="194"/>
      <c r="T60" s="194"/>
      <c r="U60" s="194"/>
    </row>
    <row r="61" spans="1:21" s="12" customFormat="1" ht="15">
      <c r="A61" s="197" t="s">
        <v>1353</v>
      </c>
      <c r="B61" s="60">
        <v>10.48</v>
      </c>
      <c r="C61" s="60">
        <v>22.71</v>
      </c>
      <c r="D61" s="60">
        <v>33.18</v>
      </c>
      <c r="E61" s="60">
        <v>6.80</v>
      </c>
      <c r="F61" s="60">
        <v>0.04</v>
      </c>
      <c r="G61" s="214" t="s">
        <v>36</v>
      </c>
      <c r="H61" s="60">
        <v>12.09</v>
      </c>
      <c r="I61" s="60">
        <v>5.76</v>
      </c>
      <c r="J61" s="60">
        <v>1.17</v>
      </c>
      <c r="K61" s="60">
        <v>4.5599999999999996</v>
      </c>
      <c r="L61" s="9" t="s">
        <v>36</v>
      </c>
      <c r="M61" s="60">
        <v>69.12</v>
      </c>
      <c r="N61" s="60">
        <v>221.20</v>
      </c>
      <c r="O61" s="60">
        <v>0</v>
      </c>
      <c r="P61" s="60">
        <v>3.03</v>
      </c>
      <c r="Q61" s="60">
        <v>10.57</v>
      </c>
      <c r="R61" s="194"/>
      <c r="S61" s="194"/>
      <c r="T61" s="194"/>
      <c r="U61" s="194"/>
    </row>
    <row r="62" spans="1:21" s="12" customFormat="1" ht="15">
      <c r="A62" s="197" t="s">
        <v>1354</v>
      </c>
      <c r="B62" s="60">
        <v>10.34</v>
      </c>
      <c r="C62" s="60">
        <v>22.67</v>
      </c>
      <c r="D62" s="60">
        <v>33</v>
      </c>
      <c r="E62" s="60">
        <v>6.68</v>
      </c>
      <c r="F62" s="60">
        <v>0.40</v>
      </c>
      <c r="G62" s="214" t="s">
        <v>36</v>
      </c>
      <c r="H62" s="60">
        <v>13.42</v>
      </c>
      <c r="I62" s="60">
        <v>5.80</v>
      </c>
      <c r="J62" s="60">
        <v>0.89</v>
      </c>
      <c r="K62" s="60">
        <v>53.35</v>
      </c>
      <c r="L62" s="9" t="s">
        <v>36</v>
      </c>
      <c r="M62" s="60">
        <v>70.47</v>
      </c>
      <c r="N62" s="60">
        <v>185.70</v>
      </c>
      <c r="O62" s="60">
        <v>0</v>
      </c>
      <c r="P62" s="60">
        <v>3.03</v>
      </c>
      <c r="Q62" s="60">
        <v>9.5299999999999994</v>
      </c>
      <c r="R62" s="194"/>
      <c r="S62" s="194"/>
      <c r="T62" s="194"/>
      <c r="U62" s="194"/>
    </row>
    <row r="63" spans="1:21" s="12" customFormat="1" ht="15">
      <c r="A63" s="197" t="s">
        <v>1355</v>
      </c>
      <c r="B63" s="60">
        <v>9.94</v>
      </c>
      <c r="C63" s="60">
        <v>21.86</v>
      </c>
      <c r="D63" s="60">
        <v>31.80</v>
      </c>
      <c r="E63" s="60">
        <v>6.83</v>
      </c>
      <c r="F63" s="60">
        <v>0.38</v>
      </c>
      <c r="G63" s="214" t="s">
        <v>36</v>
      </c>
      <c r="H63" s="60">
        <v>13.42</v>
      </c>
      <c r="I63" s="60">
        <v>5.79</v>
      </c>
      <c r="J63" s="60">
        <v>1.07</v>
      </c>
      <c r="K63" s="60">
        <v>58.49</v>
      </c>
      <c r="L63" s="9" t="s">
        <v>36</v>
      </c>
      <c r="M63" s="60">
        <v>68.459999999999994</v>
      </c>
      <c r="N63" s="60">
        <v>433.70</v>
      </c>
      <c r="O63" s="60">
        <v>0</v>
      </c>
      <c r="P63" s="60">
        <v>3.02</v>
      </c>
      <c r="Q63" s="60">
        <v>8.15</v>
      </c>
      <c r="R63" s="194"/>
      <c r="S63" s="194"/>
      <c r="T63" s="194"/>
      <c r="U63" s="194"/>
    </row>
    <row r="64" spans="1:21" s="12" customFormat="1" ht="15">
      <c r="A64" s="197" t="s">
        <v>1356</v>
      </c>
      <c r="B64" s="60">
        <v>9.4499999999999993</v>
      </c>
      <c r="C64" s="60">
        <v>20.95</v>
      </c>
      <c r="D64" s="60">
        <v>30.40</v>
      </c>
      <c r="E64" s="60">
        <v>6.86</v>
      </c>
      <c r="F64" s="60">
        <v>0.55000000000000004</v>
      </c>
      <c r="G64" s="214" t="s">
        <v>36</v>
      </c>
      <c r="H64" s="60">
        <v>13.42</v>
      </c>
      <c r="I64" s="60">
        <v>5.51</v>
      </c>
      <c r="J64" s="60">
        <v>0.87</v>
      </c>
      <c r="K64" s="60">
        <v>35.909999999999997</v>
      </c>
      <c r="L64" s="9" t="s">
        <v>36</v>
      </c>
      <c r="M64" s="60">
        <v>65.89</v>
      </c>
      <c r="N64" s="60">
        <v>539.79999999999995</v>
      </c>
      <c r="O64" s="60">
        <v>0</v>
      </c>
      <c r="P64" s="60">
        <v>3.02</v>
      </c>
      <c r="Q64" s="60">
        <v>7.22</v>
      </c>
      <c r="R64" s="194"/>
      <c r="S64" s="194"/>
      <c r="T64" s="194"/>
      <c r="U64" s="194"/>
    </row>
    <row r="65" spans="1:21" s="12" customFormat="1" ht="15">
      <c r="A65" s="197" t="s">
        <v>1357</v>
      </c>
      <c r="B65" s="60">
        <v>9.4700000000000006</v>
      </c>
      <c r="C65" s="60">
        <v>20.59</v>
      </c>
      <c r="D65" s="60">
        <v>30.06</v>
      </c>
      <c r="E65" s="60">
        <v>6.93</v>
      </c>
      <c r="F65" s="60">
        <v>0.57999999999999996</v>
      </c>
      <c r="G65" s="214" t="s">
        <v>36</v>
      </c>
      <c r="H65" s="60">
        <v>14.07</v>
      </c>
      <c r="I65" s="60">
        <v>5.49</v>
      </c>
      <c r="J65" s="60">
        <v>0.92</v>
      </c>
      <c r="K65" s="60">
        <v>10.91</v>
      </c>
      <c r="L65" s="9" t="s">
        <v>36</v>
      </c>
      <c r="M65" s="60">
        <v>64.22</v>
      </c>
      <c r="N65" s="60">
        <v>656.10</v>
      </c>
      <c r="O65" s="60">
        <v>0</v>
      </c>
      <c r="P65" s="60">
        <v>3.02</v>
      </c>
      <c r="Q65" s="60">
        <v>6.81</v>
      </c>
      <c r="R65" s="194"/>
      <c r="S65" s="194"/>
      <c r="T65" s="194"/>
      <c r="U65" s="194"/>
    </row>
    <row r="66" spans="1:21" s="12" customFormat="1" ht="15">
      <c r="A66" s="197" t="s">
        <v>1358</v>
      </c>
      <c r="B66" s="60">
        <v>10.029999999999999</v>
      </c>
      <c r="C66" s="60">
        <v>20.260000000000002</v>
      </c>
      <c r="D66" s="60">
        <v>30.29</v>
      </c>
      <c r="E66" s="60">
        <v>6.90</v>
      </c>
      <c r="F66" s="60">
        <v>0.59</v>
      </c>
      <c r="G66" s="214" t="s">
        <v>36</v>
      </c>
      <c r="H66" s="60">
        <v>15.65</v>
      </c>
      <c r="I66" s="60">
        <v>5.42</v>
      </c>
      <c r="J66" s="60">
        <v>1.05</v>
      </c>
      <c r="K66" s="60">
        <v>2.02</v>
      </c>
      <c r="L66" s="9" t="s">
        <v>36</v>
      </c>
      <c r="M66" s="60">
        <v>62.60</v>
      </c>
      <c r="N66" s="60">
        <v>383.5</v>
      </c>
      <c r="O66" s="60">
        <v>0</v>
      </c>
      <c r="P66" s="60">
        <v>3.02</v>
      </c>
      <c r="Q66" s="60">
        <v>6.67</v>
      </c>
      <c r="R66" s="194"/>
      <c r="S66" s="194"/>
      <c r="T66" s="194"/>
      <c r="U66" s="194"/>
    </row>
    <row r="67" spans="1:21" s="12" customFormat="1" ht="15">
      <c r="A67" s="197" t="s">
        <v>1359</v>
      </c>
      <c r="B67" s="60">
        <v>10.76</v>
      </c>
      <c r="C67" s="60">
        <v>20.86</v>
      </c>
      <c r="D67" s="60">
        <v>31.62</v>
      </c>
      <c r="E67" s="60">
        <v>7.09</v>
      </c>
      <c r="F67" s="60">
        <v>0.37</v>
      </c>
      <c r="G67" s="214" t="s">
        <v>36</v>
      </c>
      <c r="H67" s="60">
        <v>15.65</v>
      </c>
      <c r="I67" s="60">
        <v>5.53</v>
      </c>
      <c r="J67" s="60">
        <v>1.32</v>
      </c>
      <c r="K67" s="60">
        <v>5.08</v>
      </c>
      <c r="L67" s="9" t="s">
        <v>36</v>
      </c>
      <c r="M67" s="60">
        <v>63.87</v>
      </c>
      <c r="N67" s="60">
        <v>437.10</v>
      </c>
      <c r="O67" s="60">
        <v>0</v>
      </c>
      <c r="P67" s="60">
        <v>3.03</v>
      </c>
      <c r="Q67" s="60">
        <v>6.99</v>
      </c>
      <c r="R67" s="194"/>
      <c r="S67" s="194"/>
      <c r="T67" s="194"/>
      <c r="U67" s="194"/>
    </row>
    <row r="68" spans="1:21" s="12" customFormat="1" ht="15">
      <c r="A68" s="197" t="s">
        <v>1360</v>
      </c>
      <c r="B68" s="60">
        <v>10.79</v>
      </c>
      <c r="C68" s="60">
        <v>21.36</v>
      </c>
      <c r="D68" s="60">
        <v>32.15</v>
      </c>
      <c r="E68" s="60">
        <v>7.08</v>
      </c>
      <c r="F68" s="60">
        <v>0.67</v>
      </c>
      <c r="G68" s="214" t="s">
        <v>36</v>
      </c>
      <c r="H68" s="60">
        <v>15.65</v>
      </c>
      <c r="I68" s="60">
        <v>5.53</v>
      </c>
      <c r="J68" s="60">
        <v>1.18</v>
      </c>
      <c r="K68" s="60">
        <v>12.56</v>
      </c>
      <c r="L68" s="9" t="s">
        <v>36</v>
      </c>
      <c r="M68" s="60">
        <v>63.51</v>
      </c>
      <c r="N68" s="60">
        <v>588.90</v>
      </c>
      <c r="O68" s="60">
        <v>0</v>
      </c>
      <c r="P68" s="60">
        <v>3.03</v>
      </c>
      <c r="Q68" s="60">
        <v>7.07</v>
      </c>
      <c r="R68" s="194"/>
      <c r="S68" s="194"/>
      <c r="T68" s="194"/>
      <c r="U68" s="194"/>
    </row>
    <row r="69" spans="1:21" s="12" customFormat="1" ht="15">
      <c r="A69" s="197" t="s">
        <v>1361</v>
      </c>
      <c r="B69" s="60">
        <v>10.64</v>
      </c>
      <c r="C69" s="60">
        <v>21.90</v>
      </c>
      <c r="D69" s="60">
        <v>32.54</v>
      </c>
      <c r="E69" s="60">
        <v>7.02</v>
      </c>
      <c r="F69" s="60">
        <v>0.66</v>
      </c>
      <c r="G69" s="214" t="s">
        <v>36</v>
      </c>
      <c r="H69" s="60">
        <v>15.97</v>
      </c>
      <c r="I69" s="60">
        <v>5.83</v>
      </c>
      <c r="J69" s="60">
        <v>1.95</v>
      </c>
      <c r="K69" s="60">
        <v>356.84</v>
      </c>
      <c r="L69" s="9" t="s">
        <v>36</v>
      </c>
      <c r="M69" s="60">
        <v>62.62</v>
      </c>
      <c r="N69" s="60">
        <v>553.40</v>
      </c>
      <c r="O69" s="60">
        <v>0</v>
      </c>
      <c r="P69" s="60">
        <v>3.02</v>
      </c>
      <c r="Q69" s="60">
        <v>7.15</v>
      </c>
      <c r="R69" s="194"/>
      <c r="S69" s="194"/>
      <c r="T69" s="194"/>
      <c r="U69" s="194"/>
    </row>
    <row r="70" spans="1:21" s="12" customFormat="1" ht="15">
      <c r="A70" s="197" t="s">
        <v>1362</v>
      </c>
      <c r="B70" s="60">
        <v>10.10</v>
      </c>
      <c r="C70" s="60">
        <v>22.68</v>
      </c>
      <c r="D70" s="60">
        <v>32.78</v>
      </c>
      <c r="E70" s="60">
        <v>7.03</v>
      </c>
      <c r="F70" s="60">
        <v>0.95</v>
      </c>
      <c r="G70" s="214" t="s">
        <v>36</v>
      </c>
      <c r="H70" s="60">
        <v>16.760000000000002</v>
      </c>
      <c r="I70" s="60">
        <v>5.87</v>
      </c>
      <c r="J70" s="60">
        <v>2.2200000000000002</v>
      </c>
      <c r="K70" s="60">
        <v>353.39</v>
      </c>
      <c r="L70" s="9" t="s">
        <v>36</v>
      </c>
      <c r="M70" s="60">
        <v>62.04</v>
      </c>
      <c r="N70" s="60">
        <v>552</v>
      </c>
      <c r="O70" s="60">
        <v>0</v>
      </c>
      <c r="P70" s="60">
        <v>3.02</v>
      </c>
      <c r="Q70" s="60">
        <v>7.75</v>
      </c>
      <c r="R70" s="194"/>
      <c r="S70" s="194"/>
      <c r="T70" s="194"/>
      <c r="U70" s="194"/>
    </row>
    <row r="71" spans="1:21" s="12" customFormat="1" ht="15">
      <c r="A71" s="197" t="s">
        <v>1363</v>
      </c>
      <c r="B71" s="60">
        <v>9.1300000000000008</v>
      </c>
      <c r="C71" s="60">
        <v>23.53</v>
      </c>
      <c r="D71" s="60">
        <v>32.659999999999997</v>
      </c>
      <c r="E71" s="60">
        <v>5.80</v>
      </c>
      <c r="F71" s="60">
        <v>0.80</v>
      </c>
      <c r="G71" s="214" t="s">
        <v>36</v>
      </c>
      <c r="H71" s="60">
        <v>16.760000000000002</v>
      </c>
      <c r="I71" s="60">
        <v>5.74</v>
      </c>
      <c r="J71" s="60">
        <v>1.73</v>
      </c>
      <c r="K71" s="60">
        <v>353.49</v>
      </c>
      <c r="L71" s="9" t="s">
        <v>36</v>
      </c>
      <c r="M71" s="60">
        <v>60.31</v>
      </c>
      <c r="N71" s="60">
        <v>487.5</v>
      </c>
      <c r="O71" s="60">
        <v>0</v>
      </c>
      <c r="P71" s="60">
        <v>3.01</v>
      </c>
      <c r="Q71" s="60">
        <v>8.81</v>
      </c>
      <c r="R71" s="194"/>
      <c r="S71" s="194"/>
      <c r="T71" s="194"/>
      <c r="U71" s="194"/>
    </row>
    <row r="72" spans="1:21" s="12" customFormat="1" ht="15">
      <c r="A72" s="197" t="s">
        <v>1364</v>
      </c>
      <c r="B72" s="60">
        <v>8.36</v>
      </c>
      <c r="C72" s="60">
        <v>24.08</v>
      </c>
      <c r="D72" s="60">
        <v>32.44</v>
      </c>
      <c r="E72" s="60">
        <v>3.23</v>
      </c>
      <c r="F72" s="60">
        <v>0.89</v>
      </c>
      <c r="G72" s="214" t="s">
        <v>36</v>
      </c>
      <c r="H72" s="60">
        <v>16.760000000000002</v>
      </c>
      <c r="I72" s="60">
        <v>5.72</v>
      </c>
      <c r="J72" s="60">
        <v>1.78</v>
      </c>
      <c r="K72" s="60">
        <v>355.91</v>
      </c>
      <c r="L72" s="9" t="s">
        <v>36</v>
      </c>
      <c r="M72" s="60">
        <v>61.48</v>
      </c>
      <c r="N72" s="60">
        <v>282.5</v>
      </c>
      <c r="O72" s="60">
        <v>0</v>
      </c>
      <c r="P72" s="60">
        <v>3</v>
      </c>
      <c r="Q72" s="60">
        <v>9.52</v>
      </c>
      <c r="R72" s="194"/>
      <c r="S72" s="194"/>
      <c r="T72" s="194"/>
      <c r="U72" s="194"/>
    </row>
    <row r="73" spans="1:21" s="12" customFormat="1" ht="15">
      <c r="A73" s="197" t="s">
        <v>1365</v>
      </c>
      <c r="B73" s="60">
        <v>7.39</v>
      </c>
      <c r="C73" s="60">
        <v>24.52</v>
      </c>
      <c r="D73" s="60">
        <v>31.91</v>
      </c>
      <c r="E73" s="60">
        <v>6.54</v>
      </c>
      <c r="F73" s="60">
        <v>0.75</v>
      </c>
      <c r="G73" s="214" t="s">
        <v>36</v>
      </c>
      <c r="H73" s="60">
        <v>15.80</v>
      </c>
      <c r="I73" s="60">
        <v>5.56</v>
      </c>
      <c r="J73" s="60">
        <v>1.51</v>
      </c>
      <c r="K73" s="60">
        <v>2.09</v>
      </c>
      <c r="L73" s="9" t="s">
        <v>36</v>
      </c>
      <c r="M73" s="60">
        <v>62.66</v>
      </c>
      <c r="N73" s="60">
        <v>203.30</v>
      </c>
      <c r="O73" s="60">
        <v>0</v>
      </c>
      <c r="P73" s="60">
        <v>3</v>
      </c>
      <c r="Q73" s="60">
        <v>9.77</v>
      </c>
      <c r="R73" s="194"/>
      <c r="S73" s="194"/>
      <c r="T73" s="194"/>
      <c r="U73" s="194"/>
    </row>
    <row r="74" spans="1:21" s="12" customFormat="1" ht="15">
      <c r="A74" s="197" t="s">
        <v>1366</v>
      </c>
      <c r="B74" s="60">
        <v>6.89</v>
      </c>
      <c r="C74" s="60">
        <v>24.31</v>
      </c>
      <c r="D74" s="60">
        <v>31.20</v>
      </c>
      <c r="E74" s="60">
        <v>6.27</v>
      </c>
      <c r="F74" s="60">
        <v>0.68</v>
      </c>
      <c r="G74" s="214" t="s">
        <v>36</v>
      </c>
      <c r="H74" s="60">
        <v>13.44</v>
      </c>
      <c r="I74" s="60">
        <v>5.45</v>
      </c>
      <c r="J74" s="60">
        <v>1.1000000000000001</v>
      </c>
      <c r="K74" s="60">
        <v>14.66</v>
      </c>
      <c r="L74" s="9" t="s">
        <v>36</v>
      </c>
      <c r="M74" s="60">
        <v>64.040000000000006</v>
      </c>
      <c r="N74" s="60">
        <v>191.10</v>
      </c>
      <c r="O74" s="60">
        <v>0</v>
      </c>
      <c r="P74" s="60">
        <v>3</v>
      </c>
      <c r="Q74" s="60">
        <v>9.5299999999999994</v>
      </c>
      <c r="R74" s="194"/>
      <c r="S74" s="194"/>
      <c r="T74" s="194"/>
      <c r="U74" s="194"/>
    </row>
    <row r="75" spans="1:21" s="12" customFormat="1" ht="15">
      <c r="A75" s="197" t="s">
        <v>1367</v>
      </c>
      <c r="B75" s="60">
        <v>6.72</v>
      </c>
      <c r="C75" s="60">
        <v>23.97</v>
      </c>
      <c r="D75" s="60">
        <v>30.69</v>
      </c>
      <c r="E75" s="60">
        <v>6.64</v>
      </c>
      <c r="F75" s="60">
        <v>0.53</v>
      </c>
      <c r="G75" s="214" t="s">
        <v>36</v>
      </c>
      <c r="H75" s="60">
        <v>13.44</v>
      </c>
      <c r="I75" s="60">
        <v>5.36</v>
      </c>
      <c r="J75" s="60">
        <v>1.71</v>
      </c>
      <c r="K75" s="60">
        <v>358.46</v>
      </c>
      <c r="L75" s="9" t="s">
        <v>36</v>
      </c>
      <c r="M75" s="60">
        <v>63.22</v>
      </c>
      <c r="N75" s="60">
        <v>174.70</v>
      </c>
      <c r="O75" s="60">
        <v>0</v>
      </c>
      <c r="P75" s="60">
        <v>3.02</v>
      </c>
      <c r="Q75" s="60">
        <v>9.4700000000000006</v>
      </c>
      <c r="R75" s="194"/>
      <c r="S75" s="194"/>
      <c r="T75" s="194"/>
      <c r="U75" s="194"/>
    </row>
    <row r="76" spans="1:21" s="12" customFormat="1" ht="15">
      <c r="A76" s="197" t="s">
        <v>1368</v>
      </c>
      <c r="B76" s="60">
        <v>6.33</v>
      </c>
      <c r="C76" s="60">
        <v>24.58</v>
      </c>
      <c r="D76" s="60">
        <v>30.90</v>
      </c>
      <c r="E76" s="60">
        <v>6.33</v>
      </c>
      <c r="F76" s="60">
        <v>0.69</v>
      </c>
      <c r="G76" s="214" t="s">
        <v>36</v>
      </c>
      <c r="H76" s="60">
        <v>13.44</v>
      </c>
      <c r="I76" s="60">
        <v>5.38</v>
      </c>
      <c r="J76" s="60">
        <v>1.81</v>
      </c>
      <c r="K76" s="60">
        <v>3.06</v>
      </c>
      <c r="L76" s="9" t="s">
        <v>36</v>
      </c>
      <c r="M76" s="60">
        <v>63.34</v>
      </c>
      <c r="N76" s="60">
        <v>111.60</v>
      </c>
      <c r="O76" s="60">
        <v>0</v>
      </c>
      <c r="P76" s="60">
        <v>3.03</v>
      </c>
      <c r="Q76" s="60">
        <v>9.2799999999999994</v>
      </c>
      <c r="R76" s="194"/>
      <c r="S76" s="194"/>
      <c r="T76" s="194"/>
      <c r="U76" s="194"/>
    </row>
    <row r="77" spans="1:21" s="12" customFormat="1" ht="15">
      <c r="A77" s="197" t="s">
        <v>1369</v>
      </c>
      <c r="B77" s="60">
        <v>5.83</v>
      </c>
      <c r="C77" s="60">
        <v>24.37</v>
      </c>
      <c r="D77" s="60">
        <v>30.20</v>
      </c>
      <c r="E77" s="60">
        <v>6.47</v>
      </c>
      <c r="F77" s="60">
        <v>1.05</v>
      </c>
      <c r="G77" s="214" t="s">
        <v>36</v>
      </c>
      <c r="H77" s="60">
        <v>13.16</v>
      </c>
      <c r="I77" s="60">
        <v>5.36</v>
      </c>
      <c r="J77" s="60">
        <v>1.76</v>
      </c>
      <c r="K77" s="60">
        <v>79.94</v>
      </c>
      <c r="L77" s="9" t="s">
        <v>36</v>
      </c>
      <c r="M77" s="60">
        <v>67.22</v>
      </c>
      <c r="N77" s="60">
        <v>21</v>
      </c>
      <c r="O77" s="60">
        <v>0</v>
      </c>
      <c r="P77" s="60">
        <v>3.04</v>
      </c>
      <c r="Q77" s="60">
        <v>7.77</v>
      </c>
      <c r="R77" s="194"/>
      <c r="S77" s="194"/>
      <c r="T77" s="194"/>
      <c r="U77" s="194"/>
    </row>
    <row r="78" spans="1:21" s="12" customFormat="1" ht="15">
      <c r="A78" s="197" t="s">
        <v>1370</v>
      </c>
      <c r="B78" s="60">
        <v>5.41</v>
      </c>
      <c r="C78" s="60">
        <v>23.16</v>
      </c>
      <c r="D78" s="60">
        <v>28.57</v>
      </c>
      <c r="E78" s="60">
        <v>6.46</v>
      </c>
      <c r="F78" s="60">
        <v>0.79</v>
      </c>
      <c r="G78" s="214" t="s">
        <v>36</v>
      </c>
      <c r="H78" s="60">
        <v>12.46</v>
      </c>
      <c r="I78" s="60">
        <v>5.34</v>
      </c>
      <c r="J78" s="60">
        <v>2.37</v>
      </c>
      <c r="K78" s="60">
        <v>105.04</v>
      </c>
      <c r="L78" s="9" t="s">
        <v>36</v>
      </c>
      <c r="M78" s="60">
        <v>78.77</v>
      </c>
      <c r="N78" s="60">
        <v>35.60</v>
      </c>
      <c r="O78" s="60">
        <v>0</v>
      </c>
      <c r="P78" s="60">
        <v>3.01</v>
      </c>
      <c r="Q78" s="60">
        <v>6.72</v>
      </c>
      <c r="R78" s="194"/>
      <c r="S78" s="194"/>
      <c r="T78" s="194"/>
      <c r="U78" s="194"/>
    </row>
    <row r="79" spans="1:21" s="12" customFormat="1" ht="15">
      <c r="A79" s="197" t="s">
        <v>1371</v>
      </c>
      <c r="B79" s="60">
        <v>4.83</v>
      </c>
      <c r="C79" s="60">
        <v>21.19</v>
      </c>
      <c r="D79" s="60">
        <v>26.02</v>
      </c>
      <c r="E79" s="60">
        <v>6.90</v>
      </c>
      <c r="F79" s="60">
        <v>0.62</v>
      </c>
      <c r="G79" s="214" t="s">
        <v>36</v>
      </c>
      <c r="H79" s="60">
        <v>12.46</v>
      </c>
      <c r="I79" s="60">
        <v>5.33</v>
      </c>
      <c r="J79" s="60">
        <v>1.69</v>
      </c>
      <c r="K79" s="60">
        <v>93.73</v>
      </c>
      <c r="L79" s="9" t="s">
        <v>36</v>
      </c>
      <c r="M79" s="60">
        <v>78.87</v>
      </c>
      <c r="N79" s="60">
        <v>29.20</v>
      </c>
      <c r="O79" s="60">
        <v>0</v>
      </c>
      <c r="P79" s="60">
        <v>2.99</v>
      </c>
      <c r="Q79" s="60">
        <v>5.74</v>
      </c>
      <c r="R79" s="194"/>
      <c r="S79" s="194"/>
      <c r="T79" s="194"/>
      <c r="U79" s="194"/>
    </row>
    <row r="80" spans="1:21" s="12" customFormat="1" ht="15">
      <c r="A80" s="197" t="s">
        <v>1372</v>
      </c>
      <c r="B80" s="60">
        <v>4.43</v>
      </c>
      <c r="C80" s="60">
        <v>19.47</v>
      </c>
      <c r="D80" s="60">
        <v>23.90</v>
      </c>
      <c r="E80" s="60">
        <v>6.70</v>
      </c>
      <c r="F80" s="60">
        <v>0.37</v>
      </c>
      <c r="G80" s="214" t="s">
        <v>36</v>
      </c>
      <c r="H80" s="60">
        <v>12.46</v>
      </c>
      <c r="I80" s="60">
        <v>5.43</v>
      </c>
      <c r="J80" s="60">
        <v>2.11</v>
      </c>
      <c r="K80" s="60">
        <v>104.32</v>
      </c>
      <c r="L80" s="9" t="s">
        <v>36</v>
      </c>
      <c r="M80" s="60">
        <v>77.45</v>
      </c>
      <c r="N80" s="60">
        <v>20.90</v>
      </c>
      <c r="O80" s="60">
        <v>0</v>
      </c>
      <c r="P80" s="60">
        <v>2.97</v>
      </c>
      <c r="Q80" s="60">
        <v>5.09</v>
      </c>
      <c r="R80" s="194"/>
      <c r="S80" s="194"/>
      <c r="T80" s="194"/>
      <c r="U80" s="194"/>
    </row>
    <row r="81" spans="1:21" s="12" customFormat="1" ht="15">
      <c r="A81" s="197" t="s">
        <v>1373</v>
      </c>
      <c r="B81" s="60">
        <v>4.12</v>
      </c>
      <c r="C81" s="60">
        <v>17.86</v>
      </c>
      <c r="D81" s="60">
        <v>21.98</v>
      </c>
      <c r="E81" s="60">
        <v>7.36</v>
      </c>
      <c r="F81" s="60">
        <v>0.33</v>
      </c>
      <c r="G81" s="214" t="s">
        <v>36</v>
      </c>
      <c r="H81" s="60">
        <v>13.41</v>
      </c>
      <c r="I81" s="60">
        <v>5.35</v>
      </c>
      <c r="J81" s="60">
        <v>2.02</v>
      </c>
      <c r="K81" s="60">
        <v>105.51</v>
      </c>
      <c r="L81" s="9" t="s">
        <v>36</v>
      </c>
      <c r="M81" s="60">
        <v>77.650000000000006</v>
      </c>
      <c r="N81" s="60">
        <v>17.80</v>
      </c>
      <c r="O81" s="60">
        <v>0</v>
      </c>
      <c r="P81" s="60">
        <v>2.95</v>
      </c>
      <c r="Q81" s="60">
        <v>4.53</v>
      </c>
      <c r="R81" s="194"/>
      <c r="S81" s="194"/>
      <c r="T81" s="194"/>
      <c r="U81" s="194"/>
    </row>
    <row r="82" spans="1:21" s="12" customFormat="1" ht="15">
      <c r="A82" s="197" t="s">
        <v>1374</v>
      </c>
      <c r="B82" s="60">
        <v>3.94</v>
      </c>
      <c r="C82" s="60">
        <v>16.66</v>
      </c>
      <c r="D82" s="60">
        <v>20.60</v>
      </c>
      <c r="E82" s="60">
        <v>7.15</v>
      </c>
      <c r="F82" s="60">
        <v>0.46</v>
      </c>
      <c r="G82" s="214" t="s">
        <v>36</v>
      </c>
      <c r="H82" s="60">
        <v>15.76</v>
      </c>
      <c r="I82" s="60">
        <v>5.43</v>
      </c>
      <c r="J82" s="60">
        <v>1.1599999999999999</v>
      </c>
      <c r="K82" s="60">
        <v>101.64</v>
      </c>
      <c r="L82" s="9" t="s">
        <v>36</v>
      </c>
      <c r="M82" s="60">
        <v>76.88</v>
      </c>
      <c r="N82" s="60">
        <v>2.80</v>
      </c>
      <c r="O82" s="60">
        <v>0</v>
      </c>
      <c r="P82" s="60">
        <v>2.93</v>
      </c>
      <c r="Q82" s="60">
        <v>4.25</v>
      </c>
      <c r="R82" s="194"/>
      <c r="S82" s="194"/>
      <c r="T82" s="194"/>
      <c r="U82" s="194"/>
    </row>
    <row r="83" spans="1:21" s="12" customFormat="1" ht="15">
      <c r="A83" s="197" t="s">
        <v>1375</v>
      </c>
      <c r="B83" s="60">
        <v>3.92</v>
      </c>
      <c r="C83" s="60">
        <v>15.64</v>
      </c>
      <c r="D83" s="60">
        <v>19.559999999999999</v>
      </c>
      <c r="E83" s="60">
        <v>7.45</v>
      </c>
      <c r="F83" s="60">
        <v>0.44</v>
      </c>
      <c r="G83" s="214" t="s">
        <v>36</v>
      </c>
      <c r="H83" s="60">
        <v>15.76</v>
      </c>
      <c r="I83" s="60">
        <v>5.39</v>
      </c>
      <c r="J83" s="60">
        <v>1.0900000000000001</v>
      </c>
      <c r="K83" s="60">
        <v>103.10</v>
      </c>
      <c r="L83" s="9" t="s">
        <v>36</v>
      </c>
      <c r="M83" s="60">
        <v>74.19</v>
      </c>
      <c r="N83" s="60">
        <v>1.1000000000000001</v>
      </c>
      <c r="O83" s="60">
        <v>0</v>
      </c>
      <c r="P83" s="60">
        <v>2.91</v>
      </c>
      <c r="Q83" s="60">
        <v>4.03</v>
      </c>
      <c r="R83" s="194"/>
      <c r="S83" s="194"/>
      <c r="T83" s="194"/>
      <c r="U83" s="194"/>
    </row>
    <row r="84" spans="1:21" s="12" customFormat="1" ht="15">
      <c r="A84" s="197" t="s">
        <v>1376</v>
      </c>
      <c r="B84" s="60">
        <v>4.25</v>
      </c>
      <c r="C84" s="60">
        <v>15.68</v>
      </c>
      <c r="D84" s="60">
        <v>19.940000000000001</v>
      </c>
      <c r="E84" s="60">
        <v>7.43</v>
      </c>
      <c r="F84" s="60">
        <v>0.21</v>
      </c>
      <c r="G84" s="214" t="s">
        <v>36</v>
      </c>
      <c r="H84" s="60">
        <v>15.76</v>
      </c>
      <c r="I84" s="60">
        <v>5.31</v>
      </c>
      <c r="J84" s="60">
        <v>0.63</v>
      </c>
      <c r="K84" s="60">
        <v>330.88</v>
      </c>
      <c r="L84" s="9" t="s">
        <v>36</v>
      </c>
      <c r="M84" s="60">
        <v>76.84</v>
      </c>
      <c r="N84" s="60">
        <v>0.30</v>
      </c>
      <c r="O84" s="60">
        <v>0</v>
      </c>
      <c r="P84" s="60">
        <v>2.92</v>
      </c>
      <c r="Q84" s="60">
        <v>4.49</v>
      </c>
      <c r="R84" s="194"/>
      <c r="S84" s="194"/>
      <c r="T84" s="194"/>
      <c r="U84" s="194"/>
    </row>
    <row r="85" spans="1:21" s="12" customFormat="1" ht="15">
      <c r="A85" s="197" t="s">
        <v>1377</v>
      </c>
      <c r="B85" s="60">
        <v>5.43</v>
      </c>
      <c r="C85" s="60">
        <v>16.02</v>
      </c>
      <c r="D85" s="60">
        <v>21.45</v>
      </c>
      <c r="E85" s="60">
        <v>7.76</v>
      </c>
      <c r="F85" s="60">
        <v>0.31</v>
      </c>
      <c r="G85" s="214" t="s">
        <v>36</v>
      </c>
      <c r="H85" s="60">
        <v>15.14</v>
      </c>
      <c r="I85" s="60">
        <v>5.22</v>
      </c>
      <c r="J85" s="60">
        <v>0.21</v>
      </c>
      <c r="K85" s="60">
        <v>131.05000000000001</v>
      </c>
      <c r="L85" s="9" t="s">
        <v>36</v>
      </c>
      <c r="M85" s="60">
        <v>81.709999999999994</v>
      </c>
      <c r="N85" s="60">
        <v>0.80</v>
      </c>
      <c r="O85" s="60">
        <v>0</v>
      </c>
      <c r="P85" s="60">
        <v>2.99</v>
      </c>
      <c r="Q85" s="60">
        <v>5.92</v>
      </c>
      <c r="R85" s="194"/>
      <c r="S85" s="194"/>
      <c r="T85" s="194"/>
      <c r="U85" s="194"/>
    </row>
    <row r="86" spans="1:21" s="12" customFormat="1" ht="15">
      <c r="A86" s="197" t="s">
        <v>1378</v>
      </c>
      <c r="B86" s="60">
        <v>6.31</v>
      </c>
      <c r="C86" s="60">
        <v>16.96</v>
      </c>
      <c r="D86" s="60">
        <v>23.27</v>
      </c>
      <c r="E86" s="60">
        <v>7.30</v>
      </c>
      <c r="F86" s="60">
        <v>0.13</v>
      </c>
      <c r="G86" s="214" t="s">
        <v>36</v>
      </c>
      <c r="H86" s="60">
        <v>13.63</v>
      </c>
      <c r="I86" s="60">
        <v>5.17</v>
      </c>
      <c r="J86" s="60">
        <v>0.42</v>
      </c>
      <c r="K86" s="60">
        <v>333.38</v>
      </c>
      <c r="L86" s="9" t="s">
        <v>36</v>
      </c>
      <c r="M86" s="60">
        <v>82.23</v>
      </c>
      <c r="N86" s="60">
        <v>0.5</v>
      </c>
      <c r="O86" s="60">
        <v>0</v>
      </c>
      <c r="P86" s="60">
        <v>3.04</v>
      </c>
      <c r="Q86" s="60">
        <v>7.34</v>
      </c>
      <c r="R86" s="194"/>
      <c r="S86" s="194"/>
      <c r="T86" s="194"/>
      <c r="U86" s="194"/>
    </row>
    <row r="87" spans="1:21" s="12" customFormat="1" ht="15">
      <c r="A87" s="197" t="s">
        <v>1379</v>
      </c>
      <c r="B87" s="60">
        <v>7.34</v>
      </c>
      <c r="C87" s="60">
        <v>17.88</v>
      </c>
      <c r="D87" s="60">
        <v>25.23</v>
      </c>
      <c r="E87" s="60">
        <v>7.54</v>
      </c>
      <c r="F87" s="60">
        <v>0.30</v>
      </c>
      <c r="G87" s="214" t="s">
        <v>36</v>
      </c>
      <c r="H87" s="60">
        <v>13.63</v>
      </c>
      <c r="I87" s="60">
        <v>5.64</v>
      </c>
      <c r="J87" s="60">
        <v>0.15</v>
      </c>
      <c r="K87" s="60">
        <v>171.03</v>
      </c>
      <c r="L87" s="9" t="s">
        <v>36</v>
      </c>
      <c r="M87" s="60">
        <v>88.46</v>
      </c>
      <c r="N87" s="60">
        <v>0.80</v>
      </c>
      <c r="O87" s="60">
        <v>0</v>
      </c>
      <c r="P87" s="60">
        <v>3.08</v>
      </c>
      <c r="Q87" s="60">
        <v>8.3699999999999992</v>
      </c>
      <c r="R87" s="194"/>
      <c r="S87" s="194"/>
      <c r="T87" s="194"/>
      <c r="U87" s="194"/>
    </row>
    <row r="88" spans="1:21" s="12" customFormat="1" ht="15">
      <c r="A88" s="197" t="s">
        <v>1380</v>
      </c>
      <c r="B88" s="60">
        <v>7.55</v>
      </c>
      <c r="C88" s="60">
        <v>18.170000000000002</v>
      </c>
      <c r="D88" s="60">
        <v>25.72</v>
      </c>
      <c r="E88" s="60">
        <v>3.48</v>
      </c>
      <c r="F88" s="60">
        <v>0.23</v>
      </c>
      <c r="G88" s="214" t="s">
        <v>36</v>
      </c>
      <c r="H88" s="60">
        <v>13.63</v>
      </c>
      <c r="I88" s="60">
        <v>5.95</v>
      </c>
      <c r="J88" s="60">
        <v>0.04</v>
      </c>
      <c r="K88" s="60">
        <v>58.03</v>
      </c>
      <c r="L88" s="9" t="s">
        <v>36</v>
      </c>
      <c r="M88" s="60">
        <v>89.27</v>
      </c>
      <c r="N88" s="60">
        <v>0.30</v>
      </c>
      <c r="O88" s="60">
        <v>0</v>
      </c>
      <c r="P88" s="60">
        <v>3.09</v>
      </c>
      <c r="Q88" s="60">
        <v>8.76</v>
      </c>
      <c r="R88" s="194"/>
      <c r="S88" s="194"/>
      <c r="T88" s="194"/>
      <c r="U88" s="194"/>
    </row>
    <row r="89" spans="1:21" s="12" customFormat="1" ht="15">
      <c r="A89" s="197" t="s">
        <v>1381</v>
      </c>
      <c r="B89" s="60">
        <v>7.69</v>
      </c>
      <c r="C89" s="60">
        <v>18.32</v>
      </c>
      <c r="D89" s="60">
        <v>26.01</v>
      </c>
      <c r="E89" s="60">
        <v>6.49</v>
      </c>
      <c r="F89" s="60">
        <v>0.25</v>
      </c>
      <c r="G89" s="214" t="s">
        <v>36</v>
      </c>
      <c r="H89" s="60">
        <v>14.80</v>
      </c>
      <c r="I89" s="60">
        <v>6.28</v>
      </c>
      <c r="J89" s="60">
        <v>0.05</v>
      </c>
      <c r="K89" s="60">
        <v>310.94</v>
      </c>
      <c r="L89" s="9" t="s">
        <v>36</v>
      </c>
      <c r="M89" s="60">
        <v>88.68</v>
      </c>
      <c r="N89" s="60">
        <v>0.40</v>
      </c>
      <c r="O89" s="60">
        <v>0</v>
      </c>
      <c r="P89" s="60">
        <v>3.10</v>
      </c>
      <c r="Q89" s="60">
        <v>8.8699999999999992</v>
      </c>
      <c r="R89" s="194"/>
      <c r="S89" s="194"/>
      <c r="T89" s="194"/>
      <c r="U89" s="194"/>
    </row>
    <row r="90" spans="1:21" s="12" customFormat="1" ht="15">
      <c r="A90" s="197" t="s">
        <v>1382</v>
      </c>
      <c r="B90" s="60">
        <v>7.55</v>
      </c>
      <c r="C90" s="60">
        <v>18.68</v>
      </c>
      <c r="D90" s="60">
        <v>26.23</v>
      </c>
      <c r="E90" s="60">
        <v>7.08</v>
      </c>
      <c r="F90" s="60">
        <v>0.12</v>
      </c>
      <c r="G90" s="214" t="s">
        <v>36</v>
      </c>
      <c r="H90" s="60">
        <v>17.68</v>
      </c>
      <c r="I90" s="60">
        <v>6.28</v>
      </c>
      <c r="J90" s="60">
        <v>0.04</v>
      </c>
      <c r="K90" s="60">
        <v>276.52999999999997</v>
      </c>
      <c r="L90" s="9" t="s">
        <v>36</v>
      </c>
      <c r="M90" s="60">
        <v>89.95</v>
      </c>
      <c r="N90" s="60">
        <v>0.40</v>
      </c>
      <c r="O90" s="60">
        <v>0</v>
      </c>
      <c r="P90" s="60">
        <v>3.10</v>
      </c>
      <c r="Q90" s="60">
        <v>8.83</v>
      </c>
      <c r="R90" s="194"/>
      <c r="S90" s="194"/>
      <c r="T90" s="194"/>
      <c r="U90" s="194"/>
    </row>
    <row r="91" spans="1:21" s="12" customFormat="1" ht="15">
      <c r="A91" s="197" t="s">
        <v>1383</v>
      </c>
      <c r="B91" s="60">
        <v>7.19</v>
      </c>
      <c r="C91" s="60">
        <v>18.88</v>
      </c>
      <c r="D91" s="60">
        <v>26.07</v>
      </c>
      <c r="E91" s="60">
        <v>6.77</v>
      </c>
      <c r="F91" s="60">
        <v>0.20</v>
      </c>
      <c r="G91" s="214" t="s">
        <v>36</v>
      </c>
      <c r="H91" s="60">
        <v>17.68</v>
      </c>
      <c r="I91" s="60">
        <v>6.33</v>
      </c>
      <c r="J91" s="60">
        <v>0.20</v>
      </c>
      <c r="K91" s="60">
        <v>346.93</v>
      </c>
      <c r="L91" s="9" t="s">
        <v>36</v>
      </c>
      <c r="M91" s="60">
        <v>90.61</v>
      </c>
      <c r="N91" s="60">
        <v>0.40</v>
      </c>
      <c r="O91" s="60">
        <v>0</v>
      </c>
      <c r="P91" s="60">
        <v>3.09</v>
      </c>
      <c r="Q91" s="60">
        <v>8.02</v>
      </c>
      <c r="R91" s="194"/>
      <c r="S91" s="194"/>
      <c r="T91" s="194"/>
      <c r="U91" s="194"/>
    </row>
    <row r="92" spans="1:21" s="12" customFormat="1" ht="15">
      <c r="A92" s="197" t="s">
        <v>1384</v>
      </c>
      <c r="B92" s="60">
        <v>7.20</v>
      </c>
      <c r="C92" s="60">
        <v>18.850000000000001</v>
      </c>
      <c r="D92" s="60">
        <v>26.05</v>
      </c>
      <c r="E92" s="60">
        <v>6.40</v>
      </c>
      <c r="F92" s="60">
        <v>0.16</v>
      </c>
      <c r="G92" s="214" t="s">
        <v>36</v>
      </c>
      <c r="H92" s="60">
        <v>17.68</v>
      </c>
      <c r="I92" s="60">
        <v>6.34</v>
      </c>
      <c r="J92" s="60">
        <v>0.19</v>
      </c>
      <c r="K92" s="60">
        <v>23.12</v>
      </c>
      <c r="L92" s="9" t="s">
        <v>36</v>
      </c>
      <c r="M92" s="60">
        <v>90.96</v>
      </c>
      <c r="N92" s="60">
        <v>0.40</v>
      </c>
      <c r="O92" s="60">
        <v>0</v>
      </c>
      <c r="P92" s="60">
        <v>3.10</v>
      </c>
      <c r="Q92" s="60">
        <v>6.93</v>
      </c>
      <c r="R92" s="194"/>
      <c r="S92" s="194"/>
      <c r="T92" s="194"/>
      <c r="U92" s="194"/>
    </row>
    <row r="93" spans="1:21" s="12" customFormat="1" ht="15">
      <c r="A93" s="197" t="s">
        <v>1385</v>
      </c>
      <c r="B93" s="60">
        <v>7.24</v>
      </c>
      <c r="C93" s="60">
        <v>18.829999999999998</v>
      </c>
      <c r="D93" s="60">
        <v>26.07</v>
      </c>
      <c r="E93" s="60">
        <v>6.46</v>
      </c>
      <c r="F93" s="60">
        <v>0.23</v>
      </c>
      <c r="G93" s="214" t="s">
        <v>36</v>
      </c>
      <c r="H93" s="60">
        <v>16.149999999999999</v>
      </c>
      <c r="I93" s="60">
        <v>6.36</v>
      </c>
      <c r="J93" s="60">
        <v>0.10</v>
      </c>
      <c r="K93" s="60">
        <v>356.45</v>
      </c>
      <c r="L93" s="9" t="s">
        <v>36</v>
      </c>
      <c r="M93" s="60">
        <v>90.49</v>
      </c>
      <c r="N93" s="60">
        <v>0.40</v>
      </c>
      <c r="O93" s="60">
        <v>0</v>
      </c>
      <c r="P93" s="60">
        <v>3.10</v>
      </c>
      <c r="Q93" s="60">
        <v>6.23</v>
      </c>
      <c r="R93" s="194"/>
      <c r="S93" s="194"/>
      <c r="T93" s="194"/>
      <c r="U93" s="194"/>
    </row>
    <row r="94" spans="1:21" s="12" customFormat="1" ht="15">
      <c r="A94" s="197" t="s">
        <v>1386</v>
      </c>
      <c r="B94" s="60">
        <v>7.33</v>
      </c>
      <c r="C94" s="60">
        <v>18.64</v>
      </c>
      <c r="D94" s="60">
        <v>25.97</v>
      </c>
      <c r="E94" s="60">
        <v>6.70</v>
      </c>
      <c r="F94" s="60">
        <v>0.35</v>
      </c>
      <c r="G94" s="214" t="s">
        <v>36</v>
      </c>
      <c r="H94" s="60">
        <v>12.37</v>
      </c>
      <c r="I94" s="60">
        <v>6.41</v>
      </c>
      <c r="J94" s="60">
        <v>0.20</v>
      </c>
      <c r="K94" s="60">
        <v>22.5</v>
      </c>
      <c r="L94" s="9" t="s">
        <v>36</v>
      </c>
      <c r="M94" s="60">
        <v>91.02</v>
      </c>
      <c r="N94" s="60">
        <v>0.40</v>
      </c>
      <c r="O94" s="60">
        <v>0</v>
      </c>
      <c r="P94" s="60">
        <v>3.11</v>
      </c>
      <c r="Q94" s="60">
        <v>5.90</v>
      </c>
      <c r="R94" s="194"/>
      <c r="S94" s="194"/>
      <c r="T94" s="194"/>
      <c r="U94" s="194"/>
    </row>
    <row r="95" spans="1:21" s="12" customFormat="1" ht="15">
      <c r="A95" s="197" t="s">
        <v>1387</v>
      </c>
      <c r="B95" s="60">
        <v>7.86</v>
      </c>
      <c r="C95" s="60">
        <v>18.89</v>
      </c>
      <c r="D95" s="60">
        <v>26.75</v>
      </c>
      <c r="E95" s="60">
        <v>6.36</v>
      </c>
      <c r="F95" s="60">
        <v>0.25</v>
      </c>
      <c r="G95" s="214" t="s">
        <v>36</v>
      </c>
      <c r="H95" s="60">
        <v>12.37</v>
      </c>
      <c r="I95" s="60">
        <v>6.42</v>
      </c>
      <c r="J95" s="60">
        <v>0.20</v>
      </c>
      <c r="K95" s="60">
        <v>23.87</v>
      </c>
      <c r="L95" s="9" t="s">
        <v>36</v>
      </c>
      <c r="M95" s="60">
        <v>90.22</v>
      </c>
      <c r="N95" s="60">
        <v>0.40</v>
      </c>
      <c r="O95" s="60">
        <v>0</v>
      </c>
      <c r="P95" s="60">
        <v>3.09</v>
      </c>
      <c r="Q95" s="60">
        <v>6.01</v>
      </c>
      <c r="R95" s="194"/>
      <c r="S95" s="194"/>
      <c r="T95" s="194"/>
      <c r="U95" s="194"/>
    </row>
    <row r="96" spans="1:26" s="12" customFormat="1" ht="15">
      <c r="A96" s="197" t="s">
        <v>1388</v>
      </c>
      <c r="B96" s="60">
        <v>8.86</v>
      </c>
      <c r="C96" s="60">
        <v>19.600000000000001</v>
      </c>
      <c r="D96" s="60">
        <v>28.47</v>
      </c>
      <c r="E96" s="60">
        <v>6.02</v>
      </c>
      <c r="F96" s="60">
        <v>0.23</v>
      </c>
      <c r="G96" s="214" t="s">
        <v>36</v>
      </c>
      <c r="H96" s="60">
        <v>12.37</v>
      </c>
      <c r="I96" s="60">
        <v>6.42</v>
      </c>
      <c r="J96" s="60">
        <v>0.15</v>
      </c>
      <c r="K96" s="60">
        <v>352.68</v>
      </c>
      <c r="L96" s="9" t="s">
        <v>36</v>
      </c>
      <c r="M96" s="60">
        <v>89.06</v>
      </c>
      <c r="N96" s="60">
        <v>0.40</v>
      </c>
      <c r="O96" s="60">
        <v>0</v>
      </c>
      <c r="P96" s="60">
        <v>3.09</v>
      </c>
      <c r="Q96" s="60">
        <v>6.22</v>
      </c>
      <c r="R96" s="194"/>
      <c r="S96" s="194"/>
      <c r="T96" s="194"/>
      <c r="U96" s="194"/>
      <c r="Z96" s="105"/>
    </row>
    <row r="97" spans="1:21" s="12" customFormat="1" ht="15">
      <c r="A97" s="197" t="s">
        <v>1389</v>
      </c>
      <c r="B97" s="60">
        <v>8.74</v>
      </c>
      <c r="C97" s="60">
        <v>19.260000000000002</v>
      </c>
      <c r="D97" s="60">
        <v>28</v>
      </c>
      <c r="E97" s="60">
        <v>6.46</v>
      </c>
      <c r="F97" s="60">
        <v>0.070000000000000007</v>
      </c>
      <c r="G97" s="214" t="s">
        <v>36</v>
      </c>
      <c r="H97" s="60">
        <v>12.29</v>
      </c>
      <c r="I97" s="60">
        <v>6.41</v>
      </c>
      <c r="J97" s="60">
        <v>0.16</v>
      </c>
      <c r="K97" s="60">
        <v>23.71</v>
      </c>
      <c r="L97" s="9" t="s">
        <v>36</v>
      </c>
      <c r="M97" s="60">
        <v>93.64</v>
      </c>
      <c r="N97" s="60">
        <v>0.20</v>
      </c>
      <c r="O97" s="60">
        <v>0.80</v>
      </c>
      <c r="P97" s="60">
        <v>3.08</v>
      </c>
      <c r="Q97" s="60">
        <v>6.03</v>
      </c>
      <c r="R97" s="194"/>
      <c r="S97" s="194"/>
      <c r="T97" s="194"/>
      <c r="U97" s="194"/>
    </row>
    <row r="98" spans="1:21" s="12" customFormat="1" ht="15">
      <c r="A98" s="197" t="s">
        <v>1390</v>
      </c>
      <c r="B98" s="60">
        <v>8.51</v>
      </c>
      <c r="C98" s="60">
        <v>18.829999999999998</v>
      </c>
      <c r="D98" s="60">
        <v>27.34</v>
      </c>
      <c r="E98" s="60">
        <v>6.34</v>
      </c>
      <c r="F98" s="60">
        <v>0.01</v>
      </c>
      <c r="G98" s="214" t="s">
        <v>36</v>
      </c>
      <c r="H98" s="60">
        <v>12.08</v>
      </c>
      <c r="I98" s="60">
        <v>6.41</v>
      </c>
      <c r="J98" s="60">
        <v>0.14000000000000001</v>
      </c>
      <c r="K98" s="60">
        <v>224.94</v>
      </c>
      <c r="L98" s="9" t="s">
        <v>36</v>
      </c>
      <c r="M98" s="60">
        <v>96.44</v>
      </c>
      <c r="N98" s="60">
        <v>0.70</v>
      </c>
      <c r="O98" s="60">
        <v>0</v>
      </c>
      <c r="P98" s="60">
        <v>3.06</v>
      </c>
      <c r="Q98" s="60">
        <v>5.97</v>
      </c>
      <c r="R98" s="194"/>
      <c r="S98" s="194"/>
      <c r="T98" s="194"/>
      <c r="U98" s="194"/>
    </row>
    <row r="99" spans="1:21" s="12" customFormat="1" ht="15">
      <c r="A99" s="197" t="s">
        <v>1391</v>
      </c>
      <c r="B99" s="60">
        <v>7.79</v>
      </c>
      <c r="C99" s="60">
        <v>17.66</v>
      </c>
      <c r="D99" s="60">
        <v>25.44</v>
      </c>
      <c r="E99" s="60">
        <v>6.31</v>
      </c>
      <c r="F99" s="60">
        <v>0.24</v>
      </c>
      <c r="G99" s="214" t="s">
        <v>36</v>
      </c>
      <c r="H99" s="60">
        <v>12.08</v>
      </c>
      <c r="I99" s="60">
        <v>6.34</v>
      </c>
      <c r="J99" s="60">
        <v>0.13</v>
      </c>
      <c r="K99" s="60">
        <v>25.85</v>
      </c>
      <c r="L99" s="9" t="s">
        <v>36</v>
      </c>
      <c r="M99" s="60">
        <v>96.88</v>
      </c>
      <c r="N99" s="60">
        <v>0.5</v>
      </c>
      <c r="O99" s="60">
        <v>0</v>
      </c>
      <c r="P99" s="60">
        <v>3.03</v>
      </c>
      <c r="Q99" s="60">
        <v>6.13</v>
      </c>
      <c r="R99" s="194"/>
      <c r="S99" s="194"/>
      <c r="T99" s="194"/>
      <c r="U99" s="194"/>
    </row>
    <row r="100" spans="1:33" s="12" customFormat="1" ht="15">
      <c r="A100" s="197" t="s">
        <v>1392</v>
      </c>
      <c r="B100" s="60">
        <v>6.73</v>
      </c>
      <c r="C100" s="60">
        <v>17.30</v>
      </c>
      <c r="D100" s="60">
        <v>24.03</v>
      </c>
      <c r="E100" s="60">
        <v>6.22</v>
      </c>
      <c r="F100" s="60">
        <v>0.27</v>
      </c>
      <c r="G100" s="214" t="s">
        <v>36</v>
      </c>
      <c r="H100" s="60">
        <v>12.08</v>
      </c>
      <c r="I100" s="60">
        <v>6.20</v>
      </c>
      <c r="J100" s="60">
        <v>0.17</v>
      </c>
      <c r="K100" s="60">
        <v>189.76</v>
      </c>
      <c r="L100" s="9" t="s">
        <v>36</v>
      </c>
      <c r="M100" s="60">
        <v>97.21</v>
      </c>
      <c r="N100" s="60">
        <v>0.40</v>
      </c>
      <c r="O100" s="60">
        <v>0</v>
      </c>
      <c r="P100" s="60">
        <v>3.04</v>
      </c>
      <c r="Q100" s="60">
        <v>6.71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1393</v>
      </c>
      <c r="B101" s="60">
        <v>5.93</v>
      </c>
      <c r="C101" s="60">
        <v>16.649999999999999</v>
      </c>
      <c r="D101" s="60">
        <v>22.58</v>
      </c>
      <c r="E101" s="60">
        <v>6.44</v>
      </c>
      <c r="F101" s="60">
        <v>0.24</v>
      </c>
      <c r="G101" s="214" t="s">
        <v>36</v>
      </c>
      <c r="H101" s="60">
        <v>12.10</v>
      </c>
      <c r="I101" s="60">
        <v>6.09</v>
      </c>
      <c r="J101" s="60">
        <v>0.22</v>
      </c>
      <c r="K101" s="60">
        <v>84.98</v>
      </c>
      <c r="L101" s="9" t="s">
        <v>36</v>
      </c>
      <c r="M101" s="60">
        <v>98.41</v>
      </c>
      <c r="N101" s="60">
        <v>0.70</v>
      </c>
      <c r="O101" s="60">
        <v>7.20</v>
      </c>
      <c r="P101" s="60">
        <v>3.05</v>
      </c>
      <c r="Q101" s="60">
        <v>7.20</v>
      </c>
      <c r="R101" s="194"/>
      <c r="S101" s="194"/>
      <c r="T101" s="194"/>
      <c r="U101" s="194"/>
    </row>
    <row r="102" spans="1:21" s="12" customFormat="1" ht="15">
      <c r="A102" s="197" t="s">
        <v>1394</v>
      </c>
      <c r="B102" s="60">
        <v>5.67</v>
      </c>
      <c r="C102" s="60">
        <v>15.97</v>
      </c>
      <c r="D102" s="60">
        <v>21.63</v>
      </c>
      <c r="E102" s="60">
        <v>6.20</v>
      </c>
      <c r="F102" s="60">
        <v>0.06</v>
      </c>
      <c r="G102" s="214" t="s">
        <v>36</v>
      </c>
      <c r="H102" s="60">
        <v>12.15</v>
      </c>
      <c r="I102" s="60">
        <v>6.09</v>
      </c>
      <c r="J102" s="60">
        <v>0.52</v>
      </c>
      <c r="K102" s="60">
        <v>351.51</v>
      </c>
      <c r="L102" s="9" t="s">
        <v>36</v>
      </c>
      <c r="M102" s="60">
        <v>99.10</v>
      </c>
      <c r="N102" s="60">
        <v>0.80</v>
      </c>
      <c r="O102" s="60">
        <v>8.60</v>
      </c>
      <c r="P102" s="60">
        <v>3.04</v>
      </c>
      <c r="Q102" s="60">
        <v>7.40</v>
      </c>
      <c r="R102" s="194"/>
      <c r="S102" s="194"/>
      <c r="T102" s="194"/>
      <c r="U102" s="194"/>
    </row>
    <row r="103" spans="1:21" s="12" customFormat="1" ht="15">
      <c r="A103" s="197" t="s">
        <v>1395</v>
      </c>
      <c r="B103" s="60">
        <v>5.75</v>
      </c>
      <c r="C103" s="60">
        <v>15.66</v>
      </c>
      <c r="D103" s="60">
        <v>21.41</v>
      </c>
      <c r="E103" s="60">
        <v>6.68</v>
      </c>
      <c r="F103" s="60">
        <v>0.09</v>
      </c>
      <c r="G103" s="214" t="s">
        <v>36</v>
      </c>
      <c r="H103" s="60">
        <v>12.15</v>
      </c>
      <c r="I103" s="60">
        <v>6.22</v>
      </c>
      <c r="J103" s="60">
        <v>0.80</v>
      </c>
      <c r="K103" s="60">
        <v>357.54</v>
      </c>
      <c r="L103" s="9" t="s">
        <v>36</v>
      </c>
      <c r="M103" s="60">
        <v>99.10</v>
      </c>
      <c r="N103" s="60">
        <v>0.30</v>
      </c>
      <c r="O103" s="60">
        <v>2.40</v>
      </c>
      <c r="P103" s="60">
        <v>3.02</v>
      </c>
      <c r="Q103" s="60">
        <v>7.5</v>
      </c>
      <c r="R103" s="194"/>
      <c r="S103" s="194"/>
      <c r="T103" s="194"/>
      <c r="U103" s="194"/>
    </row>
    <row r="104" spans="1:21" s="12" customFormat="1" ht="15">
      <c r="A104" s="197" t="s">
        <v>1396</v>
      </c>
      <c r="B104" s="60">
        <v>5.79</v>
      </c>
      <c r="C104" s="60">
        <v>15.24</v>
      </c>
      <c r="D104" s="60">
        <v>21.03</v>
      </c>
      <c r="E104" s="60">
        <v>3.83</v>
      </c>
      <c r="F104" s="60">
        <v>0.18</v>
      </c>
      <c r="G104" s="214" t="s">
        <v>36</v>
      </c>
      <c r="H104" s="60">
        <v>12.15</v>
      </c>
      <c r="I104" s="60">
        <v>6.31</v>
      </c>
      <c r="J104" s="60">
        <v>1.1499999999999999</v>
      </c>
      <c r="K104" s="60">
        <v>319.45</v>
      </c>
      <c r="L104" s="9" t="s">
        <v>36</v>
      </c>
      <c r="M104" s="60">
        <v>99.10</v>
      </c>
      <c r="N104" s="60">
        <v>0.80</v>
      </c>
      <c r="O104" s="60">
        <v>0</v>
      </c>
      <c r="P104" s="60">
        <v>3</v>
      </c>
      <c r="Q104" s="60">
        <v>7.46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1.21</v>
      </c>
      <c r="C106" s="67">
        <f>MIN(C9:C104)</f>
        <v>9.5899999999999999</v>
      </c>
      <c r="D106" s="67">
        <f t="shared" si="0" ref="D106:Q106">MIN(D9:D104)</f>
        <v>11.09</v>
      </c>
      <c r="E106" s="67">
        <f t="shared" si="0"/>
        <v>3.23</v>
      </c>
      <c r="F106" s="67">
        <f t="shared" si="0"/>
        <v>0.01</v>
      </c>
      <c r="G106" s="67">
        <f t="shared" si="0"/>
        <v>0</v>
      </c>
      <c r="H106" s="67">
        <f t="shared" si="0"/>
        <v>10.27</v>
      </c>
      <c r="I106" s="67">
        <f t="shared" si="0"/>
        <v>4.9699999999999998</v>
      </c>
      <c r="J106" s="67">
        <f t="shared" si="0"/>
        <v>0.040000000000000001</v>
      </c>
      <c r="K106" s="67">
        <f t="shared" si="0"/>
        <v>0.51000000000000001</v>
      </c>
      <c r="L106" s="67">
        <f t="shared" si="0"/>
        <v>0</v>
      </c>
      <c r="M106" s="67">
        <f t="shared" si="0"/>
        <v>60.310000000000002</v>
      </c>
      <c r="N106" s="67">
        <f t="shared" si="0"/>
        <v>0.20000000000000001</v>
      </c>
      <c r="O106" s="67">
        <f t="shared" si="0"/>
        <v>0</v>
      </c>
      <c r="P106" s="67">
        <f t="shared" si="0"/>
        <v>2.7999999999999998</v>
      </c>
      <c r="Q106" s="67">
        <f t="shared" si="0"/>
        <v>2.3100000000000001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11.880000000000001</v>
      </c>
      <c r="C107" s="66">
        <f t="shared" si="1" ref="C107:Q107">MAX(C9:C104)</f>
        <v>24.579999999999998</v>
      </c>
      <c r="D107" s="66">
        <f t="shared" si="1"/>
        <v>33.18</v>
      </c>
      <c r="E107" s="66">
        <f t="shared" si="1"/>
        <v>8.9199999999999999</v>
      </c>
      <c r="F107" s="66">
        <f t="shared" si="1"/>
        <v>1.3700000000000001</v>
      </c>
      <c r="G107" s="66">
        <f t="shared" si="1"/>
        <v>0</v>
      </c>
      <c r="H107" s="66">
        <f t="shared" si="1"/>
        <v>17.68</v>
      </c>
      <c r="I107" s="66">
        <f t="shared" si="1"/>
        <v>8.3499999999999996</v>
      </c>
      <c r="J107" s="66">
        <f t="shared" si="1"/>
        <v>2.3700000000000001</v>
      </c>
      <c r="K107" s="66">
        <f t="shared" si="1"/>
        <v>358.45999999999998</v>
      </c>
      <c r="L107" s="66">
        <f t="shared" si="1"/>
        <v>0</v>
      </c>
      <c r="M107" s="66">
        <f t="shared" si="1"/>
        <v>99.099999999999994</v>
      </c>
      <c r="N107" s="66">
        <f t="shared" si="1"/>
        <v>895.10000000000002</v>
      </c>
      <c r="O107" s="66">
        <f t="shared" si="1"/>
        <v>8.5999999999999996</v>
      </c>
      <c r="P107" s="66">
        <f t="shared" si="1"/>
        <v>3.1299999999999999</v>
      </c>
      <c r="Q107" s="66">
        <f t="shared" si="1"/>
        <v>10.57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6.8862499999999995</v>
      </c>
      <c r="C108" s="67">
        <f t="shared" si="2" ref="C108:Q108">AVERAGE(C9:C104)</f>
        <v>16.174062500000005</v>
      </c>
      <c r="D108" s="67">
        <f t="shared" si="2"/>
        <v>23.059791666666673</v>
      </c>
      <c r="E108" s="67">
        <f t="shared" si="2"/>
        <v>7.0354166666666673</v>
      </c>
      <c r="F108" s="67">
        <f t="shared" si="2"/>
        <v>0.41270833333333329</v>
      </c>
      <c r="G108" s="67" t="e">
        <f t="shared" si="2"/>
        <v>#DIV/0!</v>
      </c>
      <c r="H108" s="67">
        <f t="shared" si="2"/>
        <v>13.642604166666667</v>
      </c>
      <c r="I108" s="67">
        <f t="shared" si="2"/>
        <v>5.9419791666666661</v>
      </c>
      <c r="J108" s="67">
        <f t="shared" si="2"/>
        <v>0.96385416666666679</v>
      </c>
      <c r="K108" s="67">
        <f t="shared" si="2"/>
        <v>152.23260416666673</v>
      </c>
      <c r="L108" s="67" t="e">
        <f t="shared" si="2"/>
        <v>#DIV/0!</v>
      </c>
      <c r="M108" s="67">
        <f t="shared" si="2"/>
        <v>83.642916666666693</v>
      </c>
      <c r="N108" s="67">
        <f t="shared" si="2"/>
        <v>164.20833333333329</v>
      </c>
      <c r="O108" s="67">
        <f t="shared" si="2"/>
        <v>0.19791666666666666</v>
      </c>
      <c r="P108" s="67">
        <f t="shared" si="2"/>
        <v>2.9453125</v>
      </c>
      <c r="Q108" s="67">
        <f t="shared" si="2"/>
        <v>6.4616666666666651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3.2532083758717536</v>
      </c>
      <c r="C109" s="67">
        <f t="shared" si="3" ref="C109:Q109">STDEV(C9:C104)</f>
        <v>4.3686511414912026</v>
      </c>
      <c r="D109" s="67">
        <f t="shared" si="3"/>
        <v>6.523870336438816</v>
      </c>
      <c r="E109" s="67">
        <f t="shared" si="3"/>
        <v>1.0752820111527794</v>
      </c>
      <c r="F109" s="67">
        <f t="shared" si="3"/>
        <v>0.27925268378926776</v>
      </c>
      <c r="G109" s="67" t="e">
        <f t="shared" si="3"/>
        <v>#DIV/0!</v>
      </c>
      <c r="H109" s="67">
        <f t="shared" si="3"/>
        <v>2.116235110205539</v>
      </c>
      <c r="I109" s="67">
        <f t="shared" si="3"/>
        <v>0.75079693770464151</v>
      </c>
      <c r="J109" s="67">
        <f t="shared" si="3"/>
        <v>0.5324884378120418</v>
      </c>
      <c r="K109" s="67">
        <f t="shared" si="3"/>
        <v>144.41799517004927</v>
      </c>
      <c r="L109" s="67" t="e">
        <f t="shared" si="3"/>
        <v>#DIV/0!</v>
      </c>
      <c r="M109" s="67">
        <f t="shared" si="3"/>
        <v>13.471909325600025</v>
      </c>
      <c r="N109" s="67">
        <f t="shared" si="3"/>
        <v>221.57058310670575</v>
      </c>
      <c r="O109" s="67">
        <f t="shared" si="3"/>
        <v>1.1627534622761129</v>
      </c>
      <c r="P109" s="67">
        <f t="shared" si="3"/>
        <v>0.10861765994824034</v>
      </c>
      <c r="Q109" s="67">
        <f t="shared" si="3"/>
        <v>1.976885730886454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40e0fa6-ea1d-47b7-af7e-02f28ae64003}">
  <sheetPr codeName=""/>
  <dimension ref="A1:AG117"/>
  <sheetViews>
    <sheetView workbookViewId="0" topLeftCell="A1">
      <pane xSplit="1" ySplit="8" topLeftCell="B9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13-07-2022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1397</v>
      </c>
      <c r="B9" s="60">
        <v>5.19</v>
      </c>
      <c r="C9" s="60">
        <v>15.11</v>
      </c>
      <c r="D9" s="60">
        <v>20.30</v>
      </c>
      <c r="E9" s="60">
        <v>6.49</v>
      </c>
      <c r="F9" s="60">
        <v>0.23</v>
      </c>
      <c r="G9" s="214" t="s">
        <v>36</v>
      </c>
      <c r="H9" s="60">
        <v>11.72</v>
      </c>
      <c r="I9" s="60">
        <v>6.30</v>
      </c>
      <c r="J9" s="60">
        <v>0.43</v>
      </c>
      <c r="K9" s="60">
        <v>323.39</v>
      </c>
      <c r="L9" s="9" t="s">
        <v>36</v>
      </c>
      <c r="M9" s="60">
        <v>99.10</v>
      </c>
      <c r="N9" s="60">
        <v>0.40</v>
      </c>
      <c r="O9" s="60">
        <v>0</v>
      </c>
      <c r="P9" s="60">
        <v>2.98</v>
      </c>
      <c r="Q9" s="60">
        <v>7.14</v>
      </c>
      <c r="R9" s="194"/>
      <c r="S9" s="194"/>
      <c r="T9" s="194"/>
      <c r="U9" s="194"/>
    </row>
    <row r="10" spans="1:21" s="12" customFormat="1" ht="15">
      <c r="A10" s="197" t="s">
        <v>1398</v>
      </c>
      <c r="B10" s="60">
        <v>5.34</v>
      </c>
      <c r="C10" s="60">
        <v>14.84</v>
      </c>
      <c r="D10" s="60">
        <v>20.170000000000002</v>
      </c>
      <c r="E10" s="60">
        <v>6.47</v>
      </c>
      <c r="F10" s="60">
        <v>0.33</v>
      </c>
      <c r="G10" s="214" t="s">
        <v>36</v>
      </c>
      <c r="H10" s="60">
        <v>10.67</v>
      </c>
      <c r="I10" s="60">
        <v>6.23</v>
      </c>
      <c r="J10" s="60">
        <v>0.31</v>
      </c>
      <c r="K10" s="60">
        <v>324.43</v>
      </c>
      <c r="L10" s="9" t="s">
        <v>36</v>
      </c>
      <c r="M10" s="60">
        <v>99.10</v>
      </c>
      <c r="N10" s="60">
        <v>0.70</v>
      </c>
      <c r="O10" s="60">
        <v>0</v>
      </c>
      <c r="P10" s="60">
        <v>2.96</v>
      </c>
      <c r="Q10" s="60">
        <v>6.19</v>
      </c>
      <c r="R10" s="194"/>
      <c r="S10" s="194"/>
      <c r="T10" s="194"/>
      <c r="U10" s="194"/>
    </row>
    <row r="11" spans="1:21" s="12" customFormat="1" ht="15">
      <c r="A11" s="197" t="s">
        <v>1399</v>
      </c>
      <c r="B11" s="60">
        <v>5.09</v>
      </c>
      <c r="C11" s="60">
        <v>14.29</v>
      </c>
      <c r="D11" s="60">
        <v>19.39</v>
      </c>
      <c r="E11" s="60">
        <v>7.19</v>
      </c>
      <c r="F11" s="60">
        <v>0.25</v>
      </c>
      <c r="G11" s="214" t="s">
        <v>36</v>
      </c>
      <c r="H11" s="60">
        <v>10.67</v>
      </c>
      <c r="I11" s="60">
        <v>6.11</v>
      </c>
      <c r="J11" s="60">
        <v>0.65</v>
      </c>
      <c r="K11" s="60">
        <v>325.25</v>
      </c>
      <c r="L11" s="9" t="s">
        <v>36</v>
      </c>
      <c r="M11" s="60">
        <v>99.10</v>
      </c>
      <c r="N11" s="60">
        <v>0.80</v>
      </c>
      <c r="O11" s="60">
        <v>0</v>
      </c>
      <c r="P11" s="60">
        <v>2.94</v>
      </c>
      <c r="Q11" s="60">
        <v>5.08</v>
      </c>
      <c r="R11" s="194"/>
      <c r="S11" s="194"/>
      <c r="T11" s="194"/>
      <c r="U11" s="194"/>
    </row>
    <row r="12" spans="1:21" s="12" customFormat="1" ht="15">
      <c r="A12" s="197" t="s">
        <v>1400</v>
      </c>
      <c r="B12" s="60">
        <v>4.93</v>
      </c>
      <c r="C12" s="60">
        <v>13.61</v>
      </c>
      <c r="D12" s="60">
        <v>18.54</v>
      </c>
      <c r="E12" s="60">
        <v>7.08</v>
      </c>
      <c r="F12" s="60">
        <v>0.27</v>
      </c>
      <c r="G12" s="214" t="s">
        <v>36</v>
      </c>
      <c r="H12" s="60">
        <v>10.67</v>
      </c>
      <c r="I12" s="60">
        <v>6</v>
      </c>
      <c r="J12" s="60">
        <v>0.73</v>
      </c>
      <c r="K12" s="60">
        <v>325.95</v>
      </c>
      <c r="L12" s="9" t="s">
        <v>36</v>
      </c>
      <c r="M12" s="60">
        <v>99.10</v>
      </c>
      <c r="N12" s="60">
        <v>1</v>
      </c>
      <c r="O12" s="60">
        <v>0</v>
      </c>
      <c r="P12" s="60">
        <v>2.92</v>
      </c>
      <c r="Q12" s="60">
        <v>4.4000000000000004</v>
      </c>
      <c r="R12" s="194"/>
      <c r="S12" s="194"/>
      <c r="T12" s="194"/>
      <c r="U12" s="194"/>
    </row>
    <row r="13" spans="1:21" s="12" customFormat="1" ht="15">
      <c r="A13" s="197" t="s">
        <v>1401</v>
      </c>
      <c r="B13" s="60">
        <v>4.8600000000000003</v>
      </c>
      <c r="C13" s="60">
        <v>13.02</v>
      </c>
      <c r="D13" s="60">
        <v>17.88</v>
      </c>
      <c r="E13" s="60">
        <v>7.26</v>
      </c>
      <c r="F13" s="60">
        <v>0.20</v>
      </c>
      <c r="G13" s="214" t="s">
        <v>36</v>
      </c>
      <c r="H13" s="60">
        <v>9.94</v>
      </c>
      <c r="I13" s="60">
        <v>5.87</v>
      </c>
      <c r="J13" s="60">
        <v>0.28999999999999998</v>
      </c>
      <c r="K13" s="60">
        <v>327.70</v>
      </c>
      <c r="L13" s="9" t="s">
        <v>36</v>
      </c>
      <c r="M13" s="60">
        <v>99.10</v>
      </c>
      <c r="N13" s="60">
        <v>0.5</v>
      </c>
      <c r="O13" s="60">
        <v>0</v>
      </c>
      <c r="P13" s="60">
        <v>2.91</v>
      </c>
      <c r="Q13" s="60">
        <v>4</v>
      </c>
      <c r="R13" s="194"/>
      <c r="S13" s="194"/>
      <c r="T13" s="194"/>
      <c r="U13" s="194"/>
    </row>
    <row r="14" spans="1:21" s="12" customFormat="1" ht="15">
      <c r="A14" s="197" t="s">
        <v>1402</v>
      </c>
      <c r="B14" s="60">
        <v>4.91</v>
      </c>
      <c r="C14" s="60">
        <v>12.34</v>
      </c>
      <c r="D14" s="60">
        <v>17.25</v>
      </c>
      <c r="E14" s="60">
        <v>7.68</v>
      </c>
      <c r="F14" s="60">
        <v>0.08</v>
      </c>
      <c r="G14" s="214" t="s">
        <v>36</v>
      </c>
      <c r="H14" s="60">
        <v>8.02</v>
      </c>
      <c r="I14" s="60">
        <v>5.57</v>
      </c>
      <c r="J14" s="60">
        <v>0.37</v>
      </c>
      <c r="K14" s="60">
        <v>318.58999999999997</v>
      </c>
      <c r="L14" s="9" t="s">
        <v>36</v>
      </c>
      <c r="M14" s="60">
        <v>99.10</v>
      </c>
      <c r="N14" s="60">
        <v>0.5</v>
      </c>
      <c r="O14" s="60">
        <v>0</v>
      </c>
      <c r="P14" s="60">
        <v>2.90</v>
      </c>
      <c r="Q14" s="60">
        <v>3.81</v>
      </c>
      <c r="R14" s="194"/>
      <c r="S14" s="194"/>
      <c r="T14" s="194"/>
      <c r="U14" s="194"/>
    </row>
    <row r="15" spans="1:21" s="12" customFormat="1" ht="15">
      <c r="A15" s="197" t="s">
        <v>1403</v>
      </c>
      <c r="B15" s="60">
        <v>5.04</v>
      </c>
      <c r="C15" s="60">
        <v>11.79</v>
      </c>
      <c r="D15" s="60">
        <v>16.829999999999998</v>
      </c>
      <c r="E15" s="60">
        <v>7.91</v>
      </c>
      <c r="F15" s="60">
        <v>0.21</v>
      </c>
      <c r="G15" s="214" t="s">
        <v>36</v>
      </c>
      <c r="H15" s="60">
        <v>8.02</v>
      </c>
      <c r="I15" s="60">
        <v>5.51</v>
      </c>
      <c r="J15" s="60">
        <v>0.80</v>
      </c>
      <c r="K15" s="60">
        <v>346.36</v>
      </c>
      <c r="L15" s="9" t="s">
        <v>36</v>
      </c>
      <c r="M15" s="60">
        <v>99.10</v>
      </c>
      <c r="N15" s="60">
        <v>0.5</v>
      </c>
      <c r="O15" s="60">
        <v>0</v>
      </c>
      <c r="P15" s="60">
        <v>2.90</v>
      </c>
      <c r="Q15" s="60">
        <v>3.69</v>
      </c>
      <c r="R15" s="194"/>
      <c r="S15" s="194"/>
      <c r="T15" s="194"/>
      <c r="U15" s="194"/>
    </row>
    <row r="16" spans="1:21" s="12" customFormat="1" ht="15">
      <c r="A16" s="197" t="s">
        <v>1404</v>
      </c>
      <c r="B16" s="60">
        <v>5.07</v>
      </c>
      <c r="C16" s="60">
        <v>11.49</v>
      </c>
      <c r="D16" s="60">
        <v>16.559999999999999</v>
      </c>
      <c r="E16" s="60">
        <v>8.0500000000000007</v>
      </c>
      <c r="F16" s="60">
        <v>0.31</v>
      </c>
      <c r="G16" s="214" t="s">
        <v>36</v>
      </c>
      <c r="H16" s="60">
        <v>8.02</v>
      </c>
      <c r="I16" s="60">
        <v>5.34</v>
      </c>
      <c r="J16" s="60">
        <v>1.1399999999999999</v>
      </c>
      <c r="K16" s="60">
        <v>343.16</v>
      </c>
      <c r="L16" s="9" t="s">
        <v>36</v>
      </c>
      <c r="M16" s="60">
        <v>99.10</v>
      </c>
      <c r="N16" s="60">
        <v>0.40</v>
      </c>
      <c r="O16" s="60">
        <v>0.20</v>
      </c>
      <c r="P16" s="60">
        <v>2.89</v>
      </c>
      <c r="Q16" s="60">
        <v>3.60</v>
      </c>
      <c r="R16" s="194"/>
      <c r="S16" s="194"/>
      <c r="T16" s="194"/>
      <c r="U16" s="194"/>
    </row>
    <row r="17" spans="1:21" s="12" customFormat="1" ht="15">
      <c r="A17" s="197" t="s">
        <v>1405</v>
      </c>
      <c r="B17" s="60">
        <v>5.0199999999999996</v>
      </c>
      <c r="C17" s="60">
        <v>11.96</v>
      </c>
      <c r="D17" s="60">
        <v>16.97</v>
      </c>
      <c r="E17" s="60">
        <v>8.32</v>
      </c>
      <c r="F17" s="60">
        <v>0.21</v>
      </c>
      <c r="G17" s="214" t="s">
        <v>36</v>
      </c>
      <c r="H17" s="60">
        <v>7.90</v>
      </c>
      <c r="I17" s="60">
        <v>5.75</v>
      </c>
      <c r="J17" s="60">
        <v>0.82</v>
      </c>
      <c r="K17" s="60">
        <v>349.51</v>
      </c>
      <c r="L17" s="9" t="s">
        <v>36</v>
      </c>
      <c r="M17" s="60">
        <v>99.10</v>
      </c>
      <c r="N17" s="60">
        <v>0.30</v>
      </c>
      <c r="O17" s="60">
        <v>0</v>
      </c>
      <c r="P17" s="60">
        <v>2.89</v>
      </c>
      <c r="Q17" s="60">
        <v>3.89</v>
      </c>
      <c r="R17" s="194"/>
      <c r="S17" s="194"/>
      <c r="T17" s="194"/>
      <c r="U17" s="194"/>
    </row>
    <row r="18" spans="1:21" s="12" customFormat="1" ht="15">
      <c r="A18" s="197" t="s">
        <v>1406</v>
      </c>
      <c r="B18" s="60">
        <v>4.9000000000000004</v>
      </c>
      <c r="C18" s="60">
        <v>11.90</v>
      </c>
      <c r="D18" s="60">
        <v>16.79</v>
      </c>
      <c r="E18" s="60">
        <v>7.88</v>
      </c>
      <c r="F18" s="60">
        <v>0.67</v>
      </c>
      <c r="G18" s="214" t="s">
        <v>36</v>
      </c>
      <c r="H18" s="60">
        <v>7.59</v>
      </c>
      <c r="I18" s="60">
        <v>5.89</v>
      </c>
      <c r="J18" s="60">
        <v>0.99</v>
      </c>
      <c r="K18" s="60">
        <v>357.48</v>
      </c>
      <c r="L18" s="9" t="s">
        <v>36</v>
      </c>
      <c r="M18" s="60">
        <v>99.10</v>
      </c>
      <c r="N18" s="60">
        <v>0.5</v>
      </c>
      <c r="O18" s="60">
        <v>0</v>
      </c>
      <c r="P18" s="60">
        <v>2.88</v>
      </c>
      <c r="Q18" s="60">
        <v>4.57</v>
      </c>
      <c r="R18" s="194"/>
      <c r="S18" s="194"/>
      <c r="T18" s="194"/>
      <c r="U18" s="194"/>
    </row>
    <row r="19" spans="1:21" s="12" customFormat="1" ht="15">
      <c r="A19" s="197" t="s">
        <v>1407</v>
      </c>
      <c r="B19" s="60">
        <v>4.76</v>
      </c>
      <c r="C19" s="60">
        <v>12.37</v>
      </c>
      <c r="D19" s="60">
        <v>17.13</v>
      </c>
      <c r="E19" s="60">
        <v>7.84</v>
      </c>
      <c r="F19" s="60">
        <v>0.56999999999999995</v>
      </c>
      <c r="G19" s="214" t="s">
        <v>36</v>
      </c>
      <c r="H19" s="60">
        <v>7.59</v>
      </c>
      <c r="I19" s="60">
        <v>5.89</v>
      </c>
      <c r="J19" s="60">
        <v>1.55</v>
      </c>
      <c r="K19" s="60">
        <v>356.5</v>
      </c>
      <c r="L19" s="9" t="s">
        <v>36</v>
      </c>
      <c r="M19" s="60">
        <v>99.10</v>
      </c>
      <c r="N19" s="60">
        <v>0.80</v>
      </c>
      <c r="O19" s="60">
        <v>0</v>
      </c>
      <c r="P19" s="60">
        <v>2.88</v>
      </c>
      <c r="Q19" s="60">
        <v>5.57</v>
      </c>
      <c r="R19" s="194"/>
      <c r="S19" s="194"/>
      <c r="T19" s="194"/>
      <c r="U19" s="194"/>
    </row>
    <row r="20" spans="1:21" s="12" customFormat="1" ht="15">
      <c r="A20" s="197" t="s">
        <v>1408</v>
      </c>
      <c r="B20" s="60">
        <v>4.58</v>
      </c>
      <c r="C20" s="60">
        <v>13.09</v>
      </c>
      <c r="D20" s="60">
        <v>17.66</v>
      </c>
      <c r="E20" s="60">
        <v>7.95</v>
      </c>
      <c r="F20" s="60">
        <v>0.30</v>
      </c>
      <c r="G20" s="214" t="s">
        <v>36</v>
      </c>
      <c r="H20" s="60">
        <v>7.59</v>
      </c>
      <c r="I20" s="60">
        <v>5.84</v>
      </c>
      <c r="J20" s="60">
        <v>0.65</v>
      </c>
      <c r="K20" s="60">
        <v>7.01</v>
      </c>
      <c r="L20" s="9" t="s">
        <v>36</v>
      </c>
      <c r="M20" s="60">
        <v>99.10</v>
      </c>
      <c r="N20" s="60">
        <v>0.60</v>
      </c>
      <c r="O20" s="60">
        <v>0</v>
      </c>
      <c r="P20" s="60">
        <v>2.87</v>
      </c>
      <c r="Q20" s="60">
        <v>6.15</v>
      </c>
      <c r="R20" s="194"/>
      <c r="S20" s="194"/>
      <c r="T20" s="194"/>
      <c r="U20" s="194"/>
    </row>
    <row r="21" spans="1:21" s="12" customFormat="1" ht="15">
      <c r="A21" s="197" t="s">
        <v>1409</v>
      </c>
      <c r="B21" s="60">
        <v>4.5199999999999996</v>
      </c>
      <c r="C21" s="60">
        <v>13.16</v>
      </c>
      <c r="D21" s="60">
        <v>17.68</v>
      </c>
      <c r="E21" s="60">
        <v>8.1999999999999993</v>
      </c>
      <c r="F21" s="60">
        <v>0.20</v>
      </c>
      <c r="G21" s="214" t="s">
        <v>36</v>
      </c>
      <c r="H21" s="60">
        <v>9.3000000000000007</v>
      </c>
      <c r="I21" s="60">
        <v>6</v>
      </c>
      <c r="J21" s="60">
        <v>0.56999999999999995</v>
      </c>
      <c r="K21" s="60">
        <v>11.36</v>
      </c>
      <c r="L21" s="9" t="s">
        <v>36</v>
      </c>
      <c r="M21" s="60">
        <v>99.10</v>
      </c>
      <c r="N21" s="60">
        <v>0.80</v>
      </c>
      <c r="O21" s="60">
        <v>0</v>
      </c>
      <c r="P21" s="60">
        <v>2.87</v>
      </c>
      <c r="Q21" s="60">
        <v>6.51</v>
      </c>
      <c r="R21" s="194"/>
      <c r="S21" s="194"/>
      <c r="T21" s="194"/>
      <c r="U21" s="194"/>
    </row>
    <row r="22" spans="1:21" s="12" customFormat="1" ht="15">
      <c r="A22" s="197" t="s">
        <v>1410</v>
      </c>
      <c r="B22" s="60">
        <v>4.49</v>
      </c>
      <c r="C22" s="60">
        <v>13.07</v>
      </c>
      <c r="D22" s="60">
        <v>17.559999999999999</v>
      </c>
      <c r="E22" s="60">
        <v>8.1999999999999993</v>
      </c>
      <c r="F22" s="60">
        <v>0.14000000000000001</v>
      </c>
      <c r="G22" s="214" t="s">
        <v>36</v>
      </c>
      <c r="H22" s="60">
        <v>13.51</v>
      </c>
      <c r="I22" s="60">
        <v>6.04</v>
      </c>
      <c r="J22" s="60">
        <v>0.74</v>
      </c>
      <c r="K22" s="60">
        <v>53.81</v>
      </c>
      <c r="L22" s="9" t="s">
        <v>36</v>
      </c>
      <c r="M22" s="60">
        <v>99.07</v>
      </c>
      <c r="N22" s="60">
        <v>0.90</v>
      </c>
      <c r="O22" s="60">
        <v>0.80</v>
      </c>
      <c r="P22" s="60">
        <v>2.86</v>
      </c>
      <c r="Q22" s="60">
        <v>6.57</v>
      </c>
      <c r="R22" s="194"/>
      <c r="S22" s="194"/>
      <c r="T22" s="194"/>
      <c r="U22" s="194"/>
    </row>
    <row r="23" spans="1:21" s="12" customFormat="1" ht="15">
      <c r="A23" s="197" t="s">
        <v>1411</v>
      </c>
      <c r="B23" s="60">
        <v>4.3600000000000003</v>
      </c>
      <c r="C23" s="60">
        <v>12.67</v>
      </c>
      <c r="D23" s="60">
        <v>17.03</v>
      </c>
      <c r="E23" s="60">
        <v>7.65</v>
      </c>
      <c r="F23" s="60">
        <v>0.19</v>
      </c>
      <c r="G23" s="214" t="s">
        <v>36</v>
      </c>
      <c r="H23" s="60">
        <v>13.51</v>
      </c>
      <c r="I23" s="60">
        <v>5.97</v>
      </c>
      <c r="J23" s="60">
        <v>0.59</v>
      </c>
      <c r="K23" s="60">
        <v>31.48</v>
      </c>
      <c r="L23" s="9" t="s">
        <v>36</v>
      </c>
      <c r="M23" s="60">
        <v>99.10</v>
      </c>
      <c r="N23" s="60">
        <v>0.30</v>
      </c>
      <c r="O23" s="60">
        <v>0.20</v>
      </c>
      <c r="P23" s="60">
        <v>2.83</v>
      </c>
      <c r="Q23" s="60">
        <v>6.48</v>
      </c>
      <c r="R23" s="194"/>
      <c r="S23" s="194"/>
      <c r="T23" s="194"/>
      <c r="U23" s="194"/>
    </row>
    <row r="24" spans="1:21" s="12" customFormat="1" ht="15">
      <c r="A24" s="197" t="s">
        <v>1412</v>
      </c>
      <c r="B24" s="60">
        <v>4.20</v>
      </c>
      <c r="C24" s="60">
        <v>12.32</v>
      </c>
      <c r="D24" s="60">
        <v>16.510000000000002</v>
      </c>
      <c r="E24" s="60">
        <v>4.3600000000000003</v>
      </c>
      <c r="F24" s="60">
        <v>0.28999999999999998</v>
      </c>
      <c r="G24" s="214" t="s">
        <v>36</v>
      </c>
      <c r="H24" s="60">
        <v>13.51</v>
      </c>
      <c r="I24" s="60">
        <v>5.82</v>
      </c>
      <c r="J24" s="60">
        <v>0.77</v>
      </c>
      <c r="K24" s="60">
        <v>36.53</v>
      </c>
      <c r="L24" s="9" t="s">
        <v>36</v>
      </c>
      <c r="M24" s="60">
        <v>99.09</v>
      </c>
      <c r="N24" s="60">
        <v>0.70</v>
      </c>
      <c r="O24" s="60">
        <v>0</v>
      </c>
      <c r="P24" s="60">
        <v>2.81</v>
      </c>
      <c r="Q24" s="60">
        <v>5.93</v>
      </c>
      <c r="R24" s="194"/>
      <c r="S24" s="194"/>
      <c r="T24" s="194"/>
      <c r="U24" s="194"/>
    </row>
    <row r="25" spans="1:21" s="12" customFormat="1" ht="15">
      <c r="A25" s="197" t="s">
        <v>1413</v>
      </c>
      <c r="B25" s="60">
        <v>4.20</v>
      </c>
      <c r="C25" s="60">
        <v>11.73</v>
      </c>
      <c r="D25" s="60">
        <v>15.93</v>
      </c>
      <c r="E25" s="60">
        <v>7.76</v>
      </c>
      <c r="F25" s="60">
        <v>0.44</v>
      </c>
      <c r="G25" s="214" t="s">
        <v>36</v>
      </c>
      <c r="H25" s="60">
        <v>14.20</v>
      </c>
      <c r="I25" s="60">
        <v>5.75</v>
      </c>
      <c r="J25" s="60">
        <v>0.74</v>
      </c>
      <c r="K25" s="60">
        <v>48.21</v>
      </c>
      <c r="L25" s="9" t="s">
        <v>36</v>
      </c>
      <c r="M25" s="60">
        <v>98.99</v>
      </c>
      <c r="N25" s="60">
        <v>1.1000000000000001</v>
      </c>
      <c r="O25" s="60">
        <v>0</v>
      </c>
      <c r="P25" s="60">
        <v>2.80</v>
      </c>
      <c r="Q25" s="60">
        <v>4.8499999999999996</v>
      </c>
      <c r="R25" s="194"/>
      <c r="S25" s="194"/>
      <c r="T25" s="194"/>
      <c r="U25" s="194"/>
    </row>
    <row r="26" spans="1:21" s="12" customFormat="1" ht="15">
      <c r="A26" s="197" t="s">
        <v>1414</v>
      </c>
      <c r="B26" s="60">
        <v>4.3499999999999996</v>
      </c>
      <c r="C26" s="60">
        <v>11.31</v>
      </c>
      <c r="D26" s="60">
        <v>15.67</v>
      </c>
      <c r="E26" s="60">
        <v>8.34</v>
      </c>
      <c r="F26" s="60">
        <v>0.28999999999999998</v>
      </c>
      <c r="G26" s="214" t="s">
        <v>36</v>
      </c>
      <c r="H26" s="60">
        <v>15.90</v>
      </c>
      <c r="I26" s="60">
        <v>5.62</v>
      </c>
      <c r="J26" s="60">
        <v>0.62</v>
      </c>
      <c r="K26" s="60">
        <v>60.65</v>
      </c>
      <c r="L26" s="9" t="s">
        <v>36</v>
      </c>
      <c r="M26" s="60">
        <v>98.79</v>
      </c>
      <c r="N26" s="60">
        <v>0.90</v>
      </c>
      <c r="O26" s="60">
        <v>0</v>
      </c>
      <c r="P26" s="60">
        <v>2.80</v>
      </c>
      <c r="Q26" s="60">
        <v>4.18</v>
      </c>
      <c r="R26" s="194"/>
      <c r="S26" s="194"/>
      <c r="T26" s="194"/>
      <c r="U26" s="194"/>
    </row>
    <row r="27" spans="1:21" s="12" customFormat="1" ht="15">
      <c r="A27" s="197" t="s">
        <v>1415</v>
      </c>
      <c r="B27" s="60">
        <v>4.6500000000000004</v>
      </c>
      <c r="C27" s="60">
        <v>10.86</v>
      </c>
      <c r="D27" s="60">
        <v>15.51</v>
      </c>
      <c r="E27" s="60">
        <v>8.66</v>
      </c>
      <c r="F27" s="60">
        <v>0.22</v>
      </c>
      <c r="G27" s="214" t="s">
        <v>36</v>
      </c>
      <c r="H27" s="60">
        <v>15.90</v>
      </c>
      <c r="I27" s="60">
        <v>5.39</v>
      </c>
      <c r="J27" s="60">
        <v>0.82</v>
      </c>
      <c r="K27" s="60">
        <v>62.08</v>
      </c>
      <c r="L27" s="9" t="s">
        <v>36</v>
      </c>
      <c r="M27" s="60">
        <v>98.85</v>
      </c>
      <c r="N27" s="60">
        <v>0.40</v>
      </c>
      <c r="O27" s="60">
        <v>0.40</v>
      </c>
      <c r="P27" s="60">
        <v>2.79</v>
      </c>
      <c r="Q27" s="60">
        <v>3.84</v>
      </c>
      <c r="R27" s="194"/>
      <c r="S27" s="194"/>
      <c r="T27" s="194"/>
      <c r="U27" s="194"/>
    </row>
    <row r="28" spans="1:21" s="12" customFormat="1" ht="15">
      <c r="A28" s="197" t="s">
        <v>1416</v>
      </c>
      <c r="B28" s="60">
        <v>4.99</v>
      </c>
      <c r="C28" s="60">
        <v>10.53</v>
      </c>
      <c r="D28" s="60">
        <v>15.52</v>
      </c>
      <c r="E28" s="60">
        <v>8.7200000000000006</v>
      </c>
      <c r="F28" s="60">
        <v>0.31</v>
      </c>
      <c r="G28" s="214" t="s">
        <v>36</v>
      </c>
      <c r="H28" s="60">
        <v>15.90</v>
      </c>
      <c r="I28" s="60">
        <v>5.19</v>
      </c>
      <c r="J28" s="60">
        <v>0.45</v>
      </c>
      <c r="K28" s="60">
        <v>48.24</v>
      </c>
      <c r="L28" s="9" t="s">
        <v>36</v>
      </c>
      <c r="M28" s="60">
        <v>99.08</v>
      </c>
      <c r="N28" s="60">
        <v>0.30</v>
      </c>
      <c r="O28" s="60">
        <v>0.20</v>
      </c>
      <c r="P28" s="60">
        <v>2.78</v>
      </c>
      <c r="Q28" s="60">
        <v>3.71</v>
      </c>
      <c r="R28" s="194"/>
      <c r="S28" s="194"/>
      <c r="T28" s="194"/>
      <c r="U28" s="194"/>
    </row>
    <row r="29" spans="1:21" s="12" customFormat="1" ht="15">
      <c r="A29" s="197" t="s">
        <v>1417</v>
      </c>
      <c r="B29" s="60">
        <v>5.30</v>
      </c>
      <c r="C29" s="60">
        <v>10.33</v>
      </c>
      <c r="D29" s="60">
        <v>15.63</v>
      </c>
      <c r="E29" s="60">
        <v>9.2100000000000009</v>
      </c>
      <c r="F29" s="60">
        <v>0.21</v>
      </c>
      <c r="G29" s="214" t="s">
        <v>36</v>
      </c>
      <c r="H29" s="60">
        <v>14.53</v>
      </c>
      <c r="I29" s="60">
        <v>5.39</v>
      </c>
      <c r="J29" s="60">
        <v>0.48</v>
      </c>
      <c r="K29" s="60">
        <v>50.63</v>
      </c>
      <c r="L29" s="9" t="s">
        <v>36</v>
      </c>
      <c r="M29" s="60">
        <v>99.10</v>
      </c>
      <c r="N29" s="60">
        <v>0.40</v>
      </c>
      <c r="O29" s="60">
        <v>0.20</v>
      </c>
      <c r="P29" s="60">
        <v>2.78</v>
      </c>
      <c r="Q29" s="60">
        <v>3.65</v>
      </c>
      <c r="R29" s="194"/>
      <c r="S29" s="194"/>
      <c r="T29" s="194"/>
      <c r="U29" s="194"/>
    </row>
    <row r="30" spans="1:21" s="12" customFormat="1" ht="15">
      <c r="A30" s="197" t="s">
        <v>1418</v>
      </c>
      <c r="B30" s="60">
        <v>5.73</v>
      </c>
      <c r="C30" s="60">
        <v>10.220000000000001</v>
      </c>
      <c r="D30" s="60">
        <v>15.95</v>
      </c>
      <c r="E30" s="60">
        <v>8.82</v>
      </c>
      <c r="F30" s="60">
        <v>0.21</v>
      </c>
      <c r="G30" s="214" t="s">
        <v>36</v>
      </c>
      <c r="H30" s="60">
        <v>11.18</v>
      </c>
      <c r="I30" s="60">
        <v>5.29</v>
      </c>
      <c r="J30" s="60">
        <v>0.81</v>
      </c>
      <c r="K30" s="60">
        <v>64.5</v>
      </c>
      <c r="L30" s="9" t="s">
        <v>36</v>
      </c>
      <c r="M30" s="60">
        <v>98.77</v>
      </c>
      <c r="N30" s="60">
        <v>0.90</v>
      </c>
      <c r="O30" s="60">
        <v>0</v>
      </c>
      <c r="P30" s="60">
        <v>2.78</v>
      </c>
      <c r="Q30" s="60">
        <v>3.71</v>
      </c>
      <c r="R30" s="194"/>
      <c r="S30" s="194"/>
      <c r="T30" s="194"/>
      <c r="U30" s="194"/>
    </row>
    <row r="31" spans="1:21" s="12" customFormat="1" ht="15">
      <c r="A31" s="197" t="s">
        <v>1419</v>
      </c>
      <c r="B31" s="60">
        <v>6.05</v>
      </c>
      <c r="C31" s="60">
        <v>10.29</v>
      </c>
      <c r="D31" s="60">
        <v>16.34</v>
      </c>
      <c r="E31" s="60">
        <v>9.19</v>
      </c>
      <c r="F31" s="60">
        <v>0.40</v>
      </c>
      <c r="G31" s="214" t="s">
        <v>36</v>
      </c>
      <c r="H31" s="60">
        <v>11.18</v>
      </c>
      <c r="I31" s="60">
        <v>5.04</v>
      </c>
      <c r="J31" s="60">
        <v>0.90</v>
      </c>
      <c r="K31" s="60">
        <v>49.25</v>
      </c>
      <c r="L31" s="9" t="s">
        <v>36</v>
      </c>
      <c r="M31" s="60">
        <v>98.23</v>
      </c>
      <c r="N31" s="60">
        <v>3.20</v>
      </c>
      <c r="O31" s="60">
        <v>0</v>
      </c>
      <c r="P31" s="60">
        <v>2.80</v>
      </c>
      <c r="Q31" s="60">
        <v>3.76</v>
      </c>
      <c r="R31" s="194"/>
      <c r="S31" s="194"/>
      <c r="T31" s="194"/>
      <c r="U31" s="194"/>
    </row>
    <row r="32" spans="1:21" s="12" customFormat="1" ht="15">
      <c r="A32" s="197" t="s">
        <v>1420</v>
      </c>
      <c r="B32" s="60">
        <v>6.28</v>
      </c>
      <c r="C32" s="60">
        <v>10.33</v>
      </c>
      <c r="D32" s="60">
        <v>16.61</v>
      </c>
      <c r="E32" s="60">
        <v>9.14</v>
      </c>
      <c r="F32" s="60">
        <v>0.20</v>
      </c>
      <c r="G32" s="214" t="s">
        <v>36</v>
      </c>
      <c r="H32" s="60">
        <v>11.18</v>
      </c>
      <c r="I32" s="60">
        <v>5.38</v>
      </c>
      <c r="J32" s="60">
        <v>0.77</v>
      </c>
      <c r="K32" s="60">
        <v>56.76</v>
      </c>
      <c r="L32" s="9" t="s">
        <v>36</v>
      </c>
      <c r="M32" s="60">
        <v>97.36</v>
      </c>
      <c r="N32" s="60">
        <v>6.40</v>
      </c>
      <c r="O32" s="60">
        <v>0</v>
      </c>
      <c r="P32" s="60">
        <v>2.79</v>
      </c>
      <c r="Q32" s="60">
        <v>4.20</v>
      </c>
      <c r="R32" s="194"/>
      <c r="S32" s="194"/>
      <c r="T32" s="194"/>
      <c r="U32" s="194"/>
    </row>
    <row r="33" spans="1:21" s="12" customFormat="1" ht="15">
      <c r="A33" s="197" t="s">
        <v>1421</v>
      </c>
      <c r="B33" s="60">
        <v>6.49</v>
      </c>
      <c r="C33" s="60">
        <v>10.67</v>
      </c>
      <c r="D33" s="60">
        <v>17.170000000000002</v>
      </c>
      <c r="E33" s="60">
        <v>9.19</v>
      </c>
      <c r="F33" s="60">
        <v>0.06</v>
      </c>
      <c r="G33" s="214" t="s">
        <v>36</v>
      </c>
      <c r="H33" s="60">
        <v>10.66</v>
      </c>
      <c r="I33" s="60">
        <v>5.49</v>
      </c>
      <c r="J33" s="60">
        <v>0.73</v>
      </c>
      <c r="K33" s="60">
        <v>47.33</v>
      </c>
      <c r="L33" s="9" t="s">
        <v>36</v>
      </c>
      <c r="M33" s="60">
        <v>96.91</v>
      </c>
      <c r="N33" s="60">
        <v>6.40</v>
      </c>
      <c r="O33" s="60">
        <v>0</v>
      </c>
      <c r="P33" s="60">
        <v>2.77</v>
      </c>
      <c r="Q33" s="60">
        <v>5.25</v>
      </c>
      <c r="R33" s="194"/>
      <c r="S33" s="194"/>
      <c r="T33" s="194"/>
      <c r="U33" s="194"/>
    </row>
    <row r="34" spans="1:21" s="12" customFormat="1" ht="15">
      <c r="A34" s="197" t="s">
        <v>1422</v>
      </c>
      <c r="B34" s="60">
        <v>6.86</v>
      </c>
      <c r="C34" s="60">
        <v>11.09</v>
      </c>
      <c r="D34" s="60">
        <v>17.95</v>
      </c>
      <c r="E34" s="60">
        <v>8.9499999999999993</v>
      </c>
      <c r="F34" s="60">
        <v>0.13</v>
      </c>
      <c r="G34" s="214" t="s">
        <v>36</v>
      </c>
      <c r="H34" s="60">
        <v>9.40</v>
      </c>
      <c r="I34" s="60">
        <v>5.51</v>
      </c>
      <c r="J34" s="60">
        <v>0.83</v>
      </c>
      <c r="K34" s="60">
        <v>40.049999999999997</v>
      </c>
      <c r="L34" s="9" t="s">
        <v>36</v>
      </c>
      <c r="M34" s="60">
        <v>96.45</v>
      </c>
      <c r="N34" s="60">
        <v>17.5</v>
      </c>
      <c r="O34" s="60">
        <v>0</v>
      </c>
      <c r="P34" s="60">
        <v>2.76</v>
      </c>
      <c r="Q34" s="60">
        <v>6.24</v>
      </c>
      <c r="R34" s="194"/>
      <c r="S34" s="194"/>
      <c r="T34" s="194"/>
      <c r="U34" s="194"/>
    </row>
    <row r="35" spans="1:21" s="12" customFormat="1" ht="15">
      <c r="A35" s="197" t="s">
        <v>1423</v>
      </c>
      <c r="B35" s="60">
        <v>7.14</v>
      </c>
      <c r="C35" s="60">
        <v>11.27</v>
      </c>
      <c r="D35" s="60">
        <v>18.41</v>
      </c>
      <c r="E35" s="60">
        <v>8.9600000000000009</v>
      </c>
      <c r="F35" s="60">
        <v>0.10</v>
      </c>
      <c r="G35" s="214" t="s">
        <v>36</v>
      </c>
      <c r="H35" s="60">
        <v>9.40</v>
      </c>
      <c r="I35" s="60">
        <v>5.36</v>
      </c>
      <c r="J35" s="60">
        <v>1.06</v>
      </c>
      <c r="K35" s="60">
        <v>60.75</v>
      </c>
      <c r="L35" s="9" t="s">
        <v>36</v>
      </c>
      <c r="M35" s="60">
        <v>96.62</v>
      </c>
      <c r="N35" s="60">
        <v>33.5</v>
      </c>
      <c r="O35" s="60">
        <v>0</v>
      </c>
      <c r="P35" s="60">
        <v>2.76</v>
      </c>
      <c r="Q35" s="60">
        <v>6.80</v>
      </c>
      <c r="R35" s="194"/>
      <c r="S35" s="194"/>
      <c r="T35" s="194"/>
      <c r="U35" s="194"/>
    </row>
    <row r="36" spans="1:21" s="12" customFormat="1" ht="15">
      <c r="A36" s="197" t="s">
        <v>1424</v>
      </c>
      <c r="B36" s="60">
        <v>7.49</v>
      </c>
      <c r="C36" s="60">
        <v>11.45</v>
      </c>
      <c r="D36" s="60">
        <v>18.95</v>
      </c>
      <c r="E36" s="60">
        <v>8.86</v>
      </c>
      <c r="F36" s="60">
        <v>0.18</v>
      </c>
      <c r="G36" s="214" t="s">
        <v>36</v>
      </c>
      <c r="H36" s="60">
        <v>9.40</v>
      </c>
      <c r="I36" s="60">
        <v>5.31</v>
      </c>
      <c r="J36" s="60">
        <v>0.97</v>
      </c>
      <c r="K36" s="60">
        <v>44.04</v>
      </c>
      <c r="L36" s="9" t="s">
        <v>36</v>
      </c>
      <c r="M36" s="60">
        <v>96.51</v>
      </c>
      <c r="N36" s="60">
        <v>50.30</v>
      </c>
      <c r="O36" s="60">
        <v>0</v>
      </c>
      <c r="P36" s="60">
        <v>2.76</v>
      </c>
      <c r="Q36" s="60">
        <v>7.21</v>
      </c>
      <c r="R36" s="194"/>
      <c r="S36" s="194"/>
      <c r="T36" s="194"/>
      <c r="U36" s="194"/>
    </row>
    <row r="37" spans="1:21" s="12" customFormat="1" ht="15">
      <c r="A37" s="197" t="s">
        <v>1425</v>
      </c>
      <c r="B37" s="60">
        <v>7.79</v>
      </c>
      <c r="C37" s="60">
        <v>11.96</v>
      </c>
      <c r="D37" s="60">
        <v>19.75</v>
      </c>
      <c r="E37" s="60">
        <v>9.01</v>
      </c>
      <c r="F37" s="60">
        <v>0.11</v>
      </c>
      <c r="G37" s="214" t="s">
        <v>36</v>
      </c>
      <c r="H37" s="60">
        <v>8.6999999999999993</v>
      </c>
      <c r="I37" s="60">
        <v>5.22</v>
      </c>
      <c r="J37" s="60">
        <v>1.18</v>
      </c>
      <c r="K37" s="60">
        <v>60.81</v>
      </c>
      <c r="L37" s="9" t="s">
        <v>36</v>
      </c>
      <c r="M37" s="60">
        <v>95.53</v>
      </c>
      <c r="N37" s="60">
        <v>97.70</v>
      </c>
      <c r="O37" s="60">
        <v>0</v>
      </c>
      <c r="P37" s="60">
        <v>2.76</v>
      </c>
      <c r="Q37" s="60">
        <v>7.38</v>
      </c>
      <c r="R37" s="194"/>
      <c r="S37" s="194"/>
      <c r="T37" s="194"/>
      <c r="U37" s="194"/>
    </row>
    <row r="38" spans="1:21" s="12" customFormat="1" ht="15">
      <c r="A38" s="197" t="s">
        <v>1426</v>
      </c>
      <c r="B38" s="60">
        <v>8.02</v>
      </c>
      <c r="C38" s="60">
        <v>12.19</v>
      </c>
      <c r="D38" s="60">
        <v>20.21</v>
      </c>
      <c r="E38" s="60">
        <v>8.8000000000000007</v>
      </c>
      <c r="F38" s="60">
        <v>0.070000000000000007</v>
      </c>
      <c r="G38" s="214" t="s">
        <v>36</v>
      </c>
      <c r="H38" s="60">
        <v>6.99</v>
      </c>
      <c r="I38" s="60">
        <v>5.18</v>
      </c>
      <c r="J38" s="60">
        <v>1.46</v>
      </c>
      <c r="K38" s="60">
        <v>71.94</v>
      </c>
      <c r="L38" s="9" t="s">
        <v>36</v>
      </c>
      <c r="M38" s="60">
        <v>92.77</v>
      </c>
      <c r="N38" s="60">
        <v>192.5</v>
      </c>
      <c r="O38" s="60">
        <v>0</v>
      </c>
      <c r="P38" s="60">
        <v>2.76</v>
      </c>
      <c r="Q38" s="60">
        <v>7.43</v>
      </c>
      <c r="R38" s="194"/>
      <c r="S38" s="194"/>
      <c r="T38" s="194"/>
      <c r="U38" s="194"/>
    </row>
    <row r="39" spans="1:21" s="12" customFormat="1" ht="15">
      <c r="A39" s="197" t="s">
        <v>1427</v>
      </c>
      <c r="B39" s="60">
        <v>8.02</v>
      </c>
      <c r="C39" s="60">
        <v>12.16</v>
      </c>
      <c r="D39" s="60">
        <v>20.190000000000001</v>
      </c>
      <c r="E39" s="60">
        <v>8.68</v>
      </c>
      <c r="F39" s="60">
        <v>0.11</v>
      </c>
      <c r="G39" s="214" t="s">
        <v>36</v>
      </c>
      <c r="H39" s="60">
        <v>6.99</v>
      </c>
      <c r="I39" s="60">
        <v>5.14</v>
      </c>
      <c r="J39" s="60">
        <v>1.45</v>
      </c>
      <c r="K39" s="60">
        <v>72.510000000000005</v>
      </c>
      <c r="L39" s="9" t="s">
        <v>36</v>
      </c>
      <c r="M39" s="60">
        <v>90.93</v>
      </c>
      <c r="N39" s="60">
        <v>250</v>
      </c>
      <c r="O39" s="60">
        <v>0</v>
      </c>
      <c r="P39" s="60">
        <v>2.75</v>
      </c>
      <c r="Q39" s="60">
        <v>6.57</v>
      </c>
      <c r="R39" s="194"/>
      <c r="S39" s="194"/>
      <c r="T39" s="194"/>
      <c r="U39" s="194"/>
    </row>
    <row r="40" spans="1:21" s="12" customFormat="1" ht="15">
      <c r="A40" s="197" t="s">
        <v>1428</v>
      </c>
      <c r="B40" s="60">
        <v>8.08</v>
      </c>
      <c r="C40" s="60">
        <v>12.13</v>
      </c>
      <c r="D40" s="60">
        <v>20.21</v>
      </c>
      <c r="E40" s="60">
        <v>4.5199999999999996</v>
      </c>
      <c r="F40" s="60">
        <v>0.33</v>
      </c>
      <c r="G40" s="214" t="s">
        <v>36</v>
      </c>
      <c r="H40" s="60">
        <v>6.99</v>
      </c>
      <c r="I40" s="60">
        <v>5.0999999999999996</v>
      </c>
      <c r="J40" s="60">
        <v>1.35</v>
      </c>
      <c r="K40" s="60">
        <v>77.11</v>
      </c>
      <c r="L40" s="9" t="s">
        <v>36</v>
      </c>
      <c r="M40" s="60">
        <v>89.85</v>
      </c>
      <c r="N40" s="60">
        <v>198.80</v>
      </c>
      <c r="O40" s="60">
        <v>0</v>
      </c>
      <c r="P40" s="60">
        <v>2.74</v>
      </c>
      <c r="Q40" s="60">
        <v>5.68</v>
      </c>
      <c r="R40" s="194"/>
      <c r="S40" s="194"/>
      <c r="T40" s="194"/>
      <c r="U40" s="194"/>
    </row>
    <row r="41" spans="1:21" s="12" customFormat="1" ht="15">
      <c r="A41" s="197" t="s">
        <v>1429</v>
      </c>
      <c r="B41" s="60">
        <v>8.31</v>
      </c>
      <c r="C41" s="60">
        <v>12.03</v>
      </c>
      <c r="D41" s="60">
        <v>20.329999999999998</v>
      </c>
      <c r="E41" s="60">
        <v>8.4700000000000006</v>
      </c>
      <c r="F41" s="60">
        <v>0.16</v>
      </c>
      <c r="G41" s="214" t="s">
        <v>36</v>
      </c>
      <c r="H41" s="60">
        <v>6.51</v>
      </c>
      <c r="I41" s="60">
        <v>5.07</v>
      </c>
      <c r="J41" s="60">
        <v>1.66</v>
      </c>
      <c r="K41" s="60">
        <v>77.83</v>
      </c>
      <c r="L41" s="9" t="s">
        <v>36</v>
      </c>
      <c r="M41" s="60">
        <v>89.22</v>
      </c>
      <c r="N41" s="60">
        <v>92.80</v>
      </c>
      <c r="O41" s="60">
        <v>0</v>
      </c>
      <c r="P41" s="60">
        <v>2.75</v>
      </c>
      <c r="Q41" s="60">
        <v>5.20</v>
      </c>
      <c r="R41" s="194"/>
      <c r="S41" s="194"/>
      <c r="T41" s="194"/>
      <c r="U41" s="194"/>
    </row>
    <row r="42" spans="1:21" s="12" customFormat="1" ht="15">
      <c r="A42" s="197" t="s">
        <v>1430</v>
      </c>
      <c r="B42" s="60">
        <v>8.66</v>
      </c>
      <c r="C42" s="60">
        <v>12.01</v>
      </c>
      <c r="D42" s="60">
        <v>20.67</v>
      </c>
      <c r="E42" s="60">
        <v>8.6999999999999993</v>
      </c>
      <c r="F42" s="60">
        <v>0.09</v>
      </c>
      <c r="G42" s="214" t="s">
        <v>36</v>
      </c>
      <c r="H42" s="60">
        <v>5.33</v>
      </c>
      <c r="I42" s="60">
        <v>5.08</v>
      </c>
      <c r="J42" s="60">
        <v>0.67</v>
      </c>
      <c r="K42" s="60">
        <v>51.04</v>
      </c>
      <c r="L42" s="9" t="s">
        <v>36</v>
      </c>
      <c r="M42" s="60">
        <v>90.93</v>
      </c>
      <c r="N42" s="60">
        <v>32.60</v>
      </c>
      <c r="O42" s="60">
        <v>0</v>
      </c>
      <c r="P42" s="60">
        <v>2.76</v>
      </c>
      <c r="Q42" s="60">
        <v>5.07</v>
      </c>
      <c r="R42" s="194"/>
      <c r="S42" s="194"/>
      <c r="T42" s="194"/>
      <c r="U42" s="194"/>
    </row>
    <row r="43" spans="1:21" s="12" customFormat="1" ht="15">
      <c r="A43" s="197" t="s">
        <v>1431</v>
      </c>
      <c r="B43" s="60">
        <v>9.1999999999999993</v>
      </c>
      <c r="C43" s="60">
        <v>12.02</v>
      </c>
      <c r="D43" s="60">
        <v>21.22</v>
      </c>
      <c r="E43" s="60">
        <v>8.66</v>
      </c>
      <c r="F43" s="60">
        <v>0.24</v>
      </c>
      <c r="G43" s="214" t="s">
        <v>36</v>
      </c>
      <c r="H43" s="60">
        <v>5.33</v>
      </c>
      <c r="I43" s="60">
        <v>5.05</v>
      </c>
      <c r="J43" s="60">
        <v>0.76</v>
      </c>
      <c r="K43" s="60">
        <v>57.21</v>
      </c>
      <c r="L43" s="9" t="s">
        <v>36</v>
      </c>
      <c r="M43" s="60">
        <v>91.88</v>
      </c>
      <c r="N43" s="60">
        <v>56.40</v>
      </c>
      <c r="O43" s="60">
        <v>0</v>
      </c>
      <c r="P43" s="60">
        <v>2.76</v>
      </c>
      <c r="Q43" s="60">
        <v>5.07</v>
      </c>
      <c r="R43" s="194"/>
      <c r="S43" s="194"/>
      <c r="T43" s="194"/>
      <c r="U43" s="194"/>
    </row>
    <row r="44" spans="1:21" s="12" customFormat="1" ht="15">
      <c r="A44" s="197" t="s">
        <v>1432</v>
      </c>
      <c r="B44" s="60">
        <v>9.64</v>
      </c>
      <c r="C44" s="60">
        <v>11.87</v>
      </c>
      <c r="D44" s="60">
        <v>21.51</v>
      </c>
      <c r="E44" s="60">
        <v>8.73</v>
      </c>
      <c r="F44" s="60">
        <v>0.49</v>
      </c>
      <c r="G44" s="214" t="s">
        <v>36</v>
      </c>
      <c r="H44" s="60">
        <v>5.33</v>
      </c>
      <c r="I44" s="60">
        <v>5</v>
      </c>
      <c r="J44" s="60">
        <v>1.21</v>
      </c>
      <c r="K44" s="60">
        <v>79.56</v>
      </c>
      <c r="L44" s="9" t="s">
        <v>36</v>
      </c>
      <c r="M44" s="60">
        <v>90.73</v>
      </c>
      <c r="N44" s="60">
        <v>132.30000000000001</v>
      </c>
      <c r="O44" s="60">
        <v>0</v>
      </c>
      <c r="P44" s="60">
        <v>2.76</v>
      </c>
      <c r="Q44" s="60">
        <v>5.12</v>
      </c>
      <c r="R44" s="194"/>
      <c r="S44" s="194"/>
      <c r="T44" s="194"/>
      <c r="U44" s="194"/>
    </row>
    <row r="45" spans="1:21" s="12" customFormat="1" ht="15">
      <c r="A45" s="197" t="s">
        <v>1433</v>
      </c>
      <c r="B45" s="60">
        <v>9.7200000000000006</v>
      </c>
      <c r="C45" s="60">
        <v>11.71</v>
      </c>
      <c r="D45" s="60">
        <v>21.43</v>
      </c>
      <c r="E45" s="60">
        <v>8.93</v>
      </c>
      <c r="F45" s="60">
        <v>0.28999999999999998</v>
      </c>
      <c r="G45" s="214" t="s">
        <v>36</v>
      </c>
      <c r="H45" s="60">
        <v>6.63</v>
      </c>
      <c r="I45" s="60">
        <v>5.12</v>
      </c>
      <c r="J45" s="60">
        <v>1.41</v>
      </c>
      <c r="K45" s="60">
        <v>82.84</v>
      </c>
      <c r="L45" s="9" t="s">
        <v>36</v>
      </c>
      <c r="M45" s="60">
        <v>90.06</v>
      </c>
      <c r="N45" s="60">
        <v>188.90</v>
      </c>
      <c r="O45" s="60">
        <v>0</v>
      </c>
      <c r="P45" s="60">
        <v>2.77</v>
      </c>
      <c r="Q45" s="60">
        <v>5.1100000000000003</v>
      </c>
      <c r="R45" s="194"/>
      <c r="S45" s="194"/>
      <c r="T45" s="194"/>
      <c r="U45" s="194"/>
    </row>
    <row r="46" spans="1:21" s="12" customFormat="1" ht="15">
      <c r="A46" s="197" t="s">
        <v>1434</v>
      </c>
      <c r="B46" s="60">
        <v>9.68</v>
      </c>
      <c r="C46" s="60">
        <v>11.79</v>
      </c>
      <c r="D46" s="60">
        <v>21.48</v>
      </c>
      <c r="E46" s="60">
        <v>9.27</v>
      </c>
      <c r="F46" s="60">
        <v>0.17</v>
      </c>
      <c r="G46" s="214" t="s">
        <v>36</v>
      </c>
      <c r="H46" s="60">
        <v>9.81</v>
      </c>
      <c r="I46" s="60">
        <v>5.0999999999999996</v>
      </c>
      <c r="J46" s="60">
        <v>1.65</v>
      </c>
      <c r="K46" s="60">
        <v>91.16</v>
      </c>
      <c r="L46" s="9" t="s">
        <v>36</v>
      </c>
      <c r="M46" s="60">
        <v>87.81</v>
      </c>
      <c r="N46" s="60">
        <v>435.10</v>
      </c>
      <c r="O46" s="60">
        <v>0</v>
      </c>
      <c r="P46" s="60">
        <v>2.76</v>
      </c>
      <c r="Q46" s="60">
        <v>5.19</v>
      </c>
      <c r="R46" s="194"/>
      <c r="S46" s="194"/>
      <c r="T46" s="194"/>
      <c r="U46" s="194"/>
    </row>
    <row r="47" spans="1:21" s="12" customFormat="1" ht="15">
      <c r="A47" s="197" t="s">
        <v>1435</v>
      </c>
      <c r="B47" s="60">
        <v>9.0500000000000007</v>
      </c>
      <c r="C47" s="60">
        <v>11.36</v>
      </c>
      <c r="D47" s="60">
        <v>20.41</v>
      </c>
      <c r="E47" s="60">
        <v>9.31</v>
      </c>
      <c r="F47" s="60">
        <v>0.47</v>
      </c>
      <c r="G47" s="214" t="s">
        <v>36</v>
      </c>
      <c r="H47" s="60">
        <v>9.81</v>
      </c>
      <c r="I47" s="60">
        <v>5.19</v>
      </c>
      <c r="J47" s="60">
        <v>2.14</v>
      </c>
      <c r="K47" s="60">
        <v>98.45</v>
      </c>
      <c r="L47" s="9" t="s">
        <v>36</v>
      </c>
      <c r="M47" s="60">
        <v>83.72</v>
      </c>
      <c r="N47" s="60">
        <v>696</v>
      </c>
      <c r="O47" s="60">
        <v>0</v>
      </c>
      <c r="P47" s="60">
        <v>2.76</v>
      </c>
      <c r="Q47" s="60">
        <v>5.66</v>
      </c>
      <c r="R47" s="194"/>
      <c r="S47" s="194"/>
      <c r="T47" s="194"/>
      <c r="U47" s="194"/>
    </row>
    <row r="48" spans="1:21" s="12" customFormat="1" ht="15">
      <c r="A48" s="197" t="s">
        <v>1436</v>
      </c>
      <c r="B48" s="60">
        <v>8.0399999999999991</v>
      </c>
      <c r="C48" s="60">
        <v>11.43</v>
      </c>
      <c r="D48" s="60">
        <v>19.47</v>
      </c>
      <c r="E48" s="60">
        <v>8.89</v>
      </c>
      <c r="F48" s="60">
        <v>0.46</v>
      </c>
      <c r="G48" s="214" t="s">
        <v>36</v>
      </c>
      <c r="H48" s="60">
        <v>9.81</v>
      </c>
      <c r="I48" s="60">
        <v>5.0999999999999996</v>
      </c>
      <c r="J48" s="60">
        <v>2.39</v>
      </c>
      <c r="K48" s="60">
        <v>98.23</v>
      </c>
      <c r="L48" s="9" t="s">
        <v>36</v>
      </c>
      <c r="M48" s="60">
        <v>81.099999999999994</v>
      </c>
      <c r="N48" s="60">
        <v>581</v>
      </c>
      <c r="O48" s="60">
        <v>0</v>
      </c>
      <c r="P48" s="60">
        <v>2.76</v>
      </c>
      <c r="Q48" s="60">
        <v>6.40</v>
      </c>
      <c r="R48" s="194"/>
      <c r="S48" s="194"/>
      <c r="T48" s="194"/>
      <c r="U48" s="194"/>
    </row>
    <row r="49" spans="1:21" s="12" customFormat="1" ht="15">
      <c r="A49" s="197" t="s">
        <v>1437</v>
      </c>
      <c r="B49" s="60">
        <v>6.88</v>
      </c>
      <c r="C49" s="60">
        <v>11.76</v>
      </c>
      <c r="D49" s="60">
        <v>18.649999999999999</v>
      </c>
      <c r="E49" s="60">
        <v>8.44</v>
      </c>
      <c r="F49" s="60">
        <v>0.51</v>
      </c>
      <c r="G49" s="214" t="s">
        <v>36</v>
      </c>
      <c r="H49" s="60">
        <v>9.11</v>
      </c>
      <c r="I49" s="60">
        <v>5.13</v>
      </c>
      <c r="J49" s="60">
        <v>2.60</v>
      </c>
      <c r="K49" s="60">
        <v>99.34</v>
      </c>
      <c r="L49" s="9" t="s">
        <v>36</v>
      </c>
      <c r="M49" s="60">
        <v>81.239999999999995</v>
      </c>
      <c r="N49" s="60">
        <v>457</v>
      </c>
      <c r="O49" s="60">
        <v>0</v>
      </c>
      <c r="P49" s="60">
        <v>2.73</v>
      </c>
      <c r="Q49" s="60">
        <v>6.85</v>
      </c>
      <c r="R49" s="194"/>
      <c r="S49" s="194"/>
      <c r="T49" s="194"/>
      <c r="U49" s="194"/>
    </row>
    <row r="50" spans="1:21" s="12" customFormat="1" ht="15">
      <c r="A50" s="197" t="s">
        <v>1438</v>
      </c>
      <c r="B50" s="60">
        <v>5.80</v>
      </c>
      <c r="C50" s="60">
        <v>11.86</v>
      </c>
      <c r="D50" s="60">
        <v>17.66</v>
      </c>
      <c r="E50" s="60">
        <v>8.24</v>
      </c>
      <c r="F50" s="60">
        <v>0.20</v>
      </c>
      <c r="G50" s="214" t="s">
        <v>36</v>
      </c>
      <c r="H50" s="60">
        <v>7.37</v>
      </c>
      <c r="I50" s="60">
        <v>5.0599999999999996</v>
      </c>
      <c r="J50" s="60">
        <v>2.91</v>
      </c>
      <c r="K50" s="60">
        <v>97.83</v>
      </c>
      <c r="L50" s="9" t="s">
        <v>36</v>
      </c>
      <c r="M50" s="60">
        <v>79.72</v>
      </c>
      <c r="N50" s="60">
        <v>615.60</v>
      </c>
      <c r="O50" s="60">
        <v>0</v>
      </c>
      <c r="P50" s="60">
        <v>2.73</v>
      </c>
      <c r="Q50" s="60">
        <v>6.73</v>
      </c>
      <c r="R50" s="194"/>
      <c r="S50" s="194"/>
      <c r="T50" s="194"/>
      <c r="U50" s="194"/>
    </row>
    <row r="51" spans="1:21" s="12" customFormat="1" ht="15">
      <c r="A51" s="197" t="s">
        <v>1439</v>
      </c>
      <c r="B51" s="60">
        <v>4.83</v>
      </c>
      <c r="C51" s="60">
        <v>11.67</v>
      </c>
      <c r="D51" s="60">
        <v>16.489999999999998</v>
      </c>
      <c r="E51" s="60">
        <v>7.88</v>
      </c>
      <c r="F51" s="60">
        <v>0.46</v>
      </c>
      <c r="G51" s="214" t="s">
        <v>36</v>
      </c>
      <c r="H51" s="60">
        <v>7.37</v>
      </c>
      <c r="I51" s="60">
        <v>4.95</v>
      </c>
      <c r="J51" s="60">
        <v>2.5099999999999998</v>
      </c>
      <c r="K51" s="60">
        <v>100.90</v>
      </c>
      <c r="L51" s="9" t="s">
        <v>36</v>
      </c>
      <c r="M51" s="60">
        <v>80.41</v>
      </c>
      <c r="N51" s="60">
        <v>265.20</v>
      </c>
      <c r="O51" s="60">
        <v>0</v>
      </c>
      <c r="P51" s="60">
        <v>2.70</v>
      </c>
      <c r="Q51" s="60">
        <v>6.47</v>
      </c>
      <c r="R51" s="194"/>
      <c r="S51" s="194"/>
      <c r="T51" s="194"/>
      <c r="U51" s="194"/>
    </row>
    <row r="52" spans="1:21" s="12" customFormat="1" ht="15">
      <c r="A52" s="197" t="s">
        <v>1440</v>
      </c>
      <c r="B52" s="60">
        <v>3.99</v>
      </c>
      <c r="C52" s="60">
        <v>11.62</v>
      </c>
      <c r="D52" s="60">
        <v>15.62</v>
      </c>
      <c r="E52" s="60">
        <v>7.67</v>
      </c>
      <c r="F52" s="60">
        <v>1.38</v>
      </c>
      <c r="G52" s="214" t="s">
        <v>36</v>
      </c>
      <c r="H52" s="60">
        <v>7.37</v>
      </c>
      <c r="I52" s="60">
        <v>4.8499999999999996</v>
      </c>
      <c r="J52" s="60">
        <v>3.06</v>
      </c>
      <c r="K52" s="60">
        <v>99.59</v>
      </c>
      <c r="L52" s="9" t="s">
        <v>36</v>
      </c>
      <c r="M52" s="60">
        <v>79.73</v>
      </c>
      <c r="N52" s="60">
        <v>383.30</v>
      </c>
      <c r="O52" s="60">
        <v>0</v>
      </c>
      <c r="P52" s="60">
        <v>2.68</v>
      </c>
      <c r="Q52" s="60">
        <v>6.28</v>
      </c>
      <c r="R52" s="194"/>
      <c r="S52" s="194"/>
      <c r="T52" s="194"/>
      <c r="U52" s="194"/>
    </row>
    <row r="53" spans="1:21" s="12" customFormat="1" ht="15">
      <c r="A53" s="197" t="s">
        <v>1441</v>
      </c>
      <c r="B53" s="60">
        <v>3.30</v>
      </c>
      <c r="C53" s="60">
        <v>11.60</v>
      </c>
      <c r="D53" s="60">
        <v>14.90</v>
      </c>
      <c r="E53" s="60">
        <v>7.22</v>
      </c>
      <c r="F53" s="60">
        <v>1.1299999999999999</v>
      </c>
      <c r="G53" s="214" t="s">
        <v>36</v>
      </c>
      <c r="H53" s="60">
        <v>6.79</v>
      </c>
      <c r="I53" s="60">
        <v>4.66</v>
      </c>
      <c r="J53" s="60">
        <v>3.46</v>
      </c>
      <c r="K53" s="60">
        <v>99.86</v>
      </c>
      <c r="L53" s="9" t="s">
        <v>36</v>
      </c>
      <c r="M53" s="60">
        <v>80.290000000000006</v>
      </c>
      <c r="N53" s="60">
        <v>325.20</v>
      </c>
      <c r="O53" s="60">
        <v>0</v>
      </c>
      <c r="P53" s="60">
        <v>2.67</v>
      </c>
      <c r="Q53" s="60">
        <v>5.75</v>
      </c>
      <c r="R53" s="194"/>
      <c r="S53" s="194"/>
      <c r="T53" s="194"/>
      <c r="U53" s="194"/>
    </row>
    <row r="54" spans="1:21" s="12" customFormat="1" ht="15">
      <c r="A54" s="197" t="s">
        <v>1442</v>
      </c>
      <c r="B54" s="60">
        <v>2.77</v>
      </c>
      <c r="C54" s="60">
        <v>11.27</v>
      </c>
      <c r="D54" s="60">
        <v>14.03</v>
      </c>
      <c r="E54" s="60">
        <v>7.29</v>
      </c>
      <c r="F54" s="60">
        <v>0.79</v>
      </c>
      <c r="G54" s="214" t="s">
        <v>36</v>
      </c>
      <c r="H54" s="60">
        <v>5.37</v>
      </c>
      <c r="I54" s="60">
        <v>4.58</v>
      </c>
      <c r="J54" s="60">
        <v>3.23</v>
      </c>
      <c r="K54" s="60">
        <v>101.21</v>
      </c>
      <c r="L54" s="9" t="s">
        <v>36</v>
      </c>
      <c r="M54" s="60">
        <v>77.540000000000006</v>
      </c>
      <c r="N54" s="60">
        <v>907.70</v>
      </c>
      <c r="O54" s="60">
        <v>0</v>
      </c>
      <c r="P54" s="60">
        <v>2.65</v>
      </c>
      <c r="Q54" s="60">
        <v>4.58</v>
      </c>
      <c r="R54" s="194"/>
      <c r="S54" s="194"/>
      <c r="T54" s="194"/>
      <c r="U54" s="194"/>
    </row>
    <row r="55" spans="1:21" s="12" customFormat="1" ht="15">
      <c r="A55" s="197" t="s">
        <v>1443</v>
      </c>
      <c r="B55" s="60">
        <v>2.5099999999999998</v>
      </c>
      <c r="C55" s="60">
        <v>11.08</v>
      </c>
      <c r="D55" s="60">
        <v>13.59</v>
      </c>
      <c r="E55" s="60">
        <v>6.99</v>
      </c>
      <c r="F55" s="60">
        <v>0.57999999999999996</v>
      </c>
      <c r="G55" s="214" t="s">
        <v>36</v>
      </c>
      <c r="H55" s="60">
        <v>5.37</v>
      </c>
      <c r="I55" s="60">
        <v>4.42</v>
      </c>
      <c r="J55" s="60">
        <v>1.96</v>
      </c>
      <c r="K55" s="60">
        <v>104.41</v>
      </c>
      <c r="L55" s="9" t="s">
        <v>36</v>
      </c>
      <c r="M55" s="60">
        <v>80.739999999999995</v>
      </c>
      <c r="N55" s="60">
        <v>438.60</v>
      </c>
      <c r="O55" s="60">
        <v>0</v>
      </c>
      <c r="P55" s="60">
        <v>2.65</v>
      </c>
      <c r="Q55" s="60">
        <v>3.61</v>
      </c>
      <c r="R55" s="194"/>
      <c r="S55" s="194"/>
      <c r="T55" s="194"/>
      <c r="U55" s="194"/>
    </row>
    <row r="56" spans="1:21" s="12" customFormat="1" ht="15">
      <c r="A56" s="197" t="s">
        <v>1444</v>
      </c>
      <c r="B56" s="60">
        <v>2.5299999999999998</v>
      </c>
      <c r="C56" s="60">
        <v>11.06</v>
      </c>
      <c r="D56" s="60">
        <v>13.59</v>
      </c>
      <c r="E56" s="60">
        <v>3.30</v>
      </c>
      <c r="F56" s="60">
        <v>0.56000000000000005</v>
      </c>
      <c r="G56" s="214" t="s">
        <v>36</v>
      </c>
      <c r="H56" s="60">
        <v>5.37</v>
      </c>
      <c r="I56" s="60">
        <v>4.3099999999999996</v>
      </c>
      <c r="J56" s="60">
        <v>1.41</v>
      </c>
      <c r="K56" s="60">
        <v>86.61</v>
      </c>
      <c r="L56" s="9" t="s">
        <v>36</v>
      </c>
      <c r="M56" s="60">
        <v>83.04</v>
      </c>
      <c r="N56" s="60">
        <v>558.10</v>
      </c>
      <c r="O56" s="60">
        <v>0</v>
      </c>
      <c r="P56" s="60">
        <v>2.64</v>
      </c>
      <c r="Q56" s="60">
        <v>3.20</v>
      </c>
      <c r="R56" s="194"/>
      <c r="S56" s="194"/>
      <c r="T56" s="194"/>
      <c r="U56" s="194"/>
    </row>
    <row r="57" spans="1:21" s="12" customFormat="1" ht="15">
      <c r="A57" s="197" t="s">
        <v>1445</v>
      </c>
      <c r="B57" s="60">
        <v>3.02</v>
      </c>
      <c r="C57" s="60">
        <v>11.35</v>
      </c>
      <c r="D57" s="60">
        <v>14.36</v>
      </c>
      <c r="E57" s="60">
        <v>6.80</v>
      </c>
      <c r="F57" s="60">
        <v>0.55000000000000004</v>
      </c>
      <c r="G57" s="214" t="s">
        <v>36</v>
      </c>
      <c r="H57" s="60">
        <v>5.86</v>
      </c>
      <c r="I57" s="60">
        <v>4.24</v>
      </c>
      <c r="J57" s="60">
        <v>2.13</v>
      </c>
      <c r="K57" s="60">
        <v>86.78</v>
      </c>
      <c r="L57" s="9" t="s">
        <v>36</v>
      </c>
      <c r="M57" s="60">
        <v>80.22</v>
      </c>
      <c r="N57" s="60">
        <v>1022.70</v>
      </c>
      <c r="O57" s="60">
        <v>0</v>
      </c>
      <c r="P57" s="60">
        <v>2.63</v>
      </c>
      <c r="Q57" s="60">
        <v>3.18</v>
      </c>
      <c r="R57" s="194"/>
      <c r="S57" s="194"/>
      <c r="T57" s="194"/>
      <c r="U57" s="194"/>
    </row>
    <row r="58" spans="1:21" s="12" customFormat="1" ht="15">
      <c r="A58" s="197" t="s">
        <v>1446</v>
      </c>
      <c r="B58" s="60">
        <v>3.92</v>
      </c>
      <c r="C58" s="60">
        <v>11.65</v>
      </c>
      <c r="D58" s="60">
        <v>15.57</v>
      </c>
      <c r="E58" s="60">
        <v>7.09</v>
      </c>
      <c r="F58" s="60">
        <v>0.46</v>
      </c>
      <c r="G58" s="214" t="s">
        <v>36</v>
      </c>
      <c r="H58" s="60">
        <v>7.05</v>
      </c>
      <c r="I58" s="60">
        <v>4.1900000000000004</v>
      </c>
      <c r="J58" s="60">
        <v>2.5099999999999998</v>
      </c>
      <c r="K58" s="60">
        <v>91.01</v>
      </c>
      <c r="L58" s="9" t="s">
        <v>36</v>
      </c>
      <c r="M58" s="60">
        <v>77.5</v>
      </c>
      <c r="N58" s="60">
        <v>964.90</v>
      </c>
      <c r="O58" s="60">
        <v>0</v>
      </c>
      <c r="P58" s="60">
        <v>2.63</v>
      </c>
      <c r="Q58" s="60">
        <v>3.36</v>
      </c>
      <c r="R58" s="194"/>
      <c r="S58" s="194"/>
      <c r="T58" s="194"/>
      <c r="U58" s="194"/>
    </row>
    <row r="59" spans="1:21" s="12" customFormat="1" ht="15">
      <c r="A59" s="197" t="s">
        <v>1447</v>
      </c>
      <c r="B59" s="60">
        <v>4.72</v>
      </c>
      <c r="C59" s="60">
        <v>11.91</v>
      </c>
      <c r="D59" s="60">
        <v>16.63</v>
      </c>
      <c r="E59" s="60">
        <v>7.47</v>
      </c>
      <c r="F59" s="60">
        <v>0.52</v>
      </c>
      <c r="G59" s="214" t="s">
        <v>36</v>
      </c>
      <c r="H59" s="60">
        <v>7.05</v>
      </c>
      <c r="I59" s="60">
        <v>4.16</v>
      </c>
      <c r="J59" s="60">
        <v>1.55</v>
      </c>
      <c r="K59" s="60">
        <v>94.06</v>
      </c>
      <c r="L59" s="9" t="s">
        <v>36</v>
      </c>
      <c r="M59" s="60">
        <v>78.040000000000006</v>
      </c>
      <c r="N59" s="60">
        <v>924.60</v>
      </c>
      <c r="O59" s="60">
        <v>0</v>
      </c>
      <c r="P59" s="60">
        <v>2.61</v>
      </c>
      <c r="Q59" s="60">
        <v>3.51</v>
      </c>
      <c r="R59" s="194"/>
      <c r="S59" s="194"/>
      <c r="T59" s="194"/>
      <c r="U59" s="194"/>
    </row>
    <row r="60" spans="1:21" s="12" customFormat="1" ht="15">
      <c r="A60" s="197" t="s">
        <v>1448</v>
      </c>
      <c r="B60" s="60">
        <v>5.58</v>
      </c>
      <c r="C60" s="60">
        <v>12.07</v>
      </c>
      <c r="D60" s="60">
        <v>17.649999999999999</v>
      </c>
      <c r="E60" s="60">
        <v>7.48</v>
      </c>
      <c r="F60" s="60">
        <v>0.52</v>
      </c>
      <c r="G60" s="214" t="s">
        <v>36</v>
      </c>
      <c r="H60" s="60">
        <v>7.05</v>
      </c>
      <c r="I60" s="60">
        <v>4.17</v>
      </c>
      <c r="J60" s="60">
        <v>2.25</v>
      </c>
      <c r="K60" s="60">
        <v>94.85</v>
      </c>
      <c r="L60" s="9" t="s">
        <v>36</v>
      </c>
      <c r="M60" s="60">
        <v>76.72</v>
      </c>
      <c r="N60" s="60">
        <v>994.70</v>
      </c>
      <c r="O60" s="60">
        <v>0</v>
      </c>
      <c r="P60" s="60">
        <v>2.61</v>
      </c>
      <c r="Q60" s="60">
        <v>3.73</v>
      </c>
      <c r="R60" s="194"/>
      <c r="S60" s="194"/>
      <c r="T60" s="194"/>
      <c r="U60" s="194"/>
    </row>
    <row r="61" spans="1:21" s="12" customFormat="1" ht="15">
      <c r="A61" s="197" t="s">
        <v>1449</v>
      </c>
      <c r="B61" s="60">
        <v>6.16</v>
      </c>
      <c r="C61" s="60">
        <v>12.43</v>
      </c>
      <c r="D61" s="60">
        <v>18.59</v>
      </c>
      <c r="E61" s="60">
        <v>7.54</v>
      </c>
      <c r="F61" s="60">
        <v>0.26</v>
      </c>
      <c r="G61" s="214" t="s">
        <v>36</v>
      </c>
      <c r="H61" s="60">
        <v>6.64</v>
      </c>
      <c r="I61" s="60">
        <v>4.08</v>
      </c>
      <c r="J61" s="60">
        <v>1.83</v>
      </c>
      <c r="K61" s="60">
        <v>94.66</v>
      </c>
      <c r="L61" s="9" t="s">
        <v>36</v>
      </c>
      <c r="M61" s="60">
        <v>76.81</v>
      </c>
      <c r="N61" s="60">
        <v>366.5</v>
      </c>
      <c r="O61" s="60">
        <v>0</v>
      </c>
      <c r="P61" s="60">
        <v>2.60</v>
      </c>
      <c r="Q61" s="60">
        <v>4.2300000000000004</v>
      </c>
      <c r="R61" s="194"/>
      <c r="S61" s="194"/>
      <c r="T61" s="194"/>
      <c r="U61" s="194"/>
    </row>
    <row r="62" spans="1:21" s="12" customFormat="1" ht="15">
      <c r="A62" s="197" t="s">
        <v>1450</v>
      </c>
      <c r="B62" s="60">
        <v>6.48</v>
      </c>
      <c r="C62" s="60">
        <v>12.54</v>
      </c>
      <c r="D62" s="60">
        <v>19.02</v>
      </c>
      <c r="E62" s="60">
        <v>6.89</v>
      </c>
      <c r="F62" s="60">
        <v>0.70</v>
      </c>
      <c r="G62" s="214" t="s">
        <v>36</v>
      </c>
      <c r="H62" s="60">
        <v>5.62</v>
      </c>
      <c r="I62" s="60">
        <v>4.04</v>
      </c>
      <c r="J62" s="60">
        <v>0.99</v>
      </c>
      <c r="K62" s="60">
        <v>122.83</v>
      </c>
      <c r="L62" s="9" t="s">
        <v>36</v>
      </c>
      <c r="M62" s="60">
        <v>77.260000000000005</v>
      </c>
      <c r="N62" s="60">
        <v>655.29999999999995</v>
      </c>
      <c r="O62" s="60">
        <v>0</v>
      </c>
      <c r="P62" s="60">
        <v>2.60</v>
      </c>
      <c r="Q62" s="60">
        <v>5.26</v>
      </c>
      <c r="R62" s="194"/>
      <c r="S62" s="194"/>
      <c r="T62" s="194"/>
      <c r="U62" s="194"/>
    </row>
    <row r="63" spans="1:21" s="12" customFormat="1" ht="15">
      <c r="A63" s="197" t="s">
        <v>1451</v>
      </c>
      <c r="B63" s="60">
        <v>6.86</v>
      </c>
      <c r="C63" s="60">
        <v>13.19</v>
      </c>
      <c r="D63" s="60">
        <v>20.05</v>
      </c>
      <c r="E63" s="60">
        <v>7.13</v>
      </c>
      <c r="F63" s="60">
        <v>0.89</v>
      </c>
      <c r="G63" s="214" t="s">
        <v>36</v>
      </c>
      <c r="H63" s="60">
        <v>5.62</v>
      </c>
      <c r="I63" s="60">
        <v>4.0199999999999996</v>
      </c>
      <c r="J63" s="60">
        <v>1.65</v>
      </c>
      <c r="K63" s="60">
        <v>105.78</v>
      </c>
      <c r="L63" s="9" t="s">
        <v>36</v>
      </c>
      <c r="M63" s="60">
        <v>74.78</v>
      </c>
      <c r="N63" s="60">
        <v>865.60</v>
      </c>
      <c r="O63" s="60">
        <v>0</v>
      </c>
      <c r="P63" s="60">
        <v>2.60</v>
      </c>
      <c r="Q63" s="60">
        <v>6.32</v>
      </c>
      <c r="R63" s="194"/>
      <c r="S63" s="194"/>
      <c r="T63" s="194"/>
      <c r="U63" s="194"/>
    </row>
    <row r="64" spans="1:21" s="12" customFormat="1" ht="15">
      <c r="A64" s="197" t="s">
        <v>1452</v>
      </c>
      <c r="B64" s="60">
        <v>7.26</v>
      </c>
      <c r="C64" s="60">
        <v>13.76</v>
      </c>
      <c r="D64" s="60">
        <v>21.01</v>
      </c>
      <c r="E64" s="60">
        <v>6.64</v>
      </c>
      <c r="F64" s="60">
        <v>0.61</v>
      </c>
      <c r="G64" s="214" t="s">
        <v>36</v>
      </c>
      <c r="H64" s="60">
        <v>5.62</v>
      </c>
      <c r="I64" s="60">
        <v>3.93</v>
      </c>
      <c r="J64" s="60">
        <v>1.23</v>
      </c>
      <c r="K64" s="60">
        <v>109.24</v>
      </c>
      <c r="L64" s="9" t="s">
        <v>36</v>
      </c>
      <c r="M64" s="60">
        <v>73.78</v>
      </c>
      <c r="N64" s="60">
        <v>657.10</v>
      </c>
      <c r="O64" s="60">
        <v>0</v>
      </c>
      <c r="P64" s="60">
        <v>2.59</v>
      </c>
      <c r="Q64" s="60">
        <v>7.09</v>
      </c>
      <c r="R64" s="194"/>
      <c r="S64" s="194"/>
      <c r="T64" s="194"/>
      <c r="U64" s="194"/>
    </row>
    <row r="65" spans="1:21" s="12" customFormat="1" ht="15">
      <c r="A65" s="197" t="s">
        <v>1453</v>
      </c>
      <c r="B65" s="60">
        <v>7.41</v>
      </c>
      <c r="C65" s="60">
        <v>14.16</v>
      </c>
      <c r="D65" s="60">
        <v>21.57</v>
      </c>
      <c r="E65" s="60">
        <v>6.92</v>
      </c>
      <c r="F65" s="60">
        <v>0.55000000000000004</v>
      </c>
      <c r="G65" s="214" t="s">
        <v>36</v>
      </c>
      <c r="H65" s="60">
        <v>5.26</v>
      </c>
      <c r="I65" s="60">
        <v>3.90</v>
      </c>
      <c r="J65" s="60">
        <v>1.27</v>
      </c>
      <c r="K65" s="60">
        <v>147.07</v>
      </c>
      <c r="L65" s="9" t="s">
        <v>36</v>
      </c>
      <c r="M65" s="60">
        <v>73.87</v>
      </c>
      <c r="N65" s="60">
        <v>554.5</v>
      </c>
      <c r="O65" s="60">
        <v>0</v>
      </c>
      <c r="P65" s="60">
        <v>2.59</v>
      </c>
      <c r="Q65" s="60">
        <v>7.73</v>
      </c>
      <c r="R65" s="194"/>
      <c r="S65" s="194"/>
      <c r="T65" s="194"/>
      <c r="U65" s="194"/>
    </row>
    <row r="66" spans="1:21" s="12" customFormat="1" ht="15">
      <c r="A66" s="197" t="s">
        <v>1454</v>
      </c>
      <c r="B66" s="60">
        <v>6.55</v>
      </c>
      <c r="C66" s="60">
        <v>14.23</v>
      </c>
      <c r="D66" s="60">
        <v>20.79</v>
      </c>
      <c r="E66" s="60">
        <v>6.48</v>
      </c>
      <c r="F66" s="60">
        <v>3.07</v>
      </c>
      <c r="G66" s="214" t="s">
        <v>36</v>
      </c>
      <c r="H66" s="60">
        <v>4.38</v>
      </c>
      <c r="I66" s="60">
        <v>3.84</v>
      </c>
      <c r="J66" s="60">
        <v>1.66</v>
      </c>
      <c r="K66" s="60">
        <v>93.81</v>
      </c>
      <c r="L66" s="9" t="s">
        <v>36</v>
      </c>
      <c r="M66" s="60">
        <v>72.95</v>
      </c>
      <c r="N66" s="60">
        <v>706.70</v>
      </c>
      <c r="O66" s="60">
        <v>0</v>
      </c>
      <c r="P66" s="60">
        <v>2.58</v>
      </c>
      <c r="Q66" s="60">
        <v>7.56</v>
      </c>
      <c r="R66" s="194"/>
      <c r="S66" s="194"/>
      <c r="T66" s="194"/>
      <c r="U66" s="194"/>
    </row>
    <row r="67" spans="1:21" s="12" customFormat="1" ht="15">
      <c r="A67" s="197" t="s">
        <v>1455</v>
      </c>
      <c r="B67" s="60">
        <v>5.56</v>
      </c>
      <c r="C67" s="60">
        <v>13.95</v>
      </c>
      <c r="D67" s="60">
        <v>19.5</v>
      </c>
      <c r="E67" s="60">
        <v>6.35</v>
      </c>
      <c r="F67" s="60">
        <v>0.60</v>
      </c>
      <c r="G67" s="214" t="s">
        <v>36</v>
      </c>
      <c r="H67" s="60">
        <v>4.38</v>
      </c>
      <c r="I67" s="60">
        <v>3.82</v>
      </c>
      <c r="J67" s="60">
        <v>1.79</v>
      </c>
      <c r="K67" s="60">
        <v>101.37</v>
      </c>
      <c r="L67" s="9" t="s">
        <v>36</v>
      </c>
      <c r="M67" s="60">
        <v>71.150000000000006</v>
      </c>
      <c r="N67" s="60">
        <v>683.20</v>
      </c>
      <c r="O67" s="60">
        <v>0</v>
      </c>
      <c r="P67" s="60">
        <v>2.57</v>
      </c>
      <c r="Q67" s="60">
        <v>7.16</v>
      </c>
      <c r="R67" s="194"/>
      <c r="S67" s="194"/>
      <c r="T67" s="194"/>
      <c r="U67" s="194"/>
    </row>
    <row r="68" spans="1:21" s="12" customFormat="1" ht="15">
      <c r="A68" s="197" t="s">
        <v>1456</v>
      </c>
      <c r="B68" s="60">
        <v>4.72</v>
      </c>
      <c r="C68" s="60">
        <v>13.21</v>
      </c>
      <c r="D68" s="60">
        <v>17.93</v>
      </c>
      <c r="E68" s="60">
        <v>6.48</v>
      </c>
      <c r="F68" s="60">
        <v>0.79</v>
      </c>
      <c r="G68" s="214" t="s">
        <v>36</v>
      </c>
      <c r="H68" s="60">
        <v>4.38</v>
      </c>
      <c r="I68" s="60">
        <v>3.75</v>
      </c>
      <c r="J68" s="60">
        <v>1.58</v>
      </c>
      <c r="K68" s="60">
        <v>97.74</v>
      </c>
      <c r="L68" s="9" t="s">
        <v>36</v>
      </c>
      <c r="M68" s="60">
        <v>71.08</v>
      </c>
      <c r="N68" s="60">
        <v>682.90</v>
      </c>
      <c r="O68" s="60">
        <v>0</v>
      </c>
      <c r="P68" s="60">
        <v>2.57</v>
      </c>
      <c r="Q68" s="60">
        <v>6.20</v>
      </c>
      <c r="R68" s="194"/>
      <c r="S68" s="194"/>
      <c r="T68" s="194"/>
      <c r="U68" s="194"/>
    </row>
    <row r="69" spans="1:21" s="12" customFormat="1" ht="15">
      <c r="A69" s="197" t="s">
        <v>1457</v>
      </c>
      <c r="B69" s="60">
        <v>4.21</v>
      </c>
      <c r="C69" s="60">
        <v>12.61</v>
      </c>
      <c r="D69" s="60">
        <v>16.82</v>
      </c>
      <c r="E69" s="60">
        <v>6.34</v>
      </c>
      <c r="F69" s="60">
        <v>0.55000000000000004</v>
      </c>
      <c r="G69" s="214" t="s">
        <v>36</v>
      </c>
      <c r="H69" s="60">
        <v>4.13</v>
      </c>
      <c r="I69" s="60">
        <v>3.72</v>
      </c>
      <c r="J69" s="60">
        <v>1.52</v>
      </c>
      <c r="K69" s="60">
        <v>102.35</v>
      </c>
      <c r="L69" s="9" t="s">
        <v>36</v>
      </c>
      <c r="M69" s="60">
        <v>69.80</v>
      </c>
      <c r="N69" s="60">
        <v>610.40</v>
      </c>
      <c r="O69" s="60">
        <v>0</v>
      </c>
      <c r="P69" s="60">
        <v>2.56</v>
      </c>
      <c r="Q69" s="60">
        <v>5.03</v>
      </c>
      <c r="R69" s="194"/>
      <c r="S69" s="194"/>
      <c r="T69" s="194"/>
      <c r="U69" s="194"/>
    </row>
    <row r="70" spans="1:21" s="12" customFormat="1" ht="15">
      <c r="A70" s="197" t="s">
        <v>1458</v>
      </c>
      <c r="B70" s="60">
        <v>3.87</v>
      </c>
      <c r="C70" s="60">
        <v>12.24</v>
      </c>
      <c r="D70" s="60">
        <v>16.100000000000001</v>
      </c>
      <c r="E70" s="60">
        <v>6.04</v>
      </c>
      <c r="F70" s="60">
        <v>0.48</v>
      </c>
      <c r="G70" s="214" t="s">
        <v>36</v>
      </c>
      <c r="H70" s="60">
        <v>3.49</v>
      </c>
      <c r="I70" s="60">
        <v>3.64</v>
      </c>
      <c r="J70" s="60">
        <v>1.20</v>
      </c>
      <c r="K70" s="60">
        <v>92.69</v>
      </c>
      <c r="L70" s="9" t="s">
        <v>36</v>
      </c>
      <c r="M70" s="60">
        <v>70.599999999999994</v>
      </c>
      <c r="N70" s="60">
        <v>334.20</v>
      </c>
      <c r="O70" s="60">
        <v>0</v>
      </c>
      <c r="P70" s="60">
        <v>2.56</v>
      </c>
      <c r="Q70" s="60">
        <v>4.17</v>
      </c>
      <c r="R70" s="194"/>
      <c r="S70" s="194"/>
      <c r="T70" s="194"/>
      <c r="U70" s="194"/>
    </row>
    <row r="71" spans="1:21" s="12" customFormat="1" ht="15">
      <c r="A71" s="197" t="s">
        <v>1459</v>
      </c>
      <c r="B71" s="60">
        <v>3.63</v>
      </c>
      <c r="C71" s="60">
        <v>11.99</v>
      </c>
      <c r="D71" s="60">
        <v>15.62</v>
      </c>
      <c r="E71" s="60">
        <v>6.85</v>
      </c>
      <c r="F71" s="60">
        <v>0.56000000000000005</v>
      </c>
      <c r="G71" s="214" t="s">
        <v>36</v>
      </c>
      <c r="H71" s="60">
        <v>3.49</v>
      </c>
      <c r="I71" s="60">
        <v>3.63</v>
      </c>
      <c r="J71" s="60">
        <v>1.06</v>
      </c>
      <c r="K71" s="60">
        <v>122.38</v>
      </c>
      <c r="L71" s="9" t="s">
        <v>36</v>
      </c>
      <c r="M71" s="60">
        <v>70.70</v>
      </c>
      <c r="N71" s="60">
        <v>243.10</v>
      </c>
      <c r="O71" s="60">
        <v>0</v>
      </c>
      <c r="P71" s="60">
        <v>2.56</v>
      </c>
      <c r="Q71" s="60">
        <v>3.66</v>
      </c>
      <c r="R71" s="194"/>
      <c r="S71" s="194"/>
      <c r="T71" s="194"/>
      <c r="U71" s="194"/>
    </row>
    <row r="72" spans="1:21" s="12" customFormat="1" ht="15">
      <c r="A72" s="197" t="s">
        <v>1460</v>
      </c>
      <c r="B72" s="60">
        <v>3.39</v>
      </c>
      <c r="C72" s="60">
        <v>11.80</v>
      </c>
      <c r="D72" s="60">
        <v>15.18</v>
      </c>
      <c r="E72" s="60">
        <v>3.35</v>
      </c>
      <c r="F72" s="60">
        <v>0.56000000000000005</v>
      </c>
      <c r="G72" s="214" t="s">
        <v>36</v>
      </c>
      <c r="H72" s="60">
        <v>3.49</v>
      </c>
      <c r="I72" s="60">
        <v>3.67</v>
      </c>
      <c r="J72" s="60">
        <v>1.01</v>
      </c>
      <c r="K72" s="60">
        <v>124.43</v>
      </c>
      <c r="L72" s="9" t="s">
        <v>36</v>
      </c>
      <c r="M72" s="60">
        <v>71.400000000000006</v>
      </c>
      <c r="N72" s="60">
        <v>195.70</v>
      </c>
      <c r="O72" s="60">
        <v>0</v>
      </c>
      <c r="P72" s="60">
        <v>2.56</v>
      </c>
      <c r="Q72" s="60">
        <v>3.38</v>
      </c>
      <c r="R72" s="194"/>
      <c r="S72" s="194"/>
      <c r="T72" s="194"/>
      <c r="U72" s="194"/>
    </row>
    <row r="73" spans="1:21" s="12" customFormat="1" ht="15">
      <c r="A73" s="197" t="s">
        <v>1461</v>
      </c>
      <c r="B73" s="60">
        <v>3.25</v>
      </c>
      <c r="C73" s="60">
        <v>11.43</v>
      </c>
      <c r="D73" s="60">
        <v>14.68</v>
      </c>
      <c r="E73" s="60">
        <v>5.89</v>
      </c>
      <c r="F73" s="60">
        <v>0.64</v>
      </c>
      <c r="G73" s="214" t="s">
        <v>36</v>
      </c>
      <c r="H73" s="60">
        <v>3.19</v>
      </c>
      <c r="I73" s="60">
        <v>3.65</v>
      </c>
      <c r="J73" s="60">
        <v>0.87</v>
      </c>
      <c r="K73" s="60">
        <v>123.25</v>
      </c>
      <c r="L73" s="9" t="s">
        <v>36</v>
      </c>
      <c r="M73" s="60">
        <v>73.150000000000006</v>
      </c>
      <c r="N73" s="60">
        <v>77.900000000000006</v>
      </c>
      <c r="O73" s="60">
        <v>0</v>
      </c>
      <c r="P73" s="60">
        <v>2.57</v>
      </c>
      <c r="Q73" s="60">
        <v>3.08</v>
      </c>
      <c r="R73" s="194"/>
      <c r="S73" s="194"/>
      <c r="T73" s="194"/>
      <c r="U73" s="194"/>
    </row>
    <row r="74" spans="1:21" s="12" customFormat="1" ht="15">
      <c r="A74" s="197" t="s">
        <v>1462</v>
      </c>
      <c r="B74" s="60">
        <v>3.25</v>
      </c>
      <c r="C74" s="60">
        <v>11.65</v>
      </c>
      <c r="D74" s="60">
        <v>14.90</v>
      </c>
      <c r="E74" s="60">
        <v>6.43</v>
      </c>
      <c r="F74" s="60">
        <v>0.44</v>
      </c>
      <c r="G74" s="214" t="s">
        <v>36</v>
      </c>
      <c r="H74" s="60">
        <v>2.4500000000000002</v>
      </c>
      <c r="I74" s="60">
        <v>3.65</v>
      </c>
      <c r="J74" s="60">
        <v>1.32</v>
      </c>
      <c r="K74" s="60">
        <v>160.16</v>
      </c>
      <c r="L74" s="9" t="s">
        <v>36</v>
      </c>
      <c r="M74" s="60">
        <v>75.34</v>
      </c>
      <c r="N74" s="60">
        <v>75</v>
      </c>
      <c r="O74" s="60">
        <v>0</v>
      </c>
      <c r="P74" s="60">
        <v>2.56</v>
      </c>
      <c r="Q74" s="60">
        <v>3.13</v>
      </c>
      <c r="R74" s="194"/>
      <c r="S74" s="194"/>
      <c r="T74" s="194"/>
      <c r="U74" s="194"/>
    </row>
    <row r="75" spans="1:21" s="12" customFormat="1" ht="15">
      <c r="A75" s="197" t="s">
        <v>1463</v>
      </c>
      <c r="B75" s="60">
        <v>3.27</v>
      </c>
      <c r="C75" s="60">
        <v>11.98</v>
      </c>
      <c r="D75" s="60">
        <v>15.25</v>
      </c>
      <c r="E75" s="60">
        <v>6.58</v>
      </c>
      <c r="F75" s="60">
        <v>0.14000000000000001</v>
      </c>
      <c r="G75" s="214" t="s">
        <v>36</v>
      </c>
      <c r="H75" s="60">
        <v>2.4500000000000002</v>
      </c>
      <c r="I75" s="60">
        <v>3.62</v>
      </c>
      <c r="J75" s="60">
        <v>1.80</v>
      </c>
      <c r="K75" s="60">
        <v>163.71</v>
      </c>
      <c r="L75" s="9" t="s">
        <v>36</v>
      </c>
      <c r="M75" s="60">
        <v>76.47</v>
      </c>
      <c r="N75" s="60">
        <v>105.60</v>
      </c>
      <c r="O75" s="60">
        <v>0</v>
      </c>
      <c r="P75" s="60">
        <v>2.58</v>
      </c>
      <c r="Q75" s="60">
        <v>3.29</v>
      </c>
      <c r="R75" s="194"/>
      <c r="S75" s="194"/>
      <c r="T75" s="194"/>
      <c r="U75" s="194"/>
    </row>
    <row r="76" spans="1:21" s="12" customFormat="1" ht="15">
      <c r="A76" s="197" t="s">
        <v>1464</v>
      </c>
      <c r="B76" s="60">
        <v>3.18</v>
      </c>
      <c r="C76" s="60">
        <v>11.64</v>
      </c>
      <c r="D76" s="60">
        <v>14.82</v>
      </c>
      <c r="E76" s="60">
        <v>6.61</v>
      </c>
      <c r="F76" s="60">
        <v>0.67</v>
      </c>
      <c r="G76" s="214" t="s">
        <v>36</v>
      </c>
      <c r="H76" s="60">
        <v>2.4500000000000002</v>
      </c>
      <c r="I76" s="60">
        <v>3.67</v>
      </c>
      <c r="J76" s="60">
        <v>1.38</v>
      </c>
      <c r="K76" s="60">
        <v>158.47</v>
      </c>
      <c r="L76" s="9" t="s">
        <v>36</v>
      </c>
      <c r="M76" s="60">
        <v>75.77</v>
      </c>
      <c r="N76" s="60">
        <v>113.20</v>
      </c>
      <c r="O76" s="60">
        <v>0</v>
      </c>
      <c r="P76" s="60">
        <v>2.56</v>
      </c>
      <c r="Q76" s="60">
        <v>3.74</v>
      </c>
      <c r="R76" s="194"/>
      <c r="S76" s="194"/>
      <c r="T76" s="194"/>
      <c r="U76" s="194"/>
    </row>
    <row r="77" spans="1:21" s="12" customFormat="1" ht="15">
      <c r="A77" s="197" t="s">
        <v>1465</v>
      </c>
      <c r="B77" s="60">
        <v>3.04</v>
      </c>
      <c r="C77" s="60">
        <v>11.69</v>
      </c>
      <c r="D77" s="60">
        <v>14.72</v>
      </c>
      <c r="E77" s="60">
        <v>6.55</v>
      </c>
      <c r="F77" s="60">
        <v>0.41</v>
      </c>
      <c r="G77" s="214" t="s">
        <v>36</v>
      </c>
      <c r="H77" s="60">
        <v>2.2799999999999998</v>
      </c>
      <c r="I77" s="60">
        <v>3.70</v>
      </c>
      <c r="J77" s="60">
        <v>1.18</v>
      </c>
      <c r="K77" s="60">
        <v>163.07</v>
      </c>
      <c r="L77" s="9" t="s">
        <v>36</v>
      </c>
      <c r="M77" s="60">
        <v>74.989999999999995</v>
      </c>
      <c r="N77" s="60">
        <v>119.70</v>
      </c>
      <c r="O77" s="60">
        <v>0</v>
      </c>
      <c r="P77" s="60">
        <v>2.56</v>
      </c>
      <c r="Q77" s="60">
        <v>4.79</v>
      </c>
      <c r="R77" s="194"/>
      <c r="S77" s="194"/>
      <c r="T77" s="194"/>
      <c r="U77" s="194"/>
    </row>
    <row r="78" spans="1:21" s="12" customFormat="1" ht="15">
      <c r="A78" s="197" t="s">
        <v>1466</v>
      </c>
      <c r="B78" s="60">
        <v>3</v>
      </c>
      <c r="C78" s="60">
        <v>11.99</v>
      </c>
      <c r="D78" s="60">
        <v>15</v>
      </c>
      <c r="E78" s="60">
        <v>6.34</v>
      </c>
      <c r="F78" s="60">
        <v>0.30</v>
      </c>
      <c r="G78" s="214" t="s">
        <v>36</v>
      </c>
      <c r="H78" s="60">
        <v>1.89</v>
      </c>
      <c r="I78" s="60">
        <v>3.63</v>
      </c>
      <c r="J78" s="60">
        <v>1.07</v>
      </c>
      <c r="K78" s="60">
        <v>164.14</v>
      </c>
      <c r="L78" s="9" t="s">
        <v>36</v>
      </c>
      <c r="M78" s="60">
        <v>75.239999999999995</v>
      </c>
      <c r="N78" s="60">
        <v>115.5</v>
      </c>
      <c r="O78" s="60">
        <v>0</v>
      </c>
      <c r="P78" s="60">
        <v>2.57</v>
      </c>
      <c r="Q78" s="60">
        <v>5.58</v>
      </c>
      <c r="R78" s="194"/>
      <c r="S78" s="194"/>
      <c r="T78" s="194"/>
      <c r="U78" s="194"/>
    </row>
    <row r="79" spans="1:21" s="12" customFormat="1" ht="15">
      <c r="A79" s="197" t="s">
        <v>1467</v>
      </c>
      <c r="B79" s="60">
        <v>3.01</v>
      </c>
      <c r="C79" s="60">
        <v>12.18</v>
      </c>
      <c r="D79" s="60">
        <v>15.19</v>
      </c>
      <c r="E79" s="60">
        <v>6.17</v>
      </c>
      <c r="F79" s="60">
        <v>0.62</v>
      </c>
      <c r="G79" s="214" t="s">
        <v>36</v>
      </c>
      <c r="H79" s="60">
        <v>1.89</v>
      </c>
      <c r="I79" s="60">
        <v>3.64</v>
      </c>
      <c r="J79" s="60">
        <v>1.43</v>
      </c>
      <c r="K79" s="60">
        <v>158.18</v>
      </c>
      <c r="L79" s="9" t="s">
        <v>36</v>
      </c>
      <c r="M79" s="60">
        <v>74.94</v>
      </c>
      <c r="N79" s="60">
        <v>60.70</v>
      </c>
      <c r="O79" s="60">
        <v>0</v>
      </c>
      <c r="P79" s="60">
        <v>2.57</v>
      </c>
      <c r="Q79" s="60">
        <v>5.92</v>
      </c>
      <c r="R79" s="194"/>
      <c r="S79" s="194"/>
      <c r="T79" s="194"/>
      <c r="U79" s="194"/>
    </row>
    <row r="80" spans="1:21" s="12" customFormat="1" ht="15">
      <c r="A80" s="197" t="s">
        <v>1468</v>
      </c>
      <c r="B80" s="60">
        <v>2.99</v>
      </c>
      <c r="C80" s="60">
        <v>12.16</v>
      </c>
      <c r="D80" s="60">
        <v>15.15</v>
      </c>
      <c r="E80" s="60">
        <v>6.24</v>
      </c>
      <c r="F80" s="60">
        <v>0.54</v>
      </c>
      <c r="G80" s="214" t="s">
        <v>36</v>
      </c>
      <c r="H80" s="60">
        <v>1.89</v>
      </c>
      <c r="I80" s="60">
        <v>3.57</v>
      </c>
      <c r="J80" s="60">
        <v>1.34</v>
      </c>
      <c r="K80" s="60">
        <v>162.80000000000001</v>
      </c>
      <c r="L80" s="9" t="s">
        <v>36</v>
      </c>
      <c r="M80" s="60">
        <v>77.06</v>
      </c>
      <c r="N80" s="60">
        <v>26.90</v>
      </c>
      <c r="O80" s="60">
        <v>0</v>
      </c>
      <c r="P80" s="60">
        <v>2.57</v>
      </c>
      <c r="Q80" s="60">
        <v>6.11</v>
      </c>
      <c r="R80" s="194"/>
      <c r="S80" s="194"/>
      <c r="T80" s="194"/>
      <c r="U80" s="194"/>
    </row>
    <row r="81" spans="1:21" s="12" customFormat="1" ht="15">
      <c r="A81" s="197" t="s">
        <v>1469</v>
      </c>
      <c r="B81" s="60">
        <v>2.96</v>
      </c>
      <c r="C81" s="60">
        <v>12.29</v>
      </c>
      <c r="D81" s="60">
        <v>15.25</v>
      </c>
      <c r="E81" s="60">
        <v>6.53</v>
      </c>
      <c r="F81" s="60">
        <v>0.28000000000000003</v>
      </c>
      <c r="G81" s="214" t="s">
        <v>36</v>
      </c>
      <c r="H81" s="60">
        <v>1.89</v>
      </c>
      <c r="I81" s="60">
        <v>3.57</v>
      </c>
      <c r="J81" s="60">
        <v>1.52</v>
      </c>
      <c r="K81" s="60">
        <v>158.52000000000001</v>
      </c>
      <c r="L81" s="9" t="s">
        <v>36</v>
      </c>
      <c r="M81" s="60">
        <v>77.489999999999995</v>
      </c>
      <c r="N81" s="60">
        <v>12.20</v>
      </c>
      <c r="O81" s="60">
        <v>0</v>
      </c>
      <c r="P81" s="60">
        <v>2.58</v>
      </c>
      <c r="Q81" s="60">
        <v>6.21</v>
      </c>
      <c r="R81" s="194"/>
      <c r="S81" s="194"/>
      <c r="T81" s="194"/>
      <c r="U81" s="194"/>
    </row>
    <row r="82" spans="1:21" s="12" customFormat="1" ht="15">
      <c r="A82" s="197" t="s">
        <v>1470</v>
      </c>
      <c r="B82" s="60">
        <v>3.10</v>
      </c>
      <c r="C82" s="60">
        <v>12.23</v>
      </c>
      <c r="D82" s="60">
        <v>15.33</v>
      </c>
      <c r="E82" s="60">
        <v>6.51</v>
      </c>
      <c r="F82" s="60">
        <v>0.24</v>
      </c>
      <c r="G82" s="214" t="s">
        <v>36</v>
      </c>
      <c r="H82" s="60">
        <v>1.90</v>
      </c>
      <c r="I82" s="60">
        <v>3.58</v>
      </c>
      <c r="J82" s="60">
        <v>1.07</v>
      </c>
      <c r="K82" s="60">
        <v>155.66</v>
      </c>
      <c r="L82" s="9" t="s">
        <v>36</v>
      </c>
      <c r="M82" s="60">
        <v>77.010000000000005</v>
      </c>
      <c r="N82" s="60">
        <v>4.70</v>
      </c>
      <c r="O82" s="60">
        <v>0</v>
      </c>
      <c r="P82" s="60">
        <v>2.58</v>
      </c>
      <c r="Q82" s="60">
        <v>6.17</v>
      </c>
      <c r="R82" s="194"/>
      <c r="S82" s="194"/>
      <c r="T82" s="194"/>
      <c r="U82" s="194"/>
    </row>
    <row r="83" spans="1:21" s="12" customFormat="1" ht="15">
      <c r="A83" s="197" t="s">
        <v>1471</v>
      </c>
      <c r="B83" s="60">
        <v>3.17</v>
      </c>
      <c r="C83" s="60">
        <v>11.89</v>
      </c>
      <c r="D83" s="60">
        <v>15.06</v>
      </c>
      <c r="E83" s="60">
        <v>6.63</v>
      </c>
      <c r="F83" s="60">
        <v>0.53</v>
      </c>
      <c r="G83" s="214" t="s">
        <v>36</v>
      </c>
      <c r="H83" s="60">
        <v>1.90</v>
      </c>
      <c r="I83" s="60">
        <v>3.51</v>
      </c>
      <c r="J83" s="60">
        <v>0.39</v>
      </c>
      <c r="K83" s="60">
        <v>159.08000000000001</v>
      </c>
      <c r="L83" s="9" t="s">
        <v>36</v>
      </c>
      <c r="M83" s="60">
        <v>79.36</v>
      </c>
      <c r="N83" s="60">
        <v>2.80</v>
      </c>
      <c r="O83" s="60">
        <v>0</v>
      </c>
      <c r="P83" s="60">
        <v>2.58</v>
      </c>
      <c r="Q83" s="60">
        <v>5.25</v>
      </c>
      <c r="R83" s="194"/>
      <c r="S83" s="194"/>
      <c r="T83" s="194"/>
      <c r="U83" s="194"/>
    </row>
    <row r="84" spans="1:21" s="12" customFormat="1" ht="15">
      <c r="A84" s="197" t="s">
        <v>1472</v>
      </c>
      <c r="B84" s="60">
        <v>3.27</v>
      </c>
      <c r="C84" s="60">
        <v>11.61</v>
      </c>
      <c r="D84" s="60">
        <v>14.88</v>
      </c>
      <c r="E84" s="60">
        <v>6.22</v>
      </c>
      <c r="F84" s="60">
        <v>1.18</v>
      </c>
      <c r="G84" s="214" t="s">
        <v>36</v>
      </c>
      <c r="H84" s="60">
        <v>1.90</v>
      </c>
      <c r="I84" s="60">
        <v>3.56</v>
      </c>
      <c r="J84" s="60">
        <v>0.70</v>
      </c>
      <c r="K84" s="60">
        <v>162.19999999999999</v>
      </c>
      <c r="L84" s="9" t="s">
        <v>36</v>
      </c>
      <c r="M84" s="60">
        <v>81.540000000000006</v>
      </c>
      <c r="N84" s="60">
        <v>0.80</v>
      </c>
      <c r="O84" s="60">
        <v>0</v>
      </c>
      <c r="P84" s="60">
        <v>2.59</v>
      </c>
      <c r="Q84" s="60">
        <v>4.29</v>
      </c>
      <c r="R84" s="194"/>
      <c r="S84" s="194"/>
      <c r="T84" s="194"/>
      <c r="U84" s="194"/>
    </row>
    <row r="85" spans="1:21" s="12" customFormat="1" ht="15">
      <c r="A85" s="197" t="s">
        <v>1473</v>
      </c>
      <c r="B85" s="60">
        <v>3.43</v>
      </c>
      <c r="C85" s="60">
        <v>11.46</v>
      </c>
      <c r="D85" s="60">
        <v>14.88</v>
      </c>
      <c r="E85" s="60">
        <v>6.64</v>
      </c>
      <c r="F85" s="60">
        <v>0.56999999999999995</v>
      </c>
      <c r="G85" s="214" t="s">
        <v>36</v>
      </c>
      <c r="H85" s="60">
        <v>1.77</v>
      </c>
      <c r="I85" s="60">
        <v>3.41</v>
      </c>
      <c r="J85" s="60">
        <v>0.44</v>
      </c>
      <c r="K85" s="60">
        <v>186.86</v>
      </c>
      <c r="L85" s="9" t="s">
        <v>36</v>
      </c>
      <c r="M85" s="60">
        <v>84.44</v>
      </c>
      <c r="N85" s="60">
        <v>0.40</v>
      </c>
      <c r="O85" s="60">
        <v>0</v>
      </c>
      <c r="P85" s="60">
        <v>2.60</v>
      </c>
      <c r="Q85" s="60">
        <v>3.78</v>
      </c>
      <c r="R85" s="194"/>
      <c r="S85" s="194"/>
      <c r="T85" s="194"/>
      <c r="U85" s="194"/>
    </row>
    <row r="86" spans="1:21" s="12" customFormat="1" ht="15">
      <c r="A86" s="197" t="s">
        <v>1474</v>
      </c>
      <c r="B86" s="60">
        <v>3.58</v>
      </c>
      <c r="C86" s="60">
        <v>11.29</v>
      </c>
      <c r="D86" s="60">
        <v>14.88</v>
      </c>
      <c r="E86" s="60">
        <v>7.28</v>
      </c>
      <c r="F86" s="60">
        <v>0.41</v>
      </c>
      <c r="G86" s="214" t="s">
        <v>36</v>
      </c>
      <c r="H86" s="60">
        <v>1.45</v>
      </c>
      <c r="I86" s="60">
        <v>3.48</v>
      </c>
      <c r="J86" s="60">
        <v>0.35</v>
      </c>
      <c r="K86" s="60">
        <v>195.35</v>
      </c>
      <c r="L86" s="9" t="s">
        <v>36</v>
      </c>
      <c r="M86" s="60">
        <v>85.81</v>
      </c>
      <c r="N86" s="60">
        <v>0.30</v>
      </c>
      <c r="O86" s="60">
        <v>0</v>
      </c>
      <c r="P86" s="60">
        <v>2.61</v>
      </c>
      <c r="Q86" s="60">
        <v>3.52</v>
      </c>
      <c r="R86" s="194"/>
      <c r="S86" s="194"/>
      <c r="T86" s="194"/>
      <c r="U86" s="194"/>
    </row>
    <row r="87" spans="1:21" s="12" customFormat="1" ht="15">
      <c r="A87" s="197" t="s">
        <v>1475</v>
      </c>
      <c r="B87" s="60">
        <v>3.69</v>
      </c>
      <c r="C87" s="60">
        <v>11.15</v>
      </c>
      <c r="D87" s="60">
        <v>14.83</v>
      </c>
      <c r="E87" s="60">
        <v>7.24</v>
      </c>
      <c r="F87" s="60">
        <v>0.36</v>
      </c>
      <c r="G87" s="214" t="s">
        <v>36</v>
      </c>
      <c r="H87" s="60">
        <v>1.45</v>
      </c>
      <c r="I87" s="60">
        <v>3.63</v>
      </c>
      <c r="J87" s="60">
        <v>0.30</v>
      </c>
      <c r="K87" s="60">
        <v>204.94</v>
      </c>
      <c r="L87" s="9" t="s">
        <v>36</v>
      </c>
      <c r="M87" s="60">
        <v>86.38</v>
      </c>
      <c r="N87" s="60">
        <v>0</v>
      </c>
      <c r="O87" s="60">
        <v>0</v>
      </c>
      <c r="P87" s="60">
        <v>2.62</v>
      </c>
      <c r="Q87" s="60">
        <v>3.41</v>
      </c>
      <c r="R87" s="194"/>
      <c r="S87" s="194"/>
      <c r="T87" s="194"/>
      <c r="U87" s="194"/>
    </row>
    <row r="88" spans="1:21" s="12" customFormat="1" ht="15">
      <c r="A88" s="197" t="s">
        <v>1476</v>
      </c>
      <c r="B88" s="60">
        <v>3.82</v>
      </c>
      <c r="C88" s="60">
        <v>11.06</v>
      </c>
      <c r="D88" s="60">
        <v>14.89</v>
      </c>
      <c r="E88" s="60">
        <v>4.3899999999999997</v>
      </c>
      <c r="F88" s="60">
        <v>0.81</v>
      </c>
      <c r="G88" s="214" t="s">
        <v>36</v>
      </c>
      <c r="H88" s="60">
        <v>1.45</v>
      </c>
      <c r="I88" s="60">
        <v>3.38</v>
      </c>
      <c r="J88" s="60">
        <v>0.18</v>
      </c>
      <c r="K88" s="60">
        <v>233.29</v>
      </c>
      <c r="L88" s="9" t="s">
        <v>36</v>
      </c>
      <c r="M88" s="60">
        <v>86.51</v>
      </c>
      <c r="N88" s="60">
        <v>0.10</v>
      </c>
      <c r="O88" s="60">
        <v>0</v>
      </c>
      <c r="P88" s="60">
        <v>2.64</v>
      </c>
      <c r="Q88" s="60">
        <v>3.30</v>
      </c>
      <c r="R88" s="194"/>
      <c r="S88" s="194"/>
      <c r="T88" s="194"/>
      <c r="U88" s="194"/>
    </row>
    <row r="89" spans="1:21" s="12" customFormat="1" ht="15">
      <c r="A89" s="197" t="s">
        <v>1477</v>
      </c>
      <c r="B89" s="60">
        <v>4.04</v>
      </c>
      <c r="C89" s="60">
        <v>10.93</v>
      </c>
      <c r="D89" s="60">
        <v>14.97</v>
      </c>
      <c r="E89" s="60">
        <v>7.19</v>
      </c>
      <c r="F89" s="60">
        <v>0.08</v>
      </c>
      <c r="G89" s="214" t="s">
        <v>36</v>
      </c>
      <c r="H89" s="60">
        <v>1.84</v>
      </c>
      <c r="I89" s="60">
        <v>3.41</v>
      </c>
      <c r="J89" s="60">
        <v>0.15</v>
      </c>
      <c r="K89" s="60">
        <v>276.62</v>
      </c>
      <c r="L89" s="9" t="s">
        <v>36</v>
      </c>
      <c r="M89" s="60">
        <v>87.54</v>
      </c>
      <c r="N89" s="60">
        <v>0</v>
      </c>
      <c r="O89" s="60">
        <v>0</v>
      </c>
      <c r="P89" s="60">
        <v>2.65</v>
      </c>
      <c r="Q89" s="60">
        <v>3.33</v>
      </c>
      <c r="R89" s="194"/>
      <c r="S89" s="194"/>
      <c r="T89" s="194"/>
      <c r="U89" s="194"/>
    </row>
    <row r="90" spans="1:21" s="12" customFormat="1" ht="15">
      <c r="A90" s="197" t="s">
        <v>1478</v>
      </c>
      <c r="B90" s="60">
        <v>4.88</v>
      </c>
      <c r="C90" s="60">
        <v>11.02</v>
      </c>
      <c r="D90" s="60">
        <v>15.90</v>
      </c>
      <c r="E90" s="60">
        <v>7.81</v>
      </c>
      <c r="F90" s="60">
        <v>0.11</v>
      </c>
      <c r="G90" s="214" t="s">
        <v>36</v>
      </c>
      <c r="H90" s="60">
        <v>2.82</v>
      </c>
      <c r="I90" s="60">
        <v>3.98</v>
      </c>
      <c r="J90" s="60">
        <v>0.08</v>
      </c>
      <c r="K90" s="60">
        <v>342.12</v>
      </c>
      <c r="L90" s="9" t="s">
        <v>36</v>
      </c>
      <c r="M90" s="60">
        <v>87.20</v>
      </c>
      <c r="N90" s="60">
        <v>0</v>
      </c>
      <c r="O90" s="60">
        <v>0</v>
      </c>
      <c r="P90" s="60">
        <v>2.70</v>
      </c>
      <c r="Q90" s="60">
        <v>3.64</v>
      </c>
      <c r="R90" s="194"/>
      <c r="S90" s="194"/>
      <c r="T90" s="194"/>
      <c r="U90" s="194"/>
    </row>
    <row r="91" spans="1:21" s="12" customFormat="1" ht="15">
      <c r="A91" s="197" t="s">
        <v>1479</v>
      </c>
      <c r="B91" s="60">
        <v>6.20</v>
      </c>
      <c r="C91" s="60">
        <v>11.68</v>
      </c>
      <c r="D91" s="60">
        <v>17.88</v>
      </c>
      <c r="E91" s="60">
        <v>7.65</v>
      </c>
      <c r="F91" s="60">
        <v>0.20</v>
      </c>
      <c r="G91" s="214" t="s">
        <v>36</v>
      </c>
      <c r="H91" s="60">
        <v>2.82</v>
      </c>
      <c r="I91" s="60">
        <v>3.93</v>
      </c>
      <c r="J91" s="60">
        <v>0.20</v>
      </c>
      <c r="K91" s="60">
        <v>326.63</v>
      </c>
      <c r="L91" s="9" t="s">
        <v>36</v>
      </c>
      <c r="M91" s="60">
        <v>86.66</v>
      </c>
      <c r="N91" s="60">
        <v>0</v>
      </c>
      <c r="O91" s="60">
        <v>0</v>
      </c>
      <c r="P91" s="60">
        <v>2.77</v>
      </c>
      <c r="Q91" s="60">
        <v>4.8499999999999996</v>
      </c>
      <c r="R91" s="194"/>
      <c r="S91" s="194"/>
      <c r="T91" s="194"/>
      <c r="U91" s="194"/>
    </row>
    <row r="92" spans="1:21" s="12" customFormat="1" ht="15">
      <c r="A92" s="197" t="s">
        <v>1480</v>
      </c>
      <c r="B92" s="60">
        <v>7.51</v>
      </c>
      <c r="C92" s="60">
        <v>12.45</v>
      </c>
      <c r="D92" s="60">
        <v>19.96</v>
      </c>
      <c r="E92" s="60">
        <v>7.90</v>
      </c>
      <c r="F92" s="60">
        <v>0.16</v>
      </c>
      <c r="G92" s="214" t="s">
        <v>36</v>
      </c>
      <c r="H92" s="60">
        <v>2.82</v>
      </c>
      <c r="I92" s="60">
        <v>4.29</v>
      </c>
      <c r="J92" s="60">
        <v>0.18</v>
      </c>
      <c r="K92" s="60">
        <v>305.20999999999998</v>
      </c>
      <c r="L92" s="9" t="s">
        <v>36</v>
      </c>
      <c r="M92" s="60">
        <v>86.68</v>
      </c>
      <c r="N92" s="60">
        <v>0</v>
      </c>
      <c r="O92" s="60">
        <v>0</v>
      </c>
      <c r="P92" s="60">
        <v>2.85</v>
      </c>
      <c r="Q92" s="60">
        <v>6.43</v>
      </c>
      <c r="R92" s="194"/>
      <c r="S92" s="194"/>
      <c r="T92" s="194"/>
      <c r="U92" s="194"/>
    </row>
    <row r="93" spans="1:21" s="12" customFormat="1" ht="15">
      <c r="A93" s="197" t="s">
        <v>1481</v>
      </c>
      <c r="B93" s="60">
        <v>8.76</v>
      </c>
      <c r="C93" s="60">
        <v>13.12</v>
      </c>
      <c r="D93" s="60">
        <v>21.88</v>
      </c>
      <c r="E93" s="60">
        <v>7.68</v>
      </c>
      <c r="F93" s="60">
        <v>0.12</v>
      </c>
      <c r="G93" s="214" t="s">
        <v>36</v>
      </c>
      <c r="H93" s="60">
        <v>3.06</v>
      </c>
      <c r="I93" s="60">
        <v>4.5599999999999996</v>
      </c>
      <c r="J93" s="60">
        <v>0.09</v>
      </c>
      <c r="K93" s="60">
        <v>213.66</v>
      </c>
      <c r="L93" s="9" t="s">
        <v>36</v>
      </c>
      <c r="M93" s="60">
        <v>84.95</v>
      </c>
      <c r="N93" s="60">
        <v>0.10</v>
      </c>
      <c r="O93" s="60">
        <v>0</v>
      </c>
      <c r="P93" s="60">
        <v>2.93</v>
      </c>
      <c r="Q93" s="60">
        <v>7.60</v>
      </c>
      <c r="R93" s="194"/>
      <c r="S93" s="194"/>
      <c r="T93" s="194"/>
      <c r="U93" s="194"/>
    </row>
    <row r="94" spans="1:21" s="12" customFormat="1" ht="15">
      <c r="A94" s="197" t="s">
        <v>1482</v>
      </c>
      <c r="B94" s="60">
        <v>8.94</v>
      </c>
      <c r="C94" s="60">
        <v>13.40</v>
      </c>
      <c r="D94" s="60">
        <v>22.34</v>
      </c>
      <c r="E94" s="60">
        <v>7.83</v>
      </c>
      <c r="F94" s="60">
        <v>0.04</v>
      </c>
      <c r="G94" s="214" t="s">
        <v>36</v>
      </c>
      <c r="H94" s="60">
        <v>3.65</v>
      </c>
      <c r="I94" s="60">
        <v>4.87</v>
      </c>
      <c r="J94" s="60">
        <v>0.070000000000000007</v>
      </c>
      <c r="K94" s="60">
        <v>195.92</v>
      </c>
      <c r="L94" s="9" t="s">
        <v>36</v>
      </c>
      <c r="M94" s="60">
        <v>85.10</v>
      </c>
      <c r="N94" s="60">
        <v>0.10</v>
      </c>
      <c r="O94" s="60">
        <v>0</v>
      </c>
      <c r="P94" s="60">
        <v>2.92</v>
      </c>
      <c r="Q94" s="60">
        <v>7.89</v>
      </c>
      <c r="R94" s="194"/>
      <c r="S94" s="194"/>
      <c r="T94" s="194"/>
      <c r="U94" s="194"/>
    </row>
    <row r="95" spans="1:21" s="12" customFormat="1" ht="15">
      <c r="A95" s="197" t="s">
        <v>1483</v>
      </c>
      <c r="B95" s="60">
        <v>8.56</v>
      </c>
      <c r="C95" s="60">
        <v>13.35</v>
      </c>
      <c r="D95" s="60">
        <v>21.91</v>
      </c>
      <c r="E95" s="60">
        <v>7.65</v>
      </c>
      <c r="F95" s="60">
        <v>0.15</v>
      </c>
      <c r="G95" s="214" t="s">
        <v>36</v>
      </c>
      <c r="H95" s="60">
        <v>3.65</v>
      </c>
      <c r="I95" s="60">
        <v>5.0199999999999996</v>
      </c>
      <c r="J95" s="60">
        <v>0.34</v>
      </c>
      <c r="K95" s="60">
        <v>175.36</v>
      </c>
      <c r="L95" s="9" t="s">
        <v>36</v>
      </c>
      <c r="M95" s="60">
        <v>86.79</v>
      </c>
      <c r="N95" s="60">
        <v>0.30</v>
      </c>
      <c r="O95" s="60">
        <v>0</v>
      </c>
      <c r="P95" s="60">
        <v>2.92</v>
      </c>
      <c r="Q95" s="60">
        <v>7.87</v>
      </c>
      <c r="R95" s="194"/>
      <c r="S95" s="194"/>
      <c r="T95" s="194"/>
      <c r="U95" s="194"/>
    </row>
    <row r="96" spans="1:26" s="12" customFormat="1" ht="15">
      <c r="A96" s="197" t="s">
        <v>1484</v>
      </c>
      <c r="B96" s="60">
        <v>8.0399999999999991</v>
      </c>
      <c r="C96" s="60">
        <v>13.08</v>
      </c>
      <c r="D96" s="60">
        <v>21.12</v>
      </c>
      <c r="E96" s="60">
        <v>7.69</v>
      </c>
      <c r="F96" s="60">
        <v>0.11</v>
      </c>
      <c r="G96" s="214" t="s">
        <v>36</v>
      </c>
      <c r="H96" s="60">
        <v>3.65</v>
      </c>
      <c r="I96" s="60">
        <v>4.9800000000000004</v>
      </c>
      <c r="J96" s="60">
        <v>0.34</v>
      </c>
      <c r="K96" s="60">
        <v>185.08</v>
      </c>
      <c r="L96" s="9" t="s">
        <v>36</v>
      </c>
      <c r="M96" s="60">
        <v>87.13</v>
      </c>
      <c r="N96" s="60">
        <v>0.30</v>
      </c>
      <c r="O96" s="60">
        <v>0</v>
      </c>
      <c r="P96" s="60">
        <v>2.92</v>
      </c>
      <c r="Q96" s="60">
        <v>7.79</v>
      </c>
      <c r="R96" s="194"/>
      <c r="S96" s="194"/>
      <c r="T96" s="194"/>
      <c r="U96" s="194"/>
      <c r="Z96" s="105"/>
    </row>
    <row r="97" spans="1:21" s="12" customFormat="1" ht="15">
      <c r="A97" s="197" t="s">
        <v>1485</v>
      </c>
      <c r="B97" s="60">
        <v>7.58</v>
      </c>
      <c r="C97" s="60">
        <v>13.31</v>
      </c>
      <c r="D97" s="60">
        <v>20.89</v>
      </c>
      <c r="E97" s="60">
        <v>7.65</v>
      </c>
      <c r="F97" s="60">
        <v>0.09</v>
      </c>
      <c r="G97" s="214" t="s">
        <v>36</v>
      </c>
      <c r="H97" s="60">
        <v>3.59</v>
      </c>
      <c r="I97" s="60">
        <v>4.8899999999999997</v>
      </c>
      <c r="J97" s="60">
        <v>0.79</v>
      </c>
      <c r="K97" s="60">
        <v>169.09</v>
      </c>
      <c r="L97" s="9" t="s">
        <v>36</v>
      </c>
      <c r="M97" s="60">
        <v>85.82</v>
      </c>
      <c r="N97" s="60">
        <v>0.10</v>
      </c>
      <c r="O97" s="60">
        <v>0</v>
      </c>
      <c r="P97" s="60">
        <v>2.90</v>
      </c>
      <c r="Q97" s="60">
        <v>7.35</v>
      </c>
      <c r="R97" s="194"/>
      <c r="S97" s="194"/>
      <c r="T97" s="194"/>
      <c r="U97" s="194"/>
    </row>
    <row r="98" spans="1:21" s="12" customFormat="1" ht="15">
      <c r="A98" s="197" t="s">
        <v>1486</v>
      </c>
      <c r="B98" s="60">
        <v>7.41</v>
      </c>
      <c r="C98" s="60">
        <v>12.79</v>
      </c>
      <c r="D98" s="60">
        <v>20.20</v>
      </c>
      <c r="E98" s="60">
        <v>7.51</v>
      </c>
      <c r="F98" s="60">
        <v>0.13</v>
      </c>
      <c r="G98" s="214" t="s">
        <v>36</v>
      </c>
      <c r="H98" s="60">
        <v>3.43</v>
      </c>
      <c r="I98" s="60">
        <v>4.87</v>
      </c>
      <c r="J98" s="60">
        <v>0.24</v>
      </c>
      <c r="K98" s="60">
        <v>205.32</v>
      </c>
      <c r="L98" s="9" t="s">
        <v>36</v>
      </c>
      <c r="M98" s="60">
        <v>85.03</v>
      </c>
      <c r="N98" s="60">
        <v>0.40</v>
      </c>
      <c r="O98" s="60">
        <v>0</v>
      </c>
      <c r="P98" s="60">
        <v>2.88</v>
      </c>
      <c r="Q98" s="60">
        <v>6.20</v>
      </c>
      <c r="R98" s="194"/>
      <c r="S98" s="194"/>
      <c r="T98" s="194"/>
      <c r="U98" s="194"/>
    </row>
    <row r="99" spans="1:21" s="12" customFormat="1" ht="15">
      <c r="A99" s="197" t="s">
        <v>1487</v>
      </c>
      <c r="B99" s="60">
        <v>7.25</v>
      </c>
      <c r="C99" s="60">
        <v>12.12</v>
      </c>
      <c r="D99" s="60">
        <v>19.37</v>
      </c>
      <c r="E99" s="60">
        <v>7.63</v>
      </c>
      <c r="F99" s="60">
        <v>0.24</v>
      </c>
      <c r="G99" s="214" t="s">
        <v>36</v>
      </c>
      <c r="H99" s="60">
        <v>3.43</v>
      </c>
      <c r="I99" s="60">
        <v>4.46</v>
      </c>
      <c r="J99" s="60">
        <v>0.15</v>
      </c>
      <c r="K99" s="60">
        <v>206.80</v>
      </c>
      <c r="L99" s="9" t="s">
        <v>36</v>
      </c>
      <c r="M99" s="60">
        <v>88.05</v>
      </c>
      <c r="N99" s="60">
        <v>0.5</v>
      </c>
      <c r="O99" s="60">
        <v>0</v>
      </c>
      <c r="P99" s="60">
        <v>2.88</v>
      </c>
      <c r="Q99" s="60">
        <v>5.32</v>
      </c>
      <c r="R99" s="194"/>
      <c r="S99" s="194"/>
      <c r="T99" s="194"/>
      <c r="U99" s="194"/>
    </row>
    <row r="100" spans="1:33" s="12" customFormat="1" ht="15">
      <c r="A100" s="197" t="s">
        <v>1488</v>
      </c>
      <c r="B100" s="60">
        <v>7.07</v>
      </c>
      <c r="C100" s="60">
        <v>11.80</v>
      </c>
      <c r="D100" s="60">
        <v>18.87</v>
      </c>
      <c r="E100" s="60">
        <v>7.82</v>
      </c>
      <c r="F100" s="60">
        <v>0.12</v>
      </c>
      <c r="G100" s="214" t="s">
        <v>36</v>
      </c>
      <c r="H100" s="60">
        <v>3.43</v>
      </c>
      <c r="I100" s="60">
        <v>4.4800000000000004</v>
      </c>
      <c r="J100" s="60">
        <v>0.15</v>
      </c>
      <c r="K100" s="60">
        <v>201.08</v>
      </c>
      <c r="L100" s="9" t="s">
        <v>36</v>
      </c>
      <c r="M100" s="60">
        <v>91.07</v>
      </c>
      <c r="N100" s="60">
        <v>0.30</v>
      </c>
      <c r="O100" s="60">
        <v>0</v>
      </c>
      <c r="P100" s="60">
        <v>2.88</v>
      </c>
      <c r="Q100" s="60">
        <v>4.80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1489</v>
      </c>
      <c r="B101" s="60">
        <v>6.89</v>
      </c>
      <c r="C101" s="60">
        <v>11.56</v>
      </c>
      <c r="D101" s="60">
        <v>18.45</v>
      </c>
      <c r="E101" s="60">
        <v>8.34</v>
      </c>
      <c r="F101" s="60">
        <v>0.24</v>
      </c>
      <c r="G101" s="214" t="s">
        <v>36</v>
      </c>
      <c r="H101" s="60">
        <v>3.35</v>
      </c>
      <c r="I101" s="60">
        <v>4.5</v>
      </c>
      <c r="J101" s="60">
        <v>0.45</v>
      </c>
      <c r="K101" s="60">
        <v>168.66</v>
      </c>
      <c r="L101" s="9" t="s">
        <v>36</v>
      </c>
      <c r="M101" s="60">
        <v>90.25</v>
      </c>
      <c r="N101" s="60">
        <v>0.40</v>
      </c>
      <c r="O101" s="60">
        <v>0</v>
      </c>
      <c r="P101" s="60">
        <v>2.87</v>
      </c>
      <c r="Q101" s="60">
        <v>4.5199999999999996</v>
      </c>
      <c r="R101" s="194"/>
      <c r="S101" s="194"/>
      <c r="T101" s="194"/>
      <c r="U101" s="194"/>
    </row>
    <row r="102" spans="1:21" s="12" customFormat="1" ht="15">
      <c r="A102" s="197" t="s">
        <v>1490</v>
      </c>
      <c r="B102" s="60">
        <v>6.74</v>
      </c>
      <c r="C102" s="60">
        <v>11.24</v>
      </c>
      <c r="D102" s="60">
        <v>17.98</v>
      </c>
      <c r="E102" s="60">
        <v>7.86</v>
      </c>
      <c r="F102" s="60">
        <v>0.23</v>
      </c>
      <c r="G102" s="214" t="s">
        <v>36</v>
      </c>
      <c r="H102" s="60">
        <v>3.18</v>
      </c>
      <c r="I102" s="60">
        <v>4.59</v>
      </c>
      <c r="J102" s="60">
        <v>0.13</v>
      </c>
      <c r="K102" s="60">
        <v>197.59</v>
      </c>
      <c r="L102" s="9" t="s">
        <v>36</v>
      </c>
      <c r="M102" s="60">
        <v>88.01</v>
      </c>
      <c r="N102" s="60">
        <v>0.30</v>
      </c>
      <c r="O102" s="60">
        <v>0</v>
      </c>
      <c r="P102" s="60">
        <v>2.85</v>
      </c>
      <c r="Q102" s="60">
        <v>4.33</v>
      </c>
      <c r="R102" s="194"/>
      <c r="S102" s="194"/>
      <c r="T102" s="194"/>
      <c r="U102" s="194"/>
    </row>
    <row r="103" spans="1:21" s="12" customFormat="1" ht="15">
      <c r="A103" s="197" t="s">
        <v>1491</v>
      </c>
      <c r="B103" s="60">
        <v>6.45</v>
      </c>
      <c r="C103" s="60">
        <v>11.07</v>
      </c>
      <c r="D103" s="60">
        <v>17.52</v>
      </c>
      <c r="E103" s="60">
        <v>8.01</v>
      </c>
      <c r="F103" s="60">
        <v>0.26</v>
      </c>
      <c r="G103" s="214" t="s">
        <v>36</v>
      </c>
      <c r="H103" s="60">
        <v>3.18</v>
      </c>
      <c r="I103" s="60">
        <v>4.57</v>
      </c>
      <c r="J103" s="60">
        <v>0.43</v>
      </c>
      <c r="K103" s="60">
        <v>188.11</v>
      </c>
      <c r="L103" s="9" t="s">
        <v>36</v>
      </c>
      <c r="M103" s="60">
        <v>88.26</v>
      </c>
      <c r="N103" s="60">
        <v>0.40</v>
      </c>
      <c r="O103" s="60">
        <v>0</v>
      </c>
      <c r="P103" s="60">
        <v>2.84</v>
      </c>
      <c r="Q103" s="60">
        <v>4.16</v>
      </c>
      <c r="R103" s="194"/>
      <c r="S103" s="194"/>
      <c r="T103" s="194"/>
      <c r="U103" s="194"/>
    </row>
    <row r="104" spans="1:21" s="12" customFormat="1" ht="15">
      <c r="A104" s="197" t="s">
        <v>1492</v>
      </c>
      <c r="B104" s="60">
        <v>6.19</v>
      </c>
      <c r="C104" s="60">
        <v>10.87</v>
      </c>
      <c r="D104" s="60">
        <v>17.059999999999999</v>
      </c>
      <c r="E104" s="60">
        <v>4.13</v>
      </c>
      <c r="F104" s="60">
        <v>0.35</v>
      </c>
      <c r="G104" s="214" t="s">
        <v>36</v>
      </c>
      <c r="H104" s="60">
        <v>3.18</v>
      </c>
      <c r="I104" s="60">
        <v>4.62</v>
      </c>
      <c r="J104" s="60">
        <v>0.25</v>
      </c>
      <c r="K104" s="60">
        <v>227.11</v>
      </c>
      <c r="L104" s="9" t="s">
        <v>36</v>
      </c>
      <c r="M104" s="60">
        <v>91.15</v>
      </c>
      <c r="N104" s="60">
        <v>0.40</v>
      </c>
      <c r="O104" s="60">
        <v>0</v>
      </c>
      <c r="P104" s="60">
        <v>2.84</v>
      </c>
      <c r="Q104" s="60">
        <v>4.04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2.5099999999999998</v>
      </c>
      <c r="C106" s="67">
        <f>MIN(C9:C104)</f>
        <v>10.220000000000001</v>
      </c>
      <c r="D106" s="67">
        <f t="shared" si="0" ref="D106:Q106">MIN(D9:D104)</f>
        <v>13.59</v>
      </c>
      <c r="E106" s="67">
        <f t="shared" si="0"/>
        <v>3.2999999999999998</v>
      </c>
      <c r="F106" s="67">
        <f t="shared" si="0"/>
        <v>0.040000000000000001</v>
      </c>
      <c r="G106" s="67">
        <f t="shared" si="0"/>
        <v>0</v>
      </c>
      <c r="H106" s="67">
        <f t="shared" si="0"/>
        <v>1.45</v>
      </c>
      <c r="I106" s="67">
        <f t="shared" si="0"/>
        <v>3.3799999999999999</v>
      </c>
      <c r="J106" s="67">
        <f t="shared" si="0"/>
        <v>0.070000000000000007</v>
      </c>
      <c r="K106" s="67">
        <f t="shared" si="0"/>
        <v>7.0099999999999998</v>
      </c>
      <c r="L106" s="67">
        <f t="shared" si="0"/>
        <v>0</v>
      </c>
      <c r="M106" s="67">
        <f t="shared" si="0"/>
        <v>69.799999999999997</v>
      </c>
      <c r="N106" s="67">
        <f t="shared" si="0"/>
        <v>0</v>
      </c>
      <c r="O106" s="67">
        <f t="shared" si="0"/>
        <v>0</v>
      </c>
      <c r="P106" s="67">
        <f t="shared" si="0"/>
        <v>2.5600000000000001</v>
      </c>
      <c r="Q106" s="67">
        <f t="shared" si="0"/>
        <v>3.0800000000000001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9.7200000000000006</v>
      </c>
      <c r="C107" s="66">
        <f t="shared" si="1" ref="C107:Q107">MAX(C9:C104)</f>
        <v>15.109999999999999</v>
      </c>
      <c r="D107" s="66">
        <f t="shared" si="1"/>
        <v>22.34</v>
      </c>
      <c r="E107" s="66">
        <f t="shared" si="1"/>
        <v>9.3100000000000005</v>
      </c>
      <c r="F107" s="66">
        <f t="shared" si="1"/>
        <v>3.0699999999999998</v>
      </c>
      <c r="G107" s="66">
        <f t="shared" si="1"/>
        <v>0</v>
      </c>
      <c r="H107" s="66">
        <f t="shared" si="1"/>
        <v>15.9</v>
      </c>
      <c r="I107" s="66">
        <f t="shared" si="1"/>
        <v>6.2999999999999998</v>
      </c>
      <c r="J107" s="66">
        <f t="shared" si="1"/>
        <v>3.46</v>
      </c>
      <c r="K107" s="66">
        <f t="shared" si="1"/>
        <v>357.48000000000002</v>
      </c>
      <c r="L107" s="66">
        <f t="shared" si="1"/>
        <v>0</v>
      </c>
      <c r="M107" s="66">
        <f t="shared" si="1"/>
        <v>99.099999999999994</v>
      </c>
      <c r="N107" s="66">
        <f t="shared" si="1"/>
        <v>1022.7</v>
      </c>
      <c r="O107" s="66">
        <f t="shared" si="1"/>
        <v>0.80000000000000004</v>
      </c>
      <c r="P107" s="66">
        <f t="shared" si="1"/>
        <v>2.98</v>
      </c>
      <c r="Q107" s="66">
        <f t="shared" si="1"/>
        <v>7.8899999999999997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5.5361458333333351</v>
      </c>
      <c r="C108" s="67">
        <f t="shared" si="2" ref="C108:Q108">AVERAGE(C9:C104)</f>
        <v>12.044479166666656</v>
      </c>
      <c r="D108" s="67">
        <f t="shared" si="2"/>
        <v>17.580208333333342</v>
      </c>
      <c r="E108" s="67">
        <f t="shared" si="2"/>
        <v>7.4143750000000006</v>
      </c>
      <c r="F108" s="67">
        <f t="shared" si="2"/>
        <v>0.39833333333333337</v>
      </c>
      <c r="G108" s="67" t="e">
        <f t="shared" si="2"/>
        <v>#DIV/0!</v>
      </c>
      <c r="H108" s="67">
        <f t="shared" si="2"/>
        <v>6.4187500000000002</v>
      </c>
      <c r="I108" s="67">
        <f t="shared" si="2"/>
        <v>4.6898958333333329</v>
      </c>
      <c r="J108" s="67">
        <f t="shared" si="2"/>
        <v>1.0797916666666669</v>
      </c>
      <c r="K108" s="67">
        <f t="shared" si="2"/>
        <v>147.44302083333335</v>
      </c>
      <c r="L108" s="67" t="e">
        <f t="shared" si="2"/>
        <v>#DIV/0!</v>
      </c>
      <c r="M108" s="67">
        <f t="shared" si="2"/>
        <v>86.732395833333285</v>
      </c>
      <c r="N108" s="67">
        <f t="shared" si="2"/>
        <v>189.7635416666667</v>
      </c>
      <c r="O108" s="67">
        <f t="shared" si="2"/>
        <v>0.020833333333333332</v>
      </c>
      <c r="P108" s="67">
        <f t="shared" si="2"/>
        <v>2.7349999999999999</v>
      </c>
      <c r="Q108" s="67">
        <f t="shared" si="2"/>
        <v>5.1832291666666679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1.9584539389886957</v>
      </c>
      <c r="C109" s="67">
        <f t="shared" si="3" ref="C109:Q109">STDEV(C9:C104)</f>
        <v>0.98583746903375369</v>
      </c>
      <c r="D109" s="67">
        <f t="shared" si="3"/>
        <v>2.3374146667977453</v>
      </c>
      <c r="E109" s="67">
        <f t="shared" si="3"/>
        <v>1.2658517519420422</v>
      </c>
      <c r="F109" s="67">
        <f t="shared" si="3"/>
        <v>0.37513412805966823</v>
      </c>
      <c r="G109" s="67" t="e">
        <f t="shared" si="3"/>
        <v>#DIV/0!</v>
      </c>
      <c r="H109" s="67">
        <f t="shared" si="3"/>
        <v>3.7920546437324183</v>
      </c>
      <c r="I109" s="67">
        <f t="shared" si="3"/>
        <v>0.83466538494450537</v>
      </c>
      <c r="J109" s="67">
        <f t="shared" si="3"/>
        <v>0.7601163057359146</v>
      </c>
      <c r="K109" s="67">
        <f t="shared" si="3"/>
        <v>94.519446666529561</v>
      </c>
      <c r="L109" s="67" t="e">
        <f t="shared" si="3"/>
        <v>#DIV/0!</v>
      </c>
      <c r="M109" s="67">
        <f t="shared" si="3"/>
        <v>9.5374551107222363</v>
      </c>
      <c r="N109" s="67">
        <f t="shared" si="3"/>
        <v>289.59612861609492</v>
      </c>
      <c r="O109" s="67">
        <f t="shared" si="3"/>
        <v>0.098319208025017521</v>
      </c>
      <c r="P109" s="67">
        <f t="shared" si="3"/>
        <v>0.12681524065804511</v>
      </c>
      <c r="Q109" s="67">
        <f t="shared" si="3"/>
        <v>1.4069305857950527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8806b8-df81-424c-813b-e85b6aedbb52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14-07-2022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1493</v>
      </c>
      <c r="B9" s="60">
        <v>5.63</v>
      </c>
      <c r="C9" s="60">
        <v>10.74</v>
      </c>
      <c r="D9" s="60">
        <v>16.37</v>
      </c>
      <c r="E9" s="60">
        <v>6.85</v>
      </c>
      <c r="F9" s="60">
        <v>0.06</v>
      </c>
      <c r="G9" s="214" t="s">
        <v>36</v>
      </c>
      <c r="H9" s="60">
        <v>3.26</v>
      </c>
      <c r="I9" s="60">
        <v>4.82</v>
      </c>
      <c r="J9" s="60">
        <v>0.14000000000000001</v>
      </c>
      <c r="K9" s="60">
        <v>326.24</v>
      </c>
      <c r="L9" s="9" t="s">
        <v>36</v>
      </c>
      <c r="M9" s="60">
        <v>92.56</v>
      </c>
      <c r="N9" s="214" t="s">
        <v>36</v>
      </c>
      <c r="O9" s="60">
        <v>0</v>
      </c>
      <c r="P9" s="60">
        <v>2.83</v>
      </c>
      <c r="Q9" s="60">
        <v>4.20</v>
      </c>
      <c r="R9" s="194"/>
      <c r="S9" s="194"/>
      <c r="T9" s="194"/>
      <c r="U9" s="194"/>
    </row>
    <row r="10" spans="1:21" s="12" customFormat="1" ht="15">
      <c r="A10" s="197" t="s">
        <v>1494</v>
      </c>
      <c r="B10" s="60">
        <v>5</v>
      </c>
      <c r="C10" s="60">
        <v>10.85</v>
      </c>
      <c r="D10" s="60">
        <v>15.85</v>
      </c>
      <c r="E10" s="60">
        <v>7.15</v>
      </c>
      <c r="F10" s="60">
        <v>0.04</v>
      </c>
      <c r="G10" s="214" t="s">
        <v>36</v>
      </c>
      <c r="H10" s="60">
        <v>3.45</v>
      </c>
      <c r="I10" s="60">
        <v>4.97</v>
      </c>
      <c r="J10" s="60">
        <v>0.15</v>
      </c>
      <c r="K10" s="60">
        <v>22</v>
      </c>
      <c r="L10" s="9" t="s">
        <v>36</v>
      </c>
      <c r="M10" s="60">
        <v>92.81</v>
      </c>
      <c r="N10" s="214" t="s">
        <v>36</v>
      </c>
      <c r="O10" s="60">
        <v>0</v>
      </c>
      <c r="P10" s="60">
        <v>2.81</v>
      </c>
      <c r="Q10" s="60">
        <v>4.8499999999999996</v>
      </c>
      <c r="R10" s="194"/>
      <c r="S10" s="194"/>
      <c r="T10" s="194"/>
      <c r="U10" s="194"/>
    </row>
    <row r="11" spans="1:21" s="12" customFormat="1" ht="15">
      <c r="A11" s="197" t="s">
        <v>1495</v>
      </c>
      <c r="B11" s="60">
        <v>4.24</v>
      </c>
      <c r="C11" s="60">
        <v>11.03</v>
      </c>
      <c r="D11" s="60">
        <v>15.27</v>
      </c>
      <c r="E11" s="60">
        <v>6.83</v>
      </c>
      <c r="F11" s="60">
        <v>0.16</v>
      </c>
      <c r="G11" s="214" t="s">
        <v>36</v>
      </c>
      <c r="H11" s="60">
        <v>3.45</v>
      </c>
      <c r="I11" s="60">
        <v>4.8600000000000003</v>
      </c>
      <c r="J11" s="60">
        <v>0.19</v>
      </c>
      <c r="K11" s="60">
        <v>2.2999999999999998</v>
      </c>
      <c r="L11" s="9" t="s">
        <v>36</v>
      </c>
      <c r="M11" s="60">
        <v>94.68</v>
      </c>
      <c r="N11" s="214" t="s">
        <v>36</v>
      </c>
      <c r="O11" s="60">
        <v>0</v>
      </c>
      <c r="P11" s="60">
        <v>2.80</v>
      </c>
      <c r="Q11" s="60">
        <v>5.5</v>
      </c>
      <c r="R11" s="194"/>
      <c r="S11" s="194"/>
      <c r="T11" s="194"/>
      <c r="U11" s="194"/>
    </row>
    <row r="12" spans="1:21" s="12" customFormat="1" ht="15">
      <c r="A12" s="197" t="s">
        <v>1496</v>
      </c>
      <c r="B12" s="60">
        <v>3.51</v>
      </c>
      <c r="C12" s="60">
        <v>10.97</v>
      </c>
      <c r="D12" s="60">
        <v>14.48</v>
      </c>
      <c r="E12" s="60">
        <v>6.78</v>
      </c>
      <c r="F12" s="60">
        <v>0.37</v>
      </c>
      <c r="G12" s="214" t="s">
        <v>36</v>
      </c>
      <c r="H12" s="60">
        <v>3.45</v>
      </c>
      <c r="I12" s="60">
        <v>4.75</v>
      </c>
      <c r="J12" s="60">
        <v>0.19</v>
      </c>
      <c r="K12" s="60">
        <v>15.23</v>
      </c>
      <c r="L12" s="9" t="s">
        <v>36</v>
      </c>
      <c r="M12" s="60">
        <v>95.23</v>
      </c>
      <c r="N12" s="214" t="s">
        <v>36</v>
      </c>
      <c r="O12" s="60">
        <v>0</v>
      </c>
      <c r="P12" s="60">
        <v>2.79</v>
      </c>
      <c r="Q12" s="60">
        <v>5.82</v>
      </c>
      <c r="R12" s="194"/>
      <c r="S12" s="194"/>
      <c r="T12" s="194"/>
      <c r="U12" s="194"/>
    </row>
    <row r="13" spans="1:21" s="12" customFormat="1" ht="15">
      <c r="A13" s="197" t="s">
        <v>1497</v>
      </c>
      <c r="B13" s="60">
        <v>2.87</v>
      </c>
      <c r="C13" s="60">
        <v>10.84</v>
      </c>
      <c r="D13" s="60">
        <v>13.71</v>
      </c>
      <c r="E13" s="60">
        <v>6.83</v>
      </c>
      <c r="F13" s="60">
        <v>0.49</v>
      </c>
      <c r="G13" s="214" t="s">
        <v>36</v>
      </c>
      <c r="H13" s="60">
        <v>3.27</v>
      </c>
      <c r="I13" s="60">
        <v>4.59</v>
      </c>
      <c r="J13" s="60">
        <v>0.15</v>
      </c>
      <c r="K13" s="60">
        <v>31.03</v>
      </c>
      <c r="L13" s="9" t="s">
        <v>36</v>
      </c>
      <c r="M13" s="60">
        <v>96.80</v>
      </c>
      <c r="N13" s="60">
        <v>0.20</v>
      </c>
      <c r="O13" s="60">
        <v>0.60</v>
      </c>
      <c r="P13" s="60">
        <v>2.77</v>
      </c>
      <c r="Q13" s="60">
        <v>5.84</v>
      </c>
      <c r="R13" s="194"/>
      <c r="S13" s="194"/>
      <c r="T13" s="194"/>
      <c r="U13" s="194"/>
    </row>
    <row r="14" spans="1:21" s="12" customFormat="1" ht="15">
      <c r="A14" s="197" t="s">
        <v>1498</v>
      </c>
      <c r="B14" s="60">
        <v>2.38</v>
      </c>
      <c r="C14" s="60">
        <v>10.63</v>
      </c>
      <c r="D14" s="60">
        <v>13</v>
      </c>
      <c r="E14" s="60">
        <v>6.57</v>
      </c>
      <c r="F14" s="60">
        <v>0.61</v>
      </c>
      <c r="G14" s="214" t="s">
        <v>36</v>
      </c>
      <c r="H14" s="60">
        <v>2.84</v>
      </c>
      <c r="I14" s="60">
        <v>4.46</v>
      </c>
      <c r="J14" s="60">
        <v>0.25</v>
      </c>
      <c r="K14" s="60">
        <v>327.16000000000003</v>
      </c>
      <c r="L14" s="9" t="s">
        <v>36</v>
      </c>
      <c r="M14" s="60">
        <v>97.33</v>
      </c>
      <c r="N14" s="60">
        <v>0.5</v>
      </c>
      <c r="O14" s="60">
        <v>0.40</v>
      </c>
      <c r="P14" s="60">
        <v>2.74</v>
      </c>
      <c r="Q14" s="60">
        <v>5.61</v>
      </c>
      <c r="R14" s="194"/>
      <c r="S14" s="194"/>
      <c r="T14" s="194"/>
      <c r="U14" s="194"/>
    </row>
    <row r="15" spans="1:21" s="12" customFormat="1" ht="15">
      <c r="A15" s="197" t="s">
        <v>1499</v>
      </c>
      <c r="B15" s="60">
        <v>2.0299999999999998</v>
      </c>
      <c r="C15" s="60">
        <v>10.59</v>
      </c>
      <c r="D15" s="60">
        <v>12.62</v>
      </c>
      <c r="E15" s="60">
        <v>6.59</v>
      </c>
      <c r="F15" s="60">
        <v>0.13</v>
      </c>
      <c r="G15" s="214" t="s">
        <v>36</v>
      </c>
      <c r="H15" s="60">
        <v>2.84</v>
      </c>
      <c r="I15" s="60">
        <v>4.33</v>
      </c>
      <c r="J15" s="60">
        <v>0.27</v>
      </c>
      <c r="K15" s="60">
        <v>330.35</v>
      </c>
      <c r="L15" s="9" t="s">
        <v>36</v>
      </c>
      <c r="M15" s="60">
        <v>98.55</v>
      </c>
      <c r="N15" s="60">
        <v>0.20</v>
      </c>
      <c r="O15" s="60">
        <v>0.40</v>
      </c>
      <c r="P15" s="60">
        <v>2.73</v>
      </c>
      <c r="Q15" s="60">
        <v>5.52</v>
      </c>
      <c r="R15" s="194"/>
      <c r="S15" s="194"/>
      <c r="T15" s="194"/>
      <c r="U15" s="194"/>
    </row>
    <row r="16" spans="1:21" s="12" customFormat="1" ht="15">
      <c r="A16" s="197" t="s">
        <v>1500</v>
      </c>
      <c r="B16" s="60">
        <v>1.85</v>
      </c>
      <c r="C16" s="60">
        <v>10.51</v>
      </c>
      <c r="D16" s="60">
        <v>12.36</v>
      </c>
      <c r="E16" s="60">
        <v>6.26</v>
      </c>
      <c r="F16" s="60">
        <v>0.22</v>
      </c>
      <c r="G16" s="214" t="s">
        <v>36</v>
      </c>
      <c r="H16" s="60">
        <v>2.84</v>
      </c>
      <c r="I16" s="60">
        <v>4.1900000000000004</v>
      </c>
      <c r="J16" s="60">
        <v>0.13</v>
      </c>
      <c r="K16" s="60">
        <v>290.19</v>
      </c>
      <c r="L16" s="9" t="s">
        <v>36</v>
      </c>
      <c r="M16" s="60">
        <v>98.74</v>
      </c>
      <c r="N16" s="60">
        <v>0.40</v>
      </c>
      <c r="O16" s="60">
        <v>0.60</v>
      </c>
      <c r="P16" s="60">
        <v>2.71</v>
      </c>
      <c r="Q16" s="60">
        <v>4.72</v>
      </c>
      <c r="R16" s="194"/>
      <c r="S16" s="194"/>
      <c r="T16" s="194"/>
      <c r="U16" s="194"/>
    </row>
    <row r="17" spans="1:21" s="12" customFormat="1" ht="15">
      <c r="A17" s="197" t="s">
        <v>1501</v>
      </c>
      <c r="B17" s="60">
        <v>1.88</v>
      </c>
      <c r="C17" s="60">
        <v>10.35</v>
      </c>
      <c r="D17" s="60">
        <v>12.22</v>
      </c>
      <c r="E17" s="60">
        <v>7.01</v>
      </c>
      <c r="F17" s="60">
        <v>0.12</v>
      </c>
      <c r="G17" s="214" t="s">
        <v>36</v>
      </c>
      <c r="H17" s="60">
        <v>2.69</v>
      </c>
      <c r="I17" s="60">
        <v>4.0999999999999996</v>
      </c>
      <c r="J17" s="60">
        <v>0.30</v>
      </c>
      <c r="K17" s="60">
        <v>328.61</v>
      </c>
      <c r="L17" s="9" t="s">
        <v>36</v>
      </c>
      <c r="M17" s="60">
        <v>99.05</v>
      </c>
      <c r="N17" s="60">
        <v>0.30</v>
      </c>
      <c r="O17" s="60">
        <v>0.40</v>
      </c>
      <c r="P17" s="60">
        <v>2.72</v>
      </c>
      <c r="Q17" s="60">
        <v>3.81</v>
      </c>
      <c r="R17" s="194"/>
      <c r="S17" s="194"/>
      <c r="T17" s="194"/>
      <c r="U17" s="194"/>
    </row>
    <row r="18" spans="1:21" s="12" customFormat="1" ht="15">
      <c r="A18" s="197" t="s">
        <v>1502</v>
      </c>
      <c r="B18" s="60">
        <v>2.0299999999999998</v>
      </c>
      <c r="C18" s="60">
        <v>10.02</v>
      </c>
      <c r="D18" s="60">
        <v>12.05</v>
      </c>
      <c r="E18" s="60">
        <v>7.06</v>
      </c>
      <c r="F18" s="60">
        <v>0.12</v>
      </c>
      <c r="G18" s="214" t="s">
        <v>36</v>
      </c>
      <c r="H18" s="60">
        <v>2.34</v>
      </c>
      <c r="I18" s="60">
        <v>3.90</v>
      </c>
      <c r="J18" s="60">
        <v>0.14000000000000001</v>
      </c>
      <c r="K18" s="60">
        <v>343.61</v>
      </c>
      <c r="L18" s="9" t="s">
        <v>36</v>
      </c>
      <c r="M18" s="60">
        <v>99.09</v>
      </c>
      <c r="N18" s="60">
        <v>0.20</v>
      </c>
      <c r="O18" s="60">
        <v>0.60</v>
      </c>
      <c r="P18" s="60">
        <v>2.72</v>
      </c>
      <c r="Q18" s="60">
        <v>3.31</v>
      </c>
      <c r="R18" s="194"/>
      <c r="S18" s="194"/>
      <c r="T18" s="194"/>
      <c r="U18" s="194"/>
    </row>
    <row r="19" spans="1:21" s="12" customFormat="1" ht="15">
      <c r="A19" s="197" t="s">
        <v>1503</v>
      </c>
      <c r="B19" s="60">
        <v>2.2000000000000002</v>
      </c>
      <c r="C19" s="60">
        <v>9.9499999999999993</v>
      </c>
      <c r="D19" s="60">
        <v>12.15</v>
      </c>
      <c r="E19" s="60">
        <v>6.87</v>
      </c>
      <c r="F19" s="60">
        <v>0.05</v>
      </c>
      <c r="G19" s="214" t="s">
        <v>36</v>
      </c>
      <c r="H19" s="60">
        <v>2.34</v>
      </c>
      <c r="I19" s="60">
        <v>4.13</v>
      </c>
      <c r="J19" s="60">
        <v>0.30</v>
      </c>
      <c r="K19" s="60">
        <v>320.95999999999998</v>
      </c>
      <c r="L19" s="9" t="s">
        <v>36</v>
      </c>
      <c r="M19" s="60">
        <v>99.10</v>
      </c>
      <c r="N19" s="60">
        <v>0.40</v>
      </c>
      <c r="O19" s="60">
        <v>0.20</v>
      </c>
      <c r="P19" s="60">
        <v>2.73</v>
      </c>
      <c r="Q19" s="60">
        <v>2.99</v>
      </c>
      <c r="R19" s="194"/>
      <c r="S19" s="194"/>
      <c r="T19" s="194"/>
      <c r="U19" s="194"/>
    </row>
    <row r="20" spans="1:21" s="12" customFormat="1" ht="15">
      <c r="A20" s="197" t="s">
        <v>1504</v>
      </c>
      <c r="B20" s="60">
        <v>2.37</v>
      </c>
      <c r="C20" s="60">
        <v>9.85</v>
      </c>
      <c r="D20" s="60">
        <v>12.22</v>
      </c>
      <c r="E20" s="60">
        <v>7.07</v>
      </c>
      <c r="F20" s="60">
        <v>0.12</v>
      </c>
      <c r="G20" s="214" t="s">
        <v>36</v>
      </c>
      <c r="H20" s="60">
        <v>2.34</v>
      </c>
      <c r="I20" s="60">
        <v>4.24</v>
      </c>
      <c r="J20" s="60">
        <v>0.08</v>
      </c>
      <c r="K20" s="60">
        <v>341.92</v>
      </c>
      <c r="L20" s="9" t="s">
        <v>36</v>
      </c>
      <c r="M20" s="60">
        <v>99.10</v>
      </c>
      <c r="N20" s="60">
        <v>0.20</v>
      </c>
      <c r="O20" s="60">
        <v>0.20</v>
      </c>
      <c r="P20" s="60">
        <v>2.73</v>
      </c>
      <c r="Q20" s="60">
        <v>2.84</v>
      </c>
      <c r="R20" s="194"/>
      <c r="S20" s="194"/>
      <c r="T20" s="194"/>
      <c r="U20" s="194"/>
    </row>
    <row r="21" spans="1:21" s="12" customFormat="1" ht="15">
      <c r="A21" s="197" t="s">
        <v>1505</v>
      </c>
      <c r="B21" s="60">
        <v>2.5099999999999998</v>
      </c>
      <c r="C21" s="60">
        <v>9.84</v>
      </c>
      <c r="D21" s="60">
        <v>12.35</v>
      </c>
      <c r="E21" s="60">
        <v>7.17</v>
      </c>
      <c r="F21" s="60">
        <v>0.25</v>
      </c>
      <c r="G21" s="214" t="s">
        <v>36</v>
      </c>
      <c r="H21" s="60">
        <v>2.19</v>
      </c>
      <c r="I21" s="60">
        <v>4.4000000000000004</v>
      </c>
      <c r="J21" s="60">
        <v>0.14000000000000001</v>
      </c>
      <c r="K21" s="60">
        <v>19.190000000000001</v>
      </c>
      <c r="L21" s="9" t="s">
        <v>36</v>
      </c>
      <c r="M21" s="60">
        <v>99.10</v>
      </c>
      <c r="N21" s="60">
        <v>0.30</v>
      </c>
      <c r="O21" s="60">
        <v>0.60</v>
      </c>
      <c r="P21" s="60">
        <v>2.73</v>
      </c>
      <c r="Q21" s="60">
        <v>2.81</v>
      </c>
      <c r="R21" s="194"/>
      <c r="S21" s="194"/>
      <c r="T21" s="194"/>
      <c r="U21" s="194"/>
    </row>
    <row r="22" spans="1:21" s="12" customFormat="1" ht="15">
      <c r="A22" s="197" t="s">
        <v>1506</v>
      </c>
      <c r="B22" s="60">
        <v>2.57</v>
      </c>
      <c r="C22" s="60">
        <v>10.17</v>
      </c>
      <c r="D22" s="60">
        <v>12.74</v>
      </c>
      <c r="E22" s="60">
        <v>6.77</v>
      </c>
      <c r="F22" s="60">
        <v>0.14000000000000001</v>
      </c>
      <c r="G22" s="214" t="s">
        <v>36</v>
      </c>
      <c r="H22" s="60">
        <v>1.82</v>
      </c>
      <c r="I22" s="60">
        <v>4.55</v>
      </c>
      <c r="J22" s="60">
        <v>0.10</v>
      </c>
      <c r="K22" s="60">
        <v>357.43</v>
      </c>
      <c r="L22" s="9" t="s">
        <v>36</v>
      </c>
      <c r="M22" s="60">
        <v>99.10</v>
      </c>
      <c r="N22" s="60">
        <v>0.30</v>
      </c>
      <c r="O22" s="60">
        <v>0.20</v>
      </c>
      <c r="P22" s="60">
        <v>2.75</v>
      </c>
      <c r="Q22" s="60">
        <v>2.86</v>
      </c>
      <c r="R22" s="194"/>
      <c r="S22" s="194"/>
      <c r="T22" s="194"/>
      <c r="U22" s="194"/>
    </row>
    <row r="23" spans="1:21" s="12" customFormat="1" ht="15">
      <c r="A23" s="197" t="s">
        <v>1507</v>
      </c>
      <c r="B23" s="60">
        <v>2.77</v>
      </c>
      <c r="C23" s="60">
        <v>10.68</v>
      </c>
      <c r="D23" s="60">
        <v>13.45</v>
      </c>
      <c r="E23" s="60">
        <v>6.98</v>
      </c>
      <c r="F23" s="60">
        <v>0.12</v>
      </c>
      <c r="G23" s="214" t="s">
        <v>36</v>
      </c>
      <c r="H23" s="60">
        <v>1.82</v>
      </c>
      <c r="I23" s="60">
        <v>4.70</v>
      </c>
      <c r="J23" s="60">
        <v>0.13</v>
      </c>
      <c r="K23" s="60">
        <v>259.48</v>
      </c>
      <c r="L23" s="9" t="s">
        <v>36</v>
      </c>
      <c r="M23" s="60">
        <v>99.10</v>
      </c>
      <c r="N23" s="60">
        <v>0.5</v>
      </c>
      <c r="O23" s="60">
        <v>0</v>
      </c>
      <c r="P23" s="60">
        <v>2.77</v>
      </c>
      <c r="Q23" s="60">
        <v>3.07</v>
      </c>
      <c r="R23" s="194"/>
      <c r="S23" s="194"/>
      <c r="T23" s="194"/>
      <c r="U23" s="194"/>
    </row>
    <row r="24" spans="1:21" s="12" customFormat="1" ht="15">
      <c r="A24" s="197" t="s">
        <v>1508</v>
      </c>
      <c r="B24" s="60">
        <v>3</v>
      </c>
      <c r="C24" s="60">
        <v>10.73</v>
      </c>
      <c r="D24" s="60">
        <v>13.73</v>
      </c>
      <c r="E24" s="60">
        <v>3.41</v>
      </c>
      <c r="F24" s="60">
        <v>0.35</v>
      </c>
      <c r="G24" s="214" t="s">
        <v>36</v>
      </c>
      <c r="H24" s="60">
        <v>1.82</v>
      </c>
      <c r="I24" s="60">
        <v>5.17</v>
      </c>
      <c r="J24" s="60">
        <v>0.87</v>
      </c>
      <c r="K24" s="60">
        <v>317.35000000000002</v>
      </c>
      <c r="L24" s="9" t="s">
        <v>36</v>
      </c>
      <c r="M24" s="60">
        <v>99.10</v>
      </c>
      <c r="N24" s="60">
        <v>0.60</v>
      </c>
      <c r="O24" s="60">
        <v>0.20</v>
      </c>
      <c r="P24" s="60">
        <v>2.79</v>
      </c>
      <c r="Q24" s="60">
        <v>3.77</v>
      </c>
      <c r="R24" s="194"/>
      <c r="S24" s="194"/>
      <c r="T24" s="194"/>
      <c r="U24" s="194"/>
    </row>
    <row r="25" spans="1:21" s="12" customFormat="1" ht="15">
      <c r="A25" s="197" t="s">
        <v>1509</v>
      </c>
      <c r="B25" s="60">
        <v>2.97</v>
      </c>
      <c r="C25" s="60">
        <v>11.10</v>
      </c>
      <c r="D25" s="60">
        <v>14.07</v>
      </c>
      <c r="E25" s="60">
        <v>6.90</v>
      </c>
      <c r="F25" s="60">
        <v>0.06</v>
      </c>
      <c r="G25" s="214" t="s">
        <v>36</v>
      </c>
      <c r="H25" s="60">
        <v>1.81</v>
      </c>
      <c r="I25" s="60">
        <v>6</v>
      </c>
      <c r="J25" s="60">
        <v>1.71</v>
      </c>
      <c r="K25" s="60">
        <v>331.63</v>
      </c>
      <c r="L25" s="9" t="s">
        <v>36</v>
      </c>
      <c r="M25" s="60">
        <v>99.10</v>
      </c>
      <c r="N25" s="60">
        <v>0.80</v>
      </c>
      <c r="O25" s="60">
        <v>1.80</v>
      </c>
      <c r="P25" s="60">
        <v>2.78</v>
      </c>
      <c r="Q25" s="60">
        <v>4.71</v>
      </c>
      <c r="R25" s="194"/>
      <c r="S25" s="194"/>
      <c r="T25" s="194"/>
      <c r="U25" s="194"/>
    </row>
    <row r="26" spans="1:21" s="12" customFormat="1" ht="15">
      <c r="A26" s="197" t="s">
        <v>1510</v>
      </c>
      <c r="B26" s="60">
        <v>2.76</v>
      </c>
      <c r="C26" s="60">
        <v>11.36</v>
      </c>
      <c r="D26" s="60">
        <v>14.12</v>
      </c>
      <c r="E26" s="60">
        <v>6.94</v>
      </c>
      <c r="F26" s="60">
        <v>0.14000000000000001</v>
      </c>
      <c r="G26" s="214" t="s">
        <v>36</v>
      </c>
      <c r="H26" s="60">
        <v>1.79</v>
      </c>
      <c r="I26" s="60">
        <v>6.05</v>
      </c>
      <c r="J26" s="60">
        <v>1.54</v>
      </c>
      <c r="K26" s="60">
        <v>342.81</v>
      </c>
      <c r="L26" s="9" t="s">
        <v>36</v>
      </c>
      <c r="M26" s="60">
        <v>99.10</v>
      </c>
      <c r="N26" s="60">
        <v>2.70</v>
      </c>
      <c r="O26" s="60">
        <v>12</v>
      </c>
      <c r="P26" s="60">
        <v>2.77</v>
      </c>
      <c r="Q26" s="60">
        <v>5.29</v>
      </c>
      <c r="R26" s="194"/>
      <c r="S26" s="194"/>
      <c r="T26" s="194"/>
      <c r="U26" s="194"/>
    </row>
    <row r="27" spans="1:21" s="12" customFormat="1" ht="15">
      <c r="A27" s="197" t="s">
        <v>1511</v>
      </c>
      <c r="B27" s="60">
        <v>2.4900000000000002</v>
      </c>
      <c r="C27" s="60">
        <v>11.45</v>
      </c>
      <c r="D27" s="60">
        <v>13.94</v>
      </c>
      <c r="E27" s="60">
        <v>6.93</v>
      </c>
      <c r="F27" s="60">
        <v>0.35</v>
      </c>
      <c r="G27" s="214" t="s">
        <v>36</v>
      </c>
      <c r="H27" s="60">
        <v>1.79</v>
      </c>
      <c r="I27" s="60">
        <v>6.02</v>
      </c>
      <c r="J27" s="60">
        <v>0.32</v>
      </c>
      <c r="K27" s="60">
        <v>272.47000000000003</v>
      </c>
      <c r="L27" s="9" t="s">
        <v>36</v>
      </c>
      <c r="M27" s="60">
        <v>99.10</v>
      </c>
      <c r="N27" s="60">
        <v>0.5</v>
      </c>
      <c r="O27" s="60">
        <v>2.40</v>
      </c>
      <c r="P27" s="60">
        <v>2.74</v>
      </c>
      <c r="Q27" s="60">
        <v>5.53</v>
      </c>
      <c r="R27" s="194"/>
      <c r="S27" s="194"/>
      <c r="T27" s="194"/>
      <c r="U27" s="194"/>
    </row>
    <row r="28" spans="1:21" s="12" customFormat="1" ht="15">
      <c r="A28" s="197" t="s">
        <v>1512</v>
      </c>
      <c r="B28" s="60">
        <v>2.1800000000000002</v>
      </c>
      <c r="C28" s="60">
        <v>11.30</v>
      </c>
      <c r="D28" s="60">
        <v>13.48</v>
      </c>
      <c r="E28" s="60">
        <v>7</v>
      </c>
      <c r="F28" s="60">
        <v>0.51</v>
      </c>
      <c r="G28" s="214" t="s">
        <v>36</v>
      </c>
      <c r="H28" s="60">
        <v>1.79</v>
      </c>
      <c r="I28" s="60">
        <v>5.78</v>
      </c>
      <c r="J28" s="60">
        <v>0.34</v>
      </c>
      <c r="K28" s="60">
        <v>323.86</v>
      </c>
      <c r="L28" s="9" t="s">
        <v>36</v>
      </c>
      <c r="M28" s="60">
        <v>99.10</v>
      </c>
      <c r="N28" s="214" t="s">
        <v>36</v>
      </c>
      <c r="O28" s="60">
        <v>1</v>
      </c>
      <c r="P28" s="60">
        <v>2.72</v>
      </c>
      <c r="Q28" s="60">
        <v>5.57</v>
      </c>
      <c r="R28" s="194"/>
      <c r="S28" s="194"/>
      <c r="T28" s="194"/>
      <c r="U28" s="194"/>
    </row>
    <row r="29" spans="1:21" s="12" customFormat="1" ht="15">
      <c r="A29" s="197" t="s">
        <v>1513</v>
      </c>
      <c r="B29" s="60">
        <v>2.10</v>
      </c>
      <c r="C29" s="60">
        <v>11.15</v>
      </c>
      <c r="D29" s="60">
        <v>13.25</v>
      </c>
      <c r="E29" s="60">
        <v>7.24</v>
      </c>
      <c r="F29" s="60">
        <v>0.37</v>
      </c>
      <c r="G29" s="214" t="s">
        <v>36</v>
      </c>
      <c r="H29" s="60">
        <v>1.99</v>
      </c>
      <c r="I29" s="60">
        <v>5.48</v>
      </c>
      <c r="J29" s="60">
        <v>1.34</v>
      </c>
      <c r="K29" s="60">
        <v>326.36</v>
      </c>
      <c r="L29" s="9" t="s">
        <v>36</v>
      </c>
      <c r="M29" s="60">
        <v>99.10</v>
      </c>
      <c r="N29" s="214" t="s">
        <v>36</v>
      </c>
      <c r="O29" s="60">
        <v>1</v>
      </c>
      <c r="P29" s="60">
        <v>2.72</v>
      </c>
      <c r="Q29" s="60">
        <v>5.63</v>
      </c>
      <c r="R29" s="194"/>
      <c r="S29" s="194"/>
      <c r="T29" s="194"/>
      <c r="U29" s="194"/>
    </row>
    <row r="30" spans="1:21" s="12" customFormat="1" ht="15">
      <c r="A30" s="197" t="s">
        <v>1514</v>
      </c>
      <c r="B30" s="60">
        <v>2.36</v>
      </c>
      <c r="C30" s="60">
        <v>11.35</v>
      </c>
      <c r="D30" s="60">
        <v>13.71</v>
      </c>
      <c r="E30" s="60">
        <v>6.51</v>
      </c>
      <c r="F30" s="60">
        <v>0.56000000000000005</v>
      </c>
      <c r="G30" s="214" t="s">
        <v>36</v>
      </c>
      <c r="H30" s="60">
        <v>2.4700000000000002</v>
      </c>
      <c r="I30" s="60">
        <v>5.30</v>
      </c>
      <c r="J30" s="60">
        <v>1.53</v>
      </c>
      <c r="K30" s="60">
        <v>325.76</v>
      </c>
      <c r="L30" s="9" t="s">
        <v>36</v>
      </c>
      <c r="M30" s="60">
        <v>99.10</v>
      </c>
      <c r="N30" s="60">
        <v>0.30</v>
      </c>
      <c r="O30" s="60">
        <v>1</v>
      </c>
      <c r="P30" s="60">
        <v>2.71</v>
      </c>
      <c r="Q30" s="60">
        <v>5.5</v>
      </c>
      <c r="R30" s="194"/>
      <c r="S30" s="194"/>
      <c r="T30" s="194"/>
      <c r="U30" s="194"/>
    </row>
    <row r="31" spans="1:21" s="12" customFormat="1" ht="15">
      <c r="A31" s="197" t="s">
        <v>1515</v>
      </c>
      <c r="B31" s="60">
        <v>2.56</v>
      </c>
      <c r="C31" s="60">
        <v>11.32</v>
      </c>
      <c r="D31" s="60">
        <v>13.88</v>
      </c>
      <c r="E31" s="60">
        <v>6.45</v>
      </c>
      <c r="F31" s="60">
        <v>0.60</v>
      </c>
      <c r="G31" s="214" t="s">
        <v>36</v>
      </c>
      <c r="H31" s="60">
        <v>2.4700000000000002</v>
      </c>
      <c r="I31" s="60">
        <v>5.16</v>
      </c>
      <c r="J31" s="60">
        <v>0.81</v>
      </c>
      <c r="K31" s="60">
        <v>318.25</v>
      </c>
      <c r="L31" s="9" t="s">
        <v>36</v>
      </c>
      <c r="M31" s="60">
        <v>99.10</v>
      </c>
      <c r="N31" s="60">
        <v>1</v>
      </c>
      <c r="O31" s="60">
        <v>0.40</v>
      </c>
      <c r="P31" s="60">
        <v>2.70</v>
      </c>
      <c r="Q31" s="60">
        <v>4.5999999999999996</v>
      </c>
      <c r="R31" s="194"/>
      <c r="S31" s="194"/>
      <c r="T31" s="194"/>
      <c r="U31" s="194"/>
    </row>
    <row r="32" spans="1:21" s="12" customFormat="1" ht="15">
      <c r="A32" s="197" t="s">
        <v>1516</v>
      </c>
      <c r="B32" s="60">
        <v>2.81</v>
      </c>
      <c r="C32" s="60">
        <v>11.08</v>
      </c>
      <c r="D32" s="60">
        <v>13.88</v>
      </c>
      <c r="E32" s="60">
        <v>7.34</v>
      </c>
      <c r="F32" s="60">
        <v>0.33</v>
      </c>
      <c r="G32" s="214" t="s">
        <v>36</v>
      </c>
      <c r="H32" s="60">
        <v>2.4700000000000002</v>
      </c>
      <c r="I32" s="60">
        <v>5.03</v>
      </c>
      <c r="J32" s="60">
        <v>0.13</v>
      </c>
      <c r="K32" s="60">
        <v>316.27</v>
      </c>
      <c r="L32" s="9" t="s">
        <v>36</v>
      </c>
      <c r="M32" s="60">
        <v>99.10</v>
      </c>
      <c r="N32" s="60">
        <v>1.90</v>
      </c>
      <c r="O32" s="60">
        <v>0.60</v>
      </c>
      <c r="P32" s="60">
        <v>2.71</v>
      </c>
      <c r="Q32" s="60">
        <v>3.85</v>
      </c>
      <c r="R32" s="194"/>
      <c r="S32" s="194"/>
      <c r="T32" s="194"/>
      <c r="U32" s="194"/>
    </row>
    <row r="33" spans="1:21" s="12" customFormat="1" ht="15">
      <c r="A33" s="197" t="s">
        <v>1517</v>
      </c>
      <c r="B33" s="60">
        <v>3.28</v>
      </c>
      <c r="C33" s="60">
        <v>10.91</v>
      </c>
      <c r="D33" s="60">
        <v>14.18</v>
      </c>
      <c r="E33" s="60">
        <v>7.32</v>
      </c>
      <c r="F33" s="60">
        <v>0.16</v>
      </c>
      <c r="G33" s="214" t="s">
        <v>36</v>
      </c>
      <c r="H33" s="60">
        <v>3.05</v>
      </c>
      <c r="I33" s="60">
        <v>4.9800000000000004</v>
      </c>
      <c r="J33" s="60">
        <v>0.21</v>
      </c>
      <c r="K33" s="60">
        <v>332.84</v>
      </c>
      <c r="L33" s="9" t="s">
        <v>36</v>
      </c>
      <c r="M33" s="60">
        <v>99.10</v>
      </c>
      <c r="N33" s="60">
        <v>3.20</v>
      </c>
      <c r="O33" s="60">
        <v>0.40</v>
      </c>
      <c r="P33" s="60">
        <v>2.71</v>
      </c>
      <c r="Q33" s="60">
        <v>3.54</v>
      </c>
      <c r="R33" s="194"/>
      <c r="S33" s="194"/>
      <c r="T33" s="194"/>
      <c r="U33" s="194"/>
    </row>
    <row r="34" spans="1:21" s="12" customFormat="1" ht="15">
      <c r="A34" s="197" t="s">
        <v>1518</v>
      </c>
      <c r="B34" s="60">
        <v>3.88</v>
      </c>
      <c r="C34" s="60">
        <v>10.88</v>
      </c>
      <c r="D34" s="60">
        <v>14.76</v>
      </c>
      <c r="E34" s="60">
        <v>7.41</v>
      </c>
      <c r="F34" s="60">
        <v>0.09</v>
      </c>
      <c r="G34" s="214" t="s">
        <v>36</v>
      </c>
      <c r="H34" s="60">
        <v>4.4800000000000004</v>
      </c>
      <c r="I34" s="60">
        <v>5.01</v>
      </c>
      <c r="J34" s="60">
        <v>0.74</v>
      </c>
      <c r="K34" s="60">
        <v>312.48</v>
      </c>
      <c r="L34" s="9" t="s">
        <v>36</v>
      </c>
      <c r="M34" s="60">
        <v>99.10</v>
      </c>
      <c r="N34" s="60">
        <v>3.90</v>
      </c>
      <c r="O34" s="60">
        <v>0.60</v>
      </c>
      <c r="P34" s="60">
        <v>2.70</v>
      </c>
      <c r="Q34" s="60">
        <v>3.46</v>
      </c>
      <c r="R34" s="194"/>
      <c r="S34" s="194"/>
      <c r="T34" s="194"/>
      <c r="U34" s="194"/>
    </row>
    <row r="35" spans="1:21" s="12" customFormat="1" ht="15">
      <c r="A35" s="197" t="s">
        <v>1519</v>
      </c>
      <c r="B35" s="60">
        <v>4.51</v>
      </c>
      <c r="C35" s="60">
        <v>10.85</v>
      </c>
      <c r="D35" s="60">
        <v>15.36</v>
      </c>
      <c r="E35" s="60">
        <v>7.64</v>
      </c>
      <c r="F35" s="60">
        <v>0.20</v>
      </c>
      <c r="G35" s="214" t="s">
        <v>36</v>
      </c>
      <c r="H35" s="60">
        <v>4.4800000000000004</v>
      </c>
      <c r="I35" s="60">
        <v>4.9800000000000004</v>
      </c>
      <c r="J35" s="60">
        <v>0.86</v>
      </c>
      <c r="K35" s="60">
        <v>334.51</v>
      </c>
      <c r="L35" s="9" t="s">
        <v>36</v>
      </c>
      <c r="M35" s="60">
        <v>99.10</v>
      </c>
      <c r="N35" s="60">
        <v>6.60</v>
      </c>
      <c r="O35" s="60">
        <v>1</v>
      </c>
      <c r="P35" s="60">
        <v>2.71</v>
      </c>
      <c r="Q35" s="60">
        <v>3.52</v>
      </c>
      <c r="R35" s="194"/>
      <c r="S35" s="194"/>
      <c r="T35" s="194"/>
      <c r="U35" s="194"/>
    </row>
    <row r="36" spans="1:21" s="12" customFormat="1" ht="15">
      <c r="A36" s="197" t="s">
        <v>1520</v>
      </c>
      <c r="B36" s="60">
        <v>5.22</v>
      </c>
      <c r="C36" s="60">
        <v>11.07</v>
      </c>
      <c r="D36" s="60">
        <v>16.28</v>
      </c>
      <c r="E36" s="60">
        <v>7.71</v>
      </c>
      <c r="F36" s="60">
        <v>0.15</v>
      </c>
      <c r="G36" s="214" t="s">
        <v>36</v>
      </c>
      <c r="H36" s="60">
        <v>4.4800000000000004</v>
      </c>
      <c r="I36" s="60">
        <v>4.99</v>
      </c>
      <c r="J36" s="60">
        <v>0.93</v>
      </c>
      <c r="K36" s="60">
        <v>338.95</v>
      </c>
      <c r="L36" s="9" t="s">
        <v>36</v>
      </c>
      <c r="M36" s="60">
        <v>99.10</v>
      </c>
      <c r="N36" s="60">
        <v>19</v>
      </c>
      <c r="O36" s="60">
        <v>0.40</v>
      </c>
      <c r="P36" s="60">
        <v>2.71</v>
      </c>
      <c r="Q36" s="60">
        <v>3.68</v>
      </c>
      <c r="R36" s="194"/>
      <c r="S36" s="194"/>
      <c r="T36" s="194"/>
      <c r="U36" s="194"/>
    </row>
    <row r="37" spans="1:21" s="12" customFormat="1" ht="15">
      <c r="A37" s="197" t="s">
        <v>1521</v>
      </c>
      <c r="B37" s="60">
        <v>6.19</v>
      </c>
      <c r="C37" s="60">
        <v>11.15</v>
      </c>
      <c r="D37" s="60">
        <v>17.34</v>
      </c>
      <c r="E37" s="60">
        <v>8.2899999999999991</v>
      </c>
      <c r="F37" s="60">
        <v>0.04</v>
      </c>
      <c r="G37" s="214" t="s">
        <v>36</v>
      </c>
      <c r="H37" s="60">
        <v>4.22</v>
      </c>
      <c r="I37" s="60">
        <v>4.99</v>
      </c>
      <c r="J37" s="60">
        <v>0.64</v>
      </c>
      <c r="K37" s="60">
        <v>350.43</v>
      </c>
      <c r="L37" s="9" t="s">
        <v>36</v>
      </c>
      <c r="M37" s="60">
        <v>99.10</v>
      </c>
      <c r="N37" s="60">
        <v>47.30</v>
      </c>
      <c r="O37" s="60">
        <v>0.40</v>
      </c>
      <c r="P37" s="60">
        <v>2.73</v>
      </c>
      <c r="Q37" s="60">
        <v>3.90</v>
      </c>
      <c r="R37" s="194"/>
      <c r="S37" s="194"/>
      <c r="T37" s="194"/>
      <c r="U37" s="194"/>
    </row>
    <row r="38" spans="1:21" s="12" customFormat="1" ht="15">
      <c r="A38" s="197" t="s">
        <v>1522</v>
      </c>
      <c r="B38" s="60">
        <v>8.07</v>
      </c>
      <c r="C38" s="60">
        <v>11.46</v>
      </c>
      <c r="D38" s="60">
        <v>19.53</v>
      </c>
      <c r="E38" s="60">
        <v>8.4600000000000009</v>
      </c>
      <c r="F38" s="215" t="s">
        <v>47</v>
      </c>
      <c r="G38" s="214" t="s">
        <v>36</v>
      </c>
      <c r="H38" s="60">
        <v>3.57</v>
      </c>
      <c r="I38" s="60">
        <v>4.97</v>
      </c>
      <c r="J38" s="60">
        <v>0.56999999999999995</v>
      </c>
      <c r="K38" s="60">
        <v>337.88</v>
      </c>
      <c r="L38" s="9" t="s">
        <v>36</v>
      </c>
      <c r="M38" s="60">
        <v>99.10</v>
      </c>
      <c r="N38" s="60">
        <v>60.10</v>
      </c>
      <c r="O38" s="60">
        <v>0</v>
      </c>
      <c r="P38" s="60">
        <v>2.75</v>
      </c>
      <c r="Q38" s="60">
        <v>4.79</v>
      </c>
      <c r="R38" s="194"/>
      <c r="S38" s="194"/>
      <c r="T38" s="194"/>
      <c r="U38" s="194"/>
    </row>
    <row r="39" spans="1:21" s="12" customFormat="1" ht="15">
      <c r="A39" s="197" t="s">
        <v>1523</v>
      </c>
      <c r="B39" s="60">
        <v>10.82</v>
      </c>
      <c r="C39" s="60">
        <v>12.37</v>
      </c>
      <c r="D39" s="60">
        <v>23.19</v>
      </c>
      <c r="E39" s="60">
        <v>8.7200000000000006</v>
      </c>
      <c r="F39" s="60">
        <v>0.01</v>
      </c>
      <c r="G39" s="214" t="s">
        <v>36</v>
      </c>
      <c r="H39" s="60">
        <v>3.57</v>
      </c>
      <c r="I39" s="60">
        <v>4.97</v>
      </c>
      <c r="J39" s="60">
        <v>0.60</v>
      </c>
      <c r="K39" s="60">
        <v>336.35</v>
      </c>
      <c r="L39" s="9" t="s">
        <v>36</v>
      </c>
      <c r="M39" s="60">
        <v>99.10</v>
      </c>
      <c r="N39" s="60">
        <v>66.5</v>
      </c>
      <c r="O39" s="60">
        <v>0.20</v>
      </c>
      <c r="P39" s="60">
        <v>2.81</v>
      </c>
      <c r="Q39" s="60">
        <v>6.47</v>
      </c>
      <c r="R39" s="194"/>
      <c r="S39" s="194"/>
      <c r="T39" s="194"/>
      <c r="U39" s="194"/>
    </row>
    <row r="40" spans="1:21" s="12" customFormat="1" ht="15">
      <c r="A40" s="197" t="s">
        <v>1524</v>
      </c>
      <c r="B40" s="60">
        <v>13.24</v>
      </c>
      <c r="C40" s="60">
        <v>13.35</v>
      </c>
      <c r="D40" s="60">
        <v>26.59</v>
      </c>
      <c r="E40" s="60">
        <v>4.58</v>
      </c>
      <c r="F40" s="60">
        <v>0.28000000000000003</v>
      </c>
      <c r="G40" s="214" t="s">
        <v>36</v>
      </c>
      <c r="H40" s="60">
        <v>3.57</v>
      </c>
      <c r="I40" s="60">
        <v>5.19</v>
      </c>
      <c r="J40" s="60">
        <v>0.64</v>
      </c>
      <c r="K40" s="60">
        <v>332</v>
      </c>
      <c r="L40" s="9" t="s">
        <v>36</v>
      </c>
      <c r="M40" s="60">
        <v>99.10</v>
      </c>
      <c r="N40" s="60">
        <v>63.90</v>
      </c>
      <c r="O40" s="60">
        <v>0</v>
      </c>
      <c r="P40" s="60">
        <v>2.87</v>
      </c>
      <c r="Q40" s="60">
        <v>8.25</v>
      </c>
      <c r="R40" s="194"/>
      <c r="S40" s="194"/>
      <c r="T40" s="194"/>
      <c r="U40" s="194"/>
    </row>
    <row r="41" spans="1:21" s="12" customFormat="1" ht="15">
      <c r="A41" s="197" t="s">
        <v>1525</v>
      </c>
      <c r="B41" s="60">
        <v>14.93</v>
      </c>
      <c r="C41" s="60">
        <v>14.01</v>
      </c>
      <c r="D41" s="60">
        <v>28.94</v>
      </c>
      <c r="E41" s="60">
        <v>8.7899999999999991</v>
      </c>
      <c r="F41" s="60">
        <v>0.05</v>
      </c>
      <c r="G41" s="214" t="s">
        <v>36</v>
      </c>
      <c r="H41" s="60">
        <v>5.0199999999999996</v>
      </c>
      <c r="I41" s="60">
        <v>5.34</v>
      </c>
      <c r="J41" s="60">
        <v>0.59</v>
      </c>
      <c r="K41" s="60">
        <v>337.12</v>
      </c>
      <c r="L41" s="9" t="s">
        <v>36</v>
      </c>
      <c r="M41" s="60">
        <v>99.10</v>
      </c>
      <c r="N41" s="60">
        <v>98.40</v>
      </c>
      <c r="O41" s="60">
        <v>0</v>
      </c>
      <c r="P41" s="60">
        <v>2.92</v>
      </c>
      <c r="Q41" s="60">
        <v>9.44</v>
      </c>
      <c r="R41" s="194"/>
      <c r="S41" s="194"/>
      <c r="T41" s="194"/>
      <c r="U41" s="194"/>
    </row>
    <row r="42" spans="1:21" s="12" customFormat="1" ht="15">
      <c r="A42" s="197" t="s">
        <v>1526</v>
      </c>
      <c r="B42" s="60">
        <v>16.38</v>
      </c>
      <c r="C42" s="60">
        <v>14.47</v>
      </c>
      <c r="D42" s="60">
        <v>30.85</v>
      </c>
      <c r="E42" s="60">
        <v>8.65</v>
      </c>
      <c r="F42" s="60">
        <v>0.01</v>
      </c>
      <c r="G42" s="214" t="s">
        <v>36</v>
      </c>
      <c r="H42" s="60">
        <v>8.59</v>
      </c>
      <c r="I42" s="60">
        <v>5.55</v>
      </c>
      <c r="J42" s="60">
        <v>1.20</v>
      </c>
      <c r="K42" s="60">
        <v>347.07</v>
      </c>
      <c r="L42" s="9" t="s">
        <v>36</v>
      </c>
      <c r="M42" s="60">
        <v>99.10</v>
      </c>
      <c r="N42" s="60">
        <v>112.5</v>
      </c>
      <c r="O42" s="60">
        <v>0</v>
      </c>
      <c r="P42" s="60">
        <v>2.95</v>
      </c>
      <c r="Q42" s="60">
        <v>10.18</v>
      </c>
      <c r="R42" s="194"/>
      <c r="S42" s="194"/>
      <c r="T42" s="194"/>
      <c r="U42" s="194"/>
    </row>
    <row r="43" spans="1:21" s="12" customFormat="1" ht="15">
      <c r="A43" s="197" t="s">
        <v>1527</v>
      </c>
      <c r="B43" s="60">
        <v>17</v>
      </c>
      <c r="C43" s="60">
        <v>14.72</v>
      </c>
      <c r="D43" s="60">
        <v>31.72</v>
      </c>
      <c r="E43" s="60">
        <v>9.11</v>
      </c>
      <c r="F43" s="60">
        <v>0.09</v>
      </c>
      <c r="G43" s="214" t="s">
        <v>36</v>
      </c>
      <c r="H43" s="60">
        <v>8.59</v>
      </c>
      <c r="I43" s="60">
        <v>5.65</v>
      </c>
      <c r="J43" s="60">
        <v>1.30</v>
      </c>
      <c r="K43" s="60">
        <v>349.57</v>
      </c>
      <c r="L43" s="9" t="s">
        <v>36</v>
      </c>
      <c r="M43" s="60">
        <v>99.10</v>
      </c>
      <c r="N43" s="60">
        <v>112.40</v>
      </c>
      <c r="O43" s="60">
        <v>0</v>
      </c>
      <c r="P43" s="60">
        <v>2.97</v>
      </c>
      <c r="Q43" s="60">
        <v>10.5</v>
      </c>
      <c r="R43" s="194"/>
      <c r="S43" s="194"/>
      <c r="T43" s="194"/>
      <c r="U43" s="194"/>
    </row>
    <row r="44" spans="1:21" s="12" customFormat="1" ht="15">
      <c r="A44" s="197" t="s">
        <v>1528</v>
      </c>
      <c r="B44" s="60">
        <v>17.39</v>
      </c>
      <c r="C44" s="60">
        <v>15.19</v>
      </c>
      <c r="D44" s="60">
        <v>32.58</v>
      </c>
      <c r="E44" s="60">
        <v>9.11</v>
      </c>
      <c r="F44" s="60">
        <v>0.02</v>
      </c>
      <c r="G44" s="214" t="s">
        <v>36</v>
      </c>
      <c r="H44" s="60">
        <v>8.59</v>
      </c>
      <c r="I44" s="60">
        <v>5.70</v>
      </c>
      <c r="J44" s="60">
        <v>1.18</v>
      </c>
      <c r="K44" s="60">
        <v>358.43</v>
      </c>
      <c r="L44" s="9" t="s">
        <v>36</v>
      </c>
      <c r="M44" s="60">
        <v>99.10</v>
      </c>
      <c r="N44" s="60">
        <v>222.20</v>
      </c>
      <c r="O44" s="60">
        <v>0</v>
      </c>
      <c r="P44" s="60">
        <v>3</v>
      </c>
      <c r="Q44" s="60">
        <v>10.79</v>
      </c>
      <c r="R44" s="194"/>
      <c r="S44" s="194"/>
      <c r="T44" s="194"/>
      <c r="U44" s="194"/>
    </row>
    <row r="45" spans="1:21" s="12" customFormat="1" ht="15">
      <c r="A45" s="197" t="s">
        <v>1529</v>
      </c>
      <c r="B45" s="60">
        <v>18.329999999999998</v>
      </c>
      <c r="C45" s="60">
        <v>15.56</v>
      </c>
      <c r="D45" s="60">
        <v>33.89</v>
      </c>
      <c r="E45" s="60">
        <v>8.83</v>
      </c>
      <c r="F45" s="60">
        <v>0.17</v>
      </c>
      <c r="G45" s="214" t="s">
        <v>36</v>
      </c>
      <c r="H45" s="60">
        <v>10.60</v>
      </c>
      <c r="I45" s="60">
        <v>5.76</v>
      </c>
      <c r="J45" s="60">
        <v>0.61</v>
      </c>
      <c r="K45" s="60">
        <v>37.22</v>
      </c>
      <c r="L45" s="9" t="s">
        <v>36</v>
      </c>
      <c r="M45" s="60">
        <v>98.57</v>
      </c>
      <c r="N45" s="60">
        <v>111.70</v>
      </c>
      <c r="O45" s="60">
        <v>0</v>
      </c>
      <c r="P45" s="60">
        <v>3.03</v>
      </c>
      <c r="Q45" s="60">
        <v>10.55</v>
      </c>
      <c r="R45" s="194"/>
      <c r="S45" s="194"/>
      <c r="T45" s="194"/>
      <c r="U45" s="194"/>
    </row>
    <row r="46" spans="1:21" s="12" customFormat="1" ht="15">
      <c r="A46" s="197" t="s">
        <v>1530</v>
      </c>
      <c r="B46" s="60">
        <v>19.11</v>
      </c>
      <c r="C46" s="60">
        <v>15.05</v>
      </c>
      <c r="D46" s="60">
        <v>34.159999999999997</v>
      </c>
      <c r="E46" s="60">
        <v>8.90</v>
      </c>
      <c r="F46" s="60">
        <v>0.09</v>
      </c>
      <c r="G46" s="214" t="s">
        <v>36</v>
      </c>
      <c r="H46" s="60">
        <v>15.53</v>
      </c>
      <c r="I46" s="60">
        <v>5.78</v>
      </c>
      <c r="J46" s="60">
        <v>0.42</v>
      </c>
      <c r="K46" s="60">
        <v>58.47</v>
      </c>
      <c r="L46" s="9" t="s">
        <v>36</v>
      </c>
      <c r="M46" s="60">
        <v>97.90</v>
      </c>
      <c r="N46" s="60">
        <v>106.20</v>
      </c>
      <c r="O46" s="60">
        <v>0</v>
      </c>
      <c r="P46" s="60">
        <v>3.04</v>
      </c>
      <c r="Q46" s="60">
        <v>9.66</v>
      </c>
      <c r="R46" s="194"/>
      <c r="S46" s="194"/>
      <c r="T46" s="194"/>
      <c r="U46" s="194"/>
    </row>
    <row r="47" spans="1:21" s="12" customFormat="1" ht="15">
      <c r="A47" s="197" t="s">
        <v>1531</v>
      </c>
      <c r="B47" s="60">
        <v>19.97</v>
      </c>
      <c r="C47" s="60">
        <v>14.39</v>
      </c>
      <c r="D47" s="60">
        <v>34.36</v>
      </c>
      <c r="E47" s="60">
        <v>9.31</v>
      </c>
      <c r="F47" s="60">
        <v>0.19</v>
      </c>
      <c r="G47" s="214" t="s">
        <v>36</v>
      </c>
      <c r="H47" s="60">
        <v>15.53</v>
      </c>
      <c r="I47" s="60">
        <v>5.77</v>
      </c>
      <c r="J47" s="60">
        <v>0.51</v>
      </c>
      <c r="K47" s="60">
        <v>67.180000000000007</v>
      </c>
      <c r="L47" s="9" t="s">
        <v>36</v>
      </c>
      <c r="M47" s="60">
        <v>96.99</v>
      </c>
      <c r="N47" s="60">
        <v>104.90</v>
      </c>
      <c r="O47" s="60">
        <v>0</v>
      </c>
      <c r="P47" s="60">
        <v>3.04</v>
      </c>
      <c r="Q47" s="60">
        <v>9.15</v>
      </c>
      <c r="R47" s="194"/>
      <c r="S47" s="194"/>
      <c r="T47" s="194"/>
      <c r="U47" s="194"/>
    </row>
    <row r="48" spans="1:21" s="12" customFormat="1" ht="15">
      <c r="A48" s="197" t="s">
        <v>1532</v>
      </c>
      <c r="B48" s="60">
        <v>20.77</v>
      </c>
      <c r="C48" s="60">
        <v>13.98</v>
      </c>
      <c r="D48" s="60">
        <v>34.75</v>
      </c>
      <c r="E48" s="60">
        <v>9.57</v>
      </c>
      <c r="F48" s="60">
        <v>0.39</v>
      </c>
      <c r="G48" s="214" t="s">
        <v>36</v>
      </c>
      <c r="H48" s="60">
        <v>15.53</v>
      </c>
      <c r="I48" s="60">
        <v>5.73</v>
      </c>
      <c r="J48" s="60">
        <v>1.1200000000000001</v>
      </c>
      <c r="K48" s="60">
        <v>90.19</v>
      </c>
      <c r="L48" s="9" t="s">
        <v>36</v>
      </c>
      <c r="M48" s="60">
        <v>97.74</v>
      </c>
      <c r="N48" s="60">
        <v>55</v>
      </c>
      <c r="O48" s="60">
        <v>0.40</v>
      </c>
      <c r="P48" s="60">
        <v>3.05</v>
      </c>
      <c r="Q48" s="60">
        <v>9.11</v>
      </c>
      <c r="R48" s="194"/>
      <c r="S48" s="194"/>
      <c r="T48" s="194"/>
      <c r="U48" s="194"/>
    </row>
    <row r="49" spans="1:21" s="12" customFormat="1" ht="15">
      <c r="A49" s="197" t="s">
        <v>1533</v>
      </c>
      <c r="B49" s="60">
        <v>20.96</v>
      </c>
      <c r="C49" s="60">
        <v>13.41</v>
      </c>
      <c r="D49" s="60">
        <v>34.369999999999997</v>
      </c>
      <c r="E49" s="60">
        <v>9.5500000000000007</v>
      </c>
      <c r="F49" s="60">
        <v>0.25</v>
      </c>
      <c r="G49" s="214" t="s">
        <v>36</v>
      </c>
      <c r="H49" s="60">
        <v>14.65</v>
      </c>
      <c r="I49" s="60">
        <v>5.85</v>
      </c>
      <c r="J49" s="60">
        <v>1</v>
      </c>
      <c r="K49" s="60">
        <v>114.95</v>
      </c>
      <c r="L49" s="9" t="s">
        <v>36</v>
      </c>
      <c r="M49" s="60">
        <v>98.78</v>
      </c>
      <c r="N49" s="60">
        <v>259.60000000000002</v>
      </c>
      <c r="O49" s="60">
        <v>0</v>
      </c>
      <c r="P49" s="60">
        <v>3.05</v>
      </c>
      <c r="Q49" s="60">
        <v>8.91</v>
      </c>
      <c r="R49" s="194"/>
      <c r="S49" s="194"/>
      <c r="T49" s="194"/>
      <c r="U49" s="194"/>
    </row>
    <row r="50" spans="1:21" s="12" customFormat="1" ht="15">
      <c r="A50" s="197" t="s">
        <v>1534</v>
      </c>
      <c r="B50" s="60">
        <v>20.52</v>
      </c>
      <c r="C50" s="60">
        <v>13.20</v>
      </c>
      <c r="D50" s="60">
        <v>33.72</v>
      </c>
      <c r="E50" s="60">
        <v>9.98</v>
      </c>
      <c r="F50" s="60">
        <v>0.37</v>
      </c>
      <c r="G50" s="214" t="s">
        <v>36</v>
      </c>
      <c r="H50" s="60">
        <v>12.47</v>
      </c>
      <c r="I50" s="60">
        <v>6.06</v>
      </c>
      <c r="J50" s="60">
        <v>0.88</v>
      </c>
      <c r="K50" s="60">
        <v>181.57</v>
      </c>
      <c r="L50" s="9" t="s">
        <v>36</v>
      </c>
      <c r="M50" s="60">
        <v>98.76</v>
      </c>
      <c r="N50" s="60">
        <v>150</v>
      </c>
      <c r="O50" s="60">
        <v>0</v>
      </c>
      <c r="P50" s="60">
        <v>3.03</v>
      </c>
      <c r="Q50" s="60">
        <v>8.66</v>
      </c>
      <c r="R50" s="194"/>
      <c r="S50" s="194"/>
      <c r="T50" s="194"/>
      <c r="U50" s="194"/>
    </row>
    <row r="51" spans="1:21" s="12" customFormat="1" ht="15">
      <c r="A51" s="197" t="s">
        <v>1535</v>
      </c>
      <c r="B51" s="60">
        <v>19.93</v>
      </c>
      <c r="C51" s="60">
        <v>13.28</v>
      </c>
      <c r="D51" s="60">
        <v>33.21</v>
      </c>
      <c r="E51" s="60">
        <v>9.19</v>
      </c>
      <c r="F51" s="60">
        <v>0.23</v>
      </c>
      <c r="G51" s="214" t="s">
        <v>36</v>
      </c>
      <c r="H51" s="60">
        <v>12.47</v>
      </c>
      <c r="I51" s="60">
        <v>6.12</v>
      </c>
      <c r="J51" s="60">
        <v>0.74</v>
      </c>
      <c r="K51" s="60">
        <v>174.61</v>
      </c>
      <c r="L51" s="9" t="s">
        <v>36</v>
      </c>
      <c r="M51" s="60">
        <v>97.95</v>
      </c>
      <c r="N51" s="60">
        <v>110.70</v>
      </c>
      <c r="O51" s="60">
        <v>0</v>
      </c>
      <c r="P51" s="60">
        <v>3.02</v>
      </c>
      <c r="Q51" s="60">
        <v>8.4499999999999993</v>
      </c>
      <c r="R51" s="194"/>
      <c r="S51" s="194"/>
      <c r="T51" s="194"/>
      <c r="U51" s="194"/>
    </row>
    <row r="52" spans="1:21" s="12" customFormat="1" ht="15">
      <c r="A52" s="197" t="s">
        <v>1536</v>
      </c>
      <c r="B52" s="60">
        <v>19.46</v>
      </c>
      <c r="C52" s="60">
        <v>13.43</v>
      </c>
      <c r="D52" s="60">
        <v>32.89</v>
      </c>
      <c r="E52" s="60">
        <v>9.93</v>
      </c>
      <c r="F52" s="60">
        <v>0.05</v>
      </c>
      <c r="G52" s="214" t="s">
        <v>36</v>
      </c>
      <c r="H52" s="60">
        <v>12.47</v>
      </c>
      <c r="I52" s="60">
        <v>6.06</v>
      </c>
      <c r="J52" s="60">
        <v>0.88</v>
      </c>
      <c r="K52" s="60">
        <v>152.54</v>
      </c>
      <c r="L52" s="9" t="s">
        <v>36</v>
      </c>
      <c r="M52" s="60">
        <v>97.18</v>
      </c>
      <c r="N52" s="60">
        <v>219.40</v>
      </c>
      <c r="O52" s="60">
        <v>0</v>
      </c>
      <c r="P52" s="60">
        <v>3.01</v>
      </c>
      <c r="Q52" s="60">
        <v>8.40</v>
      </c>
      <c r="R52" s="194"/>
      <c r="S52" s="194"/>
      <c r="T52" s="194"/>
      <c r="U52" s="194"/>
    </row>
    <row r="53" spans="1:21" s="12" customFormat="1" ht="15">
      <c r="A53" s="197" t="s">
        <v>1537</v>
      </c>
      <c r="B53" s="60">
        <v>18.96</v>
      </c>
      <c r="C53" s="60">
        <v>13.39</v>
      </c>
      <c r="D53" s="60">
        <v>32.35</v>
      </c>
      <c r="E53" s="60">
        <v>9.90</v>
      </c>
      <c r="F53" s="60">
        <v>0.04</v>
      </c>
      <c r="G53" s="214" t="s">
        <v>36</v>
      </c>
      <c r="H53" s="60">
        <v>12.46</v>
      </c>
      <c r="I53" s="60">
        <v>5.99</v>
      </c>
      <c r="J53" s="60">
        <v>1.42</v>
      </c>
      <c r="K53" s="60">
        <v>155.78</v>
      </c>
      <c r="L53" s="9" t="s">
        <v>36</v>
      </c>
      <c r="M53" s="60">
        <v>93</v>
      </c>
      <c r="N53" s="60">
        <v>651.90</v>
      </c>
      <c r="O53" s="60">
        <v>0</v>
      </c>
      <c r="P53" s="60">
        <v>2.99</v>
      </c>
      <c r="Q53" s="60">
        <v>8.76</v>
      </c>
      <c r="R53" s="194"/>
      <c r="S53" s="194"/>
      <c r="T53" s="194"/>
      <c r="U53" s="194"/>
    </row>
    <row r="54" spans="1:21" s="12" customFormat="1" ht="15">
      <c r="A54" s="197" t="s">
        <v>1538</v>
      </c>
      <c r="B54" s="60">
        <v>17.690000000000001</v>
      </c>
      <c r="C54" s="60">
        <v>13.82</v>
      </c>
      <c r="D54" s="60">
        <v>31.51</v>
      </c>
      <c r="E54" s="60">
        <v>9.91</v>
      </c>
      <c r="F54" s="60">
        <v>0.18</v>
      </c>
      <c r="G54" s="214" t="s">
        <v>36</v>
      </c>
      <c r="H54" s="60">
        <v>12.42</v>
      </c>
      <c r="I54" s="60">
        <v>6.01</v>
      </c>
      <c r="J54" s="60">
        <v>0.99</v>
      </c>
      <c r="K54" s="60">
        <v>157.68</v>
      </c>
      <c r="L54" s="9" t="s">
        <v>36</v>
      </c>
      <c r="M54" s="60">
        <v>88.64</v>
      </c>
      <c r="N54" s="60">
        <v>967.60</v>
      </c>
      <c r="O54" s="60">
        <v>0</v>
      </c>
      <c r="P54" s="60">
        <v>2.97</v>
      </c>
      <c r="Q54" s="60">
        <v>9.42</v>
      </c>
      <c r="R54" s="194"/>
      <c r="S54" s="194"/>
      <c r="T54" s="194"/>
      <c r="U54" s="194"/>
    </row>
    <row r="55" spans="1:21" s="12" customFormat="1" ht="15">
      <c r="A55" s="197" t="s">
        <v>1539</v>
      </c>
      <c r="B55" s="60">
        <v>15.66</v>
      </c>
      <c r="C55" s="60">
        <v>14.45</v>
      </c>
      <c r="D55" s="60">
        <v>30.11</v>
      </c>
      <c r="E55" s="60">
        <v>9.86</v>
      </c>
      <c r="F55" s="60">
        <v>0.19</v>
      </c>
      <c r="G55" s="214" t="s">
        <v>36</v>
      </c>
      <c r="H55" s="60">
        <v>12.42</v>
      </c>
      <c r="I55" s="60">
        <v>5.95</v>
      </c>
      <c r="J55" s="60">
        <v>0.71</v>
      </c>
      <c r="K55" s="60">
        <v>152.96</v>
      </c>
      <c r="L55" s="9" t="s">
        <v>36</v>
      </c>
      <c r="M55" s="60">
        <v>85.47</v>
      </c>
      <c r="N55" s="60">
        <v>635.90</v>
      </c>
      <c r="O55" s="60">
        <v>0</v>
      </c>
      <c r="P55" s="60">
        <v>2.94</v>
      </c>
      <c r="Q55" s="60">
        <v>9.59</v>
      </c>
      <c r="R55" s="194"/>
      <c r="S55" s="194"/>
      <c r="T55" s="194"/>
      <c r="U55" s="194"/>
    </row>
    <row r="56" spans="1:21" s="12" customFormat="1" ht="15">
      <c r="A56" s="197" t="s">
        <v>1540</v>
      </c>
      <c r="B56" s="60">
        <v>13.32</v>
      </c>
      <c r="C56" s="60">
        <v>15.15</v>
      </c>
      <c r="D56" s="60">
        <v>28.47</v>
      </c>
      <c r="E56" s="60">
        <v>3.91</v>
      </c>
      <c r="F56" s="60">
        <v>0.42</v>
      </c>
      <c r="G56" s="214" t="s">
        <v>36</v>
      </c>
      <c r="H56" s="60">
        <v>12.42</v>
      </c>
      <c r="I56" s="60">
        <v>5.88</v>
      </c>
      <c r="J56" s="60">
        <v>0.43</v>
      </c>
      <c r="K56" s="60">
        <v>137.91999999999999</v>
      </c>
      <c r="L56" s="9" t="s">
        <v>36</v>
      </c>
      <c r="M56" s="60">
        <v>84.94</v>
      </c>
      <c r="N56" s="60">
        <v>237.30</v>
      </c>
      <c r="O56" s="60">
        <v>0</v>
      </c>
      <c r="P56" s="60">
        <v>2.92</v>
      </c>
      <c r="Q56" s="60">
        <v>9.5399999999999991</v>
      </c>
      <c r="R56" s="194"/>
      <c r="S56" s="194"/>
      <c r="T56" s="194"/>
      <c r="U56" s="194"/>
    </row>
    <row r="57" spans="1:21" s="12" customFormat="1" ht="15">
      <c r="A57" s="197" t="s">
        <v>1541</v>
      </c>
      <c r="B57" s="60">
        <v>11.29</v>
      </c>
      <c r="C57" s="60">
        <v>15.75</v>
      </c>
      <c r="D57" s="60">
        <v>27.04</v>
      </c>
      <c r="E57" s="60">
        <v>8.33</v>
      </c>
      <c r="F57" s="60">
        <v>0.40</v>
      </c>
      <c r="G57" s="214" t="s">
        <v>36</v>
      </c>
      <c r="H57" s="60">
        <v>11.52</v>
      </c>
      <c r="I57" s="60">
        <v>5.74</v>
      </c>
      <c r="J57" s="60">
        <v>0.59</v>
      </c>
      <c r="K57" s="60">
        <v>147.5</v>
      </c>
      <c r="L57" s="9" t="s">
        <v>36</v>
      </c>
      <c r="M57" s="60">
        <v>85.71</v>
      </c>
      <c r="N57" s="60">
        <v>188</v>
      </c>
      <c r="O57" s="60">
        <v>0</v>
      </c>
      <c r="P57" s="60">
        <v>2.89</v>
      </c>
      <c r="Q57" s="60">
        <v>9.2899999999999991</v>
      </c>
      <c r="R57" s="194"/>
      <c r="S57" s="194"/>
      <c r="T57" s="194"/>
      <c r="U57" s="194"/>
    </row>
    <row r="58" spans="1:21" s="12" customFormat="1" ht="15">
      <c r="A58" s="197" t="s">
        <v>1542</v>
      </c>
      <c r="B58" s="60">
        <v>9.5299999999999994</v>
      </c>
      <c r="C58" s="60">
        <v>16.25</v>
      </c>
      <c r="D58" s="60">
        <v>25.78</v>
      </c>
      <c r="E58" s="60">
        <v>8.7100000000000009</v>
      </c>
      <c r="F58" s="60">
        <v>0.19</v>
      </c>
      <c r="G58" s="214" t="s">
        <v>36</v>
      </c>
      <c r="H58" s="60">
        <v>9.31</v>
      </c>
      <c r="I58" s="60">
        <v>5.60</v>
      </c>
      <c r="J58" s="60">
        <v>0.69</v>
      </c>
      <c r="K58" s="60">
        <v>132.13999999999999</v>
      </c>
      <c r="L58" s="9" t="s">
        <v>36</v>
      </c>
      <c r="M58" s="60">
        <v>85.34</v>
      </c>
      <c r="N58" s="60">
        <v>150.90</v>
      </c>
      <c r="O58" s="60">
        <v>0</v>
      </c>
      <c r="P58" s="60">
        <v>2.88</v>
      </c>
      <c r="Q58" s="60">
        <v>8.91</v>
      </c>
      <c r="R58" s="194"/>
      <c r="S58" s="194"/>
      <c r="T58" s="194"/>
      <c r="U58" s="194"/>
    </row>
    <row r="59" spans="1:21" s="12" customFormat="1" ht="15">
      <c r="A59" s="197" t="s">
        <v>1543</v>
      </c>
      <c r="B59" s="60">
        <v>8.24</v>
      </c>
      <c r="C59" s="60">
        <v>16.36</v>
      </c>
      <c r="D59" s="60">
        <v>24.59</v>
      </c>
      <c r="E59" s="60">
        <v>8.64</v>
      </c>
      <c r="F59" s="60">
        <v>0.31</v>
      </c>
      <c r="G59" s="214" t="s">
        <v>36</v>
      </c>
      <c r="H59" s="60">
        <v>9.31</v>
      </c>
      <c r="I59" s="60">
        <v>5.45</v>
      </c>
      <c r="J59" s="60">
        <v>1.18</v>
      </c>
      <c r="K59" s="60">
        <v>93.55</v>
      </c>
      <c r="L59" s="9" t="s">
        <v>36</v>
      </c>
      <c r="M59" s="60">
        <v>84.82</v>
      </c>
      <c r="N59" s="60">
        <v>114</v>
      </c>
      <c r="O59" s="60">
        <v>0.20</v>
      </c>
      <c r="P59" s="60">
        <v>2.86</v>
      </c>
      <c r="Q59" s="60">
        <v>8.43</v>
      </c>
      <c r="R59" s="194"/>
      <c r="S59" s="194"/>
      <c r="T59" s="194"/>
      <c r="U59" s="194"/>
    </row>
    <row r="60" spans="1:21" s="12" customFormat="1" ht="15">
      <c r="A60" s="197" t="s">
        <v>1544</v>
      </c>
      <c r="B60" s="60">
        <v>7.40</v>
      </c>
      <c r="C60" s="60">
        <v>15.55</v>
      </c>
      <c r="D60" s="60">
        <v>22.95</v>
      </c>
      <c r="E60" s="60">
        <v>8.90</v>
      </c>
      <c r="F60" s="60">
        <v>0.31</v>
      </c>
      <c r="G60" s="214" t="s">
        <v>36</v>
      </c>
      <c r="H60" s="60">
        <v>9.31</v>
      </c>
      <c r="I60" s="60">
        <v>5.32</v>
      </c>
      <c r="J60" s="60">
        <v>0.75</v>
      </c>
      <c r="K60" s="60">
        <v>87.35</v>
      </c>
      <c r="L60" s="9" t="s">
        <v>36</v>
      </c>
      <c r="M60" s="60">
        <v>92.05</v>
      </c>
      <c r="N60" s="60">
        <v>124.70</v>
      </c>
      <c r="O60" s="60">
        <v>0</v>
      </c>
      <c r="P60" s="60">
        <v>2.85</v>
      </c>
      <c r="Q60" s="60">
        <v>7.27</v>
      </c>
      <c r="R60" s="194"/>
      <c r="S60" s="194"/>
      <c r="T60" s="194"/>
      <c r="U60" s="194"/>
    </row>
    <row r="61" spans="1:21" s="12" customFormat="1" ht="15">
      <c r="A61" s="197" t="s">
        <v>1545</v>
      </c>
      <c r="B61" s="60">
        <v>7.07</v>
      </c>
      <c r="C61" s="60">
        <v>14.64</v>
      </c>
      <c r="D61" s="60">
        <v>21.71</v>
      </c>
      <c r="E61" s="60">
        <v>8.85</v>
      </c>
      <c r="F61" s="60">
        <v>0.40</v>
      </c>
      <c r="G61" s="214" t="s">
        <v>36</v>
      </c>
      <c r="H61" s="60">
        <v>8.7200000000000006</v>
      </c>
      <c r="I61" s="60">
        <v>5.24</v>
      </c>
      <c r="J61" s="60">
        <v>0.52</v>
      </c>
      <c r="K61" s="60">
        <v>163.22999999999999</v>
      </c>
      <c r="L61" s="9" t="s">
        <v>36</v>
      </c>
      <c r="M61" s="60">
        <v>90.44</v>
      </c>
      <c r="N61" s="60">
        <v>116.5</v>
      </c>
      <c r="O61" s="60">
        <v>0</v>
      </c>
      <c r="P61" s="60">
        <v>2.85</v>
      </c>
      <c r="Q61" s="60">
        <v>6.17</v>
      </c>
      <c r="R61" s="194"/>
      <c r="S61" s="194"/>
      <c r="T61" s="194"/>
      <c r="U61" s="194"/>
    </row>
    <row r="62" spans="1:21" s="12" customFormat="1" ht="15">
      <c r="A62" s="197" t="s">
        <v>1546</v>
      </c>
      <c r="B62" s="60">
        <v>6.67</v>
      </c>
      <c r="C62" s="60">
        <v>14.08</v>
      </c>
      <c r="D62" s="60">
        <v>20.76</v>
      </c>
      <c r="E62" s="60">
        <v>8.6999999999999993</v>
      </c>
      <c r="F62" s="60">
        <v>0.26</v>
      </c>
      <c r="G62" s="214" t="s">
        <v>36</v>
      </c>
      <c r="H62" s="60">
        <v>7.27</v>
      </c>
      <c r="I62" s="60">
        <v>5.24</v>
      </c>
      <c r="J62" s="60">
        <v>0.23</v>
      </c>
      <c r="K62" s="60">
        <v>211.55</v>
      </c>
      <c r="L62" s="9" t="s">
        <v>36</v>
      </c>
      <c r="M62" s="60">
        <v>90.42</v>
      </c>
      <c r="N62" s="60">
        <v>54.80</v>
      </c>
      <c r="O62" s="60">
        <v>1.40</v>
      </c>
      <c r="P62" s="60">
        <v>2.84</v>
      </c>
      <c r="Q62" s="60">
        <v>5.46</v>
      </c>
      <c r="R62" s="194"/>
      <c r="S62" s="194"/>
      <c r="T62" s="194"/>
      <c r="U62" s="194"/>
    </row>
    <row r="63" spans="1:21" s="12" customFormat="1" ht="15">
      <c r="A63" s="197" t="s">
        <v>1547</v>
      </c>
      <c r="B63" s="60">
        <v>6.39</v>
      </c>
      <c r="C63" s="60">
        <v>13.69</v>
      </c>
      <c r="D63" s="60">
        <v>20.079999999999998</v>
      </c>
      <c r="E63" s="60">
        <v>8.9700000000000006</v>
      </c>
      <c r="F63" s="60">
        <v>0.28999999999999998</v>
      </c>
      <c r="G63" s="214" t="s">
        <v>36</v>
      </c>
      <c r="H63" s="60">
        <v>7.27</v>
      </c>
      <c r="I63" s="60">
        <v>5.22</v>
      </c>
      <c r="J63" s="60">
        <v>0.16</v>
      </c>
      <c r="K63" s="60">
        <v>121.85</v>
      </c>
      <c r="L63" s="9" t="s">
        <v>36</v>
      </c>
      <c r="M63" s="60">
        <v>95.59</v>
      </c>
      <c r="N63" s="60">
        <v>49.70</v>
      </c>
      <c r="O63" s="60">
        <v>0.60</v>
      </c>
      <c r="P63" s="60">
        <v>2.84</v>
      </c>
      <c r="Q63" s="60">
        <v>4.9800000000000004</v>
      </c>
      <c r="R63" s="194"/>
      <c r="S63" s="194"/>
      <c r="T63" s="194"/>
      <c r="U63" s="194"/>
    </row>
    <row r="64" spans="1:21" s="12" customFormat="1" ht="15">
      <c r="A64" s="197" t="s">
        <v>1548</v>
      </c>
      <c r="B64" s="60">
        <v>6.31</v>
      </c>
      <c r="C64" s="60">
        <v>13.38</v>
      </c>
      <c r="D64" s="60">
        <v>19.690000000000001</v>
      </c>
      <c r="E64" s="60">
        <v>9.17</v>
      </c>
      <c r="F64" s="60">
        <v>0.51</v>
      </c>
      <c r="G64" s="214" t="s">
        <v>36</v>
      </c>
      <c r="H64" s="60">
        <v>7.27</v>
      </c>
      <c r="I64" s="60">
        <v>5.18</v>
      </c>
      <c r="J64" s="60">
        <v>0.070000000000000007</v>
      </c>
      <c r="K64" s="60">
        <v>138.57</v>
      </c>
      <c r="L64" s="9" t="s">
        <v>36</v>
      </c>
      <c r="M64" s="60">
        <v>97.53</v>
      </c>
      <c r="N64" s="60">
        <v>79.20</v>
      </c>
      <c r="O64" s="60">
        <v>0.20</v>
      </c>
      <c r="P64" s="60">
        <v>2.85</v>
      </c>
      <c r="Q64" s="60">
        <v>4.78</v>
      </c>
      <c r="R64" s="194"/>
      <c r="S64" s="194"/>
      <c r="T64" s="194"/>
      <c r="U64" s="194"/>
    </row>
    <row r="65" spans="1:21" s="12" customFormat="1" ht="15">
      <c r="A65" s="197" t="s">
        <v>1549</v>
      </c>
      <c r="B65" s="60">
        <v>6.34</v>
      </c>
      <c r="C65" s="60">
        <v>13.16</v>
      </c>
      <c r="D65" s="60">
        <v>19.5</v>
      </c>
      <c r="E65" s="60">
        <v>9.3800000000000008</v>
      </c>
      <c r="F65" s="60">
        <v>0.16</v>
      </c>
      <c r="G65" s="214" t="s">
        <v>36</v>
      </c>
      <c r="H65" s="60">
        <v>6.64</v>
      </c>
      <c r="I65" s="60">
        <v>5.22</v>
      </c>
      <c r="J65" s="60">
        <v>0.20</v>
      </c>
      <c r="K65" s="60">
        <v>93.96</v>
      </c>
      <c r="L65" s="9" t="s">
        <v>36</v>
      </c>
      <c r="M65" s="60">
        <v>95.35</v>
      </c>
      <c r="N65" s="60">
        <v>65.599999999999994</v>
      </c>
      <c r="O65" s="60">
        <v>0</v>
      </c>
      <c r="P65" s="60">
        <v>2.84</v>
      </c>
      <c r="Q65" s="60">
        <v>4.66</v>
      </c>
      <c r="R65" s="194"/>
      <c r="S65" s="194"/>
      <c r="T65" s="194"/>
      <c r="U65" s="194"/>
    </row>
    <row r="66" spans="1:21" s="12" customFormat="1" ht="15">
      <c r="A66" s="197" t="s">
        <v>1550</v>
      </c>
      <c r="B66" s="60">
        <v>6.40</v>
      </c>
      <c r="C66" s="60">
        <v>13.01</v>
      </c>
      <c r="D66" s="60">
        <v>19.41</v>
      </c>
      <c r="E66" s="60">
        <v>9.11</v>
      </c>
      <c r="F66" s="60">
        <v>0.32</v>
      </c>
      <c r="G66" s="214" t="s">
        <v>36</v>
      </c>
      <c r="H66" s="60">
        <v>5.09</v>
      </c>
      <c r="I66" s="60">
        <v>4.62</v>
      </c>
      <c r="J66" s="60">
        <v>0.28999999999999998</v>
      </c>
      <c r="K66" s="60">
        <v>98.09</v>
      </c>
      <c r="L66" s="9" t="s">
        <v>36</v>
      </c>
      <c r="M66" s="60">
        <v>94.05</v>
      </c>
      <c r="N66" s="60">
        <v>56.10</v>
      </c>
      <c r="O66" s="60">
        <v>0</v>
      </c>
      <c r="P66" s="60">
        <v>2.84</v>
      </c>
      <c r="Q66" s="60">
        <v>4.59</v>
      </c>
      <c r="R66" s="194"/>
      <c r="S66" s="194"/>
      <c r="T66" s="194"/>
      <c r="U66" s="194"/>
    </row>
    <row r="67" spans="1:21" s="12" customFormat="1" ht="15">
      <c r="A67" s="197" t="s">
        <v>1551</v>
      </c>
      <c r="B67" s="60">
        <v>6.39</v>
      </c>
      <c r="C67" s="60">
        <v>13.12</v>
      </c>
      <c r="D67" s="60">
        <v>19.510000000000002</v>
      </c>
      <c r="E67" s="60">
        <v>9.61</v>
      </c>
      <c r="F67" s="60">
        <v>0.40</v>
      </c>
      <c r="G67" s="214" t="s">
        <v>36</v>
      </c>
      <c r="H67" s="60">
        <v>5.09</v>
      </c>
      <c r="I67" s="60">
        <v>4.5199999999999996</v>
      </c>
      <c r="J67" s="60">
        <v>0.83</v>
      </c>
      <c r="K67" s="60">
        <v>158.37</v>
      </c>
      <c r="L67" s="9" t="s">
        <v>36</v>
      </c>
      <c r="M67" s="60">
        <v>92.61</v>
      </c>
      <c r="N67" s="60">
        <v>44.10</v>
      </c>
      <c r="O67" s="60">
        <v>0</v>
      </c>
      <c r="P67" s="60">
        <v>2.83</v>
      </c>
      <c r="Q67" s="60">
        <v>4.75</v>
      </c>
      <c r="R67" s="194"/>
      <c r="S67" s="194"/>
      <c r="T67" s="194"/>
      <c r="U67" s="194"/>
    </row>
    <row r="68" spans="1:21" s="12" customFormat="1" ht="15">
      <c r="A68" s="197" t="s">
        <v>1552</v>
      </c>
      <c r="B68" s="60">
        <v>6.02</v>
      </c>
      <c r="C68" s="60">
        <v>13.91</v>
      </c>
      <c r="D68" s="60">
        <v>19.93</v>
      </c>
      <c r="E68" s="60">
        <v>9.1999999999999993</v>
      </c>
      <c r="F68" s="60">
        <v>0.37</v>
      </c>
      <c r="G68" s="214" t="s">
        <v>36</v>
      </c>
      <c r="H68" s="60">
        <v>5.09</v>
      </c>
      <c r="I68" s="60">
        <v>4.74</v>
      </c>
      <c r="J68" s="60">
        <v>0.74</v>
      </c>
      <c r="K68" s="60">
        <v>163.77000000000001</v>
      </c>
      <c r="L68" s="9" t="s">
        <v>36</v>
      </c>
      <c r="M68" s="60">
        <v>93.21</v>
      </c>
      <c r="N68" s="60">
        <v>79.20</v>
      </c>
      <c r="O68" s="60">
        <v>0</v>
      </c>
      <c r="P68" s="60">
        <v>2.84</v>
      </c>
      <c r="Q68" s="60">
        <v>5.53</v>
      </c>
      <c r="R68" s="194"/>
      <c r="S68" s="194"/>
      <c r="T68" s="194"/>
      <c r="U68" s="194"/>
    </row>
    <row r="69" spans="1:21" s="12" customFormat="1" ht="15">
      <c r="A69" s="197" t="s">
        <v>1553</v>
      </c>
      <c r="B69" s="60">
        <v>5.73</v>
      </c>
      <c r="C69" s="60">
        <v>14.89</v>
      </c>
      <c r="D69" s="60">
        <v>20.62</v>
      </c>
      <c r="E69" s="60">
        <v>9.43</v>
      </c>
      <c r="F69" s="60">
        <v>0.18</v>
      </c>
      <c r="G69" s="214" t="s">
        <v>36</v>
      </c>
      <c r="H69" s="60">
        <v>5.46</v>
      </c>
      <c r="I69" s="60">
        <v>5.35</v>
      </c>
      <c r="J69" s="60">
        <v>0.64</v>
      </c>
      <c r="K69" s="60">
        <v>160.91</v>
      </c>
      <c r="L69" s="9" t="s">
        <v>36</v>
      </c>
      <c r="M69" s="60">
        <v>92.86</v>
      </c>
      <c r="N69" s="60">
        <v>138.90</v>
      </c>
      <c r="O69" s="60">
        <v>0</v>
      </c>
      <c r="P69" s="60">
        <v>2.83</v>
      </c>
      <c r="Q69" s="60">
        <v>6.53</v>
      </c>
      <c r="R69" s="194"/>
      <c r="S69" s="194"/>
      <c r="T69" s="194"/>
      <c r="U69" s="194"/>
    </row>
    <row r="70" spans="1:21" s="12" customFormat="1" ht="15">
      <c r="A70" s="197" t="s">
        <v>1554</v>
      </c>
      <c r="B70" s="60">
        <v>5.18</v>
      </c>
      <c r="C70" s="60">
        <v>14.94</v>
      </c>
      <c r="D70" s="60">
        <v>20.11</v>
      </c>
      <c r="E70" s="60">
        <v>8.60</v>
      </c>
      <c r="F70" s="60">
        <v>0.30</v>
      </c>
      <c r="G70" s="214" t="s">
        <v>36</v>
      </c>
      <c r="H70" s="60">
        <v>6.39</v>
      </c>
      <c r="I70" s="60">
        <v>5.38</v>
      </c>
      <c r="J70" s="60">
        <v>0.64</v>
      </c>
      <c r="K70" s="60">
        <v>162.41999999999999</v>
      </c>
      <c r="L70" s="9" t="s">
        <v>36</v>
      </c>
      <c r="M70" s="60">
        <v>92.45</v>
      </c>
      <c r="N70" s="60">
        <v>75.30</v>
      </c>
      <c r="O70" s="60">
        <v>0</v>
      </c>
      <c r="P70" s="60">
        <v>2.83</v>
      </c>
      <c r="Q70" s="60">
        <v>7.05</v>
      </c>
      <c r="R70" s="194"/>
      <c r="S70" s="194"/>
      <c r="T70" s="194"/>
      <c r="U70" s="194"/>
    </row>
    <row r="71" spans="1:21" s="12" customFormat="1" ht="15">
      <c r="A71" s="197" t="s">
        <v>1555</v>
      </c>
      <c r="B71" s="60">
        <v>4.67</v>
      </c>
      <c r="C71" s="60">
        <v>15.16</v>
      </c>
      <c r="D71" s="60">
        <v>19.829999999999998</v>
      </c>
      <c r="E71" s="60">
        <v>9.06</v>
      </c>
      <c r="F71" s="60">
        <v>0.41</v>
      </c>
      <c r="G71" s="214" t="s">
        <v>36</v>
      </c>
      <c r="H71" s="60">
        <v>6.39</v>
      </c>
      <c r="I71" s="60">
        <v>5.34</v>
      </c>
      <c r="J71" s="60">
        <v>0.93</v>
      </c>
      <c r="K71" s="60">
        <v>152.32</v>
      </c>
      <c r="L71" s="9" t="s">
        <v>36</v>
      </c>
      <c r="M71" s="60">
        <v>89.37</v>
      </c>
      <c r="N71" s="60">
        <v>46.60</v>
      </c>
      <c r="O71" s="60">
        <v>0</v>
      </c>
      <c r="P71" s="60">
        <v>2.82</v>
      </c>
      <c r="Q71" s="60">
        <v>7.34</v>
      </c>
      <c r="R71" s="194"/>
      <c r="S71" s="194"/>
      <c r="T71" s="194"/>
      <c r="U71" s="194"/>
    </row>
    <row r="72" spans="1:21" s="12" customFormat="1" ht="15">
      <c r="A72" s="197" t="s">
        <v>1556</v>
      </c>
      <c r="B72" s="60">
        <v>4.37</v>
      </c>
      <c r="C72" s="60">
        <v>15.39</v>
      </c>
      <c r="D72" s="60">
        <v>19.760000000000002</v>
      </c>
      <c r="E72" s="60">
        <v>4.9000000000000004</v>
      </c>
      <c r="F72" s="60">
        <v>0.42</v>
      </c>
      <c r="G72" s="214" t="s">
        <v>36</v>
      </c>
      <c r="H72" s="60">
        <v>6.39</v>
      </c>
      <c r="I72" s="60">
        <v>5.28</v>
      </c>
      <c r="J72" s="60">
        <v>0.04</v>
      </c>
      <c r="K72" s="60">
        <v>93.43</v>
      </c>
      <c r="L72" s="9" t="s">
        <v>36</v>
      </c>
      <c r="M72" s="60">
        <v>93.20</v>
      </c>
      <c r="N72" s="60">
        <v>39.799999999999997</v>
      </c>
      <c r="O72" s="60">
        <v>0.20</v>
      </c>
      <c r="P72" s="60">
        <v>2.82</v>
      </c>
      <c r="Q72" s="60">
        <v>7.38</v>
      </c>
      <c r="R72" s="194"/>
      <c r="S72" s="194"/>
      <c r="T72" s="194"/>
      <c r="U72" s="194"/>
    </row>
    <row r="73" spans="1:21" s="12" customFormat="1" ht="15">
      <c r="A73" s="197" t="s">
        <v>1557</v>
      </c>
      <c r="B73" s="60">
        <v>4.9000000000000004</v>
      </c>
      <c r="C73" s="60">
        <v>15.95</v>
      </c>
      <c r="D73" s="60">
        <v>20.85</v>
      </c>
      <c r="E73" s="60">
        <v>8.0399999999999991</v>
      </c>
      <c r="F73" s="60">
        <v>0.20</v>
      </c>
      <c r="G73" s="214" t="s">
        <v>36</v>
      </c>
      <c r="H73" s="60">
        <v>7.01</v>
      </c>
      <c r="I73" s="60">
        <v>5.21</v>
      </c>
      <c r="J73" s="60">
        <v>0.44</v>
      </c>
      <c r="K73" s="60">
        <v>171.87</v>
      </c>
      <c r="L73" s="9" t="s">
        <v>36</v>
      </c>
      <c r="M73" s="60">
        <v>93.65</v>
      </c>
      <c r="N73" s="60">
        <v>67.599999999999994</v>
      </c>
      <c r="O73" s="60">
        <v>0</v>
      </c>
      <c r="P73" s="60">
        <v>2.84</v>
      </c>
      <c r="Q73" s="60">
        <v>7.68</v>
      </c>
      <c r="R73" s="194"/>
      <c r="S73" s="194"/>
      <c r="T73" s="194"/>
      <c r="U73" s="194"/>
    </row>
    <row r="74" spans="1:21" s="12" customFormat="1" ht="15">
      <c r="A74" s="197" t="s">
        <v>1558</v>
      </c>
      <c r="B74" s="60">
        <v>4.91</v>
      </c>
      <c r="C74" s="60">
        <v>16.079999999999998</v>
      </c>
      <c r="D74" s="60">
        <v>20.99</v>
      </c>
      <c r="E74" s="60">
        <v>8.2200000000000006</v>
      </c>
      <c r="F74" s="60">
        <v>0.10</v>
      </c>
      <c r="G74" s="214" t="s">
        <v>36</v>
      </c>
      <c r="H74" s="60">
        <v>8.5299999999999994</v>
      </c>
      <c r="I74" s="60">
        <v>5.15</v>
      </c>
      <c r="J74" s="60">
        <v>0.13</v>
      </c>
      <c r="K74" s="60">
        <v>229.54</v>
      </c>
      <c r="L74" s="9" t="s">
        <v>36</v>
      </c>
      <c r="M74" s="60">
        <v>94.44</v>
      </c>
      <c r="N74" s="60">
        <v>92.70</v>
      </c>
      <c r="O74" s="60">
        <v>0</v>
      </c>
      <c r="P74" s="60">
        <v>2.83</v>
      </c>
      <c r="Q74" s="60">
        <v>7.33</v>
      </c>
      <c r="R74" s="194"/>
      <c r="S74" s="194"/>
      <c r="T74" s="194"/>
      <c r="U74" s="194"/>
    </row>
    <row r="75" spans="1:21" s="12" customFormat="1" ht="15">
      <c r="A75" s="197" t="s">
        <v>1559</v>
      </c>
      <c r="B75" s="60">
        <v>4.8499999999999996</v>
      </c>
      <c r="C75" s="60">
        <v>15.49</v>
      </c>
      <c r="D75" s="60">
        <v>20.34</v>
      </c>
      <c r="E75" s="60">
        <v>8.5500000000000007</v>
      </c>
      <c r="F75" s="60">
        <v>0.22</v>
      </c>
      <c r="G75" s="214" t="s">
        <v>36</v>
      </c>
      <c r="H75" s="60">
        <v>8.5299999999999994</v>
      </c>
      <c r="I75" s="60">
        <v>5.16</v>
      </c>
      <c r="J75" s="60">
        <v>0.09</v>
      </c>
      <c r="K75" s="60">
        <v>234.26</v>
      </c>
      <c r="L75" s="9" t="s">
        <v>36</v>
      </c>
      <c r="M75" s="60">
        <v>92.16</v>
      </c>
      <c r="N75" s="60">
        <v>102.90</v>
      </c>
      <c r="O75" s="60">
        <v>0</v>
      </c>
      <c r="P75" s="60">
        <v>2.83</v>
      </c>
      <c r="Q75" s="60">
        <v>6.06</v>
      </c>
      <c r="R75" s="194"/>
      <c r="S75" s="194"/>
      <c r="T75" s="194"/>
      <c r="U75" s="194"/>
    </row>
    <row r="76" spans="1:21" s="12" customFormat="1" ht="15">
      <c r="A76" s="197" t="s">
        <v>1560</v>
      </c>
      <c r="B76" s="60">
        <v>4.7300000000000004</v>
      </c>
      <c r="C76" s="60">
        <v>14.75</v>
      </c>
      <c r="D76" s="60">
        <v>19.48</v>
      </c>
      <c r="E76" s="60">
        <v>8.57</v>
      </c>
      <c r="F76" s="60">
        <v>0.28999999999999998</v>
      </c>
      <c r="G76" s="214" t="s">
        <v>36</v>
      </c>
      <c r="H76" s="60">
        <v>8.5299999999999994</v>
      </c>
      <c r="I76" s="60">
        <v>4.95</v>
      </c>
      <c r="J76" s="60">
        <v>0.11</v>
      </c>
      <c r="K76" s="60">
        <v>257.85000000000002</v>
      </c>
      <c r="L76" s="9" t="s">
        <v>36</v>
      </c>
      <c r="M76" s="60">
        <v>91.73</v>
      </c>
      <c r="N76" s="60">
        <v>86.30</v>
      </c>
      <c r="O76" s="60">
        <v>0</v>
      </c>
      <c r="P76" s="60">
        <v>2.82</v>
      </c>
      <c r="Q76" s="60">
        <v>5.19</v>
      </c>
      <c r="R76" s="194"/>
      <c r="S76" s="194"/>
      <c r="T76" s="194"/>
      <c r="U76" s="194"/>
    </row>
    <row r="77" spans="1:21" s="12" customFormat="1" ht="15">
      <c r="A77" s="197" t="s">
        <v>1561</v>
      </c>
      <c r="B77" s="60">
        <v>4.6399999999999997</v>
      </c>
      <c r="C77" s="60">
        <v>14.02</v>
      </c>
      <c r="D77" s="60">
        <v>18.66</v>
      </c>
      <c r="E77" s="60">
        <v>8.36</v>
      </c>
      <c r="F77" s="60">
        <v>0.16</v>
      </c>
      <c r="G77" s="214" t="s">
        <v>36</v>
      </c>
      <c r="H77" s="60">
        <v>7.82</v>
      </c>
      <c r="I77" s="60">
        <v>4.83</v>
      </c>
      <c r="J77" s="60">
        <v>0.17</v>
      </c>
      <c r="K77" s="60">
        <v>215.88</v>
      </c>
      <c r="L77" s="9" t="s">
        <v>36</v>
      </c>
      <c r="M77" s="60">
        <v>90.91</v>
      </c>
      <c r="N77" s="60">
        <v>62.5</v>
      </c>
      <c r="O77" s="60">
        <v>0</v>
      </c>
      <c r="P77" s="60">
        <v>2.82</v>
      </c>
      <c r="Q77" s="60">
        <v>4.66</v>
      </c>
      <c r="R77" s="194"/>
      <c r="S77" s="194"/>
      <c r="T77" s="194"/>
      <c r="U77" s="194"/>
    </row>
    <row r="78" spans="1:21" s="12" customFormat="1" ht="15">
      <c r="A78" s="197" t="s">
        <v>1562</v>
      </c>
      <c r="B78" s="60">
        <v>4.70</v>
      </c>
      <c r="C78" s="60">
        <v>13.60</v>
      </c>
      <c r="D78" s="60">
        <v>18.29</v>
      </c>
      <c r="E78" s="60">
        <v>8.2200000000000006</v>
      </c>
      <c r="F78" s="60">
        <v>0.09</v>
      </c>
      <c r="G78" s="214" t="s">
        <v>36</v>
      </c>
      <c r="H78" s="60">
        <v>6.08</v>
      </c>
      <c r="I78" s="60">
        <v>4.67</v>
      </c>
      <c r="J78" s="60">
        <v>0.17</v>
      </c>
      <c r="K78" s="60">
        <v>207.17</v>
      </c>
      <c r="L78" s="9" t="s">
        <v>36</v>
      </c>
      <c r="M78" s="60">
        <v>90.51</v>
      </c>
      <c r="N78" s="60">
        <v>57.10</v>
      </c>
      <c r="O78" s="60">
        <v>0</v>
      </c>
      <c r="P78" s="60">
        <v>2.82</v>
      </c>
      <c r="Q78" s="60">
        <v>4.4400000000000004</v>
      </c>
      <c r="R78" s="194"/>
      <c r="S78" s="194"/>
      <c r="T78" s="194"/>
      <c r="U78" s="194"/>
    </row>
    <row r="79" spans="1:21" s="12" customFormat="1" ht="15">
      <c r="A79" s="197" t="s">
        <v>1563</v>
      </c>
      <c r="B79" s="60">
        <v>4.82</v>
      </c>
      <c r="C79" s="60">
        <v>13.06</v>
      </c>
      <c r="D79" s="60">
        <v>17.88</v>
      </c>
      <c r="E79" s="60">
        <v>8.8000000000000007</v>
      </c>
      <c r="F79" s="60">
        <v>0.11</v>
      </c>
      <c r="G79" s="214" t="s">
        <v>36</v>
      </c>
      <c r="H79" s="60">
        <v>6.08</v>
      </c>
      <c r="I79" s="60">
        <v>4.71</v>
      </c>
      <c r="J79" s="60">
        <v>0.23</v>
      </c>
      <c r="K79" s="60">
        <v>200.01</v>
      </c>
      <c r="L79" s="9" t="s">
        <v>36</v>
      </c>
      <c r="M79" s="60">
        <v>89.93</v>
      </c>
      <c r="N79" s="60">
        <v>44.10</v>
      </c>
      <c r="O79" s="60">
        <v>0</v>
      </c>
      <c r="P79" s="60">
        <v>2.82</v>
      </c>
      <c r="Q79" s="60">
        <v>4.26</v>
      </c>
      <c r="R79" s="194"/>
      <c r="S79" s="194"/>
      <c r="T79" s="194"/>
      <c r="U79" s="194"/>
    </row>
    <row r="80" spans="1:21" s="12" customFormat="1" ht="15">
      <c r="A80" s="197" t="s">
        <v>1564</v>
      </c>
      <c r="B80" s="60">
        <v>4.91</v>
      </c>
      <c r="C80" s="60">
        <v>12.57</v>
      </c>
      <c r="D80" s="60">
        <v>17.48</v>
      </c>
      <c r="E80" s="60">
        <v>8.9700000000000006</v>
      </c>
      <c r="F80" s="60">
        <v>0.33</v>
      </c>
      <c r="G80" s="214" t="s">
        <v>36</v>
      </c>
      <c r="H80" s="60">
        <v>6.08</v>
      </c>
      <c r="I80" s="60">
        <v>4.83</v>
      </c>
      <c r="J80" s="60">
        <v>0.46</v>
      </c>
      <c r="K80" s="60">
        <v>165.26</v>
      </c>
      <c r="L80" s="9" t="s">
        <v>36</v>
      </c>
      <c r="M80" s="60">
        <v>90</v>
      </c>
      <c r="N80" s="60">
        <v>37.700000000000003</v>
      </c>
      <c r="O80" s="60">
        <v>0</v>
      </c>
      <c r="P80" s="60">
        <v>2.82</v>
      </c>
      <c r="Q80" s="60">
        <v>4.12</v>
      </c>
      <c r="R80" s="194"/>
      <c r="S80" s="194"/>
      <c r="T80" s="194"/>
      <c r="U80" s="194"/>
    </row>
    <row r="81" spans="1:21" s="12" customFormat="1" ht="15">
      <c r="A81" s="197" t="s">
        <v>1565</v>
      </c>
      <c r="B81" s="60">
        <v>5.12</v>
      </c>
      <c r="C81" s="60">
        <v>12.25</v>
      </c>
      <c r="D81" s="60">
        <v>17.37</v>
      </c>
      <c r="E81" s="60">
        <v>9.02</v>
      </c>
      <c r="F81" s="60">
        <v>0.31</v>
      </c>
      <c r="G81" s="214" t="s">
        <v>36</v>
      </c>
      <c r="H81" s="60">
        <v>6.31</v>
      </c>
      <c r="I81" s="60">
        <v>4.6399999999999997</v>
      </c>
      <c r="J81" s="60">
        <v>0.12</v>
      </c>
      <c r="K81" s="60">
        <v>236.72</v>
      </c>
      <c r="L81" s="9" t="s">
        <v>36</v>
      </c>
      <c r="M81" s="60">
        <v>91.23</v>
      </c>
      <c r="N81" s="60">
        <v>26.90</v>
      </c>
      <c r="O81" s="60">
        <v>0</v>
      </c>
      <c r="P81" s="60">
        <v>2.81</v>
      </c>
      <c r="Q81" s="60">
        <v>4.1100000000000003</v>
      </c>
      <c r="R81" s="194"/>
      <c r="S81" s="194"/>
      <c r="T81" s="194"/>
      <c r="U81" s="194"/>
    </row>
    <row r="82" spans="1:21" s="12" customFormat="1" ht="15">
      <c r="A82" s="197" t="s">
        <v>1566</v>
      </c>
      <c r="B82" s="60">
        <v>5.35</v>
      </c>
      <c r="C82" s="60">
        <v>12.22</v>
      </c>
      <c r="D82" s="60">
        <v>17.559999999999999</v>
      </c>
      <c r="E82" s="60">
        <v>8.9700000000000006</v>
      </c>
      <c r="F82" s="60">
        <v>0.32</v>
      </c>
      <c r="G82" s="214" t="s">
        <v>36</v>
      </c>
      <c r="H82" s="60">
        <v>6.89</v>
      </c>
      <c r="I82" s="60">
        <v>4.5999999999999996</v>
      </c>
      <c r="J82" s="60">
        <v>0.19</v>
      </c>
      <c r="K82" s="60">
        <v>200.56</v>
      </c>
      <c r="L82" s="9" t="s">
        <v>36</v>
      </c>
      <c r="M82" s="60">
        <v>92.41</v>
      </c>
      <c r="N82" s="60">
        <v>13</v>
      </c>
      <c r="O82" s="60">
        <v>0</v>
      </c>
      <c r="P82" s="60">
        <v>2.83</v>
      </c>
      <c r="Q82" s="60">
        <v>4.5999999999999996</v>
      </c>
      <c r="R82" s="194"/>
      <c r="S82" s="194"/>
      <c r="T82" s="194"/>
      <c r="U82" s="194"/>
    </row>
    <row r="83" spans="1:21" s="12" customFormat="1" ht="15">
      <c r="A83" s="197" t="s">
        <v>1567</v>
      </c>
      <c r="B83" s="60">
        <v>5.70</v>
      </c>
      <c r="C83" s="60">
        <v>12.77</v>
      </c>
      <c r="D83" s="60">
        <v>18.47</v>
      </c>
      <c r="E83" s="60">
        <v>8.84</v>
      </c>
      <c r="F83" s="60">
        <v>0.27</v>
      </c>
      <c r="G83" s="214" t="s">
        <v>36</v>
      </c>
      <c r="H83" s="60">
        <v>6.89</v>
      </c>
      <c r="I83" s="60">
        <v>4.99</v>
      </c>
      <c r="J83" s="60">
        <v>0.19</v>
      </c>
      <c r="K83" s="60">
        <v>17.690000000000001</v>
      </c>
      <c r="L83" s="9" t="s">
        <v>36</v>
      </c>
      <c r="M83" s="60">
        <v>93.77</v>
      </c>
      <c r="N83" s="60">
        <v>3.70</v>
      </c>
      <c r="O83" s="60">
        <v>0</v>
      </c>
      <c r="P83" s="60">
        <v>2.86</v>
      </c>
      <c r="Q83" s="60">
        <v>5.67</v>
      </c>
      <c r="R83" s="194"/>
      <c r="S83" s="194"/>
      <c r="T83" s="194"/>
      <c r="U83" s="194"/>
    </row>
    <row r="84" spans="1:21" s="12" customFormat="1" ht="15">
      <c r="A84" s="197" t="s">
        <v>1568</v>
      </c>
      <c r="B84" s="60">
        <v>7.64</v>
      </c>
      <c r="C84" s="60">
        <v>14.12</v>
      </c>
      <c r="D84" s="60">
        <v>21.76</v>
      </c>
      <c r="E84" s="60">
        <v>8.7899999999999991</v>
      </c>
      <c r="F84" s="60">
        <v>0.17</v>
      </c>
      <c r="G84" s="214" t="s">
        <v>36</v>
      </c>
      <c r="H84" s="60">
        <v>6.89</v>
      </c>
      <c r="I84" s="60">
        <v>5.12</v>
      </c>
      <c r="J84" s="60">
        <v>0.04</v>
      </c>
      <c r="K84" s="60">
        <v>89.39</v>
      </c>
      <c r="L84" s="9" t="s">
        <v>36</v>
      </c>
      <c r="M84" s="60">
        <v>95.18</v>
      </c>
      <c r="N84" s="60">
        <v>1</v>
      </c>
      <c r="O84" s="60">
        <v>0</v>
      </c>
      <c r="P84" s="60">
        <v>2.99</v>
      </c>
      <c r="Q84" s="60">
        <v>7.34</v>
      </c>
      <c r="R84" s="194"/>
      <c r="S84" s="194"/>
      <c r="T84" s="194"/>
      <c r="U84" s="194"/>
    </row>
    <row r="85" spans="1:21" s="12" customFormat="1" ht="15">
      <c r="A85" s="197" t="s">
        <v>1569</v>
      </c>
      <c r="B85" s="60">
        <v>8.74</v>
      </c>
      <c r="C85" s="60">
        <v>14.92</v>
      </c>
      <c r="D85" s="60">
        <v>23.66</v>
      </c>
      <c r="E85" s="60">
        <v>8.5</v>
      </c>
      <c r="F85" s="60">
        <v>0.14000000000000001</v>
      </c>
      <c r="G85" s="214" t="s">
        <v>36</v>
      </c>
      <c r="H85" s="60">
        <v>6.79</v>
      </c>
      <c r="I85" s="60">
        <v>5.18</v>
      </c>
      <c r="J85" s="60">
        <v>0.28999999999999998</v>
      </c>
      <c r="K85" s="60">
        <v>186.23</v>
      </c>
      <c r="L85" s="9" t="s">
        <v>36</v>
      </c>
      <c r="M85" s="60">
        <v>93.84</v>
      </c>
      <c r="N85" s="60">
        <v>0.70</v>
      </c>
      <c r="O85" s="60">
        <v>0</v>
      </c>
      <c r="P85" s="60">
        <v>3.04</v>
      </c>
      <c r="Q85" s="60">
        <v>8.3000000000000007</v>
      </c>
      <c r="R85" s="194"/>
      <c r="S85" s="194"/>
      <c r="T85" s="194"/>
      <c r="U85" s="194"/>
    </row>
    <row r="86" spans="1:21" s="12" customFormat="1" ht="15">
      <c r="A86" s="197" t="s">
        <v>1570</v>
      </c>
      <c r="B86" s="60">
        <v>8.69</v>
      </c>
      <c r="C86" s="60">
        <v>15.19</v>
      </c>
      <c r="D86" s="60">
        <v>23.88</v>
      </c>
      <c r="E86" s="60">
        <v>8.6999999999999993</v>
      </c>
      <c r="F86" s="60">
        <v>0.10</v>
      </c>
      <c r="G86" s="214" t="s">
        <v>36</v>
      </c>
      <c r="H86" s="60">
        <v>6.53</v>
      </c>
      <c r="I86" s="60">
        <v>5.75</v>
      </c>
      <c r="J86" s="60">
        <v>0.43</v>
      </c>
      <c r="K86" s="60">
        <v>174.57</v>
      </c>
      <c r="L86" s="9" t="s">
        <v>36</v>
      </c>
      <c r="M86" s="60">
        <v>93.68</v>
      </c>
      <c r="N86" s="60">
        <v>0.10</v>
      </c>
      <c r="O86" s="60">
        <v>0</v>
      </c>
      <c r="P86" s="60">
        <v>3.05</v>
      </c>
      <c r="Q86" s="60">
        <v>8.5</v>
      </c>
      <c r="R86" s="194"/>
      <c r="S86" s="194"/>
      <c r="T86" s="194"/>
      <c r="U86" s="194"/>
    </row>
    <row r="87" spans="1:21" s="12" customFormat="1" ht="15">
      <c r="A87" s="197" t="s">
        <v>1571</v>
      </c>
      <c r="B87" s="60">
        <v>8.4700000000000006</v>
      </c>
      <c r="C87" s="60">
        <v>15.25</v>
      </c>
      <c r="D87" s="60">
        <v>23.71</v>
      </c>
      <c r="E87" s="60">
        <v>8.36</v>
      </c>
      <c r="F87" s="60">
        <v>0.08</v>
      </c>
      <c r="G87" s="214" t="s">
        <v>36</v>
      </c>
      <c r="H87" s="60">
        <v>6.53</v>
      </c>
      <c r="I87" s="60">
        <v>5.77</v>
      </c>
      <c r="J87" s="60">
        <v>0.72</v>
      </c>
      <c r="K87" s="60">
        <v>167.13</v>
      </c>
      <c r="L87" s="9" t="s">
        <v>36</v>
      </c>
      <c r="M87" s="60">
        <v>93.35</v>
      </c>
      <c r="N87" s="214" t="s">
        <v>36</v>
      </c>
      <c r="O87" s="60">
        <v>0.20</v>
      </c>
      <c r="P87" s="60">
        <v>3.05</v>
      </c>
      <c r="Q87" s="60">
        <v>8.4700000000000006</v>
      </c>
      <c r="R87" s="194"/>
      <c r="S87" s="194"/>
      <c r="T87" s="194"/>
      <c r="U87" s="194"/>
    </row>
    <row r="88" spans="1:21" s="12" customFormat="1" ht="15">
      <c r="A88" s="197" t="s">
        <v>1572</v>
      </c>
      <c r="B88" s="60">
        <v>7.95</v>
      </c>
      <c r="C88" s="60">
        <v>14.97</v>
      </c>
      <c r="D88" s="60">
        <v>22.92</v>
      </c>
      <c r="E88" s="60">
        <v>3</v>
      </c>
      <c r="F88" s="60">
        <v>1.22</v>
      </c>
      <c r="G88" s="214" t="s">
        <v>36</v>
      </c>
      <c r="H88" s="60">
        <v>6.53</v>
      </c>
      <c r="I88" s="60">
        <v>5.80</v>
      </c>
      <c r="J88" s="60">
        <v>0.21</v>
      </c>
      <c r="K88" s="60">
        <v>192.85</v>
      </c>
      <c r="L88" s="9" t="s">
        <v>36</v>
      </c>
      <c r="M88" s="60">
        <v>95.86</v>
      </c>
      <c r="N88" s="214" t="s">
        <v>36</v>
      </c>
      <c r="O88" s="60">
        <v>0.20</v>
      </c>
      <c r="P88" s="60">
        <v>3.02</v>
      </c>
      <c r="Q88" s="60">
        <v>8.34</v>
      </c>
      <c r="R88" s="194"/>
      <c r="S88" s="194"/>
      <c r="T88" s="194"/>
      <c r="U88" s="194"/>
    </row>
    <row r="89" spans="1:21" s="12" customFormat="1" ht="15">
      <c r="A89" s="197" t="s">
        <v>1573</v>
      </c>
      <c r="B89" s="60">
        <v>7.75</v>
      </c>
      <c r="C89" s="60">
        <v>14.55</v>
      </c>
      <c r="D89" s="60">
        <v>22.30</v>
      </c>
      <c r="E89" s="60">
        <v>6.93</v>
      </c>
      <c r="F89" s="60">
        <v>0.78</v>
      </c>
      <c r="G89" s="214" t="s">
        <v>36</v>
      </c>
      <c r="H89" s="60">
        <v>7.05</v>
      </c>
      <c r="I89" s="60">
        <v>5.80</v>
      </c>
      <c r="J89" s="60">
        <v>0.34</v>
      </c>
      <c r="K89" s="60">
        <v>196.74</v>
      </c>
      <c r="L89" s="9" t="s">
        <v>36</v>
      </c>
      <c r="M89" s="60">
        <v>96.03</v>
      </c>
      <c r="N89" s="214" t="s">
        <v>36</v>
      </c>
      <c r="O89" s="60">
        <v>0.20</v>
      </c>
      <c r="P89" s="60">
        <v>3.01</v>
      </c>
      <c r="Q89" s="60">
        <v>7.52</v>
      </c>
      <c r="R89" s="194"/>
      <c r="S89" s="194"/>
      <c r="T89" s="194"/>
      <c r="U89" s="194"/>
    </row>
    <row r="90" spans="1:21" s="12" customFormat="1" ht="15">
      <c r="A90" s="197" t="s">
        <v>1574</v>
      </c>
      <c r="B90" s="60">
        <v>7.77</v>
      </c>
      <c r="C90" s="60">
        <v>14.11</v>
      </c>
      <c r="D90" s="60">
        <v>21.88</v>
      </c>
      <c r="E90" s="60">
        <v>7.60</v>
      </c>
      <c r="F90" s="60">
        <v>0.35</v>
      </c>
      <c r="G90" s="214" t="s">
        <v>36</v>
      </c>
      <c r="H90" s="60">
        <v>8.33</v>
      </c>
      <c r="I90" s="60">
        <v>5.68</v>
      </c>
      <c r="J90" s="60">
        <v>0.53</v>
      </c>
      <c r="K90" s="60">
        <v>168.5</v>
      </c>
      <c r="L90" s="9" t="s">
        <v>36</v>
      </c>
      <c r="M90" s="60">
        <v>95.44</v>
      </c>
      <c r="N90" s="214" t="s">
        <v>36</v>
      </c>
      <c r="O90" s="60">
        <v>0</v>
      </c>
      <c r="P90" s="60">
        <v>3.01</v>
      </c>
      <c r="Q90" s="60">
        <v>6.49</v>
      </c>
      <c r="R90" s="194"/>
      <c r="S90" s="194"/>
      <c r="T90" s="194"/>
      <c r="U90" s="194"/>
    </row>
    <row r="91" spans="1:21" s="12" customFormat="1" ht="15">
      <c r="A91" s="197" t="s">
        <v>1575</v>
      </c>
      <c r="B91" s="60">
        <v>7.77</v>
      </c>
      <c r="C91" s="60">
        <v>13.56</v>
      </c>
      <c r="D91" s="60">
        <v>21.33</v>
      </c>
      <c r="E91" s="60">
        <v>7.16</v>
      </c>
      <c r="F91" s="60">
        <v>0.31</v>
      </c>
      <c r="G91" s="214" t="s">
        <v>36</v>
      </c>
      <c r="H91" s="60">
        <v>8.33</v>
      </c>
      <c r="I91" s="60">
        <v>5.45</v>
      </c>
      <c r="J91" s="60">
        <v>0.39</v>
      </c>
      <c r="K91" s="60">
        <v>179.96</v>
      </c>
      <c r="L91" s="9" t="s">
        <v>36</v>
      </c>
      <c r="M91" s="60">
        <v>97.12</v>
      </c>
      <c r="N91" s="214" t="s">
        <v>36</v>
      </c>
      <c r="O91" s="60">
        <v>0.20</v>
      </c>
      <c r="P91" s="60">
        <v>3</v>
      </c>
      <c r="Q91" s="60">
        <v>5.78</v>
      </c>
      <c r="R91" s="194"/>
      <c r="S91" s="194"/>
      <c r="T91" s="194"/>
      <c r="U91" s="194"/>
    </row>
    <row r="92" spans="1:21" s="12" customFormat="1" ht="15">
      <c r="A92" s="197" t="s">
        <v>1576</v>
      </c>
      <c r="B92" s="60">
        <v>7.77</v>
      </c>
      <c r="C92" s="60">
        <v>13.09</v>
      </c>
      <c r="D92" s="60">
        <v>20.86</v>
      </c>
      <c r="E92" s="60">
        <v>7.89</v>
      </c>
      <c r="F92" s="60">
        <v>0.13</v>
      </c>
      <c r="G92" s="214" t="s">
        <v>36</v>
      </c>
      <c r="H92" s="60">
        <v>8.33</v>
      </c>
      <c r="I92" s="60">
        <v>5.54</v>
      </c>
      <c r="J92" s="60">
        <v>0.28000000000000003</v>
      </c>
      <c r="K92" s="60">
        <v>196.77</v>
      </c>
      <c r="L92" s="9" t="s">
        <v>36</v>
      </c>
      <c r="M92" s="60">
        <v>95.61</v>
      </c>
      <c r="N92" s="214" t="s">
        <v>36</v>
      </c>
      <c r="O92" s="60">
        <v>0</v>
      </c>
      <c r="P92" s="60">
        <v>3</v>
      </c>
      <c r="Q92" s="60">
        <v>5.41</v>
      </c>
      <c r="R92" s="194"/>
      <c r="S92" s="194"/>
      <c r="T92" s="194"/>
      <c r="U92" s="194"/>
    </row>
    <row r="93" spans="1:21" s="12" customFormat="1" ht="15">
      <c r="A93" s="197" t="s">
        <v>1577</v>
      </c>
      <c r="B93" s="60">
        <v>7.76</v>
      </c>
      <c r="C93" s="60">
        <v>12.67</v>
      </c>
      <c r="D93" s="60">
        <v>20.43</v>
      </c>
      <c r="E93" s="60">
        <v>7.66</v>
      </c>
      <c r="F93" s="60">
        <v>0.04</v>
      </c>
      <c r="G93" s="214" t="s">
        <v>36</v>
      </c>
      <c r="H93" s="60">
        <v>7.93</v>
      </c>
      <c r="I93" s="60">
        <v>5.41</v>
      </c>
      <c r="J93" s="60">
        <v>0.77</v>
      </c>
      <c r="K93" s="60">
        <v>170.37</v>
      </c>
      <c r="L93" s="9" t="s">
        <v>36</v>
      </c>
      <c r="M93" s="60">
        <v>95.52</v>
      </c>
      <c r="N93" s="214" t="s">
        <v>36</v>
      </c>
      <c r="O93" s="60">
        <v>0</v>
      </c>
      <c r="P93" s="60">
        <v>2.98</v>
      </c>
      <c r="Q93" s="60">
        <v>5.18</v>
      </c>
      <c r="R93" s="194"/>
      <c r="S93" s="194"/>
      <c r="T93" s="194"/>
      <c r="U93" s="194"/>
    </row>
    <row r="94" spans="1:21" s="12" customFormat="1" ht="15">
      <c r="A94" s="197" t="s">
        <v>1578</v>
      </c>
      <c r="B94" s="60">
        <v>7.75</v>
      </c>
      <c r="C94" s="60">
        <v>12.34</v>
      </c>
      <c r="D94" s="60">
        <v>20.09</v>
      </c>
      <c r="E94" s="60">
        <v>7.78</v>
      </c>
      <c r="F94" s="60">
        <v>0.49</v>
      </c>
      <c r="G94" s="214" t="s">
        <v>36</v>
      </c>
      <c r="H94" s="60">
        <v>6.94</v>
      </c>
      <c r="I94" s="60">
        <v>5.48</v>
      </c>
      <c r="J94" s="60">
        <v>0.62</v>
      </c>
      <c r="K94" s="60">
        <v>166.17</v>
      </c>
      <c r="L94" s="9" t="s">
        <v>36</v>
      </c>
      <c r="M94" s="60">
        <v>96.28</v>
      </c>
      <c r="N94" s="214" t="s">
        <v>36</v>
      </c>
      <c r="O94" s="60">
        <v>0</v>
      </c>
      <c r="P94" s="60">
        <v>2.98</v>
      </c>
      <c r="Q94" s="60">
        <v>5.03</v>
      </c>
      <c r="R94" s="194"/>
      <c r="S94" s="194"/>
      <c r="T94" s="194"/>
      <c r="U94" s="194"/>
    </row>
    <row r="95" spans="1:21" s="12" customFormat="1" ht="15">
      <c r="A95" s="197" t="s">
        <v>1579</v>
      </c>
      <c r="B95" s="60">
        <v>7.67</v>
      </c>
      <c r="C95" s="60">
        <v>12.10</v>
      </c>
      <c r="D95" s="60">
        <v>19.77</v>
      </c>
      <c r="E95" s="60">
        <v>8.10</v>
      </c>
      <c r="F95" s="60">
        <v>0.39</v>
      </c>
      <c r="G95" s="214" t="s">
        <v>36</v>
      </c>
      <c r="H95" s="60">
        <v>6.94</v>
      </c>
      <c r="I95" s="60">
        <v>5.43</v>
      </c>
      <c r="J95" s="60">
        <v>0.85</v>
      </c>
      <c r="K95" s="60">
        <v>163.86</v>
      </c>
      <c r="L95" s="9" t="s">
        <v>36</v>
      </c>
      <c r="M95" s="60">
        <v>96.16</v>
      </c>
      <c r="N95" s="214" t="s">
        <v>36</v>
      </c>
      <c r="O95" s="60">
        <v>0</v>
      </c>
      <c r="P95" s="60">
        <v>2.97</v>
      </c>
      <c r="Q95" s="60">
        <v>4.88</v>
      </c>
      <c r="R95" s="194"/>
      <c r="S95" s="194"/>
      <c r="T95" s="194"/>
      <c r="U95" s="194"/>
    </row>
    <row r="96" spans="1:26" s="12" customFormat="1" ht="15">
      <c r="A96" s="197" t="s">
        <v>1580</v>
      </c>
      <c r="B96" s="60">
        <v>7.65</v>
      </c>
      <c r="C96" s="60">
        <v>12.03</v>
      </c>
      <c r="D96" s="60">
        <v>19.670000000000002</v>
      </c>
      <c r="E96" s="60">
        <v>8.3000000000000007</v>
      </c>
      <c r="F96" s="60">
        <v>0.43</v>
      </c>
      <c r="G96" s="214" t="s">
        <v>36</v>
      </c>
      <c r="H96" s="60">
        <v>6.94</v>
      </c>
      <c r="I96" s="60">
        <v>5.66</v>
      </c>
      <c r="J96" s="60">
        <v>0.68</v>
      </c>
      <c r="K96" s="60">
        <v>160.82</v>
      </c>
      <c r="L96" s="9" t="s">
        <v>36</v>
      </c>
      <c r="M96" s="60">
        <v>96.73</v>
      </c>
      <c r="N96" s="214" t="s">
        <v>36</v>
      </c>
      <c r="O96" s="60">
        <v>0</v>
      </c>
      <c r="P96" s="60">
        <v>2.95</v>
      </c>
      <c r="Q96" s="60">
        <v>4.92</v>
      </c>
      <c r="R96" s="194"/>
      <c r="S96" s="194"/>
      <c r="T96" s="194"/>
      <c r="U96" s="194"/>
      <c r="Z96" s="105"/>
    </row>
    <row r="97" spans="1:21" s="12" customFormat="1" ht="15">
      <c r="A97" s="197" t="s">
        <v>1581</v>
      </c>
      <c r="B97" s="60">
        <v>7.31</v>
      </c>
      <c r="C97" s="60">
        <v>11.92</v>
      </c>
      <c r="D97" s="60">
        <v>19.22</v>
      </c>
      <c r="E97" s="60">
        <v>8.52</v>
      </c>
      <c r="F97" s="60">
        <v>0.39</v>
      </c>
      <c r="G97" s="214" t="s">
        <v>36</v>
      </c>
      <c r="H97" s="60">
        <v>6.81</v>
      </c>
      <c r="I97" s="60">
        <v>5.66</v>
      </c>
      <c r="J97" s="60">
        <v>0.56000000000000005</v>
      </c>
      <c r="K97" s="60">
        <v>174.43</v>
      </c>
      <c r="L97" s="9" t="s">
        <v>36</v>
      </c>
      <c r="M97" s="60">
        <v>96.55</v>
      </c>
      <c r="N97" s="214" t="s">
        <v>36</v>
      </c>
      <c r="O97" s="60">
        <v>0</v>
      </c>
      <c r="P97" s="60">
        <v>2.94</v>
      </c>
      <c r="Q97" s="60">
        <v>5.55</v>
      </c>
      <c r="R97" s="194"/>
      <c r="S97" s="194"/>
      <c r="T97" s="194"/>
      <c r="U97" s="194"/>
    </row>
    <row r="98" spans="1:21" s="12" customFormat="1" ht="15">
      <c r="A98" s="197" t="s">
        <v>1582</v>
      </c>
      <c r="B98" s="60">
        <v>6.82</v>
      </c>
      <c r="C98" s="60">
        <v>12.10</v>
      </c>
      <c r="D98" s="60">
        <v>18.91</v>
      </c>
      <c r="E98" s="60">
        <v>8.17</v>
      </c>
      <c r="F98" s="60">
        <v>0.20</v>
      </c>
      <c r="G98" s="214" t="s">
        <v>36</v>
      </c>
      <c r="H98" s="60">
        <v>6.49</v>
      </c>
      <c r="I98" s="60">
        <v>5.61</v>
      </c>
      <c r="J98" s="60">
        <v>0.25</v>
      </c>
      <c r="K98" s="60">
        <v>172.93</v>
      </c>
      <c r="L98" s="9" t="s">
        <v>36</v>
      </c>
      <c r="M98" s="60">
        <v>97.17</v>
      </c>
      <c r="N98" s="214" t="s">
        <v>36</v>
      </c>
      <c r="O98" s="60">
        <v>0</v>
      </c>
      <c r="P98" s="60">
        <v>2.92</v>
      </c>
      <c r="Q98" s="60">
        <v>6.41</v>
      </c>
      <c r="R98" s="194"/>
      <c r="S98" s="194"/>
      <c r="T98" s="194"/>
      <c r="U98" s="194"/>
    </row>
    <row r="99" spans="1:21" s="12" customFormat="1" ht="15">
      <c r="A99" s="197" t="s">
        <v>1583</v>
      </c>
      <c r="B99" s="60">
        <v>6.28</v>
      </c>
      <c r="C99" s="60">
        <v>12.26</v>
      </c>
      <c r="D99" s="60">
        <v>18.54</v>
      </c>
      <c r="E99" s="60">
        <v>7.98</v>
      </c>
      <c r="F99" s="60">
        <v>0.23</v>
      </c>
      <c r="G99" s="214" t="s">
        <v>36</v>
      </c>
      <c r="H99" s="60">
        <v>6.49</v>
      </c>
      <c r="I99" s="60">
        <v>5.56</v>
      </c>
      <c r="J99" s="60">
        <v>0.42</v>
      </c>
      <c r="K99" s="60">
        <v>169.55</v>
      </c>
      <c r="L99" s="9" t="s">
        <v>36</v>
      </c>
      <c r="M99" s="60">
        <v>97.52</v>
      </c>
      <c r="N99" s="214" t="s">
        <v>36</v>
      </c>
      <c r="O99" s="60">
        <v>0</v>
      </c>
      <c r="P99" s="60">
        <v>2.91</v>
      </c>
      <c r="Q99" s="60">
        <v>6.88</v>
      </c>
      <c r="R99" s="194"/>
      <c r="S99" s="194"/>
      <c r="T99" s="194"/>
      <c r="U99" s="194"/>
    </row>
    <row r="100" spans="1:33" s="12" customFormat="1" ht="15">
      <c r="A100" s="197" t="s">
        <v>1584</v>
      </c>
      <c r="B100" s="60">
        <v>5.90</v>
      </c>
      <c r="C100" s="60">
        <v>12.40</v>
      </c>
      <c r="D100" s="60">
        <v>18.30</v>
      </c>
      <c r="E100" s="60">
        <v>7.92</v>
      </c>
      <c r="F100" s="60">
        <v>1.20</v>
      </c>
      <c r="G100" s="214" t="s">
        <v>36</v>
      </c>
      <c r="H100" s="60">
        <v>6.49</v>
      </c>
      <c r="I100" s="60">
        <v>5.48</v>
      </c>
      <c r="J100" s="60">
        <v>0.52</v>
      </c>
      <c r="K100" s="60">
        <v>150.71</v>
      </c>
      <c r="L100" s="9" t="s">
        <v>36</v>
      </c>
      <c r="M100" s="60">
        <v>97.03</v>
      </c>
      <c r="N100" s="60">
        <v>0.10</v>
      </c>
      <c r="O100" s="60">
        <v>0</v>
      </c>
      <c r="P100" s="60">
        <v>2.90</v>
      </c>
      <c r="Q100" s="60">
        <v>7.15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1585</v>
      </c>
      <c r="B101" s="60">
        <v>5.58</v>
      </c>
      <c r="C101" s="60">
        <v>12.37</v>
      </c>
      <c r="D101" s="60">
        <v>17.95</v>
      </c>
      <c r="E101" s="60">
        <v>6.98</v>
      </c>
      <c r="F101" s="60">
        <v>0.08</v>
      </c>
      <c r="G101" s="214" t="s">
        <v>36</v>
      </c>
      <c r="H101" s="60">
        <v>5.98</v>
      </c>
      <c r="I101" s="60">
        <v>5.36</v>
      </c>
      <c r="J101" s="60">
        <v>1.07</v>
      </c>
      <c r="K101" s="60">
        <v>158.61000000000001</v>
      </c>
      <c r="L101" s="9" t="s">
        <v>36</v>
      </c>
      <c r="M101" s="60">
        <v>97.02</v>
      </c>
      <c r="N101" s="60">
        <v>0.40</v>
      </c>
      <c r="O101" s="60">
        <v>0</v>
      </c>
      <c r="P101" s="60">
        <v>2.88</v>
      </c>
      <c r="Q101" s="60">
        <v>7.30</v>
      </c>
      <c r="R101" s="194"/>
      <c r="S101" s="194"/>
      <c r="T101" s="194"/>
      <c r="U101" s="194"/>
    </row>
    <row r="102" spans="1:21" s="12" customFormat="1" ht="15">
      <c r="A102" s="197" t="s">
        <v>1586</v>
      </c>
      <c r="B102" s="60">
        <v>5.27</v>
      </c>
      <c r="C102" s="60">
        <v>12.19</v>
      </c>
      <c r="D102" s="60">
        <v>17.45</v>
      </c>
      <c r="E102" s="60">
        <v>7.29</v>
      </c>
      <c r="F102" s="60">
        <v>0</v>
      </c>
      <c r="G102" s="214" t="s">
        <v>36</v>
      </c>
      <c r="H102" s="60">
        <v>4.7300000000000004</v>
      </c>
      <c r="I102" s="60">
        <v>5.29</v>
      </c>
      <c r="J102" s="60">
        <v>0.74</v>
      </c>
      <c r="K102" s="60">
        <v>167.28</v>
      </c>
      <c r="L102" s="9" t="s">
        <v>36</v>
      </c>
      <c r="M102" s="60">
        <v>97.38</v>
      </c>
      <c r="N102" s="60">
        <v>0.40</v>
      </c>
      <c r="O102" s="60">
        <v>0</v>
      </c>
      <c r="P102" s="60">
        <v>2.86</v>
      </c>
      <c r="Q102" s="60">
        <v>7.19</v>
      </c>
      <c r="R102" s="194"/>
      <c r="S102" s="194"/>
      <c r="T102" s="194"/>
      <c r="U102" s="194"/>
    </row>
    <row r="103" spans="1:21" s="12" customFormat="1" ht="15">
      <c r="A103" s="197" t="s">
        <v>1587</v>
      </c>
      <c r="B103" s="60">
        <v>4.97</v>
      </c>
      <c r="C103" s="60">
        <v>12.20</v>
      </c>
      <c r="D103" s="60">
        <v>17.170000000000002</v>
      </c>
      <c r="E103" s="60">
        <v>7.47</v>
      </c>
      <c r="F103" s="60">
        <v>0.25</v>
      </c>
      <c r="G103" s="214" t="s">
        <v>36</v>
      </c>
      <c r="H103" s="60">
        <v>4.7300000000000004</v>
      </c>
      <c r="I103" s="60">
        <v>5.22</v>
      </c>
      <c r="J103" s="60">
        <v>0.40</v>
      </c>
      <c r="K103" s="60">
        <v>157.97</v>
      </c>
      <c r="L103" s="9" t="s">
        <v>36</v>
      </c>
      <c r="M103" s="60">
        <v>97.47</v>
      </c>
      <c r="N103" s="60">
        <v>0.30</v>
      </c>
      <c r="O103" s="60">
        <v>0</v>
      </c>
      <c r="P103" s="60">
        <v>2.84</v>
      </c>
      <c r="Q103" s="60">
        <v>6.87</v>
      </c>
      <c r="R103" s="194"/>
      <c r="S103" s="194"/>
      <c r="T103" s="194"/>
      <c r="U103" s="194"/>
    </row>
    <row r="104" spans="1:21" s="12" customFormat="1" ht="15">
      <c r="A104" s="197" t="s">
        <v>1588</v>
      </c>
      <c r="B104" s="60">
        <v>4.96</v>
      </c>
      <c r="C104" s="60">
        <v>11.75</v>
      </c>
      <c r="D104" s="60">
        <v>16.71</v>
      </c>
      <c r="E104" s="60">
        <v>4.3499999999999996</v>
      </c>
      <c r="F104" s="60">
        <v>0.77</v>
      </c>
      <c r="G104" s="214" t="s">
        <v>36</v>
      </c>
      <c r="H104" s="60">
        <v>4.7300000000000004</v>
      </c>
      <c r="I104" s="60">
        <v>5.13</v>
      </c>
      <c r="J104" s="60">
        <v>0.51</v>
      </c>
      <c r="K104" s="60">
        <v>163.76</v>
      </c>
      <c r="L104" s="9" t="s">
        <v>36</v>
      </c>
      <c r="M104" s="60">
        <v>97.66</v>
      </c>
      <c r="N104" s="60">
        <v>0.40</v>
      </c>
      <c r="O104" s="60">
        <v>0</v>
      </c>
      <c r="P104" s="60">
        <v>2.84</v>
      </c>
      <c r="Q104" s="60">
        <v>5.85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1.8500000000000001</v>
      </c>
      <c r="C106" s="67">
        <f>MIN(C9:C104)</f>
        <v>9.8399999999999999</v>
      </c>
      <c r="D106" s="67">
        <f t="shared" si="0" ref="D106:Q106">MIN(D9:D104)</f>
        <v>12.050000000000001</v>
      </c>
      <c r="E106" s="67">
        <f t="shared" si="0"/>
        <v>3</v>
      </c>
      <c r="F106" s="67">
        <f t="shared" si="0"/>
        <v>0</v>
      </c>
      <c r="G106" s="67">
        <f t="shared" si="0"/>
        <v>0</v>
      </c>
      <c r="H106" s="67">
        <f t="shared" si="0"/>
        <v>1.79</v>
      </c>
      <c r="I106" s="67">
        <f t="shared" si="0"/>
        <v>3.8999999999999999</v>
      </c>
      <c r="J106" s="67">
        <f t="shared" si="0"/>
        <v>0.040000000000000001</v>
      </c>
      <c r="K106" s="67">
        <f t="shared" si="0"/>
        <v>2.2999999999999998</v>
      </c>
      <c r="L106" s="67">
        <f t="shared" si="0"/>
        <v>0</v>
      </c>
      <c r="M106" s="67">
        <f t="shared" si="0"/>
        <v>84.819999999999993</v>
      </c>
      <c r="N106" s="67">
        <f t="shared" si="0"/>
        <v>0.10000000000000001</v>
      </c>
      <c r="O106" s="67">
        <f t="shared" si="0"/>
        <v>0</v>
      </c>
      <c r="P106" s="67">
        <f t="shared" si="0"/>
        <v>2.7000000000000002</v>
      </c>
      <c r="Q106" s="67">
        <f t="shared" si="0"/>
        <v>2.8100000000000001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20.960000000000001</v>
      </c>
      <c r="C107" s="66">
        <f t="shared" si="1" ref="C107:Q107">MAX(C9:C104)</f>
        <v>16.359999999999999</v>
      </c>
      <c r="D107" s="66">
        <f t="shared" si="1"/>
        <v>34.75</v>
      </c>
      <c r="E107" s="66">
        <f t="shared" si="1"/>
        <v>9.9800000000000004</v>
      </c>
      <c r="F107" s="66">
        <f t="shared" si="1"/>
        <v>1.22</v>
      </c>
      <c r="G107" s="66">
        <f t="shared" si="1"/>
        <v>0</v>
      </c>
      <c r="H107" s="66">
        <f t="shared" si="1"/>
        <v>15.529999999999999</v>
      </c>
      <c r="I107" s="66">
        <f t="shared" si="1"/>
        <v>6.1200000000000001</v>
      </c>
      <c r="J107" s="66">
        <f t="shared" si="1"/>
        <v>1.71</v>
      </c>
      <c r="K107" s="66">
        <f t="shared" si="1"/>
        <v>358.43000000000001</v>
      </c>
      <c r="L107" s="66">
        <f t="shared" si="1"/>
        <v>0</v>
      </c>
      <c r="M107" s="66">
        <f t="shared" si="1"/>
        <v>99.099999999999994</v>
      </c>
      <c r="N107" s="66">
        <f t="shared" si="1"/>
        <v>967.60000000000002</v>
      </c>
      <c r="O107" s="66">
        <f t="shared" si="1"/>
        <v>12</v>
      </c>
      <c r="P107" s="66">
        <f t="shared" si="1"/>
        <v>3.0499999999999998</v>
      </c>
      <c r="Q107" s="66">
        <f t="shared" si="1"/>
        <v>10.789999999999999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7.5599999999999996</v>
      </c>
      <c r="C108" s="67">
        <f t="shared" si="2" ref="C108:Q108">AVERAGE(C9:C104)</f>
        <v>12.91177083333333</v>
      </c>
      <c r="D108" s="67">
        <f t="shared" si="2"/>
        <v>20.470416666666669</v>
      </c>
      <c r="E108" s="67">
        <f t="shared" si="2"/>
        <v>7.8928124999999989</v>
      </c>
      <c r="F108" s="67">
        <f t="shared" si="2"/>
        <v>0.26652631578947356</v>
      </c>
      <c r="G108" s="67" t="e">
        <f t="shared" si="2"/>
        <v>#DIV/0!</v>
      </c>
      <c r="H108" s="67">
        <f t="shared" si="2"/>
        <v>6.419791666666665</v>
      </c>
      <c r="I108" s="67">
        <f t="shared" si="2"/>
        <v>5.2377083333333356</v>
      </c>
      <c r="J108" s="67">
        <f t="shared" si="2"/>
        <v>0.54000000000000015</v>
      </c>
      <c r="K108" s="67">
        <f t="shared" si="2"/>
        <v>203.99562499999999</v>
      </c>
      <c r="L108" s="67" t="e">
        <f t="shared" si="2"/>
        <v>#DIV/0!</v>
      </c>
      <c r="M108" s="67">
        <f t="shared" si="2"/>
        <v>95.538541666666617</v>
      </c>
      <c r="N108" s="67">
        <f t="shared" si="2"/>
        <v>83.880519480519482</v>
      </c>
      <c r="O108" s="67">
        <f t="shared" si="2"/>
        <v>0.32708333333333323</v>
      </c>
      <c r="P108" s="67">
        <f t="shared" si="2"/>
        <v>2.8608333333333333</v>
      </c>
      <c r="Q108" s="67">
        <f t="shared" si="2"/>
        <v>6.2241666666666626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5.3206442031808647</v>
      </c>
      <c r="C109" s="67">
        <f t="shared" si="3" ref="C109:Q109">STDEV(C9:C104)</f>
        <v>1.7877306960688393</v>
      </c>
      <c r="D109" s="67">
        <f t="shared" si="3"/>
        <v>6.4290185739785608</v>
      </c>
      <c r="E109" s="67">
        <f t="shared" si="3"/>
        <v>1.4041800027999156</v>
      </c>
      <c r="F109" s="67">
        <f t="shared" si="3"/>
        <v>0.21595295203261611</v>
      </c>
      <c r="G109" s="67" t="e">
        <f t="shared" si="3"/>
        <v>#DIV/0!</v>
      </c>
      <c r="H109" s="67">
        <f t="shared" si="3"/>
        <v>3.4693794315916096</v>
      </c>
      <c r="I109" s="67">
        <f t="shared" si="3"/>
        <v>0.51356438466173127</v>
      </c>
      <c r="J109" s="67">
        <f t="shared" si="3"/>
        <v>0.38960708952806039</v>
      </c>
      <c r="K109" s="67">
        <f t="shared" si="3"/>
        <v>99.504628517709563</v>
      </c>
      <c r="L109" s="67" t="e">
        <f t="shared" si="3"/>
        <v>#DIV/0!</v>
      </c>
      <c r="M109" s="67">
        <f t="shared" si="3"/>
        <v>3.8200300299637129</v>
      </c>
      <c r="N109" s="67">
        <f t="shared" si="3"/>
        <v>152.45163688593269</v>
      </c>
      <c r="O109" s="67">
        <f t="shared" si="3"/>
        <v>1.2689389821228114</v>
      </c>
      <c r="P109" s="67">
        <f t="shared" si="3"/>
        <v>0.10741622602770529</v>
      </c>
      <c r="Q109" s="67">
        <f t="shared" si="3"/>
        <v>2.0773148998123712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95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>COUNT(N9:N104)+19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513a8f-0bb5-40ca-a660-90bef41cf718}">
  <sheetPr codeName=""/>
  <dimension ref="A1:AG117"/>
  <sheetViews>
    <sheetView workbookViewId="0" topLeftCell="A1">
      <pane xSplit="1" ySplit="8" topLeftCell="B7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F111" sqref="F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15-07-2022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1589</v>
      </c>
      <c r="B9" s="135">
        <v>5.0999999999999996</v>
      </c>
      <c r="C9" s="135">
        <v>11.31</v>
      </c>
      <c r="D9" s="135">
        <v>16.41</v>
      </c>
      <c r="E9" s="135">
        <v>8.59</v>
      </c>
      <c r="F9" s="135">
        <v>0.39</v>
      </c>
      <c r="G9" s="208" t="s">
        <v>36</v>
      </c>
      <c r="H9" s="135">
        <v>4.32</v>
      </c>
      <c r="I9" s="135">
        <v>4.93</v>
      </c>
      <c r="J9" s="135">
        <v>0.65</v>
      </c>
      <c r="K9" s="135">
        <v>166.52</v>
      </c>
      <c r="L9" s="9" t="s">
        <v>36</v>
      </c>
      <c r="M9" s="135">
        <v>97.88</v>
      </c>
      <c r="N9" s="135">
        <v>0.40</v>
      </c>
      <c r="O9" s="135">
        <v>0</v>
      </c>
      <c r="P9" s="135">
        <v>2.84</v>
      </c>
      <c r="Q9" s="135">
        <v>5.03</v>
      </c>
      <c r="R9" s="194"/>
      <c r="S9" s="194"/>
      <c r="T9" s="194"/>
      <c r="U9" s="194"/>
    </row>
    <row r="10" spans="1:21" s="12" customFormat="1" ht="15">
      <c r="A10" s="207" t="s">
        <v>1590</v>
      </c>
      <c r="B10" s="135">
        <v>5.25</v>
      </c>
      <c r="C10" s="135">
        <v>10.84</v>
      </c>
      <c r="D10" s="135">
        <v>16.09</v>
      </c>
      <c r="E10" s="135">
        <v>8.59</v>
      </c>
      <c r="F10" s="135">
        <v>0.09</v>
      </c>
      <c r="G10" s="208" t="s">
        <v>36</v>
      </c>
      <c r="H10" s="135">
        <v>3.31</v>
      </c>
      <c r="I10" s="135">
        <v>4.9800000000000004</v>
      </c>
      <c r="J10" s="135">
        <v>1.0900000000000001</v>
      </c>
      <c r="K10" s="135">
        <v>159.82</v>
      </c>
      <c r="L10" s="9" t="s">
        <v>36</v>
      </c>
      <c r="M10" s="135">
        <v>97.79</v>
      </c>
      <c r="N10" s="135">
        <v>0.40</v>
      </c>
      <c r="O10" s="135">
        <v>0</v>
      </c>
      <c r="P10" s="135">
        <v>2.82</v>
      </c>
      <c r="Q10" s="135">
        <v>4.5999999999999996</v>
      </c>
      <c r="R10" s="194"/>
      <c r="S10" s="194"/>
      <c r="T10" s="194"/>
      <c r="U10" s="194"/>
    </row>
    <row r="11" spans="1:21" s="12" customFormat="1" ht="15">
      <c r="A11" s="207" t="s">
        <v>1591</v>
      </c>
      <c r="B11" s="135">
        <v>5.28</v>
      </c>
      <c r="C11" s="135">
        <v>10.44</v>
      </c>
      <c r="D11" s="135">
        <v>15.72</v>
      </c>
      <c r="E11" s="135">
        <v>9.1300000000000008</v>
      </c>
      <c r="F11" s="135">
        <v>0.10</v>
      </c>
      <c r="G11" s="208" t="s">
        <v>36</v>
      </c>
      <c r="H11" s="135">
        <v>3.31</v>
      </c>
      <c r="I11" s="135">
        <v>4.99</v>
      </c>
      <c r="J11" s="135">
        <v>1.19</v>
      </c>
      <c r="K11" s="135">
        <v>163.18</v>
      </c>
      <c r="L11" s="9" t="s">
        <v>36</v>
      </c>
      <c r="M11" s="135">
        <v>97.88</v>
      </c>
      <c r="N11" s="135">
        <v>0.40</v>
      </c>
      <c r="O11" s="135">
        <v>0</v>
      </c>
      <c r="P11" s="135">
        <v>2.82</v>
      </c>
      <c r="Q11" s="135">
        <v>4.30</v>
      </c>
      <c r="R11" s="194"/>
      <c r="S11" s="194"/>
      <c r="T11" s="194"/>
      <c r="U11" s="194"/>
    </row>
    <row r="12" spans="1:21" s="12" customFormat="1" ht="15">
      <c r="A12" s="207" t="s">
        <v>1592</v>
      </c>
      <c r="B12" s="135">
        <v>5.30</v>
      </c>
      <c r="C12" s="135">
        <v>10.130000000000001</v>
      </c>
      <c r="D12" s="135">
        <v>15.44</v>
      </c>
      <c r="E12" s="135">
        <v>9.41</v>
      </c>
      <c r="F12" s="135">
        <v>0.12</v>
      </c>
      <c r="G12" s="208" t="s">
        <v>36</v>
      </c>
      <c r="H12" s="135">
        <v>3.31</v>
      </c>
      <c r="I12" s="135">
        <v>5.12</v>
      </c>
      <c r="J12" s="135">
        <v>0.66</v>
      </c>
      <c r="K12" s="135">
        <v>162.71</v>
      </c>
      <c r="L12" s="9" t="s">
        <v>36</v>
      </c>
      <c r="M12" s="135">
        <v>98.05</v>
      </c>
      <c r="N12" s="135">
        <v>0.40</v>
      </c>
      <c r="O12" s="135">
        <v>0</v>
      </c>
      <c r="P12" s="135">
        <v>2.82</v>
      </c>
      <c r="Q12" s="135">
        <v>4.1900000000000004</v>
      </c>
      <c r="R12" s="194"/>
      <c r="S12" s="194"/>
      <c r="T12" s="194"/>
      <c r="U12" s="194"/>
    </row>
    <row r="13" spans="1:21" s="12" customFormat="1" ht="15">
      <c r="A13" s="207" t="s">
        <v>1593</v>
      </c>
      <c r="B13" s="135">
        <v>5.31</v>
      </c>
      <c r="C13" s="135">
        <v>9.89</v>
      </c>
      <c r="D13" s="135">
        <v>15.21</v>
      </c>
      <c r="E13" s="135">
        <v>9.57</v>
      </c>
      <c r="F13" s="135">
        <v>0.28999999999999998</v>
      </c>
      <c r="G13" s="208" t="s">
        <v>36</v>
      </c>
      <c r="H13" s="135">
        <v>4.3099999999999996</v>
      </c>
      <c r="I13" s="135">
        <v>5.15</v>
      </c>
      <c r="J13" s="135">
        <v>1.20</v>
      </c>
      <c r="K13" s="135">
        <v>159.65</v>
      </c>
      <c r="L13" s="9" t="s">
        <v>36</v>
      </c>
      <c r="M13" s="135">
        <v>97.64</v>
      </c>
      <c r="N13" s="135">
        <v>0.40</v>
      </c>
      <c r="O13" s="135">
        <v>0</v>
      </c>
      <c r="P13" s="135">
        <v>2.81</v>
      </c>
      <c r="Q13" s="135">
        <v>4.04</v>
      </c>
      <c r="R13" s="194"/>
      <c r="S13" s="194"/>
      <c r="T13" s="194"/>
      <c r="U13" s="194"/>
    </row>
    <row r="14" spans="1:21" s="12" customFormat="1" ht="15">
      <c r="A14" s="207" t="s">
        <v>1594</v>
      </c>
      <c r="B14" s="135">
        <v>5.34</v>
      </c>
      <c r="C14" s="135">
        <v>9.73</v>
      </c>
      <c r="D14" s="135">
        <v>15.07</v>
      </c>
      <c r="E14" s="135">
        <v>9.6999999999999993</v>
      </c>
      <c r="F14" s="135">
        <v>0.37</v>
      </c>
      <c r="G14" s="208" t="s">
        <v>36</v>
      </c>
      <c r="H14" s="135">
        <v>6.75</v>
      </c>
      <c r="I14" s="135">
        <v>5.0999999999999996</v>
      </c>
      <c r="J14" s="135">
        <v>1.29</v>
      </c>
      <c r="K14" s="135">
        <v>156.15</v>
      </c>
      <c r="L14" s="9" t="s">
        <v>36</v>
      </c>
      <c r="M14" s="135">
        <v>97.48</v>
      </c>
      <c r="N14" s="135">
        <v>0.70</v>
      </c>
      <c r="O14" s="135">
        <v>0</v>
      </c>
      <c r="P14" s="135">
        <v>2.80</v>
      </c>
      <c r="Q14" s="135">
        <v>3.98</v>
      </c>
      <c r="R14" s="194"/>
      <c r="S14" s="194"/>
      <c r="T14" s="194"/>
      <c r="U14" s="194"/>
    </row>
    <row r="15" spans="1:21" s="12" customFormat="1" ht="15">
      <c r="A15" s="207" t="s">
        <v>1595</v>
      </c>
      <c r="B15" s="135">
        <v>5.28</v>
      </c>
      <c r="C15" s="135">
        <v>9.61</v>
      </c>
      <c r="D15" s="135">
        <v>14.88</v>
      </c>
      <c r="E15" s="135">
        <v>10.10</v>
      </c>
      <c r="F15" s="135">
        <v>0.23</v>
      </c>
      <c r="G15" s="208" t="s">
        <v>36</v>
      </c>
      <c r="H15" s="135">
        <v>6.75</v>
      </c>
      <c r="I15" s="135">
        <v>5.19</v>
      </c>
      <c r="J15" s="135">
        <v>1.40</v>
      </c>
      <c r="K15" s="135">
        <v>159.80000000000001</v>
      </c>
      <c r="L15" s="9" t="s">
        <v>36</v>
      </c>
      <c r="M15" s="135">
        <v>97.33</v>
      </c>
      <c r="N15" s="135">
        <v>0.70</v>
      </c>
      <c r="O15" s="135">
        <v>0</v>
      </c>
      <c r="P15" s="135">
        <v>2.78</v>
      </c>
      <c r="Q15" s="135">
        <v>4.26</v>
      </c>
      <c r="R15" s="194"/>
      <c r="S15" s="194"/>
      <c r="T15" s="194"/>
      <c r="U15" s="194"/>
    </row>
    <row r="16" spans="1:21" s="12" customFormat="1" ht="15">
      <c r="A16" s="207" t="s">
        <v>1596</v>
      </c>
      <c r="B16" s="135">
        <v>4.8899999999999997</v>
      </c>
      <c r="C16" s="135">
        <v>9.52</v>
      </c>
      <c r="D16" s="135">
        <v>14.40</v>
      </c>
      <c r="E16" s="135">
        <v>10.01</v>
      </c>
      <c r="F16" s="135">
        <v>0.32</v>
      </c>
      <c r="G16" s="208" t="s">
        <v>36</v>
      </c>
      <c r="H16" s="135">
        <v>6.75</v>
      </c>
      <c r="I16" s="135">
        <v>5.20</v>
      </c>
      <c r="J16" s="135">
        <v>1.5</v>
      </c>
      <c r="K16" s="135">
        <v>161.25</v>
      </c>
      <c r="L16" s="9" t="s">
        <v>36</v>
      </c>
      <c r="M16" s="135">
        <v>98.06</v>
      </c>
      <c r="N16" s="135">
        <v>0.80</v>
      </c>
      <c r="O16" s="135">
        <v>0</v>
      </c>
      <c r="P16" s="135">
        <v>2.77</v>
      </c>
      <c r="Q16" s="135">
        <v>4.92</v>
      </c>
      <c r="R16" s="194"/>
      <c r="S16" s="194"/>
      <c r="T16" s="194"/>
      <c r="U16" s="194"/>
    </row>
    <row r="17" spans="1:21" s="12" customFormat="1" ht="15">
      <c r="A17" s="207" t="s">
        <v>1597</v>
      </c>
      <c r="B17" s="135">
        <v>4.4000000000000004</v>
      </c>
      <c r="C17" s="135">
        <v>9.7100000000000009</v>
      </c>
      <c r="D17" s="135">
        <v>14.10</v>
      </c>
      <c r="E17" s="135">
        <v>9.41</v>
      </c>
      <c r="F17" s="135">
        <v>0.28999999999999998</v>
      </c>
      <c r="G17" s="208" t="s">
        <v>36</v>
      </c>
      <c r="H17" s="135">
        <v>6.30</v>
      </c>
      <c r="I17" s="135">
        <v>5.15</v>
      </c>
      <c r="J17" s="135">
        <v>1.28</v>
      </c>
      <c r="K17" s="135">
        <v>161.49</v>
      </c>
      <c r="L17" s="9" t="s">
        <v>36</v>
      </c>
      <c r="M17" s="135">
        <v>99.08</v>
      </c>
      <c r="N17" s="135">
        <v>0.60</v>
      </c>
      <c r="O17" s="135">
        <v>0.60</v>
      </c>
      <c r="P17" s="135">
        <v>2.76</v>
      </c>
      <c r="Q17" s="135">
        <v>5.62</v>
      </c>
      <c r="R17" s="194"/>
      <c r="S17" s="194"/>
      <c r="T17" s="194"/>
      <c r="U17" s="194"/>
    </row>
    <row r="18" spans="1:21" s="12" customFormat="1" ht="15">
      <c r="A18" s="207" t="s">
        <v>1598</v>
      </c>
      <c r="B18" s="135">
        <v>3.95</v>
      </c>
      <c r="C18" s="135">
        <v>9.7100000000000009</v>
      </c>
      <c r="D18" s="135">
        <v>13.66</v>
      </c>
      <c r="E18" s="135">
        <v>9.43</v>
      </c>
      <c r="F18" s="135">
        <v>0.31</v>
      </c>
      <c r="G18" s="208" t="s">
        <v>36</v>
      </c>
      <c r="H18" s="135">
        <v>5.18</v>
      </c>
      <c r="I18" s="135">
        <v>5.03</v>
      </c>
      <c r="J18" s="135">
        <v>1.23</v>
      </c>
      <c r="K18" s="135">
        <v>160.04</v>
      </c>
      <c r="L18" s="9" t="s">
        <v>36</v>
      </c>
      <c r="M18" s="135">
        <v>99.09</v>
      </c>
      <c r="N18" s="135">
        <v>0.5</v>
      </c>
      <c r="O18" s="135">
        <v>1.60</v>
      </c>
      <c r="P18" s="135">
        <v>2.73</v>
      </c>
      <c r="Q18" s="135">
        <v>6.07</v>
      </c>
      <c r="R18" s="194"/>
      <c r="S18" s="194"/>
      <c r="T18" s="194"/>
      <c r="U18" s="194"/>
    </row>
    <row r="19" spans="1:21" s="12" customFormat="1" ht="15">
      <c r="A19" s="207" t="s">
        <v>1599</v>
      </c>
      <c r="B19" s="135">
        <v>3.59</v>
      </c>
      <c r="C19" s="135">
        <v>9.7200000000000006</v>
      </c>
      <c r="D19" s="135">
        <v>13.31</v>
      </c>
      <c r="E19" s="135">
        <v>9.68</v>
      </c>
      <c r="F19" s="135">
        <v>0.46</v>
      </c>
      <c r="G19" s="208" t="s">
        <v>36</v>
      </c>
      <c r="H19" s="135">
        <v>5.18</v>
      </c>
      <c r="I19" s="135">
        <v>4.91</v>
      </c>
      <c r="J19" s="135">
        <v>0.84</v>
      </c>
      <c r="K19" s="135">
        <v>156.83000000000001</v>
      </c>
      <c r="L19" s="9" t="s">
        <v>36</v>
      </c>
      <c r="M19" s="135">
        <v>99.10</v>
      </c>
      <c r="N19" s="135">
        <v>0.60</v>
      </c>
      <c r="O19" s="135">
        <v>1.80</v>
      </c>
      <c r="P19" s="135">
        <v>2.72</v>
      </c>
      <c r="Q19" s="135">
        <v>6.23</v>
      </c>
      <c r="R19" s="194"/>
      <c r="S19" s="194"/>
      <c r="T19" s="194"/>
      <c r="U19" s="194"/>
    </row>
    <row r="20" spans="1:21" s="12" customFormat="1" ht="15">
      <c r="A20" s="207" t="s">
        <v>1600</v>
      </c>
      <c r="B20" s="135">
        <v>3.26</v>
      </c>
      <c r="C20" s="135">
        <v>9.8800000000000008</v>
      </c>
      <c r="D20" s="135">
        <v>13.14</v>
      </c>
      <c r="E20" s="135">
        <v>9.61</v>
      </c>
      <c r="F20" s="135">
        <v>0.25</v>
      </c>
      <c r="G20" s="208" t="s">
        <v>36</v>
      </c>
      <c r="H20" s="135">
        <v>5.18</v>
      </c>
      <c r="I20" s="135">
        <v>4.7699999999999996</v>
      </c>
      <c r="J20" s="135">
        <v>0.39</v>
      </c>
      <c r="K20" s="135">
        <v>76.209999999999994</v>
      </c>
      <c r="L20" s="9" t="s">
        <v>36</v>
      </c>
      <c r="M20" s="135">
        <v>99.10</v>
      </c>
      <c r="N20" s="135">
        <v>0.40</v>
      </c>
      <c r="O20" s="135">
        <v>0.20</v>
      </c>
      <c r="P20" s="135">
        <v>2.72</v>
      </c>
      <c r="Q20" s="135">
        <v>6.37</v>
      </c>
      <c r="R20" s="194"/>
      <c r="S20" s="194"/>
      <c r="T20" s="194"/>
      <c r="U20" s="194"/>
    </row>
    <row r="21" spans="1:21" s="12" customFormat="1" ht="15">
      <c r="A21" s="207" t="s">
        <v>1601</v>
      </c>
      <c r="B21" s="135">
        <v>3.02</v>
      </c>
      <c r="C21" s="135">
        <v>10.029999999999999</v>
      </c>
      <c r="D21" s="135">
        <v>13.05</v>
      </c>
      <c r="E21" s="135">
        <v>9.26</v>
      </c>
      <c r="F21" s="135">
        <v>0.28000000000000003</v>
      </c>
      <c r="G21" s="208" t="s">
        <v>36</v>
      </c>
      <c r="H21" s="135">
        <v>5.05</v>
      </c>
      <c r="I21" s="135">
        <v>4.68</v>
      </c>
      <c r="J21" s="135">
        <v>0.13</v>
      </c>
      <c r="K21" s="135">
        <v>36.770000000000003</v>
      </c>
      <c r="L21" s="9" t="s">
        <v>36</v>
      </c>
      <c r="M21" s="135">
        <v>99.10</v>
      </c>
      <c r="N21" s="135">
        <v>0.20</v>
      </c>
      <c r="O21" s="135">
        <v>0</v>
      </c>
      <c r="P21" s="135">
        <v>2.70</v>
      </c>
      <c r="Q21" s="135">
        <v>6.40</v>
      </c>
      <c r="R21" s="194"/>
      <c r="S21" s="194"/>
      <c r="T21" s="194"/>
      <c r="U21" s="194"/>
    </row>
    <row r="22" spans="1:21" s="12" customFormat="1" ht="15">
      <c r="A22" s="207" t="s">
        <v>1602</v>
      </c>
      <c r="B22" s="135">
        <v>2.88</v>
      </c>
      <c r="C22" s="135">
        <v>10.31</v>
      </c>
      <c r="D22" s="135">
        <v>13.18</v>
      </c>
      <c r="E22" s="135">
        <v>9.2200000000000006</v>
      </c>
      <c r="F22" s="135">
        <v>0.47</v>
      </c>
      <c r="G22" s="208" t="s">
        <v>36</v>
      </c>
      <c r="H22" s="135">
        <v>4.72</v>
      </c>
      <c r="I22" s="135">
        <v>4.58</v>
      </c>
      <c r="J22" s="135">
        <v>0.56000000000000005</v>
      </c>
      <c r="K22" s="135">
        <v>93.55</v>
      </c>
      <c r="L22" s="9" t="s">
        <v>36</v>
      </c>
      <c r="M22" s="135">
        <v>99.07</v>
      </c>
      <c r="N22" s="135">
        <v>0.10</v>
      </c>
      <c r="O22" s="135">
        <v>0</v>
      </c>
      <c r="P22" s="135">
        <v>2.69</v>
      </c>
      <c r="Q22" s="135">
        <v>5.67</v>
      </c>
      <c r="R22" s="194"/>
      <c r="S22" s="194"/>
      <c r="T22" s="194"/>
      <c r="U22" s="194"/>
    </row>
    <row r="23" spans="1:21" s="12" customFormat="1" ht="15">
      <c r="A23" s="207" t="s">
        <v>1603</v>
      </c>
      <c r="B23" s="135">
        <v>2.98</v>
      </c>
      <c r="C23" s="135">
        <v>9.8699999999999992</v>
      </c>
      <c r="D23" s="135">
        <v>12.85</v>
      </c>
      <c r="E23" s="135">
        <v>9.39</v>
      </c>
      <c r="F23" s="135">
        <v>0.53</v>
      </c>
      <c r="G23" s="208" t="s">
        <v>36</v>
      </c>
      <c r="H23" s="135">
        <v>4.72</v>
      </c>
      <c r="I23" s="135">
        <v>4.43</v>
      </c>
      <c r="J23" s="135">
        <v>0.90</v>
      </c>
      <c r="K23" s="135">
        <v>90.01</v>
      </c>
      <c r="L23" s="9" t="s">
        <v>36</v>
      </c>
      <c r="M23" s="135">
        <v>98.72</v>
      </c>
      <c r="N23" s="135">
        <v>0.20</v>
      </c>
      <c r="O23" s="135">
        <v>0</v>
      </c>
      <c r="P23" s="135">
        <v>2.69</v>
      </c>
      <c r="Q23" s="135">
        <v>4.68</v>
      </c>
      <c r="R23" s="194"/>
      <c r="S23" s="194"/>
      <c r="T23" s="194"/>
      <c r="U23" s="194"/>
    </row>
    <row r="24" spans="1:21" s="12" customFormat="1" ht="15">
      <c r="A24" s="207" t="s">
        <v>1604</v>
      </c>
      <c r="B24" s="135">
        <v>3.17</v>
      </c>
      <c r="C24" s="135">
        <v>9.4600000000000009</v>
      </c>
      <c r="D24" s="135">
        <v>12.64</v>
      </c>
      <c r="E24" s="135">
        <v>4.45</v>
      </c>
      <c r="F24" s="135">
        <v>0.15</v>
      </c>
      <c r="G24" s="208" t="s">
        <v>36</v>
      </c>
      <c r="H24" s="135">
        <v>4.72</v>
      </c>
      <c r="I24" s="135">
        <v>3.94</v>
      </c>
      <c r="J24" s="135">
        <v>0.61</v>
      </c>
      <c r="K24" s="135">
        <v>88.46</v>
      </c>
      <c r="L24" s="9" t="s">
        <v>36</v>
      </c>
      <c r="M24" s="135">
        <v>99.06</v>
      </c>
      <c r="N24" s="135">
        <v>0.30</v>
      </c>
      <c r="O24" s="135">
        <v>0</v>
      </c>
      <c r="P24" s="135">
        <v>2.69</v>
      </c>
      <c r="Q24" s="135">
        <v>4.0599999999999996</v>
      </c>
      <c r="R24" s="194"/>
      <c r="S24" s="194"/>
      <c r="T24" s="194"/>
      <c r="U24" s="194"/>
    </row>
    <row r="25" spans="1:21" s="12" customFormat="1" ht="15">
      <c r="A25" s="207" t="s">
        <v>1605</v>
      </c>
      <c r="B25" s="135">
        <v>3.40</v>
      </c>
      <c r="C25" s="135">
        <v>9.1199999999999992</v>
      </c>
      <c r="D25" s="135">
        <v>12.52</v>
      </c>
      <c r="E25" s="135">
        <v>8.83</v>
      </c>
      <c r="F25" s="135">
        <v>0.15</v>
      </c>
      <c r="G25" s="208" t="s">
        <v>36</v>
      </c>
      <c r="H25" s="135">
        <v>4.32</v>
      </c>
      <c r="I25" s="135">
        <v>4.29</v>
      </c>
      <c r="J25" s="135">
        <v>0.67</v>
      </c>
      <c r="K25" s="135">
        <v>97.21</v>
      </c>
      <c r="L25" s="9" t="s">
        <v>36</v>
      </c>
      <c r="M25" s="135">
        <v>98.86</v>
      </c>
      <c r="N25" s="135">
        <v>0.30</v>
      </c>
      <c r="O25" s="135">
        <v>0</v>
      </c>
      <c r="P25" s="135">
        <v>2.67</v>
      </c>
      <c r="Q25" s="135">
        <v>3.72</v>
      </c>
      <c r="R25" s="194"/>
      <c r="S25" s="194"/>
      <c r="T25" s="194"/>
      <c r="U25" s="194"/>
    </row>
    <row r="26" spans="1:21" s="12" customFormat="1" ht="15">
      <c r="A26" s="207" t="s">
        <v>1606</v>
      </c>
      <c r="B26" s="135">
        <v>3.64</v>
      </c>
      <c r="C26" s="135">
        <v>9.02</v>
      </c>
      <c r="D26" s="135">
        <v>12.67</v>
      </c>
      <c r="E26" s="135">
        <v>9.27</v>
      </c>
      <c r="F26" s="135">
        <v>0.43</v>
      </c>
      <c r="G26" s="208" t="s">
        <v>36</v>
      </c>
      <c r="H26" s="135">
        <v>3.30</v>
      </c>
      <c r="I26" s="135">
        <v>4.3499999999999996</v>
      </c>
      <c r="J26" s="135">
        <v>0.46</v>
      </c>
      <c r="K26" s="135">
        <v>111.35</v>
      </c>
      <c r="L26" s="9" t="s">
        <v>36</v>
      </c>
      <c r="M26" s="135">
        <v>98.67</v>
      </c>
      <c r="N26" s="135">
        <v>0.40</v>
      </c>
      <c r="O26" s="135">
        <v>0</v>
      </c>
      <c r="P26" s="135">
        <v>2.69</v>
      </c>
      <c r="Q26" s="135">
        <v>3.68</v>
      </c>
      <c r="R26" s="194"/>
      <c r="S26" s="194"/>
      <c r="T26" s="194"/>
      <c r="U26" s="194"/>
    </row>
    <row r="27" spans="1:21" s="12" customFormat="1" ht="15">
      <c r="A27" s="207" t="s">
        <v>1607</v>
      </c>
      <c r="B27" s="135">
        <v>3.89</v>
      </c>
      <c r="C27" s="135">
        <v>8.84</v>
      </c>
      <c r="D27" s="135">
        <v>12.73</v>
      </c>
      <c r="E27" s="135">
        <v>9.3699999999999992</v>
      </c>
      <c r="F27" s="208" t="s">
        <v>36</v>
      </c>
      <c r="G27" s="208" t="s">
        <v>36</v>
      </c>
      <c r="H27" s="135">
        <v>3.30</v>
      </c>
      <c r="I27" s="135">
        <v>4.22</v>
      </c>
      <c r="J27" s="135">
        <v>0.47</v>
      </c>
      <c r="K27" s="135">
        <v>79.97</v>
      </c>
      <c r="L27" s="9" t="s">
        <v>36</v>
      </c>
      <c r="M27" s="135">
        <v>99.06</v>
      </c>
      <c r="N27" s="135">
        <v>0.5</v>
      </c>
      <c r="O27" s="135">
        <v>0</v>
      </c>
      <c r="P27" s="135">
        <v>2.68</v>
      </c>
      <c r="Q27" s="135">
        <v>3.62</v>
      </c>
      <c r="R27" s="194"/>
      <c r="S27" s="194"/>
      <c r="T27" s="194"/>
      <c r="U27" s="194"/>
    </row>
    <row r="28" spans="1:21" s="12" customFormat="1" ht="15">
      <c r="A28" s="207" t="s">
        <v>1608</v>
      </c>
      <c r="B28" s="135">
        <v>4.13</v>
      </c>
      <c r="C28" s="135">
        <v>8.75</v>
      </c>
      <c r="D28" s="135">
        <v>12.88</v>
      </c>
      <c r="E28" s="135">
        <v>9.08</v>
      </c>
      <c r="F28" s="135">
        <v>0.01</v>
      </c>
      <c r="G28" s="208" t="s">
        <v>36</v>
      </c>
      <c r="H28" s="135">
        <v>3.30</v>
      </c>
      <c r="I28" s="135">
        <v>4.34</v>
      </c>
      <c r="J28" s="135">
        <v>0.91</v>
      </c>
      <c r="K28" s="135">
        <v>86.87</v>
      </c>
      <c r="L28" s="9" t="s">
        <v>36</v>
      </c>
      <c r="M28" s="135">
        <v>98.68</v>
      </c>
      <c r="N28" s="135">
        <v>0.70</v>
      </c>
      <c r="O28" s="135">
        <v>0</v>
      </c>
      <c r="P28" s="135">
        <v>2.68</v>
      </c>
      <c r="Q28" s="135">
        <v>3.60</v>
      </c>
      <c r="R28" s="194"/>
      <c r="S28" s="194"/>
      <c r="T28" s="194"/>
      <c r="U28" s="194"/>
    </row>
    <row r="29" spans="1:21" s="12" customFormat="1" ht="15">
      <c r="A29" s="207" t="s">
        <v>1609</v>
      </c>
      <c r="B29" s="135">
        <v>4.3899999999999997</v>
      </c>
      <c r="C29" s="135">
        <v>8.7100000000000009</v>
      </c>
      <c r="D29" s="135">
        <v>13.10</v>
      </c>
      <c r="E29" s="135">
        <v>9.4499999999999993</v>
      </c>
      <c r="F29" s="135">
        <v>0.04</v>
      </c>
      <c r="G29" s="208" t="s">
        <v>36</v>
      </c>
      <c r="H29" s="135">
        <v>3.13</v>
      </c>
      <c r="I29" s="135">
        <v>4.30</v>
      </c>
      <c r="J29" s="135">
        <v>1.02</v>
      </c>
      <c r="K29" s="135">
        <v>95.11</v>
      </c>
      <c r="L29" s="9" t="s">
        <v>36</v>
      </c>
      <c r="M29" s="135">
        <v>98.74</v>
      </c>
      <c r="N29" s="135">
        <v>0.70</v>
      </c>
      <c r="O29" s="135">
        <v>0</v>
      </c>
      <c r="P29" s="135">
        <v>2.67</v>
      </c>
      <c r="Q29" s="135">
        <v>3.68</v>
      </c>
      <c r="R29" s="194"/>
      <c r="S29" s="194"/>
      <c r="T29" s="194"/>
      <c r="U29" s="194"/>
    </row>
    <row r="30" spans="1:21" s="12" customFormat="1" ht="15">
      <c r="A30" s="207" t="s">
        <v>1610</v>
      </c>
      <c r="B30" s="135">
        <v>4.54</v>
      </c>
      <c r="C30" s="135">
        <v>9.0500000000000007</v>
      </c>
      <c r="D30" s="135">
        <v>13.59</v>
      </c>
      <c r="E30" s="135">
        <v>9.6300000000000008</v>
      </c>
      <c r="F30" s="135">
        <v>1.57</v>
      </c>
      <c r="G30" s="208" t="s">
        <v>36</v>
      </c>
      <c r="H30" s="135">
        <v>2.70</v>
      </c>
      <c r="I30" s="135">
        <v>4.5599999999999996</v>
      </c>
      <c r="J30" s="135">
        <v>1.0900000000000001</v>
      </c>
      <c r="K30" s="135">
        <v>90.07</v>
      </c>
      <c r="L30" s="9" t="s">
        <v>36</v>
      </c>
      <c r="M30" s="135">
        <v>98.96</v>
      </c>
      <c r="N30" s="135">
        <v>1.1000000000000001</v>
      </c>
      <c r="O30" s="135">
        <v>0</v>
      </c>
      <c r="P30" s="135">
        <v>2.68</v>
      </c>
      <c r="Q30" s="135">
        <v>4.33</v>
      </c>
      <c r="R30" s="194"/>
      <c r="S30" s="194"/>
      <c r="T30" s="194"/>
      <c r="U30" s="194"/>
    </row>
    <row r="31" spans="1:21" s="12" customFormat="1" ht="15">
      <c r="A31" s="207" t="s">
        <v>1611</v>
      </c>
      <c r="B31" s="135">
        <v>4.58</v>
      </c>
      <c r="C31" s="135">
        <v>9.33</v>
      </c>
      <c r="D31" s="135">
        <v>13.92</v>
      </c>
      <c r="E31" s="135">
        <v>9.98</v>
      </c>
      <c r="F31" s="135">
        <v>0.070000000000000007</v>
      </c>
      <c r="G31" s="208" t="s">
        <v>36</v>
      </c>
      <c r="H31" s="135">
        <v>2.70</v>
      </c>
      <c r="I31" s="135">
        <v>4.7300000000000004</v>
      </c>
      <c r="J31" s="135">
        <v>0.35</v>
      </c>
      <c r="K31" s="135">
        <v>114.16</v>
      </c>
      <c r="L31" s="9" t="s">
        <v>36</v>
      </c>
      <c r="M31" s="135">
        <v>99.08</v>
      </c>
      <c r="N31" s="135">
        <v>3.40</v>
      </c>
      <c r="O31" s="135">
        <v>0</v>
      </c>
      <c r="P31" s="135">
        <v>2.67</v>
      </c>
      <c r="Q31" s="135">
        <v>5.30</v>
      </c>
      <c r="R31" s="194"/>
      <c r="S31" s="194"/>
      <c r="T31" s="194"/>
      <c r="U31" s="194"/>
    </row>
    <row r="32" spans="1:21" s="12" customFormat="1" ht="15">
      <c r="A32" s="207" t="s">
        <v>1612</v>
      </c>
      <c r="B32" s="135">
        <v>4.83</v>
      </c>
      <c r="C32" s="135">
        <v>9.65</v>
      </c>
      <c r="D32" s="135">
        <v>14.47</v>
      </c>
      <c r="E32" s="135">
        <v>9.52</v>
      </c>
      <c r="F32" s="135">
        <v>0.51</v>
      </c>
      <c r="G32" s="208" t="s">
        <v>36</v>
      </c>
      <c r="H32" s="135">
        <v>2.70</v>
      </c>
      <c r="I32" s="135">
        <v>4.80</v>
      </c>
      <c r="J32" s="135">
        <v>0.23</v>
      </c>
      <c r="K32" s="135">
        <v>164.95</v>
      </c>
      <c r="L32" s="9" t="s">
        <v>36</v>
      </c>
      <c r="M32" s="135">
        <v>99.08</v>
      </c>
      <c r="N32" s="135">
        <v>13.5</v>
      </c>
      <c r="O32" s="135">
        <v>0</v>
      </c>
      <c r="P32" s="135">
        <v>2.67</v>
      </c>
      <c r="Q32" s="135">
        <v>6.30</v>
      </c>
      <c r="R32" s="194"/>
      <c r="S32" s="194"/>
      <c r="T32" s="194"/>
      <c r="U32" s="194"/>
    </row>
    <row r="33" spans="1:21" s="12" customFormat="1" ht="15">
      <c r="A33" s="207" t="s">
        <v>1613</v>
      </c>
      <c r="B33" s="135">
        <v>5.1100000000000003</v>
      </c>
      <c r="C33" s="135">
        <v>9.98</v>
      </c>
      <c r="D33" s="135">
        <v>15.09</v>
      </c>
      <c r="E33" s="135">
        <v>9.35</v>
      </c>
      <c r="F33" s="135">
        <v>0.01</v>
      </c>
      <c r="G33" s="208" t="s">
        <v>36</v>
      </c>
      <c r="H33" s="135">
        <v>2.65</v>
      </c>
      <c r="I33" s="135">
        <v>4.82</v>
      </c>
      <c r="J33" s="135">
        <v>0.74</v>
      </c>
      <c r="K33" s="135">
        <v>157.04</v>
      </c>
      <c r="L33" s="9" t="s">
        <v>36</v>
      </c>
      <c r="M33" s="135">
        <v>98.98</v>
      </c>
      <c r="N33" s="135">
        <v>18.399999999999999</v>
      </c>
      <c r="O33" s="135">
        <v>0</v>
      </c>
      <c r="P33" s="135">
        <v>2.67</v>
      </c>
      <c r="Q33" s="135">
        <v>6.90</v>
      </c>
      <c r="R33" s="194"/>
      <c r="S33" s="194"/>
      <c r="T33" s="194"/>
      <c r="U33" s="194"/>
    </row>
    <row r="34" spans="1:21" s="12" customFormat="1" ht="15">
      <c r="A34" s="207" t="s">
        <v>1614</v>
      </c>
      <c r="B34" s="135">
        <v>5.32</v>
      </c>
      <c r="C34" s="135">
        <v>10.24</v>
      </c>
      <c r="D34" s="135">
        <v>15.56</v>
      </c>
      <c r="E34" s="135">
        <v>8.9600000000000009</v>
      </c>
      <c r="F34" s="135">
        <v>0.03</v>
      </c>
      <c r="G34" s="208" t="s">
        <v>36</v>
      </c>
      <c r="H34" s="135">
        <v>2.5099999999999998</v>
      </c>
      <c r="I34" s="135">
        <v>4.8099999999999996</v>
      </c>
      <c r="J34" s="135">
        <v>0.89</v>
      </c>
      <c r="K34" s="135">
        <v>165.69</v>
      </c>
      <c r="L34" s="9" t="s">
        <v>36</v>
      </c>
      <c r="M34" s="135">
        <v>98.52</v>
      </c>
      <c r="N34" s="135">
        <v>46.90</v>
      </c>
      <c r="O34" s="135">
        <v>0</v>
      </c>
      <c r="P34" s="135">
        <v>2.67</v>
      </c>
      <c r="Q34" s="135">
        <v>7.14</v>
      </c>
      <c r="R34" s="194"/>
      <c r="S34" s="194"/>
      <c r="T34" s="194"/>
      <c r="U34" s="194"/>
    </row>
    <row r="35" spans="1:21" s="12" customFormat="1" ht="15">
      <c r="A35" s="207" t="s">
        <v>1615</v>
      </c>
      <c r="B35" s="135">
        <v>5.29</v>
      </c>
      <c r="C35" s="135">
        <v>10.33</v>
      </c>
      <c r="D35" s="135">
        <v>15.62</v>
      </c>
      <c r="E35" s="135">
        <v>8.75</v>
      </c>
      <c r="F35" s="135">
        <v>0.10</v>
      </c>
      <c r="G35" s="208" t="s">
        <v>36</v>
      </c>
      <c r="H35" s="135">
        <v>2.5099999999999998</v>
      </c>
      <c r="I35" s="135">
        <v>4.7699999999999996</v>
      </c>
      <c r="J35" s="135">
        <v>0.71</v>
      </c>
      <c r="K35" s="135">
        <v>172.61</v>
      </c>
      <c r="L35" s="9" t="s">
        <v>36</v>
      </c>
      <c r="M35" s="135">
        <v>98.74</v>
      </c>
      <c r="N35" s="135">
        <v>70</v>
      </c>
      <c r="O35" s="135">
        <v>0</v>
      </c>
      <c r="P35" s="135">
        <v>2.66</v>
      </c>
      <c r="Q35" s="135">
        <v>7.19</v>
      </c>
      <c r="R35" s="194"/>
      <c r="S35" s="194"/>
      <c r="T35" s="194"/>
      <c r="U35" s="194"/>
    </row>
    <row r="36" spans="1:21" s="12" customFormat="1" ht="15">
      <c r="A36" s="207" t="s">
        <v>1616</v>
      </c>
      <c r="B36" s="135">
        <v>5.17</v>
      </c>
      <c r="C36" s="135">
        <v>10.58</v>
      </c>
      <c r="D36" s="135">
        <v>15.75</v>
      </c>
      <c r="E36" s="135">
        <v>8.42</v>
      </c>
      <c r="F36" s="135">
        <v>1.1100000000000001</v>
      </c>
      <c r="G36" s="208" t="s">
        <v>36</v>
      </c>
      <c r="H36" s="135">
        <v>2.5099999999999998</v>
      </c>
      <c r="I36" s="135">
        <v>4.74</v>
      </c>
      <c r="J36" s="135">
        <v>0.26</v>
      </c>
      <c r="K36" s="135">
        <v>92.5</v>
      </c>
      <c r="L36" s="9" t="s">
        <v>36</v>
      </c>
      <c r="M36" s="135">
        <v>97.76</v>
      </c>
      <c r="N36" s="135">
        <v>155.80000000000001</v>
      </c>
      <c r="O36" s="135">
        <v>0</v>
      </c>
      <c r="P36" s="135">
        <v>2.67</v>
      </c>
      <c r="Q36" s="135">
        <v>7.12</v>
      </c>
      <c r="R36" s="194"/>
      <c r="S36" s="194"/>
      <c r="T36" s="194"/>
      <c r="U36" s="194"/>
    </row>
    <row r="37" spans="1:21" s="12" customFormat="1" ht="15">
      <c r="A37" s="207" t="s">
        <v>1617</v>
      </c>
      <c r="B37" s="135">
        <v>5.23</v>
      </c>
      <c r="C37" s="135">
        <v>10.39</v>
      </c>
      <c r="D37" s="135">
        <v>15.62</v>
      </c>
      <c r="E37" s="135">
        <v>8.61</v>
      </c>
      <c r="F37" s="135">
        <v>0.14000000000000001</v>
      </c>
      <c r="G37" s="208" t="s">
        <v>36</v>
      </c>
      <c r="H37" s="135">
        <v>3.29</v>
      </c>
      <c r="I37" s="135">
        <v>4.6100000000000003</v>
      </c>
      <c r="J37" s="135">
        <v>0.37</v>
      </c>
      <c r="K37" s="135">
        <v>111.78</v>
      </c>
      <c r="L37" s="9" t="s">
        <v>36</v>
      </c>
      <c r="M37" s="135">
        <v>94.42</v>
      </c>
      <c r="N37" s="135">
        <v>174.30</v>
      </c>
      <c r="O37" s="135">
        <v>0</v>
      </c>
      <c r="P37" s="135">
        <v>2.66</v>
      </c>
      <c r="Q37" s="135">
        <v>6.19</v>
      </c>
      <c r="R37" s="194"/>
      <c r="S37" s="194"/>
      <c r="T37" s="194"/>
      <c r="U37" s="194"/>
    </row>
    <row r="38" spans="1:21" s="12" customFormat="1" ht="15">
      <c r="A38" s="207" t="s">
        <v>1618</v>
      </c>
      <c r="B38" s="135">
        <v>5.5</v>
      </c>
      <c r="C38" s="135">
        <v>10.050000000000001</v>
      </c>
      <c r="D38" s="135">
        <v>15.55</v>
      </c>
      <c r="E38" s="135">
        <v>9.01</v>
      </c>
      <c r="F38" s="135">
        <v>0.01</v>
      </c>
      <c r="G38" s="208" t="s">
        <v>36</v>
      </c>
      <c r="H38" s="135">
        <v>5.22</v>
      </c>
      <c r="I38" s="135">
        <v>4.3899999999999997</v>
      </c>
      <c r="J38" s="135">
        <v>0.98</v>
      </c>
      <c r="K38" s="135">
        <v>158.44</v>
      </c>
      <c r="L38" s="9" t="s">
        <v>36</v>
      </c>
      <c r="M38" s="135">
        <v>92.68</v>
      </c>
      <c r="N38" s="135">
        <v>153.5</v>
      </c>
      <c r="O38" s="135">
        <v>0</v>
      </c>
      <c r="P38" s="135">
        <v>2.66</v>
      </c>
      <c r="Q38" s="135">
        <v>5.38</v>
      </c>
      <c r="R38" s="194"/>
      <c r="S38" s="194"/>
      <c r="T38" s="194"/>
      <c r="U38" s="194"/>
    </row>
    <row r="39" spans="1:21" s="12" customFormat="1" ht="15">
      <c r="A39" s="207" t="s">
        <v>1619</v>
      </c>
      <c r="B39" s="135">
        <v>5.82</v>
      </c>
      <c r="C39" s="135">
        <v>9.94</v>
      </c>
      <c r="D39" s="135">
        <v>15.76</v>
      </c>
      <c r="E39" s="135">
        <v>9</v>
      </c>
      <c r="F39" s="135">
        <v>0.13</v>
      </c>
      <c r="G39" s="208" t="s">
        <v>36</v>
      </c>
      <c r="H39" s="135">
        <v>5.22</v>
      </c>
      <c r="I39" s="135">
        <v>4.25</v>
      </c>
      <c r="J39" s="135">
        <v>0.91</v>
      </c>
      <c r="K39" s="135">
        <v>169.35</v>
      </c>
      <c r="L39" s="9" t="s">
        <v>36</v>
      </c>
      <c r="M39" s="135">
        <v>93.16</v>
      </c>
      <c r="N39" s="135">
        <v>186.40</v>
      </c>
      <c r="O39" s="135">
        <v>0</v>
      </c>
      <c r="P39" s="135">
        <v>2.66</v>
      </c>
      <c r="Q39" s="135">
        <v>4.88</v>
      </c>
      <c r="R39" s="194"/>
      <c r="S39" s="194"/>
      <c r="T39" s="194"/>
      <c r="U39" s="194"/>
    </row>
    <row r="40" spans="1:21" s="12" customFormat="1" ht="15">
      <c r="A40" s="207" t="s">
        <v>1620</v>
      </c>
      <c r="B40" s="135">
        <v>6</v>
      </c>
      <c r="C40" s="135">
        <v>10.039999999999999</v>
      </c>
      <c r="D40" s="135">
        <v>16.04</v>
      </c>
      <c r="E40" s="135">
        <v>4.38</v>
      </c>
      <c r="F40" s="135">
        <v>0.18</v>
      </c>
      <c r="G40" s="208" t="s">
        <v>36</v>
      </c>
      <c r="H40" s="135">
        <v>5.22</v>
      </c>
      <c r="I40" s="135">
        <v>4.6399999999999997</v>
      </c>
      <c r="J40" s="135">
        <v>1.05</v>
      </c>
      <c r="K40" s="135">
        <v>160.94999999999999</v>
      </c>
      <c r="L40" s="9" t="s">
        <v>36</v>
      </c>
      <c r="M40" s="135">
        <v>92.71</v>
      </c>
      <c r="N40" s="135">
        <v>220.40</v>
      </c>
      <c r="O40" s="135">
        <v>0</v>
      </c>
      <c r="P40" s="135">
        <v>2.66</v>
      </c>
      <c r="Q40" s="135">
        <v>4.5999999999999996</v>
      </c>
      <c r="R40" s="194"/>
      <c r="S40" s="194"/>
      <c r="T40" s="194"/>
      <c r="U40" s="194"/>
    </row>
    <row r="41" spans="1:21" s="12" customFormat="1" ht="15">
      <c r="A41" s="207" t="s">
        <v>1621</v>
      </c>
      <c r="B41" s="135">
        <v>6.22</v>
      </c>
      <c r="C41" s="135">
        <v>10.06</v>
      </c>
      <c r="D41" s="135">
        <v>16.28</v>
      </c>
      <c r="E41" s="135">
        <v>8.61</v>
      </c>
      <c r="F41" s="135">
        <v>0.22</v>
      </c>
      <c r="G41" s="208" t="s">
        <v>36</v>
      </c>
      <c r="H41" s="135">
        <v>4.75</v>
      </c>
      <c r="I41" s="135">
        <v>4.70</v>
      </c>
      <c r="J41" s="135">
        <v>0.80</v>
      </c>
      <c r="K41" s="135">
        <v>169.01</v>
      </c>
      <c r="L41" s="9" t="s">
        <v>36</v>
      </c>
      <c r="M41" s="135">
        <v>91.03</v>
      </c>
      <c r="N41" s="135">
        <v>228.5</v>
      </c>
      <c r="O41" s="135">
        <v>0</v>
      </c>
      <c r="P41" s="135">
        <v>2.66</v>
      </c>
      <c r="Q41" s="135">
        <v>4.57</v>
      </c>
      <c r="R41" s="194"/>
      <c r="S41" s="194"/>
      <c r="T41" s="194"/>
      <c r="U41" s="194"/>
    </row>
    <row r="42" spans="1:21" s="12" customFormat="1" ht="15">
      <c r="A42" s="207" t="s">
        <v>1622</v>
      </c>
      <c r="B42" s="135">
        <v>6.36</v>
      </c>
      <c r="C42" s="135">
        <v>10.10</v>
      </c>
      <c r="D42" s="135">
        <v>16.45</v>
      </c>
      <c r="E42" s="135">
        <v>9.3000000000000007</v>
      </c>
      <c r="F42" s="135">
        <v>0.34</v>
      </c>
      <c r="G42" s="208" t="s">
        <v>36</v>
      </c>
      <c r="H42" s="135">
        <v>3.60</v>
      </c>
      <c r="I42" s="135">
        <v>4.70</v>
      </c>
      <c r="J42" s="135">
        <v>1</v>
      </c>
      <c r="K42" s="135">
        <v>168.12</v>
      </c>
      <c r="L42" s="9" t="s">
        <v>36</v>
      </c>
      <c r="M42" s="135">
        <v>89.05</v>
      </c>
      <c r="N42" s="135">
        <v>366.70</v>
      </c>
      <c r="O42" s="135">
        <v>0</v>
      </c>
      <c r="P42" s="135">
        <v>2.66</v>
      </c>
      <c r="Q42" s="135">
        <v>4.53</v>
      </c>
      <c r="R42" s="194"/>
      <c r="S42" s="194"/>
      <c r="T42" s="194"/>
      <c r="U42" s="194"/>
    </row>
    <row r="43" spans="1:21" s="12" customFormat="1" ht="15">
      <c r="A43" s="207" t="s">
        <v>1623</v>
      </c>
      <c r="B43" s="135">
        <v>6.34</v>
      </c>
      <c r="C43" s="135">
        <v>10.039999999999999</v>
      </c>
      <c r="D43" s="135">
        <v>16.38</v>
      </c>
      <c r="E43" s="135">
        <v>9.7799999999999994</v>
      </c>
      <c r="F43" s="135">
        <v>0.26</v>
      </c>
      <c r="G43" s="208" t="s">
        <v>36</v>
      </c>
      <c r="H43" s="135">
        <v>3.60</v>
      </c>
      <c r="I43" s="135">
        <v>4.63</v>
      </c>
      <c r="J43" s="135">
        <v>1.26</v>
      </c>
      <c r="K43" s="135">
        <v>158.61000000000001</v>
      </c>
      <c r="L43" s="9" t="s">
        <v>36</v>
      </c>
      <c r="M43" s="135">
        <v>85.71</v>
      </c>
      <c r="N43" s="135">
        <v>449.80</v>
      </c>
      <c r="O43" s="135">
        <v>0</v>
      </c>
      <c r="P43" s="135">
        <v>2.66</v>
      </c>
      <c r="Q43" s="135">
        <v>4.4400000000000004</v>
      </c>
      <c r="R43" s="194"/>
      <c r="S43" s="194"/>
      <c r="T43" s="194"/>
      <c r="U43" s="194"/>
    </row>
    <row r="44" spans="1:21" s="12" customFormat="1" ht="15">
      <c r="A44" s="207" t="s">
        <v>1624</v>
      </c>
      <c r="B44" s="135">
        <v>6.23</v>
      </c>
      <c r="C44" s="135">
        <v>10.45</v>
      </c>
      <c r="D44" s="135">
        <v>16.68</v>
      </c>
      <c r="E44" s="135">
        <v>9.67</v>
      </c>
      <c r="F44" s="135">
        <v>0.05</v>
      </c>
      <c r="G44" s="208" t="s">
        <v>36</v>
      </c>
      <c r="H44" s="135">
        <v>3.60</v>
      </c>
      <c r="I44" s="135">
        <v>4.72</v>
      </c>
      <c r="J44" s="135">
        <v>1.34</v>
      </c>
      <c r="K44" s="135">
        <v>157.44</v>
      </c>
      <c r="L44" s="9" t="s">
        <v>36</v>
      </c>
      <c r="M44" s="135">
        <v>84.60</v>
      </c>
      <c r="N44" s="135">
        <v>326.39999999999998</v>
      </c>
      <c r="O44" s="135">
        <v>0</v>
      </c>
      <c r="P44" s="135">
        <v>2.66</v>
      </c>
      <c r="Q44" s="135">
        <v>4.79</v>
      </c>
      <c r="R44" s="194"/>
      <c r="S44" s="194"/>
      <c r="T44" s="194"/>
      <c r="U44" s="194"/>
    </row>
    <row r="45" spans="1:21" s="12" customFormat="1" ht="15">
      <c r="A45" s="207" t="s">
        <v>1625</v>
      </c>
      <c r="B45" s="135">
        <v>5.88</v>
      </c>
      <c r="C45" s="135">
        <v>10.51</v>
      </c>
      <c r="D45" s="135">
        <v>16.39</v>
      </c>
      <c r="E45" s="135">
        <v>9.2799999999999994</v>
      </c>
      <c r="F45" s="135">
        <v>0.22</v>
      </c>
      <c r="G45" s="208" t="s">
        <v>36</v>
      </c>
      <c r="H45" s="135">
        <v>4.2300000000000004</v>
      </c>
      <c r="I45" s="135">
        <v>4.67</v>
      </c>
      <c r="J45" s="135">
        <v>1.69</v>
      </c>
      <c r="K45" s="135">
        <v>155.51</v>
      </c>
      <c r="L45" s="9" t="s">
        <v>36</v>
      </c>
      <c r="M45" s="135">
        <v>83.45</v>
      </c>
      <c r="N45" s="135">
        <v>243.60</v>
      </c>
      <c r="O45" s="135">
        <v>0</v>
      </c>
      <c r="P45" s="135">
        <v>2.65</v>
      </c>
      <c r="Q45" s="135">
        <v>5.59</v>
      </c>
      <c r="R45" s="194"/>
      <c r="S45" s="194"/>
      <c r="T45" s="194"/>
      <c r="U45" s="194"/>
    </row>
    <row r="46" spans="1:21" s="12" customFormat="1" ht="15">
      <c r="A46" s="207" t="s">
        <v>1626</v>
      </c>
      <c r="B46" s="135">
        <v>5.43</v>
      </c>
      <c r="C46" s="135">
        <v>10.86</v>
      </c>
      <c r="D46" s="135">
        <v>16.29</v>
      </c>
      <c r="E46" s="135">
        <v>9.4499999999999993</v>
      </c>
      <c r="F46" s="135">
        <v>0.40</v>
      </c>
      <c r="G46" s="208" t="s">
        <v>36</v>
      </c>
      <c r="H46" s="135">
        <v>5.79</v>
      </c>
      <c r="I46" s="135">
        <v>4.67</v>
      </c>
      <c r="J46" s="135">
        <v>0.98</v>
      </c>
      <c r="K46" s="135">
        <v>166.58</v>
      </c>
      <c r="L46" s="9" t="s">
        <v>36</v>
      </c>
      <c r="M46" s="135">
        <v>84</v>
      </c>
      <c r="N46" s="135">
        <v>360.10</v>
      </c>
      <c r="O46" s="135">
        <v>0</v>
      </c>
      <c r="P46" s="135">
        <v>2.65</v>
      </c>
      <c r="Q46" s="135">
        <v>6.30</v>
      </c>
      <c r="R46" s="194"/>
      <c r="S46" s="194"/>
      <c r="T46" s="194"/>
      <c r="U46" s="194"/>
    </row>
    <row r="47" spans="1:21" s="12" customFormat="1" ht="15">
      <c r="A47" s="207" t="s">
        <v>1627</v>
      </c>
      <c r="B47" s="135">
        <v>5.03</v>
      </c>
      <c r="C47" s="135">
        <v>11.35</v>
      </c>
      <c r="D47" s="135">
        <v>16.38</v>
      </c>
      <c r="E47" s="135">
        <v>8.92</v>
      </c>
      <c r="F47" s="135">
        <v>0.61</v>
      </c>
      <c r="G47" s="208" t="s">
        <v>36</v>
      </c>
      <c r="H47" s="135">
        <v>5.79</v>
      </c>
      <c r="I47" s="135">
        <v>4.6500000000000004</v>
      </c>
      <c r="J47" s="135">
        <v>1.63</v>
      </c>
      <c r="K47" s="135">
        <v>153.60</v>
      </c>
      <c r="L47" s="9" t="s">
        <v>36</v>
      </c>
      <c r="M47" s="135">
        <v>81.209999999999994</v>
      </c>
      <c r="N47" s="135">
        <v>503.30</v>
      </c>
      <c r="O47" s="135">
        <v>0</v>
      </c>
      <c r="P47" s="135">
        <v>2.64</v>
      </c>
      <c r="Q47" s="135">
        <v>6.82</v>
      </c>
      <c r="R47" s="194"/>
      <c r="S47" s="194"/>
      <c r="T47" s="194"/>
      <c r="U47" s="194"/>
    </row>
    <row r="48" spans="1:21" s="12" customFormat="1" ht="15">
      <c r="A48" s="207" t="s">
        <v>1628</v>
      </c>
      <c r="B48" s="135">
        <v>4.59</v>
      </c>
      <c r="C48" s="135">
        <v>11.73</v>
      </c>
      <c r="D48" s="135">
        <v>16.32</v>
      </c>
      <c r="E48" s="135">
        <v>8.7799999999999994</v>
      </c>
      <c r="F48" s="135">
        <v>1.30</v>
      </c>
      <c r="G48" s="208" t="s">
        <v>36</v>
      </c>
      <c r="H48" s="135">
        <v>5.79</v>
      </c>
      <c r="I48" s="135">
        <v>4.5599999999999996</v>
      </c>
      <c r="J48" s="135">
        <v>1.66</v>
      </c>
      <c r="K48" s="135">
        <v>158.32</v>
      </c>
      <c r="L48" s="9" t="s">
        <v>36</v>
      </c>
      <c r="M48" s="135">
        <v>80.14</v>
      </c>
      <c r="N48" s="135">
        <v>403</v>
      </c>
      <c r="O48" s="135">
        <v>0</v>
      </c>
      <c r="P48" s="135">
        <v>2.65</v>
      </c>
      <c r="Q48" s="135">
        <v>7.05</v>
      </c>
      <c r="R48" s="194"/>
      <c r="S48" s="194"/>
      <c r="T48" s="194"/>
      <c r="U48" s="194"/>
    </row>
    <row r="49" spans="1:21" s="12" customFormat="1" ht="15">
      <c r="A49" s="207" t="s">
        <v>1629</v>
      </c>
      <c r="B49" s="135">
        <v>4.13</v>
      </c>
      <c r="C49" s="135">
        <v>11.68</v>
      </c>
      <c r="D49" s="135">
        <v>15.81</v>
      </c>
      <c r="E49" s="135">
        <v>8.25</v>
      </c>
      <c r="F49" s="135">
        <v>0.99</v>
      </c>
      <c r="G49" s="208" t="s">
        <v>36</v>
      </c>
      <c r="H49" s="135">
        <v>6.23</v>
      </c>
      <c r="I49" s="135">
        <v>4.4800000000000004</v>
      </c>
      <c r="J49" s="135">
        <v>1.26</v>
      </c>
      <c r="K49" s="135">
        <v>164.36</v>
      </c>
      <c r="L49" s="9" t="s">
        <v>36</v>
      </c>
      <c r="M49" s="135">
        <v>80.040000000000006</v>
      </c>
      <c r="N49" s="135">
        <v>469.70</v>
      </c>
      <c r="O49" s="135">
        <v>0</v>
      </c>
      <c r="P49" s="135">
        <v>2.64</v>
      </c>
      <c r="Q49" s="135">
        <v>6.98</v>
      </c>
      <c r="R49" s="194"/>
      <c r="S49" s="194"/>
      <c r="T49" s="194"/>
      <c r="U49" s="194"/>
    </row>
    <row r="50" spans="1:21" s="12" customFormat="1" ht="15">
      <c r="A50" s="207" t="s">
        <v>1630</v>
      </c>
      <c r="B50" s="216" t="s">
        <v>32</v>
      </c>
      <c r="C50" s="216" t="s">
        <v>32</v>
      </c>
      <c r="D50" s="216" t="s">
        <v>32</v>
      </c>
      <c r="E50" s="216" t="s">
        <v>32</v>
      </c>
      <c r="F50" s="216" t="s">
        <v>32</v>
      </c>
      <c r="G50" s="216" t="s">
        <v>32</v>
      </c>
      <c r="H50" s="216" t="s">
        <v>32</v>
      </c>
      <c r="I50" s="216" t="s">
        <v>32</v>
      </c>
      <c r="J50" s="216" t="s">
        <v>32</v>
      </c>
      <c r="K50" s="216" t="s">
        <v>32</v>
      </c>
      <c r="L50" s="216" t="s">
        <v>32</v>
      </c>
      <c r="M50" s="216" t="s">
        <v>32</v>
      </c>
      <c r="N50" s="216" t="s">
        <v>32</v>
      </c>
      <c r="O50" s="216" t="s">
        <v>32</v>
      </c>
      <c r="P50" s="216" t="s">
        <v>32</v>
      </c>
      <c r="Q50" s="216" t="s">
        <v>32</v>
      </c>
      <c r="R50" s="194"/>
      <c r="S50" s="194"/>
      <c r="T50" s="194"/>
      <c r="U50" s="194"/>
    </row>
    <row r="51" spans="1:21" s="12" customFormat="1" ht="15">
      <c r="A51" s="207" t="s">
        <v>1631</v>
      </c>
      <c r="B51" s="135">
        <v>2.89</v>
      </c>
      <c r="C51" s="135">
        <v>11.66</v>
      </c>
      <c r="D51" s="135">
        <v>14.56</v>
      </c>
      <c r="E51" s="135">
        <v>7.88</v>
      </c>
      <c r="F51" s="135">
        <v>0.66</v>
      </c>
      <c r="G51" s="208" t="s">
        <v>36</v>
      </c>
      <c r="H51" s="135">
        <v>7.33</v>
      </c>
      <c r="I51" s="135">
        <v>4.3600000000000003</v>
      </c>
      <c r="J51" s="135">
        <v>0.53</v>
      </c>
      <c r="K51" s="135">
        <v>175.14</v>
      </c>
      <c r="L51" s="9" t="s">
        <v>36</v>
      </c>
      <c r="M51" s="135">
        <v>76.02</v>
      </c>
      <c r="N51" s="135">
        <v>509.80</v>
      </c>
      <c r="O51" s="135">
        <v>0</v>
      </c>
      <c r="P51" s="135">
        <v>2.61</v>
      </c>
      <c r="Q51" s="135">
        <v>0</v>
      </c>
      <c r="R51" s="194"/>
      <c r="S51" s="194"/>
      <c r="T51" s="194"/>
      <c r="U51" s="194"/>
    </row>
    <row r="52" spans="1:21" s="12" customFormat="1" ht="15">
      <c r="A52" s="207" t="s">
        <v>1632</v>
      </c>
      <c r="B52" s="135">
        <v>2.25</v>
      </c>
      <c r="C52" s="135">
        <v>11.54</v>
      </c>
      <c r="D52" s="135">
        <v>13.79</v>
      </c>
      <c r="E52" s="135">
        <v>7.66</v>
      </c>
      <c r="F52" s="135">
        <v>0.76</v>
      </c>
      <c r="G52" s="208" t="s">
        <v>36</v>
      </c>
      <c r="H52" s="135">
        <v>7.33</v>
      </c>
      <c r="I52" s="135">
        <v>4.33</v>
      </c>
      <c r="J52" s="135">
        <v>0.90</v>
      </c>
      <c r="K52" s="135">
        <v>178.74</v>
      </c>
      <c r="L52" s="9" t="s">
        <v>36</v>
      </c>
      <c r="M52" s="135">
        <v>78.81</v>
      </c>
      <c r="N52" s="135">
        <v>265.30</v>
      </c>
      <c r="O52" s="135">
        <v>0</v>
      </c>
      <c r="P52" s="135">
        <v>2.60</v>
      </c>
      <c r="Q52" s="135">
        <v>6.17</v>
      </c>
      <c r="R52" s="194"/>
      <c r="S52" s="194"/>
      <c r="T52" s="194"/>
      <c r="U52" s="194"/>
    </row>
    <row r="53" spans="1:21" s="12" customFormat="1" ht="15">
      <c r="A53" s="207" t="s">
        <v>1633</v>
      </c>
      <c r="B53" s="135">
        <v>1.5</v>
      </c>
      <c r="C53" s="135">
        <v>12.30</v>
      </c>
      <c r="D53" s="135">
        <v>13.80</v>
      </c>
      <c r="E53" s="135">
        <v>6.67</v>
      </c>
      <c r="F53" s="135">
        <v>1.24</v>
      </c>
      <c r="G53" s="208" t="s">
        <v>36</v>
      </c>
      <c r="H53" s="135">
        <v>6.70</v>
      </c>
      <c r="I53" s="135">
        <v>4.17</v>
      </c>
      <c r="J53" s="135">
        <v>0.26</v>
      </c>
      <c r="K53" s="135">
        <v>217.35</v>
      </c>
      <c r="L53" s="9" t="s">
        <v>36</v>
      </c>
      <c r="M53" s="135">
        <v>82.22</v>
      </c>
      <c r="N53" s="135">
        <v>55.30</v>
      </c>
      <c r="O53" s="135">
        <v>0</v>
      </c>
      <c r="P53" s="135">
        <v>2.58</v>
      </c>
      <c r="Q53" s="135">
        <v>6.27</v>
      </c>
      <c r="R53" s="194"/>
      <c r="S53" s="194"/>
      <c r="T53" s="194"/>
      <c r="U53" s="194"/>
    </row>
    <row r="54" spans="1:21" s="12" customFormat="1" ht="15">
      <c r="A54" s="207" t="s">
        <v>1634</v>
      </c>
      <c r="B54" s="135">
        <v>1.22</v>
      </c>
      <c r="C54" s="135">
        <v>13.02</v>
      </c>
      <c r="D54" s="135">
        <v>14.24</v>
      </c>
      <c r="E54" s="135">
        <v>5.77</v>
      </c>
      <c r="F54" s="135">
        <v>1.06</v>
      </c>
      <c r="G54" s="208" t="s">
        <v>36</v>
      </c>
      <c r="H54" s="135">
        <v>5.13</v>
      </c>
      <c r="I54" s="135">
        <v>3.84</v>
      </c>
      <c r="J54" s="135">
        <v>0.05</v>
      </c>
      <c r="K54" s="135">
        <v>255.60</v>
      </c>
      <c r="L54" s="9" t="s">
        <v>36</v>
      </c>
      <c r="M54" s="135">
        <v>83.48</v>
      </c>
      <c r="N54" s="135">
        <v>68.30</v>
      </c>
      <c r="O54" s="135">
        <v>0</v>
      </c>
      <c r="P54" s="135">
        <v>2.59</v>
      </c>
      <c r="Q54" s="135">
        <v>6.59</v>
      </c>
      <c r="R54" s="194"/>
      <c r="S54" s="194"/>
      <c r="T54" s="194"/>
      <c r="U54" s="194"/>
    </row>
    <row r="55" spans="1:21" s="12" customFormat="1" ht="15">
      <c r="A55" s="207" t="s">
        <v>1635</v>
      </c>
      <c r="B55" s="135">
        <v>2.02</v>
      </c>
      <c r="C55" s="135">
        <v>14.13</v>
      </c>
      <c r="D55" s="135">
        <v>16.14</v>
      </c>
      <c r="E55" s="135">
        <v>5.29</v>
      </c>
      <c r="F55" s="135">
        <v>1.46</v>
      </c>
      <c r="G55" s="208" t="s">
        <v>36</v>
      </c>
      <c r="H55" s="135">
        <v>5.13</v>
      </c>
      <c r="I55" s="135">
        <v>3.47</v>
      </c>
      <c r="J55" s="135">
        <v>0.12</v>
      </c>
      <c r="K55" s="135">
        <v>229.72</v>
      </c>
      <c r="L55" s="9" t="s">
        <v>36</v>
      </c>
      <c r="M55" s="135">
        <v>85.57</v>
      </c>
      <c r="N55" s="135">
        <v>81</v>
      </c>
      <c r="O55" s="135">
        <v>0.20</v>
      </c>
      <c r="P55" s="135">
        <v>2.63</v>
      </c>
      <c r="Q55" s="135">
        <v>6.82</v>
      </c>
      <c r="R55" s="194"/>
      <c r="S55" s="194"/>
      <c r="T55" s="194"/>
      <c r="U55" s="194"/>
    </row>
    <row r="56" spans="1:21" s="12" customFormat="1" ht="15">
      <c r="A56" s="207" t="s">
        <v>1636</v>
      </c>
      <c r="B56" s="135">
        <v>2.09</v>
      </c>
      <c r="C56" s="135">
        <v>15.47</v>
      </c>
      <c r="D56" s="135">
        <v>17.559999999999999</v>
      </c>
      <c r="E56" s="135">
        <v>2.2799999999999998</v>
      </c>
      <c r="F56" s="135">
        <v>1.1100000000000001</v>
      </c>
      <c r="G56" s="208" t="s">
        <v>36</v>
      </c>
      <c r="H56" s="135">
        <v>5.13</v>
      </c>
      <c r="I56" s="135">
        <v>3.34</v>
      </c>
      <c r="J56" s="135">
        <v>0.03</v>
      </c>
      <c r="K56" s="135">
        <v>266.13</v>
      </c>
      <c r="L56" s="9" t="s">
        <v>36</v>
      </c>
      <c r="M56" s="135">
        <v>88.54</v>
      </c>
      <c r="N56" s="135">
        <v>158.80000000000001</v>
      </c>
      <c r="O56" s="135">
        <v>0</v>
      </c>
      <c r="P56" s="135">
        <v>2.65</v>
      </c>
      <c r="Q56" s="135">
        <v>7.09</v>
      </c>
      <c r="R56" s="194"/>
      <c r="S56" s="194"/>
      <c r="T56" s="194"/>
      <c r="U56" s="194"/>
    </row>
    <row r="57" spans="1:21" s="12" customFormat="1" ht="15">
      <c r="A57" s="207" t="s">
        <v>1637</v>
      </c>
      <c r="B57" s="135">
        <v>1.98</v>
      </c>
      <c r="C57" s="135">
        <v>15.37</v>
      </c>
      <c r="D57" s="135">
        <v>17.350000000000001</v>
      </c>
      <c r="E57" s="135">
        <v>3.77</v>
      </c>
      <c r="F57" s="135">
        <v>0.43</v>
      </c>
      <c r="G57" s="208" t="s">
        <v>36</v>
      </c>
      <c r="H57" s="135">
        <v>4.6900000000000004</v>
      </c>
      <c r="I57" s="135">
        <v>3.30</v>
      </c>
      <c r="J57" s="135">
        <v>0.14000000000000001</v>
      </c>
      <c r="K57" s="135">
        <v>226.56</v>
      </c>
      <c r="L57" s="9" t="s">
        <v>36</v>
      </c>
      <c r="M57" s="135">
        <v>89.38</v>
      </c>
      <c r="N57" s="135">
        <v>182.80</v>
      </c>
      <c r="O57" s="135">
        <v>0</v>
      </c>
      <c r="P57" s="135">
        <v>2.66</v>
      </c>
      <c r="Q57" s="135">
        <v>6.99</v>
      </c>
      <c r="R57" s="194"/>
      <c r="S57" s="194"/>
      <c r="T57" s="194"/>
      <c r="U57" s="194"/>
    </row>
    <row r="58" spans="1:21" s="12" customFormat="1" ht="15">
      <c r="A58" s="207" t="s">
        <v>1638</v>
      </c>
      <c r="B58" s="135">
        <v>2.35</v>
      </c>
      <c r="C58" s="135">
        <v>14.76</v>
      </c>
      <c r="D58" s="135">
        <v>17.11</v>
      </c>
      <c r="E58" s="135">
        <v>4.1100000000000003</v>
      </c>
      <c r="F58" s="135">
        <v>0.69</v>
      </c>
      <c r="G58" s="208" t="s">
        <v>36</v>
      </c>
      <c r="H58" s="135">
        <v>3.59</v>
      </c>
      <c r="I58" s="135">
        <v>3.31</v>
      </c>
      <c r="J58" s="135">
        <v>0.10</v>
      </c>
      <c r="K58" s="135">
        <v>193.43</v>
      </c>
      <c r="L58" s="9" t="s">
        <v>36</v>
      </c>
      <c r="M58" s="135">
        <v>90.57</v>
      </c>
      <c r="N58" s="135">
        <v>183.70</v>
      </c>
      <c r="O58" s="135">
        <v>0</v>
      </c>
      <c r="P58" s="135">
        <v>2.65</v>
      </c>
      <c r="Q58" s="135">
        <v>6.65</v>
      </c>
      <c r="R58" s="194"/>
      <c r="S58" s="194"/>
      <c r="T58" s="194"/>
      <c r="U58" s="194"/>
    </row>
    <row r="59" spans="1:21" s="12" customFormat="1" ht="15">
      <c r="A59" s="207" t="s">
        <v>1639</v>
      </c>
      <c r="B59" s="135">
        <v>2.36</v>
      </c>
      <c r="C59" s="135">
        <v>15.04</v>
      </c>
      <c r="D59" s="135">
        <v>17.39</v>
      </c>
      <c r="E59" s="135">
        <v>3.70</v>
      </c>
      <c r="F59" s="135">
        <v>0.82</v>
      </c>
      <c r="G59" s="208" t="s">
        <v>36</v>
      </c>
      <c r="H59" s="135">
        <v>3.59</v>
      </c>
      <c r="I59" s="135">
        <v>3.28</v>
      </c>
      <c r="J59" s="135">
        <v>0.04</v>
      </c>
      <c r="K59" s="135">
        <v>143.96</v>
      </c>
      <c r="L59" s="9" t="s">
        <v>36</v>
      </c>
      <c r="M59" s="135">
        <v>88.06</v>
      </c>
      <c r="N59" s="135">
        <v>276.70</v>
      </c>
      <c r="O59" s="135">
        <v>0</v>
      </c>
      <c r="P59" s="135">
        <v>2.65</v>
      </c>
      <c r="Q59" s="135">
        <v>6.77</v>
      </c>
      <c r="R59" s="194"/>
      <c r="S59" s="194"/>
      <c r="T59" s="194"/>
      <c r="U59" s="194"/>
    </row>
    <row r="60" spans="1:21" s="12" customFormat="1" ht="15">
      <c r="A60" s="207" t="s">
        <v>1640</v>
      </c>
      <c r="B60" s="135">
        <v>2.42</v>
      </c>
      <c r="C60" s="135">
        <v>14.5</v>
      </c>
      <c r="D60" s="135">
        <v>16.91</v>
      </c>
      <c r="E60" s="135">
        <v>3.63</v>
      </c>
      <c r="F60" s="135">
        <v>0.52</v>
      </c>
      <c r="G60" s="208" t="s">
        <v>36</v>
      </c>
      <c r="H60" s="135">
        <v>3.59</v>
      </c>
      <c r="I60" s="135">
        <v>3.24</v>
      </c>
      <c r="J60" s="135">
        <v>0.16</v>
      </c>
      <c r="K60" s="135">
        <v>1.01</v>
      </c>
      <c r="L60" s="9" t="s">
        <v>36</v>
      </c>
      <c r="M60" s="135">
        <v>85.32</v>
      </c>
      <c r="N60" s="135">
        <v>395.90</v>
      </c>
      <c r="O60" s="135">
        <v>0</v>
      </c>
      <c r="P60" s="135">
        <v>2.67</v>
      </c>
      <c r="Q60" s="135">
        <v>7.01</v>
      </c>
      <c r="R60" s="194"/>
      <c r="S60" s="194"/>
      <c r="T60" s="194"/>
      <c r="U60" s="194"/>
    </row>
    <row r="61" spans="1:21" s="12" customFormat="1" ht="15">
      <c r="A61" s="207" t="s">
        <v>1641</v>
      </c>
      <c r="B61" s="135">
        <v>3.24</v>
      </c>
      <c r="C61" s="135">
        <v>13.82</v>
      </c>
      <c r="D61" s="135">
        <v>17.07</v>
      </c>
      <c r="E61" s="135">
        <v>3.77</v>
      </c>
      <c r="F61" s="135">
        <v>0.12</v>
      </c>
      <c r="G61" s="208" t="s">
        <v>36</v>
      </c>
      <c r="H61" s="135">
        <v>4.21</v>
      </c>
      <c r="I61" s="135">
        <v>3.15</v>
      </c>
      <c r="J61" s="135">
        <v>0.06</v>
      </c>
      <c r="K61" s="135">
        <v>52.31</v>
      </c>
      <c r="L61" s="9" t="s">
        <v>36</v>
      </c>
      <c r="M61" s="135">
        <v>83.34</v>
      </c>
      <c r="N61" s="135">
        <v>168</v>
      </c>
      <c r="O61" s="135">
        <v>0</v>
      </c>
      <c r="P61" s="135">
        <v>2.68</v>
      </c>
      <c r="Q61" s="135">
        <v>7.12</v>
      </c>
      <c r="R61" s="194"/>
      <c r="S61" s="194"/>
      <c r="T61" s="194"/>
      <c r="U61" s="194"/>
    </row>
    <row r="62" spans="1:21" s="12" customFormat="1" ht="15">
      <c r="A62" s="207" t="s">
        <v>1642</v>
      </c>
      <c r="B62" s="135">
        <v>3.86</v>
      </c>
      <c r="C62" s="135">
        <v>13.19</v>
      </c>
      <c r="D62" s="135">
        <v>17.05</v>
      </c>
      <c r="E62" s="135">
        <v>4.01</v>
      </c>
      <c r="F62" s="135">
        <v>0.43</v>
      </c>
      <c r="G62" s="208" t="s">
        <v>36</v>
      </c>
      <c r="H62" s="135">
        <v>5.81</v>
      </c>
      <c r="I62" s="135">
        <v>3.23</v>
      </c>
      <c r="J62" s="135">
        <v>0.18</v>
      </c>
      <c r="K62" s="135">
        <v>219.77</v>
      </c>
      <c r="L62" s="9" t="s">
        <v>36</v>
      </c>
      <c r="M62" s="135">
        <v>84.68</v>
      </c>
      <c r="N62" s="135">
        <v>178.70</v>
      </c>
      <c r="O62" s="135">
        <v>0</v>
      </c>
      <c r="P62" s="135">
        <v>2.68</v>
      </c>
      <c r="Q62" s="135">
        <v>7.14</v>
      </c>
      <c r="R62" s="194"/>
      <c r="S62" s="194"/>
      <c r="T62" s="194"/>
      <c r="U62" s="194"/>
    </row>
    <row r="63" spans="1:21" s="12" customFormat="1" ht="15">
      <c r="A63" s="207" t="s">
        <v>1643</v>
      </c>
      <c r="B63" s="135">
        <v>3.35</v>
      </c>
      <c r="C63" s="135">
        <v>13.14</v>
      </c>
      <c r="D63" s="135">
        <v>16.489999999999998</v>
      </c>
      <c r="E63" s="135">
        <v>3.62</v>
      </c>
      <c r="F63" s="135">
        <v>0.90</v>
      </c>
      <c r="G63" s="208" t="s">
        <v>36</v>
      </c>
      <c r="H63" s="135">
        <v>5.81</v>
      </c>
      <c r="I63" s="135">
        <v>3.31</v>
      </c>
      <c r="J63" s="135">
        <v>0.19</v>
      </c>
      <c r="K63" s="135">
        <v>218.70</v>
      </c>
      <c r="L63" s="9" t="s">
        <v>36</v>
      </c>
      <c r="M63" s="135">
        <v>83.67</v>
      </c>
      <c r="N63" s="135">
        <v>151.19999999999999</v>
      </c>
      <c r="O63" s="135">
        <v>0</v>
      </c>
      <c r="P63" s="135">
        <v>2.67</v>
      </c>
      <c r="Q63" s="135">
        <v>6.96</v>
      </c>
      <c r="R63" s="194"/>
      <c r="S63" s="194"/>
      <c r="T63" s="194"/>
      <c r="U63" s="194"/>
    </row>
    <row r="64" spans="1:21" s="12" customFormat="1" ht="15">
      <c r="A64" s="207" t="s">
        <v>1644</v>
      </c>
      <c r="B64" s="135">
        <v>1.90</v>
      </c>
      <c r="C64" s="135">
        <v>13.59</v>
      </c>
      <c r="D64" s="135">
        <v>15.49</v>
      </c>
      <c r="E64" s="135">
        <v>2.72</v>
      </c>
      <c r="F64" s="135">
        <v>1.48</v>
      </c>
      <c r="G64" s="208" t="s">
        <v>36</v>
      </c>
      <c r="H64" s="135">
        <v>5.81</v>
      </c>
      <c r="I64" s="135">
        <v>3.33</v>
      </c>
      <c r="J64" s="135">
        <v>0.38</v>
      </c>
      <c r="K64" s="135">
        <v>195.16</v>
      </c>
      <c r="L64" s="9" t="s">
        <v>36</v>
      </c>
      <c r="M64" s="135">
        <v>84.59</v>
      </c>
      <c r="N64" s="135">
        <v>142.60</v>
      </c>
      <c r="O64" s="135">
        <v>0</v>
      </c>
      <c r="P64" s="135">
        <v>2.64</v>
      </c>
      <c r="Q64" s="135">
        <v>6.47</v>
      </c>
      <c r="R64" s="194"/>
      <c r="S64" s="194"/>
      <c r="T64" s="194"/>
      <c r="U64" s="194"/>
    </row>
    <row r="65" spans="1:21" s="12" customFormat="1" ht="15">
      <c r="A65" s="207" t="s">
        <v>1645</v>
      </c>
      <c r="B65" s="135">
        <v>1.23</v>
      </c>
      <c r="C65" s="135">
        <v>14.30</v>
      </c>
      <c r="D65" s="135">
        <v>15.53</v>
      </c>
      <c r="E65" s="135">
        <v>2.4900000000000002</v>
      </c>
      <c r="F65" s="135">
        <v>1.19</v>
      </c>
      <c r="G65" s="208" t="s">
        <v>36</v>
      </c>
      <c r="H65" s="135">
        <v>5.41</v>
      </c>
      <c r="I65" s="135">
        <v>3.11</v>
      </c>
      <c r="J65" s="135">
        <v>0.22</v>
      </c>
      <c r="K65" s="135">
        <v>198.66</v>
      </c>
      <c r="L65" s="9" t="s">
        <v>36</v>
      </c>
      <c r="M65" s="135">
        <v>84.47</v>
      </c>
      <c r="N65" s="135">
        <v>130.69999999999999</v>
      </c>
      <c r="O65" s="135">
        <v>0</v>
      </c>
      <c r="P65" s="135">
        <v>2.64</v>
      </c>
      <c r="Q65" s="135">
        <v>6.15</v>
      </c>
      <c r="R65" s="194"/>
      <c r="S65" s="194"/>
      <c r="T65" s="194"/>
      <c r="U65" s="194"/>
    </row>
    <row r="66" spans="1:21" s="12" customFormat="1" ht="15">
      <c r="A66" s="207" t="s">
        <v>1646</v>
      </c>
      <c r="B66" s="135">
        <v>1.1000000000000001</v>
      </c>
      <c r="C66" s="135">
        <v>14.47</v>
      </c>
      <c r="D66" s="135">
        <v>15.57</v>
      </c>
      <c r="E66" s="135">
        <v>2.71</v>
      </c>
      <c r="F66" s="135">
        <v>0.98</v>
      </c>
      <c r="G66" s="208" t="s">
        <v>36</v>
      </c>
      <c r="H66" s="135">
        <v>4.4400000000000004</v>
      </c>
      <c r="I66" s="135">
        <v>2.80</v>
      </c>
      <c r="J66" s="135">
        <v>0.45</v>
      </c>
      <c r="K66" s="135">
        <v>204.26</v>
      </c>
      <c r="L66" s="9" t="s">
        <v>36</v>
      </c>
      <c r="M66" s="135">
        <v>83.49</v>
      </c>
      <c r="N66" s="135">
        <v>181.90</v>
      </c>
      <c r="O66" s="135">
        <v>0</v>
      </c>
      <c r="P66" s="135">
        <v>2.63</v>
      </c>
      <c r="Q66" s="135">
        <v>5.79</v>
      </c>
      <c r="R66" s="194"/>
      <c r="S66" s="194"/>
      <c r="T66" s="194"/>
      <c r="U66" s="194"/>
    </row>
    <row r="67" spans="1:21" s="12" customFormat="1" ht="15">
      <c r="A67" s="207" t="s">
        <v>1647</v>
      </c>
      <c r="B67" s="135">
        <v>0.95</v>
      </c>
      <c r="C67" s="135">
        <v>13.99</v>
      </c>
      <c r="D67" s="135">
        <v>14.94</v>
      </c>
      <c r="E67" s="135">
        <v>2.4900000000000002</v>
      </c>
      <c r="F67" s="135">
        <v>0.40</v>
      </c>
      <c r="G67" s="208" t="s">
        <v>36</v>
      </c>
      <c r="H67" s="135">
        <v>4.4400000000000004</v>
      </c>
      <c r="I67" s="135">
        <v>2.66</v>
      </c>
      <c r="J67" s="135">
        <v>0.55000000000000004</v>
      </c>
      <c r="K67" s="135">
        <v>193.19</v>
      </c>
      <c r="L67" s="9" t="s">
        <v>36</v>
      </c>
      <c r="M67" s="135">
        <v>82.89</v>
      </c>
      <c r="N67" s="135">
        <v>205.10</v>
      </c>
      <c r="O67" s="135">
        <v>0</v>
      </c>
      <c r="P67" s="135">
        <v>2.63</v>
      </c>
      <c r="Q67" s="135">
        <v>5.48</v>
      </c>
      <c r="R67" s="194"/>
      <c r="S67" s="194"/>
      <c r="T67" s="194"/>
      <c r="U67" s="194"/>
    </row>
    <row r="68" spans="1:21" s="12" customFormat="1" ht="15">
      <c r="A68" s="207" t="s">
        <v>1648</v>
      </c>
      <c r="B68" s="135">
        <v>1.03</v>
      </c>
      <c r="C68" s="135">
        <v>13.04</v>
      </c>
      <c r="D68" s="135">
        <v>14.07</v>
      </c>
      <c r="E68" s="135">
        <v>2.98</v>
      </c>
      <c r="F68" s="135">
        <v>0.41</v>
      </c>
      <c r="G68" s="208" t="s">
        <v>36</v>
      </c>
      <c r="H68" s="135">
        <v>4.4400000000000004</v>
      </c>
      <c r="I68" s="135">
        <v>2.57</v>
      </c>
      <c r="J68" s="135">
        <v>0.51</v>
      </c>
      <c r="K68" s="135">
        <v>190.46</v>
      </c>
      <c r="L68" s="9" t="s">
        <v>36</v>
      </c>
      <c r="M68" s="135">
        <v>82.19</v>
      </c>
      <c r="N68" s="135">
        <v>214.90</v>
      </c>
      <c r="O68" s="135">
        <v>0</v>
      </c>
      <c r="P68" s="135">
        <v>2.62</v>
      </c>
      <c r="Q68" s="135">
        <v>5.23</v>
      </c>
      <c r="R68" s="194"/>
      <c r="S68" s="194"/>
      <c r="T68" s="194"/>
      <c r="U68" s="194"/>
    </row>
    <row r="69" spans="1:21" s="12" customFormat="1" ht="15">
      <c r="A69" s="207" t="s">
        <v>1649</v>
      </c>
      <c r="B69" s="135">
        <v>1.1399999999999999</v>
      </c>
      <c r="C69" s="135">
        <v>12.33</v>
      </c>
      <c r="D69" s="135">
        <v>13.47</v>
      </c>
      <c r="E69" s="135">
        <v>3.32</v>
      </c>
      <c r="F69" s="135">
        <v>0.27</v>
      </c>
      <c r="G69" s="208" t="s">
        <v>36</v>
      </c>
      <c r="H69" s="135">
        <v>4.0599999999999996</v>
      </c>
      <c r="I69" s="135">
        <v>2.63</v>
      </c>
      <c r="J69" s="135">
        <v>0.40</v>
      </c>
      <c r="K69" s="135">
        <v>213.42</v>
      </c>
      <c r="L69" s="9" t="s">
        <v>36</v>
      </c>
      <c r="M69" s="135">
        <v>82.18</v>
      </c>
      <c r="N69" s="135">
        <v>221</v>
      </c>
      <c r="O69" s="135">
        <v>0</v>
      </c>
      <c r="P69" s="135">
        <v>2.62</v>
      </c>
      <c r="Q69" s="135">
        <v>5.29</v>
      </c>
      <c r="R69" s="194"/>
      <c r="S69" s="194"/>
      <c r="T69" s="194"/>
      <c r="U69" s="194"/>
    </row>
    <row r="70" spans="1:21" s="12" customFormat="1" ht="15">
      <c r="A70" s="207" t="s">
        <v>1650</v>
      </c>
      <c r="B70" s="135">
        <v>1.1499999999999999</v>
      </c>
      <c r="C70" s="135">
        <v>11.82</v>
      </c>
      <c r="D70" s="135">
        <v>12.97</v>
      </c>
      <c r="E70" s="135">
        <v>3.35</v>
      </c>
      <c r="F70" s="135">
        <v>0.30</v>
      </c>
      <c r="G70" s="208" t="s">
        <v>36</v>
      </c>
      <c r="H70" s="135">
        <v>3.13</v>
      </c>
      <c r="I70" s="135">
        <v>2.70</v>
      </c>
      <c r="J70" s="135">
        <v>0.56999999999999995</v>
      </c>
      <c r="K70" s="135">
        <v>193.60</v>
      </c>
      <c r="L70" s="9" t="s">
        <v>36</v>
      </c>
      <c r="M70" s="135">
        <v>82.77</v>
      </c>
      <c r="N70" s="135">
        <v>171.20</v>
      </c>
      <c r="O70" s="135">
        <v>0</v>
      </c>
      <c r="P70" s="135">
        <v>2.62</v>
      </c>
      <c r="Q70" s="135">
        <v>5.17</v>
      </c>
      <c r="R70" s="194"/>
      <c r="S70" s="194"/>
      <c r="T70" s="194"/>
      <c r="U70" s="194"/>
    </row>
    <row r="71" spans="1:21" s="12" customFormat="1" ht="15">
      <c r="A71" s="207" t="s">
        <v>1651</v>
      </c>
      <c r="B71" s="135">
        <v>1.0900000000000001</v>
      </c>
      <c r="C71" s="135">
        <v>11.61</v>
      </c>
      <c r="D71" s="135">
        <v>12.70</v>
      </c>
      <c r="E71" s="135">
        <v>2.88</v>
      </c>
      <c r="F71" s="135">
        <v>0.57999999999999996</v>
      </c>
      <c r="G71" s="208" t="s">
        <v>36</v>
      </c>
      <c r="H71" s="135">
        <v>3.13</v>
      </c>
      <c r="I71" s="135">
        <v>2.76</v>
      </c>
      <c r="J71" s="135">
        <v>0.34</v>
      </c>
      <c r="K71" s="135">
        <v>186.04</v>
      </c>
      <c r="L71" s="9" t="s">
        <v>36</v>
      </c>
      <c r="M71" s="135">
        <v>83.61</v>
      </c>
      <c r="N71" s="135">
        <v>148</v>
      </c>
      <c r="O71" s="135">
        <v>0</v>
      </c>
      <c r="P71" s="135">
        <v>2.62</v>
      </c>
      <c r="Q71" s="135">
        <v>5.22</v>
      </c>
      <c r="R71" s="194"/>
      <c r="S71" s="194"/>
      <c r="T71" s="194"/>
      <c r="U71" s="194"/>
    </row>
    <row r="72" spans="1:21" s="12" customFormat="1" ht="15">
      <c r="A72" s="207" t="s">
        <v>1652</v>
      </c>
      <c r="B72" s="135">
        <v>1.0900000000000001</v>
      </c>
      <c r="C72" s="135">
        <v>11.46</v>
      </c>
      <c r="D72" s="135">
        <v>12.55</v>
      </c>
      <c r="E72" s="135">
        <v>1.56</v>
      </c>
      <c r="F72" s="135">
        <v>0.63</v>
      </c>
      <c r="G72" s="208" t="s">
        <v>36</v>
      </c>
      <c r="H72" s="135">
        <v>3.13</v>
      </c>
      <c r="I72" s="135">
        <v>2.77</v>
      </c>
      <c r="J72" s="135">
        <v>0.5</v>
      </c>
      <c r="K72" s="135">
        <v>198.49</v>
      </c>
      <c r="L72" s="9" t="s">
        <v>36</v>
      </c>
      <c r="M72" s="135">
        <v>84.15</v>
      </c>
      <c r="N72" s="135">
        <v>125.70</v>
      </c>
      <c r="O72" s="135">
        <v>0</v>
      </c>
      <c r="P72" s="135">
        <v>2.62</v>
      </c>
      <c r="Q72" s="135">
        <v>5.22</v>
      </c>
      <c r="R72" s="194"/>
      <c r="S72" s="194"/>
      <c r="T72" s="194"/>
      <c r="U72" s="194"/>
    </row>
    <row r="73" spans="1:21" s="12" customFormat="1" ht="15">
      <c r="A73" s="207" t="s">
        <v>1653</v>
      </c>
      <c r="B73" s="135">
        <v>1.19</v>
      </c>
      <c r="C73" s="135">
        <v>11.69</v>
      </c>
      <c r="D73" s="135">
        <v>12.88</v>
      </c>
      <c r="E73" s="135">
        <v>3.17</v>
      </c>
      <c r="F73" s="135">
        <v>0.54</v>
      </c>
      <c r="G73" s="208" t="s">
        <v>36</v>
      </c>
      <c r="H73" s="135">
        <v>3</v>
      </c>
      <c r="I73" s="135">
        <v>2.81</v>
      </c>
      <c r="J73" s="135">
        <v>0.39</v>
      </c>
      <c r="K73" s="135">
        <v>206.60</v>
      </c>
      <c r="L73" s="9" t="s">
        <v>36</v>
      </c>
      <c r="M73" s="135">
        <v>84.67</v>
      </c>
      <c r="N73" s="135">
        <v>133.80000000000001</v>
      </c>
      <c r="O73" s="135">
        <v>0</v>
      </c>
      <c r="P73" s="135">
        <v>2.62</v>
      </c>
      <c r="Q73" s="135">
        <v>5.23</v>
      </c>
      <c r="R73" s="194"/>
      <c r="S73" s="194"/>
      <c r="T73" s="194"/>
      <c r="U73" s="194"/>
    </row>
    <row r="74" spans="1:21" s="12" customFormat="1" ht="15">
      <c r="A74" s="207" t="s">
        <v>1654</v>
      </c>
      <c r="B74" s="135">
        <v>1.32</v>
      </c>
      <c r="C74" s="135">
        <v>11.52</v>
      </c>
      <c r="D74" s="135">
        <v>12.84</v>
      </c>
      <c r="E74" s="135">
        <v>3.94</v>
      </c>
      <c r="F74" s="135">
        <v>0.55000000000000004</v>
      </c>
      <c r="G74" s="208" t="s">
        <v>36</v>
      </c>
      <c r="H74" s="135">
        <v>2.68</v>
      </c>
      <c r="I74" s="135">
        <v>2.87</v>
      </c>
      <c r="J74" s="135">
        <v>0.55000000000000004</v>
      </c>
      <c r="K74" s="135">
        <v>214.07</v>
      </c>
      <c r="L74" s="9" t="s">
        <v>36</v>
      </c>
      <c r="M74" s="135">
        <v>84.58</v>
      </c>
      <c r="N74" s="135">
        <v>185.20</v>
      </c>
      <c r="O74" s="135">
        <v>0</v>
      </c>
      <c r="P74" s="135">
        <v>2.62</v>
      </c>
      <c r="Q74" s="135">
        <v>5.49</v>
      </c>
      <c r="R74" s="194"/>
      <c r="S74" s="194"/>
      <c r="T74" s="194"/>
      <c r="U74" s="194"/>
    </row>
    <row r="75" spans="1:21" s="12" customFormat="1" ht="15">
      <c r="A75" s="207" t="s">
        <v>1655</v>
      </c>
      <c r="B75" s="135">
        <v>1.37</v>
      </c>
      <c r="C75" s="135">
        <v>11.16</v>
      </c>
      <c r="D75" s="135">
        <v>12.52</v>
      </c>
      <c r="E75" s="135">
        <v>4</v>
      </c>
      <c r="F75" s="135">
        <v>0.57999999999999996</v>
      </c>
      <c r="G75" s="208" t="s">
        <v>36</v>
      </c>
      <c r="H75" s="135">
        <v>2.68</v>
      </c>
      <c r="I75" s="135">
        <v>2.87</v>
      </c>
      <c r="J75" s="135">
        <v>0.34</v>
      </c>
      <c r="K75" s="135">
        <v>205.45</v>
      </c>
      <c r="L75" s="9" t="s">
        <v>36</v>
      </c>
      <c r="M75" s="135">
        <v>85.79</v>
      </c>
      <c r="N75" s="135">
        <v>113</v>
      </c>
      <c r="O75" s="135">
        <v>0</v>
      </c>
      <c r="P75" s="135">
        <v>2.63</v>
      </c>
      <c r="Q75" s="135">
        <v>5.60</v>
      </c>
      <c r="R75" s="194"/>
      <c r="S75" s="194"/>
      <c r="T75" s="194"/>
      <c r="U75" s="194"/>
    </row>
    <row r="76" spans="1:21" s="12" customFormat="1" ht="15">
      <c r="A76" s="207" t="s">
        <v>1656</v>
      </c>
      <c r="B76" s="135">
        <v>1.36</v>
      </c>
      <c r="C76" s="135">
        <v>11.02</v>
      </c>
      <c r="D76" s="135">
        <v>12.38</v>
      </c>
      <c r="E76" s="135">
        <v>3.60</v>
      </c>
      <c r="F76" s="135">
        <v>0.45</v>
      </c>
      <c r="G76" s="208" t="s">
        <v>36</v>
      </c>
      <c r="H76" s="135">
        <v>2.68</v>
      </c>
      <c r="I76" s="135">
        <v>2.95</v>
      </c>
      <c r="J76" s="135">
        <v>0.47</v>
      </c>
      <c r="K76" s="135">
        <v>218.38</v>
      </c>
      <c r="L76" s="9" t="s">
        <v>36</v>
      </c>
      <c r="M76" s="135">
        <v>85.15</v>
      </c>
      <c r="N76" s="135">
        <v>118.30</v>
      </c>
      <c r="O76" s="135">
        <v>0</v>
      </c>
      <c r="P76" s="135">
        <v>2.62</v>
      </c>
      <c r="Q76" s="135">
        <v>5.71</v>
      </c>
      <c r="R76" s="194"/>
      <c r="S76" s="194"/>
      <c r="T76" s="194"/>
      <c r="U76" s="194"/>
    </row>
    <row r="77" spans="1:21" s="12" customFormat="1" ht="15">
      <c r="A77" s="207" t="s">
        <v>1657</v>
      </c>
      <c r="B77" s="135">
        <v>1.26</v>
      </c>
      <c r="C77" s="135">
        <v>10.82</v>
      </c>
      <c r="D77" s="135">
        <v>12.08</v>
      </c>
      <c r="E77" s="135">
        <v>3.74</v>
      </c>
      <c r="F77" s="135">
        <v>0.55000000000000004</v>
      </c>
      <c r="G77" s="208" t="s">
        <v>36</v>
      </c>
      <c r="H77" s="135">
        <v>2.57</v>
      </c>
      <c r="I77" s="135">
        <v>2.91</v>
      </c>
      <c r="J77" s="135">
        <v>0.25</v>
      </c>
      <c r="K77" s="135">
        <v>204.76</v>
      </c>
      <c r="L77" s="9" t="s">
        <v>36</v>
      </c>
      <c r="M77" s="135">
        <v>85.42</v>
      </c>
      <c r="N77" s="135">
        <v>62.70</v>
      </c>
      <c r="O77" s="135">
        <v>0</v>
      </c>
      <c r="P77" s="135">
        <v>2.63</v>
      </c>
      <c r="Q77" s="135">
        <v>5.64</v>
      </c>
      <c r="R77" s="194"/>
      <c r="S77" s="194"/>
      <c r="T77" s="194"/>
      <c r="U77" s="194"/>
    </row>
    <row r="78" spans="1:21" s="12" customFormat="1" ht="15">
      <c r="A78" s="207" t="s">
        <v>1658</v>
      </c>
      <c r="B78" s="135">
        <v>1.56</v>
      </c>
      <c r="C78" s="135">
        <v>11.38</v>
      </c>
      <c r="D78" s="135">
        <v>12.94</v>
      </c>
      <c r="E78" s="135">
        <v>3.59</v>
      </c>
      <c r="F78" s="135">
        <v>0.40</v>
      </c>
      <c r="G78" s="208" t="s">
        <v>36</v>
      </c>
      <c r="H78" s="135">
        <v>2.31</v>
      </c>
      <c r="I78" s="135">
        <v>2.96</v>
      </c>
      <c r="J78" s="135">
        <v>0.05</v>
      </c>
      <c r="K78" s="135">
        <v>230.37</v>
      </c>
      <c r="L78" s="9" t="s">
        <v>36</v>
      </c>
      <c r="M78" s="135">
        <v>84.80</v>
      </c>
      <c r="N78" s="135">
        <v>50.70</v>
      </c>
      <c r="O78" s="135">
        <v>0</v>
      </c>
      <c r="P78" s="135">
        <v>2.65</v>
      </c>
      <c r="Q78" s="135">
        <v>5.88</v>
      </c>
      <c r="R78" s="194"/>
      <c r="S78" s="194"/>
      <c r="T78" s="194"/>
      <c r="U78" s="194"/>
    </row>
    <row r="79" spans="1:21" s="12" customFormat="1" ht="15">
      <c r="A79" s="207" t="s">
        <v>1659</v>
      </c>
      <c r="B79" s="135">
        <v>1.80</v>
      </c>
      <c r="C79" s="135">
        <v>11.60</v>
      </c>
      <c r="D79" s="135">
        <v>13.40</v>
      </c>
      <c r="E79" s="135">
        <v>3.34</v>
      </c>
      <c r="F79" s="135">
        <v>0.41</v>
      </c>
      <c r="G79" s="208" t="s">
        <v>36</v>
      </c>
      <c r="H79" s="135">
        <v>2.31</v>
      </c>
      <c r="I79" s="135">
        <v>2.94</v>
      </c>
      <c r="J79" s="135">
        <v>0.38</v>
      </c>
      <c r="K79" s="135">
        <v>197.62</v>
      </c>
      <c r="L79" s="9" t="s">
        <v>36</v>
      </c>
      <c r="M79" s="135">
        <v>84.97</v>
      </c>
      <c r="N79" s="135">
        <v>50.10</v>
      </c>
      <c r="O79" s="135">
        <v>0</v>
      </c>
      <c r="P79" s="135">
        <v>2.66</v>
      </c>
      <c r="Q79" s="135">
        <v>5.91</v>
      </c>
      <c r="R79" s="194"/>
      <c r="S79" s="194"/>
      <c r="T79" s="194"/>
      <c r="U79" s="194"/>
    </row>
    <row r="80" spans="1:21" s="12" customFormat="1" ht="15">
      <c r="A80" s="207" t="s">
        <v>1660</v>
      </c>
      <c r="B80" s="135">
        <v>1.77</v>
      </c>
      <c r="C80" s="135">
        <v>11.34</v>
      </c>
      <c r="D80" s="135">
        <v>13.10</v>
      </c>
      <c r="E80" s="135">
        <v>3.52</v>
      </c>
      <c r="F80" s="135">
        <v>0.40</v>
      </c>
      <c r="G80" s="208" t="s">
        <v>36</v>
      </c>
      <c r="H80" s="135">
        <v>2.31</v>
      </c>
      <c r="I80" s="135">
        <v>3.01</v>
      </c>
      <c r="J80" s="135">
        <v>0.61</v>
      </c>
      <c r="K80" s="135">
        <v>195.22</v>
      </c>
      <c r="L80" s="9" t="s">
        <v>36</v>
      </c>
      <c r="M80" s="135">
        <v>84.08</v>
      </c>
      <c r="N80" s="135">
        <v>42.90</v>
      </c>
      <c r="O80" s="135">
        <v>0</v>
      </c>
      <c r="P80" s="135">
        <v>2.67</v>
      </c>
      <c r="Q80" s="135">
        <v>5.92</v>
      </c>
      <c r="R80" s="194"/>
      <c r="S80" s="194"/>
      <c r="T80" s="194"/>
      <c r="U80" s="194"/>
    </row>
    <row r="81" spans="1:21" s="12" customFormat="1" ht="15">
      <c r="A81" s="207" t="s">
        <v>1661</v>
      </c>
      <c r="B81" s="135">
        <v>1.74</v>
      </c>
      <c r="C81" s="135">
        <v>11.23</v>
      </c>
      <c r="D81" s="135">
        <v>12.96</v>
      </c>
      <c r="E81" s="135">
        <v>4.20</v>
      </c>
      <c r="F81" s="135">
        <v>0.39</v>
      </c>
      <c r="G81" s="208" t="s">
        <v>36</v>
      </c>
      <c r="H81" s="135">
        <v>2.61</v>
      </c>
      <c r="I81" s="135">
        <v>3.09</v>
      </c>
      <c r="J81" s="135">
        <v>0.20</v>
      </c>
      <c r="K81" s="135">
        <v>217.40</v>
      </c>
      <c r="L81" s="9" t="s">
        <v>36</v>
      </c>
      <c r="M81" s="135">
        <v>83.51</v>
      </c>
      <c r="N81" s="135">
        <v>26.70</v>
      </c>
      <c r="O81" s="135">
        <v>0</v>
      </c>
      <c r="P81" s="135">
        <v>2.67</v>
      </c>
      <c r="Q81" s="135">
        <v>5.72</v>
      </c>
      <c r="R81" s="194"/>
      <c r="S81" s="194"/>
      <c r="T81" s="194"/>
      <c r="U81" s="194"/>
    </row>
    <row r="82" spans="1:21" s="12" customFormat="1" ht="15">
      <c r="A82" s="207" t="s">
        <v>1662</v>
      </c>
      <c r="B82" s="135">
        <v>1.87</v>
      </c>
      <c r="C82" s="135">
        <v>11.23</v>
      </c>
      <c r="D82" s="135">
        <v>13.10</v>
      </c>
      <c r="E82" s="135">
        <v>4.34</v>
      </c>
      <c r="F82" s="135">
        <v>0.28999999999999998</v>
      </c>
      <c r="G82" s="208" t="s">
        <v>36</v>
      </c>
      <c r="H82" s="135">
        <v>3.34</v>
      </c>
      <c r="I82" s="135">
        <v>3.12</v>
      </c>
      <c r="J82" s="135">
        <v>0.44</v>
      </c>
      <c r="K82" s="135">
        <v>191.08</v>
      </c>
      <c r="L82" s="9" t="s">
        <v>36</v>
      </c>
      <c r="M82" s="135">
        <v>84.48</v>
      </c>
      <c r="N82" s="135">
        <v>16.600000000000001</v>
      </c>
      <c r="O82" s="135">
        <v>0</v>
      </c>
      <c r="P82" s="135">
        <v>2.67</v>
      </c>
      <c r="Q82" s="135">
        <v>5.61</v>
      </c>
      <c r="R82" s="194"/>
      <c r="S82" s="194"/>
      <c r="T82" s="194"/>
      <c r="U82" s="194"/>
    </row>
    <row r="83" spans="1:21" s="12" customFormat="1" ht="15">
      <c r="A83" s="207" t="s">
        <v>1663</v>
      </c>
      <c r="B83" s="135">
        <v>2.06</v>
      </c>
      <c r="C83" s="135">
        <v>11.16</v>
      </c>
      <c r="D83" s="135">
        <v>13.22</v>
      </c>
      <c r="E83" s="135">
        <v>4.07</v>
      </c>
      <c r="F83" s="135">
        <v>0.13</v>
      </c>
      <c r="G83" s="208" t="s">
        <v>36</v>
      </c>
      <c r="H83" s="135">
        <v>3.34</v>
      </c>
      <c r="I83" s="135">
        <v>3.14</v>
      </c>
      <c r="J83" s="135">
        <v>0.37</v>
      </c>
      <c r="K83" s="135">
        <v>215.57</v>
      </c>
      <c r="L83" s="9" t="s">
        <v>36</v>
      </c>
      <c r="M83" s="135">
        <v>84.76</v>
      </c>
      <c r="N83" s="135">
        <v>6.30</v>
      </c>
      <c r="O83" s="135">
        <v>0</v>
      </c>
      <c r="P83" s="135">
        <v>2.67</v>
      </c>
      <c r="Q83" s="135">
        <v>5.70</v>
      </c>
      <c r="R83" s="194"/>
      <c r="S83" s="194"/>
      <c r="T83" s="194"/>
      <c r="U83" s="194"/>
    </row>
    <row r="84" spans="1:21" s="12" customFormat="1" ht="15">
      <c r="A84" s="207" t="s">
        <v>1664</v>
      </c>
      <c r="B84" s="135">
        <v>2.19</v>
      </c>
      <c r="C84" s="135">
        <v>11.05</v>
      </c>
      <c r="D84" s="135">
        <v>13.24</v>
      </c>
      <c r="E84" s="135">
        <v>4.33</v>
      </c>
      <c r="F84" s="135">
        <v>0.24</v>
      </c>
      <c r="G84" s="208" t="s">
        <v>36</v>
      </c>
      <c r="H84" s="135">
        <v>3.34</v>
      </c>
      <c r="I84" s="135">
        <v>3.19</v>
      </c>
      <c r="J84" s="135">
        <v>0.30</v>
      </c>
      <c r="K84" s="135">
        <v>186.95</v>
      </c>
      <c r="L84" s="9" t="s">
        <v>36</v>
      </c>
      <c r="M84" s="135">
        <v>86.01</v>
      </c>
      <c r="N84" s="135">
        <v>0.70</v>
      </c>
      <c r="O84" s="135">
        <v>0</v>
      </c>
      <c r="P84" s="135">
        <v>2.68</v>
      </c>
      <c r="Q84" s="135">
        <v>5.86</v>
      </c>
      <c r="R84" s="194"/>
      <c r="S84" s="194"/>
      <c r="T84" s="194"/>
      <c r="U84" s="194"/>
    </row>
    <row r="85" spans="1:21" s="12" customFormat="1" ht="15">
      <c r="A85" s="207" t="s">
        <v>1665</v>
      </c>
      <c r="B85" s="135">
        <v>2.39</v>
      </c>
      <c r="C85" s="135">
        <v>10.87</v>
      </c>
      <c r="D85" s="135">
        <v>13.26</v>
      </c>
      <c r="E85" s="135">
        <v>4.47</v>
      </c>
      <c r="F85" s="135">
        <v>0.34</v>
      </c>
      <c r="G85" s="208" t="s">
        <v>36</v>
      </c>
      <c r="H85" s="135">
        <v>3.42</v>
      </c>
      <c r="I85" s="135">
        <v>3.27</v>
      </c>
      <c r="J85" s="135">
        <v>0.27</v>
      </c>
      <c r="K85" s="135">
        <v>197.48</v>
      </c>
      <c r="L85" s="9" t="s">
        <v>36</v>
      </c>
      <c r="M85" s="135">
        <v>86.21</v>
      </c>
      <c r="N85" s="208" t="s">
        <v>36</v>
      </c>
      <c r="O85" s="135">
        <v>0</v>
      </c>
      <c r="P85" s="135">
        <v>2.69</v>
      </c>
      <c r="Q85" s="135">
        <v>6.05</v>
      </c>
      <c r="R85" s="194"/>
      <c r="S85" s="194"/>
      <c r="T85" s="194"/>
      <c r="U85" s="194"/>
    </row>
    <row r="86" spans="1:21" s="12" customFormat="1" ht="15">
      <c r="A86" s="207" t="s">
        <v>1666</v>
      </c>
      <c r="B86" s="135">
        <v>2.64</v>
      </c>
      <c r="C86" s="135">
        <v>10.77</v>
      </c>
      <c r="D86" s="135">
        <v>13.41</v>
      </c>
      <c r="E86" s="135">
        <v>4.9800000000000004</v>
      </c>
      <c r="F86" s="135">
        <v>0.17</v>
      </c>
      <c r="G86" s="208" t="s">
        <v>36</v>
      </c>
      <c r="H86" s="135">
        <v>3.61</v>
      </c>
      <c r="I86" s="135">
        <v>3.33</v>
      </c>
      <c r="J86" s="135">
        <v>0.21</v>
      </c>
      <c r="K86" s="135">
        <v>232.58</v>
      </c>
      <c r="L86" s="9" t="s">
        <v>36</v>
      </c>
      <c r="M86" s="135">
        <v>86.53</v>
      </c>
      <c r="N86" s="208" t="s">
        <v>36</v>
      </c>
      <c r="O86" s="135">
        <v>0</v>
      </c>
      <c r="P86" s="135">
        <v>2.70</v>
      </c>
      <c r="Q86" s="135">
        <v>6.19</v>
      </c>
      <c r="R86" s="194"/>
      <c r="S86" s="194"/>
      <c r="T86" s="194"/>
      <c r="U86" s="194"/>
    </row>
    <row r="87" spans="1:21" s="12" customFormat="1" ht="15">
      <c r="A87" s="207" t="s">
        <v>1667</v>
      </c>
      <c r="B87" s="135">
        <v>2.79</v>
      </c>
      <c r="C87" s="135">
        <v>10.69</v>
      </c>
      <c r="D87" s="135">
        <v>13.49</v>
      </c>
      <c r="E87" s="135">
        <v>5.23</v>
      </c>
      <c r="F87" s="135">
        <v>0.19</v>
      </c>
      <c r="G87" s="208" t="s">
        <v>36</v>
      </c>
      <c r="H87" s="135">
        <v>3.61</v>
      </c>
      <c r="I87" s="135">
        <v>3.45</v>
      </c>
      <c r="J87" s="135">
        <v>0.10</v>
      </c>
      <c r="K87" s="135">
        <v>228.08</v>
      </c>
      <c r="L87" s="9" t="s">
        <v>36</v>
      </c>
      <c r="M87" s="135">
        <v>86.27</v>
      </c>
      <c r="N87" s="208" t="s">
        <v>36</v>
      </c>
      <c r="O87" s="135">
        <v>0</v>
      </c>
      <c r="P87" s="135">
        <v>2.70</v>
      </c>
      <c r="Q87" s="135">
        <v>6.34</v>
      </c>
      <c r="R87" s="194"/>
      <c r="S87" s="194"/>
      <c r="T87" s="194"/>
      <c r="U87" s="194"/>
    </row>
    <row r="88" spans="1:21" s="12" customFormat="1" ht="15">
      <c r="A88" s="207" t="s">
        <v>1668</v>
      </c>
      <c r="B88" s="135">
        <v>2.96</v>
      </c>
      <c r="C88" s="135">
        <v>10.84</v>
      </c>
      <c r="D88" s="135">
        <v>13.79</v>
      </c>
      <c r="E88" s="135">
        <v>3.54</v>
      </c>
      <c r="F88" s="135">
        <v>0.37</v>
      </c>
      <c r="G88" s="208" t="s">
        <v>36</v>
      </c>
      <c r="H88" s="135">
        <v>3.61</v>
      </c>
      <c r="I88" s="135">
        <v>3.49</v>
      </c>
      <c r="J88" s="135">
        <v>0.18</v>
      </c>
      <c r="K88" s="135">
        <v>210.14</v>
      </c>
      <c r="L88" s="9" t="s">
        <v>36</v>
      </c>
      <c r="M88" s="135">
        <v>87.52</v>
      </c>
      <c r="N88" s="208" t="s">
        <v>36</v>
      </c>
      <c r="O88" s="135">
        <v>0</v>
      </c>
      <c r="P88" s="135">
        <v>2.71</v>
      </c>
      <c r="Q88" s="135">
        <v>6.44</v>
      </c>
      <c r="R88" s="194"/>
      <c r="S88" s="194"/>
      <c r="T88" s="194"/>
      <c r="U88" s="194"/>
    </row>
    <row r="89" spans="1:21" s="12" customFormat="1" ht="15">
      <c r="A89" s="207" t="s">
        <v>1669</v>
      </c>
      <c r="B89" s="135">
        <v>3.22</v>
      </c>
      <c r="C89" s="135">
        <v>10.95</v>
      </c>
      <c r="D89" s="135">
        <v>14.18</v>
      </c>
      <c r="E89" s="135">
        <v>5.78</v>
      </c>
      <c r="F89" s="135">
        <v>0.26</v>
      </c>
      <c r="G89" s="208" t="s">
        <v>36</v>
      </c>
      <c r="H89" s="135">
        <v>4.6399999999999997</v>
      </c>
      <c r="I89" s="135">
        <v>3.64</v>
      </c>
      <c r="J89" s="135">
        <v>0.17</v>
      </c>
      <c r="K89" s="135">
        <v>214.32</v>
      </c>
      <c r="L89" s="9" t="s">
        <v>36</v>
      </c>
      <c r="M89" s="135">
        <v>88.03</v>
      </c>
      <c r="N89" s="208" t="s">
        <v>36</v>
      </c>
      <c r="O89" s="135">
        <v>0</v>
      </c>
      <c r="P89" s="135">
        <v>2.73</v>
      </c>
      <c r="Q89" s="135">
        <v>6.80</v>
      </c>
      <c r="R89" s="194"/>
      <c r="S89" s="194"/>
      <c r="T89" s="194"/>
      <c r="U89" s="194"/>
    </row>
    <row r="90" spans="1:21" s="12" customFormat="1" ht="15">
      <c r="A90" s="207" t="s">
        <v>1670</v>
      </c>
      <c r="B90" s="135">
        <v>3.41</v>
      </c>
      <c r="C90" s="135">
        <v>11.20</v>
      </c>
      <c r="D90" s="135">
        <v>14.61</v>
      </c>
      <c r="E90" s="135">
        <v>5.91</v>
      </c>
      <c r="F90" s="135">
        <v>0.42</v>
      </c>
      <c r="G90" s="208" t="s">
        <v>36</v>
      </c>
      <c r="H90" s="135">
        <v>7.16</v>
      </c>
      <c r="I90" s="135">
        <v>3.72</v>
      </c>
      <c r="J90" s="135">
        <v>0.35</v>
      </c>
      <c r="K90" s="135">
        <v>209.77</v>
      </c>
      <c r="L90" s="9" t="s">
        <v>36</v>
      </c>
      <c r="M90" s="135">
        <v>87.70</v>
      </c>
      <c r="N90" s="208" t="s">
        <v>36</v>
      </c>
      <c r="O90" s="135">
        <v>0</v>
      </c>
      <c r="P90" s="135">
        <v>2.73</v>
      </c>
      <c r="Q90" s="135">
        <v>6.88</v>
      </c>
      <c r="R90" s="194"/>
      <c r="S90" s="194"/>
      <c r="T90" s="194"/>
      <c r="U90" s="194"/>
    </row>
    <row r="91" spans="1:21" s="12" customFormat="1" ht="15">
      <c r="A91" s="207" t="s">
        <v>1671</v>
      </c>
      <c r="B91" s="135">
        <v>3.36</v>
      </c>
      <c r="C91" s="135">
        <v>11.31</v>
      </c>
      <c r="D91" s="135">
        <v>14.67</v>
      </c>
      <c r="E91" s="135">
        <v>6.20</v>
      </c>
      <c r="F91" s="135">
        <v>0.27</v>
      </c>
      <c r="G91" s="208" t="s">
        <v>36</v>
      </c>
      <c r="H91" s="135">
        <v>7.16</v>
      </c>
      <c r="I91" s="135">
        <v>3.80</v>
      </c>
      <c r="J91" s="135">
        <v>0.13</v>
      </c>
      <c r="K91" s="135">
        <v>237.16</v>
      </c>
      <c r="L91" s="9" t="s">
        <v>36</v>
      </c>
      <c r="M91" s="135">
        <v>88.88</v>
      </c>
      <c r="N91" s="135">
        <v>0.30</v>
      </c>
      <c r="O91" s="135">
        <v>0</v>
      </c>
      <c r="P91" s="135">
        <v>2.75</v>
      </c>
      <c r="Q91" s="135">
        <v>6.89</v>
      </c>
      <c r="R91" s="194"/>
      <c r="S91" s="194"/>
      <c r="T91" s="194"/>
      <c r="U91" s="194"/>
    </row>
    <row r="92" spans="1:21" s="12" customFormat="1" ht="15">
      <c r="A92" s="207" t="s">
        <v>1672</v>
      </c>
      <c r="B92" s="135">
        <v>3.43</v>
      </c>
      <c r="C92" s="135">
        <v>11.38</v>
      </c>
      <c r="D92" s="135">
        <v>14.80</v>
      </c>
      <c r="E92" s="135">
        <v>6</v>
      </c>
      <c r="F92" s="135">
        <v>0.10</v>
      </c>
      <c r="G92" s="208" t="s">
        <v>36</v>
      </c>
      <c r="H92" s="135">
        <v>7.16</v>
      </c>
      <c r="I92" s="135">
        <v>3.84</v>
      </c>
      <c r="J92" s="135">
        <v>0.25</v>
      </c>
      <c r="K92" s="135">
        <v>213.40</v>
      </c>
      <c r="L92" s="9" t="s">
        <v>36</v>
      </c>
      <c r="M92" s="135">
        <v>89.02</v>
      </c>
      <c r="N92" s="135">
        <v>0.10</v>
      </c>
      <c r="O92" s="135">
        <v>0</v>
      </c>
      <c r="P92" s="135">
        <v>2.77</v>
      </c>
      <c r="Q92" s="135">
        <v>6.87</v>
      </c>
      <c r="R92" s="194"/>
      <c r="S92" s="194"/>
      <c r="T92" s="194"/>
      <c r="U92" s="194"/>
    </row>
    <row r="93" spans="1:21" s="12" customFormat="1" ht="15">
      <c r="A93" s="207" t="s">
        <v>1673</v>
      </c>
      <c r="B93" s="135">
        <v>3.41</v>
      </c>
      <c r="C93" s="135">
        <v>11.47</v>
      </c>
      <c r="D93" s="135">
        <v>14.88</v>
      </c>
      <c r="E93" s="135">
        <v>6.43</v>
      </c>
      <c r="F93" s="135">
        <v>0.08</v>
      </c>
      <c r="G93" s="208" t="s">
        <v>36</v>
      </c>
      <c r="H93" s="135">
        <v>7.84</v>
      </c>
      <c r="I93" s="135">
        <v>3.86</v>
      </c>
      <c r="J93" s="135">
        <v>0.20</v>
      </c>
      <c r="K93" s="135">
        <v>205.54</v>
      </c>
      <c r="L93" s="9" t="s">
        <v>36</v>
      </c>
      <c r="M93" s="135">
        <v>90.39</v>
      </c>
      <c r="N93" s="135">
        <v>0.10</v>
      </c>
      <c r="O93" s="135">
        <v>0</v>
      </c>
      <c r="P93" s="135">
        <v>2.78</v>
      </c>
      <c r="Q93" s="135">
        <v>6.94</v>
      </c>
      <c r="R93" s="194"/>
      <c r="S93" s="194"/>
      <c r="T93" s="194"/>
      <c r="U93" s="194"/>
    </row>
    <row r="94" spans="1:21" s="12" customFormat="1" ht="15">
      <c r="A94" s="207" t="s">
        <v>1674</v>
      </c>
      <c r="B94" s="135">
        <v>3.59</v>
      </c>
      <c r="C94" s="135">
        <v>11.44</v>
      </c>
      <c r="D94" s="135">
        <v>15.03</v>
      </c>
      <c r="E94" s="135">
        <v>6.82</v>
      </c>
      <c r="F94" s="135">
        <v>0.03</v>
      </c>
      <c r="G94" s="208" t="s">
        <v>36</v>
      </c>
      <c r="H94" s="135">
        <v>9.51</v>
      </c>
      <c r="I94" s="135">
        <v>3.93</v>
      </c>
      <c r="J94" s="135">
        <v>0.24</v>
      </c>
      <c r="K94" s="135">
        <v>229.25</v>
      </c>
      <c r="L94" s="9" t="s">
        <v>36</v>
      </c>
      <c r="M94" s="135">
        <v>91.52</v>
      </c>
      <c r="N94" s="135">
        <v>0.10</v>
      </c>
      <c r="O94" s="135">
        <v>0</v>
      </c>
      <c r="P94" s="135">
        <v>2.79</v>
      </c>
      <c r="Q94" s="135">
        <v>6.83</v>
      </c>
      <c r="R94" s="194"/>
      <c r="S94" s="194"/>
      <c r="T94" s="194"/>
      <c r="U94" s="194"/>
    </row>
    <row r="95" spans="1:21" s="12" customFormat="1" ht="15">
      <c r="A95" s="207" t="s">
        <v>1675</v>
      </c>
      <c r="B95" s="135">
        <v>3.63</v>
      </c>
      <c r="C95" s="135">
        <v>11.38</v>
      </c>
      <c r="D95" s="135">
        <v>15.01</v>
      </c>
      <c r="E95" s="135">
        <v>6.32</v>
      </c>
      <c r="F95" s="135">
        <v>0.55000000000000004</v>
      </c>
      <c r="G95" s="208" t="s">
        <v>36</v>
      </c>
      <c r="H95" s="135">
        <v>9.51</v>
      </c>
      <c r="I95" s="135">
        <v>3.95</v>
      </c>
      <c r="J95" s="135">
        <v>0.20</v>
      </c>
      <c r="K95" s="135">
        <v>193.68</v>
      </c>
      <c r="L95" s="9" t="s">
        <v>36</v>
      </c>
      <c r="M95" s="135">
        <v>91.38</v>
      </c>
      <c r="N95" s="208" t="s">
        <v>36</v>
      </c>
      <c r="O95" s="135">
        <v>0</v>
      </c>
      <c r="P95" s="135">
        <v>2.78</v>
      </c>
      <c r="Q95" s="135">
        <v>6.75</v>
      </c>
      <c r="R95" s="194"/>
      <c r="S95" s="194"/>
      <c r="T95" s="194"/>
      <c r="U95" s="194"/>
    </row>
    <row r="96" spans="1:26" s="12" customFormat="1" ht="15">
      <c r="A96" s="207" t="s">
        <v>1676</v>
      </c>
      <c r="B96" s="135">
        <v>3.77</v>
      </c>
      <c r="C96" s="135">
        <v>10.92</v>
      </c>
      <c r="D96" s="135">
        <v>14.69</v>
      </c>
      <c r="E96" s="135">
        <v>6.63</v>
      </c>
      <c r="F96" s="135">
        <v>0.14000000000000001</v>
      </c>
      <c r="G96" s="208" t="s">
        <v>36</v>
      </c>
      <c r="H96" s="135">
        <v>9.51</v>
      </c>
      <c r="I96" s="135">
        <v>3.98</v>
      </c>
      <c r="J96" s="135">
        <v>0.16</v>
      </c>
      <c r="K96" s="135">
        <v>223.14</v>
      </c>
      <c r="L96" s="9" t="s">
        <v>36</v>
      </c>
      <c r="M96" s="135">
        <v>91.82</v>
      </c>
      <c r="N96" s="208" t="s">
        <v>36</v>
      </c>
      <c r="O96" s="135">
        <v>0</v>
      </c>
      <c r="P96" s="135">
        <v>2.78</v>
      </c>
      <c r="Q96" s="135">
        <v>6.5</v>
      </c>
      <c r="R96" s="194"/>
      <c r="S96" s="194"/>
      <c r="T96" s="194"/>
      <c r="U96" s="194"/>
      <c r="Z96" s="105"/>
    </row>
    <row r="97" spans="1:21" s="12" customFormat="1" ht="15">
      <c r="A97" s="207" t="s">
        <v>1677</v>
      </c>
      <c r="B97" s="135">
        <v>4.08</v>
      </c>
      <c r="C97" s="135">
        <v>10.71</v>
      </c>
      <c r="D97" s="135">
        <v>14.79</v>
      </c>
      <c r="E97" s="135">
        <v>6.54</v>
      </c>
      <c r="F97" s="135">
        <v>0.06</v>
      </c>
      <c r="G97" s="208" t="s">
        <v>36</v>
      </c>
      <c r="H97" s="135">
        <v>9.49</v>
      </c>
      <c r="I97" s="135">
        <v>3.84</v>
      </c>
      <c r="J97" s="135">
        <v>0.15</v>
      </c>
      <c r="K97" s="135">
        <v>207.53</v>
      </c>
      <c r="L97" s="9" t="s">
        <v>36</v>
      </c>
      <c r="M97" s="135">
        <v>91.5</v>
      </c>
      <c r="N97" s="208" t="s">
        <v>36</v>
      </c>
      <c r="O97" s="135">
        <v>0</v>
      </c>
      <c r="P97" s="135">
        <v>2.79</v>
      </c>
      <c r="Q97" s="135">
        <v>6.61</v>
      </c>
      <c r="R97" s="194"/>
      <c r="S97" s="194"/>
      <c r="T97" s="194"/>
      <c r="U97" s="194"/>
    </row>
    <row r="98" spans="1:21" s="12" customFormat="1" ht="15">
      <c r="A98" s="207" t="s">
        <v>1678</v>
      </c>
      <c r="B98" s="135">
        <v>4.3600000000000003</v>
      </c>
      <c r="C98" s="135">
        <v>10.64</v>
      </c>
      <c r="D98" s="135">
        <v>15</v>
      </c>
      <c r="E98" s="135">
        <v>7.23</v>
      </c>
      <c r="F98" s="135">
        <v>0.02</v>
      </c>
      <c r="G98" s="208" t="s">
        <v>36</v>
      </c>
      <c r="H98" s="135">
        <v>9.44</v>
      </c>
      <c r="I98" s="135">
        <v>3.85</v>
      </c>
      <c r="J98" s="135">
        <v>0.42</v>
      </c>
      <c r="K98" s="135">
        <v>179.72</v>
      </c>
      <c r="L98" s="9" t="s">
        <v>36</v>
      </c>
      <c r="M98" s="135">
        <v>91.22</v>
      </c>
      <c r="N98" s="208" t="s">
        <v>36</v>
      </c>
      <c r="O98" s="135">
        <v>0</v>
      </c>
      <c r="P98" s="135">
        <v>2.79</v>
      </c>
      <c r="Q98" s="135">
        <v>6.63</v>
      </c>
      <c r="R98" s="194"/>
      <c r="S98" s="194"/>
      <c r="T98" s="194"/>
      <c r="U98" s="194"/>
    </row>
    <row r="99" spans="1:21" s="12" customFormat="1" ht="15">
      <c r="A99" s="207" t="s">
        <v>1679</v>
      </c>
      <c r="B99" s="135">
        <v>4.54</v>
      </c>
      <c r="C99" s="135">
        <v>10.27</v>
      </c>
      <c r="D99" s="135">
        <v>14.80</v>
      </c>
      <c r="E99" s="135">
        <v>7.12</v>
      </c>
      <c r="F99" s="135">
        <v>0.04</v>
      </c>
      <c r="G99" s="208" t="s">
        <v>36</v>
      </c>
      <c r="H99" s="135">
        <v>9.44</v>
      </c>
      <c r="I99" s="135">
        <v>3.97</v>
      </c>
      <c r="J99" s="135">
        <v>0.26</v>
      </c>
      <c r="K99" s="135">
        <v>208.27</v>
      </c>
      <c r="L99" s="9" t="s">
        <v>36</v>
      </c>
      <c r="M99" s="135">
        <v>92.02</v>
      </c>
      <c r="N99" s="135">
        <v>0.40</v>
      </c>
      <c r="O99" s="135">
        <v>0</v>
      </c>
      <c r="P99" s="135">
        <v>2.79</v>
      </c>
      <c r="Q99" s="135">
        <v>6.65</v>
      </c>
      <c r="R99" s="194"/>
      <c r="S99" s="194"/>
      <c r="T99" s="194"/>
      <c r="U99" s="194"/>
    </row>
    <row r="100" spans="1:33" s="12" customFormat="1" ht="15">
      <c r="A100" s="207" t="s">
        <v>1680</v>
      </c>
      <c r="B100" s="135">
        <v>4.68</v>
      </c>
      <c r="C100" s="135">
        <v>10.09</v>
      </c>
      <c r="D100" s="135">
        <v>14.76</v>
      </c>
      <c r="E100" s="135">
        <v>7.79</v>
      </c>
      <c r="F100" s="135">
        <v>0.23</v>
      </c>
      <c r="G100" s="208" t="s">
        <v>36</v>
      </c>
      <c r="H100" s="135">
        <v>9.44</v>
      </c>
      <c r="I100" s="135">
        <v>3.87</v>
      </c>
      <c r="J100" s="135">
        <v>0.19</v>
      </c>
      <c r="K100" s="135">
        <v>201.65</v>
      </c>
      <c r="L100" s="9" t="s">
        <v>36</v>
      </c>
      <c r="M100" s="135">
        <v>92.59</v>
      </c>
      <c r="N100" s="135">
        <v>0.40</v>
      </c>
      <c r="O100" s="135">
        <v>0</v>
      </c>
      <c r="P100" s="135">
        <v>2.78</v>
      </c>
      <c r="Q100" s="135">
        <v>6.71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1681</v>
      </c>
      <c r="B101" s="135">
        <v>4.8499999999999996</v>
      </c>
      <c r="C101" s="135">
        <v>9.89</v>
      </c>
      <c r="D101" s="135">
        <v>14.74</v>
      </c>
      <c r="E101" s="135">
        <v>7.77</v>
      </c>
      <c r="F101" s="135">
        <v>0.25</v>
      </c>
      <c r="G101" s="208" t="s">
        <v>36</v>
      </c>
      <c r="H101" s="135">
        <v>10.62</v>
      </c>
      <c r="I101" s="135">
        <v>3.61</v>
      </c>
      <c r="J101" s="135">
        <v>0.54</v>
      </c>
      <c r="K101" s="135">
        <v>161.30000000000001</v>
      </c>
      <c r="L101" s="9" t="s">
        <v>36</v>
      </c>
      <c r="M101" s="135">
        <v>92.42</v>
      </c>
      <c r="N101" s="135">
        <v>0.30</v>
      </c>
      <c r="O101" s="135">
        <v>0</v>
      </c>
      <c r="P101" s="135">
        <v>2.79</v>
      </c>
      <c r="Q101" s="135">
        <v>6.85</v>
      </c>
      <c r="R101" s="194"/>
      <c r="S101" s="194"/>
      <c r="T101" s="194"/>
      <c r="U101" s="194"/>
    </row>
    <row r="102" spans="1:21" s="12" customFormat="1" ht="15">
      <c r="A102" s="207" t="s">
        <v>1682</v>
      </c>
      <c r="B102" s="135">
        <v>4.9800000000000004</v>
      </c>
      <c r="C102" s="135">
        <v>9.7899999999999991</v>
      </c>
      <c r="D102" s="135">
        <v>14.77</v>
      </c>
      <c r="E102" s="135">
        <v>8</v>
      </c>
      <c r="F102" s="135">
        <v>0.35</v>
      </c>
      <c r="G102" s="208" t="s">
        <v>36</v>
      </c>
      <c r="H102" s="135">
        <v>13.52</v>
      </c>
      <c r="I102" s="135">
        <v>3.75</v>
      </c>
      <c r="J102" s="135">
        <v>0.36</v>
      </c>
      <c r="K102" s="135">
        <v>171.02</v>
      </c>
      <c r="L102" s="9" t="s">
        <v>36</v>
      </c>
      <c r="M102" s="135">
        <v>92.52</v>
      </c>
      <c r="N102" s="135">
        <v>0.40</v>
      </c>
      <c r="O102" s="135">
        <v>0</v>
      </c>
      <c r="P102" s="135">
        <v>2.78</v>
      </c>
      <c r="Q102" s="135">
        <v>7.08</v>
      </c>
      <c r="R102" s="194"/>
      <c r="S102" s="194"/>
      <c r="T102" s="194"/>
      <c r="U102" s="194"/>
    </row>
    <row r="103" spans="1:21" s="12" customFormat="1" ht="15">
      <c r="A103" s="207" t="s">
        <v>1683</v>
      </c>
      <c r="B103" s="135">
        <v>4.88</v>
      </c>
      <c r="C103" s="135">
        <v>9.58</v>
      </c>
      <c r="D103" s="135">
        <v>14.46</v>
      </c>
      <c r="E103" s="135">
        <v>7.86</v>
      </c>
      <c r="F103" s="135">
        <v>0.17</v>
      </c>
      <c r="G103" s="208" t="s">
        <v>36</v>
      </c>
      <c r="H103" s="135">
        <v>13.52</v>
      </c>
      <c r="I103" s="135">
        <v>3.76</v>
      </c>
      <c r="J103" s="135">
        <v>0.27</v>
      </c>
      <c r="K103" s="135">
        <v>176.01</v>
      </c>
      <c r="L103" s="9" t="s">
        <v>36</v>
      </c>
      <c r="M103" s="135">
        <v>92.76</v>
      </c>
      <c r="N103" s="135">
        <v>0.40</v>
      </c>
      <c r="O103" s="135">
        <v>0</v>
      </c>
      <c r="P103" s="135">
        <v>2.78</v>
      </c>
      <c r="Q103" s="135">
        <v>7.01</v>
      </c>
      <c r="R103" s="194"/>
      <c r="S103" s="194"/>
      <c r="T103" s="194"/>
      <c r="U103" s="194"/>
    </row>
    <row r="104" spans="1:21" s="12" customFormat="1" ht="15">
      <c r="A104" s="209" t="s">
        <v>1684</v>
      </c>
      <c r="B104" s="210">
        <v>4.66</v>
      </c>
      <c r="C104" s="210">
        <v>9.76</v>
      </c>
      <c r="D104" s="210">
        <v>14.42</v>
      </c>
      <c r="E104" s="210">
        <v>3.63</v>
      </c>
      <c r="F104" s="210">
        <v>0.13</v>
      </c>
      <c r="G104" s="211" t="s">
        <v>36</v>
      </c>
      <c r="H104" s="210">
        <v>13.52</v>
      </c>
      <c r="I104" s="210">
        <v>3.90</v>
      </c>
      <c r="J104" s="210">
        <v>0.22</v>
      </c>
      <c r="K104" s="210">
        <v>193.79</v>
      </c>
      <c r="L104" s="9" t="s">
        <v>36</v>
      </c>
      <c r="M104" s="210">
        <v>92.71</v>
      </c>
      <c r="N104" s="210">
        <v>0.30</v>
      </c>
      <c r="O104" s="210">
        <v>0</v>
      </c>
      <c r="P104" s="210">
        <v>2.77</v>
      </c>
      <c r="Q104" s="210">
        <v>7.24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0.94999999999999996</v>
      </c>
      <c r="C106" s="67">
        <f>MIN(C9:C104)</f>
        <v>8.7100000000000009</v>
      </c>
      <c r="D106" s="67">
        <f t="shared" si="0" ref="D106:Q106">MIN(D9:D104)</f>
        <v>12.08</v>
      </c>
      <c r="E106" s="67">
        <f t="shared" si="0"/>
        <v>1.5600000000000001</v>
      </c>
      <c r="F106" s="67">
        <f t="shared" si="0"/>
        <v>0.01</v>
      </c>
      <c r="G106" s="67">
        <f t="shared" si="0"/>
        <v>0</v>
      </c>
      <c r="H106" s="67">
        <f t="shared" si="0"/>
        <v>2.3100000000000001</v>
      </c>
      <c r="I106" s="67">
        <f t="shared" si="0"/>
        <v>2.5699999999999998</v>
      </c>
      <c r="J106" s="67">
        <f t="shared" si="0"/>
        <v>0.029999999999999999</v>
      </c>
      <c r="K106" s="67">
        <f t="shared" si="0"/>
        <v>1.01</v>
      </c>
      <c r="L106" s="67">
        <f t="shared" si="0"/>
        <v>0</v>
      </c>
      <c r="M106" s="67">
        <f t="shared" si="0"/>
        <v>76.019999999999996</v>
      </c>
      <c r="N106" s="67">
        <f t="shared" si="0"/>
        <v>0.10000000000000001</v>
      </c>
      <c r="O106" s="67">
        <f t="shared" si="0"/>
        <v>0</v>
      </c>
      <c r="P106" s="67">
        <f t="shared" si="0"/>
        <v>2.5800000000000001</v>
      </c>
      <c r="Q106" s="67">
        <f t="shared" si="0"/>
        <v>0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6.3600000000000003</v>
      </c>
      <c r="C107" s="66">
        <f t="shared" si="1" ref="C107:Q107">MAX(C9:C104)</f>
        <v>15.470000000000001</v>
      </c>
      <c r="D107" s="66">
        <f t="shared" si="1"/>
        <v>17.559999999999999</v>
      </c>
      <c r="E107" s="66">
        <f t="shared" si="1"/>
        <v>10.1</v>
      </c>
      <c r="F107" s="66">
        <f t="shared" si="1"/>
        <v>1.5700000000000001</v>
      </c>
      <c r="G107" s="66">
        <f t="shared" si="1"/>
        <v>0</v>
      </c>
      <c r="H107" s="66">
        <f t="shared" si="1"/>
        <v>13.52</v>
      </c>
      <c r="I107" s="66">
        <f t="shared" si="1"/>
        <v>5.2000000000000002</v>
      </c>
      <c r="J107" s="66">
        <f t="shared" si="1"/>
        <v>1.6899999999999999</v>
      </c>
      <c r="K107" s="66">
        <f t="shared" si="1"/>
        <v>266.13</v>
      </c>
      <c r="L107" s="66">
        <f t="shared" si="1"/>
        <v>0</v>
      </c>
      <c r="M107" s="66">
        <f t="shared" si="1"/>
        <v>99.099999999999994</v>
      </c>
      <c r="N107" s="66">
        <f t="shared" si="1"/>
        <v>509.80000000000001</v>
      </c>
      <c r="O107" s="66">
        <f t="shared" si="1"/>
        <v>1.8</v>
      </c>
      <c r="P107" s="66">
        <f t="shared" si="1"/>
        <v>2.8399999999999999</v>
      </c>
      <c r="Q107" s="66">
        <f t="shared" si="1"/>
        <v>7.2400000000000002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3.5092631578947384</v>
      </c>
      <c r="C108" s="67">
        <f t="shared" si="2" ref="C108:Q108">AVERAGE(C9:C104)</f>
        <v>11.101684210526322</v>
      </c>
      <c r="D108" s="67">
        <f t="shared" si="2"/>
        <v>14.610210526315791</v>
      </c>
      <c r="E108" s="67">
        <f t="shared" si="2"/>
        <v>6.588947368421052</v>
      </c>
      <c r="F108" s="67">
        <f t="shared" si="2"/>
        <v>0.41563829787234041</v>
      </c>
      <c r="G108" s="67" t="e">
        <f t="shared" si="2"/>
        <v>#DIV/0!</v>
      </c>
      <c r="H108" s="67">
        <f t="shared" si="2"/>
        <v>5.0815789473684205</v>
      </c>
      <c r="I108" s="67">
        <f t="shared" si="2"/>
        <v>3.9461052631578939</v>
      </c>
      <c r="J108" s="67">
        <f t="shared" si="2"/>
        <v>0.56368421052631579</v>
      </c>
      <c r="K108" s="67">
        <f t="shared" si="2"/>
        <v>172.22147368421057</v>
      </c>
      <c r="L108" s="67" t="e">
        <f t="shared" si="2"/>
        <v>#DIV/0!</v>
      </c>
      <c r="M108" s="67">
        <f t="shared" si="2"/>
        <v>90.136736842105279</v>
      </c>
      <c r="N108" s="67">
        <f t="shared" si="2"/>
        <v>110.95176470588235</v>
      </c>
      <c r="O108" s="67">
        <f t="shared" si="2"/>
        <v>0.046315789473684213</v>
      </c>
      <c r="P108" s="67">
        <f t="shared" si="2"/>
        <v>2.6913684210526303</v>
      </c>
      <c r="Q108" s="67">
        <f t="shared" si="2"/>
        <v>5.7815789473684234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1.5771123909984892</v>
      </c>
      <c r="C109" s="67">
        <f t="shared" si="3" ref="C109:Q109">STDEV(C9:C104)</f>
        <v>1.5668165669711185</v>
      </c>
      <c r="D109" s="67">
        <f t="shared" si="3"/>
        <v>1.4285329321320845</v>
      </c>
      <c r="E109" s="67">
        <f t="shared" si="3"/>
        <v>2.6012674789802852</v>
      </c>
      <c r="F109" s="67">
        <f t="shared" si="3"/>
        <v>0.36002556214694259</v>
      </c>
      <c r="G109" s="67" t="e">
        <f t="shared" si="3"/>
        <v>#DIV/0!</v>
      </c>
      <c r="H109" s="67">
        <f t="shared" si="3"/>
        <v>2.5317857274589493</v>
      </c>
      <c r="I109" s="67">
        <f t="shared" si="3"/>
        <v>0.77029739315940593</v>
      </c>
      <c r="J109" s="67">
        <f t="shared" si="3"/>
        <v>0.42962639046773921</v>
      </c>
      <c r="K109" s="67">
        <f t="shared" si="3"/>
        <v>49.196491030560686</v>
      </c>
      <c r="L109" s="67" t="e">
        <f t="shared" si="3"/>
        <v>#DIV/0!</v>
      </c>
      <c r="M109" s="67">
        <f t="shared" si="3"/>
        <v>6.4584293331496463</v>
      </c>
      <c r="N109" s="67">
        <f t="shared" si="3"/>
        <v>136.38211603516677</v>
      </c>
      <c r="O109" s="67">
        <f t="shared" si="3"/>
        <v>0.25340679864420401</v>
      </c>
      <c r="P109" s="67">
        <f t="shared" si="3"/>
        <v>0.062901654517964936</v>
      </c>
      <c r="Q109" s="67">
        <f t="shared" si="3"/>
        <v>1.1976460207596475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95</v>
      </c>
      <c r="C110" s="66">
        <f>COUNT(C9:C104)+1</f>
        <v>96</v>
      </c>
      <c r="D110" s="66">
        <f>COUNT(D9:D104)+1</f>
        <v>96</v>
      </c>
      <c r="E110" s="66">
        <f>COUNT(E9:E104)+1</f>
        <v>96</v>
      </c>
      <c r="F110" s="66">
        <f>COUNT(F9:F104)+2</f>
        <v>96</v>
      </c>
      <c r="G110" s="66">
        <f>COUNT(G9:G104)+96</f>
        <v>96</v>
      </c>
      <c r="H110" s="66">
        <f>COUNT(H9:H104)+1</f>
        <v>96</v>
      </c>
      <c r="I110" s="66">
        <f>COUNT(I9:I104)+1</f>
        <v>96</v>
      </c>
      <c r="J110" s="66">
        <f>COUNT(J9:J104)+1</f>
        <v>96</v>
      </c>
      <c r="K110" s="66">
        <f>COUNT(K9:K104)+1</f>
        <v>96</v>
      </c>
      <c r="L110" s="66">
        <f>COUNT(L9:L104)+96</f>
        <v>96</v>
      </c>
      <c r="M110" s="66">
        <f>COUNT(M9:M104)+1</f>
        <v>96</v>
      </c>
      <c r="N110" s="66">
        <f>COUNT(N9:N104)+1</f>
        <v>86</v>
      </c>
      <c r="O110" s="66">
        <f>COUNT(O9:O104)+1</f>
        <v>96</v>
      </c>
      <c r="P110" s="66">
        <f>COUNT(P9:P104)+1</f>
        <v>96</v>
      </c>
      <c r="Q110" s="66">
        <f>COUNT(Q9:Q104)+1</f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4" ref="C111:Q111">IF(C110&gt;=87,"&gt;90%",IF(C110&lt;=87,"&lt;90%"))</f>
        <v>&gt;90%</v>
      </c>
      <c r="D111" s="13" t="str">
        <f t="shared" si="4"/>
        <v>&gt;90%</v>
      </c>
      <c r="E111" s="13" t="str">
        <f t="shared" si="4"/>
        <v>&gt;90%</v>
      </c>
      <c r="F111" s="13" t="str">
        <f t="shared" si="4"/>
        <v>&gt;90%</v>
      </c>
      <c r="G111" s="13" t="str">
        <f t="shared" si="4"/>
        <v>&gt;90%</v>
      </c>
      <c r="H111" s="13" t="str">
        <f t="shared" si="4"/>
        <v>&gt;90%</v>
      </c>
      <c r="I111" s="13" t="str">
        <f t="shared" si="4"/>
        <v>&gt;90%</v>
      </c>
      <c r="J111" s="13" t="str">
        <f t="shared" si="4"/>
        <v>&gt;90%</v>
      </c>
      <c r="K111" s="13" t="str">
        <f t="shared" si="4"/>
        <v>&gt;90%</v>
      </c>
      <c r="L111" s="13" t="str">
        <f t="shared" si="4"/>
        <v>&gt;90%</v>
      </c>
      <c r="M111" s="13" t="str">
        <f t="shared" si="4"/>
        <v>&gt;90%</v>
      </c>
      <c r="N111" s="13" t="str">
        <f t="shared" si="4"/>
        <v>&lt;90%</v>
      </c>
      <c r="O111" s="13" t="str">
        <f t="shared" si="4"/>
        <v>&gt;90%</v>
      </c>
      <c r="P111" s="13" t="str">
        <f t="shared" si="4"/>
        <v>&gt;90%</v>
      </c>
      <c r="Q111" s="13" t="str">
        <f t="shared" si="4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5" ref="C112:Q112">IF(C110&gt;=87,"OK",IF(C110&lt;=87,"LESS"))</f>
        <v>OK</v>
      </c>
      <c r="D112" s="13" t="str">
        <f t="shared" si="5"/>
        <v>OK</v>
      </c>
      <c r="E112" s="13" t="str">
        <f t="shared" si="5"/>
        <v>OK</v>
      </c>
      <c r="F112" s="13" t="str">
        <f t="shared" si="5"/>
        <v>OK</v>
      </c>
      <c r="G112" s="13" t="str">
        <f t="shared" si="5"/>
        <v>OK</v>
      </c>
      <c r="H112" s="13" t="str">
        <f t="shared" si="5"/>
        <v>OK</v>
      </c>
      <c r="I112" s="13" t="str">
        <f t="shared" si="5"/>
        <v>OK</v>
      </c>
      <c r="J112" s="13" t="str">
        <f t="shared" si="5"/>
        <v>OK</v>
      </c>
      <c r="K112" s="13" t="str">
        <f t="shared" si="5"/>
        <v>OK</v>
      </c>
      <c r="L112" s="13" t="str">
        <f t="shared" si="5"/>
        <v>OK</v>
      </c>
      <c r="M112" s="13" t="str">
        <f t="shared" si="5"/>
        <v>OK</v>
      </c>
      <c r="N112" s="13" t="str">
        <f t="shared" si="5"/>
        <v>LESS</v>
      </c>
      <c r="O112" s="13" t="str">
        <f t="shared" si="5"/>
        <v>OK</v>
      </c>
      <c r="P112" s="13" t="str">
        <f t="shared" si="5"/>
        <v>OK</v>
      </c>
      <c r="Q112" s="13" t="str">
        <f t="shared" si="5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3b03520-9f0d-46e4-88b7-f2027f5d45f5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16-07-2022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1685</v>
      </c>
      <c r="B9" s="135">
        <v>4.3499999999999996</v>
      </c>
      <c r="C9" s="135">
        <v>9.9499999999999993</v>
      </c>
      <c r="D9" s="135">
        <v>14.31</v>
      </c>
      <c r="E9" s="135">
        <v>6.80</v>
      </c>
      <c r="F9" s="208" t="s">
        <v>36</v>
      </c>
      <c r="G9" s="208" t="s">
        <v>36</v>
      </c>
      <c r="H9" s="135">
        <v>12.48</v>
      </c>
      <c r="I9" s="135">
        <v>4.2300000000000004</v>
      </c>
      <c r="J9" s="135">
        <v>0.30</v>
      </c>
      <c r="K9" s="135">
        <v>165.95</v>
      </c>
      <c r="L9" s="9" t="s">
        <v>36</v>
      </c>
      <c r="M9" s="135">
        <v>92.68</v>
      </c>
      <c r="N9" s="135">
        <v>0.40</v>
      </c>
      <c r="O9" s="135">
        <v>0</v>
      </c>
      <c r="P9" s="135">
        <v>2.75</v>
      </c>
      <c r="Q9" s="135">
        <v>7.23</v>
      </c>
      <c r="R9" s="194"/>
      <c r="S9" s="194"/>
      <c r="T9" s="194"/>
      <c r="U9" s="194"/>
    </row>
    <row r="10" spans="1:21" s="12" customFormat="1" ht="15">
      <c r="A10" s="207" t="s">
        <v>1686</v>
      </c>
      <c r="B10" s="135">
        <v>3.97</v>
      </c>
      <c r="C10" s="135">
        <v>9.8800000000000008</v>
      </c>
      <c r="D10" s="135">
        <v>13.86</v>
      </c>
      <c r="E10" s="135">
        <v>6.78</v>
      </c>
      <c r="F10" s="135">
        <v>1.06</v>
      </c>
      <c r="G10" s="208" t="s">
        <v>36</v>
      </c>
      <c r="H10" s="135">
        <v>9.92</v>
      </c>
      <c r="I10" s="135">
        <v>4.24</v>
      </c>
      <c r="J10" s="135">
        <v>0.42</v>
      </c>
      <c r="K10" s="135">
        <v>174.85</v>
      </c>
      <c r="L10" s="9" t="s">
        <v>36</v>
      </c>
      <c r="M10" s="135">
        <v>92.45</v>
      </c>
      <c r="N10" s="135">
        <v>0.30</v>
      </c>
      <c r="O10" s="135">
        <v>0</v>
      </c>
      <c r="P10" s="135">
        <v>2.75</v>
      </c>
      <c r="Q10" s="135">
        <v>6.96</v>
      </c>
      <c r="R10" s="194"/>
      <c r="S10" s="194"/>
      <c r="T10" s="194"/>
      <c r="U10" s="194"/>
    </row>
    <row r="11" spans="1:21" s="12" customFormat="1" ht="15">
      <c r="A11" s="207" t="s">
        <v>1687</v>
      </c>
      <c r="B11" s="135">
        <v>3.60</v>
      </c>
      <c r="C11" s="135">
        <v>9.60</v>
      </c>
      <c r="D11" s="135">
        <v>13.20</v>
      </c>
      <c r="E11" s="135">
        <v>6.75</v>
      </c>
      <c r="F11" s="135">
        <v>0.45</v>
      </c>
      <c r="G11" s="208" t="s">
        <v>36</v>
      </c>
      <c r="H11" s="135">
        <v>9.92</v>
      </c>
      <c r="I11" s="135">
        <v>4.04</v>
      </c>
      <c r="J11" s="135">
        <v>0.23</v>
      </c>
      <c r="K11" s="135">
        <v>221.60</v>
      </c>
      <c r="L11" s="9" t="s">
        <v>36</v>
      </c>
      <c r="M11" s="135">
        <v>92.47</v>
      </c>
      <c r="N11" s="135">
        <v>0.10</v>
      </c>
      <c r="O11" s="135">
        <v>0</v>
      </c>
      <c r="P11" s="135">
        <v>2.73</v>
      </c>
      <c r="Q11" s="135">
        <v>6.71</v>
      </c>
      <c r="R11" s="194"/>
      <c r="S11" s="194"/>
      <c r="T11" s="194"/>
      <c r="U11" s="194"/>
    </row>
    <row r="12" spans="1:21" s="12" customFormat="1" ht="15">
      <c r="A12" s="207" t="s">
        <v>1688</v>
      </c>
      <c r="B12" s="135">
        <v>3.23</v>
      </c>
      <c r="C12" s="135">
        <v>9.51</v>
      </c>
      <c r="D12" s="135">
        <v>12.75</v>
      </c>
      <c r="E12" s="135">
        <v>6.68</v>
      </c>
      <c r="F12" s="135">
        <v>1.32</v>
      </c>
      <c r="G12" s="208" t="s">
        <v>36</v>
      </c>
      <c r="H12" s="135">
        <v>9.92</v>
      </c>
      <c r="I12" s="135">
        <v>4.0199999999999996</v>
      </c>
      <c r="J12" s="135">
        <v>0.13</v>
      </c>
      <c r="K12" s="135">
        <v>216.07</v>
      </c>
      <c r="L12" s="9" t="s">
        <v>36</v>
      </c>
      <c r="M12" s="135">
        <v>91.18</v>
      </c>
      <c r="N12" s="135">
        <v>0.10</v>
      </c>
      <c r="O12" s="135">
        <v>0</v>
      </c>
      <c r="P12" s="135">
        <v>2.73</v>
      </c>
      <c r="Q12" s="135">
        <v>6.58</v>
      </c>
      <c r="R12" s="194"/>
      <c r="S12" s="194"/>
      <c r="T12" s="194"/>
      <c r="U12" s="194"/>
    </row>
    <row r="13" spans="1:21" s="12" customFormat="1" ht="15">
      <c r="A13" s="207" t="s">
        <v>1689</v>
      </c>
      <c r="B13" s="135">
        <v>2.82</v>
      </c>
      <c r="C13" s="135">
        <v>9.81</v>
      </c>
      <c r="D13" s="135">
        <v>12.63</v>
      </c>
      <c r="E13" s="135">
        <v>6.56</v>
      </c>
      <c r="F13" s="135">
        <v>0.31</v>
      </c>
      <c r="G13" s="208" t="s">
        <v>36</v>
      </c>
      <c r="H13" s="135">
        <v>9.51</v>
      </c>
      <c r="I13" s="135">
        <v>4.0199999999999996</v>
      </c>
      <c r="J13" s="135">
        <v>0.08</v>
      </c>
      <c r="K13" s="135">
        <v>80.709999999999994</v>
      </c>
      <c r="L13" s="9" t="s">
        <v>36</v>
      </c>
      <c r="M13" s="135">
        <v>90.90</v>
      </c>
      <c r="N13" s="135">
        <v>0.40</v>
      </c>
      <c r="O13" s="135">
        <v>0</v>
      </c>
      <c r="P13" s="135">
        <v>2.71</v>
      </c>
      <c r="Q13" s="135">
        <v>6.63</v>
      </c>
      <c r="R13" s="194"/>
      <c r="S13" s="194"/>
      <c r="T13" s="194"/>
      <c r="U13" s="194"/>
    </row>
    <row r="14" spans="1:21" s="12" customFormat="1" ht="15">
      <c r="A14" s="207" t="s">
        <v>1690</v>
      </c>
      <c r="B14" s="135">
        <v>2.4500000000000002</v>
      </c>
      <c r="C14" s="135">
        <v>9.92</v>
      </c>
      <c r="D14" s="135">
        <v>12.38</v>
      </c>
      <c r="E14" s="135">
        <v>6.57</v>
      </c>
      <c r="F14" s="135">
        <v>0.96</v>
      </c>
      <c r="G14" s="208" t="s">
        <v>36</v>
      </c>
      <c r="H14" s="135">
        <v>8.43</v>
      </c>
      <c r="I14" s="135">
        <v>3.95</v>
      </c>
      <c r="J14" s="135">
        <v>0.10</v>
      </c>
      <c r="K14" s="135">
        <v>44.80</v>
      </c>
      <c r="L14" s="9" t="s">
        <v>36</v>
      </c>
      <c r="M14" s="135">
        <v>91.78</v>
      </c>
      <c r="N14" s="135">
        <v>0.30</v>
      </c>
      <c r="O14" s="135">
        <v>0</v>
      </c>
      <c r="P14" s="135">
        <v>2.70</v>
      </c>
      <c r="Q14" s="135">
        <v>6.25</v>
      </c>
      <c r="R14" s="194"/>
      <c r="S14" s="194"/>
      <c r="T14" s="194"/>
      <c r="U14" s="194"/>
    </row>
    <row r="15" spans="1:21" s="12" customFormat="1" ht="15">
      <c r="A15" s="207" t="s">
        <v>1691</v>
      </c>
      <c r="B15" s="135">
        <v>2.2999999999999998</v>
      </c>
      <c r="C15" s="135">
        <v>9.74</v>
      </c>
      <c r="D15" s="135">
        <v>12.04</v>
      </c>
      <c r="E15" s="135">
        <v>6.68</v>
      </c>
      <c r="F15" s="135">
        <v>0.26</v>
      </c>
      <c r="G15" s="208" t="s">
        <v>36</v>
      </c>
      <c r="H15" s="135">
        <v>8.43</v>
      </c>
      <c r="I15" s="135">
        <v>3.88</v>
      </c>
      <c r="J15" s="135">
        <v>0.15</v>
      </c>
      <c r="K15" s="135">
        <v>234.16</v>
      </c>
      <c r="L15" s="9" t="s">
        <v>36</v>
      </c>
      <c r="M15" s="135">
        <v>91.54</v>
      </c>
      <c r="N15" s="135">
        <v>0.30</v>
      </c>
      <c r="O15" s="135">
        <v>0</v>
      </c>
      <c r="P15" s="135">
        <v>2.69</v>
      </c>
      <c r="Q15" s="135">
        <v>5.89</v>
      </c>
      <c r="R15" s="194"/>
      <c r="S15" s="194"/>
      <c r="T15" s="194"/>
      <c r="U15" s="194"/>
    </row>
    <row r="16" spans="1:21" s="12" customFormat="1" ht="15">
      <c r="A16" s="207" t="s">
        <v>1692</v>
      </c>
      <c r="B16" s="135">
        <v>2.19</v>
      </c>
      <c r="C16" s="135">
        <v>9.6300000000000008</v>
      </c>
      <c r="D16" s="135">
        <v>11.81</v>
      </c>
      <c r="E16" s="135">
        <v>6.35</v>
      </c>
      <c r="F16" s="135">
        <v>0.15</v>
      </c>
      <c r="G16" s="208" t="s">
        <v>36</v>
      </c>
      <c r="H16" s="135">
        <v>8.43</v>
      </c>
      <c r="I16" s="135">
        <v>3.76</v>
      </c>
      <c r="J16" s="135">
        <v>0.02</v>
      </c>
      <c r="K16" s="135">
        <v>300.5</v>
      </c>
      <c r="L16" s="9" t="s">
        <v>36</v>
      </c>
      <c r="M16" s="135">
        <v>91.84</v>
      </c>
      <c r="N16" s="135">
        <v>0.30</v>
      </c>
      <c r="O16" s="135">
        <v>0</v>
      </c>
      <c r="P16" s="135">
        <v>2.69</v>
      </c>
      <c r="Q16" s="135">
        <v>5.73</v>
      </c>
      <c r="R16" s="194"/>
      <c r="S16" s="194"/>
      <c r="T16" s="194"/>
      <c r="U16" s="194"/>
    </row>
    <row r="17" spans="1:21" s="12" customFormat="1" ht="15">
      <c r="A17" s="207" t="s">
        <v>1693</v>
      </c>
      <c r="B17" s="135">
        <v>2.08</v>
      </c>
      <c r="C17" s="135">
        <v>9.60</v>
      </c>
      <c r="D17" s="135">
        <v>11.68</v>
      </c>
      <c r="E17" s="135">
        <v>6.52</v>
      </c>
      <c r="F17" s="135">
        <v>0.37</v>
      </c>
      <c r="G17" s="208" t="s">
        <v>36</v>
      </c>
      <c r="H17" s="135">
        <v>8.5</v>
      </c>
      <c r="I17" s="135">
        <v>3.72</v>
      </c>
      <c r="J17" s="135">
        <v>0.05</v>
      </c>
      <c r="K17" s="135">
        <v>184.30</v>
      </c>
      <c r="L17" s="9" t="s">
        <v>36</v>
      </c>
      <c r="M17" s="135">
        <v>92.11</v>
      </c>
      <c r="N17" s="135">
        <v>0.30</v>
      </c>
      <c r="O17" s="135">
        <v>0</v>
      </c>
      <c r="P17" s="135">
        <v>2.68</v>
      </c>
      <c r="Q17" s="135">
        <v>5.70</v>
      </c>
      <c r="R17" s="194"/>
      <c r="S17" s="194"/>
      <c r="T17" s="194"/>
      <c r="U17" s="194"/>
    </row>
    <row r="18" spans="1:21" s="12" customFormat="1" ht="15">
      <c r="A18" s="207" t="s">
        <v>1694</v>
      </c>
      <c r="B18" s="135">
        <v>1.99</v>
      </c>
      <c r="C18" s="135">
        <v>9.56</v>
      </c>
      <c r="D18" s="135">
        <v>11.55</v>
      </c>
      <c r="E18" s="135">
        <v>6.18</v>
      </c>
      <c r="F18" s="135">
        <v>0.41</v>
      </c>
      <c r="G18" s="208" t="s">
        <v>36</v>
      </c>
      <c r="H18" s="135">
        <v>8.69</v>
      </c>
      <c r="I18" s="135">
        <v>3.67</v>
      </c>
      <c r="J18" s="135">
        <v>0.12</v>
      </c>
      <c r="K18" s="135">
        <v>197.11</v>
      </c>
      <c r="L18" s="9" t="s">
        <v>36</v>
      </c>
      <c r="M18" s="135">
        <v>92.55</v>
      </c>
      <c r="N18" s="135">
        <v>0.40</v>
      </c>
      <c r="O18" s="135">
        <v>0</v>
      </c>
      <c r="P18" s="135">
        <v>2.66</v>
      </c>
      <c r="Q18" s="135">
        <v>5.61</v>
      </c>
      <c r="R18" s="194"/>
      <c r="S18" s="194"/>
      <c r="T18" s="194"/>
      <c r="U18" s="194"/>
    </row>
    <row r="19" spans="1:21" s="12" customFormat="1" ht="15">
      <c r="A19" s="207" t="s">
        <v>1695</v>
      </c>
      <c r="B19" s="135">
        <v>1.97</v>
      </c>
      <c r="C19" s="135">
        <v>9.42</v>
      </c>
      <c r="D19" s="135">
        <v>11.39</v>
      </c>
      <c r="E19" s="135">
        <v>6.40</v>
      </c>
      <c r="F19" s="135">
        <v>0.070000000000000007</v>
      </c>
      <c r="G19" s="208" t="s">
        <v>36</v>
      </c>
      <c r="H19" s="135">
        <v>8.69</v>
      </c>
      <c r="I19" s="135">
        <v>3.62</v>
      </c>
      <c r="J19" s="135">
        <v>0.14000000000000001</v>
      </c>
      <c r="K19" s="135">
        <v>217.49</v>
      </c>
      <c r="L19" s="9" t="s">
        <v>36</v>
      </c>
      <c r="M19" s="135">
        <v>92.99</v>
      </c>
      <c r="N19" s="135">
        <v>0.40</v>
      </c>
      <c r="O19" s="135">
        <v>0</v>
      </c>
      <c r="P19" s="135">
        <v>2.66</v>
      </c>
      <c r="Q19" s="135">
        <v>5.54</v>
      </c>
      <c r="R19" s="194"/>
      <c r="S19" s="194"/>
      <c r="T19" s="194"/>
      <c r="U19" s="194"/>
    </row>
    <row r="20" spans="1:21" s="12" customFormat="1" ht="15">
      <c r="A20" s="207" t="s">
        <v>1696</v>
      </c>
      <c r="B20" s="135">
        <v>1.96</v>
      </c>
      <c r="C20" s="135">
        <v>9.2899999999999991</v>
      </c>
      <c r="D20" s="135">
        <v>11.26</v>
      </c>
      <c r="E20" s="135">
        <v>7.11</v>
      </c>
      <c r="F20" s="135">
        <v>1.44</v>
      </c>
      <c r="G20" s="208" t="s">
        <v>36</v>
      </c>
      <c r="H20" s="135">
        <v>8.69</v>
      </c>
      <c r="I20" s="135">
        <v>3.55</v>
      </c>
      <c r="J20" s="135">
        <v>0.05</v>
      </c>
      <c r="K20" s="135">
        <v>171.26</v>
      </c>
      <c r="L20" s="9" t="s">
        <v>36</v>
      </c>
      <c r="M20" s="135">
        <v>93.59</v>
      </c>
      <c r="N20" s="135">
        <v>0.40</v>
      </c>
      <c r="O20" s="135">
        <v>0</v>
      </c>
      <c r="P20" s="135">
        <v>2.65</v>
      </c>
      <c r="Q20" s="135">
        <v>5.51</v>
      </c>
      <c r="R20" s="194"/>
      <c r="S20" s="194"/>
      <c r="T20" s="194"/>
      <c r="U20" s="194"/>
    </row>
    <row r="21" spans="1:21" s="12" customFormat="1" ht="15">
      <c r="A21" s="207" t="s">
        <v>1697</v>
      </c>
      <c r="B21" s="135">
        <v>2</v>
      </c>
      <c r="C21" s="135">
        <v>8.85</v>
      </c>
      <c r="D21" s="135">
        <v>10.86</v>
      </c>
      <c r="E21" s="135">
        <v>6.65</v>
      </c>
      <c r="F21" s="135">
        <v>0.08</v>
      </c>
      <c r="G21" s="208" t="s">
        <v>36</v>
      </c>
      <c r="H21" s="135">
        <v>8.07</v>
      </c>
      <c r="I21" s="135">
        <v>3.54</v>
      </c>
      <c r="J21" s="135">
        <v>0.08</v>
      </c>
      <c r="K21" s="135">
        <v>192.12</v>
      </c>
      <c r="L21" s="9" t="s">
        <v>36</v>
      </c>
      <c r="M21" s="135">
        <v>93.90</v>
      </c>
      <c r="N21" s="135">
        <v>0.40</v>
      </c>
      <c r="O21" s="135">
        <v>0</v>
      </c>
      <c r="P21" s="135">
        <v>2.64</v>
      </c>
      <c r="Q21" s="135">
        <v>5.32</v>
      </c>
      <c r="R21" s="194"/>
      <c r="S21" s="194"/>
      <c r="T21" s="194"/>
      <c r="U21" s="194"/>
    </row>
    <row r="22" spans="1:21" s="12" customFormat="1" ht="15">
      <c r="A22" s="207" t="s">
        <v>1698</v>
      </c>
      <c r="B22" s="135">
        <v>1.99</v>
      </c>
      <c r="C22" s="135">
        <v>8.5399999999999991</v>
      </c>
      <c r="D22" s="135">
        <v>10.53</v>
      </c>
      <c r="E22" s="135">
        <v>6.58</v>
      </c>
      <c r="F22" s="135">
        <v>1.27</v>
      </c>
      <c r="G22" s="208" t="s">
        <v>36</v>
      </c>
      <c r="H22" s="135">
        <v>6.55</v>
      </c>
      <c r="I22" s="135">
        <v>3.52</v>
      </c>
      <c r="J22" s="135">
        <v>0.14000000000000001</v>
      </c>
      <c r="K22" s="135">
        <v>222.48</v>
      </c>
      <c r="L22" s="9" t="s">
        <v>36</v>
      </c>
      <c r="M22" s="135">
        <v>93.98</v>
      </c>
      <c r="N22" s="135">
        <v>0.40</v>
      </c>
      <c r="O22" s="135">
        <v>0</v>
      </c>
      <c r="P22" s="135">
        <v>2.64</v>
      </c>
      <c r="Q22" s="135">
        <v>5.53</v>
      </c>
      <c r="R22" s="194"/>
      <c r="S22" s="194"/>
      <c r="T22" s="194"/>
      <c r="U22" s="194"/>
    </row>
    <row r="23" spans="1:21" s="12" customFormat="1" ht="15">
      <c r="A23" s="207" t="s">
        <v>1699</v>
      </c>
      <c r="B23" s="135">
        <v>1.91</v>
      </c>
      <c r="C23" s="135">
        <v>8.35</v>
      </c>
      <c r="D23" s="135">
        <v>10.26</v>
      </c>
      <c r="E23" s="135">
        <v>6.34</v>
      </c>
      <c r="F23" s="135">
        <v>0.99</v>
      </c>
      <c r="G23" s="208" t="s">
        <v>36</v>
      </c>
      <c r="H23" s="135">
        <v>6.55</v>
      </c>
      <c r="I23" s="135">
        <v>3.43</v>
      </c>
      <c r="J23" s="135">
        <v>0.20</v>
      </c>
      <c r="K23" s="135">
        <v>181.92</v>
      </c>
      <c r="L23" s="9" t="s">
        <v>36</v>
      </c>
      <c r="M23" s="135">
        <v>94.09</v>
      </c>
      <c r="N23" s="135">
        <v>0.40</v>
      </c>
      <c r="O23" s="135">
        <v>0</v>
      </c>
      <c r="P23" s="135">
        <v>2.63</v>
      </c>
      <c r="Q23" s="135">
        <v>5.49</v>
      </c>
      <c r="R23" s="194"/>
      <c r="S23" s="194"/>
      <c r="T23" s="194"/>
      <c r="U23" s="194"/>
    </row>
    <row r="24" spans="1:21" s="12" customFormat="1" ht="15">
      <c r="A24" s="207" t="s">
        <v>1700</v>
      </c>
      <c r="B24" s="135">
        <v>1.84</v>
      </c>
      <c r="C24" s="135">
        <v>8.48</v>
      </c>
      <c r="D24" s="135">
        <v>10.33</v>
      </c>
      <c r="E24" s="135">
        <v>3.58</v>
      </c>
      <c r="F24" s="135">
        <v>0.08</v>
      </c>
      <c r="G24" s="208" t="s">
        <v>36</v>
      </c>
      <c r="H24" s="135">
        <v>6.55</v>
      </c>
      <c r="I24" s="135">
        <v>3.42</v>
      </c>
      <c r="J24" s="135">
        <v>0.10</v>
      </c>
      <c r="K24" s="135">
        <v>28.69</v>
      </c>
      <c r="L24" s="9" t="s">
        <v>36</v>
      </c>
      <c r="M24" s="135">
        <v>93.84</v>
      </c>
      <c r="N24" s="135">
        <v>0.40</v>
      </c>
      <c r="O24" s="135">
        <v>0</v>
      </c>
      <c r="P24" s="135">
        <v>2.62</v>
      </c>
      <c r="Q24" s="135">
        <v>5.60</v>
      </c>
      <c r="R24" s="194"/>
      <c r="S24" s="194"/>
      <c r="T24" s="194"/>
      <c r="U24" s="194"/>
    </row>
    <row r="25" spans="1:21" s="12" customFormat="1" ht="15">
      <c r="A25" s="207" t="s">
        <v>1701</v>
      </c>
      <c r="B25" s="135">
        <v>1.78</v>
      </c>
      <c r="C25" s="135">
        <v>8.41</v>
      </c>
      <c r="D25" s="135">
        <v>10.18</v>
      </c>
      <c r="E25" s="135">
        <v>5.72</v>
      </c>
      <c r="F25" s="135">
        <v>1.1399999999999999</v>
      </c>
      <c r="G25" s="208" t="s">
        <v>36</v>
      </c>
      <c r="H25" s="135">
        <v>7.24</v>
      </c>
      <c r="I25" s="135">
        <v>3.40</v>
      </c>
      <c r="J25" s="135">
        <v>0.01</v>
      </c>
      <c r="K25" s="135">
        <v>97.01</v>
      </c>
      <c r="L25" s="9" t="s">
        <v>36</v>
      </c>
      <c r="M25" s="135">
        <v>93.73</v>
      </c>
      <c r="N25" s="135">
        <v>0.40</v>
      </c>
      <c r="O25" s="135">
        <v>0</v>
      </c>
      <c r="P25" s="135">
        <v>2.62</v>
      </c>
      <c r="Q25" s="135">
        <v>5.48</v>
      </c>
      <c r="R25" s="194"/>
      <c r="S25" s="194"/>
      <c r="T25" s="194"/>
      <c r="U25" s="194"/>
    </row>
    <row r="26" spans="1:21" s="12" customFormat="1" ht="15">
      <c r="A26" s="207" t="s">
        <v>1702</v>
      </c>
      <c r="B26" s="135">
        <v>1.75</v>
      </c>
      <c r="C26" s="135">
        <v>8.7100000000000009</v>
      </c>
      <c r="D26" s="135">
        <v>10.46</v>
      </c>
      <c r="E26" s="135">
        <v>6.14</v>
      </c>
      <c r="F26" s="135">
        <v>1.21</v>
      </c>
      <c r="G26" s="208" t="s">
        <v>36</v>
      </c>
      <c r="H26" s="135">
        <v>8.93</v>
      </c>
      <c r="I26" s="135">
        <v>3.33</v>
      </c>
      <c r="J26" s="135">
        <v>0.05</v>
      </c>
      <c r="K26" s="135">
        <v>230.69</v>
      </c>
      <c r="L26" s="9" t="s">
        <v>36</v>
      </c>
      <c r="M26" s="135">
        <v>93.93</v>
      </c>
      <c r="N26" s="135">
        <v>0.20</v>
      </c>
      <c r="O26" s="135">
        <v>0</v>
      </c>
      <c r="P26" s="135">
        <v>2.61</v>
      </c>
      <c r="Q26" s="135">
        <v>5.51</v>
      </c>
      <c r="R26" s="194"/>
      <c r="S26" s="194"/>
      <c r="T26" s="194"/>
      <c r="U26" s="194"/>
    </row>
    <row r="27" spans="1:21" s="12" customFormat="1" ht="15">
      <c r="A27" s="207" t="s">
        <v>1703</v>
      </c>
      <c r="B27" s="135">
        <v>1.82</v>
      </c>
      <c r="C27" s="135">
        <v>8.8000000000000007</v>
      </c>
      <c r="D27" s="135">
        <v>10.62</v>
      </c>
      <c r="E27" s="135">
        <v>5.95</v>
      </c>
      <c r="F27" s="135">
        <v>0.26</v>
      </c>
      <c r="G27" s="208" t="s">
        <v>36</v>
      </c>
      <c r="H27" s="135">
        <v>8.93</v>
      </c>
      <c r="I27" s="135">
        <v>3.28</v>
      </c>
      <c r="J27" s="135">
        <v>0.04</v>
      </c>
      <c r="K27" s="135">
        <v>184.04</v>
      </c>
      <c r="L27" s="9" t="s">
        <v>36</v>
      </c>
      <c r="M27" s="135">
        <v>93.80</v>
      </c>
      <c r="N27" s="135">
        <v>0.20</v>
      </c>
      <c r="O27" s="135">
        <v>0</v>
      </c>
      <c r="P27" s="135">
        <v>2.62</v>
      </c>
      <c r="Q27" s="135">
        <v>5.32</v>
      </c>
      <c r="R27" s="194"/>
      <c r="S27" s="194"/>
      <c r="T27" s="194"/>
      <c r="U27" s="194"/>
    </row>
    <row r="28" spans="1:21" s="12" customFormat="1" ht="15">
      <c r="A28" s="207" t="s">
        <v>1704</v>
      </c>
      <c r="B28" s="135">
        <v>1.91</v>
      </c>
      <c r="C28" s="135">
        <v>9.23</v>
      </c>
      <c r="D28" s="135">
        <v>11.14</v>
      </c>
      <c r="E28" s="135">
        <v>6.20</v>
      </c>
      <c r="F28" s="135">
        <v>2.46</v>
      </c>
      <c r="G28" s="208" t="s">
        <v>36</v>
      </c>
      <c r="H28" s="135">
        <v>8.93</v>
      </c>
      <c r="I28" s="135">
        <v>3.27</v>
      </c>
      <c r="J28" s="135">
        <v>0.14000000000000001</v>
      </c>
      <c r="K28" s="135">
        <v>203.98</v>
      </c>
      <c r="L28" s="9" t="s">
        <v>36</v>
      </c>
      <c r="M28" s="135">
        <v>93.41</v>
      </c>
      <c r="N28" s="135">
        <v>0.30</v>
      </c>
      <c r="O28" s="135">
        <v>0</v>
      </c>
      <c r="P28" s="135">
        <v>2.61</v>
      </c>
      <c r="Q28" s="135">
        <v>5.35</v>
      </c>
      <c r="R28" s="194"/>
      <c r="S28" s="194"/>
      <c r="T28" s="194"/>
      <c r="U28" s="194"/>
    </row>
    <row r="29" spans="1:21" s="12" customFormat="1" ht="15">
      <c r="A29" s="207" t="s">
        <v>1705</v>
      </c>
      <c r="B29" s="135">
        <v>2.04</v>
      </c>
      <c r="C29" s="135">
        <v>9.18</v>
      </c>
      <c r="D29" s="135">
        <v>11.21</v>
      </c>
      <c r="E29" s="135">
        <v>6.18</v>
      </c>
      <c r="F29" s="135">
        <v>2</v>
      </c>
      <c r="G29" s="208" t="s">
        <v>36</v>
      </c>
      <c r="H29" s="135">
        <v>8.3000000000000007</v>
      </c>
      <c r="I29" s="135">
        <v>3.28</v>
      </c>
      <c r="J29" s="135">
        <v>0.10</v>
      </c>
      <c r="K29" s="135">
        <v>228.74</v>
      </c>
      <c r="L29" s="9" t="s">
        <v>36</v>
      </c>
      <c r="M29" s="135">
        <v>93.63</v>
      </c>
      <c r="N29" s="135">
        <v>0.40</v>
      </c>
      <c r="O29" s="135">
        <v>0</v>
      </c>
      <c r="P29" s="135">
        <v>2.61</v>
      </c>
      <c r="Q29" s="135">
        <v>5.25</v>
      </c>
      <c r="R29" s="194"/>
      <c r="S29" s="194"/>
      <c r="T29" s="194"/>
      <c r="U29" s="194"/>
    </row>
    <row r="30" spans="1:21" s="12" customFormat="1" ht="15">
      <c r="A30" s="207" t="s">
        <v>1706</v>
      </c>
      <c r="B30" s="135">
        <v>2.25</v>
      </c>
      <c r="C30" s="135">
        <v>9.10</v>
      </c>
      <c r="D30" s="135">
        <v>11.35</v>
      </c>
      <c r="E30" s="135">
        <v>6.35</v>
      </c>
      <c r="F30" s="135">
        <v>3.72</v>
      </c>
      <c r="G30" s="208" t="s">
        <v>36</v>
      </c>
      <c r="H30" s="135">
        <v>6.76</v>
      </c>
      <c r="I30" s="135">
        <v>3.28</v>
      </c>
      <c r="J30" s="135">
        <v>0.10</v>
      </c>
      <c r="K30" s="135">
        <v>240.54</v>
      </c>
      <c r="L30" s="9" t="s">
        <v>36</v>
      </c>
      <c r="M30" s="135">
        <v>96.75</v>
      </c>
      <c r="N30" s="135">
        <v>1.30</v>
      </c>
      <c r="O30" s="135">
        <v>1.60</v>
      </c>
      <c r="P30" s="135">
        <v>2.60</v>
      </c>
      <c r="Q30" s="135">
        <v>5.24</v>
      </c>
      <c r="R30" s="194"/>
      <c r="S30" s="194"/>
      <c r="T30" s="194"/>
      <c r="U30" s="194"/>
    </row>
    <row r="31" spans="1:21" s="12" customFormat="1" ht="15">
      <c r="A31" s="207" t="s">
        <v>1707</v>
      </c>
      <c r="B31" s="135">
        <v>2.4900000000000002</v>
      </c>
      <c r="C31" s="135">
        <v>9.07</v>
      </c>
      <c r="D31" s="135">
        <v>11.56</v>
      </c>
      <c r="E31" s="135">
        <v>6.24</v>
      </c>
      <c r="F31" s="135">
        <v>2.67</v>
      </c>
      <c r="G31" s="208" t="s">
        <v>36</v>
      </c>
      <c r="H31" s="135">
        <v>6.76</v>
      </c>
      <c r="I31" s="135">
        <v>3.29</v>
      </c>
      <c r="J31" s="135">
        <v>0.14000000000000001</v>
      </c>
      <c r="K31" s="135">
        <v>237.06</v>
      </c>
      <c r="L31" s="9" t="s">
        <v>36</v>
      </c>
      <c r="M31" s="135">
        <v>99.02</v>
      </c>
      <c r="N31" s="135">
        <v>8.1999999999999993</v>
      </c>
      <c r="O31" s="135">
        <v>0.40</v>
      </c>
      <c r="P31" s="135">
        <v>2.61</v>
      </c>
      <c r="Q31" s="135">
        <v>5.24</v>
      </c>
      <c r="R31" s="194"/>
      <c r="S31" s="194"/>
      <c r="T31" s="194"/>
      <c r="U31" s="194"/>
    </row>
    <row r="32" spans="1:21" s="12" customFormat="1" ht="15">
      <c r="A32" s="207" t="s">
        <v>1708</v>
      </c>
      <c r="B32" s="135">
        <v>2.72</v>
      </c>
      <c r="C32" s="135">
        <v>8.99</v>
      </c>
      <c r="D32" s="135">
        <v>11.71</v>
      </c>
      <c r="E32" s="135">
        <v>6.59</v>
      </c>
      <c r="F32" s="135">
        <v>1.93</v>
      </c>
      <c r="G32" s="208" t="s">
        <v>36</v>
      </c>
      <c r="H32" s="135">
        <v>6.76</v>
      </c>
      <c r="I32" s="135">
        <v>3.31</v>
      </c>
      <c r="J32" s="135">
        <v>0.10</v>
      </c>
      <c r="K32" s="135">
        <v>226.23</v>
      </c>
      <c r="L32" s="9" t="s">
        <v>36</v>
      </c>
      <c r="M32" s="135">
        <v>98.94</v>
      </c>
      <c r="N32" s="135">
        <v>16.5</v>
      </c>
      <c r="O32" s="135">
        <v>0</v>
      </c>
      <c r="P32" s="135">
        <v>2.60</v>
      </c>
      <c r="Q32" s="135">
        <v>5.23</v>
      </c>
      <c r="R32" s="194"/>
      <c r="S32" s="194"/>
      <c r="T32" s="194"/>
      <c r="U32" s="194"/>
    </row>
    <row r="33" spans="1:21" s="12" customFormat="1" ht="15">
      <c r="A33" s="207" t="s">
        <v>1709</v>
      </c>
      <c r="B33" s="135">
        <v>2.92</v>
      </c>
      <c r="C33" s="135">
        <v>9.0299999999999994</v>
      </c>
      <c r="D33" s="135">
        <v>11.95</v>
      </c>
      <c r="E33" s="135">
        <v>6.92</v>
      </c>
      <c r="F33" s="135">
        <v>0.41</v>
      </c>
      <c r="G33" s="208" t="s">
        <v>36</v>
      </c>
      <c r="H33" s="135">
        <v>7.02</v>
      </c>
      <c r="I33" s="135">
        <v>3.31</v>
      </c>
      <c r="J33" s="135">
        <v>0.05</v>
      </c>
      <c r="K33" s="135">
        <v>287.64</v>
      </c>
      <c r="L33" s="9" t="s">
        <v>36</v>
      </c>
      <c r="M33" s="135">
        <v>98.61</v>
      </c>
      <c r="N33" s="135">
        <v>20.100000000000001</v>
      </c>
      <c r="O33" s="135">
        <v>0</v>
      </c>
      <c r="P33" s="135">
        <v>2.62</v>
      </c>
      <c r="Q33" s="135">
        <v>5.38</v>
      </c>
      <c r="R33" s="194"/>
      <c r="S33" s="194"/>
      <c r="T33" s="194"/>
      <c r="U33" s="194"/>
    </row>
    <row r="34" spans="1:21" s="12" customFormat="1" ht="15">
      <c r="A34" s="207" t="s">
        <v>1710</v>
      </c>
      <c r="B34" s="135">
        <v>3.14</v>
      </c>
      <c r="C34" s="135">
        <v>9.26</v>
      </c>
      <c r="D34" s="135">
        <v>12.40</v>
      </c>
      <c r="E34" s="135">
        <v>6.70</v>
      </c>
      <c r="F34" s="135">
        <v>0.13</v>
      </c>
      <c r="G34" s="208" t="s">
        <v>36</v>
      </c>
      <c r="H34" s="135">
        <v>7.65</v>
      </c>
      <c r="I34" s="135">
        <v>3.30</v>
      </c>
      <c r="J34" s="135">
        <v>0.09</v>
      </c>
      <c r="K34" s="135">
        <v>38.909999999999997</v>
      </c>
      <c r="L34" s="9" t="s">
        <v>36</v>
      </c>
      <c r="M34" s="135">
        <v>97.93</v>
      </c>
      <c r="N34" s="135">
        <v>36.700000000000003</v>
      </c>
      <c r="O34" s="135">
        <v>0</v>
      </c>
      <c r="P34" s="135">
        <v>2.62</v>
      </c>
      <c r="Q34" s="135">
        <v>5.47</v>
      </c>
      <c r="R34" s="194"/>
      <c r="S34" s="194"/>
      <c r="T34" s="194"/>
      <c r="U34" s="194"/>
    </row>
    <row r="35" spans="1:21" s="12" customFormat="1" ht="15">
      <c r="A35" s="207" t="s">
        <v>1711</v>
      </c>
      <c r="B35" s="135">
        <v>3.43</v>
      </c>
      <c r="C35" s="135">
        <v>9.69</v>
      </c>
      <c r="D35" s="135">
        <v>13.12</v>
      </c>
      <c r="E35" s="135">
        <v>6.53</v>
      </c>
      <c r="F35" s="135">
        <v>0.070000000000000007</v>
      </c>
      <c r="G35" s="208" t="s">
        <v>36</v>
      </c>
      <c r="H35" s="135">
        <v>7.65</v>
      </c>
      <c r="I35" s="135">
        <v>3.40</v>
      </c>
      <c r="J35" s="135">
        <v>0.03</v>
      </c>
      <c r="K35" s="135">
        <v>31.96</v>
      </c>
      <c r="L35" s="9" t="s">
        <v>36</v>
      </c>
      <c r="M35" s="135">
        <v>97.71</v>
      </c>
      <c r="N35" s="135">
        <v>38.700000000000003</v>
      </c>
      <c r="O35" s="135">
        <v>0</v>
      </c>
      <c r="P35" s="135">
        <v>2.63</v>
      </c>
      <c r="Q35" s="135">
        <v>5.63</v>
      </c>
      <c r="R35" s="194"/>
      <c r="S35" s="194"/>
      <c r="T35" s="194"/>
      <c r="U35" s="194"/>
    </row>
    <row r="36" spans="1:21" s="12" customFormat="1" ht="15">
      <c r="A36" s="207" t="s">
        <v>1712</v>
      </c>
      <c r="B36" s="135">
        <v>3.87</v>
      </c>
      <c r="C36" s="135">
        <v>9.82</v>
      </c>
      <c r="D36" s="135">
        <v>13.68</v>
      </c>
      <c r="E36" s="135">
        <v>6.68</v>
      </c>
      <c r="F36" s="135">
        <v>5.73</v>
      </c>
      <c r="G36" s="208" t="s">
        <v>36</v>
      </c>
      <c r="H36" s="135">
        <v>7.65</v>
      </c>
      <c r="I36" s="135">
        <v>3.5</v>
      </c>
      <c r="J36" s="135">
        <v>0.05</v>
      </c>
      <c r="K36" s="135">
        <v>233.79</v>
      </c>
      <c r="L36" s="9" t="s">
        <v>36</v>
      </c>
      <c r="M36" s="135">
        <v>97.66</v>
      </c>
      <c r="N36" s="135">
        <v>43</v>
      </c>
      <c r="O36" s="135">
        <v>0</v>
      </c>
      <c r="P36" s="135">
        <v>2.63</v>
      </c>
      <c r="Q36" s="135">
        <v>5.73</v>
      </c>
      <c r="R36" s="194"/>
      <c r="S36" s="194"/>
      <c r="T36" s="194"/>
      <c r="U36" s="194"/>
    </row>
    <row r="37" spans="1:21" s="12" customFormat="1" ht="15">
      <c r="A37" s="207" t="s">
        <v>1713</v>
      </c>
      <c r="B37" s="135">
        <v>4.16</v>
      </c>
      <c r="C37" s="135">
        <v>10.119999999999999</v>
      </c>
      <c r="D37" s="135">
        <v>14.28</v>
      </c>
      <c r="E37" s="135">
        <v>6.34</v>
      </c>
      <c r="F37" s="135">
        <v>1.51</v>
      </c>
      <c r="G37" s="208" t="s">
        <v>36</v>
      </c>
      <c r="H37" s="135">
        <v>7.53</v>
      </c>
      <c r="I37" s="135">
        <v>3.54</v>
      </c>
      <c r="J37" s="135">
        <v>0.02</v>
      </c>
      <c r="K37" s="135">
        <v>98.93</v>
      </c>
      <c r="L37" s="9" t="s">
        <v>36</v>
      </c>
      <c r="M37" s="135">
        <v>97.17</v>
      </c>
      <c r="N37" s="135">
        <v>74.900000000000006</v>
      </c>
      <c r="O37" s="135">
        <v>0</v>
      </c>
      <c r="P37" s="135">
        <v>2.65</v>
      </c>
      <c r="Q37" s="135">
        <v>6.06</v>
      </c>
      <c r="R37" s="194"/>
      <c r="S37" s="194"/>
      <c r="T37" s="194"/>
      <c r="U37" s="194"/>
    </row>
    <row r="38" spans="1:21" s="12" customFormat="1" ht="15">
      <c r="A38" s="207" t="s">
        <v>1714</v>
      </c>
      <c r="B38" s="135">
        <v>4.3600000000000003</v>
      </c>
      <c r="C38" s="135">
        <v>10.70</v>
      </c>
      <c r="D38" s="135">
        <v>15.06</v>
      </c>
      <c r="E38" s="135">
        <v>6.39</v>
      </c>
      <c r="F38" s="135">
        <v>1.1399999999999999</v>
      </c>
      <c r="G38" s="208" t="s">
        <v>36</v>
      </c>
      <c r="H38" s="135">
        <v>7.23</v>
      </c>
      <c r="I38" s="135">
        <v>3.58</v>
      </c>
      <c r="J38" s="135">
        <v>0.08</v>
      </c>
      <c r="K38" s="135">
        <v>217.20</v>
      </c>
      <c r="L38" s="9" t="s">
        <v>36</v>
      </c>
      <c r="M38" s="135">
        <v>96.20</v>
      </c>
      <c r="N38" s="135">
        <v>119.40</v>
      </c>
      <c r="O38" s="135">
        <v>0</v>
      </c>
      <c r="P38" s="135">
        <v>2.67</v>
      </c>
      <c r="Q38" s="135">
        <v>6.33</v>
      </c>
      <c r="R38" s="194"/>
      <c r="S38" s="194"/>
      <c r="T38" s="194"/>
      <c r="U38" s="194"/>
    </row>
    <row r="39" spans="1:21" s="12" customFormat="1" ht="15">
      <c r="A39" s="207" t="s">
        <v>1715</v>
      </c>
      <c r="B39" s="135">
        <v>4.47</v>
      </c>
      <c r="C39" s="135">
        <v>11.02</v>
      </c>
      <c r="D39" s="135">
        <v>15.48</v>
      </c>
      <c r="E39" s="135">
        <v>6.57</v>
      </c>
      <c r="F39" s="135">
        <v>8.82</v>
      </c>
      <c r="G39" s="208" t="s">
        <v>36</v>
      </c>
      <c r="H39" s="135">
        <v>7.23</v>
      </c>
      <c r="I39" s="135">
        <v>3.63</v>
      </c>
      <c r="J39" s="135">
        <v>0.01</v>
      </c>
      <c r="K39" s="135">
        <v>239.44</v>
      </c>
      <c r="L39" s="9" t="s">
        <v>36</v>
      </c>
      <c r="M39" s="135">
        <v>94.05</v>
      </c>
      <c r="N39" s="135">
        <v>260.39999999999998</v>
      </c>
      <c r="O39" s="135">
        <v>0</v>
      </c>
      <c r="P39" s="135">
        <v>2.68</v>
      </c>
      <c r="Q39" s="135">
        <v>6.30</v>
      </c>
      <c r="R39" s="194"/>
      <c r="S39" s="194"/>
      <c r="T39" s="194"/>
      <c r="U39" s="194"/>
    </row>
    <row r="40" spans="1:21" s="12" customFormat="1" ht="15">
      <c r="A40" s="207" t="s">
        <v>1716</v>
      </c>
      <c r="B40" s="135">
        <v>4.58</v>
      </c>
      <c r="C40" s="135">
        <v>11.22</v>
      </c>
      <c r="D40" s="135">
        <v>15.80</v>
      </c>
      <c r="E40" s="135">
        <v>3.19</v>
      </c>
      <c r="F40" s="135">
        <v>3.07</v>
      </c>
      <c r="G40" s="208" t="s">
        <v>36</v>
      </c>
      <c r="H40" s="135">
        <v>7.23</v>
      </c>
      <c r="I40" s="135">
        <v>3.70</v>
      </c>
      <c r="J40" s="135">
        <v>0.14000000000000001</v>
      </c>
      <c r="K40" s="135">
        <v>203.51</v>
      </c>
      <c r="L40" s="9" t="s">
        <v>36</v>
      </c>
      <c r="M40" s="135">
        <v>91.75</v>
      </c>
      <c r="N40" s="135">
        <v>193.40</v>
      </c>
      <c r="O40" s="135">
        <v>0</v>
      </c>
      <c r="P40" s="135">
        <v>2.70</v>
      </c>
      <c r="Q40" s="135">
        <v>6.17</v>
      </c>
      <c r="R40" s="194"/>
      <c r="S40" s="194"/>
      <c r="T40" s="194"/>
      <c r="U40" s="194"/>
    </row>
    <row r="41" spans="1:21" s="12" customFormat="1" ht="15">
      <c r="A41" s="207" t="s">
        <v>1717</v>
      </c>
      <c r="B41" s="135">
        <v>4.42</v>
      </c>
      <c r="C41" s="135">
        <v>11.45</v>
      </c>
      <c r="D41" s="135">
        <v>15.87</v>
      </c>
      <c r="E41" s="135">
        <v>5.74</v>
      </c>
      <c r="F41" s="135">
        <v>0.05</v>
      </c>
      <c r="G41" s="208" t="s">
        <v>36</v>
      </c>
      <c r="H41" s="135">
        <v>6.73</v>
      </c>
      <c r="I41" s="135">
        <v>3.78</v>
      </c>
      <c r="J41" s="135">
        <v>0.16</v>
      </c>
      <c r="K41" s="135">
        <v>212.93</v>
      </c>
      <c r="L41" s="9" t="s">
        <v>36</v>
      </c>
      <c r="M41" s="135">
        <v>93.03</v>
      </c>
      <c r="N41" s="135">
        <v>108.80</v>
      </c>
      <c r="O41" s="135">
        <v>0</v>
      </c>
      <c r="P41" s="135">
        <v>2.71</v>
      </c>
      <c r="Q41" s="135">
        <v>6.14</v>
      </c>
      <c r="R41" s="194"/>
      <c r="S41" s="194"/>
      <c r="T41" s="194"/>
      <c r="U41" s="194"/>
    </row>
    <row r="42" spans="1:21" s="12" customFormat="1" ht="15">
      <c r="A42" s="207" t="s">
        <v>1718</v>
      </c>
      <c r="B42" s="135">
        <v>4.22</v>
      </c>
      <c r="C42" s="135">
        <v>11.69</v>
      </c>
      <c r="D42" s="135">
        <v>15.91</v>
      </c>
      <c r="E42" s="135">
        <v>6.15</v>
      </c>
      <c r="F42" s="208" t="s">
        <v>36</v>
      </c>
      <c r="G42" s="208" t="s">
        <v>36</v>
      </c>
      <c r="H42" s="135">
        <v>5.51</v>
      </c>
      <c r="I42" s="135">
        <v>3.78</v>
      </c>
      <c r="J42" s="135">
        <v>0.08</v>
      </c>
      <c r="K42" s="135">
        <v>203.44</v>
      </c>
      <c r="L42" s="9" t="s">
        <v>36</v>
      </c>
      <c r="M42" s="135">
        <v>93.41</v>
      </c>
      <c r="N42" s="135">
        <v>80.80</v>
      </c>
      <c r="O42" s="135">
        <v>0</v>
      </c>
      <c r="P42" s="135">
        <v>2.71</v>
      </c>
      <c r="Q42" s="135">
        <v>6.10</v>
      </c>
      <c r="R42" s="194"/>
      <c r="S42" s="194"/>
      <c r="T42" s="194"/>
      <c r="U42" s="194"/>
    </row>
    <row r="43" spans="1:21" s="12" customFormat="1" ht="15">
      <c r="A43" s="207" t="s">
        <v>1719</v>
      </c>
      <c r="B43" s="135">
        <v>4.26</v>
      </c>
      <c r="C43" s="135">
        <v>11.80</v>
      </c>
      <c r="D43" s="135">
        <v>16.059999999999999</v>
      </c>
      <c r="E43" s="135">
        <v>5.74</v>
      </c>
      <c r="F43" s="135">
        <v>0.38</v>
      </c>
      <c r="G43" s="208" t="s">
        <v>36</v>
      </c>
      <c r="H43" s="135">
        <v>5.51</v>
      </c>
      <c r="I43" s="135">
        <v>3.81</v>
      </c>
      <c r="J43" s="135">
        <v>0.09</v>
      </c>
      <c r="K43" s="135">
        <v>5.25</v>
      </c>
      <c r="L43" s="9" t="s">
        <v>36</v>
      </c>
      <c r="M43" s="135">
        <v>92.29</v>
      </c>
      <c r="N43" s="135">
        <v>158.40</v>
      </c>
      <c r="O43" s="135">
        <v>0</v>
      </c>
      <c r="P43" s="135">
        <v>2.71</v>
      </c>
      <c r="Q43" s="135">
        <v>5.88</v>
      </c>
      <c r="R43" s="194"/>
      <c r="S43" s="194"/>
      <c r="T43" s="194"/>
      <c r="U43" s="194"/>
    </row>
    <row r="44" spans="1:21" s="12" customFormat="1" ht="15">
      <c r="A44" s="207" t="s">
        <v>1720</v>
      </c>
      <c r="B44" s="135">
        <v>4.47</v>
      </c>
      <c r="C44" s="135">
        <v>12.10</v>
      </c>
      <c r="D44" s="135">
        <v>16.559999999999999</v>
      </c>
      <c r="E44" s="135">
        <v>5.5</v>
      </c>
      <c r="F44" s="135">
        <v>0.56000000000000005</v>
      </c>
      <c r="G44" s="208" t="s">
        <v>36</v>
      </c>
      <c r="H44" s="135">
        <v>5.51</v>
      </c>
      <c r="I44" s="135">
        <v>3.84</v>
      </c>
      <c r="J44" s="135">
        <v>0.13</v>
      </c>
      <c r="K44" s="135">
        <v>44.77</v>
      </c>
      <c r="L44" s="9" t="s">
        <v>36</v>
      </c>
      <c r="M44" s="135">
        <v>88.95</v>
      </c>
      <c r="N44" s="135">
        <v>347.10</v>
      </c>
      <c r="O44" s="135">
        <v>0</v>
      </c>
      <c r="P44" s="135">
        <v>2.73</v>
      </c>
      <c r="Q44" s="135">
        <v>5.82</v>
      </c>
      <c r="R44" s="194"/>
      <c r="S44" s="194"/>
      <c r="T44" s="194"/>
      <c r="U44" s="194"/>
    </row>
    <row r="45" spans="1:21" s="12" customFormat="1" ht="15">
      <c r="A45" s="207" t="s">
        <v>1721</v>
      </c>
      <c r="B45" s="135">
        <v>4.5599999999999996</v>
      </c>
      <c r="C45" s="135">
        <v>12.80</v>
      </c>
      <c r="D45" s="135">
        <v>17.36</v>
      </c>
      <c r="E45" s="135">
        <v>5.47</v>
      </c>
      <c r="F45" s="135">
        <v>0.16</v>
      </c>
      <c r="G45" s="208" t="s">
        <v>36</v>
      </c>
      <c r="H45" s="135">
        <v>5.24</v>
      </c>
      <c r="I45" s="135">
        <v>3.82</v>
      </c>
      <c r="J45" s="135">
        <v>0.06</v>
      </c>
      <c r="K45" s="135">
        <v>29.56</v>
      </c>
      <c r="L45" s="9" t="s">
        <v>36</v>
      </c>
      <c r="M45" s="135">
        <v>87.15</v>
      </c>
      <c r="N45" s="135">
        <v>320.89999999999998</v>
      </c>
      <c r="O45" s="135">
        <v>0</v>
      </c>
      <c r="P45" s="135">
        <v>2.74</v>
      </c>
      <c r="Q45" s="135">
        <v>5.93</v>
      </c>
      <c r="R45" s="194"/>
      <c r="S45" s="194"/>
      <c r="T45" s="194"/>
      <c r="U45" s="194"/>
    </row>
    <row r="46" spans="1:21" s="12" customFormat="1" ht="15">
      <c r="A46" s="207" t="s">
        <v>1722</v>
      </c>
      <c r="B46" s="135">
        <v>4.6399999999999997</v>
      </c>
      <c r="C46" s="135">
        <v>13.73</v>
      </c>
      <c r="D46" s="135">
        <v>18.38</v>
      </c>
      <c r="E46" s="135">
        <v>5.14</v>
      </c>
      <c r="F46" s="135">
        <v>0.52</v>
      </c>
      <c r="G46" s="208" t="s">
        <v>36</v>
      </c>
      <c r="H46" s="135">
        <v>4.55</v>
      </c>
      <c r="I46" s="135">
        <v>3.85</v>
      </c>
      <c r="J46" s="135">
        <v>0.08</v>
      </c>
      <c r="K46" s="135">
        <v>13.57</v>
      </c>
      <c r="L46" s="9" t="s">
        <v>36</v>
      </c>
      <c r="M46" s="135">
        <v>84.88</v>
      </c>
      <c r="N46" s="135">
        <v>349.60</v>
      </c>
      <c r="O46" s="135">
        <v>0</v>
      </c>
      <c r="P46" s="135">
        <v>2.75</v>
      </c>
      <c r="Q46" s="135">
        <v>6.07</v>
      </c>
      <c r="R46" s="194"/>
      <c r="S46" s="194"/>
      <c r="T46" s="194"/>
      <c r="U46" s="194"/>
    </row>
    <row r="47" spans="1:21" s="12" customFormat="1" ht="15">
      <c r="A47" s="207" t="s">
        <v>1723</v>
      </c>
      <c r="B47" s="135">
        <v>4.5599999999999996</v>
      </c>
      <c r="C47" s="135">
        <v>14.69</v>
      </c>
      <c r="D47" s="135">
        <v>19.260000000000002</v>
      </c>
      <c r="E47" s="135">
        <v>5.29</v>
      </c>
      <c r="F47" s="135">
        <v>0.33</v>
      </c>
      <c r="G47" s="208" t="s">
        <v>36</v>
      </c>
      <c r="H47" s="135">
        <v>4.55</v>
      </c>
      <c r="I47" s="135">
        <v>3.87</v>
      </c>
      <c r="J47" s="135">
        <v>0.13</v>
      </c>
      <c r="K47" s="135">
        <v>341.20</v>
      </c>
      <c r="L47" s="9" t="s">
        <v>36</v>
      </c>
      <c r="M47" s="135">
        <v>85.35</v>
      </c>
      <c r="N47" s="135">
        <v>420.40</v>
      </c>
      <c r="O47" s="135">
        <v>0</v>
      </c>
      <c r="P47" s="135">
        <v>2.77</v>
      </c>
      <c r="Q47" s="135">
        <v>6.14</v>
      </c>
      <c r="R47" s="194"/>
      <c r="S47" s="194"/>
      <c r="T47" s="194"/>
      <c r="U47" s="194"/>
    </row>
    <row r="48" spans="1:21" s="12" customFormat="1" ht="15">
      <c r="A48" s="207" t="s">
        <v>1724</v>
      </c>
      <c r="B48" s="135">
        <v>4.59</v>
      </c>
      <c r="C48" s="135">
        <v>15.38</v>
      </c>
      <c r="D48" s="135">
        <v>19.97</v>
      </c>
      <c r="E48" s="135">
        <v>5.53</v>
      </c>
      <c r="F48" s="135">
        <v>0.41</v>
      </c>
      <c r="G48" s="208" t="s">
        <v>36</v>
      </c>
      <c r="H48" s="135">
        <v>4.55</v>
      </c>
      <c r="I48" s="135">
        <v>3.94</v>
      </c>
      <c r="J48" s="135">
        <v>0.06</v>
      </c>
      <c r="K48" s="135">
        <v>328.56</v>
      </c>
      <c r="L48" s="9" t="s">
        <v>36</v>
      </c>
      <c r="M48" s="135">
        <v>80.83</v>
      </c>
      <c r="N48" s="135">
        <v>432.60</v>
      </c>
      <c r="O48" s="135">
        <v>0</v>
      </c>
      <c r="P48" s="135">
        <v>2.80</v>
      </c>
      <c r="Q48" s="135">
        <v>6.17</v>
      </c>
      <c r="R48" s="194"/>
      <c r="S48" s="194"/>
      <c r="T48" s="194"/>
      <c r="U48" s="194"/>
    </row>
    <row r="49" spans="1:21" s="12" customFormat="1" ht="15">
      <c r="A49" s="207" t="s">
        <v>1725</v>
      </c>
      <c r="B49" s="135">
        <v>4.6500000000000004</v>
      </c>
      <c r="C49" s="135">
        <v>16</v>
      </c>
      <c r="D49" s="135">
        <v>20.64</v>
      </c>
      <c r="E49" s="135">
        <v>5.35</v>
      </c>
      <c r="F49" s="135">
        <v>0.39</v>
      </c>
      <c r="G49" s="208" t="s">
        <v>36</v>
      </c>
      <c r="H49" s="135">
        <v>6.28</v>
      </c>
      <c r="I49" s="135">
        <v>4.1500000000000004</v>
      </c>
      <c r="J49" s="135">
        <v>0.20</v>
      </c>
      <c r="K49" s="135">
        <v>9.19</v>
      </c>
      <c r="L49" s="9" t="s">
        <v>36</v>
      </c>
      <c r="M49" s="135">
        <v>80.540000000000006</v>
      </c>
      <c r="N49" s="135">
        <v>495.60</v>
      </c>
      <c r="O49" s="135">
        <v>0</v>
      </c>
      <c r="P49" s="135">
        <v>2.83</v>
      </c>
      <c r="Q49" s="135">
        <v>6.32</v>
      </c>
      <c r="R49" s="194"/>
      <c r="S49" s="194"/>
      <c r="T49" s="194"/>
      <c r="U49" s="194"/>
    </row>
    <row r="50" spans="1:21" s="12" customFormat="1" ht="15">
      <c r="A50" s="207" t="s">
        <v>1726</v>
      </c>
      <c r="B50" s="135">
        <v>4.7699999999999996</v>
      </c>
      <c r="C50" s="135">
        <v>16.68</v>
      </c>
      <c r="D50" s="135">
        <v>21.45</v>
      </c>
      <c r="E50" s="135">
        <v>5.38</v>
      </c>
      <c r="F50" s="135">
        <v>0.22</v>
      </c>
      <c r="G50" s="208" t="s">
        <v>36</v>
      </c>
      <c r="H50" s="135">
        <v>10.54</v>
      </c>
      <c r="I50" s="135">
        <v>4.4800000000000004</v>
      </c>
      <c r="J50" s="135">
        <v>0.08</v>
      </c>
      <c r="K50" s="135">
        <v>22.68</v>
      </c>
      <c r="L50" s="9" t="s">
        <v>36</v>
      </c>
      <c r="M50" s="135">
        <v>80.66</v>
      </c>
      <c r="N50" s="135">
        <v>221.70</v>
      </c>
      <c r="O50" s="135">
        <v>0</v>
      </c>
      <c r="P50" s="135">
        <v>2.86</v>
      </c>
      <c r="Q50" s="135">
        <v>6.56</v>
      </c>
      <c r="R50" s="194"/>
      <c r="S50" s="194"/>
      <c r="T50" s="194"/>
      <c r="U50" s="194"/>
    </row>
    <row r="51" spans="1:21" s="12" customFormat="1" ht="15">
      <c r="A51" s="207" t="s">
        <v>1727</v>
      </c>
      <c r="B51" s="135">
        <v>4.6100000000000003</v>
      </c>
      <c r="C51" s="135">
        <v>16.600000000000001</v>
      </c>
      <c r="D51" s="135">
        <v>21.22</v>
      </c>
      <c r="E51" s="135">
        <v>5.12</v>
      </c>
      <c r="F51" s="135">
        <v>0.88</v>
      </c>
      <c r="G51" s="208" t="s">
        <v>36</v>
      </c>
      <c r="H51" s="135">
        <v>10.54</v>
      </c>
      <c r="I51" s="135">
        <v>4.8899999999999997</v>
      </c>
      <c r="J51" s="135">
        <v>0.02</v>
      </c>
      <c r="K51" s="135">
        <v>147.66</v>
      </c>
      <c r="L51" s="9" t="s">
        <v>36</v>
      </c>
      <c r="M51" s="135">
        <v>81.900000000000006</v>
      </c>
      <c r="N51" s="135">
        <v>329.5</v>
      </c>
      <c r="O51" s="135">
        <v>0</v>
      </c>
      <c r="P51" s="135">
        <v>2.87</v>
      </c>
      <c r="Q51" s="135">
        <v>6.42</v>
      </c>
      <c r="R51" s="194"/>
      <c r="S51" s="194"/>
      <c r="T51" s="194"/>
      <c r="U51" s="194"/>
    </row>
    <row r="52" spans="1:21" s="12" customFormat="1" ht="15">
      <c r="A52" s="207" t="s">
        <v>1728</v>
      </c>
      <c r="B52" s="135">
        <v>4.1399999999999997</v>
      </c>
      <c r="C52" s="135">
        <v>17.09</v>
      </c>
      <c r="D52" s="135">
        <v>21.23</v>
      </c>
      <c r="E52" s="135">
        <v>4.9800000000000004</v>
      </c>
      <c r="F52" s="135">
        <v>1.62</v>
      </c>
      <c r="G52" s="208" t="s">
        <v>36</v>
      </c>
      <c r="H52" s="135">
        <v>10.54</v>
      </c>
      <c r="I52" s="135">
        <v>5.34</v>
      </c>
      <c r="J52" s="135">
        <v>0.02</v>
      </c>
      <c r="K52" s="135">
        <v>37.89</v>
      </c>
      <c r="L52" s="9" t="s">
        <v>36</v>
      </c>
      <c r="M52" s="135">
        <v>80.28</v>
      </c>
      <c r="N52" s="135">
        <v>358.90</v>
      </c>
      <c r="O52" s="135">
        <v>0</v>
      </c>
      <c r="P52" s="135">
        <v>2.87</v>
      </c>
      <c r="Q52" s="135">
        <v>6.51</v>
      </c>
      <c r="R52" s="194"/>
      <c r="S52" s="194"/>
      <c r="T52" s="194"/>
      <c r="U52" s="194"/>
    </row>
    <row r="53" spans="1:21" s="12" customFormat="1" ht="15">
      <c r="A53" s="207" t="s">
        <v>1729</v>
      </c>
      <c r="B53" s="135">
        <v>4.01</v>
      </c>
      <c r="C53" s="135">
        <v>17.75</v>
      </c>
      <c r="D53" s="135">
        <v>21.76</v>
      </c>
      <c r="E53" s="135">
        <v>5.1100000000000003</v>
      </c>
      <c r="F53" s="135">
        <v>1</v>
      </c>
      <c r="G53" s="208" t="s">
        <v>36</v>
      </c>
      <c r="H53" s="135">
        <v>9.5</v>
      </c>
      <c r="I53" s="135">
        <v>5.5</v>
      </c>
      <c r="J53" s="135">
        <v>0.13</v>
      </c>
      <c r="K53" s="135">
        <v>48.28</v>
      </c>
      <c r="L53" s="9" t="s">
        <v>36</v>
      </c>
      <c r="M53" s="135">
        <v>80.13</v>
      </c>
      <c r="N53" s="135">
        <v>532.29999999999995</v>
      </c>
      <c r="O53" s="135">
        <v>0</v>
      </c>
      <c r="P53" s="135">
        <v>2.89</v>
      </c>
      <c r="Q53" s="135">
        <v>6.72</v>
      </c>
      <c r="R53" s="194"/>
      <c r="S53" s="194"/>
      <c r="T53" s="194"/>
      <c r="U53" s="194"/>
    </row>
    <row r="54" spans="1:21" s="12" customFormat="1" ht="15">
      <c r="A54" s="207" t="s">
        <v>1730</v>
      </c>
      <c r="B54" s="135">
        <v>4.2699999999999996</v>
      </c>
      <c r="C54" s="135">
        <v>18.100000000000001</v>
      </c>
      <c r="D54" s="135">
        <v>22.38</v>
      </c>
      <c r="E54" s="135">
        <v>4.79</v>
      </c>
      <c r="F54" s="135">
        <v>0.77</v>
      </c>
      <c r="G54" s="208" t="s">
        <v>36</v>
      </c>
      <c r="H54" s="135">
        <v>7.43</v>
      </c>
      <c r="I54" s="135">
        <v>5.66</v>
      </c>
      <c r="J54" s="135">
        <v>0.09</v>
      </c>
      <c r="K54" s="135">
        <v>183.08</v>
      </c>
      <c r="L54" s="9" t="s">
        <v>36</v>
      </c>
      <c r="M54" s="135">
        <v>76.09</v>
      </c>
      <c r="N54" s="135">
        <v>746</v>
      </c>
      <c r="O54" s="135">
        <v>0</v>
      </c>
      <c r="P54" s="135">
        <v>2.91</v>
      </c>
      <c r="Q54" s="135">
        <v>6.66</v>
      </c>
      <c r="R54" s="194"/>
      <c r="S54" s="194"/>
      <c r="T54" s="194"/>
      <c r="U54" s="194"/>
    </row>
    <row r="55" spans="1:21" s="12" customFormat="1" ht="15">
      <c r="A55" s="207" t="s">
        <v>1731</v>
      </c>
      <c r="B55" s="135">
        <v>3.80</v>
      </c>
      <c r="C55" s="135">
        <v>18.22</v>
      </c>
      <c r="D55" s="135">
        <v>22.02</v>
      </c>
      <c r="E55" s="135">
        <v>4.53</v>
      </c>
      <c r="F55" s="135">
        <v>1.89</v>
      </c>
      <c r="G55" s="208" t="s">
        <v>36</v>
      </c>
      <c r="H55" s="135">
        <v>7.43</v>
      </c>
      <c r="I55" s="135">
        <v>5.84</v>
      </c>
      <c r="J55" s="135">
        <v>0.26</v>
      </c>
      <c r="K55" s="135">
        <v>29.33</v>
      </c>
      <c r="L55" s="9" t="s">
        <v>36</v>
      </c>
      <c r="M55" s="135">
        <v>72.33</v>
      </c>
      <c r="N55" s="135">
        <v>679.20</v>
      </c>
      <c r="O55" s="135">
        <v>0</v>
      </c>
      <c r="P55" s="135">
        <v>2.91</v>
      </c>
      <c r="Q55" s="135">
        <v>6.48</v>
      </c>
      <c r="R55" s="194"/>
      <c r="S55" s="194"/>
      <c r="T55" s="194"/>
      <c r="U55" s="194"/>
    </row>
    <row r="56" spans="1:21" s="12" customFormat="1" ht="15">
      <c r="A56" s="207" t="s">
        <v>1732</v>
      </c>
      <c r="B56" s="135">
        <v>3.06</v>
      </c>
      <c r="C56" s="135">
        <v>18.46</v>
      </c>
      <c r="D56" s="135">
        <v>21.52</v>
      </c>
      <c r="E56" s="135">
        <v>3.06</v>
      </c>
      <c r="F56" s="135">
        <v>1.42</v>
      </c>
      <c r="G56" s="208" t="s">
        <v>36</v>
      </c>
      <c r="H56" s="135">
        <v>7.43</v>
      </c>
      <c r="I56" s="135">
        <v>5.84</v>
      </c>
      <c r="J56" s="135">
        <v>0.15</v>
      </c>
      <c r="K56" s="135">
        <v>356.30</v>
      </c>
      <c r="L56" s="9" t="s">
        <v>36</v>
      </c>
      <c r="M56" s="135">
        <v>72.78</v>
      </c>
      <c r="N56" s="135">
        <v>295.5</v>
      </c>
      <c r="O56" s="135">
        <v>0</v>
      </c>
      <c r="P56" s="135">
        <v>2.92</v>
      </c>
      <c r="Q56" s="135">
        <v>6.20</v>
      </c>
      <c r="R56" s="194"/>
      <c r="S56" s="194"/>
      <c r="T56" s="194"/>
      <c r="U56" s="194"/>
    </row>
    <row r="57" spans="1:21" s="12" customFormat="1" ht="15">
      <c r="A57" s="207" t="s">
        <v>1733</v>
      </c>
      <c r="B57" s="135">
        <v>2.40</v>
      </c>
      <c r="C57" s="135">
        <v>18.440000000000001</v>
      </c>
      <c r="D57" s="135">
        <v>20.84</v>
      </c>
      <c r="E57" s="135">
        <v>5.22</v>
      </c>
      <c r="F57" s="135">
        <v>0.85</v>
      </c>
      <c r="G57" s="208" t="s">
        <v>36</v>
      </c>
      <c r="H57" s="135">
        <v>9.31</v>
      </c>
      <c r="I57" s="135">
        <v>5.72</v>
      </c>
      <c r="J57" s="135">
        <v>0.06</v>
      </c>
      <c r="K57" s="135">
        <v>217.75</v>
      </c>
      <c r="L57" s="9" t="s">
        <v>36</v>
      </c>
      <c r="M57" s="135">
        <v>78.78</v>
      </c>
      <c r="N57" s="135">
        <v>169.20</v>
      </c>
      <c r="O57" s="135">
        <v>0</v>
      </c>
      <c r="P57" s="135">
        <v>2.94</v>
      </c>
      <c r="Q57" s="135">
        <v>6.23</v>
      </c>
      <c r="R57" s="194"/>
      <c r="S57" s="194"/>
      <c r="T57" s="194"/>
      <c r="U57" s="194"/>
    </row>
    <row r="58" spans="1:21" s="12" customFormat="1" ht="15">
      <c r="A58" s="207" t="s">
        <v>1734</v>
      </c>
      <c r="B58" s="135">
        <v>2.06</v>
      </c>
      <c r="C58" s="135">
        <v>18.25</v>
      </c>
      <c r="D58" s="135">
        <v>20.309999999999999</v>
      </c>
      <c r="E58" s="135">
        <v>5.33</v>
      </c>
      <c r="F58" s="135">
        <v>0.77</v>
      </c>
      <c r="G58" s="208" t="s">
        <v>36</v>
      </c>
      <c r="H58" s="135">
        <v>13.07</v>
      </c>
      <c r="I58" s="135">
        <v>5.60</v>
      </c>
      <c r="J58" s="135">
        <v>0.19</v>
      </c>
      <c r="K58" s="135">
        <v>27.95</v>
      </c>
      <c r="L58" s="9" t="s">
        <v>36</v>
      </c>
      <c r="M58" s="135">
        <v>78.23</v>
      </c>
      <c r="N58" s="135">
        <v>651.29999999999995</v>
      </c>
      <c r="O58" s="135">
        <v>0</v>
      </c>
      <c r="P58" s="135">
        <v>2.93</v>
      </c>
      <c r="Q58" s="135">
        <v>5.83</v>
      </c>
      <c r="R58" s="194"/>
      <c r="S58" s="194"/>
      <c r="T58" s="194"/>
      <c r="U58" s="194"/>
    </row>
    <row r="59" spans="1:21" s="12" customFormat="1" ht="15">
      <c r="A59" s="207" t="s">
        <v>1735</v>
      </c>
      <c r="B59" s="135">
        <v>2.16</v>
      </c>
      <c r="C59" s="135">
        <v>18.23</v>
      </c>
      <c r="D59" s="135">
        <v>20.39</v>
      </c>
      <c r="E59" s="135">
        <v>5.44</v>
      </c>
      <c r="F59" s="135">
        <v>0.86</v>
      </c>
      <c r="G59" s="208" t="s">
        <v>36</v>
      </c>
      <c r="H59" s="135">
        <v>13.07</v>
      </c>
      <c r="I59" s="135">
        <v>5.70</v>
      </c>
      <c r="J59" s="135">
        <v>0.12</v>
      </c>
      <c r="K59" s="135">
        <v>221.37</v>
      </c>
      <c r="L59" s="9" t="s">
        <v>36</v>
      </c>
      <c r="M59" s="135">
        <v>74.180000000000007</v>
      </c>
      <c r="N59" s="135">
        <v>565.40</v>
      </c>
      <c r="O59" s="135">
        <v>0</v>
      </c>
      <c r="P59" s="135">
        <v>2.94</v>
      </c>
      <c r="Q59" s="135">
        <v>5.75</v>
      </c>
      <c r="R59" s="194"/>
      <c r="S59" s="194"/>
      <c r="T59" s="194"/>
      <c r="U59" s="194"/>
    </row>
    <row r="60" spans="1:21" s="12" customFormat="1" ht="15">
      <c r="A60" s="207" t="s">
        <v>1736</v>
      </c>
      <c r="B60" s="135">
        <v>1.90</v>
      </c>
      <c r="C60" s="135">
        <v>18.04</v>
      </c>
      <c r="D60" s="135">
        <v>19.95</v>
      </c>
      <c r="E60" s="135">
        <v>4.95</v>
      </c>
      <c r="F60" s="135">
        <v>0.23</v>
      </c>
      <c r="G60" s="208" t="s">
        <v>36</v>
      </c>
      <c r="H60" s="135">
        <v>13.07</v>
      </c>
      <c r="I60" s="135">
        <v>5.75</v>
      </c>
      <c r="J60" s="135">
        <v>0.10</v>
      </c>
      <c r="K60" s="135">
        <v>349.76</v>
      </c>
      <c r="L60" s="9" t="s">
        <v>36</v>
      </c>
      <c r="M60" s="135">
        <v>76.14</v>
      </c>
      <c r="N60" s="135">
        <v>258.20</v>
      </c>
      <c r="O60" s="135">
        <v>0</v>
      </c>
      <c r="P60" s="135">
        <v>2.93</v>
      </c>
      <c r="Q60" s="135">
        <v>5.66</v>
      </c>
      <c r="R60" s="194"/>
      <c r="S60" s="194"/>
      <c r="T60" s="194"/>
      <c r="U60" s="194"/>
    </row>
    <row r="61" spans="1:21" s="12" customFormat="1" ht="15">
      <c r="A61" s="207" t="s">
        <v>1737</v>
      </c>
      <c r="B61" s="135">
        <v>1.69</v>
      </c>
      <c r="C61" s="135">
        <v>17.80</v>
      </c>
      <c r="D61" s="135">
        <v>19.489999999999998</v>
      </c>
      <c r="E61" s="135">
        <v>5.05</v>
      </c>
      <c r="F61" s="135">
        <v>0.41</v>
      </c>
      <c r="G61" s="208" t="s">
        <v>36</v>
      </c>
      <c r="H61" s="135">
        <v>13.24</v>
      </c>
      <c r="I61" s="135">
        <v>5.82</v>
      </c>
      <c r="J61" s="135">
        <v>0.03</v>
      </c>
      <c r="K61" s="135">
        <v>300.97000000000003</v>
      </c>
      <c r="L61" s="9" t="s">
        <v>36</v>
      </c>
      <c r="M61" s="135">
        <v>77.36</v>
      </c>
      <c r="N61" s="135">
        <v>52.5</v>
      </c>
      <c r="O61" s="135">
        <v>0</v>
      </c>
      <c r="P61" s="135">
        <v>2.92</v>
      </c>
      <c r="Q61" s="135">
        <v>5.62</v>
      </c>
      <c r="R61" s="194"/>
      <c r="S61" s="194"/>
      <c r="T61" s="194"/>
      <c r="U61" s="194"/>
    </row>
    <row r="62" spans="1:21" s="12" customFormat="1" ht="15">
      <c r="A62" s="207" t="s">
        <v>1738</v>
      </c>
      <c r="B62" s="135">
        <v>1.94</v>
      </c>
      <c r="C62" s="135">
        <v>17.22</v>
      </c>
      <c r="D62" s="135">
        <v>19.16</v>
      </c>
      <c r="E62" s="135">
        <v>5.87</v>
      </c>
      <c r="F62" s="135">
        <v>0.40</v>
      </c>
      <c r="G62" s="208" t="s">
        <v>36</v>
      </c>
      <c r="H62" s="135">
        <v>13.56</v>
      </c>
      <c r="I62" s="135">
        <v>5.72</v>
      </c>
      <c r="J62" s="135">
        <v>0.37</v>
      </c>
      <c r="K62" s="135">
        <v>2.1800000000000002</v>
      </c>
      <c r="L62" s="9" t="s">
        <v>36</v>
      </c>
      <c r="M62" s="135">
        <v>80.03</v>
      </c>
      <c r="N62" s="135">
        <v>73.5</v>
      </c>
      <c r="O62" s="135">
        <v>0</v>
      </c>
      <c r="P62" s="135">
        <v>2.93</v>
      </c>
      <c r="Q62" s="135">
        <v>5.66</v>
      </c>
      <c r="R62" s="194"/>
      <c r="S62" s="194"/>
      <c r="T62" s="194"/>
      <c r="U62" s="194"/>
    </row>
    <row r="63" spans="1:21" s="12" customFormat="1" ht="15">
      <c r="A63" s="207" t="s">
        <v>1739</v>
      </c>
      <c r="B63" s="135">
        <v>2.41</v>
      </c>
      <c r="C63" s="135">
        <v>16.55</v>
      </c>
      <c r="D63" s="135">
        <v>18.96</v>
      </c>
      <c r="E63" s="135">
        <v>6.03</v>
      </c>
      <c r="F63" s="135">
        <v>0.61</v>
      </c>
      <c r="G63" s="208" t="s">
        <v>36</v>
      </c>
      <c r="H63" s="135">
        <v>13.56</v>
      </c>
      <c r="I63" s="135">
        <v>5.60</v>
      </c>
      <c r="J63" s="135">
        <v>0.45</v>
      </c>
      <c r="K63" s="135">
        <v>353.45</v>
      </c>
      <c r="L63" s="9" t="s">
        <v>36</v>
      </c>
      <c r="M63" s="135">
        <v>82.09</v>
      </c>
      <c r="N63" s="135">
        <v>149.90</v>
      </c>
      <c r="O63" s="135">
        <v>0</v>
      </c>
      <c r="P63" s="135">
        <v>2.94</v>
      </c>
      <c r="Q63" s="135">
        <v>5.82</v>
      </c>
      <c r="R63" s="194"/>
      <c r="S63" s="194"/>
      <c r="T63" s="194"/>
      <c r="U63" s="194"/>
    </row>
    <row r="64" spans="1:21" s="12" customFormat="1" ht="15">
      <c r="A64" s="207" t="s">
        <v>1740</v>
      </c>
      <c r="B64" s="135">
        <v>3.07</v>
      </c>
      <c r="C64" s="135">
        <v>16.23</v>
      </c>
      <c r="D64" s="135">
        <v>19.30</v>
      </c>
      <c r="E64" s="135">
        <v>5.59</v>
      </c>
      <c r="F64" s="135">
        <v>0.37</v>
      </c>
      <c r="G64" s="208" t="s">
        <v>36</v>
      </c>
      <c r="H64" s="135">
        <v>13.56</v>
      </c>
      <c r="I64" s="135">
        <v>5.56</v>
      </c>
      <c r="J64" s="135">
        <v>0.06</v>
      </c>
      <c r="K64" s="135">
        <v>260.24</v>
      </c>
      <c r="L64" s="9" t="s">
        <v>36</v>
      </c>
      <c r="M64" s="135">
        <v>82.13</v>
      </c>
      <c r="N64" s="135">
        <v>120.90</v>
      </c>
      <c r="O64" s="135">
        <v>0.20</v>
      </c>
      <c r="P64" s="135">
        <v>2.96</v>
      </c>
      <c r="Q64" s="135">
        <v>6.13</v>
      </c>
      <c r="R64" s="194"/>
      <c r="S64" s="194"/>
      <c r="T64" s="194"/>
      <c r="U64" s="194"/>
    </row>
    <row r="65" spans="1:21" s="12" customFormat="1" ht="15">
      <c r="A65" s="207" t="s">
        <v>1741</v>
      </c>
      <c r="B65" s="135">
        <v>3.51</v>
      </c>
      <c r="C65" s="135">
        <v>15.55</v>
      </c>
      <c r="D65" s="135">
        <v>19.059999999999999</v>
      </c>
      <c r="E65" s="135">
        <v>6.35</v>
      </c>
      <c r="F65" s="135">
        <v>0.55000000000000004</v>
      </c>
      <c r="G65" s="208" t="s">
        <v>36</v>
      </c>
      <c r="H65" s="135">
        <v>14</v>
      </c>
      <c r="I65" s="135">
        <v>6.27</v>
      </c>
      <c r="J65" s="135">
        <v>0.28000000000000003</v>
      </c>
      <c r="K65" s="135">
        <v>210.18</v>
      </c>
      <c r="L65" s="9" t="s">
        <v>36</v>
      </c>
      <c r="M65" s="135">
        <v>84.22</v>
      </c>
      <c r="N65" s="135">
        <v>116.60</v>
      </c>
      <c r="O65" s="135">
        <v>0</v>
      </c>
      <c r="P65" s="135">
        <v>2.96</v>
      </c>
      <c r="Q65" s="135">
        <v>6.23</v>
      </c>
      <c r="R65" s="194"/>
      <c r="S65" s="194"/>
      <c r="T65" s="194"/>
      <c r="U65" s="194"/>
    </row>
    <row r="66" spans="1:21" s="12" customFormat="1" ht="15">
      <c r="A66" s="207" t="s">
        <v>1742</v>
      </c>
      <c r="B66" s="135">
        <v>3.37</v>
      </c>
      <c r="C66" s="135">
        <v>15.42</v>
      </c>
      <c r="D66" s="135">
        <v>18.79</v>
      </c>
      <c r="E66" s="135">
        <v>6.12</v>
      </c>
      <c r="F66" s="135">
        <v>0.71</v>
      </c>
      <c r="G66" s="208" t="s">
        <v>36</v>
      </c>
      <c r="H66" s="135">
        <v>14.88</v>
      </c>
      <c r="I66" s="135">
        <v>6.37</v>
      </c>
      <c r="J66" s="135">
        <v>0.04</v>
      </c>
      <c r="K66" s="135">
        <v>335.82</v>
      </c>
      <c r="L66" s="9" t="s">
        <v>36</v>
      </c>
      <c r="M66" s="135">
        <v>85</v>
      </c>
      <c r="N66" s="135">
        <v>119.70</v>
      </c>
      <c r="O66" s="135">
        <v>0</v>
      </c>
      <c r="P66" s="135">
        <v>2.96</v>
      </c>
      <c r="Q66" s="135">
        <v>6.5</v>
      </c>
      <c r="R66" s="194"/>
      <c r="S66" s="194"/>
      <c r="T66" s="194"/>
      <c r="U66" s="194"/>
    </row>
    <row r="67" spans="1:21" s="12" customFormat="1" ht="15">
      <c r="A67" s="207" t="s">
        <v>1743</v>
      </c>
      <c r="B67" s="135">
        <v>3.75</v>
      </c>
      <c r="C67" s="135">
        <v>15.71</v>
      </c>
      <c r="D67" s="135">
        <v>19.45</v>
      </c>
      <c r="E67" s="135">
        <v>5.89</v>
      </c>
      <c r="F67" s="135">
        <v>0.49</v>
      </c>
      <c r="G67" s="208" t="s">
        <v>36</v>
      </c>
      <c r="H67" s="135">
        <v>14.88</v>
      </c>
      <c r="I67" s="135">
        <v>6.14</v>
      </c>
      <c r="J67" s="135">
        <v>0.11</v>
      </c>
      <c r="K67" s="135">
        <v>358</v>
      </c>
      <c r="L67" s="9" t="s">
        <v>36</v>
      </c>
      <c r="M67" s="135">
        <v>81.13</v>
      </c>
      <c r="N67" s="135">
        <v>147.90</v>
      </c>
      <c r="O67" s="135">
        <v>0</v>
      </c>
      <c r="P67" s="135">
        <v>2.98</v>
      </c>
      <c r="Q67" s="135">
        <v>6.70</v>
      </c>
      <c r="R67" s="194"/>
      <c r="S67" s="194"/>
      <c r="T67" s="194"/>
      <c r="U67" s="194"/>
    </row>
    <row r="68" spans="1:21" s="12" customFormat="1" ht="15">
      <c r="A68" s="207" t="s">
        <v>1744</v>
      </c>
      <c r="B68" s="135">
        <v>4.4800000000000004</v>
      </c>
      <c r="C68" s="135">
        <v>16.34</v>
      </c>
      <c r="D68" s="135">
        <v>20.82</v>
      </c>
      <c r="E68" s="135">
        <v>6.35</v>
      </c>
      <c r="F68" s="135">
        <v>0.56000000000000005</v>
      </c>
      <c r="G68" s="208" t="s">
        <v>36</v>
      </c>
      <c r="H68" s="135">
        <v>14.88</v>
      </c>
      <c r="I68" s="135">
        <v>6.03</v>
      </c>
      <c r="J68" s="135">
        <v>0.80</v>
      </c>
      <c r="K68" s="135">
        <v>319.22000000000003</v>
      </c>
      <c r="L68" s="9" t="s">
        <v>36</v>
      </c>
      <c r="M68" s="135">
        <v>79.86</v>
      </c>
      <c r="N68" s="135">
        <v>235</v>
      </c>
      <c r="O68" s="135">
        <v>0</v>
      </c>
      <c r="P68" s="135">
        <v>2.98</v>
      </c>
      <c r="Q68" s="135">
        <v>6.96</v>
      </c>
      <c r="R68" s="194"/>
      <c r="S68" s="194"/>
      <c r="T68" s="194"/>
      <c r="U68" s="194"/>
    </row>
    <row r="69" spans="1:21" s="12" customFormat="1" ht="15">
      <c r="A69" s="207" t="s">
        <v>1745</v>
      </c>
      <c r="B69" s="135">
        <v>5.38</v>
      </c>
      <c r="C69" s="135">
        <v>16.93</v>
      </c>
      <c r="D69" s="135">
        <v>22.31</v>
      </c>
      <c r="E69" s="135">
        <v>6.52</v>
      </c>
      <c r="F69" s="135">
        <v>1.22</v>
      </c>
      <c r="G69" s="208" t="s">
        <v>36</v>
      </c>
      <c r="H69" s="135">
        <v>13.56</v>
      </c>
      <c r="I69" s="135">
        <v>5.94</v>
      </c>
      <c r="J69" s="135">
        <v>0.74</v>
      </c>
      <c r="K69" s="135">
        <v>347.85</v>
      </c>
      <c r="L69" s="9" t="s">
        <v>36</v>
      </c>
      <c r="M69" s="135">
        <v>79.28</v>
      </c>
      <c r="N69" s="135">
        <v>196.70</v>
      </c>
      <c r="O69" s="135">
        <v>0</v>
      </c>
      <c r="P69" s="135">
        <v>3.01</v>
      </c>
      <c r="Q69" s="135">
        <v>7.42</v>
      </c>
      <c r="R69" s="194"/>
      <c r="S69" s="194"/>
      <c r="T69" s="194"/>
      <c r="U69" s="194"/>
    </row>
    <row r="70" spans="1:21" s="12" customFormat="1" ht="15">
      <c r="A70" s="207" t="s">
        <v>1746</v>
      </c>
      <c r="B70" s="135">
        <v>6.75</v>
      </c>
      <c r="C70" s="135">
        <v>17.12</v>
      </c>
      <c r="D70" s="135">
        <v>23.87</v>
      </c>
      <c r="E70" s="135">
        <v>6.23</v>
      </c>
      <c r="F70" s="135">
        <v>0.40</v>
      </c>
      <c r="G70" s="208" t="s">
        <v>36</v>
      </c>
      <c r="H70" s="135">
        <v>10.92</v>
      </c>
      <c r="I70" s="135">
        <v>5.84</v>
      </c>
      <c r="J70" s="135">
        <v>0.33</v>
      </c>
      <c r="K70" s="135">
        <v>315.20</v>
      </c>
      <c r="L70" s="9" t="s">
        <v>36</v>
      </c>
      <c r="M70" s="135">
        <v>78.900000000000006</v>
      </c>
      <c r="N70" s="135">
        <v>144.90</v>
      </c>
      <c r="O70" s="135">
        <v>0</v>
      </c>
      <c r="P70" s="135">
        <v>3.06</v>
      </c>
      <c r="Q70" s="135">
        <v>7.71</v>
      </c>
      <c r="R70" s="194"/>
      <c r="S70" s="194"/>
      <c r="T70" s="194"/>
      <c r="U70" s="194"/>
    </row>
    <row r="71" spans="1:21" s="12" customFormat="1" ht="15">
      <c r="A71" s="207" t="s">
        <v>1747</v>
      </c>
      <c r="B71" s="135">
        <v>8.0299999999999994</v>
      </c>
      <c r="C71" s="135">
        <v>17.86</v>
      </c>
      <c r="D71" s="135">
        <v>25.89</v>
      </c>
      <c r="E71" s="135">
        <v>6.37</v>
      </c>
      <c r="F71" s="135">
        <v>0.81</v>
      </c>
      <c r="G71" s="208" t="s">
        <v>36</v>
      </c>
      <c r="H71" s="135">
        <v>10.92</v>
      </c>
      <c r="I71" s="135">
        <v>5.83</v>
      </c>
      <c r="J71" s="135">
        <v>0.17</v>
      </c>
      <c r="K71" s="135">
        <v>343.23</v>
      </c>
      <c r="L71" s="9" t="s">
        <v>36</v>
      </c>
      <c r="M71" s="135">
        <v>77.239999999999995</v>
      </c>
      <c r="N71" s="135">
        <v>184</v>
      </c>
      <c r="O71" s="135">
        <v>0</v>
      </c>
      <c r="P71" s="135">
        <v>3.10</v>
      </c>
      <c r="Q71" s="135">
        <v>8.36</v>
      </c>
      <c r="R71" s="194"/>
      <c r="S71" s="194"/>
      <c r="T71" s="194"/>
      <c r="U71" s="194"/>
    </row>
    <row r="72" spans="1:21" s="12" customFormat="1" ht="15">
      <c r="A72" s="207" t="s">
        <v>1748</v>
      </c>
      <c r="B72" s="135">
        <v>7.99</v>
      </c>
      <c r="C72" s="135">
        <v>18.59</v>
      </c>
      <c r="D72" s="135">
        <v>26.58</v>
      </c>
      <c r="E72" s="135">
        <v>3.59</v>
      </c>
      <c r="F72" s="135">
        <v>0.48</v>
      </c>
      <c r="G72" s="208" t="s">
        <v>36</v>
      </c>
      <c r="H72" s="135">
        <v>10.92</v>
      </c>
      <c r="I72" s="135">
        <v>5.98</v>
      </c>
      <c r="J72" s="135">
        <v>0.04</v>
      </c>
      <c r="K72" s="135">
        <v>23.62</v>
      </c>
      <c r="L72" s="9" t="s">
        <v>36</v>
      </c>
      <c r="M72" s="135">
        <v>77.13</v>
      </c>
      <c r="N72" s="135">
        <v>194.80</v>
      </c>
      <c r="O72" s="135">
        <v>0</v>
      </c>
      <c r="P72" s="135">
        <v>3.10</v>
      </c>
      <c r="Q72" s="135">
        <v>8.31</v>
      </c>
      <c r="R72" s="194"/>
      <c r="S72" s="194"/>
      <c r="T72" s="194"/>
      <c r="U72" s="194"/>
    </row>
    <row r="73" spans="1:21" s="12" customFormat="1" ht="15">
      <c r="A73" s="207" t="s">
        <v>1749</v>
      </c>
      <c r="B73" s="135">
        <v>7.39</v>
      </c>
      <c r="C73" s="135">
        <v>18.809999999999999</v>
      </c>
      <c r="D73" s="135">
        <v>26.20</v>
      </c>
      <c r="E73" s="135">
        <v>5.90</v>
      </c>
      <c r="F73" s="135">
        <v>0.33</v>
      </c>
      <c r="G73" s="208" t="s">
        <v>36</v>
      </c>
      <c r="H73" s="135">
        <v>12.51</v>
      </c>
      <c r="I73" s="135">
        <v>6.08</v>
      </c>
      <c r="J73" s="135">
        <v>0.11</v>
      </c>
      <c r="K73" s="135">
        <v>280.26</v>
      </c>
      <c r="L73" s="9" t="s">
        <v>36</v>
      </c>
      <c r="M73" s="135">
        <v>78.14</v>
      </c>
      <c r="N73" s="135">
        <v>130.80000000000001</v>
      </c>
      <c r="O73" s="135">
        <v>0</v>
      </c>
      <c r="P73" s="135">
        <v>3.09</v>
      </c>
      <c r="Q73" s="135">
        <v>8.0299999999999994</v>
      </c>
      <c r="R73" s="194"/>
      <c r="S73" s="194"/>
      <c r="T73" s="194"/>
      <c r="U73" s="194"/>
    </row>
    <row r="74" spans="1:21" s="12" customFormat="1" ht="15">
      <c r="A74" s="207" t="s">
        <v>1750</v>
      </c>
      <c r="B74" s="135">
        <v>6.73</v>
      </c>
      <c r="C74" s="135">
        <v>18.68</v>
      </c>
      <c r="D74" s="135">
        <v>25.40</v>
      </c>
      <c r="E74" s="135">
        <v>5.71</v>
      </c>
      <c r="F74" s="135">
        <v>0.57999999999999996</v>
      </c>
      <c r="G74" s="208" t="s">
        <v>36</v>
      </c>
      <c r="H74" s="135">
        <v>15.68</v>
      </c>
      <c r="I74" s="135">
        <v>5.94</v>
      </c>
      <c r="J74" s="135">
        <v>0.06</v>
      </c>
      <c r="K74" s="135">
        <v>60.69</v>
      </c>
      <c r="L74" s="9" t="s">
        <v>36</v>
      </c>
      <c r="M74" s="135">
        <v>78.12</v>
      </c>
      <c r="N74" s="135">
        <v>131.69999999999999</v>
      </c>
      <c r="O74" s="135">
        <v>0</v>
      </c>
      <c r="P74" s="135">
        <v>3.08</v>
      </c>
      <c r="Q74" s="135">
        <v>7.66</v>
      </c>
      <c r="R74" s="194"/>
      <c r="S74" s="194"/>
      <c r="T74" s="194"/>
      <c r="U74" s="194"/>
    </row>
    <row r="75" spans="1:21" s="12" customFormat="1" ht="15">
      <c r="A75" s="207" t="s">
        <v>1751</v>
      </c>
      <c r="B75" s="135">
        <v>6.15</v>
      </c>
      <c r="C75" s="135">
        <v>18.98</v>
      </c>
      <c r="D75" s="135">
        <v>25.13</v>
      </c>
      <c r="E75" s="135">
        <v>6.24</v>
      </c>
      <c r="F75" s="135">
        <v>0.03</v>
      </c>
      <c r="G75" s="208" t="s">
        <v>36</v>
      </c>
      <c r="H75" s="135">
        <v>15.68</v>
      </c>
      <c r="I75" s="135">
        <v>5.85</v>
      </c>
      <c r="J75" s="135">
        <v>0.01</v>
      </c>
      <c r="K75" s="135">
        <v>281.02999999999997</v>
      </c>
      <c r="L75" s="9" t="s">
        <v>36</v>
      </c>
      <c r="M75" s="135">
        <v>76.84</v>
      </c>
      <c r="N75" s="135">
        <v>70.599999999999994</v>
      </c>
      <c r="O75" s="135">
        <v>0</v>
      </c>
      <c r="P75" s="135">
        <v>3.08</v>
      </c>
      <c r="Q75" s="135">
        <v>7.60</v>
      </c>
      <c r="R75" s="194"/>
      <c r="S75" s="194"/>
      <c r="T75" s="194"/>
      <c r="U75" s="194"/>
    </row>
    <row r="76" spans="1:21" s="12" customFormat="1" ht="15">
      <c r="A76" s="207" t="s">
        <v>1752</v>
      </c>
      <c r="B76" s="135">
        <v>5.52</v>
      </c>
      <c r="C76" s="135">
        <v>19.329999999999998</v>
      </c>
      <c r="D76" s="135">
        <v>24.85</v>
      </c>
      <c r="E76" s="135">
        <v>6.05</v>
      </c>
      <c r="F76" s="135">
        <v>0.47</v>
      </c>
      <c r="G76" s="208" t="s">
        <v>36</v>
      </c>
      <c r="H76" s="135">
        <v>15.68</v>
      </c>
      <c r="I76" s="135">
        <v>5.84</v>
      </c>
      <c r="J76" s="135">
        <v>0.08</v>
      </c>
      <c r="K76" s="135">
        <v>64.430000000000007</v>
      </c>
      <c r="L76" s="9" t="s">
        <v>36</v>
      </c>
      <c r="M76" s="135">
        <v>75.94</v>
      </c>
      <c r="N76" s="135">
        <v>55.30</v>
      </c>
      <c r="O76" s="135">
        <v>0</v>
      </c>
      <c r="P76" s="135">
        <v>3.07</v>
      </c>
      <c r="Q76" s="135">
        <v>7.42</v>
      </c>
      <c r="R76" s="194"/>
      <c r="S76" s="194"/>
      <c r="T76" s="194"/>
      <c r="U76" s="194"/>
    </row>
    <row r="77" spans="1:21" s="12" customFormat="1" ht="15">
      <c r="A77" s="207" t="s">
        <v>1753</v>
      </c>
      <c r="B77" s="135">
        <v>5.30</v>
      </c>
      <c r="C77" s="135">
        <v>19.53</v>
      </c>
      <c r="D77" s="135">
        <v>24.83</v>
      </c>
      <c r="E77" s="135">
        <v>6.07</v>
      </c>
      <c r="F77" s="135">
        <v>0.14000000000000001</v>
      </c>
      <c r="G77" s="208" t="s">
        <v>36</v>
      </c>
      <c r="H77" s="135">
        <v>15.06</v>
      </c>
      <c r="I77" s="135">
        <v>5.79</v>
      </c>
      <c r="J77" s="135">
        <v>0.070000000000000007</v>
      </c>
      <c r="K77" s="135">
        <v>22.60</v>
      </c>
      <c r="L77" s="9" t="s">
        <v>36</v>
      </c>
      <c r="M77" s="135">
        <v>76.069999999999993</v>
      </c>
      <c r="N77" s="135">
        <v>56.80</v>
      </c>
      <c r="O77" s="135">
        <v>0</v>
      </c>
      <c r="P77" s="135">
        <v>3.07</v>
      </c>
      <c r="Q77" s="135">
        <v>7.36</v>
      </c>
      <c r="R77" s="194"/>
      <c r="S77" s="194"/>
      <c r="T77" s="194"/>
      <c r="U77" s="194"/>
    </row>
    <row r="78" spans="1:21" s="12" customFormat="1" ht="15">
      <c r="A78" s="207" t="s">
        <v>1754</v>
      </c>
      <c r="B78" s="135">
        <v>5.75</v>
      </c>
      <c r="C78" s="135">
        <v>19.80</v>
      </c>
      <c r="D78" s="135">
        <v>25.55</v>
      </c>
      <c r="E78" s="135">
        <v>5.97</v>
      </c>
      <c r="F78" s="135">
        <v>0.60</v>
      </c>
      <c r="G78" s="208" t="s">
        <v>36</v>
      </c>
      <c r="H78" s="135">
        <v>13.81</v>
      </c>
      <c r="I78" s="135">
        <v>5.75</v>
      </c>
      <c r="J78" s="135">
        <v>0.12</v>
      </c>
      <c r="K78" s="135">
        <v>41.82</v>
      </c>
      <c r="L78" s="9" t="s">
        <v>36</v>
      </c>
      <c r="M78" s="135">
        <v>75.37</v>
      </c>
      <c r="N78" s="135">
        <v>76.400000000000006</v>
      </c>
      <c r="O78" s="135">
        <v>0</v>
      </c>
      <c r="P78" s="135">
        <v>3.07</v>
      </c>
      <c r="Q78" s="135">
        <v>7.53</v>
      </c>
      <c r="R78" s="194"/>
      <c r="S78" s="194"/>
      <c r="T78" s="194"/>
      <c r="U78" s="194"/>
    </row>
    <row r="79" spans="1:21" s="12" customFormat="1" ht="15">
      <c r="A79" s="207" t="s">
        <v>1755</v>
      </c>
      <c r="B79" s="135">
        <v>7.25</v>
      </c>
      <c r="C79" s="135">
        <v>20.61</v>
      </c>
      <c r="D79" s="135">
        <v>27.86</v>
      </c>
      <c r="E79" s="135">
        <v>5.97</v>
      </c>
      <c r="F79" s="135">
        <v>0.23</v>
      </c>
      <c r="G79" s="208" t="s">
        <v>36</v>
      </c>
      <c r="H79" s="135">
        <v>13.81</v>
      </c>
      <c r="I79" s="135">
        <v>5.74</v>
      </c>
      <c r="J79" s="135">
        <v>0.09</v>
      </c>
      <c r="K79" s="135">
        <v>39.56</v>
      </c>
      <c r="L79" s="9" t="s">
        <v>36</v>
      </c>
      <c r="M79" s="135">
        <v>77.31</v>
      </c>
      <c r="N79" s="135">
        <v>59.30</v>
      </c>
      <c r="O79" s="135">
        <v>0</v>
      </c>
      <c r="P79" s="135">
        <v>3.08</v>
      </c>
      <c r="Q79" s="135">
        <v>8.25</v>
      </c>
      <c r="R79" s="194"/>
      <c r="S79" s="194"/>
      <c r="T79" s="194"/>
      <c r="U79" s="194"/>
    </row>
    <row r="80" spans="1:21" s="12" customFormat="1" ht="15">
      <c r="A80" s="207" t="s">
        <v>1756</v>
      </c>
      <c r="B80" s="135">
        <v>7.72</v>
      </c>
      <c r="C80" s="135">
        <v>20.05</v>
      </c>
      <c r="D80" s="135">
        <v>27.77</v>
      </c>
      <c r="E80" s="135">
        <v>6.02</v>
      </c>
      <c r="F80" s="135">
        <v>1.08</v>
      </c>
      <c r="G80" s="208" t="s">
        <v>36</v>
      </c>
      <c r="H80" s="135">
        <v>13.81</v>
      </c>
      <c r="I80" s="135">
        <v>5.73</v>
      </c>
      <c r="J80" s="135">
        <v>0.01</v>
      </c>
      <c r="K80" s="135">
        <v>57.74</v>
      </c>
      <c r="L80" s="9" t="s">
        <v>36</v>
      </c>
      <c r="M80" s="135">
        <v>79.209999999999994</v>
      </c>
      <c r="N80" s="135">
        <v>31</v>
      </c>
      <c r="O80" s="135">
        <v>0</v>
      </c>
      <c r="P80" s="135">
        <v>3.08</v>
      </c>
      <c r="Q80" s="135">
        <v>8.08</v>
      </c>
      <c r="R80" s="194"/>
      <c r="S80" s="194"/>
      <c r="T80" s="194"/>
      <c r="U80" s="194"/>
    </row>
    <row r="81" spans="1:21" s="12" customFormat="1" ht="15">
      <c r="A81" s="207" t="s">
        <v>1757</v>
      </c>
      <c r="B81" s="135">
        <v>7.22</v>
      </c>
      <c r="C81" s="135">
        <v>20.25</v>
      </c>
      <c r="D81" s="135">
        <v>27.47</v>
      </c>
      <c r="E81" s="135">
        <v>6.20</v>
      </c>
      <c r="F81" s="135">
        <v>0.5</v>
      </c>
      <c r="G81" s="208" t="s">
        <v>36</v>
      </c>
      <c r="H81" s="135">
        <v>14.82</v>
      </c>
      <c r="I81" s="135">
        <v>5.70</v>
      </c>
      <c r="J81" s="135">
        <v>0.13</v>
      </c>
      <c r="K81" s="135">
        <v>192.76</v>
      </c>
      <c r="L81" s="9" t="s">
        <v>36</v>
      </c>
      <c r="M81" s="135">
        <v>80.08</v>
      </c>
      <c r="N81" s="135">
        <v>13.10</v>
      </c>
      <c r="O81" s="135">
        <v>0</v>
      </c>
      <c r="P81" s="135">
        <v>3.08</v>
      </c>
      <c r="Q81" s="135">
        <v>8.07</v>
      </c>
      <c r="R81" s="194"/>
      <c r="S81" s="194"/>
      <c r="T81" s="194"/>
      <c r="U81" s="194"/>
    </row>
    <row r="82" spans="1:21" s="12" customFormat="1" ht="15">
      <c r="A82" s="207" t="s">
        <v>1758</v>
      </c>
      <c r="B82" s="135">
        <v>6.93</v>
      </c>
      <c r="C82" s="135">
        <v>20.11</v>
      </c>
      <c r="D82" s="135">
        <v>27.04</v>
      </c>
      <c r="E82" s="135">
        <v>5.70</v>
      </c>
      <c r="F82" s="135">
        <v>5.12</v>
      </c>
      <c r="G82" s="208" t="s">
        <v>36</v>
      </c>
      <c r="H82" s="135">
        <v>16.82</v>
      </c>
      <c r="I82" s="135">
        <v>5.64</v>
      </c>
      <c r="J82" s="135">
        <v>0.04</v>
      </c>
      <c r="K82" s="135">
        <v>276.75</v>
      </c>
      <c r="L82" s="9" t="s">
        <v>36</v>
      </c>
      <c r="M82" s="135">
        <v>80.75</v>
      </c>
      <c r="N82" s="135">
        <v>6.30</v>
      </c>
      <c r="O82" s="135">
        <v>0</v>
      </c>
      <c r="P82" s="135">
        <v>3.09</v>
      </c>
      <c r="Q82" s="135">
        <v>7.92</v>
      </c>
      <c r="R82" s="194"/>
      <c r="S82" s="194"/>
      <c r="T82" s="194"/>
      <c r="U82" s="194"/>
    </row>
    <row r="83" spans="1:21" s="12" customFormat="1" ht="15">
      <c r="A83" s="207" t="s">
        <v>1759</v>
      </c>
      <c r="B83" s="135">
        <v>6.83</v>
      </c>
      <c r="C83" s="135">
        <v>20.02</v>
      </c>
      <c r="D83" s="135">
        <v>26.85</v>
      </c>
      <c r="E83" s="135">
        <v>5.76</v>
      </c>
      <c r="F83" s="135">
        <v>0.17</v>
      </c>
      <c r="G83" s="208" t="s">
        <v>36</v>
      </c>
      <c r="H83" s="135">
        <v>16.82</v>
      </c>
      <c r="I83" s="135">
        <v>5.65</v>
      </c>
      <c r="J83" s="135">
        <v>0.06</v>
      </c>
      <c r="K83" s="135">
        <v>249.08</v>
      </c>
      <c r="L83" s="9" t="s">
        <v>36</v>
      </c>
      <c r="M83" s="135">
        <v>81.67</v>
      </c>
      <c r="N83" s="135">
        <v>2.40</v>
      </c>
      <c r="O83" s="135">
        <v>0</v>
      </c>
      <c r="P83" s="135">
        <v>3.11</v>
      </c>
      <c r="Q83" s="135">
        <v>7.90</v>
      </c>
      <c r="R83" s="194"/>
      <c r="S83" s="194"/>
      <c r="T83" s="194"/>
      <c r="U83" s="194"/>
    </row>
    <row r="84" spans="1:21" s="12" customFormat="1" ht="15">
      <c r="A84" s="207" t="s">
        <v>1760</v>
      </c>
      <c r="B84" s="135">
        <v>6.92</v>
      </c>
      <c r="C84" s="135">
        <v>19.55</v>
      </c>
      <c r="D84" s="135">
        <v>26.48</v>
      </c>
      <c r="E84" s="135">
        <v>5.41</v>
      </c>
      <c r="F84" s="135">
        <v>1.41</v>
      </c>
      <c r="G84" s="208" t="s">
        <v>36</v>
      </c>
      <c r="H84" s="135">
        <v>16.82</v>
      </c>
      <c r="I84" s="135">
        <v>5.63</v>
      </c>
      <c r="J84" s="135">
        <v>0.13</v>
      </c>
      <c r="K84" s="135">
        <v>223.02</v>
      </c>
      <c r="L84" s="9" t="s">
        <v>36</v>
      </c>
      <c r="M84" s="135">
        <v>82.05</v>
      </c>
      <c r="N84" s="135">
        <v>0.60</v>
      </c>
      <c r="O84" s="135">
        <v>0</v>
      </c>
      <c r="P84" s="135">
        <v>3.13</v>
      </c>
      <c r="Q84" s="135">
        <v>7.81</v>
      </c>
      <c r="R84" s="194"/>
      <c r="S84" s="194"/>
      <c r="T84" s="194"/>
      <c r="U84" s="194"/>
    </row>
    <row r="85" spans="1:21" s="12" customFormat="1" ht="15">
      <c r="A85" s="207" t="s">
        <v>1761</v>
      </c>
      <c r="B85" s="135">
        <v>6.46</v>
      </c>
      <c r="C85" s="135">
        <v>19.25</v>
      </c>
      <c r="D85" s="135">
        <v>25.71</v>
      </c>
      <c r="E85" s="135">
        <v>5.55</v>
      </c>
      <c r="F85" s="135">
        <v>0.48</v>
      </c>
      <c r="G85" s="208" t="s">
        <v>36</v>
      </c>
      <c r="H85" s="135">
        <v>16.03</v>
      </c>
      <c r="I85" s="135">
        <v>5.68</v>
      </c>
      <c r="J85" s="135">
        <v>0.15</v>
      </c>
      <c r="K85" s="135">
        <v>218.01</v>
      </c>
      <c r="L85" s="9" t="s">
        <v>36</v>
      </c>
      <c r="M85" s="135">
        <v>81.430000000000007</v>
      </c>
      <c r="N85" s="135">
        <v>0.30</v>
      </c>
      <c r="O85" s="135">
        <v>0</v>
      </c>
      <c r="P85" s="135">
        <v>3.14</v>
      </c>
      <c r="Q85" s="135">
        <v>7.66</v>
      </c>
      <c r="R85" s="194"/>
      <c r="S85" s="194"/>
      <c r="T85" s="194"/>
      <c r="U85" s="194"/>
    </row>
    <row r="86" spans="1:21" s="12" customFormat="1" ht="15">
      <c r="A86" s="207" t="s">
        <v>1762</v>
      </c>
      <c r="B86" s="135">
        <v>5.92</v>
      </c>
      <c r="C86" s="135">
        <v>19.04</v>
      </c>
      <c r="D86" s="135">
        <v>24.96</v>
      </c>
      <c r="E86" s="135">
        <v>5.95</v>
      </c>
      <c r="F86" s="135">
        <v>0.39</v>
      </c>
      <c r="G86" s="208" t="s">
        <v>36</v>
      </c>
      <c r="H86" s="135">
        <v>14.46</v>
      </c>
      <c r="I86" s="135">
        <v>5.76</v>
      </c>
      <c r="J86" s="135">
        <v>0.12</v>
      </c>
      <c r="K86" s="135">
        <v>225.19</v>
      </c>
      <c r="L86" s="9" t="s">
        <v>36</v>
      </c>
      <c r="M86" s="135">
        <v>81.22</v>
      </c>
      <c r="N86" s="135">
        <v>0.30</v>
      </c>
      <c r="O86" s="135">
        <v>0</v>
      </c>
      <c r="P86" s="135">
        <v>3.14</v>
      </c>
      <c r="Q86" s="135">
        <v>7.40</v>
      </c>
      <c r="R86" s="194"/>
      <c r="S86" s="194"/>
      <c r="T86" s="194"/>
      <c r="U86" s="194"/>
    </row>
    <row r="87" spans="1:21" s="12" customFormat="1" ht="15">
      <c r="A87" s="207" t="s">
        <v>1763</v>
      </c>
      <c r="B87" s="135">
        <v>5.74</v>
      </c>
      <c r="C87" s="135">
        <v>18.36</v>
      </c>
      <c r="D87" s="135">
        <v>24.10</v>
      </c>
      <c r="E87" s="135">
        <v>5.89</v>
      </c>
      <c r="F87" s="135">
        <v>0.38</v>
      </c>
      <c r="G87" s="208" t="s">
        <v>36</v>
      </c>
      <c r="H87" s="135">
        <v>14.46</v>
      </c>
      <c r="I87" s="135">
        <v>5.79</v>
      </c>
      <c r="J87" s="135">
        <v>0.13</v>
      </c>
      <c r="K87" s="135">
        <v>241.84</v>
      </c>
      <c r="L87" s="9" t="s">
        <v>36</v>
      </c>
      <c r="M87" s="135">
        <v>81.27</v>
      </c>
      <c r="N87" s="135">
        <v>0.40</v>
      </c>
      <c r="O87" s="135">
        <v>0</v>
      </c>
      <c r="P87" s="135">
        <v>3.17</v>
      </c>
      <c r="Q87" s="135">
        <v>7.22</v>
      </c>
      <c r="R87" s="194"/>
      <c r="S87" s="194"/>
      <c r="T87" s="194"/>
      <c r="U87" s="194"/>
    </row>
    <row r="88" spans="1:21" s="12" customFormat="1" ht="15">
      <c r="A88" s="207" t="s">
        <v>1764</v>
      </c>
      <c r="B88" s="135">
        <v>5.76</v>
      </c>
      <c r="C88" s="135">
        <v>17.68</v>
      </c>
      <c r="D88" s="135">
        <v>23.44</v>
      </c>
      <c r="E88" s="135">
        <v>2.74</v>
      </c>
      <c r="F88" s="135">
        <v>0.28999999999999998</v>
      </c>
      <c r="G88" s="208" t="s">
        <v>36</v>
      </c>
      <c r="H88" s="135">
        <v>14.46</v>
      </c>
      <c r="I88" s="135">
        <v>5.86</v>
      </c>
      <c r="J88" s="135">
        <v>0.04</v>
      </c>
      <c r="K88" s="135">
        <v>241.51</v>
      </c>
      <c r="L88" s="9" t="s">
        <v>36</v>
      </c>
      <c r="M88" s="135">
        <v>82.34</v>
      </c>
      <c r="N88" s="135">
        <v>0.40</v>
      </c>
      <c r="O88" s="135">
        <v>0</v>
      </c>
      <c r="P88" s="135">
        <v>3.17</v>
      </c>
      <c r="Q88" s="135">
        <v>7.12</v>
      </c>
      <c r="R88" s="194"/>
      <c r="S88" s="194"/>
      <c r="T88" s="194"/>
      <c r="U88" s="194"/>
    </row>
    <row r="89" spans="1:21" s="12" customFormat="1" ht="15">
      <c r="A89" s="207" t="s">
        <v>1765</v>
      </c>
      <c r="B89" s="135">
        <v>5.95</v>
      </c>
      <c r="C89" s="135">
        <v>17.30</v>
      </c>
      <c r="D89" s="135">
        <v>23.25</v>
      </c>
      <c r="E89" s="135">
        <v>5.83</v>
      </c>
      <c r="F89" s="135">
        <v>0.11</v>
      </c>
      <c r="G89" s="208" t="s">
        <v>36</v>
      </c>
      <c r="H89" s="135">
        <v>14.99</v>
      </c>
      <c r="I89" s="135">
        <v>6.02</v>
      </c>
      <c r="J89" s="135">
        <v>0.06</v>
      </c>
      <c r="K89" s="135">
        <v>332.95</v>
      </c>
      <c r="L89" s="9" t="s">
        <v>36</v>
      </c>
      <c r="M89" s="135">
        <v>83.38</v>
      </c>
      <c r="N89" s="135">
        <v>0.30</v>
      </c>
      <c r="O89" s="135">
        <v>0</v>
      </c>
      <c r="P89" s="135">
        <v>3.22</v>
      </c>
      <c r="Q89" s="135">
        <v>7.23</v>
      </c>
      <c r="R89" s="194"/>
      <c r="S89" s="194"/>
      <c r="T89" s="194"/>
      <c r="U89" s="194"/>
    </row>
    <row r="90" spans="1:21" s="12" customFormat="1" ht="15">
      <c r="A90" s="207" t="s">
        <v>1766</v>
      </c>
      <c r="B90" s="135">
        <v>6.68</v>
      </c>
      <c r="C90" s="135">
        <v>17.059999999999999</v>
      </c>
      <c r="D90" s="135">
        <v>23.74</v>
      </c>
      <c r="E90" s="135">
        <v>5.81</v>
      </c>
      <c r="F90" s="135">
        <v>0.10</v>
      </c>
      <c r="G90" s="208" t="s">
        <v>36</v>
      </c>
      <c r="H90" s="135">
        <v>16.059999999999999</v>
      </c>
      <c r="I90" s="135">
        <v>6.18</v>
      </c>
      <c r="J90" s="135">
        <v>0.09</v>
      </c>
      <c r="K90" s="135">
        <v>255.86</v>
      </c>
      <c r="L90" s="9" t="s">
        <v>36</v>
      </c>
      <c r="M90" s="135">
        <v>86.45</v>
      </c>
      <c r="N90" s="135">
        <v>0.20</v>
      </c>
      <c r="O90" s="135">
        <v>0</v>
      </c>
      <c r="P90" s="135">
        <v>3.28</v>
      </c>
      <c r="Q90" s="135">
        <v>7.47</v>
      </c>
      <c r="R90" s="194"/>
      <c r="S90" s="194"/>
      <c r="T90" s="194"/>
      <c r="U90" s="194"/>
    </row>
    <row r="91" spans="1:21" s="12" customFormat="1" ht="15">
      <c r="A91" s="207" t="s">
        <v>1767</v>
      </c>
      <c r="B91" s="135">
        <v>7.23</v>
      </c>
      <c r="C91" s="135">
        <v>16.440000000000001</v>
      </c>
      <c r="D91" s="135">
        <v>23.67</v>
      </c>
      <c r="E91" s="135">
        <v>5.97</v>
      </c>
      <c r="F91" s="135">
        <v>0.22</v>
      </c>
      <c r="G91" s="208" t="s">
        <v>36</v>
      </c>
      <c r="H91" s="135">
        <v>16.059999999999999</v>
      </c>
      <c r="I91" s="135">
        <v>6.60</v>
      </c>
      <c r="J91" s="135">
        <v>0.20</v>
      </c>
      <c r="K91" s="135">
        <v>221.15</v>
      </c>
      <c r="L91" s="9" t="s">
        <v>36</v>
      </c>
      <c r="M91" s="135">
        <v>90.83</v>
      </c>
      <c r="N91" s="208" t="s">
        <v>36</v>
      </c>
      <c r="O91" s="135">
        <v>0.20</v>
      </c>
      <c r="P91" s="135">
        <v>3.27</v>
      </c>
      <c r="Q91" s="135">
        <v>7.66</v>
      </c>
      <c r="R91" s="194"/>
      <c r="S91" s="194"/>
      <c r="T91" s="194"/>
      <c r="U91" s="194"/>
    </row>
    <row r="92" spans="1:21" s="12" customFormat="1" ht="15">
      <c r="A92" s="207" t="s">
        <v>1768</v>
      </c>
      <c r="B92" s="135">
        <v>7.32</v>
      </c>
      <c r="C92" s="135">
        <v>15.83</v>
      </c>
      <c r="D92" s="135">
        <v>23.15</v>
      </c>
      <c r="E92" s="135">
        <v>6.47</v>
      </c>
      <c r="F92" s="135">
        <v>0.25</v>
      </c>
      <c r="G92" s="208" t="s">
        <v>36</v>
      </c>
      <c r="H92" s="135">
        <v>16.059999999999999</v>
      </c>
      <c r="I92" s="135">
        <v>7</v>
      </c>
      <c r="J92" s="135">
        <v>0.14000000000000001</v>
      </c>
      <c r="K92" s="135">
        <v>225.67</v>
      </c>
      <c r="L92" s="9" t="s">
        <v>36</v>
      </c>
      <c r="M92" s="135">
        <v>93.85</v>
      </c>
      <c r="N92" s="208" t="s">
        <v>36</v>
      </c>
      <c r="O92" s="135">
        <v>0</v>
      </c>
      <c r="P92" s="135">
        <v>3.27</v>
      </c>
      <c r="Q92" s="135">
        <v>7.79</v>
      </c>
      <c r="R92" s="194"/>
      <c r="S92" s="194"/>
      <c r="T92" s="194"/>
      <c r="U92" s="194"/>
    </row>
    <row r="93" spans="1:21" s="12" customFormat="1" ht="15">
      <c r="A93" s="207" t="s">
        <v>1769</v>
      </c>
      <c r="B93" s="135">
        <v>7.41</v>
      </c>
      <c r="C93" s="135">
        <v>15.21</v>
      </c>
      <c r="D93" s="135">
        <v>22.62</v>
      </c>
      <c r="E93" s="135">
        <v>6.22</v>
      </c>
      <c r="F93" s="135">
        <v>0.16</v>
      </c>
      <c r="G93" s="208" t="s">
        <v>36</v>
      </c>
      <c r="H93" s="135">
        <v>17.28</v>
      </c>
      <c r="I93" s="135">
        <v>6.27</v>
      </c>
      <c r="J93" s="135">
        <v>0.27</v>
      </c>
      <c r="K93" s="135">
        <v>170.43</v>
      </c>
      <c r="L93" s="9" t="s">
        <v>36</v>
      </c>
      <c r="M93" s="135">
        <v>94.57</v>
      </c>
      <c r="N93" s="208" t="s">
        <v>36</v>
      </c>
      <c r="O93" s="135">
        <v>0</v>
      </c>
      <c r="P93" s="135">
        <v>3.26</v>
      </c>
      <c r="Q93" s="135">
        <v>7.90</v>
      </c>
      <c r="R93" s="194"/>
      <c r="S93" s="194"/>
      <c r="T93" s="194"/>
      <c r="U93" s="194"/>
    </row>
    <row r="94" spans="1:21" s="12" customFormat="1" ht="15">
      <c r="A94" s="207" t="s">
        <v>1770</v>
      </c>
      <c r="B94" s="135">
        <v>7.52</v>
      </c>
      <c r="C94" s="135">
        <v>14.35</v>
      </c>
      <c r="D94" s="135">
        <v>21.88</v>
      </c>
      <c r="E94" s="135">
        <v>6.77</v>
      </c>
      <c r="F94" s="135">
        <v>0.42</v>
      </c>
      <c r="G94" s="208" t="s">
        <v>36</v>
      </c>
      <c r="H94" s="135">
        <v>19.73</v>
      </c>
      <c r="I94" s="135">
        <v>6.22</v>
      </c>
      <c r="J94" s="135">
        <v>0.31</v>
      </c>
      <c r="K94" s="135">
        <v>189.41</v>
      </c>
      <c r="L94" s="9" t="s">
        <v>36</v>
      </c>
      <c r="M94" s="135">
        <v>94.97</v>
      </c>
      <c r="N94" s="208" t="s">
        <v>36</v>
      </c>
      <c r="O94" s="135">
        <v>0</v>
      </c>
      <c r="P94" s="135">
        <v>3.24</v>
      </c>
      <c r="Q94" s="135">
        <v>7.90</v>
      </c>
      <c r="R94" s="194"/>
      <c r="S94" s="194"/>
      <c r="T94" s="194"/>
      <c r="U94" s="194"/>
    </row>
    <row r="95" spans="1:21" s="12" customFormat="1" ht="15">
      <c r="A95" s="207" t="s">
        <v>1771</v>
      </c>
      <c r="B95" s="135">
        <v>7.14</v>
      </c>
      <c r="C95" s="135">
        <v>14.04</v>
      </c>
      <c r="D95" s="135">
        <v>21.18</v>
      </c>
      <c r="E95" s="135">
        <v>6.33</v>
      </c>
      <c r="F95" s="135">
        <v>0.45</v>
      </c>
      <c r="G95" s="208" t="s">
        <v>36</v>
      </c>
      <c r="H95" s="135">
        <v>19.73</v>
      </c>
      <c r="I95" s="135">
        <v>6.29</v>
      </c>
      <c r="J95" s="135">
        <v>0.21</v>
      </c>
      <c r="K95" s="135">
        <v>211.85</v>
      </c>
      <c r="L95" s="9" t="s">
        <v>36</v>
      </c>
      <c r="M95" s="135">
        <v>94.20</v>
      </c>
      <c r="N95" s="208" t="s">
        <v>36</v>
      </c>
      <c r="O95" s="135">
        <v>0</v>
      </c>
      <c r="P95" s="135">
        <v>3.22</v>
      </c>
      <c r="Q95" s="135">
        <v>8.09</v>
      </c>
      <c r="R95" s="194"/>
      <c r="S95" s="194"/>
      <c r="T95" s="194"/>
      <c r="U95" s="194"/>
    </row>
    <row r="96" spans="1:26" s="12" customFormat="1" ht="15">
      <c r="A96" s="207" t="s">
        <v>1772</v>
      </c>
      <c r="B96" s="135">
        <v>6.70</v>
      </c>
      <c r="C96" s="135">
        <v>13.57</v>
      </c>
      <c r="D96" s="135">
        <v>20.27</v>
      </c>
      <c r="E96" s="135">
        <v>6.53</v>
      </c>
      <c r="F96" s="135">
        <v>0.09</v>
      </c>
      <c r="G96" s="208" t="s">
        <v>36</v>
      </c>
      <c r="H96" s="135">
        <v>19.73</v>
      </c>
      <c r="I96" s="135">
        <v>6.45</v>
      </c>
      <c r="J96" s="135">
        <v>0.05</v>
      </c>
      <c r="K96" s="135">
        <v>300.77999999999997</v>
      </c>
      <c r="L96" s="9" t="s">
        <v>36</v>
      </c>
      <c r="M96" s="135">
        <v>94.32</v>
      </c>
      <c r="N96" s="208" t="s">
        <v>36</v>
      </c>
      <c r="O96" s="135">
        <v>0</v>
      </c>
      <c r="P96" s="135">
        <v>3.19</v>
      </c>
      <c r="Q96" s="135">
        <v>8.01</v>
      </c>
      <c r="R96" s="194"/>
      <c r="S96" s="194"/>
      <c r="T96" s="194"/>
      <c r="U96" s="194"/>
      <c r="Z96" s="105"/>
    </row>
    <row r="97" spans="1:21" s="12" customFormat="1" ht="15">
      <c r="A97" s="207" t="s">
        <v>1773</v>
      </c>
      <c r="B97" s="135">
        <v>6.37</v>
      </c>
      <c r="C97" s="135">
        <v>13.47</v>
      </c>
      <c r="D97" s="135">
        <v>19.850000000000001</v>
      </c>
      <c r="E97" s="135">
        <v>6.45</v>
      </c>
      <c r="F97" s="135">
        <v>0.10</v>
      </c>
      <c r="G97" s="208" t="s">
        <v>36</v>
      </c>
      <c r="H97" s="135">
        <v>17.989999999999998</v>
      </c>
      <c r="I97" s="135">
        <v>6.39</v>
      </c>
      <c r="J97" s="135">
        <v>0.18</v>
      </c>
      <c r="K97" s="135">
        <v>182.93</v>
      </c>
      <c r="L97" s="9" t="s">
        <v>36</v>
      </c>
      <c r="M97" s="135">
        <v>94.31</v>
      </c>
      <c r="N97" s="208" t="s">
        <v>36</v>
      </c>
      <c r="O97" s="135">
        <v>0</v>
      </c>
      <c r="P97" s="135">
        <v>3.17</v>
      </c>
      <c r="Q97" s="135">
        <v>8.01</v>
      </c>
      <c r="R97" s="194"/>
      <c r="S97" s="194"/>
      <c r="T97" s="194"/>
      <c r="U97" s="194"/>
    </row>
    <row r="98" spans="1:21" s="12" customFormat="1" ht="15">
      <c r="A98" s="207" t="s">
        <v>1774</v>
      </c>
      <c r="B98" s="135">
        <v>5.91</v>
      </c>
      <c r="C98" s="135">
        <v>13.11</v>
      </c>
      <c r="D98" s="135">
        <v>19.02</v>
      </c>
      <c r="E98" s="135">
        <v>6.15</v>
      </c>
      <c r="F98" s="135">
        <v>1.30</v>
      </c>
      <c r="G98" s="208" t="s">
        <v>36</v>
      </c>
      <c r="H98" s="135">
        <v>14.52</v>
      </c>
      <c r="I98" s="135">
        <v>6.19</v>
      </c>
      <c r="J98" s="135">
        <v>0.21</v>
      </c>
      <c r="K98" s="135">
        <v>206.84</v>
      </c>
      <c r="L98" s="9" t="s">
        <v>36</v>
      </c>
      <c r="M98" s="135">
        <v>95.28</v>
      </c>
      <c r="N98" s="208" t="s">
        <v>36</v>
      </c>
      <c r="O98" s="135">
        <v>0</v>
      </c>
      <c r="P98" s="135">
        <v>3.14</v>
      </c>
      <c r="Q98" s="135">
        <v>7.71</v>
      </c>
      <c r="R98" s="194"/>
      <c r="S98" s="194"/>
      <c r="T98" s="194"/>
      <c r="U98" s="194"/>
    </row>
    <row r="99" spans="1:21" s="12" customFormat="1" ht="15">
      <c r="A99" s="207" t="s">
        <v>1775</v>
      </c>
      <c r="B99" s="135">
        <v>5.47</v>
      </c>
      <c r="C99" s="135">
        <v>12.67</v>
      </c>
      <c r="D99" s="135">
        <v>18.14</v>
      </c>
      <c r="E99" s="135">
        <v>6.48</v>
      </c>
      <c r="F99" s="135">
        <v>0.51</v>
      </c>
      <c r="G99" s="208" t="s">
        <v>36</v>
      </c>
      <c r="H99" s="135">
        <v>14.52</v>
      </c>
      <c r="I99" s="135">
        <v>5.98</v>
      </c>
      <c r="J99" s="135">
        <v>0.070000000000000007</v>
      </c>
      <c r="K99" s="135">
        <v>208.89</v>
      </c>
      <c r="L99" s="9" t="s">
        <v>36</v>
      </c>
      <c r="M99" s="135">
        <v>96.56</v>
      </c>
      <c r="N99" s="208" t="s">
        <v>36</v>
      </c>
      <c r="O99" s="135">
        <v>0.20</v>
      </c>
      <c r="P99" s="135">
        <v>3.12</v>
      </c>
      <c r="Q99" s="135">
        <v>7.45</v>
      </c>
      <c r="R99" s="194"/>
      <c r="S99" s="194"/>
      <c r="T99" s="194"/>
      <c r="U99" s="194"/>
    </row>
    <row r="100" spans="1:33" s="12" customFormat="1" ht="15">
      <c r="A100" s="207" t="s">
        <v>1776</v>
      </c>
      <c r="B100" s="135">
        <v>5.1100000000000003</v>
      </c>
      <c r="C100" s="135">
        <v>12.68</v>
      </c>
      <c r="D100" s="135">
        <v>17.79</v>
      </c>
      <c r="E100" s="135">
        <v>6.29</v>
      </c>
      <c r="F100" s="135">
        <v>0.16</v>
      </c>
      <c r="G100" s="208" t="s">
        <v>36</v>
      </c>
      <c r="H100" s="135">
        <v>14.52</v>
      </c>
      <c r="I100" s="135">
        <v>5.71</v>
      </c>
      <c r="J100" s="135">
        <v>0.40</v>
      </c>
      <c r="K100" s="135">
        <v>190.69</v>
      </c>
      <c r="L100" s="9" t="s">
        <v>36</v>
      </c>
      <c r="M100" s="135">
        <v>97.42</v>
      </c>
      <c r="N100" s="208" t="s">
        <v>36</v>
      </c>
      <c r="O100" s="135">
        <v>0</v>
      </c>
      <c r="P100" s="135">
        <v>3.09</v>
      </c>
      <c r="Q100" s="135">
        <v>7.37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1777</v>
      </c>
      <c r="B101" s="135">
        <v>4.76</v>
      </c>
      <c r="C101" s="135">
        <v>12.70</v>
      </c>
      <c r="D101" s="135">
        <v>17.46</v>
      </c>
      <c r="E101" s="135">
        <v>6.53</v>
      </c>
      <c r="F101" s="135">
        <v>0.18</v>
      </c>
      <c r="G101" s="208" t="s">
        <v>36</v>
      </c>
      <c r="H101" s="135">
        <v>14.42</v>
      </c>
      <c r="I101" s="135">
        <v>5.56</v>
      </c>
      <c r="J101" s="135">
        <v>0.38</v>
      </c>
      <c r="K101" s="135">
        <v>198.25</v>
      </c>
      <c r="L101" s="9" t="s">
        <v>36</v>
      </c>
      <c r="M101" s="135">
        <v>98.5</v>
      </c>
      <c r="N101" s="135">
        <v>1</v>
      </c>
      <c r="O101" s="135">
        <v>4.4000000000000004</v>
      </c>
      <c r="P101" s="135">
        <v>3.07</v>
      </c>
      <c r="Q101" s="135">
        <v>7.30</v>
      </c>
      <c r="R101" s="194"/>
      <c r="S101" s="194"/>
      <c r="T101" s="194"/>
      <c r="U101" s="194"/>
    </row>
    <row r="102" spans="1:21" s="12" customFormat="1" ht="15">
      <c r="A102" s="207" t="s">
        <v>1778</v>
      </c>
      <c r="B102" s="135">
        <v>4.4800000000000004</v>
      </c>
      <c r="C102" s="135">
        <v>12.25</v>
      </c>
      <c r="D102" s="135">
        <v>16.73</v>
      </c>
      <c r="E102" s="135">
        <v>6.79</v>
      </c>
      <c r="F102" s="135">
        <v>0.10</v>
      </c>
      <c r="G102" s="208" t="s">
        <v>36</v>
      </c>
      <c r="H102" s="135">
        <v>14.22</v>
      </c>
      <c r="I102" s="135">
        <v>5.54</v>
      </c>
      <c r="J102" s="135">
        <v>0.02</v>
      </c>
      <c r="K102" s="135">
        <v>143.97</v>
      </c>
      <c r="L102" s="9" t="s">
        <v>36</v>
      </c>
      <c r="M102" s="135">
        <v>99.10</v>
      </c>
      <c r="N102" s="135">
        <v>0.40</v>
      </c>
      <c r="O102" s="135">
        <v>1.60</v>
      </c>
      <c r="P102" s="135">
        <v>3.06</v>
      </c>
      <c r="Q102" s="135">
        <v>7.24</v>
      </c>
      <c r="R102" s="194"/>
      <c r="S102" s="194"/>
      <c r="T102" s="194"/>
      <c r="U102" s="194"/>
    </row>
    <row r="103" spans="1:21" s="12" customFormat="1" ht="15">
      <c r="A103" s="207" t="s">
        <v>1779</v>
      </c>
      <c r="B103" s="135">
        <v>4.5</v>
      </c>
      <c r="C103" s="135">
        <v>11.72</v>
      </c>
      <c r="D103" s="135">
        <v>16.22</v>
      </c>
      <c r="E103" s="135">
        <v>6.82</v>
      </c>
      <c r="F103" s="135">
        <v>0.80</v>
      </c>
      <c r="G103" s="208" t="s">
        <v>36</v>
      </c>
      <c r="H103" s="135">
        <v>14.22</v>
      </c>
      <c r="I103" s="135">
        <v>5.47</v>
      </c>
      <c r="J103" s="135">
        <v>0.09</v>
      </c>
      <c r="K103" s="135">
        <v>185.87</v>
      </c>
      <c r="L103" s="9" t="s">
        <v>36</v>
      </c>
      <c r="M103" s="135">
        <v>99.10</v>
      </c>
      <c r="N103" s="135">
        <v>0.80</v>
      </c>
      <c r="O103" s="135">
        <v>7</v>
      </c>
      <c r="P103" s="135">
        <v>3.03</v>
      </c>
      <c r="Q103" s="135">
        <v>7.31</v>
      </c>
      <c r="R103" s="194"/>
      <c r="S103" s="194"/>
      <c r="T103" s="194"/>
      <c r="U103" s="194"/>
    </row>
    <row r="104" spans="1:21" s="12" customFormat="1" ht="15">
      <c r="A104" s="209" t="s">
        <v>1780</v>
      </c>
      <c r="B104" s="210">
        <v>4.53</v>
      </c>
      <c r="C104" s="210">
        <v>11.65</v>
      </c>
      <c r="D104" s="210">
        <v>16.190000000000001</v>
      </c>
      <c r="E104" s="210">
        <v>2.82</v>
      </c>
      <c r="F104" s="210">
        <v>0.18</v>
      </c>
      <c r="G104" s="211" t="s">
        <v>36</v>
      </c>
      <c r="H104" s="210">
        <v>14.22</v>
      </c>
      <c r="I104" s="210">
        <v>5.25</v>
      </c>
      <c r="J104" s="210">
        <v>0.52</v>
      </c>
      <c r="K104" s="210">
        <v>184.01</v>
      </c>
      <c r="L104" s="9" t="s">
        <v>36</v>
      </c>
      <c r="M104" s="210">
        <v>99.10</v>
      </c>
      <c r="N104" s="210">
        <v>1.20</v>
      </c>
      <c r="O104" s="210">
        <v>0.60</v>
      </c>
      <c r="P104" s="210">
        <v>3.01</v>
      </c>
      <c r="Q104" s="210">
        <v>7.27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1.6899999999999999</v>
      </c>
      <c r="C106" s="67">
        <f>MIN(C9:C104)</f>
        <v>8.3499999999999996</v>
      </c>
      <c r="D106" s="67">
        <f t="shared" si="0" ref="D106:Q106">MIN(D9:D104)</f>
        <v>10.18</v>
      </c>
      <c r="E106" s="67">
        <f t="shared" si="0"/>
        <v>2.7400000000000002</v>
      </c>
      <c r="F106" s="67">
        <f t="shared" si="0"/>
        <v>0.029999999999999999</v>
      </c>
      <c r="G106" s="67">
        <f t="shared" si="0"/>
        <v>0</v>
      </c>
      <c r="H106" s="67">
        <f t="shared" si="0"/>
        <v>4.5499999999999998</v>
      </c>
      <c r="I106" s="67">
        <f t="shared" si="0"/>
        <v>3.27</v>
      </c>
      <c r="J106" s="67">
        <f t="shared" si="0"/>
        <v>0.01</v>
      </c>
      <c r="K106" s="67">
        <f t="shared" si="0"/>
        <v>2.1800000000000002</v>
      </c>
      <c r="L106" s="67">
        <f t="shared" si="0"/>
        <v>0</v>
      </c>
      <c r="M106" s="67">
        <f t="shared" si="0"/>
        <v>72.329999999999998</v>
      </c>
      <c r="N106" s="67">
        <f t="shared" si="0"/>
        <v>0.10000000000000001</v>
      </c>
      <c r="O106" s="67">
        <f t="shared" si="0"/>
        <v>0</v>
      </c>
      <c r="P106" s="67">
        <f t="shared" si="0"/>
        <v>2.6000000000000001</v>
      </c>
      <c r="Q106" s="67">
        <f t="shared" si="0"/>
        <v>5.2300000000000004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8.0299999999999994</v>
      </c>
      <c r="C107" s="66">
        <f t="shared" si="1" ref="C107:Q107">MAX(C9:C104)</f>
        <v>20.609999999999999</v>
      </c>
      <c r="D107" s="66">
        <f t="shared" si="1"/>
        <v>27.859999999999999</v>
      </c>
      <c r="E107" s="66">
        <f t="shared" si="1"/>
        <v>7.1100000000000003</v>
      </c>
      <c r="F107" s="66">
        <f t="shared" si="1"/>
        <v>8.8200000000000003</v>
      </c>
      <c r="G107" s="66">
        <f t="shared" si="1"/>
        <v>0</v>
      </c>
      <c r="H107" s="66">
        <f t="shared" si="1"/>
        <v>19.73</v>
      </c>
      <c r="I107" s="66">
        <f t="shared" si="1"/>
        <v>7</v>
      </c>
      <c r="J107" s="66">
        <f t="shared" si="1"/>
        <v>0.80000000000000004</v>
      </c>
      <c r="K107" s="66">
        <f t="shared" si="1"/>
        <v>358</v>
      </c>
      <c r="L107" s="66">
        <f t="shared" si="1"/>
        <v>0</v>
      </c>
      <c r="M107" s="66">
        <f t="shared" si="1"/>
        <v>99.099999999999994</v>
      </c>
      <c r="N107" s="66">
        <f t="shared" si="1"/>
        <v>746</v>
      </c>
      <c r="O107" s="66">
        <f t="shared" si="1"/>
        <v>7</v>
      </c>
      <c r="P107" s="66">
        <f t="shared" si="1"/>
        <v>3.2799999999999998</v>
      </c>
      <c r="Q107" s="66">
        <f t="shared" si="1"/>
        <v>8.3599999999999994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4.3638541666666679</v>
      </c>
      <c r="C108" s="67">
        <f t="shared" si="2" ref="C108:Q108">AVERAGE(C9:C104)</f>
        <v>14.097916666666665</v>
      </c>
      <c r="D108" s="67">
        <f t="shared" si="2"/>
        <v>18.462500000000002</v>
      </c>
      <c r="E108" s="67">
        <f t="shared" si="2"/>
        <v>5.8790625000000007</v>
      </c>
      <c r="F108" s="67">
        <f t="shared" si="2"/>
        <v>0.88446808510638308</v>
      </c>
      <c r="G108" s="67" t="e">
        <f t="shared" si="2"/>
        <v>#DIV/0!</v>
      </c>
      <c r="H108" s="67">
        <f t="shared" si="2"/>
        <v>11.243437499999997</v>
      </c>
      <c r="I108" s="67">
        <f t="shared" si="2"/>
        <v>4.9043749999999999</v>
      </c>
      <c r="J108" s="67">
        <f t="shared" si="2"/>
        <v>0.14208333333333334</v>
      </c>
      <c r="K108" s="67">
        <f t="shared" si="2"/>
        <v>187.08333333333337</v>
      </c>
      <c r="L108" s="67" t="e">
        <f t="shared" si="2"/>
        <v>#DIV/0!</v>
      </c>
      <c r="M108" s="67">
        <f t="shared" si="2"/>
        <v>87.48156250000001</v>
      </c>
      <c r="N108" s="67">
        <f t="shared" si="2"/>
        <v>124.61395348837202</v>
      </c>
      <c r="O108" s="67">
        <f t="shared" si="2"/>
        <v>0.16875000000000004</v>
      </c>
      <c r="P108" s="67">
        <f t="shared" si="2"/>
        <v>2.8949999999999991</v>
      </c>
      <c r="Q108" s="67">
        <f t="shared" si="2"/>
        <v>6.6220833333333333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1.8695478596605632</v>
      </c>
      <c r="C109" s="67">
        <f t="shared" si="3" ref="C109:Q109">STDEV(C9:C104)</f>
        <v>3.9663800058589036</v>
      </c>
      <c r="D109" s="67">
        <f t="shared" si="3"/>
        <v>5.3059109044833948</v>
      </c>
      <c r="E109" s="67">
        <f t="shared" si="3"/>
        <v>0.88742095645040986</v>
      </c>
      <c r="F109" s="67">
        <f t="shared" si="3"/>
        <v>1.2712060288512208</v>
      </c>
      <c r="G109" s="67" t="e">
        <f t="shared" si="3"/>
        <v>#DIV/0!</v>
      </c>
      <c r="H109" s="67">
        <f t="shared" si="3"/>
        <v>3.9882397721630571</v>
      </c>
      <c r="I109" s="67">
        <f t="shared" si="3"/>
        <v>1.1396239569076698</v>
      </c>
      <c r="J109" s="67">
        <f t="shared" si="3"/>
        <v>0.13913202111033116</v>
      </c>
      <c r="K109" s="67">
        <f t="shared" si="3"/>
        <v>101.20397153291498</v>
      </c>
      <c r="L109" s="67" t="e">
        <f t="shared" si="3"/>
        <v>#DIV/0!</v>
      </c>
      <c r="M109" s="67">
        <f t="shared" si="3"/>
        <v>7.9581898666686337</v>
      </c>
      <c r="N109" s="67">
        <f t="shared" si="3"/>
        <v>176.43163259313843</v>
      </c>
      <c r="O109" s="67">
        <f t="shared" si="3"/>
        <v>0.86685305013382508</v>
      </c>
      <c r="P109" s="67">
        <f t="shared" si="3"/>
        <v>0.21168496950844062</v>
      </c>
      <c r="Q109" s="67">
        <f t="shared" si="3"/>
        <v>0.93881102483453316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>COUNT(N9:N104)+10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3e55c6-e002-4b6c-9dd0-334ce3adc7a0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17-07-2022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1781</v>
      </c>
      <c r="B9" s="135">
        <v>4.01</v>
      </c>
      <c r="C9" s="135">
        <v>11.91</v>
      </c>
      <c r="D9" s="135">
        <v>15.92</v>
      </c>
      <c r="E9" s="135">
        <v>5.26</v>
      </c>
      <c r="F9" s="135">
        <v>0.15</v>
      </c>
      <c r="G9" s="208" t="s">
        <v>36</v>
      </c>
      <c r="H9" s="135">
        <v>13.76</v>
      </c>
      <c r="I9" s="135">
        <v>5.22</v>
      </c>
      <c r="J9" s="135">
        <v>0.070000000000000007</v>
      </c>
      <c r="K9" s="135">
        <v>196.17</v>
      </c>
      <c r="L9" s="9" t="s">
        <v>36</v>
      </c>
      <c r="M9" s="135">
        <v>99.10</v>
      </c>
      <c r="N9" s="135">
        <v>0.5</v>
      </c>
      <c r="O9" s="135">
        <v>0</v>
      </c>
      <c r="P9" s="135">
        <v>2.98</v>
      </c>
      <c r="Q9" s="135">
        <v>7.06</v>
      </c>
      <c r="R9" s="194"/>
      <c r="S9" s="194"/>
      <c r="T9" s="194"/>
      <c r="U9" s="194"/>
    </row>
    <row r="10" spans="1:21" s="12" customFormat="1" ht="15">
      <c r="A10" s="207" t="s">
        <v>1782</v>
      </c>
      <c r="B10" s="135">
        <v>3.51</v>
      </c>
      <c r="C10" s="135">
        <v>11.88</v>
      </c>
      <c r="D10" s="135">
        <v>15.39</v>
      </c>
      <c r="E10" s="135">
        <v>5.31</v>
      </c>
      <c r="F10" s="135">
        <v>0.43</v>
      </c>
      <c r="G10" s="208" t="s">
        <v>36</v>
      </c>
      <c r="H10" s="135">
        <v>12.83</v>
      </c>
      <c r="I10" s="135">
        <v>5.20</v>
      </c>
      <c r="J10" s="135">
        <v>0.09</v>
      </c>
      <c r="K10" s="135">
        <v>57.61</v>
      </c>
      <c r="L10" s="9" t="s">
        <v>36</v>
      </c>
      <c r="M10" s="135">
        <v>99.10</v>
      </c>
      <c r="N10" s="135">
        <v>1</v>
      </c>
      <c r="O10" s="135">
        <v>0</v>
      </c>
      <c r="P10" s="135">
        <v>2.96</v>
      </c>
      <c r="Q10" s="135">
        <v>6.89</v>
      </c>
      <c r="R10" s="194"/>
      <c r="S10" s="194"/>
      <c r="T10" s="194"/>
      <c r="U10" s="194"/>
    </row>
    <row r="11" spans="1:21" s="12" customFormat="1" ht="15">
      <c r="A11" s="207" t="s">
        <v>1783</v>
      </c>
      <c r="B11" s="135">
        <v>3.11</v>
      </c>
      <c r="C11" s="135">
        <v>11.56</v>
      </c>
      <c r="D11" s="135">
        <v>14.67</v>
      </c>
      <c r="E11" s="135">
        <v>5</v>
      </c>
      <c r="F11" s="135">
        <v>0.35</v>
      </c>
      <c r="G11" s="208" t="s">
        <v>36</v>
      </c>
      <c r="H11" s="135">
        <v>12.83</v>
      </c>
      <c r="I11" s="135">
        <v>5.01</v>
      </c>
      <c r="J11" s="135">
        <v>0.08</v>
      </c>
      <c r="K11" s="135">
        <v>194.66</v>
      </c>
      <c r="L11" s="9" t="s">
        <v>36</v>
      </c>
      <c r="M11" s="135">
        <v>99.10</v>
      </c>
      <c r="N11" s="135">
        <v>1</v>
      </c>
      <c r="O11" s="135">
        <v>0</v>
      </c>
      <c r="P11" s="135">
        <v>2.94</v>
      </c>
      <c r="Q11" s="135">
        <v>6.59</v>
      </c>
      <c r="R11" s="194"/>
      <c r="S11" s="194"/>
      <c r="T11" s="194"/>
      <c r="U11" s="194"/>
    </row>
    <row r="12" spans="1:21" s="12" customFormat="1" ht="15">
      <c r="A12" s="207" t="s">
        <v>1784</v>
      </c>
      <c r="B12" s="135">
        <v>2.74</v>
      </c>
      <c r="C12" s="135">
        <v>11.45</v>
      </c>
      <c r="D12" s="135">
        <v>14.19</v>
      </c>
      <c r="E12" s="135">
        <v>5.0999999999999996</v>
      </c>
      <c r="F12" s="135">
        <v>0.15</v>
      </c>
      <c r="G12" s="208" t="s">
        <v>36</v>
      </c>
      <c r="H12" s="135">
        <v>12.83</v>
      </c>
      <c r="I12" s="135">
        <v>4.88</v>
      </c>
      <c r="J12" s="135">
        <v>0.08</v>
      </c>
      <c r="K12" s="135">
        <v>67.260000000000005</v>
      </c>
      <c r="L12" s="9" t="s">
        <v>36</v>
      </c>
      <c r="M12" s="135">
        <v>99.10</v>
      </c>
      <c r="N12" s="135">
        <v>0.80</v>
      </c>
      <c r="O12" s="135">
        <v>0</v>
      </c>
      <c r="P12" s="135">
        <v>2.92</v>
      </c>
      <c r="Q12" s="135">
        <v>6.5</v>
      </c>
      <c r="R12" s="194"/>
      <c r="S12" s="194"/>
      <c r="T12" s="194"/>
      <c r="U12" s="194"/>
    </row>
    <row r="13" spans="1:21" s="12" customFormat="1" ht="15">
      <c r="A13" s="207" t="s">
        <v>1785</v>
      </c>
      <c r="B13" s="135">
        <v>2.4500000000000002</v>
      </c>
      <c r="C13" s="135">
        <v>10.77</v>
      </c>
      <c r="D13" s="135">
        <v>13.21</v>
      </c>
      <c r="E13" s="135">
        <v>5.31</v>
      </c>
      <c r="F13" s="135">
        <v>0.55000000000000004</v>
      </c>
      <c r="G13" s="208" t="s">
        <v>36</v>
      </c>
      <c r="H13" s="135">
        <v>12</v>
      </c>
      <c r="I13" s="135">
        <v>4.75</v>
      </c>
      <c r="J13" s="135">
        <v>0.070000000000000007</v>
      </c>
      <c r="K13" s="135">
        <v>75.16</v>
      </c>
      <c r="L13" s="9" t="s">
        <v>36</v>
      </c>
      <c r="M13" s="135">
        <v>99.10</v>
      </c>
      <c r="N13" s="135">
        <v>0.90</v>
      </c>
      <c r="O13" s="135">
        <v>0</v>
      </c>
      <c r="P13" s="135">
        <v>2.89</v>
      </c>
      <c r="Q13" s="135">
        <v>6.09</v>
      </c>
      <c r="R13" s="194"/>
      <c r="S13" s="194"/>
      <c r="T13" s="194"/>
      <c r="U13" s="194"/>
    </row>
    <row r="14" spans="1:21" s="12" customFormat="1" ht="15">
      <c r="A14" s="207" t="s">
        <v>1786</v>
      </c>
      <c r="B14" s="135">
        <v>2.12</v>
      </c>
      <c r="C14" s="135">
        <v>10.5</v>
      </c>
      <c r="D14" s="135">
        <v>12.62</v>
      </c>
      <c r="E14" s="135">
        <v>4.74</v>
      </c>
      <c r="F14" s="135">
        <v>0.36</v>
      </c>
      <c r="G14" s="208" t="s">
        <v>36</v>
      </c>
      <c r="H14" s="135">
        <v>9.9700000000000006</v>
      </c>
      <c r="I14" s="135">
        <v>4.6100000000000003</v>
      </c>
      <c r="J14" s="135">
        <v>0.08</v>
      </c>
      <c r="K14" s="135">
        <v>348.42</v>
      </c>
      <c r="L14" s="9" t="s">
        <v>36</v>
      </c>
      <c r="M14" s="135">
        <v>99.10</v>
      </c>
      <c r="N14" s="135">
        <v>1</v>
      </c>
      <c r="O14" s="135">
        <v>0</v>
      </c>
      <c r="P14" s="135">
        <v>2.85</v>
      </c>
      <c r="Q14" s="135">
        <v>5.85</v>
      </c>
      <c r="R14" s="194"/>
      <c r="S14" s="194"/>
      <c r="T14" s="194"/>
      <c r="U14" s="194"/>
    </row>
    <row r="15" spans="1:21" s="12" customFormat="1" ht="15">
      <c r="A15" s="207" t="s">
        <v>1787</v>
      </c>
      <c r="B15" s="135">
        <v>1.80</v>
      </c>
      <c r="C15" s="135">
        <v>10.17</v>
      </c>
      <c r="D15" s="135">
        <v>11.98</v>
      </c>
      <c r="E15" s="135">
        <v>4.67</v>
      </c>
      <c r="F15" s="135">
        <v>0.42</v>
      </c>
      <c r="G15" s="208" t="s">
        <v>36</v>
      </c>
      <c r="H15" s="135">
        <v>9.9700000000000006</v>
      </c>
      <c r="I15" s="135">
        <v>4.72</v>
      </c>
      <c r="J15" s="135">
        <v>0.30</v>
      </c>
      <c r="K15" s="135">
        <v>322.24</v>
      </c>
      <c r="L15" s="9" t="s">
        <v>36</v>
      </c>
      <c r="M15" s="135">
        <v>99.10</v>
      </c>
      <c r="N15" s="135">
        <v>0.70</v>
      </c>
      <c r="O15" s="135">
        <v>0.20</v>
      </c>
      <c r="P15" s="135">
        <v>2.83</v>
      </c>
      <c r="Q15" s="135">
        <v>5.51</v>
      </c>
      <c r="R15" s="194"/>
      <c r="S15" s="194"/>
      <c r="T15" s="194"/>
      <c r="U15" s="194"/>
    </row>
    <row r="16" spans="1:21" s="12" customFormat="1" ht="15">
      <c r="A16" s="207" t="s">
        <v>1788</v>
      </c>
      <c r="B16" s="135">
        <v>1.60</v>
      </c>
      <c r="C16" s="135">
        <v>10</v>
      </c>
      <c r="D16" s="135">
        <v>11.60</v>
      </c>
      <c r="E16" s="135">
        <v>5.20</v>
      </c>
      <c r="F16" s="135">
        <v>0.25</v>
      </c>
      <c r="G16" s="208" t="s">
        <v>36</v>
      </c>
      <c r="H16" s="135">
        <v>9.9700000000000006</v>
      </c>
      <c r="I16" s="135">
        <v>4.3600000000000003</v>
      </c>
      <c r="J16" s="135">
        <v>0.23</v>
      </c>
      <c r="K16" s="135">
        <v>336.35</v>
      </c>
      <c r="L16" s="9" t="s">
        <v>36</v>
      </c>
      <c r="M16" s="135">
        <v>99.10</v>
      </c>
      <c r="N16" s="135">
        <v>0.40</v>
      </c>
      <c r="O16" s="135">
        <v>0.40</v>
      </c>
      <c r="P16" s="135">
        <v>2.82</v>
      </c>
      <c r="Q16" s="135">
        <v>5.32</v>
      </c>
      <c r="R16" s="194"/>
      <c r="S16" s="194"/>
      <c r="T16" s="194"/>
      <c r="U16" s="194"/>
    </row>
    <row r="17" spans="1:21" s="12" customFormat="1" ht="15">
      <c r="A17" s="207" t="s">
        <v>1789</v>
      </c>
      <c r="B17" s="135">
        <v>1.45</v>
      </c>
      <c r="C17" s="135">
        <v>9.85</v>
      </c>
      <c r="D17" s="135">
        <v>11.30</v>
      </c>
      <c r="E17" s="135">
        <v>5.21</v>
      </c>
      <c r="F17" s="135">
        <v>0.41</v>
      </c>
      <c r="G17" s="208" t="s">
        <v>36</v>
      </c>
      <c r="H17" s="135">
        <v>10.75</v>
      </c>
      <c r="I17" s="135">
        <v>4.22</v>
      </c>
      <c r="J17" s="135">
        <v>0.22</v>
      </c>
      <c r="K17" s="135">
        <v>334.73</v>
      </c>
      <c r="L17" s="9" t="s">
        <v>36</v>
      </c>
      <c r="M17" s="135">
        <v>99.10</v>
      </c>
      <c r="N17" s="135">
        <v>0.40</v>
      </c>
      <c r="O17" s="135">
        <v>0.60</v>
      </c>
      <c r="P17" s="135">
        <v>2.78</v>
      </c>
      <c r="Q17" s="135">
        <v>5.07</v>
      </c>
      <c r="R17" s="194"/>
      <c r="S17" s="194"/>
      <c r="T17" s="194"/>
      <c r="U17" s="194"/>
    </row>
    <row r="18" spans="1:21" s="12" customFormat="1" ht="15">
      <c r="A18" s="207" t="s">
        <v>1790</v>
      </c>
      <c r="B18" s="135">
        <v>1.38</v>
      </c>
      <c r="C18" s="135">
        <v>9.84</v>
      </c>
      <c r="D18" s="135">
        <v>11.22</v>
      </c>
      <c r="E18" s="135">
        <v>5.0199999999999996</v>
      </c>
      <c r="F18" s="135">
        <v>0.52</v>
      </c>
      <c r="G18" s="208" t="s">
        <v>36</v>
      </c>
      <c r="H18" s="135">
        <v>12.67</v>
      </c>
      <c r="I18" s="135">
        <v>4.16</v>
      </c>
      <c r="J18" s="135">
        <v>0.28000000000000003</v>
      </c>
      <c r="K18" s="135">
        <v>318.70999999999998</v>
      </c>
      <c r="L18" s="9" t="s">
        <v>36</v>
      </c>
      <c r="M18" s="135">
        <v>99.10</v>
      </c>
      <c r="N18" s="135">
        <v>0.40</v>
      </c>
      <c r="O18" s="135">
        <v>0.60</v>
      </c>
      <c r="P18" s="135">
        <v>2.79</v>
      </c>
      <c r="Q18" s="135">
        <v>4.93</v>
      </c>
      <c r="R18" s="194"/>
      <c r="S18" s="194"/>
      <c r="T18" s="194"/>
      <c r="U18" s="194"/>
    </row>
    <row r="19" spans="1:21" s="12" customFormat="1" ht="15">
      <c r="A19" s="207" t="s">
        <v>1791</v>
      </c>
      <c r="B19" s="135">
        <v>1.43</v>
      </c>
      <c r="C19" s="135">
        <v>9.7100000000000009</v>
      </c>
      <c r="D19" s="135">
        <v>11.14</v>
      </c>
      <c r="E19" s="135">
        <v>5.15</v>
      </c>
      <c r="F19" s="135">
        <v>0.30</v>
      </c>
      <c r="G19" s="208" t="s">
        <v>36</v>
      </c>
      <c r="H19" s="135">
        <v>12.67</v>
      </c>
      <c r="I19" s="135">
        <v>4.0999999999999996</v>
      </c>
      <c r="J19" s="135">
        <v>0.61</v>
      </c>
      <c r="K19" s="135">
        <v>308.57</v>
      </c>
      <c r="L19" s="9" t="s">
        <v>36</v>
      </c>
      <c r="M19" s="135">
        <v>99.10</v>
      </c>
      <c r="N19" s="135">
        <v>0.70</v>
      </c>
      <c r="O19" s="135">
        <v>0.20</v>
      </c>
      <c r="P19" s="135">
        <v>2.79</v>
      </c>
      <c r="Q19" s="135">
        <v>4.79</v>
      </c>
      <c r="R19" s="194"/>
      <c r="S19" s="194"/>
      <c r="T19" s="194"/>
      <c r="U19" s="194"/>
    </row>
    <row r="20" spans="1:21" s="12" customFormat="1" ht="15">
      <c r="A20" s="207" t="s">
        <v>1792</v>
      </c>
      <c r="B20" s="135">
        <v>1.54</v>
      </c>
      <c r="C20" s="135">
        <v>9.74</v>
      </c>
      <c r="D20" s="135">
        <v>11.29</v>
      </c>
      <c r="E20" s="135">
        <v>5.23</v>
      </c>
      <c r="F20" s="135">
        <v>0.17</v>
      </c>
      <c r="G20" s="208" t="s">
        <v>36</v>
      </c>
      <c r="H20" s="135">
        <v>12.67</v>
      </c>
      <c r="I20" s="135">
        <v>4.18</v>
      </c>
      <c r="J20" s="135">
        <v>0.69</v>
      </c>
      <c r="K20" s="135">
        <v>309.52</v>
      </c>
      <c r="L20" s="9" t="s">
        <v>36</v>
      </c>
      <c r="M20" s="135">
        <v>99.10</v>
      </c>
      <c r="N20" s="135">
        <v>1</v>
      </c>
      <c r="O20" s="135">
        <v>0.60</v>
      </c>
      <c r="P20" s="135">
        <v>2.79</v>
      </c>
      <c r="Q20" s="135">
        <v>4.71</v>
      </c>
      <c r="R20" s="194"/>
      <c r="S20" s="194"/>
      <c r="T20" s="194"/>
      <c r="U20" s="194"/>
    </row>
    <row r="21" spans="1:21" s="12" customFormat="1" ht="15">
      <c r="A21" s="207" t="s">
        <v>1793</v>
      </c>
      <c r="B21" s="135">
        <v>1.68</v>
      </c>
      <c r="C21" s="135">
        <v>9.74</v>
      </c>
      <c r="D21" s="135">
        <v>11.42</v>
      </c>
      <c r="E21" s="135">
        <v>5.99</v>
      </c>
      <c r="F21" s="135">
        <v>0.32</v>
      </c>
      <c r="G21" s="208" t="s">
        <v>36</v>
      </c>
      <c r="H21" s="135">
        <v>11.71</v>
      </c>
      <c r="I21" s="135">
        <v>4.29</v>
      </c>
      <c r="J21" s="135">
        <v>0.93</v>
      </c>
      <c r="K21" s="135">
        <v>311.83</v>
      </c>
      <c r="L21" s="9" t="s">
        <v>36</v>
      </c>
      <c r="M21" s="135">
        <v>99.10</v>
      </c>
      <c r="N21" s="135">
        <v>0.70</v>
      </c>
      <c r="O21" s="135">
        <v>0.40</v>
      </c>
      <c r="P21" s="135">
        <v>2.77</v>
      </c>
      <c r="Q21" s="135">
        <v>4.6100000000000003</v>
      </c>
      <c r="R21" s="194"/>
      <c r="S21" s="194"/>
      <c r="T21" s="194"/>
      <c r="U21" s="194"/>
    </row>
    <row r="22" spans="1:21" s="12" customFormat="1" ht="15">
      <c r="A22" s="207" t="s">
        <v>1794</v>
      </c>
      <c r="B22" s="135">
        <v>1.81</v>
      </c>
      <c r="C22" s="135">
        <v>9.60</v>
      </c>
      <c r="D22" s="135">
        <v>11.41</v>
      </c>
      <c r="E22" s="135">
        <v>6.03</v>
      </c>
      <c r="F22" s="135">
        <v>0.35</v>
      </c>
      <c r="G22" s="208" t="s">
        <v>36</v>
      </c>
      <c r="H22" s="135">
        <v>9.34</v>
      </c>
      <c r="I22" s="135">
        <v>4.33</v>
      </c>
      <c r="J22" s="135">
        <v>0.14000000000000001</v>
      </c>
      <c r="K22" s="135">
        <v>355.21</v>
      </c>
      <c r="L22" s="9" t="s">
        <v>36</v>
      </c>
      <c r="M22" s="135">
        <v>99.10</v>
      </c>
      <c r="N22" s="135">
        <v>0.30</v>
      </c>
      <c r="O22" s="135">
        <v>0.40</v>
      </c>
      <c r="P22" s="135">
        <v>2.76</v>
      </c>
      <c r="Q22" s="135">
        <v>4.5199999999999996</v>
      </c>
      <c r="R22" s="194"/>
      <c r="S22" s="194"/>
      <c r="T22" s="194"/>
      <c r="U22" s="194"/>
    </row>
    <row r="23" spans="1:21" s="12" customFormat="1" ht="15">
      <c r="A23" s="207" t="s">
        <v>1795</v>
      </c>
      <c r="B23" s="135">
        <v>1.91</v>
      </c>
      <c r="C23" s="135">
        <v>9.48</v>
      </c>
      <c r="D23" s="135">
        <v>11.39</v>
      </c>
      <c r="E23" s="135">
        <v>6</v>
      </c>
      <c r="F23" s="135">
        <v>0.23</v>
      </c>
      <c r="G23" s="208" t="s">
        <v>36</v>
      </c>
      <c r="H23" s="135">
        <v>9.34</v>
      </c>
      <c r="I23" s="135">
        <v>4.29</v>
      </c>
      <c r="J23" s="135">
        <v>0.31</v>
      </c>
      <c r="K23" s="135">
        <v>316.83999999999997</v>
      </c>
      <c r="L23" s="9" t="s">
        <v>36</v>
      </c>
      <c r="M23" s="135">
        <v>99.10</v>
      </c>
      <c r="N23" s="135">
        <v>0.40</v>
      </c>
      <c r="O23" s="135">
        <v>0.60</v>
      </c>
      <c r="P23" s="135">
        <v>2.75</v>
      </c>
      <c r="Q23" s="135">
        <v>4.49</v>
      </c>
      <c r="R23" s="194"/>
      <c r="S23" s="194"/>
      <c r="T23" s="194"/>
      <c r="U23" s="194"/>
    </row>
    <row r="24" spans="1:21" s="12" customFormat="1" ht="15">
      <c r="A24" s="207" t="s">
        <v>1796</v>
      </c>
      <c r="B24" s="135">
        <v>2.0499999999999998</v>
      </c>
      <c r="C24" s="135">
        <v>9.40</v>
      </c>
      <c r="D24" s="135">
        <v>11.45</v>
      </c>
      <c r="E24" s="135">
        <v>3.98</v>
      </c>
      <c r="F24" s="135">
        <v>0.02</v>
      </c>
      <c r="G24" s="208" t="s">
        <v>36</v>
      </c>
      <c r="H24" s="135">
        <v>9.34</v>
      </c>
      <c r="I24" s="135">
        <v>4.2699999999999996</v>
      </c>
      <c r="J24" s="135">
        <v>0.36</v>
      </c>
      <c r="K24" s="135">
        <v>319.82</v>
      </c>
      <c r="L24" s="9" t="s">
        <v>36</v>
      </c>
      <c r="M24" s="135">
        <v>99.10</v>
      </c>
      <c r="N24" s="135">
        <v>0.30</v>
      </c>
      <c r="O24" s="135">
        <v>0.20</v>
      </c>
      <c r="P24" s="135">
        <v>2.75</v>
      </c>
      <c r="Q24" s="135">
        <v>4.5199999999999996</v>
      </c>
      <c r="R24" s="194"/>
      <c r="S24" s="194"/>
      <c r="T24" s="194"/>
      <c r="U24" s="194"/>
    </row>
    <row r="25" spans="1:21" s="12" customFormat="1" ht="15">
      <c r="A25" s="207" t="s">
        <v>1797</v>
      </c>
      <c r="B25" s="135">
        <v>2.19</v>
      </c>
      <c r="C25" s="135">
        <v>9.2799999999999994</v>
      </c>
      <c r="D25" s="135">
        <v>11.47</v>
      </c>
      <c r="E25" s="135">
        <v>7.45</v>
      </c>
      <c r="F25" s="135">
        <v>0.02</v>
      </c>
      <c r="G25" s="208" t="s">
        <v>36</v>
      </c>
      <c r="H25" s="135">
        <v>9.92</v>
      </c>
      <c r="I25" s="135">
        <v>4.25</v>
      </c>
      <c r="J25" s="135">
        <v>0.23</v>
      </c>
      <c r="K25" s="135">
        <v>328.22</v>
      </c>
      <c r="L25" s="9" t="s">
        <v>36</v>
      </c>
      <c r="M25" s="135">
        <v>99.10</v>
      </c>
      <c r="N25" s="135">
        <v>0.40</v>
      </c>
      <c r="O25" s="135">
        <v>0.40</v>
      </c>
      <c r="P25" s="135">
        <v>2.75</v>
      </c>
      <c r="Q25" s="135">
        <v>4.5599999999999996</v>
      </c>
      <c r="R25" s="194"/>
      <c r="S25" s="194"/>
      <c r="T25" s="194"/>
      <c r="U25" s="194"/>
    </row>
    <row r="26" spans="1:21" s="12" customFormat="1" ht="15">
      <c r="A26" s="207" t="s">
        <v>1798</v>
      </c>
      <c r="B26" s="135">
        <v>2.3199999999999998</v>
      </c>
      <c r="C26" s="135">
        <v>9.40</v>
      </c>
      <c r="D26" s="135">
        <v>11.72</v>
      </c>
      <c r="E26" s="135">
        <v>7.68</v>
      </c>
      <c r="F26" s="135">
        <v>0.09</v>
      </c>
      <c r="G26" s="208" t="s">
        <v>36</v>
      </c>
      <c r="H26" s="135">
        <v>11.34</v>
      </c>
      <c r="I26" s="135">
        <v>4.25</v>
      </c>
      <c r="J26" s="135">
        <v>0.15</v>
      </c>
      <c r="K26" s="135">
        <v>333.74</v>
      </c>
      <c r="L26" s="9" t="s">
        <v>36</v>
      </c>
      <c r="M26" s="135">
        <v>99.10</v>
      </c>
      <c r="N26" s="135">
        <v>0.30</v>
      </c>
      <c r="O26" s="135">
        <v>0.20</v>
      </c>
      <c r="P26" s="135">
        <v>2.74</v>
      </c>
      <c r="Q26" s="135">
        <v>4.62</v>
      </c>
      <c r="R26" s="194"/>
      <c r="S26" s="194"/>
      <c r="T26" s="194"/>
      <c r="U26" s="194"/>
    </row>
    <row r="27" spans="1:21" s="12" customFormat="1" ht="15">
      <c r="A27" s="207" t="s">
        <v>1799</v>
      </c>
      <c r="B27" s="135">
        <v>2.46</v>
      </c>
      <c r="C27" s="135">
        <v>9.5</v>
      </c>
      <c r="D27" s="135">
        <v>11.96</v>
      </c>
      <c r="E27" s="135">
        <v>7.72</v>
      </c>
      <c r="F27" s="135">
        <v>1.5</v>
      </c>
      <c r="G27" s="208" t="s">
        <v>36</v>
      </c>
      <c r="H27" s="135">
        <v>11.34</v>
      </c>
      <c r="I27" s="135">
        <v>4.22</v>
      </c>
      <c r="J27" s="135">
        <v>0.11</v>
      </c>
      <c r="K27" s="135">
        <v>11.33</v>
      </c>
      <c r="L27" s="9" t="s">
        <v>36</v>
      </c>
      <c r="M27" s="135">
        <v>99.10</v>
      </c>
      <c r="N27" s="135">
        <v>0.30</v>
      </c>
      <c r="O27" s="135">
        <v>0.40</v>
      </c>
      <c r="P27" s="135">
        <v>2.73</v>
      </c>
      <c r="Q27" s="135">
        <v>4.58</v>
      </c>
      <c r="R27" s="194"/>
      <c r="S27" s="194"/>
      <c r="T27" s="194"/>
      <c r="U27" s="194"/>
    </row>
    <row r="28" spans="1:21" s="12" customFormat="1" ht="15">
      <c r="A28" s="207" t="s">
        <v>1800</v>
      </c>
      <c r="B28" s="135">
        <v>2.52</v>
      </c>
      <c r="C28" s="135">
        <v>9.5</v>
      </c>
      <c r="D28" s="135">
        <v>12.02</v>
      </c>
      <c r="E28" s="135">
        <v>7.71</v>
      </c>
      <c r="F28" s="135">
        <v>1.73</v>
      </c>
      <c r="G28" s="208" t="s">
        <v>36</v>
      </c>
      <c r="H28" s="135">
        <v>11.34</v>
      </c>
      <c r="I28" s="135">
        <v>4.20</v>
      </c>
      <c r="J28" s="135">
        <v>0.14000000000000001</v>
      </c>
      <c r="K28" s="135">
        <v>357.18</v>
      </c>
      <c r="L28" s="9" t="s">
        <v>36</v>
      </c>
      <c r="M28" s="135">
        <v>99.10</v>
      </c>
      <c r="N28" s="135">
        <v>0.40</v>
      </c>
      <c r="O28" s="135">
        <v>1.60</v>
      </c>
      <c r="P28" s="135">
        <v>2.72</v>
      </c>
      <c r="Q28" s="135">
        <v>4.66</v>
      </c>
      <c r="R28" s="194"/>
      <c r="S28" s="194"/>
      <c r="T28" s="194"/>
      <c r="U28" s="194"/>
    </row>
    <row r="29" spans="1:21" s="12" customFormat="1" ht="15">
      <c r="A29" s="207" t="s">
        <v>1801</v>
      </c>
      <c r="B29" s="135">
        <v>2.4300000000000002</v>
      </c>
      <c r="C29" s="135">
        <v>9.7100000000000009</v>
      </c>
      <c r="D29" s="135">
        <v>12.13</v>
      </c>
      <c r="E29" s="135">
        <v>7.63</v>
      </c>
      <c r="F29" s="135">
        <v>1.06</v>
      </c>
      <c r="G29" s="208" t="s">
        <v>36</v>
      </c>
      <c r="H29" s="135">
        <v>10.96</v>
      </c>
      <c r="I29" s="135">
        <v>4.13</v>
      </c>
      <c r="J29" s="135">
        <v>0.24</v>
      </c>
      <c r="K29" s="135">
        <v>323.38</v>
      </c>
      <c r="L29" s="9" t="s">
        <v>36</v>
      </c>
      <c r="M29" s="135">
        <v>99.10</v>
      </c>
      <c r="N29" s="135">
        <v>0.60</v>
      </c>
      <c r="O29" s="135">
        <v>2.40</v>
      </c>
      <c r="P29" s="135">
        <v>2.72</v>
      </c>
      <c r="Q29" s="135">
        <v>4.6900000000000004</v>
      </c>
      <c r="R29" s="194"/>
      <c r="S29" s="194"/>
      <c r="T29" s="194"/>
      <c r="U29" s="194"/>
    </row>
    <row r="30" spans="1:21" s="12" customFormat="1" ht="15">
      <c r="A30" s="207" t="s">
        <v>1802</v>
      </c>
      <c r="B30" s="135">
        <v>2.2799999999999998</v>
      </c>
      <c r="C30" s="135">
        <v>9.7899999999999991</v>
      </c>
      <c r="D30" s="135">
        <v>12.07</v>
      </c>
      <c r="E30" s="135">
        <v>7.60</v>
      </c>
      <c r="F30" s="135">
        <v>0.34</v>
      </c>
      <c r="G30" s="208" t="s">
        <v>36</v>
      </c>
      <c r="H30" s="135">
        <v>10.039999999999999</v>
      </c>
      <c r="I30" s="135">
        <v>4.08</v>
      </c>
      <c r="J30" s="135">
        <v>0.35</v>
      </c>
      <c r="K30" s="135">
        <v>312.74</v>
      </c>
      <c r="L30" s="9" t="s">
        <v>36</v>
      </c>
      <c r="M30" s="135">
        <v>99.10</v>
      </c>
      <c r="N30" s="135">
        <v>0.60</v>
      </c>
      <c r="O30" s="135">
        <v>0.80</v>
      </c>
      <c r="P30" s="135">
        <v>2.71</v>
      </c>
      <c r="Q30" s="135">
        <v>4.51</v>
      </c>
      <c r="R30" s="194"/>
      <c r="S30" s="194"/>
      <c r="T30" s="194"/>
      <c r="U30" s="194"/>
    </row>
    <row r="31" spans="1:21" s="12" customFormat="1" ht="15">
      <c r="A31" s="207" t="s">
        <v>1803</v>
      </c>
      <c r="B31" s="135">
        <v>2.2000000000000002</v>
      </c>
      <c r="C31" s="135">
        <v>9.85</v>
      </c>
      <c r="D31" s="135">
        <v>12.04</v>
      </c>
      <c r="E31" s="135">
        <v>7.13</v>
      </c>
      <c r="F31" s="135">
        <v>0.23</v>
      </c>
      <c r="G31" s="208" t="s">
        <v>36</v>
      </c>
      <c r="H31" s="135">
        <v>10.039999999999999</v>
      </c>
      <c r="I31" s="135">
        <v>4.01</v>
      </c>
      <c r="J31" s="135">
        <v>0.63</v>
      </c>
      <c r="K31" s="135">
        <v>308.79000000000002</v>
      </c>
      <c r="L31" s="9" t="s">
        <v>36</v>
      </c>
      <c r="M31" s="135">
        <v>99.10</v>
      </c>
      <c r="N31" s="135">
        <v>0.80</v>
      </c>
      <c r="O31" s="135">
        <v>0.80</v>
      </c>
      <c r="P31" s="135">
        <v>2.70</v>
      </c>
      <c r="Q31" s="135">
        <v>4.32</v>
      </c>
      <c r="R31" s="194"/>
      <c r="S31" s="194"/>
      <c r="T31" s="194"/>
      <c r="U31" s="194"/>
    </row>
    <row r="32" spans="1:21" s="12" customFormat="1" ht="15">
      <c r="A32" s="207" t="s">
        <v>1804</v>
      </c>
      <c r="B32" s="135">
        <v>2.27</v>
      </c>
      <c r="C32" s="135">
        <v>10.18</v>
      </c>
      <c r="D32" s="135">
        <v>12.46</v>
      </c>
      <c r="E32" s="135">
        <v>7.22</v>
      </c>
      <c r="F32" s="135">
        <v>0.38</v>
      </c>
      <c r="G32" s="208" t="s">
        <v>36</v>
      </c>
      <c r="H32" s="135">
        <v>10.039999999999999</v>
      </c>
      <c r="I32" s="135">
        <v>3.94</v>
      </c>
      <c r="J32" s="135">
        <v>0.94</v>
      </c>
      <c r="K32" s="135">
        <v>305.11</v>
      </c>
      <c r="L32" s="9" t="s">
        <v>36</v>
      </c>
      <c r="M32" s="135">
        <v>99.10</v>
      </c>
      <c r="N32" s="135">
        <v>1.1000000000000001</v>
      </c>
      <c r="O32" s="135">
        <v>1.20</v>
      </c>
      <c r="P32" s="135">
        <v>2.68</v>
      </c>
      <c r="Q32" s="135">
        <v>4.29</v>
      </c>
      <c r="R32" s="194"/>
      <c r="S32" s="194"/>
      <c r="T32" s="194"/>
      <c r="U32" s="194"/>
    </row>
    <row r="33" spans="1:21" s="12" customFormat="1" ht="15">
      <c r="A33" s="207" t="s">
        <v>1805</v>
      </c>
      <c r="B33" s="135">
        <v>2.38</v>
      </c>
      <c r="C33" s="135">
        <v>10.63</v>
      </c>
      <c r="D33" s="135">
        <v>13.01</v>
      </c>
      <c r="E33" s="135">
        <v>7.55</v>
      </c>
      <c r="F33" s="135">
        <v>0.19</v>
      </c>
      <c r="G33" s="208" t="s">
        <v>36</v>
      </c>
      <c r="H33" s="135">
        <v>9.7799999999999994</v>
      </c>
      <c r="I33" s="135">
        <v>3.87</v>
      </c>
      <c r="J33" s="135">
        <v>1.37</v>
      </c>
      <c r="K33" s="135">
        <v>309.17</v>
      </c>
      <c r="L33" s="9" t="s">
        <v>36</v>
      </c>
      <c r="M33" s="135">
        <v>99.10</v>
      </c>
      <c r="N33" s="135">
        <v>1.60</v>
      </c>
      <c r="O33" s="135">
        <v>0.40</v>
      </c>
      <c r="P33" s="135">
        <v>2.69</v>
      </c>
      <c r="Q33" s="135">
        <v>4.37</v>
      </c>
      <c r="R33" s="194"/>
      <c r="S33" s="194"/>
      <c r="T33" s="194"/>
      <c r="U33" s="194"/>
    </row>
    <row r="34" spans="1:21" s="12" customFormat="1" ht="15">
      <c r="A34" s="207" t="s">
        <v>1806</v>
      </c>
      <c r="B34" s="135">
        <v>2.41</v>
      </c>
      <c r="C34" s="135">
        <v>10.96</v>
      </c>
      <c r="D34" s="135">
        <v>13.37</v>
      </c>
      <c r="E34" s="135">
        <v>7.42</v>
      </c>
      <c r="F34" s="135">
        <v>0.18</v>
      </c>
      <c r="G34" s="208" t="s">
        <v>36</v>
      </c>
      <c r="H34" s="135">
        <v>9.14</v>
      </c>
      <c r="I34" s="135">
        <v>3.78</v>
      </c>
      <c r="J34" s="135">
        <v>0.85</v>
      </c>
      <c r="K34" s="135">
        <v>305.27999999999997</v>
      </c>
      <c r="L34" s="9" t="s">
        <v>36</v>
      </c>
      <c r="M34" s="135">
        <v>99.10</v>
      </c>
      <c r="N34" s="135">
        <v>2.5</v>
      </c>
      <c r="O34" s="135">
        <v>0</v>
      </c>
      <c r="P34" s="135">
        <v>2.68</v>
      </c>
      <c r="Q34" s="135">
        <v>4.30</v>
      </c>
      <c r="R34" s="194"/>
      <c r="S34" s="194"/>
      <c r="T34" s="194"/>
      <c r="U34" s="194"/>
    </row>
    <row r="35" spans="1:21" s="12" customFormat="1" ht="15">
      <c r="A35" s="207" t="s">
        <v>1807</v>
      </c>
      <c r="B35" s="135">
        <v>2.62</v>
      </c>
      <c r="C35" s="135">
        <v>10.80</v>
      </c>
      <c r="D35" s="135">
        <v>13.42</v>
      </c>
      <c r="E35" s="135">
        <v>7.58</v>
      </c>
      <c r="F35" s="135">
        <v>0.18</v>
      </c>
      <c r="G35" s="208" t="s">
        <v>36</v>
      </c>
      <c r="H35" s="135">
        <v>9.14</v>
      </c>
      <c r="I35" s="135">
        <v>3.68</v>
      </c>
      <c r="J35" s="135">
        <v>0.56999999999999995</v>
      </c>
      <c r="K35" s="135">
        <v>305.30</v>
      </c>
      <c r="L35" s="9" t="s">
        <v>36</v>
      </c>
      <c r="M35" s="135">
        <v>99.10</v>
      </c>
      <c r="N35" s="135">
        <v>3.5</v>
      </c>
      <c r="O35" s="135">
        <v>0</v>
      </c>
      <c r="P35" s="135">
        <v>2.67</v>
      </c>
      <c r="Q35" s="135">
        <v>4.21</v>
      </c>
      <c r="R35" s="194"/>
      <c r="S35" s="194"/>
      <c r="T35" s="194"/>
      <c r="U35" s="194"/>
    </row>
    <row r="36" spans="1:21" s="12" customFormat="1" ht="15">
      <c r="A36" s="207" t="s">
        <v>1808</v>
      </c>
      <c r="B36" s="135">
        <v>3.08</v>
      </c>
      <c r="C36" s="135">
        <v>10.72</v>
      </c>
      <c r="D36" s="135">
        <v>13.80</v>
      </c>
      <c r="E36" s="135">
        <v>7.98</v>
      </c>
      <c r="F36" s="135">
        <v>0.13</v>
      </c>
      <c r="G36" s="208" t="s">
        <v>36</v>
      </c>
      <c r="H36" s="135">
        <v>9.14</v>
      </c>
      <c r="I36" s="135">
        <v>3.64</v>
      </c>
      <c r="J36" s="135">
        <v>0.64</v>
      </c>
      <c r="K36" s="135">
        <v>307.93</v>
      </c>
      <c r="L36" s="9" t="s">
        <v>36</v>
      </c>
      <c r="M36" s="135">
        <v>99.10</v>
      </c>
      <c r="N36" s="135">
        <v>6.80</v>
      </c>
      <c r="O36" s="135">
        <v>0</v>
      </c>
      <c r="P36" s="135">
        <v>2.68</v>
      </c>
      <c r="Q36" s="135">
        <v>4.24</v>
      </c>
      <c r="R36" s="194"/>
      <c r="S36" s="194"/>
      <c r="T36" s="194"/>
      <c r="U36" s="194"/>
    </row>
    <row r="37" spans="1:21" s="12" customFormat="1" ht="15">
      <c r="A37" s="207" t="s">
        <v>1809</v>
      </c>
      <c r="B37" s="135">
        <v>3.52</v>
      </c>
      <c r="C37" s="135">
        <v>10.78</v>
      </c>
      <c r="D37" s="135">
        <v>14.30</v>
      </c>
      <c r="E37" s="135">
        <v>8.4600000000000009</v>
      </c>
      <c r="F37" s="135">
        <v>0.070000000000000007</v>
      </c>
      <c r="G37" s="208" t="s">
        <v>36</v>
      </c>
      <c r="H37" s="135">
        <v>9.8000000000000007</v>
      </c>
      <c r="I37" s="135">
        <v>3.66</v>
      </c>
      <c r="J37" s="135">
        <v>0.62</v>
      </c>
      <c r="K37" s="135">
        <v>307.70999999999998</v>
      </c>
      <c r="L37" s="9" t="s">
        <v>36</v>
      </c>
      <c r="M37" s="135">
        <v>99.10</v>
      </c>
      <c r="N37" s="135">
        <v>6.70</v>
      </c>
      <c r="O37" s="135">
        <v>0</v>
      </c>
      <c r="P37" s="135">
        <v>2.69</v>
      </c>
      <c r="Q37" s="135">
        <v>4.32</v>
      </c>
      <c r="R37" s="194"/>
      <c r="S37" s="194"/>
      <c r="T37" s="194"/>
      <c r="U37" s="194"/>
    </row>
    <row r="38" spans="1:21" s="12" customFormat="1" ht="15">
      <c r="A38" s="207" t="s">
        <v>1810</v>
      </c>
      <c r="B38" s="135">
        <v>4.1100000000000003</v>
      </c>
      <c r="C38" s="135">
        <v>10.90</v>
      </c>
      <c r="D38" s="135">
        <v>15.01</v>
      </c>
      <c r="E38" s="135">
        <v>8.5</v>
      </c>
      <c r="F38" s="135">
        <v>0.15</v>
      </c>
      <c r="G38" s="208" t="s">
        <v>36</v>
      </c>
      <c r="H38" s="135">
        <v>11.43</v>
      </c>
      <c r="I38" s="135">
        <v>3.70</v>
      </c>
      <c r="J38" s="135">
        <v>0.81</v>
      </c>
      <c r="K38" s="135">
        <v>310.97000000000003</v>
      </c>
      <c r="L38" s="9" t="s">
        <v>36</v>
      </c>
      <c r="M38" s="135">
        <v>99.10</v>
      </c>
      <c r="N38" s="135">
        <v>7.20</v>
      </c>
      <c r="O38" s="135">
        <v>1</v>
      </c>
      <c r="P38" s="135">
        <v>2.68</v>
      </c>
      <c r="Q38" s="135">
        <v>4.45</v>
      </c>
      <c r="R38" s="194"/>
      <c r="S38" s="194"/>
      <c r="T38" s="194"/>
      <c r="U38" s="194"/>
    </row>
    <row r="39" spans="1:21" s="12" customFormat="1" ht="15">
      <c r="A39" s="207" t="s">
        <v>1811</v>
      </c>
      <c r="B39" s="135">
        <v>4.8600000000000003</v>
      </c>
      <c r="C39" s="135">
        <v>10.94</v>
      </c>
      <c r="D39" s="135">
        <v>15.80</v>
      </c>
      <c r="E39" s="135">
        <v>9.4499999999999993</v>
      </c>
      <c r="F39" s="135">
        <v>0.06</v>
      </c>
      <c r="G39" s="208" t="s">
        <v>36</v>
      </c>
      <c r="H39" s="135">
        <v>11.43</v>
      </c>
      <c r="I39" s="135">
        <v>3.71</v>
      </c>
      <c r="J39" s="135">
        <v>0.72</v>
      </c>
      <c r="K39" s="135">
        <v>321.55</v>
      </c>
      <c r="L39" s="9" t="s">
        <v>36</v>
      </c>
      <c r="M39" s="135">
        <v>99.10</v>
      </c>
      <c r="N39" s="135">
        <v>8.40</v>
      </c>
      <c r="O39" s="135">
        <v>0.20</v>
      </c>
      <c r="P39" s="135">
        <v>2.70</v>
      </c>
      <c r="Q39" s="135">
        <v>4.66</v>
      </c>
      <c r="R39" s="194"/>
      <c r="S39" s="194"/>
      <c r="T39" s="194"/>
      <c r="U39" s="194"/>
    </row>
    <row r="40" spans="1:21" s="12" customFormat="1" ht="15">
      <c r="A40" s="207" t="s">
        <v>1812</v>
      </c>
      <c r="B40" s="135">
        <v>5.58</v>
      </c>
      <c r="C40" s="135">
        <v>10.79</v>
      </c>
      <c r="D40" s="135">
        <v>16.37</v>
      </c>
      <c r="E40" s="135">
        <v>4.3499999999999996</v>
      </c>
      <c r="F40" s="135">
        <v>0.19</v>
      </c>
      <c r="G40" s="208" t="s">
        <v>36</v>
      </c>
      <c r="H40" s="135">
        <v>11.43</v>
      </c>
      <c r="I40" s="135">
        <v>3.76</v>
      </c>
      <c r="J40" s="135">
        <v>0.88</v>
      </c>
      <c r="K40" s="135">
        <v>320.22000000000003</v>
      </c>
      <c r="L40" s="9" t="s">
        <v>36</v>
      </c>
      <c r="M40" s="135">
        <v>99.10</v>
      </c>
      <c r="N40" s="135">
        <v>17.30</v>
      </c>
      <c r="O40" s="135">
        <v>0</v>
      </c>
      <c r="P40" s="135">
        <v>2.70</v>
      </c>
      <c r="Q40" s="135">
        <v>4.8600000000000003</v>
      </c>
      <c r="R40" s="194"/>
      <c r="S40" s="194"/>
      <c r="T40" s="194"/>
      <c r="U40" s="194"/>
    </row>
    <row r="41" spans="1:21" s="12" customFormat="1" ht="15">
      <c r="A41" s="207" t="s">
        <v>1813</v>
      </c>
      <c r="B41" s="135">
        <v>6.48</v>
      </c>
      <c r="C41" s="135">
        <v>10.77</v>
      </c>
      <c r="D41" s="135">
        <v>17.260000000000002</v>
      </c>
      <c r="E41" s="135">
        <v>8</v>
      </c>
      <c r="F41" s="135">
        <v>0.08</v>
      </c>
      <c r="G41" s="208" t="s">
        <v>36</v>
      </c>
      <c r="H41" s="135">
        <v>11.28</v>
      </c>
      <c r="I41" s="135">
        <v>3.78</v>
      </c>
      <c r="J41" s="135">
        <v>0.90</v>
      </c>
      <c r="K41" s="135">
        <v>340.85</v>
      </c>
      <c r="L41" s="9" t="s">
        <v>36</v>
      </c>
      <c r="M41" s="135">
        <v>99.10</v>
      </c>
      <c r="N41" s="135">
        <v>33.40</v>
      </c>
      <c r="O41" s="135">
        <v>0</v>
      </c>
      <c r="P41" s="135">
        <v>2.72</v>
      </c>
      <c r="Q41" s="135">
        <v>5.14</v>
      </c>
      <c r="R41" s="194"/>
      <c r="S41" s="194"/>
      <c r="T41" s="194"/>
      <c r="U41" s="194"/>
    </row>
    <row r="42" spans="1:21" s="12" customFormat="1" ht="15">
      <c r="A42" s="207" t="s">
        <v>1814</v>
      </c>
      <c r="B42" s="135">
        <v>7.41</v>
      </c>
      <c r="C42" s="135">
        <v>10.76</v>
      </c>
      <c r="D42" s="135">
        <v>18.16</v>
      </c>
      <c r="E42" s="135">
        <v>8.3699999999999992</v>
      </c>
      <c r="F42" s="135">
        <v>0.13</v>
      </c>
      <c r="G42" s="208" t="s">
        <v>36</v>
      </c>
      <c r="H42" s="135">
        <v>10.93</v>
      </c>
      <c r="I42" s="135">
        <v>3.88</v>
      </c>
      <c r="J42" s="135">
        <v>1.18</v>
      </c>
      <c r="K42" s="135">
        <v>327.96</v>
      </c>
      <c r="L42" s="9" t="s">
        <v>36</v>
      </c>
      <c r="M42" s="135">
        <v>99.10</v>
      </c>
      <c r="N42" s="135">
        <v>29.30</v>
      </c>
      <c r="O42" s="135">
        <v>0.40</v>
      </c>
      <c r="P42" s="135">
        <v>2.74</v>
      </c>
      <c r="Q42" s="135">
        <v>5.46</v>
      </c>
      <c r="R42" s="194"/>
      <c r="S42" s="194"/>
      <c r="T42" s="194"/>
      <c r="U42" s="194"/>
    </row>
    <row r="43" spans="1:21" s="12" customFormat="1" ht="15">
      <c r="A43" s="207" t="s">
        <v>1815</v>
      </c>
      <c r="B43" s="135">
        <v>7.93</v>
      </c>
      <c r="C43" s="135">
        <v>11.01</v>
      </c>
      <c r="D43" s="135">
        <v>18.93</v>
      </c>
      <c r="E43" s="135">
        <v>8.39</v>
      </c>
      <c r="F43" s="135">
        <v>0.12</v>
      </c>
      <c r="G43" s="208" t="s">
        <v>36</v>
      </c>
      <c r="H43" s="135">
        <v>10.93</v>
      </c>
      <c r="I43" s="135">
        <v>3.90</v>
      </c>
      <c r="J43" s="135">
        <v>1.75</v>
      </c>
      <c r="K43" s="135">
        <v>320.87</v>
      </c>
      <c r="L43" s="9" t="s">
        <v>36</v>
      </c>
      <c r="M43" s="135">
        <v>99.10</v>
      </c>
      <c r="N43" s="135">
        <v>58.20</v>
      </c>
      <c r="O43" s="135">
        <v>0.20</v>
      </c>
      <c r="P43" s="135">
        <v>2.74</v>
      </c>
      <c r="Q43" s="135">
        <v>5.66</v>
      </c>
      <c r="R43" s="194"/>
      <c r="S43" s="194"/>
      <c r="T43" s="194"/>
      <c r="U43" s="194"/>
    </row>
    <row r="44" spans="1:21" s="12" customFormat="1" ht="15">
      <c r="A44" s="207" t="s">
        <v>1816</v>
      </c>
      <c r="B44" s="135">
        <v>8.3000000000000007</v>
      </c>
      <c r="C44" s="135">
        <v>11.32</v>
      </c>
      <c r="D44" s="135">
        <v>19.62</v>
      </c>
      <c r="E44" s="135">
        <v>8.23</v>
      </c>
      <c r="F44" s="135">
        <v>0.10</v>
      </c>
      <c r="G44" s="208" t="s">
        <v>36</v>
      </c>
      <c r="H44" s="135">
        <v>10.93</v>
      </c>
      <c r="I44" s="135">
        <v>3.94</v>
      </c>
      <c r="J44" s="135">
        <v>1.23</v>
      </c>
      <c r="K44" s="135">
        <v>324.94</v>
      </c>
      <c r="L44" s="9" t="s">
        <v>36</v>
      </c>
      <c r="M44" s="135">
        <v>99.10</v>
      </c>
      <c r="N44" s="135">
        <v>61.80</v>
      </c>
      <c r="O44" s="135">
        <v>0</v>
      </c>
      <c r="P44" s="135">
        <v>2.77</v>
      </c>
      <c r="Q44" s="135">
        <v>5.93</v>
      </c>
      <c r="R44" s="194"/>
      <c r="S44" s="194"/>
      <c r="T44" s="194"/>
      <c r="U44" s="194"/>
    </row>
    <row r="45" spans="1:21" s="12" customFormat="1" ht="15">
      <c r="A45" s="207" t="s">
        <v>1817</v>
      </c>
      <c r="B45" s="135">
        <v>8.77</v>
      </c>
      <c r="C45" s="135">
        <v>11.84</v>
      </c>
      <c r="D45" s="135">
        <v>20.61</v>
      </c>
      <c r="E45" s="135">
        <v>8.3000000000000007</v>
      </c>
      <c r="F45" s="135">
        <v>0.15</v>
      </c>
      <c r="G45" s="208" t="s">
        <v>36</v>
      </c>
      <c r="H45" s="135">
        <v>10.19</v>
      </c>
      <c r="I45" s="135">
        <v>3.98</v>
      </c>
      <c r="J45" s="135">
        <v>1.17</v>
      </c>
      <c r="K45" s="135">
        <v>327.58</v>
      </c>
      <c r="L45" s="9" t="s">
        <v>36</v>
      </c>
      <c r="M45" s="135">
        <v>99.10</v>
      </c>
      <c r="N45" s="135">
        <v>71</v>
      </c>
      <c r="O45" s="135">
        <v>0</v>
      </c>
      <c r="P45" s="135">
        <v>2.80</v>
      </c>
      <c r="Q45" s="135">
        <v>6.13</v>
      </c>
      <c r="R45" s="194"/>
      <c r="S45" s="194"/>
      <c r="T45" s="194"/>
      <c r="U45" s="194"/>
    </row>
    <row r="46" spans="1:21" s="12" customFormat="1" ht="15">
      <c r="A46" s="207" t="s">
        <v>1818</v>
      </c>
      <c r="B46" s="135">
        <v>9.67</v>
      </c>
      <c r="C46" s="135">
        <v>12.38</v>
      </c>
      <c r="D46" s="135">
        <v>22.05</v>
      </c>
      <c r="E46" s="135">
        <v>8.35</v>
      </c>
      <c r="F46" s="135">
        <v>0.20</v>
      </c>
      <c r="G46" s="208" t="s">
        <v>36</v>
      </c>
      <c r="H46" s="135">
        <v>8.36</v>
      </c>
      <c r="I46" s="135">
        <v>4.01</v>
      </c>
      <c r="J46" s="135">
        <v>0.79</v>
      </c>
      <c r="K46" s="135">
        <v>325.04000000000002</v>
      </c>
      <c r="L46" s="9" t="s">
        <v>36</v>
      </c>
      <c r="M46" s="135">
        <v>99.10</v>
      </c>
      <c r="N46" s="135">
        <v>62.40</v>
      </c>
      <c r="O46" s="135">
        <v>0</v>
      </c>
      <c r="P46" s="135">
        <v>2.83</v>
      </c>
      <c r="Q46" s="135">
        <v>6.52</v>
      </c>
      <c r="R46" s="194"/>
      <c r="S46" s="194"/>
      <c r="T46" s="194"/>
      <c r="U46" s="194"/>
    </row>
    <row r="47" spans="1:21" s="12" customFormat="1" ht="15">
      <c r="A47" s="207" t="s">
        <v>1819</v>
      </c>
      <c r="B47" s="135">
        <v>10.56</v>
      </c>
      <c r="C47" s="135">
        <v>12.52</v>
      </c>
      <c r="D47" s="135">
        <v>23.08</v>
      </c>
      <c r="E47" s="135">
        <v>8.2100000000000009</v>
      </c>
      <c r="F47" s="135">
        <v>0.30</v>
      </c>
      <c r="G47" s="208" t="s">
        <v>36</v>
      </c>
      <c r="H47" s="135">
        <v>8.36</v>
      </c>
      <c r="I47" s="135">
        <v>4.07</v>
      </c>
      <c r="J47" s="135">
        <v>0.73</v>
      </c>
      <c r="K47" s="135">
        <v>317.77</v>
      </c>
      <c r="L47" s="9" t="s">
        <v>36</v>
      </c>
      <c r="M47" s="135">
        <v>99.10</v>
      </c>
      <c r="N47" s="135">
        <v>61.90</v>
      </c>
      <c r="O47" s="135">
        <v>0</v>
      </c>
      <c r="P47" s="135">
        <v>2.88</v>
      </c>
      <c r="Q47" s="135">
        <v>6.71</v>
      </c>
      <c r="R47" s="194"/>
      <c r="S47" s="194"/>
      <c r="T47" s="194"/>
      <c r="U47" s="194"/>
    </row>
    <row r="48" spans="1:21" s="12" customFormat="1" ht="15">
      <c r="A48" s="207" t="s">
        <v>1820</v>
      </c>
      <c r="B48" s="135">
        <v>11.43</v>
      </c>
      <c r="C48" s="135">
        <v>12.92</v>
      </c>
      <c r="D48" s="135">
        <v>24.36</v>
      </c>
      <c r="E48" s="135">
        <v>8.27</v>
      </c>
      <c r="F48" s="135">
        <v>0.070000000000000007</v>
      </c>
      <c r="G48" s="208" t="s">
        <v>36</v>
      </c>
      <c r="H48" s="135">
        <v>8.36</v>
      </c>
      <c r="I48" s="135">
        <v>4.21</v>
      </c>
      <c r="J48" s="135">
        <v>0.37</v>
      </c>
      <c r="K48" s="135">
        <v>339.41</v>
      </c>
      <c r="L48" s="9" t="s">
        <v>36</v>
      </c>
      <c r="M48" s="135">
        <v>99.10</v>
      </c>
      <c r="N48" s="135">
        <v>54.80</v>
      </c>
      <c r="O48" s="135">
        <v>0</v>
      </c>
      <c r="P48" s="135">
        <v>2.94</v>
      </c>
      <c r="Q48" s="135">
        <v>7.20</v>
      </c>
      <c r="R48" s="194"/>
      <c r="S48" s="194"/>
      <c r="T48" s="194"/>
      <c r="U48" s="194"/>
    </row>
    <row r="49" spans="1:21" s="12" customFormat="1" ht="15">
      <c r="A49" s="207" t="s">
        <v>1821</v>
      </c>
      <c r="B49" s="135">
        <v>12.46</v>
      </c>
      <c r="C49" s="135">
        <v>12.83</v>
      </c>
      <c r="D49" s="135">
        <v>25.28</v>
      </c>
      <c r="E49" s="135">
        <v>8.19</v>
      </c>
      <c r="F49" s="135">
        <v>0.17</v>
      </c>
      <c r="G49" s="208" t="s">
        <v>36</v>
      </c>
      <c r="H49" s="135">
        <v>9.11</v>
      </c>
      <c r="I49" s="135">
        <v>4.33</v>
      </c>
      <c r="J49" s="135">
        <v>0.35</v>
      </c>
      <c r="K49" s="135">
        <v>321.83</v>
      </c>
      <c r="L49" s="9" t="s">
        <v>36</v>
      </c>
      <c r="M49" s="135">
        <v>99.10</v>
      </c>
      <c r="N49" s="135">
        <v>26.70</v>
      </c>
      <c r="O49" s="135">
        <v>0</v>
      </c>
      <c r="P49" s="135">
        <v>2.96</v>
      </c>
      <c r="Q49" s="135">
        <v>7.40</v>
      </c>
      <c r="R49" s="194"/>
      <c r="S49" s="194"/>
      <c r="T49" s="194"/>
      <c r="U49" s="194"/>
    </row>
    <row r="50" spans="1:21" s="12" customFormat="1" ht="15">
      <c r="A50" s="207" t="s">
        <v>1822</v>
      </c>
      <c r="B50" s="135">
        <v>13.89</v>
      </c>
      <c r="C50" s="135">
        <v>12.55</v>
      </c>
      <c r="D50" s="135">
        <v>26.44</v>
      </c>
      <c r="E50" s="135">
        <v>8.31</v>
      </c>
      <c r="F50" s="135">
        <v>0.15</v>
      </c>
      <c r="G50" s="208" t="s">
        <v>36</v>
      </c>
      <c r="H50" s="135">
        <v>10.96</v>
      </c>
      <c r="I50" s="135">
        <v>4.5599999999999996</v>
      </c>
      <c r="J50" s="135">
        <v>0.31</v>
      </c>
      <c r="K50" s="135">
        <v>335.63</v>
      </c>
      <c r="L50" s="9" t="s">
        <v>36</v>
      </c>
      <c r="M50" s="135">
        <v>99.10</v>
      </c>
      <c r="N50" s="135">
        <v>31</v>
      </c>
      <c r="O50" s="135">
        <v>0</v>
      </c>
      <c r="P50" s="135">
        <v>3.02</v>
      </c>
      <c r="Q50" s="135">
        <v>7.87</v>
      </c>
      <c r="R50" s="194"/>
      <c r="S50" s="194"/>
      <c r="T50" s="194"/>
      <c r="U50" s="194"/>
    </row>
    <row r="51" spans="1:21" s="12" customFormat="1" ht="15">
      <c r="A51" s="207" t="s">
        <v>1823</v>
      </c>
      <c r="B51" s="135">
        <v>15.34</v>
      </c>
      <c r="C51" s="135">
        <v>12.26</v>
      </c>
      <c r="D51" s="135">
        <v>27.60</v>
      </c>
      <c r="E51" s="135">
        <v>8.49</v>
      </c>
      <c r="F51" s="135">
        <v>0.23</v>
      </c>
      <c r="G51" s="208" t="s">
        <v>36</v>
      </c>
      <c r="H51" s="135">
        <v>10.96</v>
      </c>
      <c r="I51" s="135">
        <v>4.8600000000000003</v>
      </c>
      <c r="J51" s="135">
        <v>0.10</v>
      </c>
      <c r="K51" s="135">
        <v>112.27</v>
      </c>
      <c r="L51" s="9" t="s">
        <v>36</v>
      </c>
      <c r="M51" s="135">
        <v>99.10</v>
      </c>
      <c r="N51" s="135">
        <v>47.60</v>
      </c>
      <c r="O51" s="135">
        <v>0</v>
      </c>
      <c r="P51" s="135">
        <v>3.05</v>
      </c>
      <c r="Q51" s="135">
        <v>8.3000000000000007</v>
      </c>
      <c r="R51" s="194"/>
      <c r="S51" s="194"/>
      <c r="T51" s="194"/>
      <c r="U51" s="194"/>
    </row>
    <row r="52" spans="1:21" s="12" customFormat="1" ht="15">
      <c r="A52" s="207" t="s">
        <v>1824</v>
      </c>
      <c r="B52" s="135">
        <v>16.23</v>
      </c>
      <c r="C52" s="135">
        <v>12.09</v>
      </c>
      <c r="D52" s="135">
        <v>28.33</v>
      </c>
      <c r="E52" s="135">
        <v>8.67</v>
      </c>
      <c r="F52" s="135">
        <v>0.11</v>
      </c>
      <c r="G52" s="208" t="s">
        <v>36</v>
      </c>
      <c r="H52" s="135">
        <v>10.96</v>
      </c>
      <c r="I52" s="135">
        <v>5.27</v>
      </c>
      <c r="J52" s="135">
        <v>0.05</v>
      </c>
      <c r="K52" s="135">
        <v>158.53</v>
      </c>
      <c r="L52" s="9" t="s">
        <v>36</v>
      </c>
      <c r="M52" s="135">
        <v>99.10</v>
      </c>
      <c r="N52" s="135">
        <v>101.10</v>
      </c>
      <c r="O52" s="135">
        <v>0</v>
      </c>
      <c r="P52" s="135">
        <v>3.06</v>
      </c>
      <c r="Q52" s="135">
        <v>8.85</v>
      </c>
      <c r="R52" s="194"/>
      <c r="S52" s="194"/>
      <c r="T52" s="194"/>
      <c r="U52" s="194"/>
    </row>
    <row r="53" spans="1:21" s="12" customFormat="1" ht="15">
      <c r="A53" s="207" t="s">
        <v>1825</v>
      </c>
      <c r="B53" s="135">
        <v>17.309999999999999</v>
      </c>
      <c r="C53" s="135">
        <v>12.02</v>
      </c>
      <c r="D53" s="135">
        <v>29.33</v>
      </c>
      <c r="E53" s="135">
        <v>8.89</v>
      </c>
      <c r="F53" s="135">
        <v>0.04</v>
      </c>
      <c r="G53" s="208" t="s">
        <v>36</v>
      </c>
      <c r="H53" s="135">
        <v>12.99</v>
      </c>
      <c r="I53" s="135">
        <v>5.38</v>
      </c>
      <c r="J53" s="135">
        <v>0.32</v>
      </c>
      <c r="K53" s="135">
        <v>103.49</v>
      </c>
      <c r="L53" s="9" t="s">
        <v>36</v>
      </c>
      <c r="M53" s="135">
        <v>98.34</v>
      </c>
      <c r="N53" s="135">
        <v>182.90</v>
      </c>
      <c r="O53" s="135">
        <v>0.20</v>
      </c>
      <c r="P53" s="135">
        <v>3.13</v>
      </c>
      <c r="Q53" s="135">
        <v>9.41</v>
      </c>
      <c r="R53" s="194"/>
      <c r="S53" s="194"/>
      <c r="T53" s="194"/>
      <c r="U53" s="194"/>
    </row>
    <row r="54" spans="1:21" s="12" customFormat="1" ht="15">
      <c r="A54" s="207" t="s">
        <v>1826</v>
      </c>
      <c r="B54" s="135">
        <v>18.579999999999998</v>
      </c>
      <c r="C54" s="135">
        <v>12.01</v>
      </c>
      <c r="D54" s="135">
        <v>30.60</v>
      </c>
      <c r="E54" s="135">
        <v>9.1999999999999993</v>
      </c>
      <c r="F54" s="135">
        <v>0.19</v>
      </c>
      <c r="G54" s="208" t="s">
        <v>36</v>
      </c>
      <c r="H54" s="135">
        <v>18</v>
      </c>
      <c r="I54" s="135">
        <v>5.5</v>
      </c>
      <c r="J54" s="135">
        <v>0.35</v>
      </c>
      <c r="K54" s="135">
        <v>96.30</v>
      </c>
      <c r="L54" s="9" t="s">
        <v>36</v>
      </c>
      <c r="M54" s="135">
        <v>96.5</v>
      </c>
      <c r="N54" s="135">
        <v>186.70</v>
      </c>
      <c r="O54" s="135">
        <v>0.20</v>
      </c>
      <c r="P54" s="135">
        <v>3.13</v>
      </c>
      <c r="Q54" s="135">
        <v>10.210000000000001</v>
      </c>
      <c r="R54" s="194"/>
      <c r="S54" s="194"/>
      <c r="T54" s="194"/>
      <c r="U54" s="194"/>
    </row>
    <row r="55" spans="1:21" s="12" customFormat="1" ht="15">
      <c r="A55" s="207" t="s">
        <v>1827</v>
      </c>
      <c r="B55" s="135">
        <v>18.95</v>
      </c>
      <c r="C55" s="135">
        <v>11.91</v>
      </c>
      <c r="D55" s="135">
        <v>30.86</v>
      </c>
      <c r="E55" s="135">
        <v>9.18</v>
      </c>
      <c r="F55" s="135">
        <v>1.40</v>
      </c>
      <c r="G55" s="208" t="s">
        <v>36</v>
      </c>
      <c r="H55" s="135">
        <v>18</v>
      </c>
      <c r="I55" s="135">
        <v>6.42</v>
      </c>
      <c r="J55" s="135">
        <v>0.32</v>
      </c>
      <c r="K55" s="135">
        <v>21.51</v>
      </c>
      <c r="L55" s="9" t="s">
        <v>36</v>
      </c>
      <c r="M55" s="135">
        <v>97.02</v>
      </c>
      <c r="N55" s="135">
        <v>129.40</v>
      </c>
      <c r="O55" s="135">
        <v>0</v>
      </c>
      <c r="P55" s="135">
        <v>3.13</v>
      </c>
      <c r="Q55" s="135">
        <v>10.84</v>
      </c>
      <c r="R55" s="194"/>
      <c r="S55" s="194"/>
      <c r="T55" s="194"/>
      <c r="U55" s="194"/>
    </row>
    <row r="56" spans="1:21" s="12" customFormat="1" ht="15">
      <c r="A56" s="207" t="s">
        <v>1828</v>
      </c>
      <c r="B56" s="135">
        <v>19.12</v>
      </c>
      <c r="C56" s="135">
        <v>12.08</v>
      </c>
      <c r="D56" s="135">
        <v>31.20</v>
      </c>
      <c r="E56" s="135">
        <v>4.41</v>
      </c>
      <c r="F56" s="135">
        <v>0.15</v>
      </c>
      <c r="G56" s="208" t="s">
        <v>36</v>
      </c>
      <c r="H56" s="135">
        <v>18</v>
      </c>
      <c r="I56" s="135">
        <v>5.83</v>
      </c>
      <c r="J56" s="135">
        <v>0.13</v>
      </c>
      <c r="K56" s="135">
        <v>93.59</v>
      </c>
      <c r="L56" s="9" t="s">
        <v>36</v>
      </c>
      <c r="M56" s="135">
        <v>94.98</v>
      </c>
      <c r="N56" s="135">
        <v>312.80</v>
      </c>
      <c r="O56" s="135">
        <v>0.20</v>
      </c>
      <c r="P56" s="135">
        <v>3.16</v>
      </c>
      <c r="Q56" s="135">
        <v>11.48</v>
      </c>
      <c r="R56" s="194"/>
      <c r="S56" s="194"/>
      <c r="T56" s="194"/>
      <c r="U56" s="194"/>
    </row>
    <row r="57" spans="1:21" s="12" customFormat="1" ht="15">
      <c r="A57" s="207" t="s">
        <v>1829</v>
      </c>
      <c r="B57" s="135">
        <v>18.73</v>
      </c>
      <c r="C57" s="135">
        <v>12.93</v>
      </c>
      <c r="D57" s="135">
        <v>31.66</v>
      </c>
      <c r="E57" s="135">
        <v>9.19</v>
      </c>
      <c r="F57" s="135">
        <v>0.20</v>
      </c>
      <c r="G57" s="208" t="s">
        <v>36</v>
      </c>
      <c r="H57" s="135">
        <v>18.62</v>
      </c>
      <c r="I57" s="135">
        <v>5.75</v>
      </c>
      <c r="J57" s="135">
        <v>0.14000000000000001</v>
      </c>
      <c r="K57" s="135">
        <v>50.30</v>
      </c>
      <c r="L57" s="9" t="s">
        <v>36</v>
      </c>
      <c r="M57" s="135">
        <v>92.36</v>
      </c>
      <c r="N57" s="135">
        <v>362.30</v>
      </c>
      <c r="O57" s="135">
        <v>0</v>
      </c>
      <c r="P57" s="135">
        <v>3.18</v>
      </c>
      <c r="Q57" s="135">
        <v>11.93</v>
      </c>
      <c r="R57" s="194"/>
      <c r="S57" s="194"/>
      <c r="T57" s="194"/>
      <c r="U57" s="194"/>
    </row>
    <row r="58" spans="1:21" s="12" customFormat="1" ht="15">
      <c r="A58" s="207" t="s">
        <v>1830</v>
      </c>
      <c r="B58" s="135">
        <v>18.23</v>
      </c>
      <c r="C58" s="135">
        <v>14.64</v>
      </c>
      <c r="D58" s="135">
        <v>32.869999999999997</v>
      </c>
      <c r="E58" s="135">
        <v>9.17</v>
      </c>
      <c r="F58" s="135">
        <v>0.20</v>
      </c>
      <c r="G58" s="208" t="s">
        <v>36</v>
      </c>
      <c r="H58" s="135">
        <v>20.13</v>
      </c>
      <c r="I58" s="135">
        <v>5.91</v>
      </c>
      <c r="J58" s="135">
        <v>0.30</v>
      </c>
      <c r="K58" s="135">
        <v>333.17</v>
      </c>
      <c r="L58" s="9" t="s">
        <v>36</v>
      </c>
      <c r="M58" s="135">
        <v>91.74</v>
      </c>
      <c r="N58" s="135">
        <v>204.60</v>
      </c>
      <c r="O58" s="135">
        <v>0</v>
      </c>
      <c r="P58" s="135">
        <v>3.21</v>
      </c>
      <c r="Q58" s="135">
        <v>12.39</v>
      </c>
      <c r="R58" s="194"/>
      <c r="S58" s="194"/>
      <c r="T58" s="194"/>
      <c r="U58" s="194"/>
    </row>
    <row r="59" spans="1:21" s="12" customFormat="1" ht="15">
      <c r="A59" s="207" t="s">
        <v>1831</v>
      </c>
      <c r="B59" s="135">
        <v>18.25</v>
      </c>
      <c r="C59" s="135">
        <v>16.57</v>
      </c>
      <c r="D59" s="135">
        <v>34.81</v>
      </c>
      <c r="E59" s="135">
        <v>8.65</v>
      </c>
      <c r="F59" s="135">
        <v>0.19</v>
      </c>
      <c r="G59" s="208" t="s">
        <v>36</v>
      </c>
      <c r="H59" s="135">
        <v>20.13</v>
      </c>
      <c r="I59" s="135">
        <v>5.86</v>
      </c>
      <c r="J59" s="135">
        <v>0.37</v>
      </c>
      <c r="K59" s="135">
        <v>333.30</v>
      </c>
      <c r="L59" s="9" t="s">
        <v>36</v>
      </c>
      <c r="M59" s="135">
        <v>92.26</v>
      </c>
      <c r="N59" s="135">
        <v>108.90</v>
      </c>
      <c r="O59" s="135">
        <v>0</v>
      </c>
      <c r="P59" s="135">
        <v>3.27</v>
      </c>
      <c r="Q59" s="135">
        <v>12.88</v>
      </c>
      <c r="R59" s="194"/>
      <c r="S59" s="194"/>
      <c r="T59" s="194"/>
      <c r="U59" s="194"/>
    </row>
    <row r="60" spans="1:21" s="12" customFormat="1" ht="15">
      <c r="A60" s="207" t="s">
        <v>1832</v>
      </c>
      <c r="B60" s="135">
        <v>18.309999999999999</v>
      </c>
      <c r="C60" s="135">
        <v>17.91</v>
      </c>
      <c r="D60" s="135">
        <v>36.21</v>
      </c>
      <c r="E60" s="135">
        <v>8.7100000000000009</v>
      </c>
      <c r="F60" s="135">
        <v>0.36</v>
      </c>
      <c r="G60" s="208" t="s">
        <v>36</v>
      </c>
      <c r="H60" s="135">
        <v>20.13</v>
      </c>
      <c r="I60" s="135">
        <v>6.06</v>
      </c>
      <c r="J60" s="135">
        <v>0.23</v>
      </c>
      <c r="K60" s="135">
        <v>246.09</v>
      </c>
      <c r="L60" s="9" t="s">
        <v>36</v>
      </c>
      <c r="M60" s="135">
        <v>93.01</v>
      </c>
      <c r="N60" s="135">
        <v>201</v>
      </c>
      <c r="O60" s="135">
        <v>0</v>
      </c>
      <c r="P60" s="135">
        <v>3.33</v>
      </c>
      <c r="Q60" s="135">
        <v>13.08</v>
      </c>
      <c r="R60" s="194"/>
      <c r="S60" s="194"/>
      <c r="T60" s="194"/>
      <c r="U60" s="194"/>
    </row>
    <row r="61" spans="1:21" s="12" customFormat="1" ht="15">
      <c r="A61" s="207" t="s">
        <v>1833</v>
      </c>
      <c r="B61" s="135">
        <v>17.52</v>
      </c>
      <c r="C61" s="135">
        <v>19.010000000000002</v>
      </c>
      <c r="D61" s="135">
        <v>36.520000000000003</v>
      </c>
      <c r="E61" s="135">
        <v>8.52</v>
      </c>
      <c r="F61" s="135">
        <v>0.23</v>
      </c>
      <c r="G61" s="208" t="s">
        <v>36</v>
      </c>
      <c r="H61" s="135">
        <v>20.18</v>
      </c>
      <c r="I61" s="135">
        <v>6.41</v>
      </c>
      <c r="J61" s="135">
        <v>0.10</v>
      </c>
      <c r="K61" s="135">
        <v>230.78</v>
      </c>
      <c r="L61" s="9" t="s">
        <v>36</v>
      </c>
      <c r="M61" s="135">
        <v>94.27</v>
      </c>
      <c r="N61" s="135">
        <v>224.40</v>
      </c>
      <c r="O61" s="135">
        <v>0</v>
      </c>
      <c r="P61" s="135">
        <v>3.36</v>
      </c>
      <c r="Q61" s="135">
        <v>12.97</v>
      </c>
      <c r="R61" s="194"/>
      <c r="S61" s="194"/>
      <c r="T61" s="194"/>
      <c r="U61" s="194"/>
    </row>
    <row r="62" spans="1:21" s="12" customFormat="1" ht="15">
      <c r="A62" s="207" t="s">
        <v>1834</v>
      </c>
      <c r="B62" s="135">
        <v>16.079999999999998</v>
      </c>
      <c r="C62" s="135">
        <v>20.30</v>
      </c>
      <c r="D62" s="135">
        <v>36.380000000000003</v>
      </c>
      <c r="E62" s="135">
        <v>8.07</v>
      </c>
      <c r="F62" s="135">
        <v>0.12</v>
      </c>
      <c r="G62" s="208" t="s">
        <v>36</v>
      </c>
      <c r="H62" s="135">
        <v>20.29</v>
      </c>
      <c r="I62" s="135">
        <v>6.60</v>
      </c>
      <c r="J62" s="135">
        <v>0.18</v>
      </c>
      <c r="K62" s="135">
        <v>327.16000000000003</v>
      </c>
      <c r="L62" s="9" t="s">
        <v>36</v>
      </c>
      <c r="M62" s="135">
        <v>90.87</v>
      </c>
      <c r="N62" s="135">
        <v>82.70</v>
      </c>
      <c r="O62" s="135">
        <v>0.60</v>
      </c>
      <c r="P62" s="135">
        <v>3.39</v>
      </c>
      <c r="Q62" s="135">
        <v>12.77</v>
      </c>
      <c r="R62" s="194"/>
      <c r="S62" s="194"/>
      <c r="T62" s="194"/>
      <c r="U62" s="194"/>
    </row>
    <row r="63" spans="1:21" s="12" customFormat="1" ht="15">
      <c r="A63" s="207" t="s">
        <v>1835</v>
      </c>
      <c r="B63" s="135">
        <v>15.31</v>
      </c>
      <c r="C63" s="135">
        <v>20.81</v>
      </c>
      <c r="D63" s="135">
        <v>36.119999999999997</v>
      </c>
      <c r="E63" s="135">
        <v>8.01</v>
      </c>
      <c r="F63" s="135">
        <v>0.19</v>
      </c>
      <c r="G63" s="208" t="s">
        <v>36</v>
      </c>
      <c r="H63" s="135">
        <v>20.29</v>
      </c>
      <c r="I63" s="135">
        <v>6.77</v>
      </c>
      <c r="J63" s="135">
        <v>0.01</v>
      </c>
      <c r="K63" s="135">
        <v>222.99</v>
      </c>
      <c r="L63" s="9" t="s">
        <v>36</v>
      </c>
      <c r="M63" s="135">
        <v>96.09</v>
      </c>
      <c r="N63" s="135">
        <v>42</v>
      </c>
      <c r="O63" s="135">
        <v>2.40</v>
      </c>
      <c r="P63" s="135">
        <v>3.41</v>
      </c>
      <c r="Q63" s="135">
        <v>12.59</v>
      </c>
      <c r="R63" s="194"/>
      <c r="S63" s="194"/>
      <c r="T63" s="194"/>
      <c r="U63" s="194"/>
    </row>
    <row r="64" spans="1:21" s="12" customFormat="1" ht="15">
      <c r="A64" s="207" t="s">
        <v>1836</v>
      </c>
      <c r="B64" s="135">
        <v>14.75</v>
      </c>
      <c r="C64" s="135">
        <v>20.29</v>
      </c>
      <c r="D64" s="135">
        <v>35.04</v>
      </c>
      <c r="E64" s="135">
        <v>8.64</v>
      </c>
      <c r="F64" s="135">
        <v>0.17</v>
      </c>
      <c r="G64" s="208" t="s">
        <v>36</v>
      </c>
      <c r="H64" s="135">
        <v>20.29</v>
      </c>
      <c r="I64" s="135">
        <v>6.90</v>
      </c>
      <c r="J64" s="135">
        <v>0.21</v>
      </c>
      <c r="K64" s="135">
        <v>53.70</v>
      </c>
      <c r="L64" s="9" t="s">
        <v>36</v>
      </c>
      <c r="M64" s="135">
        <v>99.08</v>
      </c>
      <c r="N64" s="135">
        <v>11.20</v>
      </c>
      <c r="O64" s="135">
        <v>1</v>
      </c>
      <c r="P64" s="135">
        <v>3.41</v>
      </c>
      <c r="Q64" s="135">
        <v>12.34</v>
      </c>
      <c r="R64" s="194"/>
      <c r="S64" s="194"/>
      <c r="T64" s="194"/>
      <c r="U64" s="194"/>
    </row>
    <row r="65" spans="1:21" s="12" customFormat="1" ht="15">
      <c r="A65" s="207" t="s">
        <v>1837</v>
      </c>
      <c r="B65" s="135">
        <v>14.42</v>
      </c>
      <c r="C65" s="135">
        <v>19.36</v>
      </c>
      <c r="D65" s="135">
        <v>33.78</v>
      </c>
      <c r="E65" s="135">
        <v>8.56</v>
      </c>
      <c r="F65" s="135">
        <v>0.16</v>
      </c>
      <c r="G65" s="208" t="s">
        <v>36</v>
      </c>
      <c r="H65" s="135">
        <v>19.43</v>
      </c>
      <c r="I65" s="135">
        <v>6.94</v>
      </c>
      <c r="J65" s="135">
        <v>1.49</v>
      </c>
      <c r="K65" s="135">
        <v>99.95</v>
      </c>
      <c r="L65" s="9" t="s">
        <v>36</v>
      </c>
      <c r="M65" s="135">
        <v>99.09</v>
      </c>
      <c r="N65" s="135">
        <v>10.199999999999999</v>
      </c>
      <c r="O65" s="135">
        <v>3.40</v>
      </c>
      <c r="P65" s="135">
        <v>3.41</v>
      </c>
      <c r="Q65" s="135">
        <v>12.43</v>
      </c>
      <c r="R65" s="194"/>
      <c r="S65" s="194"/>
      <c r="T65" s="194"/>
      <c r="U65" s="194"/>
    </row>
    <row r="66" spans="1:21" s="12" customFormat="1" ht="15">
      <c r="A66" s="207" t="s">
        <v>1838</v>
      </c>
      <c r="B66" s="135">
        <v>13.99</v>
      </c>
      <c r="C66" s="135">
        <v>18.22</v>
      </c>
      <c r="D66" s="135">
        <v>32.21</v>
      </c>
      <c r="E66" s="135">
        <v>8.61</v>
      </c>
      <c r="F66" s="135">
        <v>0.28000000000000003</v>
      </c>
      <c r="G66" s="208" t="s">
        <v>36</v>
      </c>
      <c r="H66" s="135">
        <v>17.329999999999998</v>
      </c>
      <c r="I66" s="135">
        <v>7</v>
      </c>
      <c r="J66" s="135">
        <v>1.69</v>
      </c>
      <c r="K66" s="135">
        <v>91.88</v>
      </c>
      <c r="L66" s="9" t="s">
        <v>36</v>
      </c>
      <c r="M66" s="135">
        <v>99.09</v>
      </c>
      <c r="N66" s="135">
        <v>32.60</v>
      </c>
      <c r="O66" s="135">
        <v>1.80</v>
      </c>
      <c r="P66" s="135">
        <v>3.40</v>
      </c>
      <c r="Q66" s="135">
        <v>13.06</v>
      </c>
      <c r="R66" s="194"/>
      <c r="S66" s="194"/>
      <c r="T66" s="194"/>
      <c r="U66" s="194"/>
    </row>
    <row r="67" spans="1:21" s="12" customFormat="1" ht="15">
      <c r="A67" s="207" t="s">
        <v>1839</v>
      </c>
      <c r="B67" s="135">
        <v>13.32</v>
      </c>
      <c r="C67" s="135">
        <v>17.14</v>
      </c>
      <c r="D67" s="135">
        <v>30.46</v>
      </c>
      <c r="E67" s="135">
        <v>9.23</v>
      </c>
      <c r="F67" s="135">
        <v>1.77</v>
      </c>
      <c r="G67" s="208" t="s">
        <v>36</v>
      </c>
      <c r="H67" s="135">
        <v>17.329999999999998</v>
      </c>
      <c r="I67" s="135">
        <v>7.11</v>
      </c>
      <c r="J67" s="135">
        <v>0.57999999999999996</v>
      </c>
      <c r="K67" s="135">
        <v>101.90</v>
      </c>
      <c r="L67" s="9" t="s">
        <v>36</v>
      </c>
      <c r="M67" s="135">
        <v>99.10</v>
      </c>
      <c r="N67" s="135">
        <v>74.400000000000006</v>
      </c>
      <c r="O67" s="135">
        <v>1</v>
      </c>
      <c r="P67" s="135">
        <v>3.38</v>
      </c>
      <c r="Q67" s="135">
        <v>14.14</v>
      </c>
      <c r="R67" s="194"/>
      <c r="S67" s="194"/>
      <c r="T67" s="194"/>
      <c r="U67" s="194"/>
    </row>
    <row r="68" spans="1:21" s="12" customFormat="1" ht="15">
      <c r="A68" s="207" t="s">
        <v>1840</v>
      </c>
      <c r="B68" s="135">
        <v>12.73</v>
      </c>
      <c r="C68" s="135">
        <v>16.20</v>
      </c>
      <c r="D68" s="135">
        <v>28.92</v>
      </c>
      <c r="E68" s="135">
        <v>8.9499999999999993</v>
      </c>
      <c r="F68" s="135">
        <v>0.95</v>
      </c>
      <c r="G68" s="208" t="s">
        <v>36</v>
      </c>
      <c r="H68" s="135">
        <v>17.329999999999998</v>
      </c>
      <c r="I68" s="135">
        <v>7.16</v>
      </c>
      <c r="J68" s="135">
        <v>0.21</v>
      </c>
      <c r="K68" s="135">
        <v>210.76</v>
      </c>
      <c r="L68" s="9" t="s">
        <v>36</v>
      </c>
      <c r="M68" s="135">
        <v>99.10</v>
      </c>
      <c r="N68" s="135">
        <v>116.70</v>
      </c>
      <c r="O68" s="135">
        <v>0.20</v>
      </c>
      <c r="P68" s="135">
        <v>3.34</v>
      </c>
      <c r="Q68" s="135">
        <v>14.74</v>
      </c>
      <c r="R68" s="194"/>
      <c r="S68" s="194"/>
      <c r="T68" s="194"/>
      <c r="U68" s="194"/>
    </row>
    <row r="69" spans="1:21" s="12" customFormat="1" ht="15">
      <c r="A69" s="207" t="s">
        <v>1841</v>
      </c>
      <c r="B69" s="135">
        <v>12.20</v>
      </c>
      <c r="C69" s="135">
        <v>15.45</v>
      </c>
      <c r="D69" s="135">
        <v>27.66</v>
      </c>
      <c r="E69" s="135">
        <v>9.11</v>
      </c>
      <c r="F69" s="135">
        <v>0.01</v>
      </c>
      <c r="G69" s="208" t="s">
        <v>36</v>
      </c>
      <c r="H69" s="135">
        <v>15.92</v>
      </c>
      <c r="I69" s="135">
        <v>7.01</v>
      </c>
      <c r="J69" s="135">
        <v>0.28000000000000003</v>
      </c>
      <c r="K69" s="135">
        <v>213.71</v>
      </c>
      <c r="L69" s="9" t="s">
        <v>36</v>
      </c>
      <c r="M69" s="135">
        <v>99.10</v>
      </c>
      <c r="N69" s="135">
        <v>90.90</v>
      </c>
      <c r="O69" s="135">
        <v>0</v>
      </c>
      <c r="P69" s="135">
        <v>3.33</v>
      </c>
      <c r="Q69" s="135">
        <v>14.73</v>
      </c>
      <c r="R69" s="194"/>
      <c r="S69" s="194"/>
      <c r="T69" s="194"/>
      <c r="U69" s="194"/>
    </row>
    <row r="70" spans="1:21" s="12" customFormat="1" ht="15">
      <c r="A70" s="207" t="s">
        <v>1842</v>
      </c>
      <c r="B70" s="135">
        <v>11.76</v>
      </c>
      <c r="C70" s="135">
        <v>14.87</v>
      </c>
      <c r="D70" s="135">
        <v>26.63</v>
      </c>
      <c r="E70" s="135">
        <v>9.1199999999999992</v>
      </c>
      <c r="F70" s="135">
        <v>0.10</v>
      </c>
      <c r="G70" s="208" t="s">
        <v>36</v>
      </c>
      <c r="H70" s="135">
        <v>12.45</v>
      </c>
      <c r="I70" s="135">
        <v>6.35</v>
      </c>
      <c r="J70" s="135">
        <v>0.28000000000000003</v>
      </c>
      <c r="K70" s="135">
        <v>197.37</v>
      </c>
      <c r="L70" s="9" t="s">
        <v>36</v>
      </c>
      <c r="M70" s="135">
        <v>99.10</v>
      </c>
      <c r="N70" s="135">
        <v>105.30</v>
      </c>
      <c r="O70" s="135">
        <v>0</v>
      </c>
      <c r="P70" s="135">
        <v>3.31</v>
      </c>
      <c r="Q70" s="135">
        <v>14.29</v>
      </c>
      <c r="R70" s="194"/>
      <c r="S70" s="194"/>
      <c r="T70" s="194"/>
      <c r="U70" s="194"/>
    </row>
    <row r="71" spans="1:21" s="12" customFormat="1" ht="15">
      <c r="A71" s="207" t="s">
        <v>1843</v>
      </c>
      <c r="B71" s="135">
        <v>11.18</v>
      </c>
      <c r="C71" s="135">
        <v>14.44</v>
      </c>
      <c r="D71" s="135">
        <v>25.61</v>
      </c>
      <c r="E71" s="135">
        <v>8.99</v>
      </c>
      <c r="F71" s="135">
        <v>0.31</v>
      </c>
      <c r="G71" s="208" t="s">
        <v>36</v>
      </c>
      <c r="H71" s="135">
        <v>12.45</v>
      </c>
      <c r="I71" s="135">
        <v>6.22</v>
      </c>
      <c r="J71" s="135">
        <v>0.33</v>
      </c>
      <c r="K71" s="135">
        <v>195.63</v>
      </c>
      <c r="L71" s="9" t="s">
        <v>36</v>
      </c>
      <c r="M71" s="135">
        <v>99.10</v>
      </c>
      <c r="N71" s="135">
        <v>320.39999999999998</v>
      </c>
      <c r="O71" s="135">
        <v>0</v>
      </c>
      <c r="P71" s="135">
        <v>3.28</v>
      </c>
      <c r="Q71" s="135">
        <v>13.94</v>
      </c>
      <c r="R71" s="194"/>
      <c r="S71" s="194"/>
      <c r="T71" s="194"/>
      <c r="U71" s="194"/>
    </row>
    <row r="72" spans="1:21" s="12" customFormat="1" ht="15">
      <c r="A72" s="207" t="s">
        <v>1844</v>
      </c>
      <c r="B72" s="135">
        <v>10.01</v>
      </c>
      <c r="C72" s="135">
        <v>14.36</v>
      </c>
      <c r="D72" s="135">
        <v>24.37</v>
      </c>
      <c r="E72" s="135">
        <v>4.1500000000000004</v>
      </c>
      <c r="F72" s="135">
        <v>0.37</v>
      </c>
      <c r="G72" s="208" t="s">
        <v>36</v>
      </c>
      <c r="H72" s="135">
        <v>12.45</v>
      </c>
      <c r="I72" s="135">
        <v>6.72</v>
      </c>
      <c r="J72" s="135">
        <v>0.26</v>
      </c>
      <c r="K72" s="135">
        <v>215.32</v>
      </c>
      <c r="L72" s="9" t="s">
        <v>36</v>
      </c>
      <c r="M72" s="135">
        <v>99.08</v>
      </c>
      <c r="N72" s="135">
        <v>141.80000000000001</v>
      </c>
      <c r="O72" s="135">
        <v>0</v>
      </c>
      <c r="P72" s="135">
        <v>3.24</v>
      </c>
      <c r="Q72" s="135">
        <v>13.18</v>
      </c>
      <c r="R72" s="194"/>
      <c r="S72" s="194"/>
      <c r="T72" s="194"/>
      <c r="U72" s="194"/>
    </row>
    <row r="73" spans="1:21" s="12" customFormat="1" ht="15">
      <c r="A73" s="207" t="s">
        <v>1845</v>
      </c>
      <c r="B73" s="135">
        <v>8.49</v>
      </c>
      <c r="C73" s="135">
        <v>14.40</v>
      </c>
      <c r="D73" s="135">
        <v>22.88</v>
      </c>
      <c r="E73" s="135">
        <v>8.4600000000000009</v>
      </c>
      <c r="F73" s="135">
        <v>0.53</v>
      </c>
      <c r="G73" s="208" t="s">
        <v>36</v>
      </c>
      <c r="H73" s="135">
        <v>13.39</v>
      </c>
      <c r="I73" s="135">
        <v>6.68</v>
      </c>
      <c r="J73" s="135">
        <v>0.73</v>
      </c>
      <c r="K73" s="135">
        <v>171.31</v>
      </c>
      <c r="L73" s="9" t="s">
        <v>36</v>
      </c>
      <c r="M73" s="135">
        <v>99.09</v>
      </c>
      <c r="N73" s="135">
        <v>74.20</v>
      </c>
      <c r="O73" s="135">
        <v>0</v>
      </c>
      <c r="P73" s="135">
        <v>3.21</v>
      </c>
      <c r="Q73" s="135">
        <v>12.40</v>
      </c>
      <c r="R73" s="194"/>
      <c r="S73" s="194"/>
      <c r="T73" s="194"/>
      <c r="U73" s="194"/>
    </row>
    <row r="74" spans="1:21" s="12" customFormat="1" ht="15">
      <c r="A74" s="207" t="s">
        <v>1846</v>
      </c>
      <c r="B74" s="135">
        <v>7.31</v>
      </c>
      <c r="C74" s="135">
        <v>14.42</v>
      </c>
      <c r="D74" s="135">
        <v>21.73</v>
      </c>
      <c r="E74" s="135">
        <v>8.58</v>
      </c>
      <c r="F74" s="135">
        <v>0.41</v>
      </c>
      <c r="G74" s="208" t="s">
        <v>36</v>
      </c>
      <c r="H74" s="135">
        <v>15.71</v>
      </c>
      <c r="I74" s="135">
        <v>6.47</v>
      </c>
      <c r="J74" s="135">
        <v>1.04</v>
      </c>
      <c r="K74" s="135">
        <v>175.71</v>
      </c>
      <c r="L74" s="9" t="s">
        <v>36</v>
      </c>
      <c r="M74" s="135">
        <v>99.09</v>
      </c>
      <c r="N74" s="135">
        <v>20.20</v>
      </c>
      <c r="O74" s="135">
        <v>0</v>
      </c>
      <c r="P74" s="135">
        <v>3.18</v>
      </c>
      <c r="Q74" s="135">
        <v>11.51</v>
      </c>
      <c r="R74" s="194"/>
      <c r="S74" s="194"/>
      <c r="T74" s="194"/>
      <c r="U74" s="194"/>
    </row>
    <row r="75" spans="1:21" s="12" customFormat="1" ht="15">
      <c r="A75" s="207" t="s">
        <v>1847</v>
      </c>
      <c r="B75" s="135">
        <v>6.36</v>
      </c>
      <c r="C75" s="135">
        <v>14.38</v>
      </c>
      <c r="D75" s="135">
        <v>20.74</v>
      </c>
      <c r="E75" s="135">
        <v>8.35</v>
      </c>
      <c r="F75" s="135">
        <v>0.28000000000000003</v>
      </c>
      <c r="G75" s="208" t="s">
        <v>36</v>
      </c>
      <c r="H75" s="135">
        <v>15.71</v>
      </c>
      <c r="I75" s="135">
        <v>6.28</v>
      </c>
      <c r="J75" s="135">
        <v>0.47</v>
      </c>
      <c r="K75" s="135">
        <v>182.39</v>
      </c>
      <c r="L75" s="9" t="s">
        <v>36</v>
      </c>
      <c r="M75" s="135">
        <v>99.10</v>
      </c>
      <c r="N75" s="135">
        <v>14.20</v>
      </c>
      <c r="O75" s="135">
        <v>0</v>
      </c>
      <c r="P75" s="135">
        <v>3.15</v>
      </c>
      <c r="Q75" s="135">
        <v>10.98</v>
      </c>
      <c r="R75" s="194"/>
      <c r="S75" s="194"/>
      <c r="T75" s="194"/>
      <c r="U75" s="194"/>
    </row>
    <row r="76" spans="1:21" s="12" customFormat="1" ht="15">
      <c r="A76" s="207" t="s">
        <v>1848</v>
      </c>
      <c r="B76" s="135">
        <v>5.80</v>
      </c>
      <c r="C76" s="135">
        <v>14.46</v>
      </c>
      <c r="D76" s="135">
        <v>20.260000000000002</v>
      </c>
      <c r="E76" s="135">
        <v>8.74</v>
      </c>
      <c r="F76" s="135">
        <v>0.38</v>
      </c>
      <c r="G76" s="208" t="s">
        <v>36</v>
      </c>
      <c r="H76" s="135">
        <v>15.71</v>
      </c>
      <c r="I76" s="135">
        <v>6.13</v>
      </c>
      <c r="J76" s="135">
        <v>0.56999999999999995</v>
      </c>
      <c r="K76" s="135">
        <v>347.95</v>
      </c>
      <c r="L76" s="9" t="s">
        <v>36</v>
      </c>
      <c r="M76" s="135">
        <v>99.10</v>
      </c>
      <c r="N76" s="135">
        <v>2.2999999999999998</v>
      </c>
      <c r="O76" s="135">
        <v>2.40</v>
      </c>
      <c r="P76" s="135">
        <v>3.13</v>
      </c>
      <c r="Q76" s="135">
        <v>10.5</v>
      </c>
      <c r="R76" s="194"/>
      <c r="S76" s="194"/>
      <c r="T76" s="194"/>
      <c r="U76" s="194"/>
    </row>
    <row r="77" spans="1:21" s="12" customFormat="1" ht="15">
      <c r="A77" s="207" t="s">
        <v>1849</v>
      </c>
      <c r="B77" s="135">
        <v>6</v>
      </c>
      <c r="C77" s="135">
        <v>15.02</v>
      </c>
      <c r="D77" s="135">
        <v>21.03</v>
      </c>
      <c r="E77" s="135">
        <v>8.4600000000000009</v>
      </c>
      <c r="F77" s="135">
        <v>0.14000000000000001</v>
      </c>
      <c r="G77" s="208" t="s">
        <v>36</v>
      </c>
      <c r="H77" s="135">
        <v>14.75</v>
      </c>
      <c r="I77" s="135">
        <v>5.97</v>
      </c>
      <c r="J77" s="135">
        <v>0.18</v>
      </c>
      <c r="K77" s="135">
        <v>349.78</v>
      </c>
      <c r="L77" s="9" t="s">
        <v>36</v>
      </c>
      <c r="M77" s="135">
        <v>99.10</v>
      </c>
      <c r="N77" s="135">
        <v>3.70</v>
      </c>
      <c r="O77" s="135">
        <v>5.20</v>
      </c>
      <c r="P77" s="135">
        <v>3.12</v>
      </c>
      <c r="Q77" s="135">
        <v>10.47</v>
      </c>
      <c r="R77" s="194"/>
      <c r="S77" s="194"/>
      <c r="T77" s="194"/>
      <c r="U77" s="194"/>
    </row>
    <row r="78" spans="1:21" s="12" customFormat="1" ht="15">
      <c r="A78" s="207" t="s">
        <v>1850</v>
      </c>
      <c r="B78" s="135">
        <v>6.12</v>
      </c>
      <c r="C78" s="135">
        <v>15.49</v>
      </c>
      <c r="D78" s="135">
        <v>21.61</v>
      </c>
      <c r="E78" s="135">
        <v>8.0299999999999994</v>
      </c>
      <c r="F78" s="135">
        <v>0.20</v>
      </c>
      <c r="G78" s="208" t="s">
        <v>36</v>
      </c>
      <c r="H78" s="135">
        <v>12.39</v>
      </c>
      <c r="I78" s="135">
        <v>5.83</v>
      </c>
      <c r="J78" s="135">
        <v>0.36</v>
      </c>
      <c r="K78" s="135">
        <v>310.44</v>
      </c>
      <c r="L78" s="9" t="s">
        <v>36</v>
      </c>
      <c r="M78" s="135">
        <v>99.10</v>
      </c>
      <c r="N78" s="135">
        <v>3.10</v>
      </c>
      <c r="O78" s="135">
        <v>3</v>
      </c>
      <c r="P78" s="135">
        <v>3.11</v>
      </c>
      <c r="Q78" s="135">
        <v>10.11</v>
      </c>
      <c r="R78" s="194"/>
      <c r="S78" s="194"/>
      <c r="T78" s="194"/>
      <c r="U78" s="194"/>
    </row>
    <row r="79" spans="1:21" s="12" customFormat="1" ht="15">
      <c r="A79" s="207" t="s">
        <v>1851</v>
      </c>
      <c r="B79" s="135">
        <v>6.30</v>
      </c>
      <c r="C79" s="135">
        <v>15.24</v>
      </c>
      <c r="D79" s="135">
        <v>21.53</v>
      </c>
      <c r="E79" s="135">
        <v>8.2899999999999991</v>
      </c>
      <c r="F79" s="135">
        <v>0.24</v>
      </c>
      <c r="G79" s="208" t="s">
        <v>36</v>
      </c>
      <c r="H79" s="135">
        <v>12.39</v>
      </c>
      <c r="I79" s="135">
        <v>5.76</v>
      </c>
      <c r="J79" s="135">
        <v>0.38</v>
      </c>
      <c r="K79" s="135">
        <v>312.45999999999998</v>
      </c>
      <c r="L79" s="9" t="s">
        <v>36</v>
      </c>
      <c r="M79" s="135">
        <v>99.10</v>
      </c>
      <c r="N79" s="135">
        <v>3.30</v>
      </c>
      <c r="O79" s="135">
        <v>2.2000000000000002</v>
      </c>
      <c r="P79" s="135">
        <v>3.11</v>
      </c>
      <c r="Q79" s="135">
        <v>9.77</v>
      </c>
      <c r="R79" s="194"/>
      <c r="S79" s="194"/>
      <c r="T79" s="194"/>
      <c r="U79" s="194"/>
    </row>
    <row r="80" spans="1:21" s="12" customFormat="1" ht="15">
      <c r="A80" s="207" t="s">
        <v>1852</v>
      </c>
      <c r="B80" s="135">
        <v>6.58</v>
      </c>
      <c r="C80" s="135">
        <v>14.84</v>
      </c>
      <c r="D80" s="135">
        <v>21.42</v>
      </c>
      <c r="E80" s="135">
        <v>8.4499999999999993</v>
      </c>
      <c r="F80" s="135">
        <v>0.20</v>
      </c>
      <c r="G80" s="208" t="s">
        <v>36</v>
      </c>
      <c r="H80" s="135">
        <v>12.39</v>
      </c>
      <c r="I80" s="135">
        <v>5.67</v>
      </c>
      <c r="J80" s="135">
        <v>0.05</v>
      </c>
      <c r="K80" s="135">
        <v>332.29</v>
      </c>
      <c r="L80" s="9" t="s">
        <v>36</v>
      </c>
      <c r="M80" s="135">
        <v>99.10</v>
      </c>
      <c r="N80" s="135">
        <v>2.70</v>
      </c>
      <c r="O80" s="135">
        <v>0.60</v>
      </c>
      <c r="P80" s="135">
        <v>3.11</v>
      </c>
      <c r="Q80" s="135">
        <v>9.59</v>
      </c>
      <c r="R80" s="194"/>
      <c r="S80" s="194"/>
      <c r="T80" s="194"/>
      <c r="U80" s="194"/>
    </row>
    <row r="81" spans="1:21" s="12" customFormat="1" ht="15">
      <c r="A81" s="207" t="s">
        <v>1853</v>
      </c>
      <c r="B81" s="135">
        <v>6.97</v>
      </c>
      <c r="C81" s="135">
        <v>14.34</v>
      </c>
      <c r="D81" s="135">
        <v>21.31</v>
      </c>
      <c r="E81" s="135">
        <v>8.25</v>
      </c>
      <c r="F81" s="135">
        <v>0.18</v>
      </c>
      <c r="G81" s="208" t="s">
        <v>36</v>
      </c>
      <c r="H81" s="135">
        <v>11.48</v>
      </c>
      <c r="I81" s="135">
        <v>5.69</v>
      </c>
      <c r="J81" s="135">
        <v>0.13</v>
      </c>
      <c r="K81" s="135">
        <v>355.87</v>
      </c>
      <c r="L81" s="9" t="s">
        <v>36</v>
      </c>
      <c r="M81" s="135">
        <v>99.10</v>
      </c>
      <c r="N81" s="135">
        <v>4.4000000000000004</v>
      </c>
      <c r="O81" s="135">
        <v>0.40</v>
      </c>
      <c r="P81" s="135">
        <v>3.11</v>
      </c>
      <c r="Q81" s="135">
        <v>9.52</v>
      </c>
      <c r="R81" s="194"/>
      <c r="S81" s="194"/>
      <c r="T81" s="194"/>
      <c r="U81" s="194"/>
    </row>
    <row r="82" spans="1:21" s="12" customFormat="1" ht="15">
      <c r="A82" s="207" t="s">
        <v>1854</v>
      </c>
      <c r="B82" s="135">
        <v>7.51</v>
      </c>
      <c r="C82" s="135">
        <v>14.07</v>
      </c>
      <c r="D82" s="135">
        <v>21.58</v>
      </c>
      <c r="E82" s="135">
        <v>9.01</v>
      </c>
      <c r="F82" s="135">
        <v>0.37</v>
      </c>
      <c r="G82" s="208" t="s">
        <v>36</v>
      </c>
      <c r="H82" s="135">
        <v>9.23</v>
      </c>
      <c r="I82" s="135">
        <v>5.70</v>
      </c>
      <c r="J82" s="135">
        <v>0.11</v>
      </c>
      <c r="K82" s="135">
        <v>351.06</v>
      </c>
      <c r="L82" s="9" t="s">
        <v>36</v>
      </c>
      <c r="M82" s="135">
        <v>99.10</v>
      </c>
      <c r="N82" s="135">
        <v>7.90</v>
      </c>
      <c r="O82" s="135">
        <v>0.20</v>
      </c>
      <c r="P82" s="135">
        <v>3.13</v>
      </c>
      <c r="Q82" s="135">
        <v>9.5</v>
      </c>
      <c r="R82" s="194"/>
      <c r="S82" s="194"/>
      <c r="T82" s="194"/>
      <c r="U82" s="194"/>
    </row>
    <row r="83" spans="1:21" s="12" customFormat="1" ht="15">
      <c r="A83" s="207" t="s">
        <v>1855</v>
      </c>
      <c r="B83" s="135">
        <v>7.97</v>
      </c>
      <c r="C83" s="135">
        <v>13.97</v>
      </c>
      <c r="D83" s="135">
        <v>21.94</v>
      </c>
      <c r="E83" s="135">
        <v>8.7100000000000009</v>
      </c>
      <c r="F83" s="135">
        <v>0.30</v>
      </c>
      <c r="G83" s="208" t="s">
        <v>36</v>
      </c>
      <c r="H83" s="135">
        <v>9.23</v>
      </c>
      <c r="I83" s="135">
        <v>5.76</v>
      </c>
      <c r="J83" s="135">
        <v>0.09</v>
      </c>
      <c r="K83" s="135">
        <v>11.53</v>
      </c>
      <c r="L83" s="9" t="s">
        <v>36</v>
      </c>
      <c r="M83" s="135">
        <v>99.10</v>
      </c>
      <c r="N83" s="135">
        <v>4.20</v>
      </c>
      <c r="O83" s="135">
        <v>0</v>
      </c>
      <c r="P83" s="135">
        <v>3.13</v>
      </c>
      <c r="Q83" s="135">
        <v>9.42</v>
      </c>
      <c r="R83" s="194"/>
      <c r="S83" s="194"/>
      <c r="T83" s="194"/>
      <c r="U83" s="194"/>
    </row>
    <row r="84" spans="1:21" s="12" customFormat="1" ht="15">
      <c r="A84" s="207" t="s">
        <v>1856</v>
      </c>
      <c r="B84" s="135">
        <v>8.3000000000000007</v>
      </c>
      <c r="C84" s="135">
        <v>14</v>
      </c>
      <c r="D84" s="135">
        <v>22.30</v>
      </c>
      <c r="E84" s="135">
        <v>9.5</v>
      </c>
      <c r="F84" s="135">
        <v>0.12</v>
      </c>
      <c r="G84" s="208" t="s">
        <v>36</v>
      </c>
      <c r="H84" s="135">
        <v>9.23</v>
      </c>
      <c r="I84" s="135">
        <v>5.82</v>
      </c>
      <c r="J84" s="135">
        <v>0.02</v>
      </c>
      <c r="K84" s="135">
        <v>261.01</v>
      </c>
      <c r="L84" s="9" t="s">
        <v>36</v>
      </c>
      <c r="M84" s="135">
        <v>99.10</v>
      </c>
      <c r="N84" s="135">
        <v>0.60</v>
      </c>
      <c r="O84" s="135">
        <v>0</v>
      </c>
      <c r="P84" s="135">
        <v>3.16</v>
      </c>
      <c r="Q84" s="135">
        <v>9.3800000000000008</v>
      </c>
      <c r="R84" s="194"/>
      <c r="S84" s="194"/>
      <c r="T84" s="194"/>
      <c r="U84" s="194"/>
    </row>
    <row r="85" spans="1:21" s="12" customFormat="1" ht="15">
      <c r="A85" s="207" t="s">
        <v>1857</v>
      </c>
      <c r="B85" s="135">
        <v>9.1300000000000008</v>
      </c>
      <c r="C85" s="135">
        <v>14.03</v>
      </c>
      <c r="D85" s="135">
        <v>23.16</v>
      </c>
      <c r="E85" s="135">
        <v>9.11</v>
      </c>
      <c r="F85" s="135">
        <v>0.11</v>
      </c>
      <c r="G85" s="208" t="s">
        <v>36</v>
      </c>
      <c r="H85" s="135">
        <v>9.18</v>
      </c>
      <c r="I85" s="135">
        <v>5.86</v>
      </c>
      <c r="J85" s="135">
        <v>0.09</v>
      </c>
      <c r="K85" s="135">
        <v>301.63</v>
      </c>
      <c r="L85" s="9" t="s">
        <v>36</v>
      </c>
      <c r="M85" s="135">
        <v>99.10</v>
      </c>
      <c r="N85" s="135">
        <v>0.40</v>
      </c>
      <c r="O85" s="135">
        <v>0</v>
      </c>
      <c r="P85" s="135">
        <v>3.19</v>
      </c>
      <c r="Q85" s="135">
        <v>9.5500000000000007</v>
      </c>
      <c r="R85" s="194"/>
      <c r="S85" s="194"/>
      <c r="T85" s="194"/>
      <c r="U85" s="194"/>
    </row>
    <row r="86" spans="1:21" s="12" customFormat="1" ht="15">
      <c r="A86" s="207" t="s">
        <v>1858</v>
      </c>
      <c r="B86" s="135">
        <v>10.67</v>
      </c>
      <c r="C86" s="135">
        <v>14.33</v>
      </c>
      <c r="D86" s="135">
        <v>25</v>
      </c>
      <c r="E86" s="135">
        <v>8.75</v>
      </c>
      <c r="F86" s="135">
        <v>0.08</v>
      </c>
      <c r="G86" s="208" t="s">
        <v>36</v>
      </c>
      <c r="H86" s="135">
        <v>9.06</v>
      </c>
      <c r="I86" s="135">
        <v>6.11</v>
      </c>
      <c r="J86" s="135">
        <v>0.11</v>
      </c>
      <c r="K86" s="135">
        <v>315.60000000000002</v>
      </c>
      <c r="L86" s="9" t="s">
        <v>36</v>
      </c>
      <c r="M86" s="135">
        <v>99.10</v>
      </c>
      <c r="N86" s="135">
        <v>0.40</v>
      </c>
      <c r="O86" s="135">
        <v>0</v>
      </c>
      <c r="P86" s="135">
        <v>3.26</v>
      </c>
      <c r="Q86" s="135">
        <v>9.90</v>
      </c>
      <c r="R86" s="194"/>
      <c r="S86" s="194"/>
      <c r="T86" s="194"/>
      <c r="U86" s="194"/>
    </row>
    <row r="87" spans="1:21" s="12" customFormat="1" ht="15">
      <c r="A87" s="207" t="s">
        <v>1859</v>
      </c>
      <c r="B87" s="135">
        <v>12.29</v>
      </c>
      <c r="C87" s="135">
        <v>15.15</v>
      </c>
      <c r="D87" s="135">
        <v>27.44</v>
      </c>
      <c r="E87" s="135">
        <v>8.91</v>
      </c>
      <c r="F87" s="135">
        <v>0.15</v>
      </c>
      <c r="G87" s="208" t="s">
        <v>36</v>
      </c>
      <c r="H87" s="135">
        <v>9.06</v>
      </c>
      <c r="I87" s="135">
        <v>6.37</v>
      </c>
      <c r="J87" s="135">
        <v>0.41</v>
      </c>
      <c r="K87" s="135">
        <v>160.30000000000001</v>
      </c>
      <c r="L87" s="9" t="s">
        <v>36</v>
      </c>
      <c r="M87" s="135">
        <v>99.10</v>
      </c>
      <c r="N87" s="135">
        <v>0.70</v>
      </c>
      <c r="O87" s="135">
        <v>0</v>
      </c>
      <c r="P87" s="135">
        <v>3.30</v>
      </c>
      <c r="Q87" s="135">
        <v>10.42</v>
      </c>
      <c r="R87" s="194"/>
      <c r="S87" s="194"/>
      <c r="T87" s="194"/>
      <c r="U87" s="194"/>
    </row>
    <row r="88" spans="1:21" s="12" customFormat="1" ht="15">
      <c r="A88" s="207" t="s">
        <v>1860</v>
      </c>
      <c r="B88" s="135">
        <v>12.48</v>
      </c>
      <c r="C88" s="135">
        <v>15.66</v>
      </c>
      <c r="D88" s="135">
        <v>28.14</v>
      </c>
      <c r="E88" s="135">
        <v>3.65</v>
      </c>
      <c r="F88" s="135">
        <v>0.03</v>
      </c>
      <c r="G88" s="208" t="s">
        <v>36</v>
      </c>
      <c r="H88" s="135">
        <v>9.06</v>
      </c>
      <c r="I88" s="135">
        <v>6.58</v>
      </c>
      <c r="J88" s="135">
        <v>0.45</v>
      </c>
      <c r="K88" s="135">
        <v>132.63999999999999</v>
      </c>
      <c r="L88" s="9" t="s">
        <v>36</v>
      </c>
      <c r="M88" s="135">
        <v>99.10</v>
      </c>
      <c r="N88" s="135">
        <v>0.70</v>
      </c>
      <c r="O88" s="135">
        <v>0</v>
      </c>
      <c r="P88" s="135">
        <v>3.30</v>
      </c>
      <c r="Q88" s="135">
        <v>10.51</v>
      </c>
      <c r="R88" s="194"/>
      <c r="S88" s="194"/>
      <c r="T88" s="194"/>
      <c r="U88" s="194"/>
    </row>
    <row r="89" spans="1:21" s="12" customFormat="1" ht="15">
      <c r="A89" s="207" t="s">
        <v>1861</v>
      </c>
      <c r="B89" s="135">
        <v>12.45</v>
      </c>
      <c r="C89" s="135">
        <v>16</v>
      </c>
      <c r="D89" s="135">
        <v>28.45</v>
      </c>
      <c r="E89" s="135">
        <v>7.07</v>
      </c>
      <c r="F89" s="135">
        <v>0.08</v>
      </c>
      <c r="G89" s="208" t="s">
        <v>36</v>
      </c>
      <c r="H89" s="135">
        <v>9.08</v>
      </c>
      <c r="I89" s="135">
        <v>6.92</v>
      </c>
      <c r="J89" s="135">
        <v>0.45</v>
      </c>
      <c r="K89" s="135">
        <v>80.80</v>
      </c>
      <c r="L89" s="9" t="s">
        <v>36</v>
      </c>
      <c r="M89" s="135">
        <v>99.10</v>
      </c>
      <c r="N89" s="135">
        <v>0.80</v>
      </c>
      <c r="O89" s="135">
        <v>0</v>
      </c>
      <c r="P89" s="135">
        <v>3.30</v>
      </c>
      <c r="Q89" s="135">
        <v>10.55</v>
      </c>
      <c r="R89" s="194"/>
      <c r="S89" s="194"/>
      <c r="T89" s="194"/>
      <c r="U89" s="194"/>
    </row>
    <row r="90" spans="1:21" s="12" customFormat="1" ht="15">
      <c r="A90" s="207" t="s">
        <v>1862</v>
      </c>
      <c r="B90" s="135">
        <v>12.40</v>
      </c>
      <c r="C90" s="135">
        <v>15.97</v>
      </c>
      <c r="D90" s="135">
        <v>28.37</v>
      </c>
      <c r="E90" s="135">
        <v>7.10</v>
      </c>
      <c r="F90" s="135">
        <v>0.070000000000000007</v>
      </c>
      <c r="G90" s="208" t="s">
        <v>36</v>
      </c>
      <c r="H90" s="135">
        <v>9.1300000000000008</v>
      </c>
      <c r="I90" s="135">
        <v>7.06</v>
      </c>
      <c r="J90" s="135">
        <v>0.19</v>
      </c>
      <c r="K90" s="135">
        <v>87.81</v>
      </c>
      <c r="L90" s="9" t="s">
        <v>36</v>
      </c>
      <c r="M90" s="135">
        <v>99.10</v>
      </c>
      <c r="N90" s="135">
        <v>0.60</v>
      </c>
      <c r="O90" s="135">
        <v>0</v>
      </c>
      <c r="P90" s="135">
        <v>3.30</v>
      </c>
      <c r="Q90" s="135">
        <v>10.40</v>
      </c>
      <c r="R90" s="194"/>
      <c r="S90" s="194"/>
      <c r="T90" s="194"/>
      <c r="U90" s="194"/>
    </row>
    <row r="91" spans="1:21" s="12" customFormat="1" ht="15">
      <c r="A91" s="207" t="s">
        <v>1863</v>
      </c>
      <c r="B91" s="135">
        <v>12.73</v>
      </c>
      <c r="C91" s="135">
        <v>15.89</v>
      </c>
      <c r="D91" s="135">
        <v>28.62</v>
      </c>
      <c r="E91" s="135">
        <v>7.41</v>
      </c>
      <c r="F91" s="135">
        <v>0.14000000000000001</v>
      </c>
      <c r="G91" s="208" t="s">
        <v>36</v>
      </c>
      <c r="H91" s="135">
        <v>9.1300000000000008</v>
      </c>
      <c r="I91" s="135">
        <v>7.14</v>
      </c>
      <c r="J91" s="135">
        <v>0.79</v>
      </c>
      <c r="K91" s="135">
        <v>151.88999999999999</v>
      </c>
      <c r="L91" s="9" t="s">
        <v>36</v>
      </c>
      <c r="M91" s="135">
        <v>99.10</v>
      </c>
      <c r="N91" s="135">
        <v>0.80</v>
      </c>
      <c r="O91" s="135">
        <v>0</v>
      </c>
      <c r="P91" s="135">
        <v>3.31</v>
      </c>
      <c r="Q91" s="135">
        <v>10.39</v>
      </c>
      <c r="R91" s="194"/>
      <c r="S91" s="194"/>
      <c r="T91" s="194"/>
      <c r="U91" s="194"/>
    </row>
    <row r="92" spans="1:21" s="12" customFormat="1" ht="15">
      <c r="A92" s="207" t="s">
        <v>1864</v>
      </c>
      <c r="B92" s="135">
        <v>12.43</v>
      </c>
      <c r="C92" s="135">
        <v>15.45</v>
      </c>
      <c r="D92" s="135">
        <v>27.87</v>
      </c>
      <c r="E92" s="135">
        <v>6.70</v>
      </c>
      <c r="F92" s="135">
        <v>0.16</v>
      </c>
      <c r="G92" s="208" t="s">
        <v>36</v>
      </c>
      <c r="H92" s="135">
        <v>9.1300000000000008</v>
      </c>
      <c r="I92" s="135">
        <v>7.04</v>
      </c>
      <c r="J92" s="135">
        <v>0.35</v>
      </c>
      <c r="K92" s="135">
        <v>69.83</v>
      </c>
      <c r="L92" s="9" t="s">
        <v>36</v>
      </c>
      <c r="M92" s="135">
        <v>99.10</v>
      </c>
      <c r="N92" s="135">
        <v>0.70</v>
      </c>
      <c r="O92" s="135">
        <v>0</v>
      </c>
      <c r="P92" s="135">
        <v>3.31</v>
      </c>
      <c r="Q92" s="135">
        <v>10.210000000000001</v>
      </c>
      <c r="R92" s="194"/>
      <c r="S92" s="194"/>
      <c r="T92" s="194"/>
      <c r="U92" s="194"/>
    </row>
    <row r="93" spans="1:21" s="12" customFormat="1" ht="15">
      <c r="A93" s="207" t="s">
        <v>1865</v>
      </c>
      <c r="B93" s="135">
        <v>12.37</v>
      </c>
      <c r="C93" s="135">
        <v>14.62</v>
      </c>
      <c r="D93" s="135">
        <v>26.99</v>
      </c>
      <c r="E93" s="135">
        <v>7.11</v>
      </c>
      <c r="F93" s="135">
        <v>0.04</v>
      </c>
      <c r="G93" s="208" t="s">
        <v>36</v>
      </c>
      <c r="H93" s="135">
        <v>9.2899999999999991</v>
      </c>
      <c r="I93" s="135">
        <v>7.04</v>
      </c>
      <c r="J93" s="135">
        <v>0.51</v>
      </c>
      <c r="K93" s="135">
        <v>100.40</v>
      </c>
      <c r="L93" s="9" t="s">
        <v>36</v>
      </c>
      <c r="M93" s="135">
        <v>99.10</v>
      </c>
      <c r="N93" s="135">
        <v>0.80</v>
      </c>
      <c r="O93" s="135">
        <v>0</v>
      </c>
      <c r="P93" s="135">
        <v>3.31</v>
      </c>
      <c r="Q93" s="135">
        <v>10.23</v>
      </c>
      <c r="R93" s="194"/>
      <c r="S93" s="194"/>
      <c r="T93" s="194"/>
      <c r="U93" s="194"/>
    </row>
    <row r="94" spans="1:21" s="12" customFormat="1" ht="15">
      <c r="A94" s="207" t="s">
        <v>1866</v>
      </c>
      <c r="B94" s="135">
        <v>12.32</v>
      </c>
      <c r="C94" s="135">
        <v>13.72</v>
      </c>
      <c r="D94" s="135">
        <v>26.04</v>
      </c>
      <c r="E94" s="135">
        <v>7.69</v>
      </c>
      <c r="F94" s="135">
        <v>0.02</v>
      </c>
      <c r="G94" s="208" t="s">
        <v>36</v>
      </c>
      <c r="H94" s="135">
        <v>9.67</v>
      </c>
      <c r="I94" s="135">
        <v>6.74</v>
      </c>
      <c r="J94" s="135">
        <v>0.21</v>
      </c>
      <c r="K94" s="135">
        <v>87.22</v>
      </c>
      <c r="L94" s="9" t="s">
        <v>36</v>
      </c>
      <c r="M94" s="135">
        <v>99.10</v>
      </c>
      <c r="N94" s="135">
        <v>0.60</v>
      </c>
      <c r="O94" s="135">
        <v>0</v>
      </c>
      <c r="P94" s="135">
        <v>3.29</v>
      </c>
      <c r="Q94" s="135">
        <v>10.23</v>
      </c>
      <c r="R94" s="194"/>
      <c r="S94" s="194"/>
      <c r="T94" s="194"/>
      <c r="U94" s="194"/>
    </row>
    <row r="95" spans="1:21" s="12" customFormat="1" ht="15">
      <c r="A95" s="207" t="s">
        <v>1867</v>
      </c>
      <c r="B95" s="135">
        <v>12.31</v>
      </c>
      <c r="C95" s="135">
        <v>13.20</v>
      </c>
      <c r="D95" s="135">
        <v>25.51</v>
      </c>
      <c r="E95" s="135">
        <v>7.56</v>
      </c>
      <c r="F95" s="135">
        <v>0.04</v>
      </c>
      <c r="G95" s="208" t="s">
        <v>36</v>
      </c>
      <c r="H95" s="135">
        <v>9.67</v>
      </c>
      <c r="I95" s="135">
        <v>6.68</v>
      </c>
      <c r="J95" s="135">
        <v>0.42</v>
      </c>
      <c r="K95" s="135">
        <v>87.39</v>
      </c>
      <c r="L95" s="9" t="s">
        <v>36</v>
      </c>
      <c r="M95" s="135">
        <v>99.10</v>
      </c>
      <c r="N95" s="135">
        <v>0.80</v>
      </c>
      <c r="O95" s="135">
        <v>0</v>
      </c>
      <c r="P95" s="135">
        <v>3.29</v>
      </c>
      <c r="Q95" s="135">
        <v>10.25</v>
      </c>
      <c r="R95" s="194"/>
      <c r="S95" s="194"/>
      <c r="T95" s="194"/>
      <c r="U95" s="194"/>
    </row>
    <row r="96" spans="1:26" s="12" customFormat="1" ht="15">
      <c r="A96" s="207" t="s">
        <v>1868</v>
      </c>
      <c r="B96" s="135">
        <v>12.36</v>
      </c>
      <c r="C96" s="135">
        <v>12.74</v>
      </c>
      <c r="D96" s="135">
        <v>25.11</v>
      </c>
      <c r="E96" s="135">
        <v>7.65</v>
      </c>
      <c r="F96" s="135">
        <v>0.17</v>
      </c>
      <c r="G96" s="208" t="s">
        <v>36</v>
      </c>
      <c r="H96" s="135">
        <v>9.67</v>
      </c>
      <c r="I96" s="135">
        <v>6.42</v>
      </c>
      <c r="J96" s="135">
        <v>0.57999999999999996</v>
      </c>
      <c r="K96" s="135">
        <v>88.19</v>
      </c>
      <c r="L96" s="9" t="s">
        <v>36</v>
      </c>
      <c r="M96" s="135">
        <v>99.10</v>
      </c>
      <c r="N96" s="135">
        <v>0.90</v>
      </c>
      <c r="O96" s="135">
        <v>0</v>
      </c>
      <c r="P96" s="135">
        <v>3.29</v>
      </c>
      <c r="Q96" s="135">
        <v>10.40</v>
      </c>
      <c r="R96" s="194"/>
      <c r="S96" s="194"/>
      <c r="T96" s="194"/>
      <c r="U96" s="194"/>
      <c r="Z96" s="105"/>
    </row>
    <row r="97" spans="1:21" s="12" customFormat="1" ht="15">
      <c r="A97" s="207" t="s">
        <v>1869</v>
      </c>
      <c r="B97" s="135">
        <v>12.37</v>
      </c>
      <c r="C97" s="135">
        <v>12.39</v>
      </c>
      <c r="D97" s="135">
        <v>24.76</v>
      </c>
      <c r="E97" s="135">
        <v>8.06</v>
      </c>
      <c r="F97" s="135">
        <v>0.14000000000000001</v>
      </c>
      <c r="G97" s="208" t="s">
        <v>36</v>
      </c>
      <c r="H97" s="135">
        <v>9.56</v>
      </c>
      <c r="I97" s="135">
        <v>6.58</v>
      </c>
      <c r="J97" s="135">
        <v>1.17</v>
      </c>
      <c r="K97" s="135">
        <v>98.55</v>
      </c>
      <c r="L97" s="9" t="s">
        <v>36</v>
      </c>
      <c r="M97" s="135">
        <v>99.10</v>
      </c>
      <c r="N97" s="135">
        <v>0.70</v>
      </c>
      <c r="O97" s="135">
        <v>0</v>
      </c>
      <c r="P97" s="135">
        <v>3.28</v>
      </c>
      <c r="Q97" s="135">
        <v>10.64</v>
      </c>
      <c r="R97" s="194"/>
      <c r="S97" s="194"/>
      <c r="T97" s="194"/>
      <c r="U97" s="194"/>
    </row>
    <row r="98" spans="1:21" s="12" customFormat="1" ht="15">
      <c r="A98" s="207" t="s">
        <v>1870</v>
      </c>
      <c r="B98" s="135">
        <v>12.40</v>
      </c>
      <c r="C98" s="135">
        <v>12.05</v>
      </c>
      <c r="D98" s="135">
        <v>24.45</v>
      </c>
      <c r="E98" s="135">
        <v>8.32</v>
      </c>
      <c r="F98" s="135">
        <v>0.14000000000000001</v>
      </c>
      <c r="G98" s="208" t="s">
        <v>36</v>
      </c>
      <c r="H98" s="135">
        <v>9.2899999999999991</v>
      </c>
      <c r="I98" s="135">
        <v>6.77</v>
      </c>
      <c r="J98" s="135">
        <v>0.47</v>
      </c>
      <c r="K98" s="135">
        <v>99.45</v>
      </c>
      <c r="L98" s="9" t="s">
        <v>36</v>
      </c>
      <c r="M98" s="135">
        <v>99.10</v>
      </c>
      <c r="N98" s="135">
        <v>0.40</v>
      </c>
      <c r="O98" s="135">
        <v>0</v>
      </c>
      <c r="P98" s="135">
        <v>3.28</v>
      </c>
      <c r="Q98" s="135">
        <v>11.01</v>
      </c>
      <c r="R98" s="194"/>
      <c r="S98" s="194"/>
      <c r="T98" s="194"/>
      <c r="U98" s="194"/>
    </row>
    <row r="99" spans="1:21" s="12" customFormat="1" ht="15">
      <c r="A99" s="207" t="s">
        <v>1871</v>
      </c>
      <c r="B99" s="135">
        <v>12.37</v>
      </c>
      <c r="C99" s="135">
        <v>11.88</v>
      </c>
      <c r="D99" s="135">
        <v>24.25</v>
      </c>
      <c r="E99" s="135">
        <v>8.42</v>
      </c>
      <c r="F99" s="135">
        <v>0.24</v>
      </c>
      <c r="G99" s="208" t="s">
        <v>36</v>
      </c>
      <c r="H99" s="135">
        <v>9.2899999999999991</v>
      </c>
      <c r="I99" s="135">
        <v>6.99</v>
      </c>
      <c r="J99" s="135">
        <v>1.05</v>
      </c>
      <c r="K99" s="135">
        <v>95.45</v>
      </c>
      <c r="L99" s="9" t="s">
        <v>36</v>
      </c>
      <c r="M99" s="135">
        <v>99.10</v>
      </c>
      <c r="N99" s="135">
        <v>0.20</v>
      </c>
      <c r="O99" s="135">
        <v>0</v>
      </c>
      <c r="P99" s="135">
        <v>3.28</v>
      </c>
      <c r="Q99" s="135">
        <v>11.31</v>
      </c>
      <c r="R99" s="194"/>
      <c r="S99" s="194"/>
      <c r="T99" s="194"/>
      <c r="U99" s="194"/>
    </row>
    <row r="100" spans="1:33" s="12" customFormat="1" ht="15">
      <c r="A100" s="207" t="s">
        <v>1872</v>
      </c>
      <c r="B100" s="135">
        <v>12.14</v>
      </c>
      <c r="C100" s="135">
        <v>12.04</v>
      </c>
      <c r="D100" s="135">
        <v>24.18</v>
      </c>
      <c r="E100" s="135">
        <v>9.17</v>
      </c>
      <c r="F100" s="135">
        <v>0.18</v>
      </c>
      <c r="G100" s="208" t="s">
        <v>36</v>
      </c>
      <c r="H100" s="135">
        <v>9.2899999999999991</v>
      </c>
      <c r="I100" s="135">
        <v>7.25</v>
      </c>
      <c r="J100" s="135">
        <v>0.88</v>
      </c>
      <c r="K100" s="135">
        <v>92.59</v>
      </c>
      <c r="L100" s="9" t="s">
        <v>36</v>
      </c>
      <c r="M100" s="135">
        <v>99.10</v>
      </c>
      <c r="N100" s="135">
        <v>0.30</v>
      </c>
      <c r="O100" s="135">
        <v>0</v>
      </c>
      <c r="P100" s="135">
        <v>3.25</v>
      </c>
      <c r="Q100" s="135">
        <v>11.41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1873</v>
      </c>
      <c r="B101" s="135">
        <v>11.70</v>
      </c>
      <c r="C101" s="135">
        <v>12.58</v>
      </c>
      <c r="D101" s="135">
        <v>24.27</v>
      </c>
      <c r="E101" s="135">
        <v>8.34</v>
      </c>
      <c r="F101" s="135">
        <v>0.15</v>
      </c>
      <c r="G101" s="208" t="s">
        <v>36</v>
      </c>
      <c r="H101" s="135">
        <v>8.73</v>
      </c>
      <c r="I101" s="135">
        <v>7.17</v>
      </c>
      <c r="J101" s="135">
        <v>0.47</v>
      </c>
      <c r="K101" s="135">
        <v>82.85</v>
      </c>
      <c r="L101" s="9" t="s">
        <v>36</v>
      </c>
      <c r="M101" s="135">
        <v>99.10</v>
      </c>
      <c r="N101" s="135">
        <v>0.40</v>
      </c>
      <c r="O101" s="135">
        <v>0</v>
      </c>
      <c r="P101" s="135">
        <v>3.23</v>
      </c>
      <c r="Q101" s="135">
        <v>11.29</v>
      </c>
      <c r="R101" s="194"/>
      <c r="S101" s="194"/>
      <c r="T101" s="194"/>
      <c r="U101" s="194"/>
    </row>
    <row r="102" spans="1:21" s="12" customFormat="1" ht="15">
      <c r="A102" s="207" t="s">
        <v>1874</v>
      </c>
      <c r="B102" s="135">
        <v>11.52</v>
      </c>
      <c r="C102" s="135">
        <v>13.39</v>
      </c>
      <c r="D102" s="135">
        <v>24.91</v>
      </c>
      <c r="E102" s="135">
        <v>8.61</v>
      </c>
      <c r="F102" s="135">
        <v>0.09</v>
      </c>
      <c r="G102" s="208" t="s">
        <v>36</v>
      </c>
      <c r="H102" s="135">
        <v>7.33</v>
      </c>
      <c r="I102" s="135">
        <v>7.23</v>
      </c>
      <c r="J102" s="135">
        <v>0.83</v>
      </c>
      <c r="K102" s="135">
        <v>83.92</v>
      </c>
      <c r="L102" s="9" t="s">
        <v>36</v>
      </c>
      <c r="M102" s="135">
        <v>99.09</v>
      </c>
      <c r="N102" s="135">
        <v>0.80</v>
      </c>
      <c r="O102" s="135">
        <v>0</v>
      </c>
      <c r="P102" s="135">
        <v>3.21</v>
      </c>
      <c r="Q102" s="135">
        <v>11.39</v>
      </c>
      <c r="R102" s="194"/>
      <c r="S102" s="194"/>
      <c r="T102" s="194"/>
      <c r="U102" s="194"/>
    </row>
    <row r="103" spans="1:21" s="12" customFormat="1" ht="15">
      <c r="A103" s="207" t="s">
        <v>1875</v>
      </c>
      <c r="B103" s="135">
        <v>11.28</v>
      </c>
      <c r="C103" s="135">
        <v>13.65</v>
      </c>
      <c r="D103" s="135">
        <v>24.92</v>
      </c>
      <c r="E103" s="135">
        <v>8.11</v>
      </c>
      <c r="F103" s="135">
        <v>0.12</v>
      </c>
      <c r="G103" s="208" t="s">
        <v>36</v>
      </c>
      <c r="H103" s="135">
        <v>7.33</v>
      </c>
      <c r="I103" s="135">
        <v>7.06</v>
      </c>
      <c r="J103" s="135">
        <v>0.25</v>
      </c>
      <c r="K103" s="135">
        <v>191.5</v>
      </c>
      <c r="L103" s="9" t="s">
        <v>36</v>
      </c>
      <c r="M103" s="135">
        <v>99.10</v>
      </c>
      <c r="N103" s="135">
        <v>0.80</v>
      </c>
      <c r="O103" s="135">
        <v>0</v>
      </c>
      <c r="P103" s="135">
        <v>3.19</v>
      </c>
      <c r="Q103" s="135">
        <v>11.09</v>
      </c>
      <c r="R103" s="194"/>
      <c r="S103" s="194"/>
      <c r="T103" s="194"/>
      <c r="U103" s="194"/>
    </row>
    <row r="104" spans="1:21" s="12" customFormat="1" ht="15">
      <c r="A104" s="209" t="s">
        <v>1876</v>
      </c>
      <c r="B104" s="210">
        <v>10.98</v>
      </c>
      <c r="C104" s="210">
        <v>13.63</v>
      </c>
      <c r="D104" s="210">
        <v>24.61</v>
      </c>
      <c r="E104" s="210">
        <v>3.78</v>
      </c>
      <c r="F104" s="210">
        <v>0.22</v>
      </c>
      <c r="G104" s="211" t="s">
        <v>36</v>
      </c>
      <c r="H104" s="210">
        <v>7.33</v>
      </c>
      <c r="I104" s="210">
        <v>6.94</v>
      </c>
      <c r="J104" s="210">
        <v>0.28999999999999998</v>
      </c>
      <c r="K104" s="210">
        <v>107.70</v>
      </c>
      <c r="L104" s="9" t="s">
        <v>36</v>
      </c>
      <c r="M104" s="210">
        <v>99.10</v>
      </c>
      <c r="N104" s="210">
        <v>0.70</v>
      </c>
      <c r="O104" s="210">
        <v>0</v>
      </c>
      <c r="P104" s="210">
        <v>3.16</v>
      </c>
      <c r="Q104" s="210">
        <v>10.73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1.3799999999999999</v>
      </c>
      <c r="C106" s="67">
        <f>MIN(C9:C104)</f>
        <v>9.2799999999999994</v>
      </c>
      <c r="D106" s="67">
        <f t="shared" si="0" ref="D106:Q106">MIN(D9:D104)</f>
        <v>11.140000000000001</v>
      </c>
      <c r="E106" s="67">
        <f t="shared" si="0"/>
        <v>3.6499999999999999</v>
      </c>
      <c r="F106" s="67">
        <f t="shared" si="0"/>
        <v>0.01</v>
      </c>
      <c r="G106" s="67">
        <f t="shared" si="0"/>
        <v>0</v>
      </c>
      <c r="H106" s="67">
        <f t="shared" si="0"/>
        <v>7.3300000000000001</v>
      </c>
      <c r="I106" s="67">
        <f t="shared" si="0"/>
        <v>3.6400000000000001</v>
      </c>
      <c r="J106" s="67">
        <f t="shared" si="0"/>
        <v>0.01</v>
      </c>
      <c r="K106" s="67">
        <f t="shared" si="0"/>
        <v>11.33</v>
      </c>
      <c r="L106" s="67">
        <f t="shared" si="0"/>
        <v>0</v>
      </c>
      <c r="M106" s="67">
        <f t="shared" si="0"/>
        <v>90.870000000000005</v>
      </c>
      <c r="N106" s="67">
        <f t="shared" si="0"/>
        <v>0.20000000000000001</v>
      </c>
      <c r="O106" s="67">
        <f t="shared" si="0"/>
        <v>0</v>
      </c>
      <c r="P106" s="67">
        <f t="shared" si="0"/>
        <v>2.6699999999999999</v>
      </c>
      <c r="Q106" s="67">
        <f t="shared" si="0"/>
        <v>4.21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19.120000000000001</v>
      </c>
      <c r="C107" s="66">
        <f t="shared" si="1" ref="C107:Q107">MAX(C9:C104)</f>
        <v>20.809999999999999</v>
      </c>
      <c r="D107" s="66">
        <f t="shared" si="1"/>
        <v>36.520000000000003</v>
      </c>
      <c r="E107" s="66">
        <f t="shared" si="1"/>
        <v>9.5</v>
      </c>
      <c r="F107" s="66">
        <f t="shared" si="1"/>
        <v>1.77</v>
      </c>
      <c r="G107" s="66">
        <f t="shared" si="1"/>
        <v>0</v>
      </c>
      <c r="H107" s="66">
        <f t="shared" si="1"/>
        <v>20.289999999999999</v>
      </c>
      <c r="I107" s="66">
        <f t="shared" si="1"/>
        <v>7.25</v>
      </c>
      <c r="J107" s="66">
        <f t="shared" si="1"/>
        <v>1.75</v>
      </c>
      <c r="K107" s="66">
        <f t="shared" si="1"/>
        <v>357.18000000000001</v>
      </c>
      <c r="L107" s="66">
        <f t="shared" si="1"/>
        <v>0</v>
      </c>
      <c r="M107" s="66">
        <f t="shared" si="1"/>
        <v>99.099999999999994</v>
      </c>
      <c r="N107" s="66">
        <f t="shared" si="1"/>
        <v>362.30000000000001</v>
      </c>
      <c r="O107" s="66">
        <f t="shared" si="1"/>
        <v>5.2000000000000002</v>
      </c>
      <c r="P107" s="66">
        <f t="shared" si="1"/>
        <v>3.4100000000000001</v>
      </c>
      <c r="Q107" s="66">
        <f t="shared" si="1"/>
        <v>14.74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8.7859374999999993</v>
      </c>
      <c r="C108" s="67">
        <f t="shared" si="2" ref="C108:Q108">AVERAGE(C9:C104)</f>
        <v>12.980208333333339</v>
      </c>
      <c r="D108" s="67">
        <f t="shared" si="2"/>
        <v>21.765520833333337</v>
      </c>
      <c r="E108" s="67">
        <f t="shared" si="2"/>
        <v>7.5637499999999989</v>
      </c>
      <c r="F108" s="67">
        <f t="shared" si="2"/>
        <v>0.27500000000000002</v>
      </c>
      <c r="G108" s="67" t="e">
        <f t="shared" si="2"/>
        <v>#DIV/0!</v>
      </c>
      <c r="H108" s="67">
        <f t="shared" si="2"/>
        <v>12.009583333333333</v>
      </c>
      <c r="I108" s="67">
        <f t="shared" si="2"/>
        <v>5.4361458333333355</v>
      </c>
      <c r="J108" s="67">
        <f t="shared" si="2"/>
        <v>0.46458333333333357</v>
      </c>
      <c r="K108" s="67">
        <f t="shared" si="2"/>
        <v>225.11260416666661</v>
      </c>
      <c r="L108" s="67" t="e">
        <f t="shared" si="2"/>
        <v>#DIV/0!</v>
      </c>
      <c r="M108" s="67">
        <f t="shared" si="2"/>
        <v>98.550520833333451</v>
      </c>
      <c r="N108" s="67">
        <f t="shared" si="2"/>
        <v>39.611458333333331</v>
      </c>
      <c r="O108" s="67">
        <f t="shared" si="2"/>
        <v>0.40833333333333338</v>
      </c>
      <c r="P108" s="67">
        <f t="shared" si="2"/>
        <v>3.0406250000000017</v>
      </c>
      <c r="Q108" s="67">
        <f t="shared" si="2"/>
        <v>8.6324999999999967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5.3976822663699116</v>
      </c>
      <c r="C109" s="67">
        <f t="shared" si="3" ref="C109:Q109">STDEV(C9:C104)</f>
        <v>2.7427316307370404</v>
      </c>
      <c r="D109" s="67">
        <f t="shared" si="3"/>
        <v>7.5164640160666325</v>
      </c>
      <c r="E109" s="67">
        <f t="shared" si="3"/>
        <v>1.5417599307967944</v>
      </c>
      <c r="F109" s="67">
        <f t="shared" si="3"/>
        <v>0.32493238162974591</v>
      </c>
      <c r="G109" s="67" t="e">
        <f t="shared" si="3"/>
        <v>#DIV/0!</v>
      </c>
      <c r="H109" s="67">
        <f t="shared" si="3"/>
        <v>3.559729415106156</v>
      </c>
      <c r="I109" s="67">
        <f t="shared" si="3"/>
        <v>1.2172776959408484</v>
      </c>
      <c r="J109" s="67">
        <f t="shared" si="3"/>
        <v>0.38654179774444641</v>
      </c>
      <c r="K109" s="67">
        <f t="shared" si="3"/>
        <v>110.45932006847147</v>
      </c>
      <c r="L109" s="67" t="e">
        <f t="shared" si="3"/>
        <v>#DIV/0!</v>
      </c>
      <c r="M109" s="67">
        <f t="shared" si="3"/>
        <v>1.7267172198875309</v>
      </c>
      <c r="N109" s="67">
        <f t="shared" si="3"/>
        <v>74.345940843842598</v>
      </c>
      <c r="O109" s="67">
        <f t="shared" si="3"/>
        <v>0.85294124764242962</v>
      </c>
      <c r="P109" s="67">
        <f t="shared" si="3"/>
        <v>0.24563906983942707</v>
      </c>
      <c r="Q109" s="67">
        <f t="shared" si="3"/>
        <v>3.2358703376534366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4bc9ecf-b89c-42eb-8e89-ae20c09a92b5}">
  <sheetPr codeName=""/>
  <dimension ref="A1:AG117"/>
  <sheetViews>
    <sheetView workbookViewId="0" topLeftCell="A1">
      <pane xSplit="1" ySplit="8" topLeftCell="B96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B110" sqref="B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18-07-2022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1877</v>
      </c>
      <c r="B9" s="135">
        <v>10.39</v>
      </c>
      <c r="C9" s="135">
        <v>13.23</v>
      </c>
      <c r="D9" s="135">
        <v>23.62</v>
      </c>
      <c r="E9" s="135">
        <v>7.81</v>
      </c>
      <c r="F9" s="135">
        <v>0.14000000000000001</v>
      </c>
      <c r="G9" s="208" t="s">
        <v>36</v>
      </c>
      <c r="H9" s="135">
        <v>7.74</v>
      </c>
      <c r="I9" s="135">
        <v>6.79</v>
      </c>
      <c r="J9" s="135">
        <v>0.79</v>
      </c>
      <c r="K9" s="135">
        <v>168.14</v>
      </c>
      <c r="L9" s="10" t="s">
        <v>43</v>
      </c>
      <c r="M9" s="135">
        <v>99.08</v>
      </c>
      <c r="N9" s="135">
        <v>1</v>
      </c>
      <c r="O9" s="135">
        <v>0</v>
      </c>
      <c r="P9" s="135">
        <v>3.13</v>
      </c>
      <c r="Q9" s="135">
        <v>10.30</v>
      </c>
      <c r="R9" s="194"/>
      <c r="S9" s="194"/>
      <c r="T9" s="194"/>
      <c r="U9" s="194"/>
    </row>
    <row r="10" spans="1:21" s="12" customFormat="1" ht="15">
      <c r="A10" s="207" t="s">
        <v>1878</v>
      </c>
      <c r="B10" s="135">
        <v>9.52</v>
      </c>
      <c r="C10" s="135">
        <v>12.98</v>
      </c>
      <c r="D10" s="135">
        <v>22.5</v>
      </c>
      <c r="E10" s="135">
        <v>8.42</v>
      </c>
      <c r="F10" s="135">
        <v>0.03</v>
      </c>
      <c r="G10" s="208" t="s">
        <v>36</v>
      </c>
      <c r="H10" s="135">
        <v>8.74</v>
      </c>
      <c r="I10" s="135">
        <v>6.62</v>
      </c>
      <c r="J10" s="135">
        <v>1.1599999999999999</v>
      </c>
      <c r="K10" s="135">
        <v>162.80000000000001</v>
      </c>
      <c r="L10" s="10" t="s">
        <v>43</v>
      </c>
      <c r="M10" s="135">
        <v>99.03</v>
      </c>
      <c r="N10" s="135">
        <v>1.1000000000000001</v>
      </c>
      <c r="O10" s="135">
        <v>0</v>
      </c>
      <c r="P10" s="135">
        <v>3.11</v>
      </c>
      <c r="Q10" s="135">
        <v>9.8800000000000008</v>
      </c>
      <c r="R10" s="194"/>
      <c r="S10" s="194"/>
      <c r="T10" s="194"/>
      <c r="U10" s="194"/>
    </row>
    <row r="11" spans="1:21" s="12" customFormat="1" ht="15">
      <c r="A11" s="207" t="s">
        <v>1879</v>
      </c>
      <c r="B11" s="135">
        <v>8.98</v>
      </c>
      <c r="C11" s="135">
        <v>12.53</v>
      </c>
      <c r="D11" s="135">
        <v>21.52</v>
      </c>
      <c r="E11" s="135">
        <v>9.0299999999999994</v>
      </c>
      <c r="F11" s="135">
        <v>0.10</v>
      </c>
      <c r="G11" s="208" t="s">
        <v>36</v>
      </c>
      <c r="H11" s="135">
        <v>8.74</v>
      </c>
      <c r="I11" s="135">
        <v>6.48</v>
      </c>
      <c r="J11" s="135">
        <v>0.83</v>
      </c>
      <c r="K11" s="135">
        <v>160.84</v>
      </c>
      <c r="L11" s="10" t="s">
        <v>43</v>
      </c>
      <c r="M11" s="135">
        <v>98.64</v>
      </c>
      <c r="N11" s="135">
        <v>1.1000000000000001</v>
      </c>
      <c r="O11" s="135">
        <v>0</v>
      </c>
      <c r="P11" s="135">
        <v>3.08</v>
      </c>
      <c r="Q11" s="135">
        <v>9.5500000000000007</v>
      </c>
      <c r="R11" s="194"/>
      <c r="S11" s="194"/>
      <c r="T11" s="194"/>
      <c r="U11" s="194"/>
    </row>
    <row r="12" spans="1:21" s="12" customFormat="1" ht="15">
      <c r="A12" s="207" t="s">
        <v>1880</v>
      </c>
      <c r="B12" s="135">
        <v>9.27</v>
      </c>
      <c r="C12" s="135">
        <v>12.09</v>
      </c>
      <c r="D12" s="135">
        <v>21.36</v>
      </c>
      <c r="E12" s="135">
        <v>9.27</v>
      </c>
      <c r="F12" s="135">
        <v>0.08</v>
      </c>
      <c r="G12" s="208" t="s">
        <v>36</v>
      </c>
      <c r="H12" s="135">
        <v>8.74</v>
      </c>
      <c r="I12" s="135">
        <v>6.34</v>
      </c>
      <c r="J12" s="135">
        <v>0.49</v>
      </c>
      <c r="K12" s="135">
        <v>167.17</v>
      </c>
      <c r="L12" s="10" t="s">
        <v>43</v>
      </c>
      <c r="M12" s="135">
        <v>98.63</v>
      </c>
      <c r="N12" s="135">
        <v>0.90</v>
      </c>
      <c r="O12" s="135">
        <v>0</v>
      </c>
      <c r="P12" s="135">
        <v>3.07</v>
      </c>
      <c r="Q12" s="135">
        <v>9.57</v>
      </c>
      <c r="R12" s="194"/>
      <c r="S12" s="194"/>
      <c r="T12" s="194"/>
      <c r="U12" s="194"/>
    </row>
    <row r="13" spans="1:21" s="12" customFormat="1" ht="15">
      <c r="A13" s="207" t="s">
        <v>1881</v>
      </c>
      <c r="B13" s="135">
        <v>9.32</v>
      </c>
      <c r="C13" s="135">
        <v>11.66</v>
      </c>
      <c r="D13" s="135">
        <v>20.98</v>
      </c>
      <c r="E13" s="135">
        <v>9.09</v>
      </c>
      <c r="F13" s="135">
        <v>0.12</v>
      </c>
      <c r="G13" s="208" t="s">
        <v>36</v>
      </c>
      <c r="H13" s="135">
        <v>8.16</v>
      </c>
      <c r="I13" s="135">
        <v>6.17</v>
      </c>
      <c r="J13" s="135">
        <v>0.32</v>
      </c>
      <c r="K13" s="135">
        <v>159.06</v>
      </c>
      <c r="L13" s="10" t="s">
        <v>43</v>
      </c>
      <c r="M13" s="135">
        <v>99.06</v>
      </c>
      <c r="N13" s="135">
        <v>0.60</v>
      </c>
      <c r="O13" s="135">
        <v>0</v>
      </c>
      <c r="P13" s="135">
        <v>3.05</v>
      </c>
      <c r="Q13" s="135">
        <v>9.5</v>
      </c>
      <c r="R13" s="194"/>
      <c r="S13" s="194"/>
      <c r="T13" s="194"/>
      <c r="U13" s="194"/>
    </row>
    <row r="14" spans="1:21" s="12" customFormat="1" ht="15">
      <c r="A14" s="207" t="s">
        <v>1882</v>
      </c>
      <c r="B14" s="135">
        <v>9.3000000000000007</v>
      </c>
      <c r="C14" s="135">
        <v>11.33</v>
      </c>
      <c r="D14" s="135">
        <v>20.63</v>
      </c>
      <c r="E14" s="135">
        <v>9.4600000000000009</v>
      </c>
      <c r="F14" s="208" t="s">
        <v>36</v>
      </c>
      <c r="G14" s="208" t="s">
        <v>36</v>
      </c>
      <c r="H14" s="135">
        <v>6.73</v>
      </c>
      <c r="I14" s="135">
        <v>5.93</v>
      </c>
      <c r="J14" s="135">
        <v>1</v>
      </c>
      <c r="K14" s="135">
        <v>155.52000000000001</v>
      </c>
      <c r="L14" s="10" t="s">
        <v>43</v>
      </c>
      <c r="M14" s="135">
        <v>99.04</v>
      </c>
      <c r="N14" s="135">
        <v>0.90</v>
      </c>
      <c r="O14" s="135">
        <v>0</v>
      </c>
      <c r="P14" s="135">
        <v>3.04</v>
      </c>
      <c r="Q14" s="135">
        <v>9.3800000000000008</v>
      </c>
      <c r="R14" s="194"/>
      <c r="S14" s="194"/>
      <c r="T14" s="194"/>
      <c r="U14" s="194"/>
    </row>
    <row r="15" spans="1:21" s="12" customFormat="1" ht="15">
      <c r="A15" s="207" t="s">
        <v>1883</v>
      </c>
      <c r="B15" s="135">
        <v>9.4499999999999993</v>
      </c>
      <c r="C15" s="135">
        <v>11.22</v>
      </c>
      <c r="D15" s="135">
        <v>20.67</v>
      </c>
      <c r="E15" s="135">
        <v>9.7100000000000009</v>
      </c>
      <c r="F15" s="135">
        <v>0.28999999999999998</v>
      </c>
      <c r="G15" s="208" t="s">
        <v>36</v>
      </c>
      <c r="H15" s="135">
        <v>6.73</v>
      </c>
      <c r="I15" s="135">
        <v>5.48</v>
      </c>
      <c r="J15" s="135">
        <v>1.20</v>
      </c>
      <c r="K15" s="135">
        <v>164.77</v>
      </c>
      <c r="L15" s="10" t="s">
        <v>43</v>
      </c>
      <c r="M15" s="135">
        <v>99.08</v>
      </c>
      <c r="N15" s="135">
        <v>0.90</v>
      </c>
      <c r="O15" s="135">
        <v>0</v>
      </c>
      <c r="P15" s="135">
        <v>3.03</v>
      </c>
      <c r="Q15" s="135">
        <v>9.40</v>
      </c>
      <c r="R15" s="194"/>
      <c r="S15" s="194"/>
      <c r="T15" s="194"/>
      <c r="U15" s="194"/>
    </row>
    <row r="16" spans="1:21" s="12" customFormat="1" ht="15">
      <c r="A16" s="207" t="s">
        <v>1884</v>
      </c>
      <c r="B16" s="135">
        <v>9.6199999999999992</v>
      </c>
      <c r="C16" s="135">
        <v>11.28</v>
      </c>
      <c r="D16" s="135">
        <v>20.90</v>
      </c>
      <c r="E16" s="135">
        <v>9.2799999999999994</v>
      </c>
      <c r="F16" s="135">
        <v>0.28999999999999998</v>
      </c>
      <c r="G16" s="208" t="s">
        <v>36</v>
      </c>
      <c r="H16" s="135">
        <v>6.73</v>
      </c>
      <c r="I16" s="135">
        <v>6.01</v>
      </c>
      <c r="J16" s="135">
        <v>1.07</v>
      </c>
      <c r="K16" s="135">
        <v>163.52000000000001</v>
      </c>
      <c r="L16" s="10" t="s">
        <v>43</v>
      </c>
      <c r="M16" s="135">
        <v>99.10</v>
      </c>
      <c r="N16" s="135">
        <v>0.5</v>
      </c>
      <c r="O16" s="135">
        <v>0</v>
      </c>
      <c r="P16" s="135">
        <v>3.01</v>
      </c>
      <c r="Q16" s="135">
        <v>9.51</v>
      </c>
      <c r="R16" s="194"/>
      <c r="S16" s="194"/>
      <c r="T16" s="194"/>
      <c r="U16" s="194"/>
    </row>
    <row r="17" spans="1:21" s="12" customFormat="1" ht="15">
      <c r="A17" s="207" t="s">
        <v>1885</v>
      </c>
      <c r="B17" s="135">
        <v>9.66</v>
      </c>
      <c r="C17" s="135">
        <v>11.13</v>
      </c>
      <c r="D17" s="135">
        <v>20.78</v>
      </c>
      <c r="E17" s="135">
        <v>9.85</v>
      </c>
      <c r="F17" s="135">
        <v>0.43</v>
      </c>
      <c r="G17" s="208" t="s">
        <v>36</v>
      </c>
      <c r="H17" s="135">
        <v>6.24</v>
      </c>
      <c r="I17" s="135">
        <v>6.08</v>
      </c>
      <c r="J17" s="135">
        <v>1.39</v>
      </c>
      <c r="K17" s="135">
        <v>160.94999999999999</v>
      </c>
      <c r="L17" s="10" t="s">
        <v>43</v>
      </c>
      <c r="M17" s="135">
        <v>99.09</v>
      </c>
      <c r="N17" s="135">
        <v>0.5</v>
      </c>
      <c r="O17" s="135">
        <v>0</v>
      </c>
      <c r="P17" s="135">
        <v>2.99</v>
      </c>
      <c r="Q17" s="135">
        <v>9.51</v>
      </c>
      <c r="R17" s="194"/>
      <c r="S17" s="194"/>
      <c r="T17" s="194"/>
      <c r="U17" s="194"/>
    </row>
    <row r="18" spans="1:21" s="12" customFormat="1" ht="15">
      <c r="A18" s="207" t="s">
        <v>1886</v>
      </c>
      <c r="B18" s="135">
        <v>9.33</v>
      </c>
      <c r="C18" s="135">
        <v>10.58</v>
      </c>
      <c r="D18" s="135">
        <v>19.91</v>
      </c>
      <c r="E18" s="135">
        <v>9.74</v>
      </c>
      <c r="F18" s="135">
        <v>0.31</v>
      </c>
      <c r="G18" s="208" t="s">
        <v>36</v>
      </c>
      <c r="H18" s="135">
        <v>5.04</v>
      </c>
      <c r="I18" s="135">
        <v>6.01</v>
      </c>
      <c r="J18" s="135">
        <v>1.23</v>
      </c>
      <c r="K18" s="135">
        <v>152.53</v>
      </c>
      <c r="L18" s="10" t="s">
        <v>43</v>
      </c>
      <c r="M18" s="135">
        <v>99.02</v>
      </c>
      <c r="N18" s="135">
        <v>0.5</v>
      </c>
      <c r="O18" s="135">
        <v>0</v>
      </c>
      <c r="P18" s="135">
        <v>2.97</v>
      </c>
      <c r="Q18" s="135">
        <v>9.25</v>
      </c>
      <c r="R18" s="194"/>
      <c r="S18" s="194"/>
      <c r="T18" s="194"/>
      <c r="U18" s="194"/>
    </row>
    <row r="19" spans="1:21" s="12" customFormat="1" ht="15">
      <c r="A19" s="207" t="s">
        <v>1887</v>
      </c>
      <c r="B19" s="135">
        <v>8.48</v>
      </c>
      <c r="C19" s="135">
        <v>10.41</v>
      </c>
      <c r="D19" s="135">
        <v>18.89</v>
      </c>
      <c r="E19" s="135">
        <v>9.85</v>
      </c>
      <c r="F19" s="135">
        <v>0.28000000000000003</v>
      </c>
      <c r="G19" s="208" t="s">
        <v>36</v>
      </c>
      <c r="H19" s="135">
        <v>5.04</v>
      </c>
      <c r="I19" s="135">
        <v>5.93</v>
      </c>
      <c r="J19" s="135">
        <v>1.03</v>
      </c>
      <c r="K19" s="135">
        <v>164.26</v>
      </c>
      <c r="L19" s="10" t="s">
        <v>43</v>
      </c>
      <c r="M19" s="135">
        <v>98.90</v>
      </c>
      <c r="N19" s="135">
        <v>0.5</v>
      </c>
      <c r="O19" s="135">
        <v>0</v>
      </c>
      <c r="P19" s="135">
        <v>2.95</v>
      </c>
      <c r="Q19" s="135">
        <v>8.8800000000000008</v>
      </c>
      <c r="R19" s="194"/>
      <c r="S19" s="194"/>
      <c r="T19" s="194"/>
      <c r="U19" s="194"/>
    </row>
    <row r="20" spans="1:21" s="12" customFormat="1" ht="15">
      <c r="A20" s="207" t="s">
        <v>1888</v>
      </c>
      <c r="B20" s="135">
        <v>7.55</v>
      </c>
      <c r="C20" s="135">
        <v>10.62</v>
      </c>
      <c r="D20" s="135">
        <v>18.170000000000002</v>
      </c>
      <c r="E20" s="135">
        <v>9.6199999999999992</v>
      </c>
      <c r="F20" s="135">
        <v>0.14000000000000001</v>
      </c>
      <c r="G20" s="208" t="s">
        <v>36</v>
      </c>
      <c r="H20" s="135">
        <v>5.04</v>
      </c>
      <c r="I20" s="135">
        <v>5.81</v>
      </c>
      <c r="J20" s="135">
        <v>0.98</v>
      </c>
      <c r="K20" s="135">
        <v>166.66</v>
      </c>
      <c r="L20" s="10" t="s">
        <v>43</v>
      </c>
      <c r="M20" s="135">
        <v>98.88</v>
      </c>
      <c r="N20" s="135">
        <v>0.60</v>
      </c>
      <c r="O20" s="135">
        <v>0</v>
      </c>
      <c r="P20" s="135">
        <v>2.93</v>
      </c>
      <c r="Q20" s="135">
        <v>8.48</v>
      </c>
      <c r="R20" s="194"/>
      <c r="S20" s="194"/>
      <c r="T20" s="194"/>
      <c r="U20" s="194"/>
    </row>
    <row r="21" spans="1:21" s="12" customFormat="1" ht="15">
      <c r="A21" s="207" t="s">
        <v>1889</v>
      </c>
      <c r="B21" s="135">
        <v>6.71</v>
      </c>
      <c r="C21" s="135">
        <v>10.61</v>
      </c>
      <c r="D21" s="135">
        <v>17.32</v>
      </c>
      <c r="E21" s="135">
        <v>9.27</v>
      </c>
      <c r="F21" s="135">
        <v>0.27</v>
      </c>
      <c r="G21" s="208" t="s">
        <v>36</v>
      </c>
      <c r="H21" s="135">
        <v>4.70</v>
      </c>
      <c r="I21" s="135">
        <v>5.66</v>
      </c>
      <c r="J21" s="135">
        <v>1.1000000000000001</v>
      </c>
      <c r="K21" s="135">
        <v>158.58000000000001</v>
      </c>
      <c r="L21" s="10" t="s">
        <v>43</v>
      </c>
      <c r="M21" s="135">
        <v>98.36</v>
      </c>
      <c r="N21" s="135">
        <v>0.80</v>
      </c>
      <c r="O21" s="135">
        <v>0</v>
      </c>
      <c r="P21" s="135">
        <v>2.90</v>
      </c>
      <c r="Q21" s="135">
        <v>8</v>
      </c>
      <c r="R21" s="194"/>
      <c r="S21" s="194"/>
      <c r="T21" s="194"/>
      <c r="U21" s="194"/>
    </row>
    <row r="22" spans="1:21" s="12" customFormat="1" ht="15">
      <c r="A22" s="207" t="s">
        <v>1890</v>
      </c>
      <c r="B22" s="135">
        <v>5.99</v>
      </c>
      <c r="C22" s="135">
        <v>10.199999999999999</v>
      </c>
      <c r="D22" s="135">
        <v>16.190000000000001</v>
      </c>
      <c r="E22" s="135">
        <v>9.07</v>
      </c>
      <c r="F22" s="135">
        <v>0.19</v>
      </c>
      <c r="G22" s="208" t="s">
        <v>36</v>
      </c>
      <c r="H22" s="135">
        <v>3.86</v>
      </c>
      <c r="I22" s="135">
        <v>5.52</v>
      </c>
      <c r="J22" s="135">
        <v>0.84</v>
      </c>
      <c r="K22" s="135">
        <v>152.72999999999999</v>
      </c>
      <c r="L22" s="10" t="s">
        <v>43</v>
      </c>
      <c r="M22" s="135">
        <v>97.55</v>
      </c>
      <c r="N22" s="135">
        <v>1</v>
      </c>
      <c r="O22" s="135">
        <v>0</v>
      </c>
      <c r="P22" s="135">
        <v>2.89</v>
      </c>
      <c r="Q22" s="135">
        <v>7.56</v>
      </c>
      <c r="R22" s="194"/>
      <c r="S22" s="194"/>
      <c r="T22" s="194"/>
      <c r="U22" s="194"/>
    </row>
    <row r="23" spans="1:21" s="12" customFormat="1" ht="15">
      <c r="A23" s="207" t="s">
        <v>1891</v>
      </c>
      <c r="B23" s="135">
        <v>5.25</v>
      </c>
      <c r="C23" s="135">
        <v>10.39</v>
      </c>
      <c r="D23" s="135">
        <v>15.64</v>
      </c>
      <c r="E23" s="135">
        <v>8.98</v>
      </c>
      <c r="F23" s="135">
        <v>0.070000000000000007</v>
      </c>
      <c r="G23" s="208" t="s">
        <v>36</v>
      </c>
      <c r="H23" s="135">
        <v>3.86</v>
      </c>
      <c r="I23" s="135">
        <v>5.32</v>
      </c>
      <c r="J23" s="135">
        <v>0.57999999999999996</v>
      </c>
      <c r="K23" s="135">
        <v>170.32</v>
      </c>
      <c r="L23" s="135">
        <v>43.20</v>
      </c>
      <c r="M23" s="135">
        <v>97.19</v>
      </c>
      <c r="N23" s="135">
        <v>1</v>
      </c>
      <c r="O23" s="135">
        <v>0</v>
      </c>
      <c r="P23" s="135">
        <v>2.86</v>
      </c>
      <c r="Q23" s="135">
        <v>7.31</v>
      </c>
      <c r="R23" s="194"/>
      <c r="S23" s="194"/>
      <c r="T23" s="194"/>
      <c r="U23" s="194"/>
    </row>
    <row r="24" spans="1:21" s="12" customFormat="1" ht="15">
      <c r="A24" s="207" t="s">
        <v>1892</v>
      </c>
      <c r="B24" s="135">
        <v>4.63</v>
      </c>
      <c r="C24" s="135">
        <v>10.36</v>
      </c>
      <c r="D24" s="135">
        <v>14.99</v>
      </c>
      <c r="E24" s="135">
        <v>4.1399999999999997</v>
      </c>
      <c r="F24" s="135">
        <v>0.14000000000000001</v>
      </c>
      <c r="G24" s="208" t="s">
        <v>36</v>
      </c>
      <c r="H24" s="135">
        <v>3.86</v>
      </c>
      <c r="I24" s="135">
        <v>5.16</v>
      </c>
      <c r="J24" s="135">
        <v>0.65</v>
      </c>
      <c r="K24" s="135">
        <v>165.49</v>
      </c>
      <c r="L24" s="135">
        <v>43.66</v>
      </c>
      <c r="M24" s="135">
        <v>97.58</v>
      </c>
      <c r="N24" s="135">
        <v>0.90</v>
      </c>
      <c r="O24" s="135">
        <v>0</v>
      </c>
      <c r="P24" s="135">
        <v>2.84</v>
      </c>
      <c r="Q24" s="135">
        <v>6.92</v>
      </c>
      <c r="R24" s="194"/>
      <c r="S24" s="194"/>
      <c r="T24" s="194"/>
      <c r="U24" s="194"/>
    </row>
    <row r="25" spans="1:21" s="12" customFormat="1" ht="15">
      <c r="A25" s="207" t="s">
        <v>1893</v>
      </c>
      <c r="B25" s="135">
        <v>4.13</v>
      </c>
      <c r="C25" s="135">
        <v>10.78</v>
      </c>
      <c r="D25" s="135">
        <v>14.91</v>
      </c>
      <c r="E25" s="135">
        <v>7.49</v>
      </c>
      <c r="F25" s="135">
        <v>0.09</v>
      </c>
      <c r="G25" s="208" t="s">
        <v>36</v>
      </c>
      <c r="H25" s="135">
        <v>4.0199999999999996</v>
      </c>
      <c r="I25" s="135">
        <v>5.04</v>
      </c>
      <c r="J25" s="135">
        <v>0.52</v>
      </c>
      <c r="K25" s="135">
        <v>109.30</v>
      </c>
      <c r="L25" s="135">
        <v>44.97</v>
      </c>
      <c r="M25" s="135">
        <v>98.85</v>
      </c>
      <c r="N25" s="135">
        <v>0.60</v>
      </c>
      <c r="O25" s="135">
        <v>0.40</v>
      </c>
      <c r="P25" s="135">
        <v>2.84</v>
      </c>
      <c r="Q25" s="135">
        <v>6.66</v>
      </c>
      <c r="R25" s="194"/>
      <c r="S25" s="194"/>
      <c r="T25" s="194"/>
      <c r="U25" s="194"/>
    </row>
    <row r="26" spans="1:21" s="12" customFormat="1" ht="15">
      <c r="A26" s="207" t="s">
        <v>1894</v>
      </c>
      <c r="B26" s="135">
        <v>4</v>
      </c>
      <c r="C26" s="135">
        <v>10.67</v>
      </c>
      <c r="D26" s="135">
        <v>14.68</v>
      </c>
      <c r="E26" s="135">
        <v>7.87</v>
      </c>
      <c r="F26" s="135">
        <v>0.18</v>
      </c>
      <c r="G26" s="208" t="s">
        <v>36</v>
      </c>
      <c r="H26" s="135">
        <v>4.43</v>
      </c>
      <c r="I26" s="135">
        <v>4.9000000000000004</v>
      </c>
      <c r="J26" s="135">
        <v>0.54</v>
      </c>
      <c r="K26" s="135">
        <v>138.59</v>
      </c>
      <c r="L26" s="135">
        <v>46.43</v>
      </c>
      <c r="M26" s="135">
        <v>99.07</v>
      </c>
      <c r="N26" s="135">
        <v>0.40</v>
      </c>
      <c r="O26" s="135">
        <v>0</v>
      </c>
      <c r="P26" s="135">
        <v>2.82</v>
      </c>
      <c r="Q26" s="135">
        <v>6.54</v>
      </c>
      <c r="R26" s="194"/>
      <c r="S26" s="194"/>
      <c r="T26" s="194"/>
      <c r="U26" s="194"/>
    </row>
    <row r="27" spans="1:21" s="12" customFormat="1" ht="15">
      <c r="A27" s="207" t="s">
        <v>1895</v>
      </c>
      <c r="B27" s="135">
        <v>3.91</v>
      </c>
      <c r="C27" s="135">
        <v>10.28</v>
      </c>
      <c r="D27" s="135">
        <v>14.19</v>
      </c>
      <c r="E27" s="135">
        <v>7.94</v>
      </c>
      <c r="F27" s="135">
        <v>0.20</v>
      </c>
      <c r="G27" s="208" t="s">
        <v>36</v>
      </c>
      <c r="H27" s="135">
        <v>4.43</v>
      </c>
      <c r="I27" s="135">
        <v>4.8600000000000003</v>
      </c>
      <c r="J27" s="135">
        <v>0.64</v>
      </c>
      <c r="K27" s="135">
        <v>89.70</v>
      </c>
      <c r="L27" s="135">
        <v>42.10</v>
      </c>
      <c r="M27" s="135">
        <v>99.03</v>
      </c>
      <c r="N27" s="135">
        <v>0.30</v>
      </c>
      <c r="O27" s="135">
        <v>0</v>
      </c>
      <c r="P27" s="135">
        <v>2.82</v>
      </c>
      <c r="Q27" s="135">
        <v>6.39</v>
      </c>
      <c r="R27" s="194"/>
      <c r="S27" s="194"/>
      <c r="T27" s="194"/>
      <c r="U27" s="194"/>
    </row>
    <row r="28" spans="1:21" s="12" customFormat="1" ht="15">
      <c r="A28" s="207" t="s">
        <v>1896</v>
      </c>
      <c r="B28" s="135">
        <v>3.95</v>
      </c>
      <c r="C28" s="135">
        <v>10.02</v>
      </c>
      <c r="D28" s="135">
        <v>13.97</v>
      </c>
      <c r="E28" s="135">
        <v>7.98</v>
      </c>
      <c r="F28" s="135">
        <v>0.13</v>
      </c>
      <c r="G28" s="208" t="s">
        <v>36</v>
      </c>
      <c r="H28" s="135">
        <v>4.43</v>
      </c>
      <c r="I28" s="135">
        <v>4.84</v>
      </c>
      <c r="J28" s="135">
        <v>0.57999999999999996</v>
      </c>
      <c r="K28" s="135">
        <v>106.54</v>
      </c>
      <c r="L28" s="135">
        <v>43.44</v>
      </c>
      <c r="M28" s="135">
        <v>98.22</v>
      </c>
      <c r="N28" s="135">
        <v>0.30</v>
      </c>
      <c r="O28" s="135">
        <v>0</v>
      </c>
      <c r="P28" s="135">
        <v>2.81</v>
      </c>
      <c r="Q28" s="135">
        <v>6.36</v>
      </c>
      <c r="R28" s="194"/>
      <c r="S28" s="194"/>
      <c r="T28" s="194"/>
      <c r="U28" s="194"/>
    </row>
    <row r="29" spans="1:21" s="12" customFormat="1" ht="15">
      <c r="A29" s="207" t="s">
        <v>1897</v>
      </c>
      <c r="B29" s="135">
        <v>4</v>
      </c>
      <c r="C29" s="135">
        <v>9.73</v>
      </c>
      <c r="D29" s="135">
        <v>13.73</v>
      </c>
      <c r="E29" s="135">
        <v>8.0399999999999991</v>
      </c>
      <c r="F29" s="135">
        <v>0.23</v>
      </c>
      <c r="G29" s="208" t="s">
        <v>36</v>
      </c>
      <c r="H29" s="135">
        <v>4.1500000000000004</v>
      </c>
      <c r="I29" s="135">
        <v>4.74</v>
      </c>
      <c r="J29" s="135">
        <v>1.1100000000000001</v>
      </c>
      <c r="K29" s="135">
        <v>87.15</v>
      </c>
      <c r="L29" s="135">
        <v>47.01</v>
      </c>
      <c r="M29" s="135">
        <v>97.30</v>
      </c>
      <c r="N29" s="135">
        <v>0.60</v>
      </c>
      <c r="O29" s="135">
        <v>0</v>
      </c>
      <c r="P29" s="135">
        <v>2.80</v>
      </c>
      <c r="Q29" s="135">
        <v>6.29</v>
      </c>
      <c r="R29" s="194"/>
      <c r="S29" s="194"/>
      <c r="T29" s="194"/>
      <c r="U29" s="194"/>
    </row>
    <row r="30" spans="1:21" s="12" customFormat="1" ht="15">
      <c r="A30" s="207" t="s">
        <v>1898</v>
      </c>
      <c r="B30" s="135">
        <v>4.0599999999999996</v>
      </c>
      <c r="C30" s="135">
        <v>9.60</v>
      </c>
      <c r="D30" s="135">
        <v>13.65</v>
      </c>
      <c r="E30" s="135">
        <v>8.3699999999999992</v>
      </c>
      <c r="F30" s="135">
        <v>0.04</v>
      </c>
      <c r="G30" s="208" t="s">
        <v>36</v>
      </c>
      <c r="H30" s="135">
        <v>3.45</v>
      </c>
      <c r="I30" s="135">
        <v>4.7699999999999996</v>
      </c>
      <c r="J30" s="135">
        <v>0.76</v>
      </c>
      <c r="K30" s="135">
        <v>83.92</v>
      </c>
      <c r="L30" s="135">
        <v>41.03</v>
      </c>
      <c r="M30" s="135">
        <v>97.11</v>
      </c>
      <c r="N30" s="135">
        <v>2.2999999999999998</v>
      </c>
      <c r="O30" s="135">
        <v>0</v>
      </c>
      <c r="P30" s="135">
        <v>2.79</v>
      </c>
      <c r="Q30" s="135">
        <v>6.26</v>
      </c>
      <c r="R30" s="194"/>
      <c r="S30" s="194"/>
      <c r="T30" s="194"/>
      <c r="U30" s="194"/>
    </row>
    <row r="31" spans="1:21" s="12" customFormat="1" ht="15">
      <c r="A31" s="207" t="s">
        <v>1899</v>
      </c>
      <c r="B31" s="135">
        <v>4.16</v>
      </c>
      <c r="C31" s="135">
        <v>9.41</v>
      </c>
      <c r="D31" s="135">
        <v>13.57</v>
      </c>
      <c r="E31" s="135">
        <v>8.7200000000000006</v>
      </c>
      <c r="F31" s="135">
        <v>0.10</v>
      </c>
      <c r="G31" s="208" t="s">
        <v>36</v>
      </c>
      <c r="H31" s="135">
        <v>3.45</v>
      </c>
      <c r="I31" s="135">
        <v>4.79</v>
      </c>
      <c r="J31" s="135">
        <v>0.57999999999999996</v>
      </c>
      <c r="K31" s="135">
        <v>81.42</v>
      </c>
      <c r="L31" s="135">
        <v>45.39</v>
      </c>
      <c r="M31" s="135">
        <v>96.99</v>
      </c>
      <c r="N31" s="135">
        <v>4.5</v>
      </c>
      <c r="O31" s="135">
        <v>0</v>
      </c>
      <c r="P31" s="135">
        <v>2.79</v>
      </c>
      <c r="Q31" s="135">
        <v>6.31</v>
      </c>
      <c r="R31" s="194"/>
      <c r="S31" s="194"/>
      <c r="T31" s="194"/>
      <c r="U31" s="194"/>
    </row>
    <row r="32" spans="1:21" s="12" customFormat="1" ht="15">
      <c r="A32" s="207" t="s">
        <v>1900</v>
      </c>
      <c r="B32" s="135">
        <v>4.3099999999999996</v>
      </c>
      <c r="C32" s="135">
        <v>9.3800000000000008</v>
      </c>
      <c r="D32" s="135">
        <v>13.69</v>
      </c>
      <c r="E32" s="135">
        <v>9.07</v>
      </c>
      <c r="F32" s="135">
        <v>0.04</v>
      </c>
      <c r="G32" s="208" t="s">
        <v>36</v>
      </c>
      <c r="H32" s="135">
        <v>3.45</v>
      </c>
      <c r="I32" s="135">
        <v>4.7300000000000004</v>
      </c>
      <c r="J32" s="135">
        <v>0.56999999999999995</v>
      </c>
      <c r="K32" s="135">
        <v>84.20</v>
      </c>
      <c r="L32" s="135">
        <v>45.99</v>
      </c>
      <c r="M32" s="135">
        <v>97.23</v>
      </c>
      <c r="N32" s="135">
        <v>7.60</v>
      </c>
      <c r="O32" s="135">
        <v>0</v>
      </c>
      <c r="P32" s="135">
        <v>2.78</v>
      </c>
      <c r="Q32" s="135">
        <v>6.35</v>
      </c>
      <c r="R32" s="194"/>
      <c r="S32" s="194"/>
      <c r="T32" s="194"/>
      <c r="U32" s="194"/>
    </row>
    <row r="33" spans="1:21" s="12" customFormat="1" ht="15">
      <c r="A33" s="207" t="s">
        <v>1901</v>
      </c>
      <c r="B33" s="135">
        <v>4.5199999999999996</v>
      </c>
      <c r="C33" s="135">
        <v>9.18</v>
      </c>
      <c r="D33" s="135">
        <v>13.69</v>
      </c>
      <c r="E33" s="135">
        <v>8.82</v>
      </c>
      <c r="F33" s="135">
        <v>0.18</v>
      </c>
      <c r="G33" s="208" t="s">
        <v>36</v>
      </c>
      <c r="H33" s="135">
        <v>3.31</v>
      </c>
      <c r="I33" s="135">
        <v>4.70</v>
      </c>
      <c r="J33" s="135">
        <v>0.81</v>
      </c>
      <c r="K33" s="135">
        <v>87.18</v>
      </c>
      <c r="L33" s="135">
        <v>43.52</v>
      </c>
      <c r="M33" s="135">
        <v>97.90</v>
      </c>
      <c r="N33" s="135">
        <v>20.80</v>
      </c>
      <c r="O33" s="135">
        <v>0</v>
      </c>
      <c r="P33" s="135">
        <v>2.77</v>
      </c>
      <c r="Q33" s="135">
        <v>6.25</v>
      </c>
      <c r="R33" s="194"/>
      <c r="S33" s="194"/>
      <c r="T33" s="194"/>
      <c r="U33" s="194"/>
    </row>
    <row r="34" spans="1:21" s="12" customFormat="1" ht="15">
      <c r="A34" s="207" t="s">
        <v>1902</v>
      </c>
      <c r="B34" s="135">
        <v>4.55</v>
      </c>
      <c r="C34" s="135">
        <v>9.48</v>
      </c>
      <c r="D34" s="135">
        <v>14.03</v>
      </c>
      <c r="E34" s="135">
        <v>8.56</v>
      </c>
      <c r="F34" s="135">
        <v>0.08</v>
      </c>
      <c r="G34" s="208" t="s">
        <v>36</v>
      </c>
      <c r="H34" s="135">
        <v>2.94</v>
      </c>
      <c r="I34" s="135">
        <v>4.6900000000000004</v>
      </c>
      <c r="J34" s="135">
        <v>2.12</v>
      </c>
      <c r="K34" s="135">
        <v>91.41</v>
      </c>
      <c r="L34" s="135">
        <v>41.57</v>
      </c>
      <c r="M34" s="135">
        <v>96.21</v>
      </c>
      <c r="N34" s="135">
        <v>28.70</v>
      </c>
      <c r="O34" s="135">
        <v>0</v>
      </c>
      <c r="P34" s="135">
        <v>2.76</v>
      </c>
      <c r="Q34" s="135">
        <v>6.22</v>
      </c>
      <c r="R34" s="194"/>
      <c r="S34" s="194"/>
      <c r="T34" s="194"/>
      <c r="U34" s="194"/>
    </row>
    <row r="35" spans="1:21" s="12" customFormat="1" ht="15">
      <c r="A35" s="207" t="s">
        <v>1903</v>
      </c>
      <c r="B35" s="135">
        <v>4.41</v>
      </c>
      <c r="C35" s="135">
        <v>9.7100000000000009</v>
      </c>
      <c r="D35" s="135">
        <v>14.12</v>
      </c>
      <c r="E35" s="135">
        <v>8.33</v>
      </c>
      <c r="F35" s="135">
        <v>0.05</v>
      </c>
      <c r="G35" s="208" t="s">
        <v>36</v>
      </c>
      <c r="H35" s="135">
        <v>2.94</v>
      </c>
      <c r="I35" s="135">
        <v>4.67</v>
      </c>
      <c r="J35" s="135">
        <v>1.87</v>
      </c>
      <c r="K35" s="135">
        <v>91</v>
      </c>
      <c r="L35" s="135">
        <v>45.42</v>
      </c>
      <c r="M35" s="135">
        <v>95.09</v>
      </c>
      <c r="N35" s="135">
        <v>34.299999999999997</v>
      </c>
      <c r="O35" s="135">
        <v>0</v>
      </c>
      <c r="P35" s="135">
        <v>2.76</v>
      </c>
      <c r="Q35" s="135">
        <v>6.31</v>
      </c>
      <c r="R35" s="194"/>
      <c r="S35" s="194"/>
      <c r="T35" s="194"/>
      <c r="U35" s="194"/>
    </row>
    <row r="36" spans="1:21" s="12" customFormat="1" ht="15">
      <c r="A36" s="207" t="s">
        <v>1904</v>
      </c>
      <c r="B36" s="135">
        <v>4.21</v>
      </c>
      <c r="C36" s="135">
        <v>9.81</v>
      </c>
      <c r="D36" s="135">
        <v>14.02</v>
      </c>
      <c r="E36" s="135">
        <v>8.24</v>
      </c>
      <c r="F36" s="135">
        <v>0.15</v>
      </c>
      <c r="G36" s="208" t="s">
        <v>36</v>
      </c>
      <c r="H36" s="135">
        <v>2.94</v>
      </c>
      <c r="I36" s="135">
        <v>4.67</v>
      </c>
      <c r="J36" s="135">
        <v>1.32</v>
      </c>
      <c r="K36" s="135">
        <v>86.62</v>
      </c>
      <c r="L36" s="135">
        <v>40.56</v>
      </c>
      <c r="M36" s="135">
        <v>94.24</v>
      </c>
      <c r="N36" s="135">
        <v>57.70</v>
      </c>
      <c r="O36" s="135">
        <v>0</v>
      </c>
      <c r="P36" s="135">
        <v>2.74</v>
      </c>
      <c r="Q36" s="135">
        <v>6.22</v>
      </c>
      <c r="R36" s="194"/>
      <c r="S36" s="194"/>
      <c r="T36" s="194"/>
      <c r="U36" s="194"/>
    </row>
    <row r="37" spans="1:21" s="12" customFormat="1" ht="15">
      <c r="A37" s="207" t="s">
        <v>1905</v>
      </c>
      <c r="B37" s="135">
        <v>4.04</v>
      </c>
      <c r="C37" s="135">
        <v>10.10</v>
      </c>
      <c r="D37" s="135">
        <v>14.14</v>
      </c>
      <c r="E37" s="135">
        <v>8.2100000000000009</v>
      </c>
      <c r="F37" s="135">
        <v>0.06</v>
      </c>
      <c r="G37" s="208" t="s">
        <v>36</v>
      </c>
      <c r="H37" s="135">
        <v>3.37</v>
      </c>
      <c r="I37" s="135">
        <v>4.6100000000000003</v>
      </c>
      <c r="J37" s="135">
        <v>0.57999999999999996</v>
      </c>
      <c r="K37" s="135">
        <v>101.26</v>
      </c>
      <c r="L37" s="135">
        <v>46.77</v>
      </c>
      <c r="M37" s="135">
        <v>93.79</v>
      </c>
      <c r="N37" s="135">
        <v>68.70</v>
      </c>
      <c r="O37" s="135">
        <v>0</v>
      </c>
      <c r="P37" s="135">
        <v>2.74</v>
      </c>
      <c r="Q37" s="135">
        <v>6.16</v>
      </c>
      <c r="R37" s="194"/>
      <c r="S37" s="194"/>
      <c r="T37" s="194"/>
      <c r="U37" s="194"/>
    </row>
    <row r="38" spans="1:21" s="12" customFormat="1" ht="15">
      <c r="A38" s="207" t="s">
        <v>1906</v>
      </c>
      <c r="B38" s="135">
        <v>3.92</v>
      </c>
      <c r="C38" s="135">
        <v>10.19</v>
      </c>
      <c r="D38" s="135">
        <v>14.12</v>
      </c>
      <c r="E38" s="135">
        <v>8.0399999999999991</v>
      </c>
      <c r="F38" s="135">
        <v>0.20</v>
      </c>
      <c r="G38" s="208" t="s">
        <v>36</v>
      </c>
      <c r="H38" s="135">
        <v>4.41</v>
      </c>
      <c r="I38" s="135">
        <v>4.49</v>
      </c>
      <c r="J38" s="135">
        <v>0.63</v>
      </c>
      <c r="K38" s="135">
        <v>109.37</v>
      </c>
      <c r="L38" s="135">
        <v>44.67</v>
      </c>
      <c r="M38" s="135">
        <v>93.72</v>
      </c>
      <c r="N38" s="135">
        <v>68.900000000000006</v>
      </c>
      <c r="O38" s="135">
        <v>0</v>
      </c>
      <c r="P38" s="135">
        <v>2.73</v>
      </c>
      <c r="Q38" s="135">
        <v>6</v>
      </c>
      <c r="R38" s="194"/>
      <c r="S38" s="194"/>
      <c r="T38" s="194"/>
      <c r="U38" s="194"/>
    </row>
    <row r="39" spans="1:21" s="12" customFormat="1" ht="15">
      <c r="A39" s="207" t="s">
        <v>1907</v>
      </c>
      <c r="B39" s="135">
        <v>3.81</v>
      </c>
      <c r="C39" s="135">
        <v>10.27</v>
      </c>
      <c r="D39" s="135">
        <v>14.08</v>
      </c>
      <c r="E39" s="135">
        <v>7.82</v>
      </c>
      <c r="F39" s="135">
        <v>0.23</v>
      </c>
      <c r="G39" s="208" t="s">
        <v>36</v>
      </c>
      <c r="H39" s="135">
        <v>4.41</v>
      </c>
      <c r="I39" s="135">
        <v>4.47</v>
      </c>
      <c r="J39" s="135">
        <v>1.45</v>
      </c>
      <c r="K39" s="135">
        <v>163.74</v>
      </c>
      <c r="L39" s="135">
        <v>41.41</v>
      </c>
      <c r="M39" s="135">
        <v>94.43</v>
      </c>
      <c r="N39" s="135">
        <v>58.90</v>
      </c>
      <c r="O39" s="135">
        <v>0</v>
      </c>
      <c r="P39" s="135">
        <v>2.74</v>
      </c>
      <c r="Q39" s="135">
        <v>6.07</v>
      </c>
      <c r="R39" s="194"/>
      <c r="S39" s="194"/>
      <c r="T39" s="194"/>
      <c r="U39" s="194"/>
    </row>
    <row r="40" spans="1:21" s="12" customFormat="1" ht="15">
      <c r="A40" s="207" t="s">
        <v>1908</v>
      </c>
      <c r="B40" s="135">
        <v>3.89</v>
      </c>
      <c r="C40" s="135">
        <v>11.13</v>
      </c>
      <c r="D40" s="135">
        <v>15.02</v>
      </c>
      <c r="E40" s="135">
        <v>3.61</v>
      </c>
      <c r="F40" s="135">
        <v>0.16</v>
      </c>
      <c r="G40" s="208" t="s">
        <v>36</v>
      </c>
      <c r="H40" s="135">
        <v>4.41</v>
      </c>
      <c r="I40" s="135">
        <v>4.38</v>
      </c>
      <c r="J40" s="135">
        <v>1.31</v>
      </c>
      <c r="K40" s="135">
        <v>166.14</v>
      </c>
      <c r="L40" s="135">
        <v>41.28</v>
      </c>
      <c r="M40" s="135">
        <v>97.03</v>
      </c>
      <c r="N40" s="135">
        <v>71</v>
      </c>
      <c r="O40" s="135">
        <v>0.20</v>
      </c>
      <c r="P40" s="135">
        <v>2.73</v>
      </c>
      <c r="Q40" s="135">
        <v>6.40</v>
      </c>
      <c r="R40" s="194"/>
      <c r="S40" s="194"/>
      <c r="T40" s="194"/>
      <c r="U40" s="194"/>
    </row>
    <row r="41" spans="1:21" s="12" customFormat="1" ht="15">
      <c r="A41" s="207" t="s">
        <v>1909</v>
      </c>
      <c r="B41" s="135">
        <v>4.08</v>
      </c>
      <c r="C41" s="135">
        <v>11.68</v>
      </c>
      <c r="D41" s="135">
        <v>15.76</v>
      </c>
      <c r="E41" s="135">
        <v>7.27</v>
      </c>
      <c r="F41" s="135">
        <v>0.18</v>
      </c>
      <c r="G41" s="208" t="s">
        <v>36</v>
      </c>
      <c r="H41" s="135">
        <v>4.55</v>
      </c>
      <c r="I41" s="135">
        <v>4.32</v>
      </c>
      <c r="J41" s="135">
        <v>1.33</v>
      </c>
      <c r="K41" s="135">
        <v>160.47999999999999</v>
      </c>
      <c r="L41" s="135">
        <v>40.619999999999997</v>
      </c>
      <c r="M41" s="135">
        <v>97.34</v>
      </c>
      <c r="N41" s="135">
        <v>72.599999999999994</v>
      </c>
      <c r="O41" s="135">
        <v>0</v>
      </c>
      <c r="P41" s="135">
        <v>2.73</v>
      </c>
      <c r="Q41" s="135">
        <v>6.26</v>
      </c>
      <c r="R41" s="194"/>
      <c r="S41" s="194"/>
      <c r="T41" s="194"/>
      <c r="U41" s="194"/>
    </row>
    <row r="42" spans="1:21" s="12" customFormat="1" ht="15">
      <c r="A42" s="207" t="s">
        <v>1910</v>
      </c>
      <c r="B42" s="135">
        <v>4.12</v>
      </c>
      <c r="C42" s="135">
        <v>11.86</v>
      </c>
      <c r="D42" s="135">
        <v>15.98</v>
      </c>
      <c r="E42" s="135">
        <v>7.96</v>
      </c>
      <c r="F42" s="135">
        <v>0.04</v>
      </c>
      <c r="G42" s="208" t="s">
        <v>36</v>
      </c>
      <c r="H42" s="135">
        <v>4.9000000000000004</v>
      </c>
      <c r="I42" s="135">
        <v>4.25</v>
      </c>
      <c r="J42" s="135">
        <v>1.59</v>
      </c>
      <c r="K42" s="135">
        <v>157.62</v>
      </c>
      <c r="L42" s="135">
        <v>40.909999999999997</v>
      </c>
      <c r="M42" s="135">
        <v>96.85</v>
      </c>
      <c r="N42" s="135">
        <v>79.400000000000006</v>
      </c>
      <c r="O42" s="135">
        <v>0</v>
      </c>
      <c r="P42" s="135">
        <v>2.72</v>
      </c>
      <c r="Q42" s="135">
        <v>6.06</v>
      </c>
      <c r="R42" s="194"/>
      <c r="S42" s="194"/>
      <c r="T42" s="194"/>
      <c r="U42" s="194"/>
    </row>
    <row r="43" spans="1:21" s="12" customFormat="1" ht="15">
      <c r="A43" s="207" t="s">
        <v>1911</v>
      </c>
      <c r="B43" s="135">
        <v>4.03</v>
      </c>
      <c r="C43" s="135">
        <v>11.88</v>
      </c>
      <c r="D43" s="135">
        <v>15.91</v>
      </c>
      <c r="E43" s="135">
        <v>7.43</v>
      </c>
      <c r="F43" s="135">
        <v>0.23</v>
      </c>
      <c r="G43" s="208" t="s">
        <v>36</v>
      </c>
      <c r="H43" s="135">
        <v>4.9000000000000004</v>
      </c>
      <c r="I43" s="135">
        <v>4.1900000000000004</v>
      </c>
      <c r="J43" s="135">
        <v>1.70</v>
      </c>
      <c r="K43" s="135">
        <v>157.13</v>
      </c>
      <c r="L43" s="135">
        <v>41.28</v>
      </c>
      <c r="M43" s="135">
        <v>95.73</v>
      </c>
      <c r="N43" s="135">
        <v>73.20</v>
      </c>
      <c r="O43" s="135">
        <v>0</v>
      </c>
      <c r="P43" s="135">
        <v>2.72</v>
      </c>
      <c r="Q43" s="135">
        <v>5.80</v>
      </c>
      <c r="R43" s="194"/>
      <c r="S43" s="194"/>
      <c r="T43" s="194"/>
      <c r="U43" s="194"/>
    </row>
    <row r="44" spans="1:21" s="12" customFormat="1" ht="15">
      <c r="A44" s="207" t="s">
        <v>1912</v>
      </c>
      <c r="B44" s="135">
        <v>3.77</v>
      </c>
      <c r="C44" s="135">
        <v>12.06</v>
      </c>
      <c r="D44" s="135">
        <v>15.83</v>
      </c>
      <c r="E44" s="135">
        <v>7.19</v>
      </c>
      <c r="F44" s="135">
        <v>0.28999999999999998</v>
      </c>
      <c r="G44" s="208" t="s">
        <v>36</v>
      </c>
      <c r="H44" s="135">
        <v>4.9000000000000004</v>
      </c>
      <c r="I44" s="135">
        <v>4.1500000000000004</v>
      </c>
      <c r="J44" s="135">
        <v>1.84</v>
      </c>
      <c r="K44" s="135">
        <v>162.58000000000001</v>
      </c>
      <c r="L44" s="135">
        <v>42.89</v>
      </c>
      <c r="M44" s="135">
        <v>96.33</v>
      </c>
      <c r="N44" s="135">
        <v>64.5</v>
      </c>
      <c r="O44" s="135">
        <v>0</v>
      </c>
      <c r="P44" s="135">
        <v>2.71</v>
      </c>
      <c r="Q44" s="135">
        <v>5.56</v>
      </c>
      <c r="R44" s="194"/>
      <c r="S44" s="194"/>
      <c r="T44" s="194"/>
      <c r="U44" s="194"/>
    </row>
    <row r="45" spans="1:21" s="12" customFormat="1" ht="15">
      <c r="A45" s="207" t="s">
        <v>1913</v>
      </c>
      <c r="B45" s="135">
        <v>3.60</v>
      </c>
      <c r="C45" s="135">
        <v>12.20</v>
      </c>
      <c r="D45" s="135">
        <v>15.80</v>
      </c>
      <c r="E45" s="135">
        <v>7.48</v>
      </c>
      <c r="F45" s="135">
        <v>0.22</v>
      </c>
      <c r="G45" s="208" t="s">
        <v>36</v>
      </c>
      <c r="H45" s="135">
        <v>4.5999999999999996</v>
      </c>
      <c r="I45" s="135">
        <v>4.09</v>
      </c>
      <c r="J45" s="135">
        <v>1.82</v>
      </c>
      <c r="K45" s="135">
        <v>153.65</v>
      </c>
      <c r="L45" s="135">
        <v>41.85</v>
      </c>
      <c r="M45" s="135">
        <v>97</v>
      </c>
      <c r="N45" s="135">
        <v>96.30</v>
      </c>
      <c r="O45" s="135">
        <v>0</v>
      </c>
      <c r="P45" s="135">
        <v>2.71</v>
      </c>
      <c r="Q45" s="135">
        <v>5.37</v>
      </c>
      <c r="R45" s="194"/>
      <c r="S45" s="194"/>
      <c r="T45" s="194"/>
      <c r="U45" s="194"/>
    </row>
    <row r="46" spans="1:21" s="12" customFormat="1" ht="15">
      <c r="A46" s="207" t="s">
        <v>1914</v>
      </c>
      <c r="B46" s="135">
        <v>3.62</v>
      </c>
      <c r="C46" s="135">
        <v>12.20</v>
      </c>
      <c r="D46" s="135">
        <v>15.81</v>
      </c>
      <c r="E46" s="135">
        <v>7.58</v>
      </c>
      <c r="F46" s="135">
        <v>0.27</v>
      </c>
      <c r="G46" s="208" t="s">
        <v>36</v>
      </c>
      <c r="H46" s="135">
        <v>3.87</v>
      </c>
      <c r="I46" s="135">
        <v>3.99</v>
      </c>
      <c r="J46" s="135">
        <v>2.09</v>
      </c>
      <c r="K46" s="135">
        <v>156.54</v>
      </c>
      <c r="L46" s="135">
        <v>42.30</v>
      </c>
      <c r="M46" s="135">
        <v>97.41</v>
      </c>
      <c r="N46" s="135">
        <v>96</v>
      </c>
      <c r="O46" s="135">
        <v>0</v>
      </c>
      <c r="P46" s="135">
        <v>2.71</v>
      </c>
      <c r="Q46" s="135">
        <v>5.21</v>
      </c>
      <c r="R46" s="194"/>
      <c r="S46" s="194"/>
      <c r="T46" s="194"/>
      <c r="U46" s="194"/>
    </row>
    <row r="47" spans="1:21" s="12" customFormat="1" ht="15">
      <c r="A47" s="207" t="s">
        <v>1915</v>
      </c>
      <c r="B47" s="135">
        <v>3.70</v>
      </c>
      <c r="C47" s="135">
        <v>12.07</v>
      </c>
      <c r="D47" s="135">
        <v>15.78</v>
      </c>
      <c r="E47" s="135">
        <v>7.37</v>
      </c>
      <c r="F47" s="135">
        <v>0.45</v>
      </c>
      <c r="G47" s="208" t="s">
        <v>36</v>
      </c>
      <c r="H47" s="135">
        <v>3.87</v>
      </c>
      <c r="I47" s="135">
        <v>3.94</v>
      </c>
      <c r="J47" s="135">
        <v>2.2200000000000002</v>
      </c>
      <c r="K47" s="135">
        <v>158.18</v>
      </c>
      <c r="L47" s="135">
        <v>40.909999999999997</v>
      </c>
      <c r="M47" s="135">
        <v>98.42</v>
      </c>
      <c r="N47" s="135">
        <v>107.40</v>
      </c>
      <c r="O47" s="135">
        <v>0.20</v>
      </c>
      <c r="P47" s="135">
        <v>2.70</v>
      </c>
      <c r="Q47" s="135">
        <v>5.08</v>
      </c>
      <c r="R47" s="194"/>
      <c r="S47" s="194"/>
      <c r="T47" s="194"/>
      <c r="U47" s="194"/>
    </row>
    <row r="48" spans="1:21" s="12" customFormat="1" ht="15">
      <c r="A48" s="207" t="s">
        <v>1916</v>
      </c>
      <c r="B48" s="135">
        <v>3.63</v>
      </c>
      <c r="C48" s="135">
        <v>11.53</v>
      </c>
      <c r="D48" s="135">
        <v>15.16</v>
      </c>
      <c r="E48" s="135">
        <v>7.14</v>
      </c>
      <c r="F48" s="135">
        <v>0.64</v>
      </c>
      <c r="G48" s="208" t="s">
        <v>36</v>
      </c>
      <c r="H48" s="135">
        <v>3.87</v>
      </c>
      <c r="I48" s="135">
        <v>3.88</v>
      </c>
      <c r="J48" s="135">
        <v>2.10</v>
      </c>
      <c r="K48" s="135">
        <v>161.33000000000001</v>
      </c>
      <c r="L48" s="135">
        <v>40.450000000000003</v>
      </c>
      <c r="M48" s="135">
        <v>98.61</v>
      </c>
      <c r="N48" s="135">
        <v>129.90</v>
      </c>
      <c r="O48" s="135">
        <v>0</v>
      </c>
      <c r="P48" s="135">
        <v>2.69</v>
      </c>
      <c r="Q48" s="135">
        <v>4.79</v>
      </c>
      <c r="R48" s="194"/>
      <c r="S48" s="194"/>
      <c r="T48" s="194"/>
      <c r="U48" s="194"/>
    </row>
    <row r="49" spans="1:21" s="12" customFormat="1" ht="15">
      <c r="A49" s="207" t="s">
        <v>1917</v>
      </c>
      <c r="B49" s="135">
        <v>3.24</v>
      </c>
      <c r="C49" s="135">
        <v>12.23</v>
      </c>
      <c r="D49" s="135">
        <v>15.47</v>
      </c>
      <c r="E49" s="135">
        <v>6.19</v>
      </c>
      <c r="F49" s="135">
        <v>0.59</v>
      </c>
      <c r="G49" s="208" t="s">
        <v>36</v>
      </c>
      <c r="H49" s="135">
        <v>3.57</v>
      </c>
      <c r="I49" s="135">
        <v>3.78</v>
      </c>
      <c r="J49" s="135">
        <v>1.67</v>
      </c>
      <c r="K49" s="135">
        <v>166.62</v>
      </c>
      <c r="L49" s="135">
        <v>44.23</v>
      </c>
      <c r="M49" s="135">
        <v>98.20</v>
      </c>
      <c r="N49" s="135">
        <v>146.60</v>
      </c>
      <c r="O49" s="135">
        <v>0</v>
      </c>
      <c r="P49" s="135">
        <v>2.68</v>
      </c>
      <c r="Q49" s="135">
        <v>4.5599999999999996</v>
      </c>
      <c r="R49" s="194"/>
      <c r="S49" s="194"/>
      <c r="T49" s="194"/>
      <c r="U49" s="194"/>
    </row>
    <row r="50" spans="1:21" s="12" customFormat="1" ht="15">
      <c r="A50" s="207" t="s">
        <v>1918</v>
      </c>
      <c r="B50" s="135">
        <v>2.81</v>
      </c>
      <c r="C50" s="135">
        <v>13.04</v>
      </c>
      <c r="D50" s="135">
        <v>15.85</v>
      </c>
      <c r="E50" s="135">
        <v>5.71</v>
      </c>
      <c r="F50" s="135">
        <v>0.76</v>
      </c>
      <c r="G50" s="208" t="s">
        <v>36</v>
      </c>
      <c r="H50" s="135">
        <v>2.82</v>
      </c>
      <c r="I50" s="135">
        <v>3.60</v>
      </c>
      <c r="J50" s="135">
        <v>1.19</v>
      </c>
      <c r="K50" s="135">
        <v>171.70</v>
      </c>
      <c r="L50" s="135">
        <v>44.20</v>
      </c>
      <c r="M50" s="135">
        <v>96.80</v>
      </c>
      <c r="N50" s="135">
        <v>166.5</v>
      </c>
      <c r="O50" s="135">
        <v>0</v>
      </c>
      <c r="P50" s="135">
        <v>2.67</v>
      </c>
      <c r="Q50" s="135">
        <v>4.30</v>
      </c>
      <c r="R50" s="194"/>
      <c r="S50" s="194"/>
      <c r="T50" s="194"/>
      <c r="U50" s="194"/>
    </row>
    <row r="51" spans="1:21" s="12" customFormat="1" ht="15">
      <c r="A51" s="207" t="s">
        <v>1919</v>
      </c>
      <c r="B51" s="135">
        <v>2.37</v>
      </c>
      <c r="C51" s="135">
        <v>13.45</v>
      </c>
      <c r="D51" s="135">
        <v>15.82</v>
      </c>
      <c r="E51" s="135">
        <v>4.95</v>
      </c>
      <c r="F51" s="135">
        <v>0.80</v>
      </c>
      <c r="G51" s="208" t="s">
        <v>36</v>
      </c>
      <c r="H51" s="135">
        <v>2.82</v>
      </c>
      <c r="I51" s="135">
        <v>3.26</v>
      </c>
      <c r="J51" s="135">
        <v>1.71</v>
      </c>
      <c r="K51" s="135">
        <v>161.34</v>
      </c>
      <c r="L51" s="135">
        <v>46.08</v>
      </c>
      <c r="M51" s="135">
        <v>95.02</v>
      </c>
      <c r="N51" s="135">
        <v>235.5</v>
      </c>
      <c r="O51" s="135">
        <v>0</v>
      </c>
      <c r="P51" s="135">
        <v>2.67</v>
      </c>
      <c r="Q51" s="135">
        <v>4.17</v>
      </c>
      <c r="R51" s="194"/>
      <c r="S51" s="194"/>
      <c r="T51" s="194"/>
      <c r="U51" s="194"/>
    </row>
    <row r="52" spans="1:21" s="12" customFormat="1" ht="15">
      <c r="A52" s="207" t="s">
        <v>1920</v>
      </c>
      <c r="B52" s="135">
        <v>2.37</v>
      </c>
      <c r="C52" s="135">
        <v>14.10</v>
      </c>
      <c r="D52" s="135">
        <v>16.46</v>
      </c>
      <c r="E52" s="135">
        <v>4.4000000000000004</v>
      </c>
      <c r="F52" s="135">
        <v>1.29</v>
      </c>
      <c r="G52" s="208" t="s">
        <v>36</v>
      </c>
      <c r="H52" s="135">
        <v>2.82</v>
      </c>
      <c r="I52" s="135">
        <v>3.02</v>
      </c>
      <c r="J52" s="135">
        <v>1.82</v>
      </c>
      <c r="K52" s="135">
        <v>167.56</v>
      </c>
      <c r="L52" s="135">
        <v>47.17</v>
      </c>
      <c r="M52" s="135">
        <v>93.91</v>
      </c>
      <c r="N52" s="135">
        <v>305.39999999999998</v>
      </c>
      <c r="O52" s="135">
        <v>0</v>
      </c>
      <c r="P52" s="135">
        <v>2.65</v>
      </c>
      <c r="Q52" s="135">
        <v>3.83</v>
      </c>
      <c r="R52" s="194"/>
      <c r="S52" s="194"/>
      <c r="T52" s="194"/>
      <c r="U52" s="194"/>
    </row>
    <row r="53" spans="1:21" s="12" customFormat="1" ht="15">
      <c r="A53" s="207" t="s">
        <v>1921</v>
      </c>
      <c r="B53" s="135">
        <v>2.1800000000000002</v>
      </c>
      <c r="C53" s="135">
        <v>14.47</v>
      </c>
      <c r="D53" s="135">
        <v>16.64</v>
      </c>
      <c r="E53" s="135">
        <v>3.70</v>
      </c>
      <c r="F53" s="135">
        <v>1.1200000000000001</v>
      </c>
      <c r="G53" s="208" t="s">
        <v>36</v>
      </c>
      <c r="H53" s="135">
        <v>2.63</v>
      </c>
      <c r="I53" s="135">
        <v>2.85</v>
      </c>
      <c r="J53" s="135">
        <v>2.0299999999999998</v>
      </c>
      <c r="K53" s="135">
        <v>164.49</v>
      </c>
      <c r="L53" s="135">
        <v>45.91</v>
      </c>
      <c r="M53" s="135">
        <v>89.95</v>
      </c>
      <c r="N53" s="135">
        <v>637.40</v>
      </c>
      <c r="O53" s="135">
        <v>0</v>
      </c>
      <c r="P53" s="135">
        <v>2.65</v>
      </c>
      <c r="Q53" s="135">
        <v>3.91</v>
      </c>
      <c r="R53" s="194"/>
      <c r="S53" s="194"/>
      <c r="T53" s="194"/>
      <c r="U53" s="194"/>
    </row>
    <row r="54" spans="1:21" s="12" customFormat="1" ht="15">
      <c r="A54" s="207" t="s">
        <v>1922</v>
      </c>
      <c r="B54" s="135">
        <v>1.83</v>
      </c>
      <c r="C54" s="135">
        <v>14.15</v>
      </c>
      <c r="D54" s="135">
        <v>15.98</v>
      </c>
      <c r="E54" s="135">
        <v>3.34</v>
      </c>
      <c r="F54" s="135">
        <v>1.27</v>
      </c>
      <c r="G54" s="208" t="s">
        <v>36</v>
      </c>
      <c r="H54" s="135">
        <v>2.15</v>
      </c>
      <c r="I54" s="135">
        <v>2.57</v>
      </c>
      <c r="J54" s="135">
        <v>1.91</v>
      </c>
      <c r="K54" s="135">
        <v>162.16999999999999</v>
      </c>
      <c r="L54" s="135">
        <v>47.52</v>
      </c>
      <c r="M54" s="135">
        <v>85.11</v>
      </c>
      <c r="N54" s="135">
        <v>636.60</v>
      </c>
      <c r="O54" s="135">
        <v>0</v>
      </c>
      <c r="P54" s="135">
        <v>2.64</v>
      </c>
      <c r="Q54" s="135">
        <v>3.41</v>
      </c>
      <c r="R54" s="194"/>
      <c r="S54" s="194"/>
      <c r="T54" s="194"/>
      <c r="U54" s="194"/>
    </row>
    <row r="55" spans="1:21" s="12" customFormat="1" ht="15">
      <c r="A55" s="207" t="s">
        <v>1923</v>
      </c>
      <c r="B55" s="135">
        <v>1.46</v>
      </c>
      <c r="C55" s="135">
        <v>14.13</v>
      </c>
      <c r="D55" s="135">
        <v>15.59</v>
      </c>
      <c r="E55" s="135">
        <v>3.02</v>
      </c>
      <c r="F55" s="135">
        <v>1.19</v>
      </c>
      <c r="G55" s="208" t="s">
        <v>36</v>
      </c>
      <c r="H55" s="135">
        <v>2.15</v>
      </c>
      <c r="I55" s="135">
        <v>2.48</v>
      </c>
      <c r="J55" s="135">
        <v>1.69</v>
      </c>
      <c r="K55" s="135">
        <v>165.47</v>
      </c>
      <c r="L55" s="135">
        <v>47.55</v>
      </c>
      <c r="M55" s="135">
        <v>84.88</v>
      </c>
      <c r="N55" s="135">
        <v>170.30</v>
      </c>
      <c r="O55" s="135">
        <v>0</v>
      </c>
      <c r="P55" s="135">
        <v>2.63</v>
      </c>
      <c r="Q55" s="135">
        <v>3.13</v>
      </c>
      <c r="R55" s="194"/>
      <c r="S55" s="194"/>
      <c r="T55" s="194"/>
      <c r="U55" s="194"/>
    </row>
    <row r="56" spans="1:21" s="12" customFormat="1" ht="15">
      <c r="A56" s="207" t="s">
        <v>1924</v>
      </c>
      <c r="B56" s="135">
        <v>1.44</v>
      </c>
      <c r="C56" s="135">
        <v>14.27</v>
      </c>
      <c r="D56" s="135">
        <v>15.71</v>
      </c>
      <c r="E56" s="135">
        <v>1.54</v>
      </c>
      <c r="F56" s="135">
        <v>0.97</v>
      </c>
      <c r="G56" s="208" t="s">
        <v>36</v>
      </c>
      <c r="H56" s="135">
        <v>2.15</v>
      </c>
      <c r="I56" s="135">
        <v>2.38</v>
      </c>
      <c r="J56" s="135">
        <v>0.95</v>
      </c>
      <c r="K56" s="135">
        <v>187.81</v>
      </c>
      <c r="L56" s="135">
        <v>47.94</v>
      </c>
      <c r="M56" s="135">
        <v>84.74</v>
      </c>
      <c r="N56" s="135">
        <v>200.80</v>
      </c>
      <c r="O56" s="135">
        <v>0</v>
      </c>
      <c r="P56" s="135">
        <v>2.63</v>
      </c>
      <c r="Q56" s="135">
        <v>3.04</v>
      </c>
      <c r="R56" s="194"/>
      <c r="S56" s="194"/>
      <c r="T56" s="194"/>
      <c r="U56" s="194"/>
    </row>
    <row r="57" spans="1:21" s="12" customFormat="1" ht="15">
      <c r="A57" s="207" t="s">
        <v>1925</v>
      </c>
      <c r="B57" s="135">
        <v>2.72</v>
      </c>
      <c r="C57" s="135">
        <v>14.69</v>
      </c>
      <c r="D57" s="135">
        <v>17.420000000000002</v>
      </c>
      <c r="E57" s="135">
        <v>2.72</v>
      </c>
      <c r="F57" s="135">
        <v>0.85</v>
      </c>
      <c r="G57" s="208" t="s">
        <v>36</v>
      </c>
      <c r="H57" s="135">
        <v>2.97</v>
      </c>
      <c r="I57" s="135">
        <v>2.31</v>
      </c>
      <c r="J57" s="135">
        <v>1</v>
      </c>
      <c r="K57" s="135">
        <v>189.38</v>
      </c>
      <c r="L57" s="135">
        <v>45.69</v>
      </c>
      <c r="M57" s="135">
        <v>83.21</v>
      </c>
      <c r="N57" s="135">
        <v>571.20000000000005</v>
      </c>
      <c r="O57" s="135">
        <v>0</v>
      </c>
      <c r="P57" s="135">
        <v>2.63</v>
      </c>
      <c r="Q57" s="135">
        <v>3.34</v>
      </c>
      <c r="R57" s="194"/>
      <c r="S57" s="194"/>
      <c r="T57" s="194"/>
      <c r="U57" s="194"/>
    </row>
    <row r="58" spans="1:21" s="12" customFormat="1" ht="15">
      <c r="A58" s="207" t="s">
        <v>1926</v>
      </c>
      <c r="B58" s="135">
        <v>3.84</v>
      </c>
      <c r="C58" s="135">
        <v>16.34</v>
      </c>
      <c r="D58" s="135">
        <v>20.170000000000002</v>
      </c>
      <c r="E58" s="135">
        <v>2.5499999999999998</v>
      </c>
      <c r="F58" s="135">
        <v>1.27</v>
      </c>
      <c r="G58" s="208" t="s">
        <v>36</v>
      </c>
      <c r="H58" s="135">
        <v>4.99</v>
      </c>
      <c r="I58" s="135">
        <v>2.27</v>
      </c>
      <c r="J58" s="135">
        <v>1.1299999999999999</v>
      </c>
      <c r="K58" s="135">
        <v>186.31</v>
      </c>
      <c r="L58" s="135">
        <v>44.74</v>
      </c>
      <c r="M58" s="135">
        <v>81.03</v>
      </c>
      <c r="N58" s="135">
        <v>342</v>
      </c>
      <c r="O58" s="135">
        <v>0</v>
      </c>
      <c r="P58" s="135">
        <v>2.63</v>
      </c>
      <c r="Q58" s="135">
        <v>3.92</v>
      </c>
      <c r="R58" s="194"/>
      <c r="S58" s="194"/>
      <c r="T58" s="194"/>
      <c r="U58" s="194"/>
    </row>
    <row r="59" spans="1:21" s="12" customFormat="1" ht="15">
      <c r="A59" s="207" t="s">
        <v>1927</v>
      </c>
      <c r="B59" s="135">
        <v>2.69</v>
      </c>
      <c r="C59" s="135">
        <v>16.59</v>
      </c>
      <c r="D59" s="135">
        <v>19.29</v>
      </c>
      <c r="E59" s="135">
        <v>2.82</v>
      </c>
      <c r="F59" s="135">
        <v>1.0900000000000001</v>
      </c>
      <c r="G59" s="208" t="s">
        <v>36</v>
      </c>
      <c r="H59" s="135">
        <v>4.99</v>
      </c>
      <c r="I59" s="135">
        <v>2.27</v>
      </c>
      <c r="J59" s="135">
        <v>0.80</v>
      </c>
      <c r="K59" s="135">
        <v>190.52</v>
      </c>
      <c r="L59" s="135">
        <v>41.98</v>
      </c>
      <c r="M59" s="135">
        <v>87.96</v>
      </c>
      <c r="N59" s="135">
        <v>198</v>
      </c>
      <c r="O59" s="135">
        <v>0</v>
      </c>
      <c r="P59" s="135">
        <v>2.62</v>
      </c>
      <c r="Q59" s="135">
        <v>3.55</v>
      </c>
      <c r="R59" s="194"/>
      <c r="S59" s="194"/>
      <c r="T59" s="194"/>
      <c r="U59" s="194"/>
    </row>
    <row r="60" spans="1:21" s="12" customFormat="1" ht="15">
      <c r="A60" s="207" t="s">
        <v>1928</v>
      </c>
      <c r="B60" s="135">
        <v>2.04</v>
      </c>
      <c r="C60" s="135">
        <v>15.66</v>
      </c>
      <c r="D60" s="135">
        <v>17.690000000000001</v>
      </c>
      <c r="E60" s="135">
        <v>2.77</v>
      </c>
      <c r="F60" s="135">
        <v>0.77</v>
      </c>
      <c r="G60" s="208" t="s">
        <v>36</v>
      </c>
      <c r="H60" s="135">
        <v>4.99</v>
      </c>
      <c r="I60" s="135">
        <v>2.2200000000000002</v>
      </c>
      <c r="J60" s="135">
        <v>1.07</v>
      </c>
      <c r="K60" s="135">
        <v>189.98</v>
      </c>
      <c r="L60" s="135">
        <v>42.52</v>
      </c>
      <c r="M60" s="135">
        <v>83.02</v>
      </c>
      <c r="N60" s="135">
        <v>759.5</v>
      </c>
      <c r="O60" s="135">
        <v>0</v>
      </c>
      <c r="P60" s="135">
        <v>2.61</v>
      </c>
      <c r="Q60" s="135">
        <v>3.12</v>
      </c>
      <c r="R60" s="194"/>
      <c r="S60" s="194"/>
      <c r="T60" s="194"/>
      <c r="U60" s="194"/>
    </row>
    <row r="61" spans="1:21" s="12" customFormat="1" ht="15">
      <c r="A61" s="207" t="s">
        <v>1929</v>
      </c>
      <c r="B61" s="135">
        <v>1.79</v>
      </c>
      <c r="C61" s="135">
        <v>14.29</v>
      </c>
      <c r="D61" s="135">
        <v>16.09</v>
      </c>
      <c r="E61" s="135">
        <v>2.59</v>
      </c>
      <c r="F61" s="135">
        <v>0.79</v>
      </c>
      <c r="G61" s="208" t="s">
        <v>36</v>
      </c>
      <c r="H61" s="135">
        <v>4.72</v>
      </c>
      <c r="I61" s="135">
        <v>2.13</v>
      </c>
      <c r="J61" s="135">
        <v>0.68</v>
      </c>
      <c r="K61" s="135">
        <v>213.21</v>
      </c>
      <c r="L61" s="135">
        <v>43.38</v>
      </c>
      <c r="M61" s="135">
        <v>79.260000000000005</v>
      </c>
      <c r="N61" s="135">
        <v>274.20</v>
      </c>
      <c r="O61" s="135">
        <v>0</v>
      </c>
      <c r="P61" s="135">
        <v>2.61</v>
      </c>
      <c r="Q61" s="135">
        <v>2.85</v>
      </c>
      <c r="R61" s="194"/>
      <c r="S61" s="194"/>
      <c r="T61" s="194"/>
      <c r="U61" s="194"/>
    </row>
    <row r="62" spans="1:21" s="12" customFormat="1" ht="15">
      <c r="A62" s="207" t="s">
        <v>1930</v>
      </c>
      <c r="B62" s="135">
        <v>1.79</v>
      </c>
      <c r="C62" s="135">
        <v>13.40</v>
      </c>
      <c r="D62" s="135">
        <v>15.18</v>
      </c>
      <c r="E62" s="135">
        <v>2.71</v>
      </c>
      <c r="F62" s="135">
        <v>0.69</v>
      </c>
      <c r="G62" s="208" t="s">
        <v>36</v>
      </c>
      <c r="H62" s="135">
        <v>4.07</v>
      </c>
      <c r="I62" s="135">
        <v>2.14</v>
      </c>
      <c r="J62" s="135">
        <v>1.1100000000000001</v>
      </c>
      <c r="K62" s="135">
        <v>185.25</v>
      </c>
      <c r="L62" s="135">
        <v>43.32</v>
      </c>
      <c r="M62" s="135">
        <v>81.739999999999995</v>
      </c>
      <c r="N62" s="135">
        <v>148.19999999999999</v>
      </c>
      <c r="O62" s="135">
        <v>0</v>
      </c>
      <c r="P62" s="135">
        <v>2.61</v>
      </c>
      <c r="Q62" s="135">
        <v>2.75</v>
      </c>
      <c r="R62" s="194"/>
      <c r="S62" s="194"/>
      <c r="T62" s="194"/>
      <c r="U62" s="194"/>
    </row>
    <row r="63" spans="1:21" s="12" customFormat="1" ht="15">
      <c r="A63" s="207" t="s">
        <v>1931</v>
      </c>
      <c r="B63" s="135">
        <v>1.92</v>
      </c>
      <c r="C63" s="135">
        <v>12.37</v>
      </c>
      <c r="D63" s="135">
        <v>14.29</v>
      </c>
      <c r="E63" s="135">
        <v>3.07</v>
      </c>
      <c r="F63" s="135">
        <v>0.66</v>
      </c>
      <c r="G63" s="208" t="s">
        <v>36</v>
      </c>
      <c r="H63" s="135">
        <v>4.07</v>
      </c>
      <c r="I63" s="135">
        <v>2.15</v>
      </c>
      <c r="J63" s="135">
        <v>1.08</v>
      </c>
      <c r="K63" s="135">
        <v>193.36</v>
      </c>
      <c r="L63" s="135">
        <v>43</v>
      </c>
      <c r="M63" s="135">
        <v>83.22</v>
      </c>
      <c r="N63" s="135">
        <v>117.40</v>
      </c>
      <c r="O63" s="135">
        <v>0</v>
      </c>
      <c r="P63" s="135">
        <v>2.60</v>
      </c>
      <c r="Q63" s="135">
        <v>2.5099999999999998</v>
      </c>
      <c r="R63" s="194"/>
      <c r="S63" s="194"/>
      <c r="T63" s="194"/>
      <c r="U63" s="194"/>
    </row>
    <row r="64" spans="1:21" s="12" customFormat="1" ht="15">
      <c r="A64" s="207" t="s">
        <v>1932</v>
      </c>
      <c r="B64" s="135">
        <v>2.0499999999999998</v>
      </c>
      <c r="C64" s="135">
        <v>11.92</v>
      </c>
      <c r="D64" s="135">
        <v>13.97</v>
      </c>
      <c r="E64" s="135">
        <v>2.91</v>
      </c>
      <c r="F64" s="135">
        <v>0.61</v>
      </c>
      <c r="G64" s="208" t="s">
        <v>36</v>
      </c>
      <c r="H64" s="135">
        <v>4.07</v>
      </c>
      <c r="I64" s="135">
        <v>2.17</v>
      </c>
      <c r="J64" s="135">
        <v>0.79</v>
      </c>
      <c r="K64" s="135">
        <v>187.63</v>
      </c>
      <c r="L64" s="135">
        <v>43.65</v>
      </c>
      <c r="M64" s="135">
        <v>82</v>
      </c>
      <c r="N64" s="135">
        <v>307.39999999999998</v>
      </c>
      <c r="O64" s="135">
        <v>0</v>
      </c>
      <c r="P64" s="135">
        <v>2.60</v>
      </c>
      <c r="Q64" s="135">
        <v>2.48</v>
      </c>
      <c r="R64" s="194"/>
      <c r="S64" s="194"/>
      <c r="T64" s="194"/>
      <c r="U64" s="194"/>
    </row>
    <row r="65" spans="1:21" s="12" customFormat="1" ht="15">
      <c r="A65" s="207" t="s">
        <v>1933</v>
      </c>
      <c r="B65" s="135">
        <v>2.13</v>
      </c>
      <c r="C65" s="135">
        <v>11.30</v>
      </c>
      <c r="D65" s="135">
        <v>13.43</v>
      </c>
      <c r="E65" s="135">
        <v>2.80</v>
      </c>
      <c r="F65" s="135">
        <v>0.53</v>
      </c>
      <c r="G65" s="208" t="s">
        <v>36</v>
      </c>
      <c r="H65" s="135">
        <v>3.92</v>
      </c>
      <c r="I65" s="135">
        <v>2.15</v>
      </c>
      <c r="J65" s="135">
        <v>0.85</v>
      </c>
      <c r="K65" s="135">
        <v>185.45</v>
      </c>
      <c r="L65" s="135">
        <v>44.45</v>
      </c>
      <c r="M65" s="135">
        <v>79.84</v>
      </c>
      <c r="N65" s="135">
        <v>235.90</v>
      </c>
      <c r="O65" s="135">
        <v>0</v>
      </c>
      <c r="P65" s="135">
        <v>2.60</v>
      </c>
      <c r="Q65" s="135">
        <v>2.41</v>
      </c>
      <c r="R65" s="194"/>
      <c r="S65" s="194"/>
      <c r="T65" s="194"/>
      <c r="U65" s="194"/>
    </row>
    <row r="66" spans="1:21" s="12" customFormat="1" ht="15">
      <c r="A66" s="207" t="s">
        <v>1934</v>
      </c>
      <c r="B66" s="135">
        <v>2.2200000000000002</v>
      </c>
      <c r="C66" s="135">
        <v>11.23</v>
      </c>
      <c r="D66" s="135">
        <v>13.45</v>
      </c>
      <c r="E66" s="135">
        <v>3.27</v>
      </c>
      <c r="F66" s="135">
        <v>0.33</v>
      </c>
      <c r="G66" s="208" t="s">
        <v>36</v>
      </c>
      <c r="H66" s="135">
        <v>3.57</v>
      </c>
      <c r="I66" s="135">
        <v>2.1800000000000002</v>
      </c>
      <c r="J66" s="135">
        <v>1.32</v>
      </c>
      <c r="K66" s="135">
        <v>170.29</v>
      </c>
      <c r="L66" s="135">
        <v>44.19</v>
      </c>
      <c r="M66" s="135">
        <v>81.319999999999993</v>
      </c>
      <c r="N66" s="135">
        <v>151.80000000000001</v>
      </c>
      <c r="O66" s="135">
        <v>0</v>
      </c>
      <c r="P66" s="135">
        <v>2.60</v>
      </c>
      <c r="Q66" s="135">
        <v>2.57</v>
      </c>
      <c r="R66" s="194"/>
      <c r="S66" s="194"/>
      <c r="T66" s="194"/>
      <c r="U66" s="194"/>
    </row>
    <row r="67" spans="1:21" s="12" customFormat="1" ht="15">
      <c r="A67" s="207" t="s">
        <v>1935</v>
      </c>
      <c r="B67" s="135">
        <v>2.2599999999999998</v>
      </c>
      <c r="C67" s="135">
        <v>11.40</v>
      </c>
      <c r="D67" s="135">
        <v>13.66</v>
      </c>
      <c r="E67" s="135">
        <v>3.42</v>
      </c>
      <c r="F67" s="135">
        <v>0.48</v>
      </c>
      <c r="G67" s="208" t="s">
        <v>36</v>
      </c>
      <c r="H67" s="135">
        <v>3.57</v>
      </c>
      <c r="I67" s="135">
        <v>2.16</v>
      </c>
      <c r="J67" s="135">
        <v>1.05</v>
      </c>
      <c r="K67" s="135">
        <v>180.63</v>
      </c>
      <c r="L67" s="135">
        <v>44.97</v>
      </c>
      <c r="M67" s="135">
        <v>84.75</v>
      </c>
      <c r="N67" s="135">
        <v>106.60</v>
      </c>
      <c r="O67" s="135">
        <v>0</v>
      </c>
      <c r="P67" s="135">
        <v>2.61</v>
      </c>
      <c r="Q67" s="135">
        <v>2.46</v>
      </c>
      <c r="R67" s="194"/>
      <c r="S67" s="194"/>
      <c r="T67" s="194"/>
      <c r="U67" s="194"/>
    </row>
    <row r="68" spans="1:21" s="12" customFormat="1" ht="15">
      <c r="A68" s="207" t="s">
        <v>1936</v>
      </c>
      <c r="B68" s="135">
        <v>2.35</v>
      </c>
      <c r="C68" s="135">
        <v>11.52</v>
      </c>
      <c r="D68" s="135">
        <v>13.87</v>
      </c>
      <c r="E68" s="135">
        <v>3.59</v>
      </c>
      <c r="F68" s="135">
        <v>0.44</v>
      </c>
      <c r="G68" s="208" t="s">
        <v>36</v>
      </c>
      <c r="H68" s="135">
        <v>3.57</v>
      </c>
      <c r="I68" s="135">
        <v>2.23</v>
      </c>
      <c r="J68" s="135">
        <v>1.41</v>
      </c>
      <c r="K68" s="135">
        <v>180.77</v>
      </c>
      <c r="L68" s="135">
        <v>31.27</v>
      </c>
      <c r="M68" s="135">
        <v>83.46</v>
      </c>
      <c r="N68" s="135">
        <v>131.40</v>
      </c>
      <c r="O68" s="135">
        <v>0</v>
      </c>
      <c r="P68" s="135">
        <v>2.59</v>
      </c>
      <c r="Q68" s="135">
        <v>2.36</v>
      </c>
      <c r="R68" s="194"/>
      <c r="S68" s="194"/>
      <c r="T68" s="194"/>
      <c r="U68" s="194"/>
    </row>
    <row r="69" spans="1:21" s="12" customFormat="1" ht="15">
      <c r="A69" s="207" t="s">
        <v>1937</v>
      </c>
      <c r="B69" s="135">
        <v>2.41</v>
      </c>
      <c r="C69" s="135">
        <v>11.53</v>
      </c>
      <c r="D69" s="135">
        <v>13.94</v>
      </c>
      <c r="E69" s="135">
        <v>3.35</v>
      </c>
      <c r="F69" s="135">
        <v>0.44</v>
      </c>
      <c r="G69" s="208" t="s">
        <v>36</v>
      </c>
      <c r="H69" s="135">
        <v>3.54</v>
      </c>
      <c r="I69" s="135">
        <v>2.2000000000000002</v>
      </c>
      <c r="J69" s="135">
        <v>0.85</v>
      </c>
      <c r="K69" s="135">
        <v>186.66</v>
      </c>
      <c r="L69" s="135">
        <v>31.51</v>
      </c>
      <c r="M69" s="135">
        <v>82.69</v>
      </c>
      <c r="N69" s="135">
        <v>155.80000000000001</v>
      </c>
      <c r="O69" s="135">
        <v>0</v>
      </c>
      <c r="P69" s="135">
        <v>2.61</v>
      </c>
      <c r="Q69" s="135">
        <v>2.4700000000000002</v>
      </c>
      <c r="R69" s="194"/>
      <c r="S69" s="194"/>
      <c r="T69" s="194"/>
      <c r="U69" s="194"/>
    </row>
    <row r="70" spans="1:21" s="12" customFormat="1" ht="15">
      <c r="A70" s="207" t="s">
        <v>1938</v>
      </c>
      <c r="B70" s="135">
        <v>2.48</v>
      </c>
      <c r="C70" s="135">
        <v>11.20</v>
      </c>
      <c r="D70" s="135">
        <v>13.68</v>
      </c>
      <c r="E70" s="135">
        <v>3.23</v>
      </c>
      <c r="F70" s="135">
        <v>0.60</v>
      </c>
      <c r="G70" s="208" t="s">
        <v>36</v>
      </c>
      <c r="H70" s="135">
        <v>3.45</v>
      </c>
      <c r="I70" s="135">
        <v>2.17</v>
      </c>
      <c r="J70" s="135">
        <v>0.68</v>
      </c>
      <c r="K70" s="135">
        <v>209.98</v>
      </c>
      <c r="L70" s="10" t="s">
        <v>43</v>
      </c>
      <c r="M70" s="135">
        <v>87.72</v>
      </c>
      <c r="N70" s="135">
        <v>120.30</v>
      </c>
      <c r="O70" s="135">
        <v>0.20</v>
      </c>
      <c r="P70" s="135">
        <v>2.60</v>
      </c>
      <c r="Q70" s="135">
        <v>2.38</v>
      </c>
      <c r="R70" s="194"/>
      <c r="S70" s="194"/>
      <c r="T70" s="194"/>
      <c r="U70" s="194"/>
    </row>
    <row r="71" spans="1:21" s="12" customFormat="1" ht="15">
      <c r="A71" s="207" t="s">
        <v>1939</v>
      </c>
      <c r="B71" s="135">
        <v>2.4300000000000002</v>
      </c>
      <c r="C71" s="135">
        <v>10.91</v>
      </c>
      <c r="D71" s="135">
        <v>13.35</v>
      </c>
      <c r="E71" s="135">
        <v>3.22</v>
      </c>
      <c r="F71" s="135">
        <v>0.59</v>
      </c>
      <c r="G71" s="208" t="s">
        <v>36</v>
      </c>
      <c r="H71" s="135">
        <v>3.45</v>
      </c>
      <c r="I71" s="135">
        <v>2.16</v>
      </c>
      <c r="J71" s="135">
        <v>0.72</v>
      </c>
      <c r="K71" s="135">
        <v>188.67</v>
      </c>
      <c r="L71" s="10" t="s">
        <v>43</v>
      </c>
      <c r="M71" s="135">
        <v>93.39</v>
      </c>
      <c r="N71" s="135">
        <v>126.40</v>
      </c>
      <c r="O71" s="135">
        <v>0</v>
      </c>
      <c r="P71" s="135">
        <v>2.61</v>
      </c>
      <c r="Q71" s="135">
        <v>2.40</v>
      </c>
      <c r="R71" s="194"/>
      <c r="S71" s="194"/>
      <c r="T71" s="194"/>
      <c r="U71" s="194"/>
    </row>
    <row r="72" spans="1:21" s="12" customFormat="1" ht="15">
      <c r="A72" s="207" t="s">
        <v>1940</v>
      </c>
      <c r="B72" s="135">
        <v>2.11</v>
      </c>
      <c r="C72" s="135">
        <v>11.36</v>
      </c>
      <c r="D72" s="135">
        <v>13.46</v>
      </c>
      <c r="E72" s="135">
        <v>2.57</v>
      </c>
      <c r="F72" s="135">
        <v>1.75</v>
      </c>
      <c r="G72" s="208" t="s">
        <v>36</v>
      </c>
      <c r="H72" s="135">
        <v>3.45</v>
      </c>
      <c r="I72" s="135">
        <v>2.1800000000000002</v>
      </c>
      <c r="J72" s="135">
        <v>0.77</v>
      </c>
      <c r="K72" s="135">
        <v>197.09</v>
      </c>
      <c r="L72" s="10" t="s">
        <v>43</v>
      </c>
      <c r="M72" s="135">
        <v>92.35</v>
      </c>
      <c r="N72" s="135">
        <v>110.80</v>
      </c>
      <c r="O72" s="135">
        <v>0</v>
      </c>
      <c r="P72" s="135">
        <v>2.61</v>
      </c>
      <c r="Q72" s="135">
        <v>2.38</v>
      </c>
      <c r="R72" s="194"/>
      <c r="S72" s="194"/>
      <c r="T72" s="194"/>
      <c r="U72" s="194"/>
    </row>
    <row r="73" spans="1:21" s="12" customFormat="1" ht="15">
      <c r="A73" s="207" t="s">
        <v>1941</v>
      </c>
      <c r="B73" s="135">
        <v>1.53</v>
      </c>
      <c r="C73" s="135">
        <v>11.77</v>
      </c>
      <c r="D73" s="135">
        <v>13.29</v>
      </c>
      <c r="E73" s="135">
        <v>3.94</v>
      </c>
      <c r="F73" s="135">
        <v>1.31</v>
      </c>
      <c r="G73" s="208" t="s">
        <v>36</v>
      </c>
      <c r="H73" s="135">
        <v>3.19</v>
      </c>
      <c r="I73" s="135">
        <v>2.16</v>
      </c>
      <c r="J73" s="135">
        <v>0.5</v>
      </c>
      <c r="K73" s="135">
        <v>181.44</v>
      </c>
      <c r="L73" s="10" t="s">
        <v>43</v>
      </c>
      <c r="M73" s="135">
        <v>89.15</v>
      </c>
      <c r="N73" s="135">
        <v>77.900000000000006</v>
      </c>
      <c r="O73" s="135">
        <v>0</v>
      </c>
      <c r="P73" s="135">
        <v>2.60</v>
      </c>
      <c r="Q73" s="135">
        <v>2.2000000000000002</v>
      </c>
      <c r="R73" s="194"/>
      <c r="S73" s="194"/>
      <c r="T73" s="194"/>
      <c r="U73" s="194"/>
    </row>
    <row r="74" spans="1:21" s="12" customFormat="1" ht="15">
      <c r="A74" s="207" t="s">
        <v>1942</v>
      </c>
      <c r="B74" s="135">
        <v>1.1599999999999999</v>
      </c>
      <c r="C74" s="135">
        <v>12.17</v>
      </c>
      <c r="D74" s="135">
        <v>13.32</v>
      </c>
      <c r="E74" s="135">
        <v>3.23</v>
      </c>
      <c r="F74" s="135">
        <v>1.51</v>
      </c>
      <c r="G74" s="208" t="s">
        <v>36</v>
      </c>
      <c r="H74" s="135">
        <v>2.5499999999999998</v>
      </c>
      <c r="I74" s="135">
        <v>2.06</v>
      </c>
      <c r="J74" s="135">
        <v>0.34</v>
      </c>
      <c r="K74" s="135">
        <v>208.37</v>
      </c>
      <c r="L74" s="135">
        <v>46.60</v>
      </c>
      <c r="M74" s="135">
        <v>83.94</v>
      </c>
      <c r="N74" s="135">
        <v>93</v>
      </c>
      <c r="O74" s="135">
        <v>0</v>
      </c>
      <c r="P74" s="135">
        <v>2.60</v>
      </c>
      <c r="Q74" s="135">
        <v>2.0499999999999998</v>
      </c>
      <c r="R74" s="194"/>
      <c r="S74" s="194"/>
      <c r="T74" s="194"/>
      <c r="U74" s="194"/>
    </row>
    <row r="75" spans="1:21" s="12" customFormat="1" ht="15">
      <c r="A75" s="207" t="s">
        <v>1943</v>
      </c>
      <c r="B75" s="135">
        <v>0.96</v>
      </c>
      <c r="C75" s="135">
        <v>12.72</v>
      </c>
      <c r="D75" s="135">
        <v>13.69</v>
      </c>
      <c r="E75" s="135">
        <v>3</v>
      </c>
      <c r="F75" s="135">
        <v>1.71</v>
      </c>
      <c r="G75" s="208" t="s">
        <v>36</v>
      </c>
      <c r="H75" s="135">
        <v>2.5499999999999998</v>
      </c>
      <c r="I75" s="135">
        <v>1.92</v>
      </c>
      <c r="J75" s="135">
        <v>0.42</v>
      </c>
      <c r="K75" s="135">
        <v>198.95</v>
      </c>
      <c r="L75" s="135">
        <v>43.08</v>
      </c>
      <c r="M75" s="135">
        <v>82.63</v>
      </c>
      <c r="N75" s="135">
        <v>86.40</v>
      </c>
      <c r="O75" s="135">
        <v>0</v>
      </c>
      <c r="P75" s="135">
        <v>2.62</v>
      </c>
      <c r="Q75" s="135">
        <v>2.10</v>
      </c>
      <c r="R75" s="194"/>
      <c r="S75" s="194"/>
      <c r="T75" s="194"/>
      <c r="U75" s="194"/>
    </row>
    <row r="76" spans="1:21" s="12" customFormat="1" ht="15">
      <c r="A76" s="207" t="s">
        <v>1944</v>
      </c>
      <c r="B76" s="135">
        <v>0.87</v>
      </c>
      <c r="C76" s="135">
        <v>12.51</v>
      </c>
      <c r="D76" s="135">
        <v>13.38</v>
      </c>
      <c r="E76" s="135">
        <v>3.16</v>
      </c>
      <c r="F76" s="135">
        <v>1.48</v>
      </c>
      <c r="G76" s="208" t="s">
        <v>36</v>
      </c>
      <c r="H76" s="135">
        <v>2.5499999999999998</v>
      </c>
      <c r="I76" s="135">
        <v>1.85</v>
      </c>
      <c r="J76" s="135">
        <v>0.90</v>
      </c>
      <c r="K76" s="135">
        <v>193.53</v>
      </c>
      <c r="L76" s="135">
        <v>45.62</v>
      </c>
      <c r="M76" s="135">
        <v>84.11</v>
      </c>
      <c r="N76" s="135">
        <v>63.10</v>
      </c>
      <c r="O76" s="135">
        <v>0</v>
      </c>
      <c r="P76" s="135">
        <v>2.61</v>
      </c>
      <c r="Q76" s="135">
        <v>1.87</v>
      </c>
      <c r="R76" s="194"/>
      <c r="S76" s="194"/>
      <c r="T76" s="194"/>
      <c r="U76" s="194"/>
    </row>
    <row r="77" spans="1:21" s="12" customFormat="1" ht="15">
      <c r="A77" s="207" t="s">
        <v>1945</v>
      </c>
      <c r="B77" s="135">
        <v>1.06</v>
      </c>
      <c r="C77" s="135">
        <v>11.98</v>
      </c>
      <c r="D77" s="135">
        <v>13.04</v>
      </c>
      <c r="E77" s="135">
        <v>3.02</v>
      </c>
      <c r="F77" s="135">
        <v>1.65</v>
      </c>
      <c r="G77" s="208" t="s">
        <v>36</v>
      </c>
      <c r="H77" s="135">
        <v>2.44</v>
      </c>
      <c r="I77" s="135">
        <v>1.80</v>
      </c>
      <c r="J77" s="135">
        <v>0.98</v>
      </c>
      <c r="K77" s="135">
        <v>195.07</v>
      </c>
      <c r="L77" s="135">
        <v>38.10</v>
      </c>
      <c r="M77" s="135">
        <v>83.84</v>
      </c>
      <c r="N77" s="135">
        <v>119.40</v>
      </c>
      <c r="O77" s="135">
        <v>0</v>
      </c>
      <c r="P77" s="135">
        <v>2.61</v>
      </c>
      <c r="Q77" s="135">
        <v>1.86</v>
      </c>
      <c r="R77" s="194"/>
      <c r="S77" s="194"/>
      <c r="T77" s="194"/>
      <c r="U77" s="194"/>
    </row>
    <row r="78" spans="1:21" s="12" customFormat="1" ht="15">
      <c r="A78" s="207" t="s">
        <v>1946</v>
      </c>
      <c r="B78" s="135">
        <v>1.06</v>
      </c>
      <c r="C78" s="135">
        <v>11.83</v>
      </c>
      <c r="D78" s="135">
        <v>12.89</v>
      </c>
      <c r="E78" s="135">
        <v>2.98</v>
      </c>
      <c r="F78" s="135">
        <v>1.36</v>
      </c>
      <c r="G78" s="208" t="s">
        <v>36</v>
      </c>
      <c r="H78" s="135">
        <v>2.15</v>
      </c>
      <c r="I78" s="135">
        <v>1.79</v>
      </c>
      <c r="J78" s="135">
        <v>0.80</v>
      </c>
      <c r="K78" s="135">
        <v>188.21</v>
      </c>
      <c r="L78" s="135">
        <v>38.229999999999997</v>
      </c>
      <c r="M78" s="135">
        <v>84.33</v>
      </c>
      <c r="N78" s="135">
        <v>100.10</v>
      </c>
      <c r="O78" s="135">
        <v>0</v>
      </c>
      <c r="P78" s="135">
        <v>2.61</v>
      </c>
      <c r="Q78" s="135">
        <v>1.90</v>
      </c>
      <c r="R78" s="194"/>
      <c r="S78" s="194"/>
      <c r="T78" s="194"/>
      <c r="U78" s="194"/>
    </row>
    <row r="79" spans="1:21" s="12" customFormat="1" ht="15">
      <c r="A79" s="207" t="s">
        <v>1947</v>
      </c>
      <c r="B79" s="135">
        <v>1.01</v>
      </c>
      <c r="C79" s="135">
        <v>11.55</v>
      </c>
      <c r="D79" s="135">
        <v>12.56</v>
      </c>
      <c r="E79" s="135">
        <v>3.38</v>
      </c>
      <c r="F79" s="135">
        <v>0.51</v>
      </c>
      <c r="G79" s="208" t="s">
        <v>36</v>
      </c>
      <c r="H79" s="135">
        <v>2.15</v>
      </c>
      <c r="I79" s="135">
        <v>1.81</v>
      </c>
      <c r="J79" s="135">
        <v>1.29</v>
      </c>
      <c r="K79" s="135">
        <v>171.86</v>
      </c>
      <c r="L79" s="135">
        <v>38.28</v>
      </c>
      <c r="M79" s="135">
        <v>84.80</v>
      </c>
      <c r="N79" s="135">
        <v>74.20</v>
      </c>
      <c r="O79" s="135">
        <v>0</v>
      </c>
      <c r="P79" s="135">
        <v>2.61</v>
      </c>
      <c r="Q79" s="135">
        <v>1.87</v>
      </c>
      <c r="R79" s="194"/>
      <c r="S79" s="194"/>
      <c r="T79" s="194"/>
      <c r="U79" s="194"/>
    </row>
    <row r="80" spans="1:21" s="12" customFormat="1" ht="15">
      <c r="A80" s="207" t="s">
        <v>1948</v>
      </c>
      <c r="B80" s="135">
        <v>1.1399999999999999</v>
      </c>
      <c r="C80" s="135">
        <v>10.99</v>
      </c>
      <c r="D80" s="135">
        <v>12.13</v>
      </c>
      <c r="E80" s="135">
        <v>3.47</v>
      </c>
      <c r="F80" s="135">
        <v>0.37</v>
      </c>
      <c r="G80" s="208" t="s">
        <v>36</v>
      </c>
      <c r="H80" s="135">
        <v>2.15</v>
      </c>
      <c r="I80" s="135">
        <v>1.80</v>
      </c>
      <c r="J80" s="135">
        <v>0.97</v>
      </c>
      <c r="K80" s="135">
        <v>189.74</v>
      </c>
      <c r="L80" s="135">
        <v>42.52</v>
      </c>
      <c r="M80" s="135">
        <v>84.70</v>
      </c>
      <c r="N80" s="135">
        <v>49.90</v>
      </c>
      <c r="O80" s="135">
        <v>0</v>
      </c>
      <c r="P80" s="135">
        <v>2.62</v>
      </c>
      <c r="Q80" s="135">
        <v>1.83</v>
      </c>
      <c r="R80" s="194"/>
      <c r="S80" s="194"/>
      <c r="T80" s="194"/>
      <c r="U80" s="194"/>
    </row>
    <row r="81" spans="1:21" s="12" customFormat="1" ht="15">
      <c r="A81" s="207" t="s">
        <v>1949</v>
      </c>
      <c r="B81" s="135">
        <v>1.30</v>
      </c>
      <c r="C81" s="135">
        <v>10.63</v>
      </c>
      <c r="D81" s="135">
        <v>11.92</v>
      </c>
      <c r="E81" s="135">
        <v>3.33</v>
      </c>
      <c r="F81" s="135">
        <v>0.53</v>
      </c>
      <c r="G81" s="208" t="s">
        <v>36</v>
      </c>
      <c r="H81" s="135">
        <v>2.14</v>
      </c>
      <c r="I81" s="135">
        <v>1.86</v>
      </c>
      <c r="J81" s="135">
        <v>1.64</v>
      </c>
      <c r="K81" s="135">
        <v>162.57</v>
      </c>
      <c r="L81" s="135">
        <v>45.5</v>
      </c>
      <c r="M81" s="135">
        <v>86.36</v>
      </c>
      <c r="N81" s="135">
        <v>32.299999999999997</v>
      </c>
      <c r="O81" s="135">
        <v>0</v>
      </c>
      <c r="P81" s="135">
        <v>2.62</v>
      </c>
      <c r="Q81" s="135">
        <v>1.86</v>
      </c>
      <c r="R81" s="194"/>
      <c r="S81" s="194"/>
      <c r="T81" s="194"/>
      <c r="U81" s="194"/>
    </row>
    <row r="82" spans="1:21" s="12" customFormat="1" ht="15">
      <c r="A82" s="207" t="s">
        <v>1950</v>
      </c>
      <c r="B82" s="135">
        <v>1.47</v>
      </c>
      <c r="C82" s="135">
        <v>10.49</v>
      </c>
      <c r="D82" s="135">
        <v>11.96</v>
      </c>
      <c r="E82" s="135">
        <v>3.63</v>
      </c>
      <c r="F82" s="135">
        <v>0.28999999999999998</v>
      </c>
      <c r="G82" s="208" t="s">
        <v>36</v>
      </c>
      <c r="H82" s="135">
        <v>2.12</v>
      </c>
      <c r="I82" s="135">
        <v>1.95</v>
      </c>
      <c r="J82" s="135">
        <v>0.89</v>
      </c>
      <c r="K82" s="135">
        <v>171.99</v>
      </c>
      <c r="L82" s="135">
        <v>35.72</v>
      </c>
      <c r="M82" s="135">
        <v>87.61</v>
      </c>
      <c r="N82" s="135">
        <v>8.5</v>
      </c>
      <c r="O82" s="135">
        <v>0</v>
      </c>
      <c r="P82" s="135">
        <v>2.63</v>
      </c>
      <c r="Q82" s="135">
        <v>1.98</v>
      </c>
      <c r="R82" s="194"/>
      <c r="S82" s="194"/>
      <c r="T82" s="194"/>
      <c r="U82" s="194"/>
    </row>
    <row r="83" spans="1:21" s="12" customFormat="1" ht="15">
      <c r="A83" s="207" t="s">
        <v>1951</v>
      </c>
      <c r="B83" s="135">
        <v>1.83</v>
      </c>
      <c r="C83" s="135">
        <v>10.5</v>
      </c>
      <c r="D83" s="135">
        <v>12.33</v>
      </c>
      <c r="E83" s="135">
        <v>3.58</v>
      </c>
      <c r="F83" s="135">
        <v>0.20</v>
      </c>
      <c r="G83" s="208" t="s">
        <v>36</v>
      </c>
      <c r="H83" s="135">
        <v>2.12</v>
      </c>
      <c r="I83" s="135">
        <v>2.0299999999999998</v>
      </c>
      <c r="J83" s="135">
        <v>1.25</v>
      </c>
      <c r="K83" s="135">
        <v>174.78</v>
      </c>
      <c r="L83" s="135">
        <v>35.270000000000003</v>
      </c>
      <c r="M83" s="135">
        <v>90</v>
      </c>
      <c r="N83" s="135">
        <v>2.40</v>
      </c>
      <c r="O83" s="135">
        <v>0</v>
      </c>
      <c r="P83" s="135">
        <v>2.64</v>
      </c>
      <c r="Q83" s="135">
        <v>2.40</v>
      </c>
      <c r="R83" s="194"/>
      <c r="S83" s="194"/>
      <c r="T83" s="194"/>
      <c r="U83" s="194"/>
    </row>
    <row r="84" spans="1:21" s="12" customFormat="1" ht="15">
      <c r="A84" s="207" t="s">
        <v>1952</v>
      </c>
      <c r="B84" s="135">
        <v>1.98</v>
      </c>
      <c r="C84" s="135">
        <v>10.56</v>
      </c>
      <c r="D84" s="135">
        <v>12.54</v>
      </c>
      <c r="E84" s="135">
        <v>3.59</v>
      </c>
      <c r="F84" s="135">
        <v>0.17</v>
      </c>
      <c r="G84" s="208" t="s">
        <v>36</v>
      </c>
      <c r="H84" s="135">
        <v>2.12</v>
      </c>
      <c r="I84" s="135">
        <v>2.10</v>
      </c>
      <c r="J84" s="135">
        <v>0.96</v>
      </c>
      <c r="K84" s="135">
        <v>184.44</v>
      </c>
      <c r="L84" s="135">
        <v>34.54</v>
      </c>
      <c r="M84" s="135">
        <v>94.91</v>
      </c>
      <c r="N84" s="135">
        <v>0.70</v>
      </c>
      <c r="O84" s="135">
        <v>0.40</v>
      </c>
      <c r="P84" s="135">
        <v>2.64</v>
      </c>
      <c r="Q84" s="135">
        <v>2.4900000000000002</v>
      </c>
      <c r="R84" s="194"/>
      <c r="S84" s="194"/>
      <c r="T84" s="194"/>
      <c r="U84" s="194"/>
    </row>
    <row r="85" spans="1:21" s="12" customFormat="1" ht="15">
      <c r="A85" s="207" t="s">
        <v>1953</v>
      </c>
      <c r="B85" s="135">
        <v>2.02</v>
      </c>
      <c r="C85" s="135">
        <v>10.5</v>
      </c>
      <c r="D85" s="135">
        <v>12.52</v>
      </c>
      <c r="E85" s="135">
        <v>3.99</v>
      </c>
      <c r="F85" s="135">
        <v>0.23</v>
      </c>
      <c r="G85" s="208" t="s">
        <v>36</v>
      </c>
      <c r="H85" s="135">
        <v>2.3199999999999998</v>
      </c>
      <c r="I85" s="135">
        <v>2.13</v>
      </c>
      <c r="J85" s="135">
        <v>0.79</v>
      </c>
      <c r="K85" s="135">
        <v>197.15</v>
      </c>
      <c r="L85" s="135">
        <v>34.33</v>
      </c>
      <c r="M85" s="135">
        <v>95.91</v>
      </c>
      <c r="N85" s="135">
        <v>0.70</v>
      </c>
      <c r="O85" s="135">
        <v>0</v>
      </c>
      <c r="P85" s="135">
        <v>2.65</v>
      </c>
      <c r="Q85" s="135">
        <v>2.4500000000000002</v>
      </c>
      <c r="R85" s="194"/>
      <c r="S85" s="194"/>
      <c r="T85" s="194"/>
      <c r="U85" s="194"/>
    </row>
    <row r="86" spans="1:21" s="12" customFormat="1" ht="15">
      <c r="A86" s="207" t="s">
        <v>1954</v>
      </c>
      <c r="B86" s="135">
        <v>1.98</v>
      </c>
      <c r="C86" s="135">
        <v>10.42</v>
      </c>
      <c r="D86" s="135">
        <v>12.40</v>
      </c>
      <c r="E86" s="135">
        <v>4.43</v>
      </c>
      <c r="F86" s="135">
        <v>0.44</v>
      </c>
      <c r="G86" s="208" t="s">
        <v>36</v>
      </c>
      <c r="H86" s="135">
        <v>2.79</v>
      </c>
      <c r="I86" s="135">
        <v>2.1800000000000002</v>
      </c>
      <c r="J86" s="135">
        <v>0.56999999999999995</v>
      </c>
      <c r="K86" s="135">
        <v>182.77</v>
      </c>
      <c r="L86" s="135">
        <v>35.14</v>
      </c>
      <c r="M86" s="135">
        <v>94.11</v>
      </c>
      <c r="N86" s="135">
        <v>0.40</v>
      </c>
      <c r="O86" s="135">
        <v>0</v>
      </c>
      <c r="P86" s="135">
        <v>2.65</v>
      </c>
      <c r="Q86" s="135">
        <v>2.44</v>
      </c>
      <c r="R86" s="194"/>
      <c r="S86" s="194"/>
      <c r="T86" s="194"/>
      <c r="U86" s="194"/>
    </row>
    <row r="87" spans="1:21" s="12" customFormat="1" ht="15">
      <c r="A87" s="207" t="s">
        <v>1955</v>
      </c>
      <c r="B87" s="135">
        <v>1.90</v>
      </c>
      <c r="C87" s="135">
        <v>10.28</v>
      </c>
      <c r="D87" s="135">
        <v>12.18</v>
      </c>
      <c r="E87" s="135">
        <v>4.80</v>
      </c>
      <c r="F87" s="135">
        <v>0.37</v>
      </c>
      <c r="G87" s="208" t="s">
        <v>36</v>
      </c>
      <c r="H87" s="135">
        <v>2.79</v>
      </c>
      <c r="I87" s="135">
        <v>2.2400000000000002</v>
      </c>
      <c r="J87" s="135">
        <v>0.59</v>
      </c>
      <c r="K87" s="135">
        <v>207.74</v>
      </c>
      <c r="L87" s="135">
        <v>42.54</v>
      </c>
      <c r="M87" s="135">
        <v>93.5</v>
      </c>
      <c r="N87" s="135">
        <v>0.40</v>
      </c>
      <c r="O87" s="135">
        <v>0</v>
      </c>
      <c r="P87" s="135">
        <v>2.66</v>
      </c>
      <c r="Q87" s="135">
        <v>2.4500000000000002</v>
      </c>
      <c r="R87" s="194"/>
      <c r="S87" s="194"/>
      <c r="T87" s="194"/>
      <c r="U87" s="194"/>
    </row>
    <row r="88" spans="1:21" s="12" customFormat="1" ht="15">
      <c r="A88" s="207" t="s">
        <v>1956</v>
      </c>
      <c r="B88" s="135">
        <v>1.88</v>
      </c>
      <c r="C88" s="135">
        <v>10.18</v>
      </c>
      <c r="D88" s="135">
        <v>12.06</v>
      </c>
      <c r="E88" s="135">
        <v>1.98</v>
      </c>
      <c r="F88" s="135">
        <v>0.30</v>
      </c>
      <c r="G88" s="208" t="s">
        <v>36</v>
      </c>
      <c r="H88" s="135">
        <v>2.79</v>
      </c>
      <c r="I88" s="135">
        <v>2.29</v>
      </c>
      <c r="J88" s="135">
        <v>0.34</v>
      </c>
      <c r="K88" s="135">
        <v>187.95</v>
      </c>
      <c r="L88" s="135">
        <v>43.65</v>
      </c>
      <c r="M88" s="135">
        <v>93.80</v>
      </c>
      <c r="N88" s="135">
        <v>0.10</v>
      </c>
      <c r="O88" s="135">
        <v>0</v>
      </c>
      <c r="P88" s="135">
        <v>2.66</v>
      </c>
      <c r="Q88" s="135">
        <v>2.48</v>
      </c>
      <c r="R88" s="194"/>
      <c r="S88" s="194"/>
      <c r="T88" s="194"/>
      <c r="U88" s="194"/>
    </row>
    <row r="89" spans="1:21" s="12" customFormat="1" ht="15">
      <c r="A89" s="207" t="s">
        <v>1957</v>
      </c>
      <c r="B89" s="135">
        <v>1.83</v>
      </c>
      <c r="C89" s="135">
        <v>10.130000000000001</v>
      </c>
      <c r="D89" s="135">
        <v>11.96</v>
      </c>
      <c r="E89" s="135">
        <v>3.91</v>
      </c>
      <c r="F89" s="135">
        <v>0.27</v>
      </c>
      <c r="G89" s="208" t="s">
        <v>36</v>
      </c>
      <c r="H89" s="135">
        <v>2.68</v>
      </c>
      <c r="I89" s="135">
        <v>2.35</v>
      </c>
      <c r="J89" s="135">
        <v>0.56999999999999995</v>
      </c>
      <c r="K89" s="135">
        <v>190.53</v>
      </c>
      <c r="L89" s="135">
        <v>42.02</v>
      </c>
      <c r="M89" s="135">
        <v>92.55</v>
      </c>
      <c r="N89" s="208" t="s">
        <v>36</v>
      </c>
      <c r="O89" s="135">
        <v>0</v>
      </c>
      <c r="P89" s="135">
        <v>2.67</v>
      </c>
      <c r="Q89" s="135">
        <v>2.52</v>
      </c>
      <c r="R89" s="194"/>
      <c r="S89" s="194"/>
      <c r="T89" s="194"/>
      <c r="U89" s="194"/>
    </row>
    <row r="90" spans="1:21" s="12" customFormat="1" ht="15">
      <c r="A90" s="207" t="s">
        <v>1958</v>
      </c>
      <c r="B90" s="135">
        <v>1.84</v>
      </c>
      <c r="C90" s="135">
        <v>10.130000000000001</v>
      </c>
      <c r="D90" s="135">
        <v>11.97</v>
      </c>
      <c r="E90" s="135">
        <v>4.63</v>
      </c>
      <c r="F90" s="135">
        <v>0.18</v>
      </c>
      <c r="G90" s="208" t="s">
        <v>36</v>
      </c>
      <c r="H90" s="135">
        <v>2.42</v>
      </c>
      <c r="I90" s="135">
        <v>2.41</v>
      </c>
      <c r="J90" s="135">
        <v>0.56000000000000005</v>
      </c>
      <c r="K90" s="135">
        <v>195.66</v>
      </c>
      <c r="L90" s="135">
        <v>41.78</v>
      </c>
      <c r="M90" s="135">
        <v>92.86</v>
      </c>
      <c r="N90" s="135">
        <v>0.10</v>
      </c>
      <c r="O90" s="135">
        <v>0</v>
      </c>
      <c r="P90" s="135">
        <v>2.67</v>
      </c>
      <c r="Q90" s="135">
        <v>2.61</v>
      </c>
      <c r="R90" s="194"/>
      <c r="S90" s="194"/>
      <c r="T90" s="194"/>
      <c r="U90" s="194"/>
    </row>
    <row r="91" spans="1:21" s="12" customFormat="1" ht="15">
      <c r="A91" s="207" t="s">
        <v>1959</v>
      </c>
      <c r="B91" s="135">
        <v>1.94</v>
      </c>
      <c r="C91" s="135">
        <v>10</v>
      </c>
      <c r="D91" s="135">
        <v>11.94</v>
      </c>
      <c r="E91" s="135">
        <v>5.16</v>
      </c>
      <c r="F91" s="135">
        <v>0.14000000000000001</v>
      </c>
      <c r="G91" s="208" t="s">
        <v>36</v>
      </c>
      <c r="H91" s="135">
        <v>2.42</v>
      </c>
      <c r="I91" s="135">
        <v>2.4500000000000002</v>
      </c>
      <c r="J91" s="135">
        <v>0.59</v>
      </c>
      <c r="K91" s="135">
        <v>194.04</v>
      </c>
      <c r="L91" s="135">
        <v>41.01</v>
      </c>
      <c r="M91" s="135">
        <v>92.49</v>
      </c>
      <c r="N91" s="135">
        <v>0.5</v>
      </c>
      <c r="O91" s="135">
        <v>0</v>
      </c>
      <c r="P91" s="135">
        <v>2.67</v>
      </c>
      <c r="Q91" s="135">
        <v>2.67</v>
      </c>
      <c r="R91" s="194"/>
      <c r="S91" s="194"/>
      <c r="T91" s="194"/>
      <c r="U91" s="194"/>
    </row>
    <row r="92" spans="1:21" s="12" customFormat="1" ht="15">
      <c r="A92" s="207" t="s">
        <v>1960</v>
      </c>
      <c r="B92" s="135">
        <v>1.97</v>
      </c>
      <c r="C92" s="135">
        <v>9.82</v>
      </c>
      <c r="D92" s="135">
        <v>11.79</v>
      </c>
      <c r="E92" s="135">
        <v>4.87</v>
      </c>
      <c r="F92" s="135">
        <v>0.33</v>
      </c>
      <c r="G92" s="208" t="s">
        <v>36</v>
      </c>
      <c r="H92" s="135">
        <v>2.42</v>
      </c>
      <c r="I92" s="135">
        <v>2.5</v>
      </c>
      <c r="J92" s="135">
        <v>0.76</v>
      </c>
      <c r="K92" s="135">
        <v>195.96</v>
      </c>
      <c r="L92" s="135">
        <v>39.630000000000003</v>
      </c>
      <c r="M92" s="135">
        <v>93.78</v>
      </c>
      <c r="N92" s="135">
        <v>0.5</v>
      </c>
      <c r="O92" s="135">
        <v>0</v>
      </c>
      <c r="P92" s="135">
        <v>2.68</v>
      </c>
      <c r="Q92" s="135">
        <v>2.69</v>
      </c>
      <c r="R92" s="194"/>
      <c r="S92" s="194"/>
      <c r="T92" s="194"/>
      <c r="U92" s="194"/>
    </row>
    <row r="93" spans="1:21" s="12" customFormat="1" ht="15">
      <c r="A93" s="207" t="s">
        <v>1961</v>
      </c>
      <c r="B93" s="135">
        <v>1.85</v>
      </c>
      <c r="C93" s="135">
        <v>9.86</v>
      </c>
      <c r="D93" s="135">
        <v>11.71</v>
      </c>
      <c r="E93" s="135">
        <v>4.46</v>
      </c>
      <c r="F93" s="135">
        <v>0.37</v>
      </c>
      <c r="G93" s="208" t="s">
        <v>36</v>
      </c>
      <c r="H93" s="135">
        <v>2.35</v>
      </c>
      <c r="I93" s="135">
        <v>2.57</v>
      </c>
      <c r="J93" s="135">
        <v>0.68</v>
      </c>
      <c r="K93" s="135">
        <v>194.94</v>
      </c>
      <c r="L93" s="135">
        <v>40.51</v>
      </c>
      <c r="M93" s="135">
        <v>96.09</v>
      </c>
      <c r="N93" s="135">
        <v>0.30</v>
      </c>
      <c r="O93" s="135">
        <v>0</v>
      </c>
      <c r="P93" s="135">
        <v>2.67</v>
      </c>
      <c r="Q93" s="135">
        <v>2.68</v>
      </c>
      <c r="R93" s="194"/>
      <c r="S93" s="194"/>
      <c r="T93" s="194"/>
      <c r="U93" s="194"/>
    </row>
    <row r="94" spans="1:21" s="12" customFormat="1" ht="15">
      <c r="A94" s="207" t="s">
        <v>1962</v>
      </c>
      <c r="B94" s="135">
        <v>1.74</v>
      </c>
      <c r="C94" s="135">
        <v>9.73</v>
      </c>
      <c r="D94" s="135">
        <v>11.47</v>
      </c>
      <c r="E94" s="135">
        <v>4.8499999999999996</v>
      </c>
      <c r="F94" s="135">
        <v>0.56999999999999995</v>
      </c>
      <c r="G94" s="208" t="s">
        <v>36</v>
      </c>
      <c r="H94" s="135">
        <v>2.16</v>
      </c>
      <c r="I94" s="135">
        <v>2.57</v>
      </c>
      <c r="J94" s="135">
        <v>0.59</v>
      </c>
      <c r="K94" s="135">
        <v>190.02</v>
      </c>
      <c r="L94" s="135">
        <v>39.32</v>
      </c>
      <c r="M94" s="135">
        <v>96.19</v>
      </c>
      <c r="N94" s="135">
        <v>0.20</v>
      </c>
      <c r="O94" s="135">
        <v>0</v>
      </c>
      <c r="P94" s="135">
        <v>2.67</v>
      </c>
      <c r="Q94" s="135">
        <v>2.61</v>
      </c>
      <c r="R94" s="194"/>
      <c r="S94" s="194"/>
      <c r="T94" s="194"/>
      <c r="U94" s="194"/>
    </row>
    <row r="95" spans="1:21" s="12" customFormat="1" ht="15">
      <c r="A95" s="207" t="s">
        <v>1963</v>
      </c>
      <c r="B95" s="135">
        <v>1.76</v>
      </c>
      <c r="C95" s="135">
        <v>9.64</v>
      </c>
      <c r="D95" s="135">
        <v>11.40</v>
      </c>
      <c r="E95" s="135">
        <v>4.37</v>
      </c>
      <c r="F95" s="135">
        <v>0.5</v>
      </c>
      <c r="G95" s="208" t="s">
        <v>36</v>
      </c>
      <c r="H95" s="135">
        <v>2.16</v>
      </c>
      <c r="I95" s="135">
        <v>2.56</v>
      </c>
      <c r="J95" s="135">
        <v>0.44</v>
      </c>
      <c r="K95" s="135">
        <v>198.21</v>
      </c>
      <c r="L95" s="135">
        <v>37.79</v>
      </c>
      <c r="M95" s="135">
        <v>95.26</v>
      </c>
      <c r="N95" s="135">
        <v>0.30</v>
      </c>
      <c r="O95" s="135">
        <v>0</v>
      </c>
      <c r="P95" s="135">
        <v>2.67</v>
      </c>
      <c r="Q95" s="135">
        <v>2.59</v>
      </c>
      <c r="R95" s="194"/>
      <c r="S95" s="194"/>
      <c r="T95" s="194"/>
      <c r="U95" s="194"/>
    </row>
    <row r="96" spans="1:26" s="12" customFormat="1" ht="15">
      <c r="A96" s="207" t="s">
        <v>1964</v>
      </c>
      <c r="B96" s="135">
        <v>1.93</v>
      </c>
      <c r="C96" s="135">
        <v>9.51</v>
      </c>
      <c r="D96" s="135">
        <v>11.43</v>
      </c>
      <c r="E96" s="135">
        <v>4.76</v>
      </c>
      <c r="F96" s="135">
        <v>0.30</v>
      </c>
      <c r="G96" s="208" t="s">
        <v>36</v>
      </c>
      <c r="H96" s="135">
        <v>2.16</v>
      </c>
      <c r="I96" s="135">
        <v>2.5499999999999998</v>
      </c>
      <c r="J96" s="135">
        <v>0.48</v>
      </c>
      <c r="K96" s="135">
        <v>195.29</v>
      </c>
      <c r="L96" s="135">
        <v>37.42</v>
      </c>
      <c r="M96" s="135">
        <v>93.42</v>
      </c>
      <c r="N96" s="135">
        <v>0.20</v>
      </c>
      <c r="O96" s="135">
        <v>0</v>
      </c>
      <c r="P96" s="135">
        <v>2.67</v>
      </c>
      <c r="Q96" s="135">
        <v>2.69</v>
      </c>
      <c r="R96" s="194"/>
      <c r="S96" s="194"/>
      <c r="T96" s="194"/>
      <c r="U96" s="194"/>
      <c r="Z96" s="105"/>
    </row>
    <row r="97" spans="1:21" s="12" customFormat="1" ht="15">
      <c r="A97" s="207" t="s">
        <v>1965</v>
      </c>
      <c r="B97" s="135">
        <v>1.94</v>
      </c>
      <c r="C97" s="135">
        <v>9.26</v>
      </c>
      <c r="D97" s="135">
        <v>11.20</v>
      </c>
      <c r="E97" s="135">
        <v>4.80</v>
      </c>
      <c r="F97" s="135">
        <v>0.25</v>
      </c>
      <c r="G97" s="208" t="s">
        <v>36</v>
      </c>
      <c r="H97" s="135">
        <v>2.14</v>
      </c>
      <c r="I97" s="135">
        <v>2.56</v>
      </c>
      <c r="J97" s="135">
        <v>0.40</v>
      </c>
      <c r="K97" s="135">
        <v>207.79</v>
      </c>
      <c r="L97" s="135">
        <v>36.86</v>
      </c>
      <c r="M97" s="135">
        <v>92.62</v>
      </c>
      <c r="N97" s="135">
        <v>0.10</v>
      </c>
      <c r="O97" s="135">
        <v>0</v>
      </c>
      <c r="P97" s="135">
        <v>2.67</v>
      </c>
      <c r="Q97" s="135">
        <v>2.71</v>
      </c>
      <c r="R97" s="194"/>
      <c r="S97" s="194"/>
      <c r="T97" s="194"/>
      <c r="U97" s="194"/>
    </row>
    <row r="98" spans="1:21" s="12" customFormat="1" ht="15">
      <c r="A98" s="207" t="s">
        <v>1966</v>
      </c>
      <c r="B98" s="135">
        <v>1.94</v>
      </c>
      <c r="C98" s="135">
        <v>8.9700000000000006</v>
      </c>
      <c r="D98" s="135">
        <v>10.91</v>
      </c>
      <c r="E98" s="135">
        <v>4.6100000000000003</v>
      </c>
      <c r="F98" s="135">
        <v>0.27</v>
      </c>
      <c r="G98" s="208" t="s">
        <v>36</v>
      </c>
      <c r="H98" s="135">
        <v>2.0699999999999998</v>
      </c>
      <c r="I98" s="135">
        <v>2.59</v>
      </c>
      <c r="J98" s="135">
        <v>0.41</v>
      </c>
      <c r="K98" s="135">
        <v>207.90</v>
      </c>
      <c r="L98" s="135">
        <v>37.06</v>
      </c>
      <c r="M98" s="135">
        <v>92.73</v>
      </c>
      <c r="N98" s="208" t="s">
        <v>36</v>
      </c>
      <c r="O98" s="135">
        <v>0</v>
      </c>
      <c r="P98" s="135">
        <v>2.68</v>
      </c>
      <c r="Q98" s="135">
        <v>2.85</v>
      </c>
      <c r="R98" s="194"/>
      <c r="S98" s="194"/>
      <c r="T98" s="194"/>
      <c r="U98" s="194"/>
    </row>
    <row r="99" spans="1:21" s="12" customFormat="1" ht="15">
      <c r="A99" s="207" t="s">
        <v>1967</v>
      </c>
      <c r="B99" s="135">
        <v>1.95</v>
      </c>
      <c r="C99" s="135">
        <v>8.85</v>
      </c>
      <c r="D99" s="135">
        <v>10.80</v>
      </c>
      <c r="E99" s="135">
        <v>5.26</v>
      </c>
      <c r="F99" s="135">
        <v>0.30</v>
      </c>
      <c r="G99" s="208" t="s">
        <v>36</v>
      </c>
      <c r="H99" s="135">
        <v>2.0699999999999998</v>
      </c>
      <c r="I99" s="135">
        <v>2.61</v>
      </c>
      <c r="J99" s="135">
        <v>0.40</v>
      </c>
      <c r="K99" s="135">
        <v>185.75</v>
      </c>
      <c r="L99" s="135">
        <v>38.03</v>
      </c>
      <c r="M99" s="135">
        <v>92.88</v>
      </c>
      <c r="N99" s="208" t="s">
        <v>36</v>
      </c>
      <c r="O99" s="135">
        <v>0</v>
      </c>
      <c r="P99" s="135">
        <v>2.68</v>
      </c>
      <c r="Q99" s="135">
        <v>2.75</v>
      </c>
      <c r="R99" s="194"/>
      <c r="S99" s="194"/>
      <c r="T99" s="194"/>
      <c r="U99" s="194"/>
    </row>
    <row r="100" spans="1:33" s="12" customFormat="1" ht="15">
      <c r="A100" s="207" t="s">
        <v>1968</v>
      </c>
      <c r="B100" s="135">
        <v>2.02</v>
      </c>
      <c r="C100" s="135">
        <v>8.75</v>
      </c>
      <c r="D100" s="135">
        <v>10.77</v>
      </c>
      <c r="E100" s="135">
        <v>5.51</v>
      </c>
      <c r="F100" s="135">
        <v>0.31</v>
      </c>
      <c r="G100" s="208" t="s">
        <v>36</v>
      </c>
      <c r="H100" s="135">
        <v>2.0699999999999998</v>
      </c>
      <c r="I100" s="135">
        <v>2.61</v>
      </c>
      <c r="J100" s="135">
        <v>0.28000000000000003</v>
      </c>
      <c r="K100" s="135">
        <v>212.74</v>
      </c>
      <c r="L100" s="135">
        <v>42.97</v>
      </c>
      <c r="M100" s="135">
        <v>92.23</v>
      </c>
      <c r="N100" s="135">
        <v>0.30</v>
      </c>
      <c r="O100" s="135">
        <v>0</v>
      </c>
      <c r="P100" s="135">
        <v>2.68</v>
      </c>
      <c r="Q100" s="135">
        <v>2.78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1969</v>
      </c>
      <c r="B101" s="135">
        <v>2</v>
      </c>
      <c r="C101" s="135">
        <v>8.7200000000000006</v>
      </c>
      <c r="D101" s="135">
        <v>10.73</v>
      </c>
      <c r="E101" s="135">
        <v>5.34</v>
      </c>
      <c r="F101" s="135">
        <v>0.26</v>
      </c>
      <c r="G101" s="208" t="s">
        <v>36</v>
      </c>
      <c r="H101" s="135">
        <v>2.0099999999999998</v>
      </c>
      <c r="I101" s="135">
        <v>2.63</v>
      </c>
      <c r="J101" s="135">
        <v>0.38</v>
      </c>
      <c r="K101" s="135">
        <v>209.31</v>
      </c>
      <c r="L101" s="135">
        <v>43.54</v>
      </c>
      <c r="M101" s="135">
        <v>91.36</v>
      </c>
      <c r="N101" s="135">
        <v>0.40</v>
      </c>
      <c r="O101" s="135">
        <v>0</v>
      </c>
      <c r="P101" s="135">
        <v>2.67</v>
      </c>
      <c r="Q101" s="135">
        <v>2.86</v>
      </c>
      <c r="R101" s="194"/>
      <c r="S101" s="194"/>
      <c r="T101" s="194"/>
      <c r="U101" s="194"/>
    </row>
    <row r="102" spans="1:21" s="12" customFormat="1" ht="15">
      <c r="A102" s="207" t="s">
        <v>1970</v>
      </c>
      <c r="B102" s="135">
        <v>1.89</v>
      </c>
      <c r="C102" s="135">
        <v>8.6300000000000008</v>
      </c>
      <c r="D102" s="135">
        <v>10.52</v>
      </c>
      <c r="E102" s="135">
        <v>5.45</v>
      </c>
      <c r="F102" s="135">
        <v>0.54</v>
      </c>
      <c r="G102" s="208" t="s">
        <v>36</v>
      </c>
      <c r="H102" s="135">
        <v>1.87</v>
      </c>
      <c r="I102" s="135">
        <v>2.68</v>
      </c>
      <c r="J102" s="135">
        <v>0.45</v>
      </c>
      <c r="K102" s="135">
        <v>200.85</v>
      </c>
      <c r="L102" s="135">
        <v>44.98</v>
      </c>
      <c r="M102" s="135">
        <v>90.68</v>
      </c>
      <c r="N102" s="135">
        <v>0.40</v>
      </c>
      <c r="O102" s="135">
        <v>0</v>
      </c>
      <c r="P102" s="135">
        <v>2.67</v>
      </c>
      <c r="Q102" s="135">
        <v>2.83</v>
      </c>
      <c r="R102" s="194"/>
      <c r="S102" s="194"/>
      <c r="T102" s="194"/>
      <c r="U102" s="194"/>
    </row>
    <row r="103" spans="1:21" s="12" customFormat="1" ht="15">
      <c r="A103" s="207" t="s">
        <v>1971</v>
      </c>
      <c r="B103" s="135">
        <v>1.87</v>
      </c>
      <c r="C103" s="135">
        <v>8.6300000000000008</v>
      </c>
      <c r="D103" s="135">
        <v>10.5</v>
      </c>
      <c r="E103" s="135">
        <v>5.51</v>
      </c>
      <c r="F103" s="135">
        <v>0.49</v>
      </c>
      <c r="G103" s="208" t="s">
        <v>36</v>
      </c>
      <c r="H103" s="135">
        <v>1.87</v>
      </c>
      <c r="I103" s="135">
        <v>2.64</v>
      </c>
      <c r="J103" s="135">
        <v>0.28999999999999998</v>
      </c>
      <c r="K103" s="135">
        <v>193.14</v>
      </c>
      <c r="L103" s="135">
        <v>42.92</v>
      </c>
      <c r="M103" s="135">
        <v>90.46</v>
      </c>
      <c r="N103" s="135">
        <v>0.5</v>
      </c>
      <c r="O103" s="135">
        <v>0</v>
      </c>
      <c r="P103" s="135">
        <v>2.67</v>
      </c>
      <c r="Q103" s="135">
        <v>2.89</v>
      </c>
      <c r="R103" s="194"/>
      <c r="S103" s="194"/>
      <c r="T103" s="194"/>
      <c r="U103" s="194"/>
    </row>
    <row r="104" spans="1:21" s="12" customFormat="1" ht="15">
      <c r="A104" s="209" t="s">
        <v>1972</v>
      </c>
      <c r="B104" s="210">
        <v>1.88</v>
      </c>
      <c r="C104" s="210">
        <v>8.57</v>
      </c>
      <c r="D104" s="210">
        <v>10.45</v>
      </c>
      <c r="E104" s="210">
        <v>3.96</v>
      </c>
      <c r="F104" s="210">
        <v>0.32</v>
      </c>
      <c r="G104" s="211" t="s">
        <v>36</v>
      </c>
      <c r="H104" s="210">
        <v>1.87</v>
      </c>
      <c r="I104" s="210">
        <v>2.67</v>
      </c>
      <c r="J104" s="210">
        <v>0.33</v>
      </c>
      <c r="K104" s="210">
        <v>208.32</v>
      </c>
      <c r="L104" s="210">
        <v>42.31</v>
      </c>
      <c r="M104" s="210">
        <v>90.10</v>
      </c>
      <c r="N104" s="210">
        <v>0.5</v>
      </c>
      <c r="O104" s="210">
        <v>0</v>
      </c>
      <c r="P104" s="210">
        <v>2.67</v>
      </c>
      <c r="Q104" s="210">
        <v>3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0.87</v>
      </c>
      <c r="C106" s="67">
        <f>MIN(C9:C104)</f>
        <v>8.5700000000000003</v>
      </c>
      <c r="D106" s="67">
        <f t="shared" si="0" ref="D106:Q106">MIN(D9:D104)</f>
        <v>10.449999999999999</v>
      </c>
      <c r="E106" s="67">
        <f t="shared" si="0"/>
        <v>1.54</v>
      </c>
      <c r="F106" s="67">
        <f t="shared" si="0"/>
        <v>0.029999999999999999</v>
      </c>
      <c r="G106" s="67">
        <f t="shared" si="0"/>
        <v>0</v>
      </c>
      <c r="H106" s="67">
        <f t="shared" si="0"/>
        <v>1.8700000000000001</v>
      </c>
      <c r="I106" s="67">
        <f t="shared" si="0"/>
        <v>1.79</v>
      </c>
      <c r="J106" s="67">
        <f t="shared" si="0"/>
        <v>0.28000000000000003</v>
      </c>
      <c r="K106" s="67">
        <f t="shared" si="0"/>
        <v>81.420000000000002</v>
      </c>
      <c r="L106" s="67">
        <f t="shared" si="0"/>
        <v>31.27</v>
      </c>
      <c r="M106" s="67">
        <f t="shared" si="0"/>
        <v>79.260000000000005</v>
      </c>
      <c r="N106" s="67">
        <f t="shared" si="0"/>
        <v>0.10000000000000001</v>
      </c>
      <c r="O106" s="67">
        <f t="shared" si="0"/>
        <v>0</v>
      </c>
      <c r="P106" s="67">
        <f t="shared" si="0"/>
        <v>2.5899999999999999</v>
      </c>
      <c r="Q106" s="67">
        <f t="shared" si="0"/>
        <v>1.8300000000000001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10.390000000000001</v>
      </c>
      <c r="C107" s="66">
        <f t="shared" si="1" ref="C107:Q107">MAX(C9:C104)</f>
        <v>16.59</v>
      </c>
      <c r="D107" s="66">
        <f t="shared" si="1"/>
        <v>23.620000000000001</v>
      </c>
      <c r="E107" s="66">
        <f t="shared" si="1"/>
        <v>9.8499999999999996</v>
      </c>
      <c r="F107" s="66">
        <f t="shared" si="1"/>
        <v>1.75</v>
      </c>
      <c r="G107" s="66">
        <f t="shared" si="1"/>
        <v>0</v>
      </c>
      <c r="H107" s="66">
        <f t="shared" si="1"/>
        <v>8.7400000000000002</v>
      </c>
      <c r="I107" s="66">
        <f t="shared" si="1"/>
        <v>6.79</v>
      </c>
      <c r="J107" s="66">
        <f t="shared" si="1"/>
        <v>2.2200000000000002</v>
      </c>
      <c r="K107" s="66">
        <f t="shared" si="1"/>
        <v>213.21000000000001</v>
      </c>
      <c r="L107" s="66">
        <f t="shared" si="1"/>
        <v>47.939999999999998</v>
      </c>
      <c r="M107" s="66">
        <f t="shared" si="1"/>
        <v>99.099999999999994</v>
      </c>
      <c r="N107" s="66">
        <f t="shared" si="1"/>
        <v>759.5</v>
      </c>
      <c r="O107" s="66">
        <f t="shared" si="1"/>
        <v>0.40000000000000002</v>
      </c>
      <c r="P107" s="66">
        <f t="shared" si="1"/>
        <v>3.1299999999999999</v>
      </c>
      <c r="Q107" s="66">
        <f t="shared" si="1"/>
        <v>10.300000000000001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3.5239583333333351</v>
      </c>
      <c r="C108" s="67">
        <f t="shared" si="2" ref="C108:Q108">AVERAGE(C9:C104)</f>
        <v>11.246562499999998</v>
      </c>
      <c r="D108" s="67">
        <f t="shared" si="2"/>
        <v>14.770104166666675</v>
      </c>
      <c r="E108" s="67">
        <f t="shared" si="2"/>
        <v>5.651250000000001</v>
      </c>
      <c r="F108" s="67">
        <f t="shared" si="2"/>
        <v>0.47399999999999992</v>
      </c>
      <c r="G108" s="67" t="e">
        <f t="shared" si="2"/>
        <v>#DIV/0!</v>
      </c>
      <c r="H108" s="67">
        <f t="shared" si="2"/>
        <v>3.6886458333333354</v>
      </c>
      <c r="I108" s="67">
        <f t="shared" si="2"/>
        <v>3.4939583333333348</v>
      </c>
      <c r="J108" s="67">
        <f t="shared" si="2"/>
        <v>0.97770833333333362</v>
      </c>
      <c r="K108" s="67">
        <f t="shared" si="2"/>
        <v>167.68479166666671</v>
      </c>
      <c r="L108" s="67">
        <f t="shared" si="2"/>
        <v>42.079102564102577</v>
      </c>
      <c r="M108" s="67">
        <f t="shared" si="2"/>
        <v>92.469791666666637</v>
      </c>
      <c r="N108" s="67">
        <f t="shared" si="2"/>
        <v>88.467741935483858</v>
      </c>
      <c r="O108" s="67">
        <f t="shared" si="2"/>
        <v>0.014583333333333332</v>
      </c>
      <c r="P108" s="67">
        <f t="shared" si="2"/>
        <v>2.7261458333333337</v>
      </c>
      <c r="Q108" s="67">
        <f t="shared" si="2"/>
        <v>4.585208333333334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2.4759625365615148</v>
      </c>
      <c r="C109" s="67">
        <f t="shared" si="3" ref="C109:Q109">STDEV(C9:C104)</f>
        <v>1.7137437185573399</v>
      </c>
      <c r="D109" s="67">
        <f t="shared" si="3"/>
        <v>3.0187269867634337</v>
      </c>
      <c r="E109" s="67">
        <f t="shared" si="3"/>
        <v>2.470049754453068</v>
      </c>
      <c r="F109" s="67">
        <f t="shared" si="3"/>
        <v>0.42456335516998106</v>
      </c>
      <c r="G109" s="67" t="e">
        <f t="shared" si="3"/>
        <v>#DIV/0!</v>
      </c>
      <c r="H109" s="67">
        <f t="shared" si="3"/>
        <v>1.6154358185244992</v>
      </c>
      <c r="I109" s="67">
        <f t="shared" si="3"/>
        <v>1.4825095928804124</v>
      </c>
      <c r="J109" s="67">
        <f t="shared" si="3"/>
        <v>0.49714866815230807</v>
      </c>
      <c r="K109" s="67">
        <f t="shared" si="3"/>
        <v>34.218532897252175</v>
      </c>
      <c r="L109" s="67">
        <f t="shared" si="3"/>
        <v>3.7039207678187518</v>
      </c>
      <c r="M109" s="67">
        <f t="shared" si="3"/>
        <v>5.961918797301256</v>
      </c>
      <c r="N109" s="67">
        <f t="shared" si="3"/>
        <v>145.26392334770344</v>
      </c>
      <c r="O109" s="67">
        <f t="shared" si="3"/>
        <v>0.066458006791256297</v>
      </c>
      <c r="P109" s="67">
        <f t="shared" si="3"/>
        <v>0.1368546658371701</v>
      </c>
      <c r="Q109" s="67">
        <f t="shared" si="3"/>
        <v>2.4932472924689009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78</v>
      </c>
      <c r="M110" s="66">
        <f t="shared" si="4"/>
        <v>96</v>
      </c>
      <c r="N110" s="66">
        <f>COUNT(N9:N104)+3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888a4a-5b83-42b2-a8af-f7b0863e7c8a}">
  <sheetPr codeName=""/>
  <dimension ref="A1:AG117"/>
  <sheetViews>
    <sheetView workbookViewId="0" topLeftCell="A1">
      <pane xSplit="1" ySplit="8" topLeftCell="B27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19-07-2022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1973</v>
      </c>
      <c r="B9" s="135">
        <v>1.87</v>
      </c>
      <c r="C9" s="135">
        <v>8.5</v>
      </c>
      <c r="D9" s="135">
        <v>10.36</v>
      </c>
      <c r="E9" s="135">
        <v>6.14</v>
      </c>
      <c r="F9" s="135">
        <v>0.27</v>
      </c>
      <c r="G9" s="208" t="s">
        <v>36</v>
      </c>
      <c r="H9" s="135">
        <v>1.88</v>
      </c>
      <c r="I9" s="135">
        <v>2.65</v>
      </c>
      <c r="J9" s="135">
        <v>0.34</v>
      </c>
      <c r="K9" s="135">
        <v>207.21</v>
      </c>
      <c r="L9" s="135">
        <v>40.97</v>
      </c>
      <c r="M9" s="135">
        <v>91.24</v>
      </c>
      <c r="N9" s="208" t="s">
        <v>36</v>
      </c>
      <c r="O9" s="135">
        <v>0</v>
      </c>
      <c r="P9" s="135">
        <v>2.65</v>
      </c>
      <c r="Q9" s="135">
        <v>2.98</v>
      </c>
      <c r="R9" s="194"/>
      <c r="S9" s="194"/>
      <c r="T9" s="194"/>
      <c r="U9" s="194"/>
    </row>
    <row r="10" spans="1:21" s="12" customFormat="1" ht="15">
      <c r="A10" s="207" t="s">
        <v>1974</v>
      </c>
      <c r="B10" s="135">
        <v>1.85</v>
      </c>
      <c r="C10" s="135">
        <v>8.18</v>
      </c>
      <c r="D10" s="135">
        <v>10.029999999999999</v>
      </c>
      <c r="E10" s="135">
        <v>5.94</v>
      </c>
      <c r="F10" s="135">
        <v>0.43</v>
      </c>
      <c r="G10" s="208" t="s">
        <v>36</v>
      </c>
      <c r="H10" s="135">
        <v>1.90</v>
      </c>
      <c r="I10" s="135">
        <v>2.67</v>
      </c>
      <c r="J10" s="135">
        <v>0.53</v>
      </c>
      <c r="K10" s="135">
        <v>183.91</v>
      </c>
      <c r="L10" s="135">
        <v>40.61</v>
      </c>
      <c r="M10" s="135">
        <v>89.98</v>
      </c>
      <c r="N10" s="208" t="s">
        <v>36</v>
      </c>
      <c r="O10" s="135">
        <v>0</v>
      </c>
      <c r="P10" s="135">
        <v>2.65</v>
      </c>
      <c r="Q10" s="135">
        <v>2.91</v>
      </c>
      <c r="R10" s="194"/>
      <c r="S10" s="194"/>
      <c r="T10" s="194"/>
      <c r="U10" s="194"/>
    </row>
    <row r="11" spans="1:21" s="12" customFormat="1" ht="15">
      <c r="A11" s="207" t="s">
        <v>1975</v>
      </c>
      <c r="B11" s="135">
        <v>1.73</v>
      </c>
      <c r="C11" s="135">
        <v>8.0299999999999994</v>
      </c>
      <c r="D11" s="135">
        <v>9.76</v>
      </c>
      <c r="E11" s="135">
        <v>6.02</v>
      </c>
      <c r="F11" s="135">
        <v>0.42</v>
      </c>
      <c r="G11" s="208" t="s">
        <v>36</v>
      </c>
      <c r="H11" s="135">
        <v>1.90</v>
      </c>
      <c r="I11" s="135">
        <v>2.66</v>
      </c>
      <c r="J11" s="135">
        <v>0.56000000000000005</v>
      </c>
      <c r="K11" s="135">
        <v>200.47</v>
      </c>
      <c r="L11" s="135">
        <v>41.29</v>
      </c>
      <c r="M11" s="135">
        <v>88.34</v>
      </c>
      <c r="N11" s="208" t="s">
        <v>36</v>
      </c>
      <c r="O11" s="135">
        <v>0</v>
      </c>
      <c r="P11" s="135">
        <v>2.65</v>
      </c>
      <c r="Q11" s="135">
        <v>2.76</v>
      </c>
      <c r="R11" s="194"/>
      <c r="S11" s="194"/>
      <c r="T11" s="194"/>
      <c r="U11" s="194"/>
    </row>
    <row r="12" spans="1:21" s="12" customFormat="1" ht="15">
      <c r="A12" s="207" t="s">
        <v>1976</v>
      </c>
      <c r="B12" s="135">
        <v>1.60</v>
      </c>
      <c r="C12" s="135">
        <v>7.97</v>
      </c>
      <c r="D12" s="135">
        <v>9.57</v>
      </c>
      <c r="E12" s="135">
        <v>5.80</v>
      </c>
      <c r="F12" s="135">
        <v>0.52</v>
      </c>
      <c r="G12" s="208" t="s">
        <v>36</v>
      </c>
      <c r="H12" s="135">
        <v>1.90</v>
      </c>
      <c r="I12" s="135">
        <v>2.64</v>
      </c>
      <c r="J12" s="135">
        <v>0.65</v>
      </c>
      <c r="K12" s="135">
        <v>191.92</v>
      </c>
      <c r="L12" s="135">
        <v>40.840000000000003</v>
      </c>
      <c r="M12" s="135">
        <v>88</v>
      </c>
      <c r="N12" s="135">
        <v>0.30</v>
      </c>
      <c r="O12" s="135">
        <v>0</v>
      </c>
      <c r="P12" s="135">
        <v>2.64</v>
      </c>
      <c r="Q12" s="135">
        <v>2.70</v>
      </c>
      <c r="R12" s="194"/>
      <c r="S12" s="194"/>
      <c r="T12" s="194"/>
      <c r="U12" s="194"/>
    </row>
    <row r="13" spans="1:21" s="12" customFormat="1" ht="15">
      <c r="A13" s="207" t="s">
        <v>1977</v>
      </c>
      <c r="B13" s="135">
        <v>1.54</v>
      </c>
      <c r="C13" s="135">
        <v>7.86</v>
      </c>
      <c r="D13" s="135">
        <v>9.40</v>
      </c>
      <c r="E13" s="135">
        <v>5.87</v>
      </c>
      <c r="F13" s="135">
        <v>0.79</v>
      </c>
      <c r="G13" s="208" t="s">
        <v>36</v>
      </c>
      <c r="H13" s="135">
        <v>1.88</v>
      </c>
      <c r="I13" s="135">
        <v>2.62</v>
      </c>
      <c r="J13" s="135">
        <v>0.66</v>
      </c>
      <c r="K13" s="135">
        <v>184.62</v>
      </c>
      <c r="L13" s="135">
        <v>41.63</v>
      </c>
      <c r="M13" s="135">
        <v>88.59</v>
      </c>
      <c r="N13" s="135">
        <v>0.40</v>
      </c>
      <c r="O13" s="135">
        <v>0</v>
      </c>
      <c r="P13" s="135">
        <v>2.64</v>
      </c>
      <c r="Q13" s="135">
        <v>2.59</v>
      </c>
      <c r="R13" s="194"/>
      <c r="S13" s="194"/>
      <c r="T13" s="194"/>
      <c r="U13" s="194"/>
    </row>
    <row r="14" spans="1:21" s="12" customFormat="1" ht="15">
      <c r="A14" s="207" t="s">
        <v>1978</v>
      </c>
      <c r="B14" s="135">
        <v>1.51</v>
      </c>
      <c r="C14" s="135">
        <v>7.57</v>
      </c>
      <c r="D14" s="135">
        <v>9.08</v>
      </c>
      <c r="E14" s="135">
        <v>6.08</v>
      </c>
      <c r="F14" s="135">
        <v>0.15</v>
      </c>
      <c r="G14" s="208" t="s">
        <v>36</v>
      </c>
      <c r="H14" s="135">
        <v>1.86</v>
      </c>
      <c r="I14" s="135">
        <v>2.58</v>
      </c>
      <c r="J14" s="135">
        <v>0.51</v>
      </c>
      <c r="K14" s="135">
        <v>191.40</v>
      </c>
      <c r="L14" s="135">
        <v>40.08</v>
      </c>
      <c r="M14" s="135">
        <v>89.27</v>
      </c>
      <c r="N14" s="135">
        <v>0.5</v>
      </c>
      <c r="O14" s="135">
        <v>0</v>
      </c>
      <c r="P14" s="135">
        <v>2.63</v>
      </c>
      <c r="Q14" s="135">
        <v>2.4700000000000002</v>
      </c>
      <c r="R14" s="194"/>
      <c r="S14" s="194"/>
      <c r="T14" s="194"/>
      <c r="U14" s="194"/>
    </row>
    <row r="15" spans="1:21" s="12" customFormat="1" ht="15">
      <c r="A15" s="207" t="s">
        <v>1979</v>
      </c>
      <c r="B15" s="135">
        <v>1.53</v>
      </c>
      <c r="C15" s="135">
        <v>7.63</v>
      </c>
      <c r="D15" s="135">
        <v>9.16</v>
      </c>
      <c r="E15" s="135">
        <v>5.72</v>
      </c>
      <c r="F15" s="135">
        <v>0.5</v>
      </c>
      <c r="G15" s="208" t="s">
        <v>36</v>
      </c>
      <c r="H15" s="135">
        <v>1.86</v>
      </c>
      <c r="I15" s="135">
        <v>2.58</v>
      </c>
      <c r="J15" s="135">
        <v>0.49</v>
      </c>
      <c r="K15" s="135">
        <v>190.98</v>
      </c>
      <c r="L15" s="135">
        <v>41.51</v>
      </c>
      <c r="M15" s="135">
        <v>91.90</v>
      </c>
      <c r="N15" s="135">
        <v>0.70</v>
      </c>
      <c r="O15" s="135">
        <v>0</v>
      </c>
      <c r="P15" s="135">
        <v>2.63</v>
      </c>
      <c r="Q15" s="135">
        <v>2.48</v>
      </c>
      <c r="R15" s="194"/>
      <c r="S15" s="194"/>
      <c r="T15" s="194"/>
      <c r="U15" s="194"/>
    </row>
    <row r="16" spans="1:21" s="12" customFormat="1" ht="15">
      <c r="A16" s="207" t="s">
        <v>1980</v>
      </c>
      <c r="B16" s="135">
        <v>2.04</v>
      </c>
      <c r="C16" s="135">
        <v>8.0299999999999994</v>
      </c>
      <c r="D16" s="135">
        <v>10.08</v>
      </c>
      <c r="E16" s="135">
        <v>5.96</v>
      </c>
      <c r="F16" s="135">
        <v>0.46</v>
      </c>
      <c r="G16" s="208" t="s">
        <v>36</v>
      </c>
      <c r="H16" s="135">
        <v>1.86</v>
      </c>
      <c r="I16" s="135">
        <v>2.54</v>
      </c>
      <c r="J16" s="135">
        <v>0.59</v>
      </c>
      <c r="K16" s="135">
        <v>189.62</v>
      </c>
      <c r="L16" s="135">
        <v>47.66</v>
      </c>
      <c r="M16" s="135">
        <v>92.48</v>
      </c>
      <c r="N16" s="135">
        <v>0.40</v>
      </c>
      <c r="O16" s="135">
        <v>0</v>
      </c>
      <c r="P16" s="135">
        <v>2.63</v>
      </c>
      <c r="Q16" s="135">
        <v>2.97</v>
      </c>
      <c r="R16" s="194"/>
      <c r="S16" s="194"/>
      <c r="T16" s="194"/>
      <c r="U16" s="194"/>
    </row>
    <row r="17" spans="1:21" s="12" customFormat="1" ht="15">
      <c r="A17" s="207" t="s">
        <v>1981</v>
      </c>
      <c r="B17" s="135">
        <v>2.4700000000000002</v>
      </c>
      <c r="C17" s="135">
        <v>8.3000000000000007</v>
      </c>
      <c r="D17" s="135">
        <v>10.78</v>
      </c>
      <c r="E17" s="135">
        <v>6.13</v>
      </c>
      <c r="F17" s="135">
        <v>0.08</v>
      </c>
      <c r="G17" s="208" t="s">
        <v>36</v>
      </c>
      <c r="H17" s="135">
        <v>1.96</v>
      </c>
      <c r="I17" s="135">
        <v>2.52</v>
      </c>
      <c r="J17" s="135">
        <v>0.34</v>
      </c>
      <c r="K17" s="135">
        <v>209.21</v>
      </c>
      <c r="L17" s="135">
        <v>40.049999999999997</v>
      </c>
      <c r="M17" s="135">
        <v>92.72</v>
      </c>
      <c r="N17" s="135">
        <v>0.40</v>
      </c>
      <c r="O17" s="135">
        <v>0</v>
      </c>
      <c r="P17" s="135">
        <v>2.63</v>
      </c>
      <c r="Q17" s="135">
        <v>3.18</v>
      </c>
      <c r="R17" s="194"/>
      <c r="S17" s="194"/>
      <c r="T17" s="194"/>
      <c r="U17" s="194"/>
    </row>
    <row r="18" spans="1:21" s="12" customFormat="1" ht="15">
      <c r="A18" s="207" t="s">
        <v>1982</v>
      </c>
      <c r="B18" s="135">
        <v>2.59</v>
      </c>
      <c r="C18" s="135">
        <v>8.27</v>
      </c>
      <c r="D18" s="135">
        <v>10.87</v>
      </c>
      <c r="E18" s="135">
        <v>5.96</v>
      </c>
      <c r="F18" s="135">
        <v>0.26</v>
      </c>
      <c r="G18" s="208" t="s">
        <v>36</v>
      </c>
      <c r="H18" s="135">
        <v>2.23</v>
      </c>
      <c r="I18" s="135">
        <v>2.5499999999999998</v>
      </c>
      <c r="J18" s="135">
        <v>0.47</v>
      </c>
      <c r="K18" s="135">
        <v>201.71</v>
      </c>
      <c r="L18" s="135">
        <v>36.01</v>
      </c>
      <c r="M18" s="135">
        <v>92.55</v>
      </c>
      <c r="N18" s="135">
        <v>0.30</v>
      </c>
      <c r="O18" s="135">
        <v>0</v>
      </c>
      <c r="P18" s="135">
        <v>2.63</v>
      </c>
      <c r="Q18" s="135">
        <v>3.23</v>
      </c>
      <c r="R18" s="194"/>
      <c r="S18" s="194"/>
      <c r="T18" s="194"/>
      <c r="U18" s="194"/>
    </row>
    <row r="19" spans="1:21" s="12" customFormat="1" ht="15">
      <c r="A19" s="207" t="s">
        <v>1983</v>
      </c>
      <c r="B19" s="135">
        <v>2.70</v>
      </c>
      <c r="C19" s="135">
        <v>8.16</v>
      </c>
      <c r="D19" s="135">
        <v>10.85</v>
      </c>
      <c r="E19" s="135">
        <v>6.62</v>
      </c>
      <c r="F19" s="135">
        <v>0.31</v>
      </c>
      <c r="G19" s="208" t="s">
        <v>36</v>
      </c>
      <c r="H19" s="135">
        <v>2.23</v>
      </c>
      <c r="I19" s="135">
        <v>2.5499999999999998</v>
      </c>
      <c r="J19" s="135">
        <v>0.47</v>
      </c>
      <c r="K19" s="135">
        <v>187.45</v>
      </c>
      <c r="L19" s="135">
        <v>35.619999999999997</v>
      </c>
      <c r="M19" s="135">
        <v>93.10</v>
      </c>
      <c r="N19" s="135">
        <v>0.40</v>
      </c>
      <c r="O19" s="135">
        <v>0</v>
      </c>
      <c r="P19" s="135">
        <v>2.63</v>
      </c>
      <c r="Q19" s="135">
        <v>3.36</v>
      </c>
      <c r="R19" s="194"/>
      <c r="S19" s="194"/>
      <c r="T19" s="194"/>
      <c r="U19" s="194"/>
    </row>
    <row r="20" spans="1:21" s="12" customFormat="1" ht="15">
      <c r="A20" s="207" t="s">
        <v>1984</v>
      </c>
      <c r="B20" s="135">
        <v>2.80</v>
      </c>
      <c r="C20" s="135">
        <v>7.98</v>
      </c>
      <c r="D20" s="135">
        <v>10.78</v>
      </c>
      <c r="E20" s="135">
        <v>6.80</v>
      </c>
      <c r="F20" s="135">
        <v>0.21</v>
      </c>
      <c r="G20" s="208" t="s">
        <v>36</v>
      </c>
      <c r="H20" s="135">
        <v>2.23</v>
      </c>
      <c r="I20" s="135">
        <v>2.5499999999999998</v>
      </c>
      <c r="J20" s="135">
        <v>0.55000000000000004</v>
      </c>
      <c r="K20" s="135">
        <v>176</v>
      </c>
      <c r="L20" s="135">
        <v>35.409999999999997</v>
      </c>
      <c r="M20" s="135">
        <v>93.55</v>
      </c>
      <c r="N20" s="135">
        <v>0.40</v>
      </c>
      <c r="O20" s="135">
        <v>0</v>
      </c>
      <c r="P20" s="135">
        <v>2.63</v>
      </c>
      <c r="Q20" s="135">
        <v>3.44</v>
      </c>
      <c r="R20" s="194"/>
      <c r="S20" s="194"/>
      <c r="T20" s="194"/>
      <c r="U20" s="194"/>
    </row>
    <row r="21" spans="1:21" s="12" customFormat="1" ht="15">
      <c r="A21" s="207" t="s">
        <v>1985</v>
      </c>
      <c r="B21" s="135">
        <v>2.88</v>
      </c>
      <c r="C21" s="135">
        <v>7.90</v>
      </c>
      <c r="D21" s="135">
        <v>10.79</v>
      </c>
      <c r="E21" s="135">
        <v>6.79</v>
      </c>
      <c r="F21" s="135">
        <v>0.19</v>
      </c>
      <c r="G21" s="208" t="s">
        <v>36</v>
      </c>
      <c r="H21" s="135">
        <v>2.23</v>
      </c>
      <c r="I21" s="135">
        <v>2.58</v>
      </c>
      <c r="J21" s="135">
        <v>0.56000000000000005</v>
      </c>
      <c r="K21" s="135">
        <v>185.49</v>
      </c>
      <c r="L21" s="135">
        <v>35.42</v>
      </c>
      <c r="M21" s="135">
        <v>93.42</v>
      </c>
      <c r="N21" s="135">
        <v>0.40</v>
      </c>
      <c r="O21" s="135">
        <v>0</v>
      </c>
      <c r="P21" s="135">
        <v>2.63</v>
      </c>
      <c r="Q21" s="135">
        <v>3.57</v>
      </c>
      <c r="R21" s="194"/>
      <c r="S21" s="194"/>
      <c r="T21" s="194"/>
      <c r="U21" s="194"/>
    </row>
    <row r="22" spans="1:21" s="12" customFormat="1" ht="15">
      <c r="A22" s="207" t="s">
        <v>1986</v>
      </c>
      <c r="B22" s="135">
        <v>2.94</v>
      </c>
      <c r="C22" s="135">
        <v>7.72</v>
      </c>
      <c r="D22" s="135">
        <v>10.66</v>
      </c>
      <c r="E22" s="135">
        <v>7.39</v>
      </c>
      <c r="F22" s="135">
        <v>0.18</v>
      </c>
      <c r="G22" s="208" t="s">
        <v>36</v>
      </c>
      <c r="H22" s="135">
        <v>2.21</v>
      </c>
      <c r="I22" s="135">
        <v>2.60</v>
      </c>
      <c r="J22" s="135">
        <v>0.44</v>
      </c>
      <c r="K22" s="135">
        <v>198.03</v>
      </c>
      <c r="L22" s="135">
        <v>35.49</v>
      </c>
      <c r="M22" s="135">
        <v>93.07</v>
      </c>
      <c r="N22" s="135">
        <v>0.40</v>
      </c>
      <c r="O22" s="135">
        <v>0</v>
      </c>
      <c r="P22" s="135">
        <v>2.63</v>
      </c>
      <c r="Q22" s="135">
        <v>3.70</v>
      </c>
      <c r="R22" s="194"/>
      <c r="S22" s="194"/>
      <c r="T22" s="194"/>
      <c r="U22" s="194"/>
    </row>
    <row r="23" spans="1:21" s="12" customFormat="1" ht="15">
      <c r="A23" s="207" t="s">
        <v>1987</v>
      </c>
      <c r="B23" s="135">
        <v>2.99</v>
      </c>
      <c r="C23" s="135">
        <v>7.64</v>
      </c>
      <c r="D23" s="135">
        <v>10.62</v>
      </c>
      <c r="E23" s="135">
        <v>7.14</v>
      </c>
      <c r="F23" s="135">
        <v>0.22</v>
      </c>
      <c r="G23" s="208" t="s">
        <v>36</v>
      </c>
      <c r="H23" s="135">
        <v>2.21</v>
      </c>
      <c r="I23" s="135">
        <v>2.58</v>
      </c>
      <c r="J23" s="135">
        <v>0.47</v>
      </c>
      <c r="K23" s="135">
        <v>194.62</v>
      </c>
      <c r="L23" s="135">
        <v>35.549999999999997</v>
      </c>
      <c r="M23" s="135">
        <v>91.93</v>
      </c>
      <c r="N23" s="135">
        <v>0.30</v>
      </c>
      <c r="O23" s="135">
        <v>0</v>
      </c>
      <c r="P23" s="135">
        <v>2.63</v>
      </c>
      <c r="Q23" s="135">
        <v>3.80</v>
      </c>
      <c r="R23" s="194"/>
      <c r="S23" s="194"/>
      <c r="T23" s="194"/>
      <c r="U23" s="194"/>
    </row>
    <row r="24" spans="1:21" s="12" customFormat="1" ht="15">
      <c r="A24" s="207" t="s">
        <v>1988</v>
      </c>
      <c r="B24" s="135">
        <v>3.01</v>
      </c>
      <c r="C24" s="135">
        <v>7.54</v>
      </c>
      <c r="D24" s="135">
        <v>10.55</v>
      </c>
      <c r="E24" s="135">
        <v>3.44</v>
      </c>
      <c r="F24" s="135">
        <v>0.27</v>
      </c>
      <c r="G24" s="208" t="s">
        <v>36</v>
      </c>
      <c r="H24" s="135">
        <v>2.21</v>
      </c>
      <c r="I24" s="135">
        <v>2.61</v>
      </c>
      <c r="J24" s="135">
        <v>0.53</v>
      </c>
      <c r="K24" s="135">
        <v>195.60</v>
      </c>
      <c r="L24" s="135">
        <v>35.549999999999997</v>
      </c>
      <c r="M24" s="135">
        <v>90.05</v>
      </c>
      <c r="N24" s="135">
        <v>0.40</v>
      </c>
      <c r="O24" s="135">
        <v>0</v>
      </c>
      <c r="P24" s="135">
        <v>2.63</v>
      </c>
      <c r="Q24" s="135">
        <v>3.87</v>
      </c>
      <c r="R24" s="194"/>
      <c r="S24" s="194"/>
      <c r="T24" s="194"/>
      <c r="U24" s="194"/>
    </row>
    <row r="25" spans="1:21" s="12" customFormat="1" ht="15">
      <c r="A25" s="207" t="s">
        <v>1989</v>
      </c>
      <c r="B25" s="135">
        <v>2.84</v>
      </c>
      <c r="C25" s="135">
        <v>7.47</v>
      </c>
      <c r="D25" s="135">
        <v>10.31</v>
      </c>
      <c r="E25" s="135">
        <v>6.5</v>
      </c>
      <c r="F25" s="135">
        <v>0.35</v>
      </c>
      <c r="G25" s="208" t="s">
        <v>36</v>
      </c>
      <c r="H25" s="135">
        <v>2.2000000000000002</v>
      </c>
      <c r="I25" s="135">
        <v>2.62</v>
      </c>
      <c r="J25" s="135">
        <v>0.46</v>
      </c>
      <c r="K25" s="135">
        <v>208.26</v>
      </c>
      <c r="L25" s="135">
        <v>35.479999999999997</v>
      </c>
      <c r="M25" s="135">
        <v>88.86</v>
      </c>
      <c r="N25" s="135">
        <v>0.40</v>
      </c>
      <c r="O25" s="135">
        <v>0</v>
      </c>
      <c r="P25" s="135">
        <v>2.63</v>
      </c>
      <c r="Q25" s="135">
        <v>3.86</v>
      </c>
      <c r="R25" s="194"/>
      <c r="S25" s="194"/>
      <c r="T25" s="194"/>
      <c r="U25" s="194"/>
    </row>
    <row r="26" spans="1:21" s="12" customFormat="1" ht="15">
      <c r="A26" s="207" t="s">
        <v>1990</v>
      </c>
      <c r="B26" s="135">
        <v>2.5</v>
      </c>
      <c r="C26" s="135">
        <v>7.83</v>
      </c>
      <c r="D26" s="135">
        <v>10.32</v>
      </c>
      <c r="E26" s="135">
        <v>6.47</v>
      </c>
      <c r="F26" s="135">
        <v>0.40</v>
      </c>
      <c r="G26" s="208" t="s">
        <v>36</v>
      </c>
      <c r="H26" s="135">
        <v>2.1800000000000002</v>
      </c>
      <c r="I26" s="135">
        <v>2.75</v>
      </c>
      <c r="J26" s="135">
        <v>0.25</v>
      </c>
      <c r="K26" s="135">
        <v>228.43</v>
      </c>
      <c r="L26" s="135">
        <v>35.520000000000003</v>
      </c>
      <c r="M26" s="135">
        <v>87.04</v>
      </c>
      <c r="N26" s="135">
        <v>0.40</v>
      </c>
      <c r="O26" s="135">
        <v>0</v>
      </c>
      <c r="P26" s="135">
        <v>2.62</v>
      </c>
      <c r="Q26" s="135">
        <v>3.66</v>
      </c>
      <c r="R26" s="194"/>
      <c r="S26" s="194"/>
      <c r="T26" s="194"/>
      <c r="U26" s="194"/>
    </row>
    <row r="27" spans="1:21" s="12" customFormat="1" ht="15">
      <c r="A27" s="207" t="s">
        <v>1991</v>
      </c>
      <c r="B27" s="135">
        <v>2.09</v>
      </c>
      <c r="C27" s="135">
        <v>7.97</v>
      </c>
      <c r="D27" s="135">
        <v>10.06</v>
      </c>
      <c r="E27" s="135">
        <v>6.37</v>
      </c>
      <c r="F27" s="135">
        <v>0.37</v>
      </c>
      <c r="G27" s="208" t="s">
        <v>36</v>
      </c>
      <c r="H27" s="135">
        <v>2.1800000000000002</v>
      </c>
      <c r="I27" s="135">
        <v>2.76</v>
      </c>
      <c r="J27" s="135">
        <v>0.15</v>
      </c>
      <c r="K27" s="135">
        <v>245.06</v>
      </c>
      <c r="L27" s="135">
        <v>35.44</v>
      </c>
      <c r="M27" s="135">
        <v>86.30</v>
      </c>
      <c r="N27" s="135">
        <v>0.40</v>
      </c>
      <c r="O27" s="135">
        <v>0</v>
      </c>
      <c r="P27" s="135">
        <v>2.61</v>
      </c>
      <c r="Q27" s="135">
        <v>3.46</v>
      </c>
      <c r="R27" s="194"/>
      <c r="S27" s="194"/>
      <c r="T27" s="194"/>
      <c r="U27" s="194"/>
    </row>
    <row r="28" spans="1:21" s="12" customFormat="1" ht="15">
      <c r="A28" s="207" t="s">
        <v>1992</v>
      </c>
      <c r="B28" s="135">
        <v>1.74</v>
      </c>
      <c r="C28" s="135">
        <v>8.33</v>
      </c>
      <c r="D28" s="135">
        <v>10.07</v>
      </c>
      <c r="E28" s="135">
        <v>6.22</v>
      </c>
      <c r="F28" s="135">
        <v>0.57999999999999996</v>
      </c>
      <c r="G28" s="208" t="s">
        <v>36</v>
      </c>
      <c r="H28" s="135">
        <v>2.1800000000000002</v>
      </c>
      <c r="I28" s="135">
        <v>2.66</v>
      </c>
      <c r="J28" s="135">
        <v>0.31</v>
      </c>
      <c r="K28" s="135">
        <v>220.59</v>
      </c>
      <c r="L28" s="135">
        <v>35.450000000000003</v>
      </c>
      <c r="M28" s="135">
        <v>86.12</v>
      </c>
      <c r="N28" s="135">
        <v>0.40</v>
      </c>
      <c r="O28" s="135">
        <v>0</v>
      </c>
      <c r="P28" s="135">
        <v>2.61</v>
      </c>
      <c r="Q28" s="135">
        <v>3.26</v>
      </c>
      <c r="R28" s="194"/>
      <c r="S28" s="194"/>
      <c r="T28" s="194"/>
      <c r="U28" s="194"/>
    </row>
    <row r="29" spans="1:21" s="12" customFormat="1" ht="15">
      <c r="A29" s="207" t="s">
        <v>1993</v>
      </c>
      <c r="B29" s="135">
        <v>1.51</v>
      </c>
      <c r="C29" s="135">
        <v>8.40</v>
      </c>
      <c r="D29" s="135">
        <v>9.91</v>
      </c>
      <c r="E29" s="135">
        <v>5.62</v>
      </c>
      <c r="F29" s="135">
        <v>0.56999999999999995</v>
      </c>
      <c r="G29" s="208" t="s">
        <v>36</v>
      </c>
      <c r="H29" s="135">
        <v>2.1800000000000002</v>
      </c>
      <c r="I29" s="135">
        <v>2.57</v>
      </c>
      <c r="J29" s="135">
        <v>0.32</v>
      </c>
      <c r="K29" s="135">
        <v>209.68</v>
      </c>
      <c r="L29" s="135">
        <v>35.40</v>
      </c>
      <c r="M29" s="135">
        <v>86.61</v>
      </c>
      <c r="N29" s="135">
        <v>0.5</v>
      </c>
      <c r="O29" s="135">
        <v>0</v>
      </c>
      <c r="P29" s="135">
        <v>2.61</v>
      </c>
      <c r="Q29" s="135">
        <v>3.15</v>
      </c>
      <c r="R29" s="194"/>
      <c r="S29" s="194"/>
      <c r="T29" s="194"/>
      <c r="U29" s="194"/>
    </row>
    <row r="30" spans="1:21" s="12" customFormat="1" ht="15">
      <c r="A30" s="207" t="s">
        <v>1994</v>
      </c>
      <c r="B30" s="135">
        <v>1.39</v>
      </c>
      <c r="C30" s="135">
        <v>8.35</v>
      </c>
      <c r="D30" s="135">
        <v>9.74</v>
      </c>
      <c r="E30" s="135">
        <v>5.56</v>
      </c>
      <c r="F30" s="135">
        <v>0.5</v>
      </c>
      <c r="G30" s="208" t="s">
        <v>36</v>
      </c>
      <c r="H30" s="135">
        <v>2.17</v>
      </c>
      <c r="I30" s="135">
        <v>2.5099999999999998</v>
      </c>
      <c r="J30" s="135">
        <v>0.23</v>
      </c>
      <c r="K30" s="135">
        <v>212.65</v>
      </c>
      <c r="L30" s="135">
        <v>35.33</v>
      </c>
      <c r="M30" s="135">
        <v>86.64</v>
      </c>
      <c r="N30" s="135">
        <v>1.70</v>
      </c>
      <c r="O30" s="135">
        <v>0</v>
      </c>
      <c r="P30" s="135">
        <v>2.60</v>
      </c>
      <c r="Q30" s="135">
        <v>3.03</v>
      </c>
      <c r="R30" s="194"/>
      <c r="S30" s="194"/>
      <c r="T30" s="194"/>
      <c r="U30" s="194"/>
    </row>
    <row r="31" spans="1:21" s="12" customFormat="1" ht="15">
      <c r="A31" s="207" t="s">
        <v>1995</v>
      </c>
      <c r="B31" s="135">
        <v>1.28</v>
      </c>
      <c r="C31" s="135">
        <v>8.41</v>
      </c>
      <c r="D31" s="135">
        <v>9.6999999999999993</v>
      </c>
      <c r="E31" s="135">
        <v>5.66</v>
      </c>
      <c r="F31" s="135">
        <v>0.45</v>
      </c>
      <c r="G31" s="208" t="s">
        <v>36</v>
      </c>
      <c r="H31" s="135">
        <v>2.17</v>
      </c>
      <c r="I31" s="135">
        <v>2.46</v>
      </c>
      <c r="J31" s="135">
        <v>0.31</v>
      </c>
      <c r="K31" s="135">
        <v>222.24</v>
      </c>
      <c r="L31" s="135">
        <v>35.299999999999997</v>
      </c>
      <c r="M31" s="135">
        <v>86.15</v>
      </c>
      <c r="N31" s="135">
        <v>6.30</v>
      </c>
      <c r="O31" s="135">
        <v>0</v>
      </c>
      <c r="P31" s="135">
        <v>2.60</v>
      </c>
      <c r="Q31" s="135">
        <v>2.98</v>
      </c>
      <c r="R31" s="194"/>
      <c r="S31" s="194"/>
      <c r="T31" s="194"/>
      <c r="U31" s="194"/>
    </row>
    <row r="32" spans="1:21" s="12" customFormat="1" ht="15">
      <c r="A32" s="207" t="s">
        <v>1996</v>
      </c>
      <c r="B32" s="135">
        <v>1.17</v>
      </c>
      <c r="C32" s="135">
        <v>8.77</v>
      </c>
      <c r="D32" s="135">
        <v>9.94</v>
      </c>
      <c r="E32" s="135">
        <v>5.65</v>
      </c>
      <c r="F32" s="135">
        <v>0.51</v>
      </c>
      <c r="G32" s="208" t="s">
        <v>36</v>
      </c>
      <c r="H32" s="135">
        <v>2.17</v>
      </c>
      <c r="I32" s="135">
        <v>2.4300000000000002</v>
      </c>
      <c r="J32" s="135">
        <v>0.16</v>
      </c>
      <c r="K32" s="135">
        <v>242.02</v>
      </c>
      <c r="L32" s="135">
        <v>35.409999999999997</v>
      </c>
      <c r="M32" s="135">
        <v>85.88</v>
      </c>
      <c r="N32" s="135">
        <v>15</v>
      </c>
      <c r="O32" s="135">
        <v>0</v>
      </c>
      <c r="P32" s="135">
        <v>2.61</v>
      </c>
      <c r="Q32" s="135">
        <v>2.95</v>
      </c>
      <c r="R32" s="194"/>
      <c r="S32" s="194"/>
      <c r="T32" s="194"/>
      <c r="U32" s="194"/>
    </row>
    <row r="33" spans="1:21" s="12" customFormat="1" ht="15">
      <c r="A33" s="207" t="s">
        <v>1997</v>
      </c>
      <c r="B33" s="135">
        <v>1.23</v>
      </c>
      <c r="C33" s="135">
        <v>9.0500000000000007</v>
      </c>
      <c r="D33" s="135">
        <v>10.29</v>
      </c>
      <c r="E33" s="135">
        <v>5.21</v>
      </c>
      <c r="F33" s="135">
        <v>0.40</v>
      </c>
      <c r="G33" s="208" t="s">
        <v>36</v>
      </c>
      <c r="H33" s="135">
        <v>2.21</v>
      </c>
      <c r="I33" s="135">
        <v>2.41</v>
      </c>
      <c r="J33" s="135">
        <v>0.06</v>
      </c>
      <c r="K33" s="135">
        <v>280.17</v>
      </c>
      <c r="L33" s="135">
        <v>36.31</v>
      </c>
      <c r="M33" s="135">
        <v>85.43</v>
      </c>
      <c r="N33" s="135">
        <v>24.10</v>
      </c>
      <c r="O33" s="135">
        <v>0</v>
      </c>
      <c r="P33" s="135">
        <v>2.61</v>
      </c>
      <c r="Q33" s="135">
        <v>3.07</v>
      </c>
      <c r="R33" s="194"/>
      <c r="S33" s="194"/>
      <c r="T33" s="194"/>
      <c r="U33" s="194"/>
    </row>
    <row r="34" spans="1:21" s="12" customFormat="1" ht="15">
      <c r="A34" s="207" t="s">
        <v>1998</v>
      </c>
      <c r="B34" s="135">
        <v>1.46</v>
      </c>
      <c r="C34" s="135">
        <v>9.49</v>
      </c>
      <c r="D34" s="135">
        <v>10.95</v>
      </c>
      <c r="E34" s="135">
        <v>5.45</v>
      </c>
      <c r="F34" s="135">
        <v>0.30</v>
      </c>
      <c r="G34" s="208" t="s">
        <v>36</v>
      </c>
      <c r="H34" s="135">
        <v>2.3199999999999998</v>
      </c>
      <c r="I34" s="135">
        <v>2.38</v>
      </c>
      <c r="J34" s="135">
        <v>0.02</v>
      </c>
      <c r="K34" s="135">
        <v>61.26</v>
      </c>
      <c r="L34" s="135">
        <v>37.200000000000003</v>
      </c>
      <c r="M34" s="135">
        <v>85.12</v>
      </c>
      <c r="N34" s="135">
        <v>38.90</v>
      </c>
      <c r="O34" s="135">
        <v>0</v>
      </c>
      <c r="P34" s="135">
        <v>2.62</v>
      </c>
      <c r="Q34" s="135">
        <v>3.23</v>
      </c>
      <c r="R34" s="194"/>
      <c r="S34" s="194"/>
      <c r="T34" s="194"/>
      <c r="U34" s="194"/>
    </row>
    <row r="35" spans="1:21" s="12" customFormat="1" ht="15">
      <c r="A35" s="207" t="s">
        <v>1999</v>
      </c>
      <c r="B35" s="135">
        <v>1.59</v>
      </c>
      <c r="C35" s="135">
        <v>9.93</v>
      </c>
      <c r="D35" s="135">
        <v>11.52</v>
      </c>
      <c r="E35" s="135">
        <v>5.28</v>
      </c>
      <c r="F35" s="135">
        <v>0.28999999999999998</v>
      </c>
      <c r="G35" s="208" t="s">
        <v>36</v>
      </c>
      <c r="H35" s="135">
        <v>2.3199999999999998</v>
      </c>
      <c r="I35" s="135">
        <v>2.40</v>
      </c>
      <c r="J35" s="208" t="s">
        <v>36</v>
      </c>
      <c r="K35" s="135">
        <v>7.02</v>
      </c>
      <c r="L35" s="135">
        <v>38.119999999999997</v>
      </c>
      <c r="M35" s="135">
        <v>84.39</v>
      </c>
      <c r="N35" s="135">
        <v>53.30</v>
      </c>
      <c r="O35" s="135">
        <v>0</v>
      </c>
      <c r="P35" s="135">
        <v>2.63</v>
      </c>
      <c r="Q35" s="135">
        <v>3.33</v>
      </c>
      <c r="R35" s="194"/>
      <c r="S35" s="194"/>
      <c r="T35" s="194"/>
      <c r="U35" s="194"/>
    </row>
    <row r="36" spans="1:21" s="12" customFormat="1" ht="15">
      <c r="A36" s="207" t="s">
        <v>2000</v>
      </c>
      <c r="B36" s="135">
        <v>1.69</v>
      </c>
      <c r="C36" s="135">
        <v>10.45</v>
      </c>
      <c r="D36" s="135">
        <v>12.15</v>
      </c>
      <c r="E36" s="135">
        <v>5.34</v>
      </c>
      <c r="F36" s="135">
        <v>0.42</v>
      </c>
      <c r="G36" s="208" t="s">
        <v>36</v>
      </c>
      <c r="H36" s="135">
        <v>2.3199999999999998</v>
      </c>
      <c r="I36" s="135">
        <v>2.44</v>
      </c>
      <c r="J36" s="135">
        <v>0.08</v>
      </c>
      <c r="K36" s="135">
        <v>36.54</v>
      </c>
      <c r="L36" s="135">
        <v>51.35</v>
      </c>
      <c r="M36" s="135">
        <v>84.03</v>
      </c>
      <c r="N36" s="135">
        <v>73</v>
      </c>
      <c r="O36" s="135">
        <v>0</v>
      </c>
      <c r="P36" s="135">
        <v>2.64</v>
      </c>
      <c r="Q36" s="135">
        <v>3.42</v>
      </c>
      <c r="R36" s="194"/>
      <c r="S36" s="194"/>
      <c r="T36" s="194"/>
      <c r="U36" s="194"/>
    </row>
    <row r="37" spans="1:21" s="12" customFormat="1" ht="15">
      <c r="A37" s="207" t="s">
        <v>2001</v>
      </c>
      <c r="B37" s="135">
        <v>1.80</v>
      </c>
      <c r="C37" s="135">
        <v>10.85</v>
      </c>
      <c r="D37" s="135">
        <v>12.65</v>
      </c>
      <c r="E37" s="135">
        <v>4.9000000000000004</v>
      </c>
      <c r="F37" s="135">
        <v>0.66</v>
      </c>
      <c r="G37" s="208" t="s">
        <v>36</v>
      </c>
      <c r="H37" s="135">
        <v>2.2999999999999998</v>
      </c>
      <c r="I37" s="135">
        <v>2.5099999999999998</v>
      </c>
      <c r="J37" s="135">
        <v>0.03</v>
      </c>
      <c r="K37" s="135">
        <v>326.17</v>
      </c>
      <c r="L37" s="135">
        <v>30.01</v>
      </c>
      <c r="M37" s="135">
        <v>83.70</v>
      </c>
      <c r="N37" s="135">
        <v>82</v>
      </c>
      <c r="O37" s="135">
        <v>0</v>
      </c>
      <c r="P37" s="135">
        <v>2.65</v>
      </c>
      <c r="Q37" s="135">
        <v>3.46</v>
      </c>
      <c r="R37" s="194"/>
      <c r="S37" s="194"/>
      <c r="T37" s="194"/>
      <c r="U37" s="194"/>
    </row>
    <row r="38" spans="1:21" s="12" customFormat="1" ht="15">
      <c r="A38" s="207" t="s">
        <v>2002</v>
      </c>
      <c r="B38" s="135">
        <v>2.04</v>
      </c>
      <c r="C38" s="135">
        <v>11.34</v>
      </c>
      <c r="D38" s="135">
        <v>13.38</v>
      </c>
      <c r="E38" s="135">
        <v>4.99</v>
      </c>
      <c r="F38" s="135">
        <v>0.37</v>
      </c>
      <c r="G38" s="208" t="s">
        <v>36</v>
      </c>
      <c r="H38" s="135">
        <v>2.27</v>
      </c>
      <c r="I38" s="135">
        <v>2.5099999999999998</v>
      </c>
      <c r="J38" s="135">
        <v>0.19</v>
      </c>
      <c r="K38" s="135">
        <v>222.70</v>
      </c>
      <c r="L38" s="10" t="s">
        <v>43</v>
      </c>
      <c r="M38" s="135">
        <v>83.43</v>
      </c>
      <c r="N38" s="135">
        <v>101.30</v>
      </c>
      <c r="O38" s="135">
        <v>0</v>
      </c>
      <c r="P38" s="135">
        <v>2.66</v>
      </c>
      <c r="Q38" s="135">
        <v>3.57</v>
      </c>
      <c r="R38" s="194"/>
      <c r="S38" s="194"/>
      <c r="T38" s="194"/>
      <c r="U38" s="194"/>
    </row>
    <row r="39" spans="1:21" s="12" customFormat="1" ht="15">
      <c r="A39" s="207" t="s">
        <v>2003</v>
      </c>
      <c r="B39" s="135">
        <v>2.06</v>
      </c>
      <c r="C39" s="135">
        <v>10.99</v>
      </c>
      <c r="D39" s="135">
        <v>13.05</v>
      </c>
      <c r="E39" s="135">
        <v>4.6900000000000004</v>
      </c>
      <c r="F39" s="135">
        <v>0.61</v>
      </c>
      <c r="G39" s="208" t="s">
        <v>36</v>
      </c>
      <c r="H39" s="135">
        <v>2.27</v>
      </c>
      <c r="I39" s="135">
        <v>2.5299999999999998</v>
      </c>
      <c r="J39" s="135">
        <v>0.26</v>
      </c>
      <c r="K39" s="135">
        <v>215.35</v>
      </c>
      <c r="L39" s="10" t="s">
        <v>43</v>
      </c>
      <c r="M39" s="135">
        <v>83.68</v>
      </c>
      <c r="N39" s="135">
        <v>85.10</v>
      </c>
      <c r="O39" s="135">
        <v>0</v>
      </c>
      <c r="P39" s="135">
        <v>2.67</v>
      </c>
      <c r="Q39" s="135">
        <v>3.44</v>
      </c>
      <c r="R39" s="194"/>
      <c r="S39" s="194"/>
      <c r="T39" s="194"/>
      <c r="U39" s="194"/>
    </row>
    <row r="40" spans="1:21" s="12" customFormat="1" ht="15">
      <c r="A40" s="207" t="s">
        <v>2004</v>
      </c>
      <c r="B40" s="135">
        <v>2.02</v>
      </c>
      <c r="C40" s="135">
        <v>10.61</v>
      </c>
      <c r="D40" s="135">
        <v>12.63</v>
      </c>
      <c r="E40" s="135">
        <v>2.4500000000000002</v>
      </c>
      <c r="F40" s="135">
        <v>0.42</v>
      </c>
      <c r="G40" s="208" t="s">
        <v>36</v>
      </c>
      <c r="H40" s="135">
        <v>2.27</v>
      </c>
      <c r="I40" s="135">
        <v>2.57</v>
      </c>
      <c r="J40" s="135">
        <v>0.09</v>
      </c>
      <c r="K40" s="135">
        <v>235.58</v>
      </c>
      <c r="L40" s="10" t="s">
        <v>43</v>
      </c>
      <c r="M40" s="135">
        <v>84.26</v>
      </c>
      <c r="N40" s="135">
        <v>69.900000000000006</v>
      </c>
      <c r="O40" s="135">
        <v>0</v>
      </c>
      <c r="P40" s="135">
        <v>2.68</v>
      </c>
      <c r="Q40" s="135">
        <v>3.42</v>
      </c>
      <c r="R40" s="194"/>
      <c r="S40" s="194"/>
      <c r="T40" s="194"/>
      <c r="U40" s="194"/>
    </row>
    <row r="41" spans="1:21" s="12" customFormat="1" ht="15">
      <c r="A41" s="207" t="s">
        <v>2005</v>
      </c>
      <c r="B41" s="135">
        <v>2.15</v>
      </c>
      <c r="C41" s="135">
        <v>10.67</v>
      </c>
      <c r="D41" s="135">
        <v>12.83</v>
      </c>
      <c r="E41" s="135">
        <v>4.6500000000000004</v>
      </c>
      <c r="F41" s="135">
        <v>0.13</v>
      </c>
      <c r="G41" s="208" t="s">
        <v>36</v>
      </c>
      <c r="H41" s="135">
        <v>2.56</v>
      </c>
      <c r="I41" s="135">
        <v>2.60</v>
      </c>
      <c r="J41" s="135">
        <v>0.14000000000000001</v>
      </c>
      <c r="K41" s="135">
        <v>221.28</v>
      </c>
      <c r="L41" s="10" t="s">
        <v>43</v>
      </c>
      <c r="M41" s="135">
        <v>84.31</v>
      </c>
      <c r="N41" s="135">
        <v>96.80</v>
      </c>
      <c r="O41" s="135">
        <v>0</v>
      </c>
      <c r="P41" s="135">
        <v>2.69</v>
      </c>
      <c r="Q41" s="135">
        <v>3.39</v>
      </c>
      <c r="R41" s="194"/>
      <c r="S41" s="194"/>
      <c r="T41" s="194"/>
      <c r="U41" s="194"/>
    </row>
    <row r="42" spans="1:21" s="12" customFormat="1" ht="15">
      <c r="A42" s="207" t="s">
        <v>2006</v>
      </c>
      <c r="B42" s="135">
        <v>2.25</v>
      </c>
      <c r="C42" s="135">
        <v>10.92</v>
      </c>
      <c r="D42" s="135">
        <v>13.17</v>
      </c>
      <c r="E42" s="135">
        <v>5.0999999999999996</v>
      </c>
      <c r="F42" s="135">
        <v>1.05</v>
      </c>
      <c r="G42" s="208" t="s">
        <v>36</v>
      </c>
      <c r="H42" s="135">
        <v>3.27</v>
      </c>
      <c r="I42" s="135">
        <v>2.62</v>
      </c>
      <c r="J42" s="135">
        <v>0.05</v>
      </c>
      <c r="K42" s="135">
        <v>22.48</v>
      </c>
      <c r="L42" s="10" t="s">
        <v>43</v>
      </c>
      <c r="M42" s="135">
        <v>87.39</v>
      </c>
      <c r="N42" s="135">
        <v>113.90</v>
      </c>
      <c r="O42" s="135">
        <v>0</v>
      </c>
      <c r="P42" s="135">
        <v>2.70</v>
      </c>
      <c r="Q42" s="135">
        <v>3.37</v>
      </c>
      <c r="R42" s="194"/>
      <c r="S42" s="194"/>
      <c r="T42" s="194"/>
      <c r="U42" s="194"/>
    </row>
    <row r="43" spans="1:21" s="12" customFormat="1" ht="15">
      <c r="A43" s="207" t="s">
        <v>2007</v>
      </c>
      <c r="B43" s="135">
        <v>2.35</v>
      </c>
      <c r="C43" s="135">
        <v>11.25</v>
      </c>
      <c r="D43" s="135">
        <v>13.60</v>
      </c>
      <c r="E43" s="135">
        <v>4.72</v>
      </c>
      <c r="F43" s="135">
        <v>0.57999999999999996</v>
      </c>
      <c r="G43" s="208" t="s">
        <v>36</v>
      </c>
      <c r="H43" s="135">
        <v>3.27</v>
      </c>
      <c r="I43" s="135">
        <v>2.65</v>
      </c>
      <c r="J43" s="135">
        <v>0.08</v>
      </c>
      <c r="K43" s="135">
        <v>34.04</v>
      </c>
      <c r="L43" s="10" t="s">
        <v>43</v>
      </c>
      <c r="M43" s="135">
        <v>92.34</v>
      </c>
      <c r="N43" s="135">
        <v>80.30</v>
      </c>
      <c r="O43" s="135">
        <v>0</v>
      </c>
      <c r="P43" s="135">
        <v>2.71</v>
      </c>
      <c r="Q43" s="135">
        <v>3.36</v>
      </c>
      <c r="R43" s="194"/>
      <c r="S43" s="194"/>
      <c r="T43" s="194"/>
      <c r="U43" s="194"/>
    </row>
    <row r="44" spans="1:21" s="12" customFormat="1" ht="15">
      <c r="A44" s="207" t="s">
        <v>2008</v>
      </c>
      <c r="B44" s="135">
        <v>2.99</v>
      </c>
      <c r="C44" s="135">
        <v>11.49</v>
      </c>
      <c r="D44" s="135">
        <v>14.48</v>
      </c>
      <c r="E44" s="135">
        <v>4.2699999999999996</v>
      </c>
      <c r="F44" s="135">
        <v>0.09</v>
      </c>
      <c r="G44" s="208" t="s">
        <v>36</v>
      </c>
      <c r="H44" s="135">
        <v>3.27</v>
      </c>
      <c r="I44" s="135">
        <v>2.66</v>
      </c>
      <c r="J44" s="135">
        <v>0.06</v>
      </c>
      <c r="K44" s="135">
        <v>32.07</v>
      </c>
      <c r="L44" s="10" t="s">
        <v>43</v>
      </c>
      <c r="M44" s="135">
        <v>94.46</v>
      </c>
      <c r="N44" s="135">
        <v>64.20</v>
      </c>
      <c r="O44" s="135">
        <v>0</v>
      </c>
      <c r="P44" s="135">
        <v>2.73</v>
      </c>
      <c r="Q44" s="135">
        <v>3.55</v>
      </c>
      <c r="R44" s="194"/>
      <c r="S44" s="194"/>
      <c r="T44" s="194"/>
      <c r="U44" s="194"/>
    </row>
    <row r="45" spans="1:21" s="12" customFormat="1" ht="15">
      <c r="A45" s="207" t="s">
        <v>2009</v>
      </c>
      <c r="B45" s="135">
        <v>4.0199999999999996</v>
      </c>
      <c r="C45" s="135">
        <v>12.02</v>
      </c>
      <c r="D45" s="135">
        <v>16.04</v>
      </c>
      <c r="E45" s="135">
        <v>4.9400000000000004</v>
      </c>
      <c r="F45" s="135">
        <v>0.01</v>
      </c>
      <c r="G45" s="208" t="s">
        <v>36</v>
      </c>
      <c r="H45" s="135">
        <v>3.74</v>
      </c>
      <c r="I45" s="135">
        <v>2.67</v>
      </c>
      <c r="J45" s="135">
        <v>0.08</v>
      </c>
      <c r="K45" s="135">
        <v>332.76</v>
      </c>
      <c r="L45" s="10" t="s">
        <v>43</v>
      </c>
      <c r="M45" s="135">
        <v>96.60</v>
      </c>
      <c r="N45" s="135">
        <v>99.10</v>
      </c>
      <c r="O45" s="135">
        <v>0</v>
      </c>
      <c r="P45" s="135">
        <v>2.75</v>
      </c>
      <c r="Q45" s="135">
        <v>3.92</v>
      </c>
      <c r="R45" s="194"/>
      <c r="S45" s="194"/>
      <c r="T45" s="194"/>
      <c r="U45" s="194"/>
    </row>
    <row r="46" spans="1:21" s="12" customFormat="1" ht="15">
      <c r="A46" s="207" t="s">
        <v>2010</v>
      </c>
      <c r="B46" s="135">
        <v>5</v>
      </c>
      <c r="C46" s="135">
        <v>11.92</v>
      </c>
      <c r="D46" s="135">
        <v>16.920000000000002</v>
      </c>
      <c r="E46" s="135">
        <v>5.05</v>
      </c>
      <c r="F46" s="135">
        <v>0.22</v>
      </c>
      <c r="G46" s="208" t="s">
        <v>36</v>
      </c>
      <c r="H46" s="135">
        <v>4.9000000000000004</v>
      </c>
      <c r="I46" s="135">
        <v>2.73</v>
      </c>
      <c r="J46" s="135">
        <v>0.15</v>
      </c>
      <c r="K46" s="135">
        <v>292.97000000000003</v>
      </c>
      <c r="L46" s="10" t="s">
        <v>43</v>
      </c>
      <c r="M46" s="135">
        <v>95.35</v>
      </c>
      <c r="N46" s="135">
        <v>147</v>
      </c>
      <c r="O46" s="135">
        <v>0</v>
      </c>
      <c r="P46" s="135">
        <v>2.76</v>
      </c>
      <c r="Q46" s="135">
        <v>4.17</v>
      </c>
      <c r="R46" s="194"/>
      <c r="S46" s="194"/>
      <c r="T46" s="194"/>
      <c r="U46" s="194"/>
    </row>
    <row r="47" spans="1:21" s="12" customFormat="1" ht="15">
      <c r="A47" s="207" t="s">
        <v>2011</v>
      </c>
      <c r="B47" s="135">
        <v>5.58</v>
      </c>
      <c r="C47" s="135">
        <v>11.73</v>
      </c>
      <c r="D47" s="135">
        <v>17.309999999999999</v>
      </c>
      <c r="E47" s="135">
        <v>5.22</v>
      </c>
      <c r="F47" s="135">
        <v>0.32</v>
      </c>
      <c r="G47" s="208" t="s">
        <v>36</v>
      </c>
      <c r="H47" s="135">
        <v>4.9000000000000004</v>
      </c>
      <c r="I47" s="135">
        <v>2.84</v>
      </c>
      <c r="J47" s="135">
        <v>0.09</v>
      </c>
      <c r="K47" s="135">
        <v>253.87</v>
      </c>
      <c r="L47" s="10" t="s">
        <v>43</v>
      </c>
      <c r="M47" s="135">
        <v>94.91</v>
      </c>
      <c r="N47" s="135">
        <v>240.70</v>
      </c>
      <c r="O47" s="135">
        <v>0</v>
      </c>
      <c r="P47" s="135">
        <v>2.79</v>
      </c>
      <c r="Q47" s="135">
        <v>4.29</v>
      </c>
      <c r="R47" s="194"/>
      <c r="S47" s="194"/>
      <c r="T47" s="194"/>
      <c r="U47" s="194"/>
    </row>
    <row r="48" spans="1:21" s="12" customFormat="1" ht="15">
      <c r="A48" s="207" t="s">
        <v>2012</v>
      </c>
      <c r="B48" s="135">
        <v>5.72</v>
      </c>
      <c r="C48" s="135">
        <v>12.03</v>
      </c>
      <c r="D48" s="135">
        <v>17.739999999999998</v>
      </c>
      <c r="E48" s="135">
        <v>4.99</v>
      </c>
      <c r="F48" s="135">
        <v>0.22</v>
      </c>
      <c r="G48" s="208" t="s">
        <v>36</v>
      </c>
      <c r="H48" s="135">
        <v>4.9000000000000004</v>
      </c>
      <c r="I48" s="135">
        <v>2.93</v>
      </c>
      <c r="J48" s="135">
        <v>0.08</v>
      </c>
      <c r="K48" s="135">
        <v>49.65</v>
      </c>
      <c r="L48" s="10" t="s">
        <v>43</v>
      </c>
      <c r="M48" s="135">
        <v>95.42</v>
      </c>
      <c r="N48" s="135">
        <v>210.10</v>
      </c>
      <c r="O48" s="135">
        <v>0</v>
      </c>
      <c r="P48" s="135">
        <v>2.81</v>
      </c>
      <c r="Q48" s="135">
        <v>4.38</v>
      </c>
      <c r="R48" s="194"/>
      <c r="S48" s="194"/>
      <c r="T48" s="194"/>
      <c r="U48" s="194"/>
    </row>
    <row r="49" spans="1:21" s="12" customFormat="1" ht="15">
      <c r="A49" s="207" t="s">
        <v>2013</v>
      </c>
      <c r="B49" s="135">
        <v>5.69</v>
      </c>
      <c r="C49" s="135">
        <v>12.40</v>
      </c>
      <c r="D49" s="135">
        <v>18.079999999999998</v>
      </c>
      <c r="E49" s="135">
        <v>5.0199999999999996</v>
      </c>
      <c r="F49" s="135">
        <v>0.28999999999999998</v>
      </c>
      <c r="G49" s="208" t="s">
        <v>36</v>
      </c>
      <c r="H49" s="135">
        <v>4.70</v>
      </c>
      <c r="I49" s="135">
        <v>2.99</v>
      </c>
      <c r="J49" s="135">
        <v>0.04</v>
      </c>
      <c r="K49" s="135">
        <v>252.81</v>
      </c>
      <c r="L49" s="10" t="s">
        <v>43</v>
      </c>
      <c r="M49" s="135">
        <v>93.62</v>
      </c>
      <c r="N49" s="135">
        <v>227.60</v>
      </c>
      <c r="O49" s="135">
        <v>0</v>
      </c>
      <c r="P49" s="135">
        <v>2.82</v>
      </c>
      <c r="Q49" s="135">
        <v>4.46</v>
      </c>
      <c r="R49" s="194"/>
      <c r="S49" s="194"/>
      <c r="T49" s="194"/>
      <c r="U49" s="194"/>
    </row>
    <row r="50" spans="1:21" s="12" customFormat="1" ht="15">
      <c r="A50" s="207" t="s">
        <v>2014</v>
      </c>
      <c r="B50" s="135">
        <v>5.75</v>
      </c>
      <c r="C50" s="135">
        <v>12.77</v>
      </c>
      <c r="D50" s="135">
        <v>18.510000000000002</v>
      </c>
      <c r="E50" s="135">
        <v>5.09</v>
      </c>
      <c r="F50" s="135">
        <v>0.19</v>
      </c>
      <c r="G50" s="208" t="s">
        <v>36</v>
      </c>
      <c r="H50" s="135">
        <v>4.22</v>
      </c>
      <c r="I50" s="135">
        <v>3.05</v>
      </c>
      <c r="J50" s="135">
        <v>0.27</v>
      </c>
      <c r="K50" s="135">
        <v>225.59</v>
      </c>
      <c r="L50" s="10" t="s">
        <v>43</v>
      </c>
      <c r="M50" s="135">
        <v>90.28</v>
      </c>
      <c r="N50" s="135">
        <v>97</v>
      </c>
      <c r="O50" s="135">
        <v>0</v>
      </c>
      <c r="P50" s="135">
        <v>2.84</v>
      </c>
      <c r="Q50" s="135">
        <v>4.6500000000000004</v>
      </c>
      <c r="R50" s="194"/>
      <c r="S50" s="194"/>
      <c r="T50" s="194"/>
      <c r="U50" s="194"/>
    </row>
    <row r="51" spans="1:21" s="12" customFormat="1" ht="15">
      <c r="A51" s="207" t="s">
        <v>2015</v>
      </c>
      <c r="B51" s="135">
        <v>5.56</v>
      </c>
      <c r="C51" s="135">
        <v>13.08</v>
      </c>
      <c r="D51" s="135">
        <v>18.649999999999999</v>
      </c>
      <c r="E51" s="135">
        <v>4.95</v>
      </c>
      <c r="F51" s="135">
        <v>0.19</v>
      </c>
      <c r="G51" s="208" t="s">
        <v>36</v>
      </c>
      <c r="H51" s="135">
        <v>4.22</v>
      </c>
      <c r="I51" s="135">
        <v>3.15</v>
      </c>
      <c r="J51" s="135">
        <v>0.09</v>
      </c>
      <c r="K51" s="135">
        <v>30.88</v>
      </c>
      <c r="L51" s="10" t="s">
        <v>43</v>
      </c>
      <c r="M51" s="135">
        <v>92.94</v>
      </c>
      <c r="N51" s="135">
        <v>125.60</v>
      </c>
      <c r="O51" s="135">
        <v>0.20</v>
      </c>
      <c r="P51" s="135">
        <v>2.85</v>
      </c>
      <c r="Q51" s="135">
        <v>4.59</v>
      </c>
      <c r="R51" s="194"/>
      <c r="S51" s="194"/>
      <c r="T51" s="194"/>
      <c r="U51" s="194"/>
    </row>
    <row r="52" spans="1:21" s="12" customFormat="1" ht="15">
      <c r="A52" s="207" t="s">
        <v>2016</v>
      </c>
      <c r="B52" s="135">
        <v>5.45</v>
      </c>
      <c r="C52" s="135">
        <v>13.93</v>
      </c>
      <c r="D52" s="135">
        <v>19.38</v>
      </c>
      <c r="E52" s="135">
        <v>4.87</v>
      </c>
      <c r="F52" s="135">
        <v>1.60</v>
      </c>
      <c r="G52" s="208" t="s">
        <v>36</v>
      </c>
      <c r="H52" s="135">
        <v>4.22</v>
      </c>
      <c r="I52" s="135">
        <v>3.25</v>
      </c>
      <c r="J52" s="135">
        <v>0.10</v>
      </c>
      <c r="K52" s="135">
        <v>24.52</v>
      </c>
      <c r="L52" s="10" t="s">
        <v>43</v>
      </c>
      <c r="M52" s="135">
        <v>92.91</v>
      </c>
      <c r="N52" s="135">
        <v>122.80</v>
      </c>
      <c r="O52" s="135">
        <v>0</v>
      </c>
      <c r="P52" s="135">
        <v>2.87</v>
      </c>
      <c r="Q52" s="135">
        <v>4.68</v>
      </c>
      <c r="R52" s="194"/>
      <c r="S52" s="194"/>
      <c r="T52" s="194"/>
      <c r="U52" s="194"/>
    </row>
    <row r="53" spans="1:21" s="12" customFormat="1" ht="15">
      <c r="A53" s="207" t="s">
        <v>2017</v>
      </c>
      <c r="B53" s="135">
        <v>5.13</v>
      </c>
      <c r="C53" s="135">
        <v>14.38</v>
      </c>
      <c r="D53" s="135">
        <v>19.5</v>
      </c>
      <c r="E53" s="135">
        <v>5.09</v>
      </c>
      <c r="F53" s="135">
        <v>0.12</v>
      </c>
      <c r="G53" s="208" t="s">
        <v>36</v>
      </c>
      <c r="H53" s="135">
        <v>4.71</v>
      </c>
      <c r="I53" s="135">
        <v>3.27</v>
      </c>
      <c r="J53" s="135">
        <v>0.25</v>
      </c>
      <c r="K53" s="135">
        <v>211.20</v>
      </c>
      <c r="L53" s="10" t="s">
        <v>43</v>
      </c>
      <c r="M53" s="135">
        <v>93.34</v>
      </c>
      <c r="N53" s="135">
        <v>127.40</v>
      </c>
      <c r="O53" s="135">
        <v>0</v>
      </c>
      <c r="P53" s="135">
        <v>2.87</v>
      </c>
      <c r="Q53" s="135">
        <v>4.72</v>
      </c>
      <c r="R53" s="194"/>
      <c r="S53" s="194"/>
      <c r="T53" s="194"/>
      <c r="U53" s="194"/>
    </row>
    <row r="54" spans="1:21" s="12" customFormat="1" ht="15">
      <c r="A54" s="207" t="s">
        <v>2018</v>
      </c>
      <c r="B54" s="135">
        <v>4.7699999999999996</v>
      </c>
      <c r="C54" s="135">
        <v>13.54</v>
      </c>
      <c r="D54" s="135">
        <v>18.309999999999999</v>
      </c>
      <c r="E54" s="135">
        <v>4.6399999999999997</v>
      </c>
      <c r="F54" s="135">
        <v>0.28000000000000003</v>
      </c>
      <c r="G54" s="208" t="s">
        <v>36</v>
      </c>
      <c r="H54" s="135">
        <v>5.92</v>
      </c>
      <c r="I54" s="135">
        <v>3.30</v>
      </c>
      <c r="J54" s="135">
        <v>0.08</v>
      </c>
      <c r="K54" s="135">
        <v>246.16</v>
      </c>
      <c r="L54" s="10" t="s">
        <v>43</v>
      </c>
      <c r="M54" s="135">
        <v>91.34</v>
      </c>
      <c r="N54" s="135">
        <v>150.40</v>
      </c>
      <c r="O54" s="135">
        <v>0</v>
      </c>
      <c r="P54" s="135">
        <v>2.87</v>
      </c>
      <c r="Q54" s="135">
        <v>4.46</v>
      </c>
      <c r="R54" s="194"/>
      <c r="S54" s="194"/>
      <c r="T54" s="194"/>
      <c r="U54" s="194"/>
    </row>
    <row r="55" spans="1:21" s="12" customFormat="1" ht="15">
      <c r="A55" s="207" t="s">
        <v>2019</v>
      </c>
      <c r="B55" s="135">
        <v>4.88</v>
      </c>
      <c r="C55" s="135">
        <v>13.39</v>
      </c>
      <c r="D55" s="135">
        <v>18.27</v>
      </c>
      <c r="E55" s="135">
        <v>4.63</v>
      </c>
      <c r="F55" s="135">
        <v>0.30</v>
      </c>
      <c r="G55" s="208" t="s">
        <v>36</v>
      </c>
      <c r="H55" s="135">
        <v>5.92</v>
      </c>
      <c r="I55" s="135">
        <v>3.30</v>
      </c>
      <c r="J55" s="135">
        <v>0.05</v>
      </c>
      <c r="K55" s="135">
        <v>6.53</v>
      </c>
      <c r="L55" s="10" t="s">
        <v>43</v>
      </c>
      <c r="M55" s="135">
        <v>87.77</v>
      </c>
      <c r="N55" s="135">
        <v>156.30000000000001</v>
      </c>
      <c r="O55" s="135">
        <v>0</v>
      </c>
      <c r="P55" s="135">
        <v>2.87</v>
      </c>
      <c r="Q55" s="135">
        <v>4.45</v>
      </c>
      <c r="R55" s="194"/>
      <c r="S55" s="194"/>
      <c r="T55" s="194"/>
      <c r="U55" s="194"/>
    </row>
    <row r="56" spans="1:21" s="12" customFormat="1" ht="15">
      <c r="A56" s="207" t="s">
        <v>2020</v>
      </c>
      <c r="B56" s="135">
        <v>4.8499999999999996</v>
      </c>
      <c r="C56" s="135">
        <v>13.76</v>
      </c>
      <c r="D56" s="135">
        <v>18.62</v>
      </c>
      <c r="E56" s="135">
        <v>2.5299999999999998</v>
      </c>
      <c r="F56" s="135">
        <v>0.23</v>
      </c>
      <c r="G56" s="208" t="s">
        <v>36</v>
      </c>
      <c r="H56" s="135">
        <v>5.92</v>
      </c>
      <c r="I56" s="135">
        <v>3.28</v>
      </c>
      <c r="J56" s="135">
        <v>0.10</v>
      </c>
      <c r="K56" s="135">
        <v>246.92</v>
      </c>
      <c r="L56" s="10" t="s">
        <v>43</v>
      </c>
      <c r="M56" s="135">
        <v>87.91</v>
      </c>
      <c r="N56" s="135">
        <v>143</v>
      </c>
      <c r="O56" s="135">
        <v>0</v>
      </c>
      <c r="P56" s="135">
        <v>2.89</v>
      </c>
      <c r="Q56" s="135">
        <v>4.49</v>
      </c>
      <c r="R56" s="194"/>
      <c r="S56" s="194"/>
      <c r="T56" s="194"/>
      <c r="U56" s="194"/>
    </row>
    <row r="57" spans="1:21" s="12" customFormat="1" ht="15">
      <c r="A57" s="207" t="s">
        <v>2021</v>
      </c>
      <c r="B57" s="135">
        <v>4.8099999999999996</v>
      </c>
      <c r="C57" s="135">
        <v>13.90</v>
      </c>
      <c r="D57" s="135">
        <v>18.71</v>
      </c>
      <c r="E57" s="135">
        <v>4.92</v>
      </c>
      <c r="F57" s="135">
        <v>0.22</v>
      </c>
      <c r="G57" s="208" t="s">
        <v>36</v>
      </c>
      <c r="H57" s="135">
        <v>6.75</v>
      </c>
      <c r="I57" s="135">
        <v>3.33</v>
      </c>
      <c r="J57" s="135">
        <v>0.22</v>
      </c>
      <c r="K57" s="135">
        <v>35.67</v>
      </c>
      <c r="L57" s="135">
        <v>44.38</v>
      </c>
      <c r="M57" s="135">
        <v>89.87</v>
      </c>
      <c r="N57" s="135">
        <v>243.90</v>
      </c>
      <c r="O57" s="135">
        <v>0</v>
      </c>
      <c r="P57" s="135">
        <v>2.90</v>
      </c>
      <c r="Q57" s="135">
        <v>4.45</v>
      </c>
      <c r="R57" s="194"/>
      <c r="S57" s="194"/>
      <c r="T57" s="194"/>
      <c r="U57" s="194"/>
    </row>
    <row r="58" spans="1:21" s="12" customFormat="1" ht="15">
      <c r="A58" s="207" t="s">
        <v>2022</v>
      </c>
      <c r="B58" s="135">
        <v>4.80</v>
      </c>
      <c r="C58" s="135">
        <v>14.36</v>
      </c>
      <c r="D58" s="135">
        <v>19.16</v>
      </c>
      <c r="E58" s="135">
        <v>4.55</v>
      </c>
      <c r="F58" s="135">
        <v>0.23</v>
      </c>
      <c r="G58" s="208" t="s">
        <v>36</v>
      </c>
      <c r="H58" s="135">
        <v>8.7799999999999994</v>
      </c>
      <c r="I58" s="135">
        <v>3.31</v>
      </c>
      <c r="J58" s="135">
        <v>0.070000000000000007</v>
      </c>
      <c r="K58" s="135">
        <v>43.25</v>
      </c>
      <c r="L58" s="135">
        <v>45.11</v>
      </c>
      <c r="M58" s="135">
        <v>92.26</v>
      </c>
      <c r="N58" s="135">
        <v>168.70</v>
      </c>
      <c r="O58" s="135">
        <v>0</v>
      </c>
      <c r="P58" s="135">
        <v>2.89</v>
      </c>
      <c r="Q58" s="135">
        <v>4.4400000000000004</v>
      </c>
      <c r="R58" s="194"/>
      <c r="S58" s="194"/>
      <c r="T58" s="194"/>
      <c r="U58" s="194"/>
    </row>
    <row r="59" spans="1:21" s="12" customFormat="1" ht="15">
      <c r="A59" s="207" t="s">
        <v>2023</v>
      </c>
      <c r="B59" s="135">
        <v>4.7699999999999996</v>
      </c>
      <c r="C59" s="135">
        <v>14.47</v>
      </c>
      <c r="D59" s="135">
        <v>19.239999999999998</v>
      </c>
      <c r="E59" s="135">
        <v>4.47</v>
      </c>
      <c r="F59" s="135">
        <v>0.25</v>
      </c>
      <c r="G59" s="208" t="s">
        <v>36</v>
      </c>
      <c r="H59" s="135">
        <v>8.7799999999999994</v>
      </c>
      <c r="I59" s="135">
        <v>3.31</v>
      </c>
      <c r="J59" s="135">
        <v>0.06</v>
      </c>
      <c r="K59" s="135">
        <v>344.33</v>
      </c>
      <c r="L59" s="135">
        <v>45.46</v>
      </c>
      <c r="M59" s="135">
        <v>93.47</v>
      </c>
      <c r="N59" s="135">
        <v>176.40</v>
      </c>
      <c r="O59" s="135">
        <v>0</v>
      </c>
      <c r="P59" s="135">
        <v>2.90</v>
      </c>
      <c r="Q59" s="135">
        <v>4.38</v>
      </c>
      <c r="R59" s="194"/>
      <c r="S59" s="194"/>
      <c r="T59" s="194"/>
      <c r="U59" s="194"/>
    </row>
    <row r="60" spans="1:21" s="12" customFormat="1" ht="15">
      <c r="A60" s="207" t="s">
        <v>2024</v>
      </c>
      <c r="B60" s="135">
        <v>4.70</v>
      </c>
      <c r="C60" s="135">
        <v>14.56</v>
      </c>
      <c r="D60" s="135">
        <v>19.260000000000002</v>
      </c>
      <c r="E60" s="135">
        <v>4.17</v>
      </c>
      <c r="F60" s="135">
        <v>0.26</v>
      </c>
      <c r="G60" s="208" t="s">
        <v>36</v>
      </c>
      <c r="H60" s="135">
        <v>8.7799999999999994</v>
      </c>
      <c r="I60" s="135">
        <v>3.28</v>
      </c>
      <c r="J60" s="135">
        <v>0.06</v>
      </c>
      <c r="K60" s="135">
        <v>337.81</v>
      </c>
      <c r="L60" s="135">
        <v>45.12</v>
      </c>
      <c r="M60" s="135">
        <v>91.97</v>
      </c>
      <c r="N60" s="135">
        <v>139.5</v>
      </c>
      <c r="O60" s="135">
        <v>0</v>
      </c>
      <c r="P60" s="135">
        <v>2.91</v>
      </c>
      <c r="Q60" s="135">
        <v>4.42</v>
      </c>
      <c r="R60" s="194"/>
      <c r="S60" s="194"/>
      <c r="T60" s="194"/>
      <c r="U60" s="194"/>
    </row>
    <row r="61" spans="1:21" s="12" customFormat="1" ht="15">
      <c r="A61" s="207" t="s">
        <v>2025</v>
      </c>
      <c r="B61" s="135">
        <v>4.66</v>
      </c>
      <c r="C61" s="135">
        <v>15.11</v>
      </c>
      <c r="D61" s="135">
        <v>19.78</v>
      </c>
      <c r="E61" s="135">
        <v>4.3899999999999997</v>
      </c>
      <c r="F61" s="135">
        <v>0.55000000000000004</v>
      </c>
      <c r="G61" s="208" t="s">
        <v>36</v>
      </c>
      <c r="H61" s="135">
        <v>8.26</v>
      </c>
      <c r="I61" s="135">
        <v>3.31</v>
      </c>
      <c r="J61" s="135">
        <v>0.070000000000000007</v>
      </c>
      <c r="K61" s="135">
        <v>40.46</v>
      </c>
      <c r="L61" s="135">
        <v>46.16</v>
      </c>
      <c r="M61" s="135">
        <v>87.40</v>
      </c>
      <c r="N61" s="135">
        <v>209.5</v>
      </c>
      <c r="O61" s="135">
        <v>0</v>
      </c>
      <c r="P61" s="135">
        <v>2.91</v>
      </c>
      <c r="Q61" s="135">
        <v>4.43</v>
      </c>
      <c r="R61" s="194"/>
      <c r="S61" s="194"/>
      <c r="T61" s="194"/>
      <c r="U61" s="194"/>
    </row>
    <row r="62" spans="1:21" s="12" customFormat="1" ht="15">
      <c r="A62" s="207" t="s">
        <v>2026</v>
      </c>
      <c r="B62" s="135">
        <v>3.96</v>
      </c>
      <c r="C62" s="135">
        <v>16.11</v>
      </c>
      <c r="D62" s="135">
        <v>20.07</v>
      </c>
      <c r="E62" s="135">
        <v>4.1900000000000004</v>
      </c>
      <c r="F62" s="135">
        <v>0.81</v>
      </c>
      <c r="G62" s="208" t="s">
        <v>36</v>
      </c>
      <c r="H62" s="135">
        <v>6.96</v>
      </c>
      <c r="I62" s="135">
        <v>3.28</v>
      </c>
      <c r="J62" s="135">
        <v>0.10</v>
      </c>
      <c r="K62" s="135">
        <v>347.34</v>
      </c>
      <c r="L62" s="10" t="s">
        <v>43</v>
      </c>
      <c r="M62" s="135">
        <v>88.03</v>
      </c>
      <c r="N62" s="135">
        <v>182.80</v>
      </c>
      <c r="O62" s="135">
        <v>0</v>
      </c>
      <c r="P62" s="135">
        <v>2.89</v>
      </c>
      <c r="Q62" s="135">
        <v>4.4000000000000004</v>
      </c>
      <c r="R62" s="194"/>
      <c r="S62" s="194"/>
      <c r="T62" s="194"/>
      <c r="U62" s="194"/>
    </row>
    <row r="63" spans="1:21" s="12" customFormat="1" ht="15">
      <c r="A63" s="207" t="s">
        <v>2027</v>
      </c>
      <c r="B63" s="135">
        <v>3.38</v>
      </c>
      <c r="C63" s="135">
        <v>16.53</v>
      </c>
      <c r="D63" s="135">
        <v>19.91</v>
      </c>
      <c r="E63" s="135">
        <v>3.85</v>
      </c>
      <c r="F63" s="135">
        <v>0.96</v>
      </c>
      <c r="G63" s="208" t="s">
        <v>36</v>
      </c>
      <c r="H63" s="135">
        <v>6.96</v>
      </c>
      <c r="I63" s="135">
        <v>3.20</v>
      </c>
      <c r="J63" s="135">
        <v>0.12</v>
      </c>
      <c r="K63" s="135">
        <v>63.67</v>
      </c>
      <c r="L63" s="10" t="s">
        <v>43</v>
      </c>
      <c r="M63" s="135">
        <v>86.33</v>
      </c>
      <c r="N63" s="135">
        <v>146</v>
      </c>
      <c r="O63" s="135">
        <v>0</v>
      </c>
      <c r="P63" s="135">
        <v>2.88</v>
      </c>
      <c r="Q63" s="135">
        <v>4.25</v>
      </c>
      <c r="R63" s="194"/>
      <c r="S63" s="194"/>
      <c r="T63" s="194"/>
      <c r="U63" s="194"/>
    </row>
    <row r="64" spans="1:21" s="12" customFormat="1" ht="15">
      <c r="A64" s="207" t="s">
        <v>2028</v>
      </c>
      <c r="B64" s="135">
        <v>3.07</v>
      </c>
      <c r="C64" s="135">
        <v>16.68</v>
      </c>
      <c r="D64" s="135">
        <v>19.75</v>
      </c>
      <c r="E64" s="135">
        <v>4.3499999999999996</v>
      </c>
      <c r="F64" s="135">
        <v>0.75</v>
      </c>
      <c r="G64" s="208" t="s">
        <v>36</v>
      </c>
      <c r="H64" s="135">
        <v>6.96</v>
      </c>
      <c r="I64" s="135">
        <v>3.07</v>
      </c>
      <c r="J64" s="135">
        <v>0.03</v>
      </c>
      <c r="K64" s="135">
        <v>302.83999999999997</v>
      </c>
      <c r="L64" s="10" t="s">
        <v>43</v>
      </c>
      <c r="M64" s="135">
        <v>84.17</v>
      </c>
      <c r="N64" s="135">
        <v>182.40</v>
      </c>
      <c r="O64" s="135">
        <v>0</v>
      </c>
      <c r="P64" s="135">
        <v>2.88</v>
      </c>
      <c r="Q64" s="135">
        <v>4.21</v>
      </c>
      <c r="R64" s="194"/>
      <c r="S64" s="194"/>
      <c r="T64" s="194"/>
      <c r="U64" s="194"/>
    </row>
    <row r="65" spans="1:21" s="12" customFormat="1" ht="15">
      <c r="A65" s="207" t="s">
        <v>2029</v>
      </c>
      <c r="B65" s="135">
        <v>3.10</v>
      </c>
      <c r="C65" s="135">
        <v>16.63</v>
      </c>
      <c r="D65" s="135">
        <v>19.73</v>
      </c>
      <c r="E65" s="135">
        <v>4.20</v>
      </c>
      <c r="F65" s="135">
        <v>0.72</v>
      </c>
      <c r="G65" s="208" t="s">
        <v>36</v>
      </c>
      <c r="H65" s="135">
        <v>7.59</v>
      </c>
      <c r="I65" s="135">
        <v>3.01</v>
      </c>
      <c r="J65" s="135">
        <v>0.11</v>
      </c>
      <c r="K65" s="135">
        <v>335.91</v>
      </c>
      <c r="L65" s="10" t="s">
        <v>43</v>
      </c>
      <c r="M65" s="135">
        <v>84.90</v>
      </c>
      <c r="N65" s="135">
        <v>198.90</v>
      </c>
      <c r="O65" s="135">
        <v>0</v>
      </c>
      <c r="P65" s="135">
        <v>2.88</v>
      </c>
      <c r="Q65" s="135">
        <v>4.17</v>
      </c>
      <c r="R65" s="194"/>
      <c r="S65" s="194"/>
      <c r="T65" s="194"/>
      <c r="U65" s="194"/>
    </row>
    <row r="66" spans="1:21" s="12" customFormat="1" ht="15">
      <c r="A66" s="207" t="s">
        <v>2030</v>
      </c>
      <c r="B66" s="135">
        <v>2.95</v>
      </c>
      <c r="C66" s="135">
        <v>16.739999999999998</v>
      </c>
      <c r="D66" s="135">
        <v>19.690000000000001</v>
      </c>
      <c r="E66" s="135">
        <v>3.46</v>
      </c>
      <c r="F66" s="135">
        <v>0.95</v>
      </c>
      <c r="G66" s="208" t="s">
        <v>36</v>
      </c>
      <c r="H66" s="135">
        <v>9.1300000000000008</v>
      </c>
      <c r="I66" s="135">
        <v>2.99</v>
      </c>
      <c r="J66" s="135">
        <v>0.12</v>
      </c>
      <c r="K66" s="135">
        <v>35.61</v>
      </c>
      <c r="L66" s="10" t="s">
        <v>43</v>
      </c>
      <c r="M66" s="135">
        <v>90.23</v>
      </c>
      <c r="N66" s="135">
        <v>237.20</v>
      </c>
      <c r="O66" s="135">
        <v>0</v>
      </c>
      <c r="P66" s="135">
        <v>2.87</v>
      </c>
      <c r="Q66" s="135">
        <v>4.1100000000000003</v>
      </c>
      <c r="R66" s="194"/>
      <c r="S66" s="194"/>
      <c r="T66" s="194"/>
      <c r="U66" s="194"/>
    </row>
    <row r="67" spans="1:21" s="12" customFormat="1" ht="15">
      <c r="A67" s="207" t="s">
        <v>2031</v>
      </c>
      <c r="B67" s="135">
        <v>2.73</v>
      </c>
      <c r="C67" s="135">
        <v>16.78</v>
      </c>
      <c r="D67" s="135">
        <v>19.5</v>
      </c>
      <c r="E67" s="135">
        <v>3.73</v>
      </c>
      <c r="F67" s="135">
        <v>0.74</v>
      </c>
      <c r="G67" s="208" t="s">
        <v>36</v>
      </c>
      <c r="H67" s="135">
        <v>9.1300000000000008</v>
      </c>
      <c r="I67" s="135">
        <v>2.91</v>
      </c>
      <c r="J67" s="135">
        <v>0.03</v>
      </c>
      <c r="K67" s="135">
        <v>355.22</v>
      </c>
      <c r="L67" s="10" t="s">
        <v>43</v>
      </c>
      <c r="M67" s="135">
        <v>93.37</v>
      </c>
      <c r="N67" s="135">
        <v>177.30</v>
      </c>
      <c r="O67" s="135">
        <v>0.20</v>
      </c>
      <c r="P67" s="135">
        <v>2.86</v>
      </c>
      <c r="Q67" s="135">
        <v>4.01</v>
      </c>
      <c r="R67" s="194"/>
      <c r="S67" s="194"/>
      <c r="T67" s="194"/>
      <c r="U67" s="194"/>
    </row>
    <row r="68" spans="1:21" s="12" customFormat="1" ht="15">
      <c r="A68" s="207" t="s">
        <v>2032</v>
      </c>
      <c r="B68" s="135">
        <v>2.77</v>
      </c>
      <c r="C68" s="135">
        <v>15.80</v>
      </c>
      <c r="D68" s="135">
        <v>18.57</v>
      </c>
      <c r="E68" s="135">
        <v>3.73</v>
      </c>
      <c r="F68" s="135">
        <v>0.59</v>
      </c>
      <c r="G68" s="208" t="s">
        <v>36</v>
      </c>
      <c r="H68" s="135">
        <v>9.1300000000000008</v>
      </c>
      <c r="I68" s="135">
        <v>2.86</v>
      </c>
      <c r="J68" s="135">
        <v>0.08</v>
      </c>
      <c r="K68" s="135">
        <v>356.54</v>
      </c>
      <c r="L68" s="10" t="s">
        <v>43</v>
      </c>
      <c r="M68" s="135">
        <v>95.76</v>
      </c>
      <c r="N68" s="135">
        <v>175.70</v>
      </c>
      <c r="O68" s="135">
        <v>0.40</v>
      </c>
      <c r="P68" s="135">
        <v>2.86</v>
      </c>
      <c r="Q68" s="135">
        <v>3.85</v>
      </c>
      <c r="R68" s="194"/>
      <c r="S68" s="194"/>
      <c r="T68" s="194"/>
      <c r="U68" s="194"/>
    </row>
    <row r="69" spans="1:21" s="12" customFormat="1" ht="15">
      <c r="A69" s="207" t="s">
        <v>2033</v>
      </c>
      <c r="B69" s="135">
        <v>3.37</v>
      </c>
      <c r="C69" s="135">
        <v>15.03</v>
      </c>
      <c r="D69" s="135">
        <v>18.399999999999999</v>
      </c>
      <c r="E69" s="135">
        <v>3.67</v>
      </c>
      <c r="F69" s="135">
        <v>0.47</v>
      </c>
      <c r="G69" s="208" t="s">
        <v>36</v>
      </c>
      <c r="H69" s="135">
        <v>8.4700000000000006</v>
      </c>
      <c r="I69" s="135">
        <v>2.82</v>
      </c>
      <c r="J69" s="135">
        <v>0.11</v>
      </c>
      <c r="K69" s="135">
        <v>318.52</v>
      </c>
      <c r="L69" s="10" t="s">
        <v>43</v>
      </c>
      <c r="M69" s="135">
        <v>94.07</v>
      </c>
      <c r="N69" s="135">
        <v>96.30</v>
      </c>
      <c r="O69" s="135">
        <v>0</v>
      </c>
      <c r="P69" s="135">
        <v>2.87</v>
      </c>
      <c r="Q69" s="135">
        <v>3.88</v>
      </c>
      <c r="R69" s="194"/>
      <c r="S69" s="194"/>
      <c r="T69" s="194"/>
      <c r="U69" s="194"/>
    </row>
    <row r="70" spans="1:21" s="12" customFormat="1" ht="15">
      <c r="A70" s="207" t="s">
        <v>2034</v>
      </c>
      <c r="B70" s="135">
        <v>4.46</v>
      </c>
      <c r="C70" s="135">
        <v>14.55</v>
      </c>
      <c r="D70" s="135">
        <v>19.010000000000002</v>
      </c>
      <c r="E70" s="135">
        <v>3.99</v>
      </c>
      <c r="F70" s="135">
        <v>0.28999999999999998</v>
      </c>
      <c r="G70" s="208" t="s">
        <v>36</v>
      </c>
      <c r="H70" s="135">
        <v>6.85</v>
      </c>
      <c r="I70" s="135">
        <v>2.81</v>
      </c>
      <c r="J70" s="135">
        <v>0.11</v>
      </c>
      <c r="K70" s="135">
        <v>341.33</v>
      </c>
      <c r="L70" s="10" t="s">
        <v>43</v>
      </c>
      <c r="M70" s="135">
        <v>94.70</v>
      </c>
      <c r="N70" s="135">
        <v>63.40</v>
      </c>
      <c r="O70" s="135">
        <v>0.20</v>
      </c>
      <c r="P70" s="135">
        <v>2.90</v>
      </c>
      <c r="Q70" s="135">
        <v>4.09</v>
      </c>
      <c r="R70" s="194"/>
      <c r="S70" s="194"/>
      <c r="T70" s="194"/>
      <c r="U70" s="194"/>
    </row>
    <row r="71" spans="1:21" s="12" customFormat="1" ht="15">
      <c r="A71" s="207" t="s">
        <v>2035</v>
      </c>
      <c r="B71" s="135">
        <v>5.56</v>
      </c>
      <c r="C71" s="135">
        <v>14.44</v>
      </c>
      <c r="D71" s="135">
        <v>20</v>
      </c>
      <c r="E71" s="135">
        <v>3.66</v>
      </c>
      <c r="F71" s="135">
        <v>0.16</v>
      </c>
      <c r="G71" s="208" t="s">
        <v>36</v>
      </c>
      <c r="H71" s="135">
        <v>6.85</v>
      </c>
      <c r="I71" s="135">
        <v>2.91</v>
      </c>
      <c r="J71" s="135">
        <v>0.09</v>
      </c>
      <c r="K71" s="135">
        <v>44.90</v>
      </c>
      <c r="L71" s="10" t="s">
        <v>43</v>
      </c>
      <c r="M71" s="135">
        <v>94.88</v>
      </c>
      <c r="N71" s="135">
        <v>115.10</v>
      </c>
      <c r="O71" s="135">
        <v>0</v>
      </c>
      <c r="P71" s="135">
        <v>2.92</v>
      </c>
      <c r="Q71" s="135">
        <v>4.5</v>
      </c>
      <c r="R71" s="194"/>
      <c r="S71" s="194"/>
      <c r="T71" s="194"/>
      <c r="U71" s="194"/>
    </row>
    <row r="72" spans="1:21" s="12" customFormat="1" ht="15">
      <c r="A72" s="207" t="s">
        <v>2036</v>
      </c>
      <c r="B72" s="135">
        <v>5.87</v>
      </c>
      <c r="C72" s="135">
        <v>14.31</v>
      </c>
      <c r="D72" s="135">
        <v>20.18</v>
      </c>
      <c r="E72" s="135">
        <v>1.39</v>
      </c>
      <c r="F72" s="135">
        <v>0.10</v>
      </c>
      <c r="G72" s="208" t="s">
        <v>36</v>
      </c>
      <c r="H72" s="135">
        <v>6.85</v>
      </c>
      <c r="I72" s="135">
        <v>3.06</v>
      </c>
      <c r="J72" s="135">
        <v>0.070000000000000007</v>
      </c>
      <c r="K72" s="135">
        <v>9.7799999999999994</v>
      </c>
      <c r="L72" s="10" t="s">
        <v>43</v>
      </c>
      <c r="M72" s="135">
        <v>92.21</v>
      </c>
      <c r="N72" s="135">
        <v>264</v>
      </c>
      <c r="O72" s="135">
        <v>0</v>
      </c>
      <c r="P72" s="135">
        <v>2.92</v>
      </c>
      <c r="Q72" s="135">
        <v>4.53</v>
      </c>
      <c r="R72" s="194"/>
      <c r="S72" s="194"/>
      <c r="T72" s="194"/>
      <c r="U72" s="194"/>
    </row>
    <row r="73" spans="1:21" s="12" customFormat="1" ht="15">
      <c r="A73" s="207" t="s">
        <v>2037</v>
      </c>
      <c r="B73" s="135">
        <v>5.95</v>
      </c>
      <c r="C73" s="135">
        <v>14.01</v>
      </c>
      <c r="D73" s="135">
        <v>19.96</v>
      </c>
      <c r="E73" s="135">
        <v>2.88</v>
      </c>
      <c r="F73" s="135">
        <v>0.22</v>
      </c>
      <c r="G73" s="208" t="s">
        <v>36</v>
      </c>
      <c r="H73" s="135">
        <v>6.37</v>
      </c>
      <c r="I73" s="135">
        <v>3.16</v>
      </c>
      <c r="J73" s="208" t="s">
        <v>36</v>
      </c>
      <c r="K73" s="135">
        <v>156.44999999999999</v>
      </c>
      <c r="L73" s="135">
        <v>36.5</v>
      </c>
      <c r="M73" s="135">
        <v>86.87</v>
      </c>
      <c r="N73" s="135">
        <v>255.20</v>
      </c>
      <c r="O73" s="135">
        <v>0</v>
      </c>
      <c r="P73" s="135">
        <v>2.94</v>
      </c>
      <c r="Q73" s="135">
        <v>4.5</v>
      </c>
      <c r="R73" s="194"/>
      <c r="S73" s="194"/>
      <c r="T73" s="194"/>
      <c r="U73" s="194"/>
    </row>
    <row r="74" spans="1:21" s="12" customFormat="1" ht="15">
      <c r="A74" s="207" t="s">
        <v>2038</v>
      </c>
      <c r="B74" s="135">
        <v>5.74</v>
      </c>
      <c r="C74" s="135">
        <v>14.73</v>
      </c>
      <c r="D74" s="135">
        <v>20.47</v>
      </c>
      <c r="E74" s="135">
        <v>3.41</v>
      </c>
      <c r="F74" s="135">
        <v>0.17</v>
      </c>
      <c r="G74" s="208" t="s">
        <v>36</v>
      </c>
      <c r="H74" s="135">
        <v>5.19</v>
      </c>
      <c r="I74" s="135">
        <v>3.17</v>
      </c>
      <c r="J74" s="135">
        <v>0.15</v>
      </c>
      <c r="K74" s="135">
        <v>5.97</v>
      </c>
      <c r="L74" s="135">
        <v>36.25</v>
      </c>
      <c r="M74" s="135">
        <v>85.02</v>
      </c>
      <c r="N74" s="135">
        <v>208.80</v>
      </c>
      <c r="O74" s="135">
        <v>0</v>
      </c>
      <c r="P74" s="135">
        <v>2.94</v>
      </c>
      <c r="Q74" s="135">
        <v>4.67</v>
      </c>
      <c r="R74" s="194"/>
      <c r="S74" s="194"/>
      <c r="T74" s="194"/>
      <c r="U74" s="194"/>
    </row>
    <row r="75" spans="1:21" s="12" customFormat="1" ht="15">
      <c r="A75" s="207" t="s">
        <v>2039</v>
      </c>
      <c r="B75" s="135">
        <v>5.34</v>
      </c>
      <c r="C75" s="135">
        <v>15.76</v>
      </c>
      <c r="D75" s="135">
        <v>21.10</v>
      </c>
      <c r="E75" s="135">
        <v>2.89</v>
      </c>
      <c r="F75" s="135">
        <v>0.66</v>
      </c>
      <c r="G75" s="208" t="s">
        <v>36</v>
      </c>
      <c r="H75" s="135">
        <v>5.19</v>
      </c>
      <c r="I75" s="135">
        <v>3.21</v>
      </c>
      <c r="J75" s="135">
        <v>0.14000000000000001</v>
      </c>
      <c r="K75" s="135">
        <v>35.08</v>
      </c>
      <c r="L75" s="135">
        <v>36.31</v>
      </c>
      <c r="M75" s="135">
        <v>83.68</v>
      </c>
      <c r="N75" s="135">
        <v>137.10</v>
      </c>
      <c r="O75" s="135">
        <v>0</v>
      </c>
      <c r="P75" s="135">
        <v>2.92</v>
      </c>
      <c r="Q75" s="135">
        <v>4.66</v>
      </c>
      <c r="R75" s="194"/>
      <c r="S75" s="194"/>
      <c r="T75" s="194"/>
      <c r="U75" s="194"/>
    </row>
    <row r="76" spans="1:21" s="12" customFormat="1" ht="15">
      <c r="A76" s="207" t="s">
        <v>2040</v>
      </c>
      <c r="B76" s="135">
        <v>4.43</v>
      </c>
      <c r="C76" s="135">
        <v>16.239999999999998</v>
      </c>
      <c r="D76" s="135">
        <v>20.67</v>
      </c>
      <c r="E76" s="135">
        <v>3.34</v>
      </c>
      <c r="F76" s="135">
        <v>0.80</v>
      </c>
      <c r="G76" s="208" t="s">
        <v>36</v>
      </c>
      <c r="H76" s="135">
        <v>5.19</v>
      </c>
      <c r="I76" s="135">
        <v>3.20</v>
      </c>
      <c r="J76" s="135">
        <v>0.09</v>
      </c>
      <c r="K76" s="135">
        <v>23.31</v>
      </c>
      <c r="L76" s="135">
        <v>36.46</v>
      </c>
      <c r="M76" s="135">
        <v>83.47</v>
      </c>
      <c r="N76" s="135">
        <v>84.90</v>
      </c>
      <c r="O76" s="135">
        <v>0</v>
      </c>
      <c r="P76" s="135">
        <v>2.91</v>
      </c>
      <c r="Q76" s="135">
        <v>4.3600000000000003</v>
      </c>
      <c r="R76" s="194"/>
      <c r="S76" s="194"/>
      <c r="T76" s="194"/>
      <c r="U76" s="194"/>
    </row>
    <row r="77" spans="1:21" s="12" customFormat="1" ht="15">
      <c r="A77" s="207" t="s">
        <v>2041</v>
      </c>
      <c r="B77" s="135">
        <v>4.01</v>
      </c>
      <c r="C77" s="135">
        <v>16.47</v>
      </c>
      <c r="D77" s="135">
        <v>20.49</v>
      </c>
      <c r="E77" s="135">
        <v>3.10</v>
      </c>
      <c r="F77" s="135">
        <v>0.78</v>
      </c>
      <c r="G77" s="208" t="s">
        <v>36</v>
      </c>
      <c r="H77" s="135">
        <v>4.93</v>
      </c>
      <c r="I77" s="135">
        <v>3.12</v>
      </c>
      <c r="J77" s="135">
        <v>0.17</v>
      </c>
      <c r="K77" s="135">
        <v>23.65</v>
      </c>
      <c r="L77" s="135">
        <v>37.14</v>
      </c>
      <c r="M77" s="135">
        <v>84.38</v>
      </c>
      <c r="N77" s="135">
        <v>47.80</v>
      </c>
      <c r="O77" s="135">
        <v>0</v>
      </c>
      <c r="P77" s="135">
        <v>2.91</v>
      </c>
      <c r="Q77" s="135">
        <v>4.30</v>
      </c>
      <c r="R77" s="194"/>
      <c r="S77" s="194"/>
      <c r="T77" s="194"/>
      <c r="U77" s="194"/>
    </row>
    <row r="78" spans="1:21" s="12" customFormat="1" ht="15">
      <c r="A78" s="207" t="s">
        <v>2042</v>
      </c>
      <c r="B78" s="135">
        <v>4.3099999999999996</v>
      </c>
      <c r="C78" s="135">
        <v>16.64</v>
      </c>
      <c r="D78" s="135">
        <v>20.95</v>
      </c>
      <c r="E78" s="135">
        <v>2.90</v>
      </c>
      <c r="F78" s="135">
        <v>0.62</v>
      </c>
      <c r="G78" s="208" t="s">
        <v>36</v>
      </c>
      <c r="H78" s="135">
        <v>4.29</v>
      </c>
      <c r="I78" s="135">
        <v>3.07</v>
      </c>
      <c r="J78" s="135">
        <v>0.15</v>
      </c>
      <c r="K78" s="135">
        <v>19.84</v>
      </c>
      <c r="L78" s="135">
        <v>52.96</v>
      </c>
      <c r="M78" s="135">
        <v>85.38</v>
      </c>
      <c r="N78" s="135">
        <v>67.30</v>
      </c>
      <c r="O78" s="135">
        <v>0</v>
      </c>
      <c r="P78" s="135">
        <v>2.92</v>
      </c>
      <c r="Q78" s="135">
        <v>4.41</v>
      </c>
      <c r="R78" s="194"/>
      <c r="S78" s="194"/>
      <c r="T78" s="194"/>
      <c r="U78" s="194"/>
    </row>
    <row r="79" spans="1:21" s="12" customFormat="1" ht="15">
      <c r="A79" s="207" t="s">
        <v>2043</v>
      </c>
      <c r="B79" s="135">
        <v>4.62</v>
      </c>
      <c r="C79" s="135">
        <v>16.309999999999999</v>
      </c>
      <c r="D79" s="135">
        <v>20.93</v>
      </c>
      <c r="E79" s="135">
        <v>3.13</v>
      </c>
      <c r="F79" s="135">
        <v>0.23</v>
      </c>
      <c r="G79" s="208" t="s">
        <v>36</v>
      </c>
      <c r="H79" s="135">
        <v>4.29</v>
      </c>
      <c r="I79" s="135">
        <v>3.06</v>
      </c>
      <c r="J79" s="135">
        <v>0.21</v>
      </c>
      <c r="K79" s="135">
        <v>14.40</v>
      </c>
      <c r="L79" s="10" t="s">
        <v>43</v>
      </c>
      <c r="M79" s="135">
        <v>85.42</v>
      </c>
      <c r="N79" s="135">
        <v>39.40</v>
      </c>
      <c r="O79" s="135">
        <v>0</v>
      </c>
      <c r="P79" s="135">
        <v>2.93</v>
      </c>
      <c r="Q79" s="135">
        <v>4.46</v>
      </c>
      <c r="R79" s="194"/>
      <c r="S79" s="194"/>
      <c r="T79" s="194"/>
      <c r="U79" s="194"/>
    </row>
    <row r="80" spans="1:21" s="12" customFormat="1" ht="15">
      <c r="A80" s="207" t="s">
        <v>2044</v>
      </c>
      <c r="B80" s="135">
        <v>5.92</v>
      </c>
      <c r="C80" s="135">
        <v>16.25</v>
      </c>
      <c r="D80" s="135">
        <v>22.17</v>
      </c>
      <c r="E80" s="135">
        <v>3.26</v>
      </c>
      <c r="F80" s="135">
        <v>0.22</v>
      </c>
      <c r="G80" s="208" t="s">
        <v>36</v>
      </c>
      <c r="H80" s="135">
        <v>4.29</v>
      </c>
      <c r="I80" s="135">
        <v>3.14</v>
      </c>
      <c r="J80" s="135">
        <v>0.24</v>
      </c>
      <c r="K80" s="135">
        <v>359.49</v>
      </c>
      <c r="L80" s="10" t="s">
        <v>43</v>
      </c>
      <c r="M80" s="135">
        <v>85.82</v>
      </c>
      <c r="N80" s="135">
        <v>26.30</v>
      </c>
      <c r="O80" s="135">
        <v>0</v>
      </c>
      <c r="P80" s="135">
        <v>2.95</v>
      </c>
      <c r="Q80" s="135">
        <v>4.84</v>
      </c>
      <c r="R80" s="194"/>
      <c r="S80" s="194"/>
      <c r="T80" s="194"/>
      <c r="U80" s="194"/>
    </row>
    <row r="81" spans="1:21" s="12" customFormat="1" ht="15">
      <c r="A81" s="207" t="s">
        <v>2045</v>
      </c>
      <c r="B81" s="135">
        <v>7.78</v>
      </c>
      <c r="C81" s="135">
        <v>16.57</v>
      </c>
      <c r="D81" s="135">
        <v>24.35</v>
      </c>
      <c r="E81" s="135">
        <v>3.42</v>
      </c>
      <c r="F81" s="135">
        <v>0.28000000000000003</v>
      </c>
      <c r="G81" s="208" t="s">
        <v>36</v>
      </c>
      <c r="H81" s="135">
        <v>3.93</v>
      </c>
      <c r="I81" s="135">
        <v>3.23</v>
      </c>
      <c r="J81" s="135">
        <v>0.27</v>
      </c>
      <c r="K81" s="135">
        <v>344.74</v>
      </c>
      <c r="L81" s="10" t="s">
        <v>43</v>
      </c>
      <c r="M81" s="135">
        <v>86.45</v>
      </c>
      <c r="N81" s="135">
        <v>26.80</v>
      </c>
      <c r="O81" s="135">
        <v>0</v>
      </c>
      <c r="P81" s="135">
        <v>3.01</v>
      </c>
      <c r="Q81" s="135">
        <v>5.5</v>
      </c>
      <c r="R81" s="194"/>
      <c r="S81" s="194"/>
      <c r="T81" s="194"/>
      <c r="U81" s="194"/>
    </row>
    <row r="82" spans="1:21" s="12" customFormat="1" ht="15">
      <c r="A82" s="207" t="s">
        <v>2046</v>
      </c>
      <c r="B82" s="135">
        <v>9.16</v>
      </c>
      <c r="C82" s="135">
        <v>16.53</v>
      </c>
      <c r="D82" s="135">
        <v>25.69</v>
      </c>
      <c r="E82" s="135">
        <v>3.72</v>
      </c>
      <c r="F82" s="135">
        <v>0.62</v>
      </c>
      <c r="G82" s="208" t="s">
        <v>36</v>
      </c>
      <c r="H82" s="135">
        <v>3.06</v>
      </c>
      <c r="I82" s="135">
        <v>3.43</v>
      </c>
      <c r="J82" s="135">
        <v>0.16</v>
      </c>
      <c r="K82" s="135">
        <v>357.49</v>
      </c>
      <c r="L82" s="10" t="s">
        <v>43</v>
      </c>
      <c r="M82" s="135">
        <v>87.17</v>
      </c>
      <c r="N82" s="135">
        <v>13.20</v>
      </c>
      <c r="O82" s="135">
        <v>0</v>
      </c>
      <c r="P82" s="135">
        <v>3.06</v>
      </c>
      <c r="Q82" s="135">
        <v>5.93</v>
      </c>
      <c r="R82" s="194"/>
      <c r="S82" s="194"/>
      <c r="T82" s="194"/>
      <c r="U82" s="194"/>
    </row>
    <row r="83" spans="1:21" s="12" customFormat="1" ht="15">
      <c r="A83" s="207" t="s">
        <v>2047</v>
      </c>
      <c r="B83" s="135">
        <v>10.36</v>
      </c>
      <c r="C83" s="135">
        <v>16.190000000000001</v>
      </c>
      <c r="D83" s="135">
        <v>26.55</v>
      </c>
      <c r="E83" s="135">
        <v>3.58</v>
      </c>
      <c r="F83" s="135">
        <v>0.32</v>
      </c>
      <c r="G83" s="208" t="s">
        <v>36</v>
      </c>
      <c r="H83" s="135">
        <v>3.06</v>
      </c>
      <c r="I83" s="135">
        <v>3.96</v>
      </c>
      <c r="J83" s="135">
        <v>0.16</v>
      </c>
      <c r="K83" s="135">
        <v>28.23</v>
      </c>
      <c r="L83" s="10" t="s">
        <v>43</v>
      </c>
      <c r="M83" s="135">
        <v>88.04</v>
      </c>
      <c r="N83" s="135">
        <v>5.20</v>
      </c>
      <c r="O83" s="135">
        <v>0</v>
      </c>
      <c r="P83" s="135">
        <v>3.11</v>
      </c>
      <c r="Q83" s="135">
        <v>6.18</v>
      </c>
      <c r="R83" s="194"/>
      <c r="S83" s="194"/>
      <c r="T83" s="194"/>
      <c r="U83" s="194"/>
    </row>
    <row r="84" spans="1:21" s="12" customFormat="1" ht="15">
      <c r="A84" s="207" t="s">
        <v>2048</v>
      </c>
      <c r="B84" s="135">
        <v>12.11</v>
      </c>
      <c r="C84" s="135">
        <v>16.63</v>
      </c>
      <c r="D84" s="135">
        <v>28.73</v>
      </c>
      <c r="E84" s="135">
        <v>3.86</v>
      </c>
      <c r="F84" s="135">
        <v>0.02</v>
      </c>
      <c r="G84" s="208" t="s">
        <v>36</v>
      </c>
      <c r="H84" s="135">
        <v>3.06</v>
      </c>
      <c r="I84" s="135">
        <v>4.37</v>
      </c>
      <c r="J84" s="135">
        <v>0.14000000000000001</v>
      </c>
      <c r="K84" s="135">
        <v>9.1999999999999993</v>
      </c>
      <c r="L84" s="10" t="s">
        <v>43</v>
      </c>
      <c r="M84" s="135">
        <v>88.45</v>
      </c>
      <c r="N84" s="135">
        <v>1.30</v>
      </c>
      <c r="O84" s="135">
        <v>0</v>
      </c>
      <c r="P84" s="135">
        <v>3.18</v>
      </c>
      <c r="Q84" s="135">
        <v>6.78</v>
      </c>
      <c r="R84" s="194"/>
      <c r="S84" s="194"/>
      <c r="T84" s="194"/>
      <c r="U84" s="194"/>
    </row>
    <row r="85" spans="1:21" s="12" customFormat="1" ht="15">
      <c r="A85" s="207" t="s">
        <v>2049</v>
      </c>
      <c r="B85" s="135">
        <v>13.28</v>
      </c>
      <c r="C85" s="135">
        <v>16.649999999999999</v>
      </c>
      <c r="D85" s="135">
        <v>29.93</v>
      </c>
      <c r="E85" s="135">
        <v>4.07</v>
      </c>
      <c r="F85" s="208" t="s">
        <v>36</v>
      </c>
      <c r="G85" s="208" t="s">
        <v>36</v>
      </c>
      <c r="H85" s="135">
        <v>3.51</v>
      </c>
      <c r="I85" s="135">
        <v>4.68</v>
      </c>
      <c r="J85" s="135">
        <v>0.22</v>
      </c>
      <c r="K85" s="135">
        <v>359.56</v>
      </c>
      <c r="L85" s="10" t="s">
        <v>43</v>
      </c>
      <c r="M85" s="135">
        <v>87.19</v>
      </c>
      <c r="N85" s="135">
        <v>0.60</v>
      </c>
      <c r="O85" s="135">
        <v>0</v>
      </c>
      <c r="P85" s="135">
        <v>3.22</v>
      </c>
      <c r="Q85" s="135">
        <v>7.11</v>
      </c>
      <c r="R85" s="194"/>
      <c r="S85" s="194"/>
      <c r="T85" s="194"/>
      <c r="U85" s="194"/>
    </row>
    <row r="86" spans="1:21" s="12" customFormat="1" ht="15">
      <c r="A86" s="207" t="s">
        <v>2050</v>
      </c>
      <c r="B86" s="135">
        <v>13.33</v>
      </c>
      <c r="C86" s="135">
        <v>17.16</v>
      </c>
      <c r="D86" s="135">
        <v>30.49</v>
      </c>
      <c r="E86" s="135">
        <v>3.49</v>
      </c>
      <c r="F86" s="135">
        <v>0.06</v>
      </c>
      <c r="G86" s="208" t="s">
        <v>36</v>
      </c>
      <c r="H86" s="135">
        <v>4.6100000000000003</v>
      </c>
      <c r="I86" s="135">
        <v>5.15</v>
      </c>
      <c r="J86" s="135">
        <v>0.26</v>
      </c>
      <c r="K86" s="135">
        <v>20.65</v>
      </c>
      <c r="L86" s="10" t="s">
        <v>43</v>
      </c>
      <c r="M86" s="135">
        <v>85.65</v>
      </c>
      <c r="N86" s="135">
        <v>0.60</v>
      </c>
      <c r="O86" s="135">
        <v>0</v>
      </c>
      <c r="P86" s="135">
        <v>3.23</v>
      </c>
      <c r="Q86" s="135">
        <v>7.18</v>
      </c>
      <c r="R86" s="194"/>
      <c r="S86" s="194"/>
      <c r="T86" s="194"/>
      <c r="U86" s="194"/>
    </row>
    <row r="87" spans="1:21" s="12" customFormat="1" ht="15">
      <c r="A87" s="207" t="s">
        <v>2051</v>
      </c>
      <c r="B87" s="135">
        <v>12.91</v>
      </c>
      <c r="C87" s="135">
        <v>17.989999999999998</v>
      </c>
      <c r="D87" s="135">
        <v>30.90</v>
      </c>
      <c r="E87" s="135">
        <v>3.92</v>
      </c>
      <c r="F87" s="135">
        <v>0.06</v>
      </c>
      <c r="G87" s="208" t="s">
        <v>36</v>
      </c>
      <c r="H87" s="135">
        <v>4.6100000000000003</v>
      </c>
      <c r="I87" s="135">
        <v>5.5</v>
      </c>
      <c r="J87" s="135">
        <v>0.23</v>
      </c>
      <c r="K87" s="135">
        <v>19.05</v>
      </c>
      <c r="L87" s="10" t="s">
        <v>43</v>
      </c>
      <c r="M87" s="135">
        <v>86.25</v>
      </c>
      <c r="N87" s="135">
        <v>0.5</v>
      </c>
      <c r="O87" s="135">
        <v>0</v>
      </c>
      <c r="P87" s="135">
        <v>3.27</v>
      </c>
      <c r="Q87" s="135">
        <v>7.20</v>
      </c>
      <c r="R87" s="194"/>
      <c r="S87" s="194"/>
      <c r="T87" s="194"/>
      <c r="U87" s="194"/>
    </row>
    <row r="88" spans="1:21" s="12" customFormat="1" ht="15">
      <c r="A88" s="207" t="s">
        <v>2052</v>
      </c>
      <c r="B88" s="135">
        <v>12.06</v>
      </c>
      <c r="C88" s="135">
        <v>18.45</v>
      </c>
      <c r="D88" s="135">
        <v>30.51</v>
      </c>
      <c r="E88" s="135">
        <v>1.80</v>
      </c>
      <c r="F88" s="135">
        <v>0.05</v>
      </c>
      <c r="G88" s="208" t="s">
        <v>36</v>
      </c>
      <c r="H88" s="135">
        <v>4.6100000000000003</v>
      </c>
      <c r="I88" s="135">
        <v>6.12</v>
      </c>
      <c r="J88" s="135">
        <v>0.31</v>
      </c>
      <c r="K88" s="135">
        <v>0.92</v>
      </c>
      <c r="L88" s="10" t="s">
        <v>43</v>
      </c>
      <c r="M88" s="135">
        <v>85.39</v>
      </c>
      <c r="N88" s="135">
        <v>0.40</v>
      </c>
      <c r="O88" s="135">
        <v>0</v>
      </c>
      <c r="P88" s="135">
        <v>3.26</v>
      </c>
      <c r="Q88" s="135">
        <v>7.01</v>
      </c>
      <c r="R88" s="194"/>
      <c r="S88" s="194"/>
      <c r="T88" s="194"/>
      <c r="U88" s="194"/>
    </row>
    <row r="89" spans="1:21" s="12" customFormat="1" ht="15">
      <c r="A89" s="207" t="s">
        <v>2053</v>
      </c>
      <c r="B89" s="135">
        <v>11.17</v>
      </c>
      <c r="C89" s="135">
        <v>18.68</v>
      </c>
      <c r="D89" s="135">
        <v>29.84</v>
      </c>
      <c r="E89" s="135">
        <v>3.58</v>
      </c>
      <c r="F89" s="135">
        <v>0.19</v>
      </c>
      <c r="G89" s="208" t="s">
        <v>36</v>
      </c>
      <c r="H89" s="135">
        <v>5.24</v>
      </c>
      <c r="I89" s="135">
        <v>6.70</v>
      </c>
      <c r="J89" s="135">
        <v>0.10</v>
      </c>
      <c r="K89" s="135">
        <v>17.70</v>
      </c>
      <c r="L89" s="10" t="s">
        <v>43</v>
      </c>
      <c r="M89" s="135">
        <v>85.87</v>
      </c>
      <c r="N89" s="135">
        <v>0.40</v>
      </c>
      <c r="O89" s="135">
        <v>0</v>
      </c>
      <c r="P89" s="135">
        <v>3.26</v>
      </c>
      <c r="Q89" s="135">
        <v>6.81</v>
      </c>
      <c r="R89" s="194"/>
      <c r="S89" s="194"/>
      <c r="T89" s="194"/>
      <c r="U89" s="194"/>
    </row>
    <row r="90" spans="1:21" s="12" customFormat="1" ht="15">
      <c r="A90" s="207" t="s">
        <v>2054</v>
      </c>
      <c r="B90" s="135">
        <v>10.32</v>
      </c>
      <c r="C90" s="135">
        <v>18.32</v>
      </c>
      <c r="D90" s="135">
        <v>28.64</v>
      </c>
      <c r="E90" s="135">
        <v>3.36</v>
      </c>
      <c r="F90" s="135">
        <v>0.09</v>
      </c>
      <c r="G90" s="208" t="s">
        <v>36</v>
      </c>
      <c r="H90" s="135">
        <v>6.76</v>
      </c>
      <c r="I90" s="135">
        <v>7.24</v>
      </c>
      <c r="J90" s="135">
        <v>0.15</v>
      </c>
      <c r="K90" s="135">
        <v>38.409999999999997</v>
      </c>
      <c r="L90" s="10" t="s">
        <v>43</v>
      </c>
      <c r="M90" s="135">
        <v>86.65</v>
      </c>
      <c r="N90" s="135">
        <v>0.30</v>
      </c>
      <c r="O90" s="135">
        <v>0</v>
      </c>
      <c r="P90" s="135">
        <v>3.24</v>
      </c>
      <c r="Q90" s="135">
        <v>6.45</v>
      </c>
      <c r="R90" s="194"/>
      <c r="S90" s="194"/>
      <c r="T90" s="194"/>
      <c r="U90" s="194"/>
    </row>
    <row r="91" spans="1:21" s="12" customFormat="1" ht="15">
      <c r="A91" s="207" t="s">
        <v>2055</v>
      </c>
      <c r="B91" s="135">
        <v>9.93</v>
      </c>
      <c r="C91" s="135">
        <v>17.89</v>
      </c>
      <c r="D91" s="135">
        <v>27.83</v>
      </c>
      <c r="E91" s="135">
        <v>3.76</v>
      </c>
      <c r="F91" s="135">
        <v>0.09</v>
      </c>
      <c r="G91" s="208" t="s">
        <v>36</v>
      </c>
      <c r="H91" s="135">
        <v>6.76</v>
      </c>
      <c r="I91" s="135">
        <v>7.19</v>
      </c>
      <c r="J91" s="135">
        <v>0.12</v>
      </c>
      <c r="K91" s="135">
        <v>226.17</v>
      </c>
      <c r="L91" s="10" t="s">
        <v>43</v>
      </c>
      <c r="M91" s="135">
        <v>87.85</v>
      </c>
      <c r="N91" s="135">
        <v>0.20</v>
      </c>
      <c r="O91" s="135">
        <v>0</v>
      </c>
      <c r="P91" s="135">
        <v>3.23</v>
      </c>
      <c r="Q91" s="135">
        <v>6.20</v>
      </c>
      <c r="R91" s="194"/>
      <c r="S91" s="194"/>
      <c r="T91" s="194"/>
      <c r="U91" s="194"/>
    </row>
    <row r="92" spans="1:21" s="12" customFormat="1" ht="15">
      <c r="A92" s="207" t="s">
        <v>2056</v>
      </c>
      <c r="B92" s="135">
        <v>9.6300000000000008</v>
      </c>
      <c r="C92" s="135">
        <v>17.14</v>
      </c>
      <c r="D92" s="135">
        <v>26.77</v>
      </c>
      <c r="E92" s="135">
        <v>3.90</v>
      </c>
      <c r="F92" s="135">
        <v>0.11</v>
      </c>
      <c r="G92" s="208" t="s">
        <v>36</v>
      </c>
      <c r="H92" s="135">
        <v>6.76</v>
      </c>
      <c r="I92" s="135">
        <v>6.94</v>
      </c>
      <c r="J92" s="135">
        <v>0.23</v>
      </c>
      <c r="K92" s="135">
        <v>212.01</v>
      </c>
      <c r="L92" s="10" t="s">
        <v>43</v>
      </c>
      <c r="M92" s="135">
        <v>87.65</v>
      </c>
      <c r="N92" s="208" t="s">
        <v>36</v>
      </c>
      <c r="O92" s="135">
        <v>0</v>
      </c>
      <c r="P92" s="135">
        <v>3.22</v>
      </c>
      <c r="Q92" s="135">
        <v>6.01</v>
      </c>
      <c r="R92" s="194"/>
      <c r="S92" s="194"/>
      <c r="T92" s="194"/>
      <c r="U92" s="194"/>
    </row>
    <row r="93" spans="1:21" s="12" customFormat="1" ht="15">
      <c r="A93" s="207" t="s">
        <v>2057</v>
      </c>
      <c r="B93" s="135">
        <v>9.2899999999999991</v>
      </c>
      <c r="C93" s="135">
        <v>16</v>
      </c>
      <c r="D93" s="135">
        <v>25.29</v>
      </c>
      <c r="E93" s="135">
        <v>4.26</v>
      </c>
      <c r="F93" s="135">
        <v>0.21</v>
      </c>
      <c r="G93" s="208" t="s">
        <v>36</v>
      </c>
      <c r="H93" s="135">
        <v>6.24</v>
      </c>
      <c r="I93" s="135">
        <v>6.76</v>
      </c>
      <c r="J93" s="135">
        <v>0.15</v>
      </c>
      <c r="K93" s="135">
        <v>209.43</v>
      </c>
      <c r="L93" s="10" t="s">
        <v>43</v>
      </c>
      <c r="M93" s="135">
        <v>87.52</v>
      </c>
      <c r="N93" s="208" t="s">
        <v>36</v>
      </c>
      <c r="O93" s="135">
        <v>0</v>
      </c>
      <c r="P93" s="135">
        <v>3.20</v>
      </c>
      <c r="Q93" s="135">
        <v>5.83</v>
      </c>
      <c r="R93" s="194"/>
      <c r="S93" s="194"/>
      <c r="T93" s="194"/>
      <c r="U93" s="194"/>
    </row>
    <row r="94" spans="1:21" s="12" customFormat="1" ht="15">
      <c r="A94" s="207" t="s">
        <v>2058</v>
      </c>
      <c r="B94" s="135">
        <v>9.15</v>
      </c>
      <c r="C94" s="135">
        <v>14.97</v>
      </c>
      <c r="D94" s="135">
        <v>24.12</v>
      </c>
      <c r="E94" s="135">
        <v>4.0199999999999996</v>
      </c>
      <c r="F94" s="135">
        <v>0.87</v>
      </c>
      <c r="G94" s="208" t="s">
        <v>36</v>
      </c>
      <c r="H94" s="135">
        <v>4.9400000000000004</v>
      </c>
      <c r="I94" s="135">
        <v>6.52</v>
      </c>
      <c r="J94" s="135">
        <v>0.25</v>
      </c>
      <c r="K94" s="135">
        <v>216.88</v>
      </c>
      <c r="L94" s="10" t="s">
        <v>43</v>
      </c>
      <c r="M94" s="135">
        <v>88.45</v>
      </c>
      <c r="N94" s="208" t="s">
        <v>36</v>
      </c>
      <c r="O94" s="135">
        <v>0</v>
      </c>
      <c r="P94" s="135">
        <v>3.20</v>
      </c>
      <c r="Q94" s="135">
        <v>5.67</v>
      </c>
      <c r="R94" s="194"/>
      <c r="S94" s="194"/>
      <c r="T94" s="194"/>
      <c r="U94" s="194"/>
    </row>
    <row r="95" spans="1:21" s="12" customFormat="1" ht="15">
      <c r="A95" s="207" t="s">
        <v>2059</v>
      </c>
      <c r="B95" s="135">
        <v>8.9600000000000009</v>
      </c>
      <c r="C95" s="135">
        <v>14.10</v>
      </c>
      <c r="D95" s="135">
        <v>23.06</v>
      </c>
      <c r="E95" s="135">
        <v>4.54</v>
      </c>
      <c r="F95" s="135">
        <v>0.38</v>
      </c>
      <c r="G95" s="208" t="s">
        <v>36</v>
      </c>
      <c r="H95" s="135">
        <v>4.9400000000000004</v>
      </c>
      <c r="I95" s="135">
        <v>6.13</v>
      </c>
      <c r="J95" s="135">
        <v>0.13</v>
      </c>
      <c r="K95" s="135">
        <v>217.56</v>
      </c>
      <c r="L95" s="135">
        <v>47.05</v>
      </c>
      <c r="M95" s="135">
        <v>89.70</v>
      </c>
      <c r="N95" s="208" t="s">
        <v>36</v>
      </c>
      <c r="O95" s="135">
        <v>0</v>
      </c>
      <c r="P95" s="135">
        <v>3.17</v>
      </c>
      <c r="Q95" s="135">
        <v>5.56</v>
      </c>
      <c r="R95" s="194"/>
      <c r="S95" s="194"/>
      <c r="T95" s="194"/>
      <c r="U95" s="194"/>
    </row>
    <row r="96" spans="1:26" s="12" customFormat="1" ht="15">
      <c r="A96" s="207" t="s">
        <v>2060</v>
      </c>
      <c r="B96" s="135">
        <v>8.90</v>
      </c>
      <c r="C96" s="135">
        <v>13.27</v>
      </c>
      <c r="D96" s="135">
        <v>22.17</v>
      </c>
      <c r="E96" s="135">
        <v>4.91</v>
      </c>
      <c r="F96" s="135">
        <v>0.25</v>
      </c>
      <c r="G96" s="208" t="s">
        <v>36</v>
      </c>
      <c r="H96" s="135">
        <v>4.9400000000000004</v>
      </c>
      <c r="I96" s="135">
        <v>6.17</v>
      </c>
      <c r="J96" s="135">
        <v>0.06</v>
      </c>
      <c r="K96" s="135">
        <v>244.18</v>
      </c>
      <c r="L96" s="135">
        <v>45.65</v>
      </c>
      <c r="M96" s="135">
        <v>89.34</v>
      </c>
      <c r="N96" s="208" t="s">
        <v>36</v>
      </c>
      <c r="O96" s="135">
        <v>0</v>
      </c>
      <c r="P96" s="135">
        <v>3.17</v>
      </c>
      <c r="Q96" s="135">
        <v>5.54</v>
      </c>
      <c r="R96" s="194"/>
      <c r="S96" s="194"/>
      <c r="T96" s="194"/>
      <c r="U96" s="194"/>
      <c r="Z96" s="105"/>
    </row>
    <row r="97" spans="1:21" s="12" customFormat="1" ht="15">
      <c r="A97" s="207" t="s">
        <v>2061</v>
      </c>
      <c r="B97" s="135">
        <v>8.75</v>
      </c>
      <c r="C97" s="135">
        <v>12.79</v>
      </c>
      <c r="D97" s="135">
        <v>21.53</v>
      </c>
      <c r="E97" s="135">
        <v>4.99</v>
      </c>
      <c r="F97" s="135">
        <v>1.1399999999999999</v>
      </c>
      <c r="G97" s="208" t="s">
        <v>36</v>
      </c>
      <c r="H97" s="135">
        <v>4.66</v>
      </c>
      <c r="I97" s="135">
        <v>5.88</v>
      </c>
      <c r="J97" s="135">
        <v>0.11</v>
      </c>
      <c r="K97" s="135">
        <v>226.13</v>
      </c>
      <c r="L97" s="135">
        <v>47.10</v>
      </c>
      <c r="M97" s="135">
        <v>89.29</v>
      </c>
      <c r="N97" s="208" t="s">
        <v>36</v>
      </c>
      <c r="O97" s="135">
        <v>0</v>
      </c>
      <c r="P97" s="135">
        <v>3.16</v>
      </c>
      <c r="Q97" s="135">
        <v>5.56</v>
      </c>
      <c r="R97" s="194"/>
      <c r="S97" s="194"/>
      <c r="T97" s="194"/>
      <c r="U97" s="194"/>
    </row>
    <row r="98" spans="1:21" s="12" customFormat="1" ht="15">
      <c r="A98" s="207" t="s">
        <v>2062</v>
      </c>
      <c r="B98" s="135">
        <v>8.5299999999999994</v>
      </c>
      <c r="C98" s="135">
        <v>12.64</v>
      </c>
      <c r="D98" s="135">
        <v>21.17</v>
      </c>
      <c r="E98" s="135">
        <v>5.18</v>
      </c>
      <c r="F98" s="135">
        <v>0.40</v>
      </c>
      <c r="G98" s="208" t="s">
        <v>36</v>
      </c>
      <c r="H98" s="135">
        <v>3.96</v>
      </c>
      <c r="I98" s="135">
        <v>6.01</v>
      </c>
      <c r="J98" s="135">
        <v>0.11</v>
      </c>
      <c r="K98" s="135">
        <v>221.68</v>
      </c>
      <c r="L98" s="135">
        <v>46.02</v>
      </c>
      <c r="M98" s="135">
        <v>88.76</v>
      </c>
      <c r="N98" s="208" t="s">
        <v>36</v>
      </c>
      <c r="O98" s="135">
        <v>0</v>
      </c>
      <c r="P98" s="135">
        <v>3.14</v>
      </c>
      <c r="Q98" s="135">
        <v>5.52</v>
      </c>
      <c r="R98" s="194"/>
      <c r="S98" s="194"/>
      <c r="T98" s="194"/>
      <c r="U98" s="194"/>
    </row>
    <row r="99" spans="1:21" s="12" customFormat="1" ht="15">
      <c r="A99" s="207" t="s">
        <v>2063</v>
      </c>
      <c r="B99" s="135">
        <v>8.07</v>
      </c>
      <c r="C99" s="135">
        <v>12.5</v>
      </c>
      <c r="D99" s="135">
        <v>20.56</v>
      </c>
      <c r="E99" s="135">
        <v>5</v>
      </c>
      <c r="F99" s="135">
        <v>0.24</v>
      </c>
      <c r="G99" s="208" t="s">
        <v>36</v>
      </c>
      <c r="H99" s="135">
        <v>3.96</v>
      </c>
      <c r="I99" s="135">
        <v>6.16</v>
      </c>
      <c r="J99" s="135">
        <v>0.13</v>
      </c>
      <c r="K99" s="135">
        <v>217.79</v>
      </c>
      <c r="L99" s="135">
        <v>47.54</v>
      </c>
      <c r="M99" s="135">
        <v>87.92</v>
      </c>
      <c r="N99" s="208" t="s">
        <v>36</v>
      </c>
      <c r="O99" s="135">
        <v>0</v>
      </c>
      <c r="P99" s="135">
        <v>3.12</v>
      </c>
      <c r="Q99" s="135">
        <v>5.38</v>
      </c>
      <c r="R99" s="194"/>
      <c r="S99" s="194"/>
      <c r="T99" s="194"/>
      <c r="U99" s="194"/>
    </row>
    <row r="100" spans="1:33" s="12" customFormat="1" ht="15">
      <c r="A100" s="207" t="s">
        <v>2064</v>
      </c>
      <c r="B100" s="135">
        <v>7.49</v>
      </c>
      <c r="C100" s="135">
        <v>12.44</v>
      </c>
      <c r="D100" s="135">
        <v>19.93</v>
      </c>
      <c r="E100" s="135">
        <v>4.8099999999999996</v>
      </c>
      <c r="F100" s="135">
        <v>0.19</v>
      </c>
      <c r="G100" s="208" t="s">
        <v>36</v>
      </c>
      <c r="H100" s="135">
        <v>3.96</v>
      </c>
      <c r="I100" s="135">
        <v>6.01</v>
      </c>
      <c r="J100" s="135">
        <v>0.11</v>
      </c>
      <c r="K100" s="135">
        <v>221.19</v>
      </c>
      <c r="L100" s="135">
        <v>47.08</v>
      </c>
      <c r="M100" s="135">
        <v>87.92</v>
      </c>
      <c r="N100" s="135">
        <v>0.10</v>
      </c>
      <c r="O100" s="135">
        <v>0</v>
      </c>
      <c r="P100" s="135">
        <v>3.09</v>
      </c>
      <c r="Q100" s="135">
        <v>5.15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2065</v>
      </c>
      <c r="B101" s="135">
        <v>6.95</v>
      </c>
      <c r="C101" s="135">
        <v>12.31</v>
      </c>
      <c r="D101" s="135">
        <v>19.260000000000002</v>
      </c>
      <c r="E101" s="135">
        <v>4.97</v>
      </c>
      <c r="F101" s="135">
        <v>0.10</v>
      </c>
      <c r="G101" s="208" t="s">
        <v>36</v>
      </c>
      <c r="H101" s="135">
        <v>3.78</v>
      </c>
      <c r="I101" s="135">
        <v>5.83</v>
      </c>
      <c r="J101" s="135">
        <v>0.12</v>
      </c>
      <c r="K101" s="135">
        <v>200.88</v>
      </c>
      <c r="L101" s="135">
        <v>46.08</v>
      </c>
      <c r="M101" s="135">
        <v>87.93</v>
      </c>
      <c r="N101" s="135">
        <v>0.10</v>
      </c>
      <c r="O101" s="135">
        <v>0</v>
      </c>
      <c r="P101" s="135">
        <v>3.07</v>
      </c>
      <c r="Q101" s="135">
        <v>5</v>
      </c>
      <c r="R101" s="194"/>
      <c r="S101" s="194"/>
      <c r="T101" s="194"/>
      <c r="U101" s="194"/>
    </row>
    <row r="102" spans="1:21" s="12" customFormat="1" ht="15">
      <c r="A102" s="207" t="s">
        <v>2066</v>
      </c>
      <c r="B102" s="135">
        <v>6.43</v>
      </c>
      <c r="C102" s="135">
        <v>12.10</v>
      </c>
      <c r="D102" s="135">
        <v>18.53</v>
      </c>
      <c r="E102" s="135">
        <v>5.21</v>
      </c>
      <c r="F102" s="135">
        <v>0.070000000000000007</v>
      </c>
      <c r="G102" s="208" t="s">
        <v>36</v>
      </c>
      <c r="H102" s="135">
        <v>3.33</v>
      </c>
      <c r="I102" s="135">
        <v>5.60</v>
      </c>
      <c r="J102" s="135">
        <v>0.10</v>
      </c>
      <c r="K102" s="135">
        <v>224.83</v>
      </c>
      <c r="L102" s="135">
        <v>43.48</v>
      </c>
      <c r="M102" s="135">
        <v>88.20</v>
      </c>
      <c r="N102" s="135">
        <v>0.10</v>
      </c>
      <c r="O102" s="135">
        <v>0</v>
      </c>
      <c r="P102" s="135">
        <v>3.05</v>
      </c>
      <c r="Q102" s="135">
        <v>4.84</v>
      </c>
      <c r="R102" s="194"/>
      <c r="S102" s="194"/>
      <c r="T102" s="194"/>
      <c r="U102" s="194"/>
    </row>
    <row r="103" spans="1:21" s="12" customFormat="1" ht="15">
      <c r="A103" s="207" t="s">
        <v>2067</v>
      </c>
      <c r="B103" s="135">
        <v>5.81</v>
      </c>
      <c r="C103" s="135">
        <v>11.79</v>
      </c>
      <c r="D103" s="135">
        <v>17.600000000000001</v>
      </c>
      <c r="E103" s="135">
        <v>4.96</v>
      </c>
      <c r="F103" s="135">
        <v>0.09</v>
      </c>
      <c r="G103" s="208" t="s">
        <v>36</v>
      </c>
      <c r="H103" s="135">
        <v>3.33</v>
      </c>
      <c r="I103" s="135">
        <v>5.44</v>
      </c>
      <c r="J103" s="135">
        <v>0.16</v>
      </c>
      <c r="K103" s="135">
        <v>211.58</v>
      </c>
      <c r="L103" s="135">
        <v>41.16</v>
      </c>
      <c r="M103" s="135">
        <v>87.36</v>
      </c>
      <c r="N103" s="208" t="s">
        <v>36</v>
      </c>
      <c r="O103" s="135">
        <v>0</v>
      </c>
      <c r="P103" s="135">
        <v>3.02</v>
      </c>
      <c r="Q103" s="135">
        <v>4.6900000000000004</v>
      </c>
      <c r="R103" s="194"/>
      <c r="S103" s="194"/>
      <c r="T103" s="194"/>
      <c r="U103" s="194"/>
    </row>
    <row r="104" spans="1:21" s="12" customFormat="1" ht="15">
      <c r="A104" s="209" t="s">
        <v>2068</v>
      </c>
      <c r="B104" s="210">
        <v>5.32</v>
      </c>
      <c r="C104" s="210">
        <v>11.60</v>
      </c>
      <c r="D104" s="210">
        <v>16.93</v>
      </c>
      <c r="E104" s="210">
        <v>1.97</v>
      </c>
      <c r="F104" s="210">
        <v>0.18</v>
      </c>
      <c r="G104" s="211" t="s">
        <v>36</v>
      </c>
      <c r="H104" s="210">
        <v>3.33</v>
      </c>
      <c r="I104" s="210">
        <v>5.24</v>
      </c>
      <c r="J104" s="210">
        <v>0.22</v>
      </c>
      <c r="K104" s="210">
        <v>211.89</v>
      </c>
      <c r="L104" s="210">
        <v>41.74</v>
      </c>
      <c r="M104" s="210">
        <v>87.09</v>
      </c>
      <c r="N104" s="210">
        <v>0.10</v>
      </c>
      <c r="O104" s="210">
        <v>0</v>
      </c>
      <c r="P104" s="210">
        <v>3</v>
      </c>
      <c r="Q104" s="210">
        <v>4.58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1.1699999999999999</v>
      </c>
      <c r="C106" s="67">
        <f>MIN(C9:C104)</f>
        <v>7.4699999999999998</v>
      </c>
      <c r="D106" s="67">
        <f t="shared" si="0" ref="D106:Q106">MIN(D9:D104)</f>
        <v>9.0800000000000001</v>
      </c>
      <c r="E106" s="67">
        <f t="shared" si="0"/>
        <v>1.3899999999999999</v>
      </c>
      <c r="F106" s="67">
        <f t="shared" si="0"/>
        <v>0.01</v>
      </c>
      <c r="G106" s="67">
        <f t="shared" si="0"/>
        <v>0</v>
      </c>
      <c r="H106" s="67">
        <f t="shared" si="0"/>
        <v>1.8600000000000001</v>
      </c>
      <c r="I106" s="67">
        <f t="shared" si="0"/>
        <v>2.3799999999999999</v>
      </c>
      <c r="J106" s="67">
        <f t="shared" si="0"/>
        <v>0.02</v>
      </c>
      <c r="K106" s="67">
        <f t="shared" si="0"/>
        <v>0.92000000000000004</v>
      </c>
      <c r="L106" s="67">
        <f t="shared" si="0"/>
        <v>30.010000000000002</v>
      </c>
      <c r="M106" s="67">
        <f t="shared" si="0"/>
        <v>83.430000000000007</v>
      </c>
      <c r="N106" s="67">
        <f t="shared" si="0"/>
        <v>0.10000000000000001</v>
      </c>
      <c r="O106" s="67">
        <f t="shared" si="0"/>
        <v>0</v>
      </c>
      <c r="P106" s="67">
        <f t="shared" si="0"/>
        <v>2.6000000000000001</v>
      </c>
      <c r="Q106" s="67">
        <f t="shared" si="0"/>
        <v>2.4700000000000002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13.33</v>
      </c>
      <c r="C107" s="66">
        <f t="shared" si="1" ref="C107:Q107">MAX(C9:C104)</f>
        <v>18.68</v>
      </c>
      <c r="D107" s="66">
        <f t="shared" si="1"/>
        <v>30.899999999999999</v>
      </c>
      <c r="E107" s="66">
        <f t="shared" si="1"/>
        <v>7.3899999999999997</v>
      </c>
      <c r="F107" s="66">
        <f t="shared" si="1"/>
        <v>1.6000000000000001</v>
      </c>
      <c r="G107" s="66">
        <f t="shared" si="1"/>
        <v>0</v>
      </c>
      <c r="H107" s="66">
        <f t="shared" si="1"/>
        <v>9.1300000000000008</v>
      </c>
      <c r="I107" s="66">
        <f t="shared" si="1"/>
        <v>7.2400000000000002</v>
      </c>
      <c r="J107" s="66">
        <f t="shared" si="1"/>
        <v>0.66000000000000003</v>
      </c>
      <c r="K107" s="66">
        <f t="shared" si="1"/>
        <v>359.56</v>
      </c>
      <c r="L107" s="66">
        <f t="shared" si="1"/>
        <v>52.960000000000001</v>
      </c>
      <c r="M107" s="66">
        <f t="shared" si="1"/>
        <v>96.599999999999994</v>
      </c>
      <c r="N107" s="66">
        <f t="shared" si="1"/>
        <v>264</v>
      </c>
      <c r="O107" s="66">
        <f t="shared" si="1"/>
        <v>0.40000000000000002</v>
      </c>
      <c r="P107" s="66">
        <f t="shared" si="1"/>
        <v>3.27</v>
      </c>
      <c r="Q107" s="66">
        <f t="shared" si="1"/>
        <v>7.2000000000000002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4.870520833333333</v>
      </c>
      <c r="C108" s="67">
        <f t="shared" si="2" ref="C108:Q108">AVERAGE(C9:C104)</f>
        <v>12.624166666666666</v>
      </c>
      <c r="D108" s="67">
        <f t="shared" si="2"/>
        <v>17.494791666666668</v>
      </c>
      <c r="E108" s="67">
        <f t="shared" si="2"/>
        <v>4.6336458333333352</v>
      </c>
      <c r="F108" s="67">
        <f t="shared" si="2"/>
        <v>0.37936842105263163</v>
      </c>
      <c r="G108" s="67" t="e">
        <f t="shared" si="2"/>
        <v>#DIV/0!</v>
      </c>
      <c r="H108" s="67">
        <f t="shared" si="2"/>
        <v>4.2938541666666667</v>
      </c>
      <c r="I108" s="67">
        <f t="shared" si="2"/>
        <v>3.5430208333333333</v>
      </c>
      <c r="J108" s="67">
        <f t="shared" si="2"/>
        <v>0.20627659574468082</v>
      </c>
      <c r="K108" s="67">
        <f t="shared" si="2"/>
        <v>176.61677083333336</v>
      </c>
      <c r="L108" s="67">
        <f t="shared" si="2"/>
        <v>40.295200000000001</v>
      </c>
      <c r="M108" s="67">
        <f t="shared" si="2"/>
        <v>88.900729166666665</v>
      </c>
      <c r="N108" s="67">
        <f t="shared" si="2"/>
        <v>76.833333333333357</v>
      </c>
      <c r="O108" s="67">
        <f t="shared" si="2"/>
        <v>0.010416666666666666</v>
      </c>
      <c r="P108" s="67">
        <f t="shared" si="2"/>
        <v>2.8580208333333323</v>
      </c>
      <c r="Q108" s="67">
        <f t="shared" si="2"/>
        <v>4.3357291666666651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3.1461325865565453</v>
      </c>
      <c r="C109" s="67">
        <f t="shared" si="3" ref="C109:Q109">STDEV(C9:C104)</f>
        <v>3.3980783010917945</v>
      </c>
      <c r="D109" s="67">
        <f t="shared" si="3"/>
        <v>6.0317250703726009</v>
      </c>
      <c r="E109" s="67">
        <f t="shared" si="3"/>
        <v>1.2095158838335274</v>
      </c>
      <c r="F109" s="67">
        <f t="shared" si="3"/>
        <v>0.28093616495459472</v>
      </c>
      <c r="G109" s="67" t="e">
        <f t="shared" si="3"/>
        <v>#DIV/0!</v>
      </c>
      <c r="H109" s="67">
        <f t="shared" si="3"/>
        <v>2.1226455041771572</v>
      </c>
      <c r="I109" s="67">
        <f t="shared" si="3"/>
        <v>1.3760470614593363</v>
      </c>
      <c r="J109" s="67">
        <f t="shared" si="3"/>
        <v>0.16259312661577982</v>
      </c>
      <c r="K109" s="67">
        <f t="shared" si="3"/>
        <v>112.00850783940511</v>
      </c>
      <c r="L109" s="67">
        <f t="shared" si="3"/>
        <v>5.1870148860950804</v>
      </c>
      <c r="M109" s="67">
        <f t="shared" si="3"/>
        <v>3.5020058146549644</v>
      </c>
      <c r="N109" s="67">
        <f t="shared" si="3"/>
        <v>81.807657657493294</v>
      </c>
      <c r="O109" s="67">
        <f t="shared" si="3"/>
        <v>0.053270247777212509</v>
      </c>
      <c r="P109" s="67">
        <f t="shared" si="3"/>
        <v>0.20764149160292539</v>
      </c>
      <c r="Q109" s="67">
        <f t="shared" si="3"/>
        <v>1.1380701530422601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>COUNT(J9:J104)+2</f>
        <v>96</v>
      </c>
      <c r="K110" s="66">
        <f t="shared" si="4"/>
        <v>96</v>
      </c>
      <c r="L110" s="66">
        <f t="shared" si="4"/>
        <v>50</v>
      </c>
      <c r="M110" s="66">
        <f t="shared" si="4"/>
        <v>96</v>
      </c>
      <c r="N110" s="66">
        <f>COUNT(N9:N104)+12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25cfc-f669-466f-b0ae-e85c3dc64e99}">
  <sheetPr codeName=""/>
  <dimension ref="A1:AG117"/>
  <sheetViews>
    <sheetView workbookViewId="0" topLeftCell="A1">
      <pane xSplit="1" ySplit="8" topLeftCell="B87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P110" sqref="P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20-07-2022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2069</v>
      </c>
      <c r="B9" s="135">
        <v>4.9800000000000004</v>
      </c>
      <c r="C9" s="135">
        <v>11.46</v>
      </c>
      <c r="D9" s="135">
        <v>16.43</v>
      </c>
      <c r="E9" s="135">
        <v>4.42</v>
      </c>
      <c r="F9" s="135">
        <v>0.14000000000000001</v>
      </c>
      <c r="G9" s="208" t="s">
        <v>36</v>
      </c>
      <c r="H9" s="135">
        <v>3.19</v>
      </c>
      <c r="I9" s="135">
        <v>5.07</v>
      </c>
      <c r="J9" s="135">
        <v>0.18</v>
      </c>
      <c r="K9" s="135">
        <v>211.12</v>
      </c>
      <c r="L9" s="135">
        <v>42.78</v>
      </c>
      <c r="M9" s="135">
        <v>87.14</v>
      </c>
      <c r="N9" s="135">
        <v>0.30</v>
      </c>
      <c r="O9" s="135">
        <v>0</v>
      </c>
      <c r="P9" s="135">
        <v>2.98</v>
      </c>
      <c r="Q9" s="135">
        <v>4.5</v>
      </c>
      <c r="R9" s="194"/>
      <c r="S9" s="194"/>
      <c r="T9" s="194"/>
      <c r="U9" s="194"/>
    </row>
    <row r="10" spans="1:21" s="12" customFormat="1" ht="15">
      <c r="A10" s="207" t="s">
        <v>2070</v>
      </c>
      <c r="B10" s="135">
        <v>4.62</v>
      </c>
      <c r="C10" s="135">
        <v>11.29</v>
      </c>
      <c r="D10" s="135">
        <v>15.91</v>
      </c>
      <c r="E10" s="135">
        <v>5.15</v>
      </c>
      <c r="F10" s="135">
        <v>0.13</v>
      </c>
      <c r="G10" s="208" t="s">
        <v>36</v>
      </c>
      <c r="H10" s="135">
        <v>2.82</v>
      </c>
      <c r="I10" s="135">
        <v>4.87</v>
      </c>
      <c r="J10" s="135">
        <v>0.11</v>
      </c>
      <c r="K10" s="135">
        <v>223.12</v>
      </c>
      <c r="L10" s="135">
        <v>44.81</v>
      </c>
      <c r="M10" s="135">
        <v>87.54</v>
      </c>
      <c r="N10" s="135">
        <v>0.30</v>
      </c>
      <c r="O10" s="135">
        <v>0</v>
      </c>
      <c r="P10" s="135">
        <v>2.97</v>
      </c>
      <c r="Q10" s="135">
        <v>4.38</v>
      </c>
      <c r="R10" s="194"/>
      <c r="S10" s="194"/>
      <c r="T10" s="194"/>
      <c r="U10" s="194"/>
    </row>
    <row r="11" spans="1:21" s="12" customFormat="1" ht="15">
      <c r="A11" s="207" t="s">
        <v>2071</v>
      </c>
      <c r="B11" s="135">
        <v>4.1399999999999997</v>
      </c>
      <c r="C11" s="135">
        <v>11.16</v>
      </c>
      <c r="D11" s="135">
        <v>15.30</v>
      </c>
      <c r="E11" s="135">
        <v>5.21</v>
      </c>
      <c r="F11" s="135">
        <v>0.25</v>
      </c>
      <c r="G11" s="208" t="s">
        <v>36</v>
      </c>
      <c r="H11" s="135">
        <v>2.82</v>
      </c>
      <c r="I11" s="135">
        <v>4.72</v>
      </c>
      <c r="J11" s="135">
        <v>0.06</v>
      </c>
      <c r="K11" s="135">
        <v>39.64</v>
      </c>
      <c r="L11" s="135">
        <v>43.37</v>
      </c>
      <c r="M11" s="135">
        <v>88.03</v>
      </c>
      <c r="N11" s="135">
        <v>0.40</v>
      </c>
      <c r="O11" s="135">
        <v>0</v>
      </c>
      <c r="P11" s="135">
        <v>2.95</v>
      </c>
      <c r="Q11" s="135">
        <v>4.2699999999999996</v>
      </c>
      <c r="R11" s="194"/>
      <c r="S11" s="194"/>
      <c r="T11" s="194"/>
      <c r="U11" s="194"/>
    </row>
    <row r="12" spans="1:21" s="12" customFormat="1" ht="15">
      <c r="A12" s="207" t="s">
        <v>2072</v>
      </c>
      <c r="B12" s="135">
        <v>3.68</v>
      </c>
      <c r="C12" s="135">
        <v>11.19</v>
      </c>
      <c r="D12" s="135">
        <v>14.87</v>
      </c>
      <c r="E12" s="135">
        <v>5.27</v>
      </c>
      <c r="F12" s="135">
        <v>0.35</v>
      </c>
      <c r="G12" s="208" t="s">
        <v>36</v>
      </c>
      <c r="H12" s="135">
        <v>2.82</v>
      </c>
      <c r="I12" s="135">
        <v>4.68</v>
      </c>
      <c r="J12" s="135">
        <v>0.10</v>
      </c>
      <c r="K12" s="135">
        <v>217.63</v>
      </c>
      <c r="L12" s="135">
        <v>42.37</v>
      </c>
      <c r="M12" s="135">
        <v>88.75</v>
      </c>
      <c r="N12" s="135">
        <v>0.40</v>
      </c>
      <c r="O12" s="135">
        <v>0</v>
      </c>
      <c r="P12" s="135">
        <v>2.93</v>
      </c>
      <c r="Q12" s="135">
        <v>4.18</v>
      </c>
      <c r="R12" s="194"/>
      <c r="S12" s="194"/>
      <c r="T12" s="194"/>
      <c r="U12" s="194"/>
    </row>
    <row r="13" spans="1:21" s="12" customFormat="1" ht="15">
      <c r="A13" s="207" t="s">
        <v>2073</v>
      </c>
      <c r="B13" s="135">
        <v>3.48</v>
      </c>
      <c r="C13" s="135">
        <v>10.94</v>
      </c>
      <c r="D13" s="135">
        <v>14.42</v>
      </c>
      <c r="E13" s="135">
        <v>5.24</v>
      </c>
      <c r="F13" s="135">
        <v>0.15</v>
      </c>
      <c r="G13" s="208" t="s">
        <v>36</v>
      </c>
      <c r="H13" s="135">
        <v>2.69</v>
      </c>
      <c r="I13" s="135">
        <v>4.5599999999999996</v>
      </c>
      <c r="J13" s="135">
        <v>0.05</v>
      </c>
      <c r="K13" s="135">
        <v>182.89</v>
      </c>
      <c r="L13" s="135">
        <v>43.5</v>
      </c>
      <c r="M13" s="135">
        <v>88.63</v>
      </c>
      <c r="N13" s="135">
        <v>0.20</v>
      </c>
      <c r="O13" s="135">
        <v>0</v>
      </c>
      <c r="P13" s="135">
        <v>2.92</v>
      </c>
      <c r="Q13" s="135">
        <v>4.1900000000000004</v>
      </c>
      <c r="R13" s="194"/>
      <c r="S13" s="194"/>
      <c r="T13" s="194"/>
      <c r="U13" s="194"/>
    </row>
    <row r="14" spans="1:21" s="12" customFormat="1" ht="15">
      <c r="A14" s="207" t="s">
        <v>2074</v>
      </c>
      <c r="B14" s="135">
        <v>3.30</v>
      </c>
      <c r="C14" s="135">
        <v>10.71</v>
      </c>
      <c r="D14" s="135">
        <v>14.01</v>
      </c>
      <c r="E14" s="135">
        <v>5.16</v>
      </c>
      <c r="F14" s="135">
        <v>0.01</v>
      </c>
      <c r="G14" s="208" t="s">
        <v>36</v>
      </c>
      <c r="H14" s="135">
        <v>2.36</v>
      </c>
      <c r="I14" s="135">
        <v>4.4400000000000004</v>
      </c>
      <c r="J14" s="135">
        <v>0.070000000000000007</v>
      </c>
      <c r="K14" s="135">
        <v>211.65</v>
      </c>
      <c r="L14" s="135">
        <v>44.51</v>
      </c>
      <c r="M14" s="135">
        <v>88.93</v>
      </c>
      <c r="N14" s="135">
        <v>0.30</v>
      </c>
      <c r="O14" s="135">
        <v>0</v>
      </c>
      <c r="P14" s="135">
        <v>2.90</v>
      </c>
      <c r="Q14" s="135">
        <v>4.16</v>
      </c>
      <c r="R14" s="194"/>
      <c r="S14" s="194"/>
      <c r="T14" s="194"/>
      <c r="U14" s="194"/>
    </row>
    <row r="15" spans="1:21" s="12" customFormat="1" ht="15">
      <c r="A15" s="207" t="s">
        <v>2075</v>
      </c>
      <c r="B15" s="135">
        <v>3.10</v>
      </c>
      <c r="C15" s="135">
        <v>10.36</v>
      </c>
      <c r="D15" s="135">
        <v>13.46</v>
      </c>
      <c r="E15" s="135">
        <v>5.30</v>
      </c>
      <c r="F15" s="135">
        <v>0.40</v>
      </c>
      <c r="G15" s="208" t="s">
        <v>36</v>
      </c>
      <c r="H15" s="135">
        <v>2.36</v>
      </c>
      <c r="I15" s="135">
        <v>4.29</v>
      </c>
      <c r="J15" s="135">
        <v>0.03</v>
      </c>
      <c r="K15" s="135">
        <v>88.98</v>
      </c>
      <c r="L15" s="135">
        <v>45.15</v>
      </c>
      <c r="M15" s="135">
        <v>89.08</v>
      </c>
      <c r="N15" s="135">
        <v>0.30</v>
      </c>
      <c r="O15" s="135">
        <v>0</v>
      </c>
      <c r="P15" s="135">
        <v>2.88</v>
      </c>
      <c r="Q15" s="135">
        <v>4.03</v>
      </c>
      <c r="R15" s="194"/>
      <c r="S15" s="194"/>
      <c r="T15" s="194"/>
      <c r="U15" s="194"/>
    </row>
    <row r="16" spans="1:21" s="12" customFormat="1" ht="15">
      <c r="A16" s="207" t="s">
        <v>2076</v>
      </c>
      <c r="B16" s="135">
        <v>2.78</v>
      </c>
      <c r="C16" s="135">
        <v>9.85</v>
      </c>
      <c r="D16" s="135">
        <v>12.63</v>
      </c>
      <c r="E16" s="135">
        <v>5.47</v>
      </c>
      <c r="F16" s="135">
        <v>0.59</v>
      </c>
      <c r="G16" s="208" t="s">
        <v>36</v>
      </c>
      <c r="H16" s="135">
        <v>2.36</v>
      </c>
      <c r="I16" s="135">
        <v>4.30</v>
      </c>
      <c r="J16" s="135">
        <v>0.070000000000000007</v>
      </c>
      <c r="K16" s="135">
        <v>229.68</v>
      </c>
      <c r="L16" s="135">
        <v>43.5</v>
      </c>
      <c r="M16" s="135">
        <v>89.47</v>
      </c>
      <c r="N16" s="135">
        <v>0.30</v>
      </c>
      <c r="O16" s="135">
        <v>0</v>
      </c>
      <c r="P16" s="135">
        <v>2.87</v>
      </c>
      <c r="Q16" s="135">
        <v>3.84</v>
      </c>
      <c r="R16" s="194"/>
      <c r="S16" s="194"/>
      <c r="T16" s="194"/>
      <c r="U16" s="194"/>
    </row>
    <row r="17" spans="1:21" s="12" customFormat="1" ht="15">
      <c r="A17" s="207" t="s">
        <v>2077</v>
      </c>
      <c r="B17" s="135">
        <v>2.5099999999999998</v>
      </c>
      <c r="C17" s="135">
        <v>9.5399999999999991</v>
      </c>
      <c r="D17" s="135">
        <v>12.05</v>
      </c>
      <c r="E17" s="135">
        <v>4.91</v>
      </c>
      <c r="F17" s="135">
        <v>0.41</v>
      </c>
      <c r="G17" s="208" t="s">
        <v>36</v>
      </c>
      <c r="H17" s="135">
        <v>2.2400000000000002</v>
      </c>
      <c r="I17" s="135">
        <v>4.1900000000000004</v>
      </c>
      <c r="J17" s="135">
        <v>0.19</v>
      </c>
      <c r="K17" s="135">
        <v>228.53</v>
      </c>
      <c r="L17" s="135">
        <v>45.67</v>
      </c>
      <c r="M17" s="135">
        <v>89.76</v>
      </c>
      <c r="N17" s="135">
        <v>0.30</v>
      </c>
      <c r="O17" s="135">
        <v>0</v>
      </c>
      <c r="P17" s="135">
        <v>2.86</v>
      </c>
      <c r="Q17" s="135">
        <v>3.71</v>
      </c>
      <c r="R17" s="194"/>
      <c r="S17" s="194"/>
      <c r="T17" s="194"/>
      <c r="U17" s="194"/>
    </row>
    <row r="18" spans="1:21" s="12" customFormat="1" ht="15">
      <c r="A18" s="207" t="s">
        <v>2078</v>
      </c>
      <c r="B18" s="135">
        <v>2.2599999999999998</v>
      </c>
      <c r="C18" s="135">
        <v>9.34</v>
      </c>
      <c r="D18" s="135">
        <v>11.60</v>
      </c>
      <c r="E18" s="135">
        <v>5.24</v>
      </c>
      <c r="F18" s="135">
        <v>0.20</v>
      </c>
      <c r="G18" s="208" t="s">
        <v>36</v>
      </c>
      <c r="H18" s="135">
        <v>1.95</v>
      </c>
      <c r="I18" s="135">
        <v>4.05</v>
      </c>
      <c r="J18" s="135">
        <v>0.08</v>
      </c>
      <c r="K18" s="135">
        <v>242.49</v>
      </c>
      <c r="L18" s="135">
        <v>46.63</v>
      </c>
      <c r="M18" s="135">
        <v>90.30</v>
      </c>
      <c r="N18" s="135">
        <v>0.30</v>
      </c>
      <c r="O18" s="135">
        <v>0</v>
      </c>
      <c r="P18" s="135">
        <v>2.84</v>
      </c>
      <c r="Q18" s="135">
        <v>3.52</v>
      </c>
      <c r="R18" s="194"/>
      <c r="S18" s="194"/>
      <c r="T18" s="194"/>
      <c r="U18" s="194"/>
    </row>
    <row r="19" spans="1:21" s="12" customFormat="1" ht="15">
      <c r="A19" s="207" t="s">
        <v>2079</v>
      </c>
      <c r="B19" s="135">
        <v>2.02</v>
      </c>
      <c r="C19" s="135">
        <v>9.17</v>
      </c>
      <c r="D19" s="135">
        <v>11.19</v>
      </c>
      <c r="E19" s="135">
        <v>5.25</v>
      </c>
      <c r="F19" s="135">
        <v>0.26</v>
      </c>
      <c r="G19" s="208" t="s">
        <v>36</v>
      </c>
      <c r="H19" s="135">
        <v>1.95</v>
      </c>
      <c r="I19" s="135">
        <v>3.96</v>
      </c>
      <c r="J19" s="135">
        <v>0.17</v>
      </c>
      <c r="K19" s="135">
        <v>224.24</v>
      </c>
      <c r="L19" s="135">
        <v>45.17</v>
      </c>
      <c r="M19" s="135">
        <v>90.62</v>
      </c>
      <c r="N19" s="135">
        <v>0.20</v>
      </c>
      <c r="O19" s="135">
        <v>0</v>
      </c>
      <c r="P19" s="135">
        <v>2.82</v>
      </c>
      <c r="Q19" s="135">
        <v>3.33</v>
      </c>
      <c r="R19" s="194"/>
      <c r="S19" s="194"/>
      <c r="T19" s="194"/>
      <c r="U19" s="194"/>
    </row>
    <row r="20" spans="1:21" s="12" customFormat="1" ht="15">
      <c r="A20" s="207" t="s">
        <v>2080</v>
      </c>
      <c r="B20" s="135">
        <v>1.82</v>
      </c>
      <c r="C20" s="135">
        <v>8.98</v>
      </c>
      <c r="D20" s="135">
        <v>10.80</v>
      </c>
      <c r="E20" s="135">
        <v>5.28</v>
      </c>
      <c r="F20" s="135">
        <v>0.49</v>
      </c>
      <c r="G20" s="208" t="s">
        <v>36</v>
      </c>
      <c r="H20" s="135">
        <v>1.95</v>
      </c>
      <c r="I20" s="135">
        <v>3.87</v>
      </c>
      <c r="J20" s="135">
        <v>0.20</v>
      </c>
      <c r="K20" s="135">
        <v>234.35</v>
      </c>
      <c r="L20" s="135">
        <v>44.32</v>
      </c>
      <c r="M20" s="135">
        <v>89.83</v>
      </c>
      <c r="N20" s="208" t="s">
        <v>36</v>
      </c>
      <c r="O20" s="135">
        <v>0</v>
      </c>
      <c r="P20" s="135">
        <v>2.81</v>
      </c>
      <c r="Q20" s="135">
        <v>3.13</v>
      </c>
      <c r="R20" s="194"/>
      <c r="S20" s="194"/>
      <c r="T20" s="194"/>
      <c r="U20" s="194"/>
    </row>
    <row r="21" spans="1:21" s="12" customFormat="1" ht="15">
      <c r="A21" s="207" t="s">
        <v>2081</v>
      </c>
      <c r="B21" s="135">
        <v>1.62</v>
      </c>
      <c r="C21" s="135">
        <v>8.83</v>
      </c>
      <c r="D21" s="135">
        <v>10.45</v>
      </c>
      <c r="E21" s="135">
        <v>5.01</v>
      </c>
      <c r="F21" s="135">
        <v>0.21</v>
      </c>
      <c r="G21" s="208" t="s">
        <v>36</v>
      </c>
      <c r="H21" s="135">
        <v>2.4500000000000002</v>
      </c>
      <c r="I21" s="135">
        <v>3.75</v>
      </c>
      <c r="J21" s="135">
        <v>0.19</v>
      </c>
      <c r="K21" s="135">
        <v>231.17</v>
      </c>
      <c r="L21" s="135">
        <v>44.04</v>
      </c>
      <c r="M21" s="135">
        <v>89.49</v>
      </c>
      <c r="N21" s="135">
        <v>0.10</v>
      </c>
      <c r="O21" s="135">
        <v>0</v>
      </c>
      <c r="P21" s="135">
        <v>2.79</v>
      </c>
      <c r="Q21" s="135">
        <v>3</v>
      </c>
      <c r="R21" s="194"/>
      <c r="S21" s="194"/>
      <c r="T21" s="194"/>
      <c r="U21" s="194"/>
    </row>
    <row r="22" spans="1:21" s="12" customFormat="1" ht="15">
      <c r="A22" s="207" t="s">
        <v>2082</v>
      </c>
      <c r="B22" s="135">
        <v>1.42</v>
      </c>
      <c r="C22" s="135">
        <v>8.91</v>
      </c>
      <c r="D22" s="135">
        <v>10.33</v>
      </c>
      <c r="E22" s="135">
        <v>4.8099999999999996</v>
      </c>
      <c r="F22" s="135">
        <v>0.23</v>
      </c>
      <c r="G22" s="208" t="s">
        <v>36</v>
      </c>
      <c r="H22" s="135">
        <v>3.67</v>
      </c>
      <c r="I22" s="135">
        <v>3.64</v>
      </c>
      <c r="J22" s="135">
        <v>0.08</v>
      </c>
      <c r="K22" s="135">
        <v>260.79000000000002</v>
      </c>
      <c r="L22" s="135">
        <v>43.67</v>
      </c>
      <c r="M22" s="135">
        <v>90.13</v>
      </c>
      <c r="N22" s="135">
        <v>0.40</v>
      </c>
      <c r="O22" s="135">
        <v>0</v>
      </c>
      <c r="P22" s="135">
        <v>2.77</v>
      </c>
      <c r="Q22" s="135">
        <v>2.96</v>
      </c>
      <c r="R22" s="194"/>
      <c r="S22" s="194"/>
      <c r="T22" s="194"/>
      <c r="U22" s="194"/>
    </row>
    <row r="23" spans="1:21" s="12" customFormat="1" ht="15">
      <c r="A23" s="207" t="s">
        <v>2083</v>
      </c>
      <c r="B23" s="135">
        <v>1.29</v>
      </c>
      <c r="C23" s="135">
        <v>8.93</v>
      </c>
      <c r="D23" s="135">
        <v>10.23</v>
      </c>
      <c r="E23" s="135">
        <v>5.07</v>
      </c>
      <c r="F23" s="135">
        <v>0.34</v>
      </c>
      <c r="G23" s="208" t="s">
        <v>36</v>
      </c>
      <c r="H23" s="135">
        <v>3.67</v>
      </c>
      <c r="I23" s="135">
        <v>3.52</v>
      </c>
      <c r="J23" s="135">
        <v>0.17</v>
      </c>
      <c r="K23" s="135">
        <v>230.01</v>
      </c>
      <c r="L23" s="135">
        <v>44.61</v>
      </c>
      <c r="M23" s="135">
        <v>91.16</v>
      </c>
      <c r="N23" s="135">
        <v>0.5</v>
      </c>
      <c r="O23" s="135">
        <v>0</v>
      </c>
      <c r="P23" s="135">
        <v>2.77</v>
      </c>
      <c r="Q23" s="135">
        <v>2.91</v>
      </c>
      <c r="R23" s="194"/>
      <c r="S23" s="194"/>
      <c r="T23" s="194"/>
      <c r="U23" s="194"/>
    </row>
    <row r="24" spans="1:21" s="12" customFormat="1" ht="15">
      <c r="A24" s="207" t="s">
        <v>2084</v>
      </c>
      <c r="B24" s="135">
        <v>1.33</v>
      </c>
      <c r="C24" s="135">
        <v>8.82</v>
      </c>
      <c r="D24" s="135">
        <v>10.15</v>
      </c>
      <c r="E24" s="135">
        <v>2.48</v>
      </c>
      <c r="F24" s="135">
        <v>0.30</v>
      </c>
      <c r="G24" s="208" t="s">
        <v>36</v>
      </c>
      <c r="H24" s="135">
        <v>3.67</v>
      </c>
      <c r="I24" s="135">
        <v>3.40</v>
      </c>
      <c r="J24" s="135">
        <v>0.17</v>
      </c>
      <c r="K24" s="135">
        <v>232.97</v>
      </c>
      <c r="L24" s="135">
        <v>45.21</v>
      </c>
      <c r="M24" s="135">
        <v>92.25</v>
      </c>
      <c r="N24" s="135">
        <v>0.20</v>
      </c>
      <c r="O24" s="135">
        <v>0</v>
      </c>
      <c r="P24" s="135">
        <v>2.76</v>
      </c>
      <c r="Q24" s="135">
        <v>2.83</v>
      </c>
      <c r="R24" s="194"/>
      <c r="S24" s="194"/>
      <c r="T24" s="194"/>
      <c r="U24" s="194"/>
    </row>
    <row r="25" spans="1:21" s="12" customFormat="1" ht="15">
      <c r="A25" s="207" t="s">
        <v>2085</v>
      </c>
      <c r="B25" s="135">
        <v>1.42</v>
      </c>
      <c r="C25" s="135">
        <v>8.84</v>
      </c>
      <c r="D25" s="135">
        <v>10.26</v>
      </c>
      <c r="E25" s="135">
        <v>5.40</v>
      </c>
      <c r="F25" s="135">
        <v>0.15</v>
      </c>
      <c r="G25" s="208" t="s">
        <v>36</v>
      </c>
      <c r="H25" s="135">
        <v>3.58</v>
      </c>
      <c r="I25" s="135">
        <v>3.34</v>
      </c>
      <c r="J25" s="135">
        <v>0.16</v>
      </c>
      <c r="K25" s="135">
        <v>224.85</v>
      </c>
      <c r="L25" s="135">
        <v>45.37</v>
      </c>
      <c r="M25" s="135">
        <v>92.69</v>
      </c>
      <c r="N25" s="208" t="s">
        <v>36</v>
      </c>
      <c r="O25" s="135">
        <v>0</v>
      </c>
      <c r="P25" s="135">
        <v>2.75</v>
      </c>
      <c r="Q25" s="135">
        <v>2.93</v>
      </c>
      <c r="R25" s="194"/>
      <c r="S25" s="194"/>
      <c r="T25" s="194"/>
      <c r="U25" s="194"/>
    </row>
    <row r="26" spans="1:21" s="12" customFormat="1" ht="15">
      <c r="A26" s="207" t="s">
        <v>2086</v>
      </c>
      <c r="B26" s="135">
        <v>1.51</v>
      </c>
      <c r="C26" s="135">
        <v>8.98</v>
      </c>
      <c r="D26" s="135">
        <v>10.49</v>
      </c>
      <c r="E26" s="135">
        <v>5.76</v>
      </c>
      <c r="F26" s="135">
        <v>0.22</v>
      </c>
      <c r="G26" s="208" t="s">
        <v>36</v>
      </c>
      <c r="H26" s="135">
        <v>3.34</v>
      </c>
      <c r="I26" s="135">
        <v>3.30</v>
      </c>
      <c r="J26" s="135">
        <v>0.08</v>
      </c>
      <c r="K26" s="135">
        <v>242.38</v>
      </c>
      <c r="L26" s="135">
        <v>47.07</v>
      </c>
      <c r="M26" s="135">
        <v>93.23</v>
      </c>
      <c r="N26" s="208" t="s">
        <v>36</v>
      </c>
      <c r="O26" s="135">
        <v>0</v>
      </c>
      <c r="P26" s="135">
        <v>2.75</v>
      </c>
      <c r="Q26" s="135">
        <v>3.02</v>
      </c>
      <c r="R26" s="194"/>
      <c r="S26" s="194"/>
      <c r="T26" s="194"/>
      <c r="U26" s="194"/>
    </row>
    <row r="27" spans="1:21" s="12" customFormat="1" ht="15">
      <c r="A27" s="207" t="s">
        <v>2087</v>
      </c>
      <c r="B27" s="135">
        <v>1.53</v>
      </c>
      <c r="C27" s="135">
        <v>9.0500000000000007</v>
      </c>
      <c r="D27" s="135">
        <v>10.58</v>
      </c>
      <c r="E27" s="135">
        <v>5.40</v>
      </c>
      <c r="F27" s="135">
        <v>0.25</v>
      </c>
      <c r="G27" s="208" t="s">
        <v>36</v>
      </c>
      <c r="H27" s="135">
        <v>3.34</v>
      </c>
      <c r="I27" s="135">
        <v>3.28</v>
      </c>
      <c r="J27" s="135">
        <v>0.04</v>
      </c>
      <c r="K27" s="135">
        <v>235.48</v>
      </c>
      <c r="L27" s="135">
        <v>45.86</v>
      </c>
      <c r="M27" s="135">
        <v>93.05</v>
      </c>
      <c r="N27" s="208" t="s">
        <v>36</v>
      </c>
      <c r="O27" s="135">
        <v>0</v>
      </c>
      <c r="P27" s="135">
        <v>2.75</v>
      </c>
      <c r="Q27" s="135">
        <v>3</v>
      </c>
      <c r="R27" s="194"/>
      <c r="S27" s="194"/>
      <c r="T27" s="194"/>
      <c r="U27" s="194"/>
    </row>
    <row r="28" spans="1:21" s="12" customFormat="1" ht="15">
      <c r="A28" s="207" t="s">
        <v>2088</v>
      </c>
      <c r="B28" s="135">
        <v>1.58</v>
      </c>
      <c r="C28" s="135">
        <v>9.11</v>
      </c>
      <c r="D28" s="135">
        <v>10.68</v>
      </c>
      <c r="E28" s="135">
        <v>5.88</v>
      </c>
      <c r="F28" s="135">
        <v>0.19</v>
      </c>
      <c r="G28" s="208" t="s">
        <v>36</v>
      </c>
      <c r="H28" s="135">
        <v>3.34</v>
      </c>
      <c r="I28" s="135">
        <v>3.24</v>
      </c>
      <c r="J28" s="135">
        <v>0.070000000000000007</v>
      </c>
      <c r="K28" s="135">
        <v>245.37</v>
      </c>
      <c r="L28" s="135">
        <v>47.65</v>
      </c>
      <c r="M28" s="135">
        <v>92.64</v>
      </c>
      <c r="N28" s="135">
        <v>0.10</v>
      </c>
      <c r="O28" s="135">
        <v>0</v>
      </c>
      <c r="P28" s="135">
        <v>2.75</v>
      </c>
      <c r="Q28" s="135">
        <v>3.08</v>
      </c>
      <c r="R28" s="194"/>
      <c r="S28" s="194"/>
      <c r="T28" s="194"/>
      <c r="U28" s="194"/>
    </row>
    <row r="29" spans="1:21" s="12" customFormat="1" ht="15">
      <c r="A29" s="207" t="s">
        <v>2089</v>
      </c>
      <c r="B29" s="135">
        <v>1.62</v>
      </c>
      <c r="C29" s="135">
        <v>9.25</v>
      </c>
      <c r="D29" s="135">
        <v>10.87</v>
      </c>
      <c r="E29" s="135">
        <v>5.66</v>
      </c>
      <c r="F29" s="135">
        <v>0.18</v>
      </c>
      <c r="G29" s="208" t="s">
        <v>36</v>
      </c>
      <c r="H29" s="135">
        <v>4.32</v>
      </c>
      <c r="I29" s="135">
        <v>3.22</v>
      </c>
      <c r="J29" s="135">
        <v>0.10</v>
      </c>
      <c r="K29" s="135">
        <v>302.72000000000003</v>
      </c>
      <c r="L29" s="135">
        <v>49.02</v>
      </c>
      <c r="M29" s="135">
        <v>92.22</v>
      </c>
      <c r="N29" s="135">
        <v>0.30</v>
      </c>
      <c r="O29" s="135">
        <v>0</v>
      </c>
      <c r="P29" s="135">
        <v>2.74</v>
      </c>
      <c r="Q29" s="135">
        <v>3.13</v>
      </c>
      <c r="R29" s="194"/>
      <c r="S29" s="194"/>
      <c r="T29" s="194"/>
      <c r="U29" s="194"/>
    </row>
    <row r="30" spans="1:21" s="12" customFormat="1" ht="15">
      <c r="A30" s="207" t="s">
        <v>2090</v>
      </c>
      <c r="B30" s="135">
        <v>1.65</v>
      </c>
      <c r="C30" s="135">
        <v>8.9499999999999993</v>
      </c>
      <c r="D30" s="135">
        <v>10.60</v>
      </c>
      <c r="E30" s="135">
        <v>5.59</v>
      </c>
      <c r="F30" s="135">
        <v>0.47</v>
      </c>
      <c r="G30" s="208" t="s">
        <v>36</v>
      </c>
      <c r="H30" s="135">
        <v>6.85</v>
      </c>
      <c r="I30" s="135">
        <v>3.18</v>
      </c>
      <c r="J30" s="135">
        <v>0.070000000000000007</v>
      </c>
      <c r="K30" s="135">
        <v>245.62</v>
      </c>
      <c r="L30" s="135">
        <v>50.72</v>
      </c>
      <c r="M30" s="135">
        <v>91.91</v>
      </c>
      <c r="N30" s="135">
        <v>1.70</v>
      </c>
      <c r="O30" s="135">
        <v>0</v>
      </c>
      <c r="P30" s="135">
        <v>2.71</v>
      </c>
      <c r="Q30" s="135">
        <v>2.93</v>
      </c>
      <c r="R30" s="194"/>
      <c r="S30" s="194"/>
      <c r="T30" s="194"/>
      <c r="U30" s="194"/>
    </row>
    <row r="31" spans="1:21" s="12" customFormat="1" ht="15">
      <c r="A31" s="207" t="s">
        <v>2091</v>
      </c>
      <c r="B31" s="135">
        <v>1.64</v>
      </c>
      <c r="C31" s="135">
        <v>8.85</v>
      </c>
      <c r="D31" s="135">
        <v>10.48</v>
      </c>
      <c r="E31" s="135">
        <v>5.20</v>
      </c>
      <c r="F31" s="135">
        <v>0.31</v>
      </c>
      <c r="G31" s="208" t="s">
        <v>36</v>
      </c>
      <c r="H31" s="135">
        <v>6.85</v>
      </c>
      <c r="I31" s="135">
        <v>3.12</v>
      </c>
      <c r="J31" s="135">
        <v>0.10</v>
      </c>
      <c r="K31" s="135">
        <v>239.89</v>
      </c>
      <c r="L31" s="135">
        <v>42.74</v>
      </c>
      <c r="M31" s="135">
        <v>91.89</v>
      </c>
      <c r="N31" s="135">
        <v>6.5</v>
      </c>
      <c r="O31" s="135">
        <v>0</v>
      </c>
      <c r="P31" s="135">
        <v>2.71</v>
      </c>
      <c r="Q31" s="135">
        <v>2.85</v>
      </c>
      <c r="R31" s="194"/>
      <c r="S31" s="194"/>
      <c r="T31" s="194"/>
      <c r="U31" s="194"/>
    </row>
    <row r="32" spans="1:21" s="12" customFormat="1" ht="15">
      <c r="A32" s="207" t="s">
        <v>2092</v>
      </c>
      <c r="B32" s="135">
        <v>1.82</v>
      </c>
      <c r="C32" s="135">
        <v>9.0299999999999994</v>
      </c>
      <c r="D32" s="135">
        <v>10.85</v>
      </c>
      <c r="E32" s="135">
        <v>5.33</v>
      </c>
      <c r="F32" s="135">
        <v>0.15</v>
      </c>
      <c r="G32" s="208" t="s">
        <v>36</v>
      </c>
      <c r="H32" s="135">
        <v>6.85</v>
      </c>
      <c r="I32" s="135">
        <v>3.04</v>
      </c>
      <c r="J32" s="135">
        <v>0.01</v>
      </c>
      <c r="K32" s="135">
        <v>274.88</v>
      </c>
      <c r="L32" s="135">
        <v>42.16</v>
      </c>
      <c r="M32" s="135">
        <v>91.78</v>
      </c>
      <c r="N32" s="135">
        <v>19.20</v>
      </c>
      <c r="O32" s="135">
        <v>0</v>
      </c>
      <c r="P32" s="135">
        <v>2.71</v>
      </c>
      <c r="Q32" s="135">
        <v>2.91</v>
      </c>
      <c r="R32" s="194"/>
      <c r="S32" s="194"/>
      <c r="T32" s="194"/>
      <c r="U32" s="194"/>
    </row>
    <row r="33" spans="1:21" s="12" customFormat="1" ht="15">
      <c r="A33" s="207" t="s">
        <v>2093</v>
      </c>
      <c r="B33" s="135">
        <v>2.3199999999999998</v>
      </c>
      <c r="C33" s="135">
        <v>9.51</v>
      </c>
      <c r="D33" s="135">
        <v>11.83</v>
      </c>
      <c r="E33" s="135">
        <v>4.84</v>
      </c>
      <c r="F33" s="135">
        <v>0.17</v>
      </c>
      <c r="G33" s="208" t="s">
        <v>36</v>
      </c>
      <c r="H33" s="135">
        <v>6.24</v>
      </c>
      <c r="I33" s="135">
        <v>2.96</v>
      </c>
      <c r="J33" s="135">
        <v>0.03</v>
      </c>
      <c r="K33" s="135">
        <v>348.11</v>
      </c>
      <c r="L33" s="135">
        <v>41.72</v>
      </c>
      <c r="M33" s="135">
        <v>91.62</v>
      </c>
      <c r="N33" s="135">
        <v>37</v>
      </c>
      <c r="O33" s="135">
        <v>0</v>
      </c>
      <c r="P33" s="135">
        <v>2.73</v>
      </c>
      <c r="Q33" s="135">
        <v>3.11</v>
      </c>
      <c r="R33" s="194"/>
      <c r="S33" s="194"/>
      <c r="T33" s="194"/>
      <c r="U33" s="194"/>
    </row>
    <row r="34" spans="1:21" s="12" customFormat="1" ht="15">
      <c r="A34" s="207" t="s">
        <v>2094</v>
      </c>
      <c r="B34" s="135">
        <v>2.80</v>
      </c>
      <c r="C34" s="135">
        <v>9.77</v>
      </c>
      <c r="D34" s="135">
        <v>12.57</v>
      </c>
      <c r="E34" s="135">
        <v>5.36</v>
      </c>
      <c r="F34" s="135">
        <v>0.39</v>
      </c>
      <c r="G34" s="208" t="s">
        <v>36</v>
      </c>
      <c r="H34" s="135">
        <v>4.7300000000000004</v>
      </c>
      <c r="I34" s="135">
        <v>2.99</v>
      </c>
      <c r="J34" s="135">
        <v>0.08</v>
      </c>
      <c r="K34" s="135">
        <v>242.13</v>
      </c>
      <c r="L34" s="135">
        <v>41.87</v>
      </c>
      <c r="M34" s="135">
        <v>91.23</v>
      </c>
      <c r="N34" s="135">
        <v>42.40</v>
      </c>
      <c r="O34" s="135">
        <v>0</v>
      </c>
      <c r="P34" s="135">
        <v>2.73</v>
      </c>
      <c r="Q34" s="135">
        <v>3.18</v>
      </c>
      <c r="R34" s="194"/>
      <c r="S34" s="194"/>
      <c r="T34" s="194"/>
      <c r="U34" s="194"/>
    </row>
    <row r="35" spans="1:21" s="12" customFormat="1" ht="15">
      <c r="A35" s="207" t="s">
        <v>2095</v>
      </c>
      <c r="B35" s="135">
        <v>3.11</v>
      </c>
      <c r="C35" s="135">
        <v>10</v>
      </c>
      <c r="D35" s="135">
        <v>13.11</v>
      </c>
      <c r="E35" s="135">
        <v>5.27</v>
      </c>
      <c r="F35" s="135">
        <v>0.5</v>
      </c>
      <c r="G35" s="208" t="s">
        <v>36</v>
      </c>
      <c r="H35" s="135">
        <v>4.7300000000000004</v>
      </c>
      <c r="I35" s="135">
        <v>3.03</v>
      </c>
      <c r="J35" s="135">
        <v>0.070000000000000007</v>
      </c>
      <c r="K35" s="135">
        <v>243.94</v>
      </c>
      <c r="L35" s="135">
        <v>40.54</v>
      </c>
      <c r="M35" s="135">
        <v>90.94</v>
      </c>
      <c r="N35" s="135">
        <v>35.799999999999997</v>
      </c>
      <c r="O35" s="135">
        <v>0</v>
      </c>
      <c r="P35" s="135">
        <v>2.73</v>
      </c>
      <c r="Q35" s="135">
        <v>3.32</v>
      </c>
      <c r="R35" s="194"/>
      <c r="S35" s="194"/>
      <c r="T35" s="194"/>
      <c r="U35" s="194"/>
    </row>
    <row r="36" spans="1:21" s="12" customFormat="1" ht="15">
      <c r="A36" s="207" t="s">
        <v>2096</v>
      </c>
      <c r="B36" s="135">
        <v>3.22</v>
      </c>
      <c r="C36" s="135">
        <v>10.199999999999999</v>
      </c>
      <c r="D36" s="135">
        <v>13.43</v>
      </c>
      <c r="E36" s="135">
        <v>5.24</v>
      </c>
      <c r="F36" s="135">
        <v>0.22</v>
      </c>
      <c r="G36" s="208" t="s">
        <v>36</v>
      </c>
      <c r="H36" s="135">
        <v>4.7300000000000004</v>
      </c>
      <c r="I36" s="135">
        <v>3.14</v>
      </c>
      <c r="J36" s="135">
        <v>0.05</v>
      </c>
      <c r="K36" s="135">
        <v>256.89</v>
      </c>
      <c r="L36" s="135">
        <v>39.119999999999997</v>
      </c>
      <c r="M36" s="135">
        <v>90.46</v>
      </c>
      <c r="N36" s="135">
        <v>35.40</v>
      </c>
      <c r="O36" s="135">
        <v>0</v>
      </c>
      <c r="P36" s="135">
        <v>2.74</v>
      </c>
      <c r="Q36" s="135">
        <v>3.34</v>
      </c>
      <c r="R36" s="194"/>
      <c r="S36" s="194"/>
      <c r="T36" s="194"/>
      <c r="U36" s="194"/>
    </row>
    <row r="37" spans="1:21" s="12" customFormat="1" ht="15">
      <c r="A37" s="207" t="s">
        <v>2097</v>
      </c>
      <c r="B37" s="135">
        <v>3.56</v>
      </c>
      <c r="C37" s="135">
        <v>10.68</v>
      </c>
      <c r="D37" s="135">
        <v>14.24</v>
      </c>
      <c r="E37" s="135">
        <v>5.05</v>
      </c>
      <c r="F37" s="135">
        <v>0.13</v>
      </c>
      <c r="G37" s="208" t="s">
        <v>36</v>
      </c>
      <c r="H37" s="135">
        <v>4.6100000000000003</v>
      </c>
      <c r="I37" s="135">
        <v>3.15</v>
      </c>
      <c r="J37" s="135">
        <v>0.08</v>
      </c>
      <c r="K37" s="135">
        <v>260.18</v>
      </c>
      <c r="L37" s="135">
        <v>38.909999999999997</v>
      </c>
      <c r="M37" s="135">
        <v>90.14</v>
      </c>
      <c r="N37" s="135">
        <v>36.299999999999997</v>
      </c>
      <c r="O37" s="135">
        <v>0</v>
      </c>
      <c r="P37" s="135">
        <v>2.75</v>
      </c>
      <c r="Q37" s="135">
        <v>3.61</v>
      </c>
      <c r="R37" s="194"/>
      <c r="S37" s="194"/>
      <c r="T37" s="194"/>
      <c r="U37" s="194"/>
    </row>
    <row r="38" spans="1:21" s="12" customFormat="1" ht="15">
      <c r="A38" s="207" t="s">
        <v>2098</v>
      </c>
      <c r="B38" s="135">
        <v>3.92</v>
      </c>
      <c r="C38" s="135">
        <v>10.92</v>
      </c>
      <c r="D38" s="135">
        <v>14.83</v>
      </c>
      <c r="E38" s="135">
        <v>5.47</v>
      </c>
      <c r="F38" s="135">
        <v>0.01</v>
      </c>
      <c r="G38" s="208" t="s">
        <v>36</v>
      </c>
      <c r="H38" s="135">
        <v>4.32</v>
      </c>
      <c r="I38" s="135">
        <v>3.21</v>
      </c>
      <c r="J38" s="135">
        <v>0.08</v>
      </c>
      <c r="K38" s="135">
        <v>234.29</v>
      </c>
      <c r="L38" s="135">
        <v>38.53</v>
      </c>
      <c r="M38" s="135">
        <v>89.59</v>
      </c>
      <c r="N38" s="135">
        <v>36.40</v>
      </c>
      <c r="O38" s="135">
        <v>0</v>
      </c>
      <c r="P38" s="135">
        <v>2.76</v>
      </c>
      <c r="Q38" s="135">
        <v>3.75</v>
      </c>
      <c r="R38" s="194"/>
      <c r="S38" s="194"/>
      <c r="T38" s="194"/>
      <c r="U38" s="194"/>
    </row>
    <row r="39" spans="1:21" s="12" customFormat="1" ht="15">
      <c r="A39" s="207" t="s">
        <v>2099</v>
      </c>
      <c r="B39" s="135">
        <v>4.29</v>
      </c>
      <c r="C39" s="135">
        <v>11.10</v>
      </c>
      <c r="D39" s="135">
        <v>15.39</v>
      </c>
      <c r="E39" s="135">
        <v>5.17</v>
      </c>
      <c r="F39" s="135">
        <v>0.14000000000000001</v>
      </c>
      <c r="G39" s="208" t="s">
        <v>36</v>
      </c>
      <c r="H39" s="135">
        <v>4.32</v>
      </c>
      <c r="I39" s="135">
        <v>3.27</v>
      </c>
      <c r="J39" s="135">
        <v>0.02</v>
      </c>
      <c r="K39" s="135">
        <v>51.82</v>
      </c>
      <c r="L39" s="135">
        <v>39.380000000000003</v>
      </c>
      <c r="M39" s="135">
        <v>89.49</v>
      </c>
      <c r="N39" s="135">
        <v>42.90</v>
      </c>
      <c r="O39" s="135">
        <v>0</v>
      </c>
      <c r="P39" s="135">
        <v>2.77</v>
      </c>
      <c r="Q39" s="135">
        <v>3.88</v>
      </c>
      <c r="R39" s="194"/>
      <c r="S39" s="194"/>
      <c r="T39" s="194"/>
      <c r="U39" s="194"/>
    </row>
    <row r="40" spans="1:21" s="12" customFormat="1" ht="15">
      <c r="A40" s="207" t="s">
        <v>2100</v>
      </c>
      <c r="B40" s="135">
        <v>4.53</v>
      </c>
      <c r="C40" s="135">
        <v>11.31</v>
      </c>
      <c r="D40" s="135">
        <v>15.84</v>
      </c>
      <c r="E40" s="135">
        <v>2.69</v>
      </c>
      <c r="F40" s="135">
        <v>0.06</v>
      </c>
      <c r="G40" s="208" t="s">
        <v>36</v>
      </c>
      <c r="H40" s="135">
        <v>4.32</v>
      </c>
      <c r="I40" s="135">
        <v>3.33</v>
      </c>
      <c r="J40" s="135">
        <v>0.03</v>
      </c>
      <c r="K40" s="135">
        <v>332.74</v>
      </c>
      <c r="L40" s="135">
        <v>39.44</v>
      </c>
      <c r="M40" s="135">
        <v>89.39</v>
      </c>
      <c r="N40" s="135">
        <v>24.80</v>
      </c>
      <c r="O40" s="135">
        <v>0</v>
      </c>
      <c r="P40" s="135">
        <v>2.79</v>
      </c>
      <c r="Q40" s="135">
        <v>4.04</v>
      </c>
      <c r="R40" s="194"/>
      <c r="S40" s="194"/>
      <c r="T40" s="194"/>
      <c r="U40" s="194"/>
    </row>
    <row r="41" spans="1:21" s="12" customFormat="1" ht="15">
      <c r="A41" s="207" t="s">
        <v>2101</v>
      </c>
      <c r="B41" s="135">
        <v>4.8099999999999996</v>
      </c>
      <c r="C41" s="135">
        <v>11.60</v>
      </c>
      <c r="D41" s="135">
        <v>16.41</v>
      </c>
      <c r="E41" s="135">
        <v>5.08</v>
      </c>
      <c r="F41" s="135">
        <v>0.23</v>
      </c>
      <c r="G41" s="208" t="s">
        <v>36</v>
      </c>
      <c r="H41" s="135">
        <v>4.3899999999999997</v>
      </c>
      <c r="I41" s="135">
        <v>3.39</v>
      </c>
      <c r="J41" s="135">
        <v>0.06</v>
      </c>
      <c r="K41" s="135">
        <v>29.12</v>
      </c>
      <c r="L41" s="135">
        <v>39.43</v>
      </c>
      <c r="M41" s="135">
        <v>89.40</v>
      </c>
      <c r="N41" s="135">
        <v>28</v>
      </c>
      <c r="O41" s="135">
        <v>0</v>
      </c>
      <c r="P41" s="135">
        <v>2.80</v>
      </c>
      <c r="Q41" s="135">
        <v>4.1900000000000004</v>
      </c>
      <c r="R41" s="194"/>
      <c r="S41" s="194"/>
      <c r="T41" s="194"/>
      <c r="U41" s="194"/>
    </row>
    <row r="42" spans="1:21" s="12" customFormat="1" ht="15">
      <c r="A42" s="207" t="s">
        <v>2102</v>
      </c>
      <c r="B42" s="135">
        <v>5.42</v>
      </c>
      <c r="C42" s="135">
        <v>11.97</v>
      </c>
      <c r="D42" s="135">
        <v>17.39</v>
      </c>
      <c r="E42" s="135">
        <v>5.19</v>
      </c>
      <c r="F42" s="135">
        <v>0.26</v>
      </c>
      <c r="G42" s="208" t="s">
        <v>36</v>
      </c>
      <c r="H42" s="135">
        <v>4.54</v>
      </c>
      <c r="I42" s="135">
        <v>3.49</v>
      </c>
      <c r="J42" s="135">
        <v>0.10</v>
      </c>
      <c r="K42" s="135">
        <v>347.78</v>
      </c>
      <c r="L42" s="135">
        <v>39.21</v>
      </c>
      <c r="M42" s="135">
        <v>91.08</v>
      </c>
      <c r="N42" s="135">
        <v>34.5</v>
      </c>
      <c r="O42" s="135">
        <v>0</v>
      </c>
      <c r="P42" s="135">
        <v>2.81</v>
      </c>
      <c r="Q42" s="135">
        <v>4.42</v>
      </c>
      <c r="R42" s="194"/>
      <c r="S42" s="194"/>
      <c r="T42" s="194"/>
      <c r="U42" s="194"/>
    </row>
    <row r="43" spans="1:21" s="12" customFormat="1" ht="15">
      <c r="A43" s="207" t="s">
        <v>2103</v>
      </c>
      <c r="B43" s="135">
        <v>6.07</v>
      </c>
      <c r="C43" s="135">
        <v>12.12</v>
      </c>
      <c r="D43" s="135">
        <v>18.20</v>
      </c>
      <c r="E43" s="135">
        <v>4.75</v>
      </c>
      <c r="F43" s="135">
        <v>0.26</v>
      </c>
      <c r="G43" s="208" t="s">
        <v>36</v>
      </c>
      <c r="H43" s="135">
        <v>4.54</v>
      </c>
      <c r="I43" s="135">
        <v>3.5</v>
      </c>
      <c r="J43" s="135">
        <v>0.06</v>
      </c>
      <c r="K43" s="135">
        <v>238.32</v>
      </c>
      <c r="L43" s="135">
        <v>38.909999999999997</v>
      </c>
      <c r="M43" s="135">
        <v>93.47</v>
      </c>
      <c r="N43" s="135">
        <v>35</v>
      </c>
      <c r="O43" s="135">
        <v>0</v>
      </c>
      <c r="P43" s="135">
        <v>2.83</v>
      </c>
      <c r="Q43" s="135">
        <v>4.58</v>
      </c>
      <c r="R43" s="194"/>
      <c r="S43" s="194"/>
      <c r="T43" s="194"/>
      <c r="U43" s="194"/>
    </row>
    <row r="44" spans="1:21" s="12" customFormat="1" ht="15">
      <c r="A44" s="207" t="s">
        <v>2104</v>
      </c>
      <c r="B44" s="135">
        <v>6.36</v>
      </c>
      <c r="C44" s="135">
        <v>12.13</v>
      </c>
      <c r="D44" s="135">
        <v>18.5</v>
      </c>
      <c r="E44" s="135">
        <v>5.64</v>
      </c>
      <c r="F44" s="135">
        <v>0.15</v>
      </c>
      <c r="G44" s="208" t="s">
        <v>36</v>
      </c>
      <c r="H44" s="135">
        <v>4.54</v>
      </c>
      <c r="I44" s="135">
        <v>3.59</v>
      </c>
      <c r="J44" s="135">
        <v>0.06</v>
      </c>
      <c r="K44" s="135">
        <v>323.26</v>
      </c>
      <c r="L44" s="135">
        <v>41.35</v>
      </c>
      <c r="M44" s="135">
        <v>96.31</v>
      </c>
      <c r="N44" s="135">
        <v>37.5</v>
      </c>
      <c r="O44" s="135">
        <v>0</v>
      </c>
      <c r="P44" s="135">
        <v>2.82</v>
      </c>
      <c r="Q44" s="135">
        <v>4.6399999999999997</v>
      </c>
      <c r="R44" s="194"/>
      <c r="S44" s="194"/>
      <c r="T44" s="194"/>
      <c r="U44" s="194"/>
    </row>
    <row r="45" spans="1:21" s="12" customFormat="1" ht="15">
      <c r="A45" s="207" t="s">
        <v>2105</v>
      </c>
      <c r="B45" s="135">
        <v>6.65</v>
      </c>
      <c r="C45" s="135">
        <v>12.10</v>
      </c>
      <c r="D45" s="135">
        <v>18.75</v>
      </c>
      <c r="E45" s="135">
        <v>5.08</v>
      </c>
      <c r="F45" s="135">
        <v>0.14000000000000001</v>
      </c>
      <c r="G45" s="208" t="s">
        <v>36</v>
      </c>
      <c r="H45" s="135">
        <v>5.30</v>
      </c>
      <c r="I45" s="135">
        <v>3.60</v>
      </c>
      <c r="J45" s="135">
        <v>0.01</v>
      </c>
      <c r="K45" s="135">
        <v>254.41</v>
      </c>
      <c r="L45" s="135">
        <v>38.67</v>
      </c>
      <c r="M45" s="135">
        <v>96.22</v>
      </c>
      <c r="N45" s="135">
        <v>64.20</v>
      </c>
      <c r="O45" s="135">
        <v>0</v>
      </c>
      <c r="P45" s="135">
        <v>2.85</v>
      </c>
      <c r="Q45" s="135">
        <v>4.74</v>
      </c>
      <c r="R45" s="194"/>
      <c r="S45" s="194"/>
      <c r="T45" s="194"/>
      <c r="U45" s="194"/>
    </row>
    <row r="46" spans="1:21" s="12" customFormat="1" ht="15">
      <c r="A46" s="207" t="s">
        <v>2106</v>
      </c>
      <c r="B46" s="135">
        <v>7.06</v>
      </c>
      <c r="C46" s="135">
        <v>12.37</v>
      </c>
      <c r="D46" s="135">
        <v>19.420000000000002</v>
      </c>
      <c r="E46" s="135">
        <v>5.20</v>
      </c>
      <c r="F46" s="208" t="s">
        <v>36</v>
      </c>
      <c r="G46" s="208" t="s">
        <v>36</v>
      </c>
      <c r="H46" s="135">
        <v>7.16</v>
      </c>
      <c r="I46" s="135">
        <v>3.60</v>
      </c>
      <c r="J46" s="135">
        <v>0.06</v>
      </c>
      <c r="K46" s="135">
        <v>28.89</v>
      </c>
      <c r="L46" s="135">
        <v>38.85</v>
      </c>
      <c r="M46" s="135">
        <v>95.31</v>
      </c>
      <c r="N46" s="135">
        <v>63.80</v>
      </c>
      <c r="O46" s="135">
        <v>0</v>
      </c>
      <c r="P46" s="135">
        <v>2.86</v>
      </c>
      <c r="Q46" s="135">
        <v>4.87</v>
      </c>
      <c r="R46" s="194"/>
      <c r="S46" s="194"/>
      <c r="T46" s="194"/>
      <c r="U46" s="194"/>
    </row>
    <row r="47" spans="1:21" s="12" customFormat="1" ht="15">
      <c r="A47" s="207" t="s">
        <v>2107</v>
      </c>
      <c r="B47" s="135">
        <v>7.41</v>
      </c>
      <c r="C47" s="135">
        <v>12.48</v>
      </c>
      <c r="D47" s="135">
        <v>19.89</v>
      </c>
      <c r="E47" s="135">
        <v>5.17</v>
      </c>
      <c r="F47" s="135">
        <v>0.01</v>
      </c>
      <c r="G47" s="208" t="s">
        <v>36</v>
      </c>
      <c r="H47" s="135">
        <v>7.16</v>
      </c>
      <c r="I47" s="135">
        <v>3.65</v>
      </c>
      <c r="J47" s="135">
        <v>0.10</v>
      </c>
      <c r="K47" s="135">
        <v>345.34</v>
      </c>
      <c r="L47" s="135">
        <v>38.89</v>
      </c>
      <c r="M47" s="135">
        <v>96.77</v>
      </c>
      <c r="N47" s="135">
        <v>58</v>
      </c>
      <c r="O47" s="135">
        <v>0</v>
      </c>
      <c r="P47" s="135">
        <v>2.88</v>
      </c>
      <c r="Q47" s="135">
        <v>4.91</v>
      </c>
      <c r="R47" s="194"/>
      <c r="S47" s="194"/>
      <c r="T47" s="194"/>
      <c r="U47" s="194"/>
    </row>
    <row r="48" spans="1:21" s="12" customFormat="1" ht="15">
      <c r="A48" s="207" t="s">
        <v>2108</v>
      </c>
      <c r="B48" s="135">
        <v>8.06</v>
      </c>
      <c r="C48" s="135">
        <v>12.72</v>
      </c>
      <c r="D48" s="135">
        <v>20.79</v>
      </c>
      <c r="E48" s="135">
        <v>4.8899999999999997</v>
      </c>
      <c r="F48" s="135">
        <v>0.070000000000000007</v>
      </c>
      <c r="G48" s="208" t="s">
        <v>36</v>
      </c>
      <c r="H48" s="135">
        <v>7.16</v>
      </c>
      <c r="I48" s="135">
        <v>3.67</v>
      </c>
      <c r="J48" s="135">
        <v>0.03</v>
      </c>
      <c r="K48" s="135">
        <v>34.229999999999997</v>
      </c>
      <c r="L48" s="135">
        <v>38.659999999999997</v>
      </c>
      <c r="M48" s="135">
        <v>97.48</v>
      </c>
      <c r="N48" s="135">
        <v>51.90</v>
      </c>
      <c r="O48" s="135">
        <v>0.20</v>
      </c>
      <c r="P48" s="135">
        <v>2.91</v>
      </c>
      <c r="Q48" s="135">
        <v>5.0599999999999996</v>
      </c>
      <c r="R48" s="194"/>
      <c r="S48" s="194"/>
      <c r="T48" s="194"/>
      <c r="U48" s="194"/>
    </row>
    <row r="49" spans="1:21" s="12" customFormat="1" ht="15">
      <c r="A49" s="207" t="s">
        <v>2109</v>
      </c>
      <c r="B49" s="135">
        <v>8.5299999999999994</v>
      </c>
      <c r="C49" s="135">
        <v>12.87</v>
      </c>
      <c r="D49" s="135">
        <v>21.40</v>
      </c>
      <c r="E49" s="135">
        <v>5.05</v>
      </c>
      <c r="F49" s="135">
        <v>0.02</v>
      </c>
      <c r="G49" s="208" t="s">
        <v>36</v>
      </c>
      <c r="H49" s="135">
        <v>8.17</v>
      </c>
      <c r="I49" s="135">
        <v>3.73</v>
      </c>
      <c r="J49" s="135">
        <v>0.11</v>
      </c>
      <c r="K49" s="135">
        <v>4.0199999999999996</v>
      </c>
      <c r="L49" s="135">
        <v>38.36</v>
      </c>
      <c r="M49" s="135">
        <v>98.81</v>
      </c>
      <c r="N49" s="135">
        <v>57.20</v>
      </c>
      <c r="O49" s="135">
        <v>0.40</v>
      </c>
      <c r="P49" s="135">
        <v>2.93</v>
      </c>
      <c r="Q49" s="135">
        <v>5.21</v>
      </c>
      <c r="R49" s="194"/>
      <c r="S49" s="194"/>
      <c r="T49" s="194"/>
      <c r="U49" s="194"/>
    </row>
    <row r="50" spans="1:21" s="12" customFormat="1" ht="15">
      <c r="A50" s="207" t="s">
        <v>2110</v>
      </c>
      <c r="B50" s="135">
        <v>8.93</v>
      </c>
      <c r="C50" s="135">
        <v>13.05</v>
      </c>
      <c r="D50" s="135">
        <v>21.98</v>
      </c>
      <c r="E50" s="135">
        <v>5.16</v>
      </c>
      <c r="F50" s="135">
        <v>0.20</v>
      </c>
      <c r="G50" s="208" t="s">
        <v>36</v>
      </c>
      <c r="H50" s="135">
        <v>10.65</v>
      </c>
      <c r="I50" s="135">
        <v>3.80</v>
      </c>
      <c r="J50" s="135">
        <v>0.11</v>
      </c>
      <c r="K50" s="135">
        <v>19.760000000000002</v>
      </c>
      <c r="L50" s="135">
        <v>38.159999999999997</v>
      </c>
      <c r="M50" s="135">
        <v>99.02</v>
      </c>
      <c r="N50" s="135">
        <v>77.70</v>
      </c>
      <c r="O50" s="135">
        <v>0</v>
      </c>
      <c r="P50" s="135">
        <v>2.95</v>
      </c>
      <c r="Q50" s="135">
        <v>5.34</v>
      </c>
      <c r="R50" s="194"/>
      <c r="S50" s="194"/>
      <c r="T50" s="194"/>
      <c r="U50" s="194"/>
    </row>
    <row r="51" spans="1:21" s="12" customFormat="1" ht="15">
      <c r="A51" s="207" t="s">
        <v>2111</v>
      </c>
      <c r="B51" s="135">
        <v>9.8000000000000007</v>
      </c>
      <c r="C51" s="135">
        <v>15.15</v>
      </c>
      <c r="D51" s="135">
        <v>24.95</v>
      </c>
      <c r="E51" s="135">
        <v>4.58</v>
      </c>
      <c r="F51" s="135">
        <v>0.26</v>
      </c>
      <c r="G51" s="208" t="s">
        <v>36</v>
      </c>
      <c r="H51" s="135">
        <v>10.65</v>
      </c>
      <c r="I51" s="135">
        <v>3.87</v>
      </c>
      <c r="J51" s="135">
        <v>0.12</v>
      </c>
      <c r="K51" s="135">
        <v>12.12</v>
      </c>
      <c r="L51" s="135">
        <v>35.49</v>
      </c>
      <c r="M51" s="135">
        <v>98.77</v>
      </c>
      <c r="N51" s="135">
        <v>116.5</v>
      </c>
      <c r="O51" s="135">
        <v>0</v>
      </c>
      <c r="P51" s="135">
        <v>2.98</v>
      </c>
      <c r="Q51" s="135">
        <v>5.92</v>
      </c>
      <c r="R51" s="194"/>
      <c r="S51" s="194"/>
      <c r="T51" s="194"/>
      <c r="U51" s="194"/>
    </row>
    <row r="52" spans="1:21" s="12" customFormat="1" ht="15">
      <c r="A52" s="207" t="s">
        <v>2112</v>
      </c>
      <c r="B52" s="135">
        <v>10.61</v>
      </c>
      <c r="C52" s="135">
        <v>17.34</v>
      </c>
      <c r="D52" s="135">
        <v>27.95</v>
      </c>
      <c r="E52" s="135">
        <v>4.09</v>
      </c>
      <c r="F52" s="135">
        <v>0.24</v>
      </c>
      <c r="G52" s="208" t="s">
        <v>36</v>
      </c>
      <c r="H52" s="135">
        <v>10.65</v>
      </c>
      <c r="I52" s="135">
        <v>3.91</v>
      </c>
      <c r="J52" s="135">
        <v>0.11</v>
      </c>
      <c r="K52" s="135">
        <v>3.81</v>
      </c>
      <c r="L52" s="135">
        <v>38.26</v>
      </c>
      <c r="M52" s="135">
        <v>97.42</v>
      </c>
      <c r="N52" s="135">
        <v>149.5</v>
      </c>
      <c r="O52" s="135">
        <v>0</v>
      </c>
      <c r="P52" s="135">
        <v>3.01</v>
      </c>
      <c r="Q52" s="135">
        <v>6.34</v>
      </c>
      <c r="R52" s="194"/>
      <c r="S52" s="194"/>
      <c r="T52" s="194"/>
      <c r="U52" s="194"/>
    </row>
    <row r="53" spans="1:21" s="12" customFormat="1" ht="15">
      <c r="A53" s="207" t="s">
        <v>2113</v>
      </c>
      <c r="B53" s="135">
        <v>10.93</v>
      </c>
      <c r="C53" s="135">
        <v>18.53</v>
      </c>
      <c r="D53" s="135">
        <v>29.45</v>
      </c>
      <c r="E53" s="135">
        <v>3.57</v>
      </c>
      <c r="F53" s="135">
        <v>0.19</v>
      </c>
      <c r="G53" s="208" t="s">
        <v>36</v>
      </c>
      <c r="H53" s="135">
        <v>9.8699999999999992</v>
      </c>
      <c r="I53" s="135">
        <v>3.90</v>
      </c>
      <c r="J53" s="135">
        <v>0.14000000000000001</v>
      </c>
      <c r="K53" s="135">
        <v>358.75</v>
      </c>
      <c r="L53" s="135">
        <v>39.54</v>
      </c>
      <c r="M53" s="135">
        <v>96.49</v>
      </c>
      <c r="N53" s="135">
        <v>88</v>
      </c>
      <c r="O53" s="135">
        <v>0</v>
      </c>
      <c r="P53" s="135">
        <v>3.03</v>
      </c>
      <c r="Q53" s="135">
        <v>6.58</v>
      </c>
      <c r="R53" s="194"/>
      <c r="S53" s="194"/>
      <c r="T53" s="194"/>
      <c r="U53" s="194"/>
    </row>
    <row r="54" spans="1:21" s="12" customFormat="1" ht="15">
      <c r="A54" s="207" t="s">
        <v>2114</v>
      </c>
      <c r="B54" s="135">
        <v>12.53</v>
      </c>
      <c r="C54" s="135">
        <v>20.36</v>
      </c>
      <c r="D54" s="135">
        <v>32.89</v>
      </c>
      <c r="E54" s="135">
        <v>3.34</v>
      </c>
      <c r="F54" s="135">
        <v>0.12</v>
      </c>
      <c r="G54" s="208" t="s">
        <v>36</v>
      </c>
      <c r="H54" s="135">
        <v>7.96</v>
      </c>
      <c r="I54" s="135">
        <v>3.87</v>
      </c>
      <c r="J54" s="135">
        <v>0.10</v>
      </c>
      <c r="K54" s="135">
        <v>322.64</v>
      </c>
      <c r="L54" s="135">
        <v>39.33</v>
      </c>
      <c r="M54" s="135">
        <v>97.94</v>
      </c>
      <c r="N54" s="135">
        <v>79.80</v>
      </c>
      <c r="O54" s="135">
        <v>0.20</v>
      </c>
      <c r="P54" s="135">
        <v>3.05</v>
      </c>
      <c r="Q54" s="135">
        <v>7.35</v>
      </c>
      <c r="R54" s="194"/>
      <c r="S54" s="194"/>
      <c r="T54" s="194"/>
      <c r="U54" s="194"/>
    </row>
    <row r="55" spans="1:21" s="12" customFormat="1" ht="15">
      <c r="A55" s="207" t="s">
        <v>2115</v>
      </c>
      <c r="B55" s="135">
        <v>13.10</v>
      </c>
      <c r="C55" s="135">
        <v>21.47</v>
      </c>
      <c r="D55" s="135">
        <v>34.57</v>
      </c>
      <c r="E55" s="135">
        <v>2.89</v>
      </c>
      <c r="F55" s="135">
        <v>0.09</v>
      </c>
      <c r="G55" s="208" t="s">
        <v>36</v>
      </c>
      <c r="H55" s="135">
        <v>7.96</v>
      </c>
      <c r="I55" s="135">
        <v>3.92</v>
      </c>
      <c r="J55" s="135">
        <v>0.15</v>
      </c>
      <c r="K55" s="135">
        <v>8.0500000000000007</v>
      </c>
      <c r="L55" s="135">
        <v>39.5</v>
      </c>
      <c r="M55" s="135">
        <v>98.08</v>
      </c>
      <c r="N55" s="135">
        <v>189.90</v>
      </c>
      <c r="O55" s="135">
        <v>0</v>
      </c>
      <c r="P55" s="135">
        <v>3.08</v>
      </c>
      <c r="Q55" s="135">
        <v>7.62</v>
      </c>
      <c r="R55" s="194"/>
      <c r="S55" s="194"/>
      <c r="T55" s="194"/>
      <c r="U55" s="194"/>
    </row>
    <row r="56" spans="1:21" s="12" customFormat="1" ht="15">
      <c r="A56" s="207" t="s">
        <v>2116</v>
      </c>
      <c r="B56" s="135">
        <v>14.05</v>
      </c>
      <c r="C56" s="135">
        <v>21.53</v>
      </c>
      <c r="D56" s="135">
        <v>35.590000000000003</v>
      </c>
      <c r="E56" s="135">
        <v>1.82</v>
      </c>
      <c r="F56" s="135">
        <v>0.36</v>
      </c>
      <c r="G56" s="208" t="s">
        <v>36</v>
      </c>
      <c r="H56" s="135">
        <v>7.96</v>
      </c>
      <c r="I56" s="135">
        <v>4.03</v>
      </c>
      <c r="J56" s="135">
        <v>0.15</v>
      </c>
      <c r="K56" s="135">
        <v>8.40</v>
      </c>
      <c r="L56" s="135">
        <v>40.32</v>
      </c>
      <c r="M56" s="135">
        <v>96.13</v>
      </c>
      <c r="N56" s="135">
        <v>259</v>
      </c>
      <c r="O56" s="135">
        <v>0</v>
      </c>
      <c r="P56" s="135">
        <v>3.13</v>
      </c>
      <c r="Q56" s="135">
        <v>7.94</v>
      </c>
      <c r="R56" s="194"/>
      <c r="S56" s="194"/>
      <c r="T56" s="194"/>
      <c r="U56" s="194"/>
    </row>
    <row r="57" spans="1:21" s="12" customFormat="1" ht="15">
      <c r="A57" s="207" t="s">
        <v>2117</v>
      </c>
      <c r="B57" s="135">
        <v>14.73</v>
      </c>
      <c r="C57" s="135">
        <v>20.78</v>
      </c>
      <c r="D57" s="135">
        <v>35.5</v>
      </c>
      <c r="E57" s="135">
        <v>3.04</v>
      </c>
      <c r="F57" s="135">
        <v>0.22</v>
      </c>
      <c r="G57" s="208" t="s">
        <v>36</v>
      </c>
      <c r="H57" s="135">
        <v>8.42</v>
      </c>
      <c r="I57" s="135">
        <v>4.20</v>
      </c>
      <c r="J57" s="135">
        <v>0.19</v>
      </c>
      <c r="K57" s="135">
        <v>352.67</v>
      </c>
      <c r="L57" s="135">
        <v>41.48</v>
      </c>
      <c r="M57" s="135">
        <v>95.5</v>
      </c>
      <c r="N57" s="135">
        <v>253.90</v>
      </c>
      <c r="O57" s="135">
        <v>0</v>
      </c>
      <c r="P57" s="135">
        <v>3.18</v>
      </c>
      <c r="Q57" s="135">
        <v>8.0500000000000007</v>
      </c>
      <c r="R57" s="194"/>
      <c r="S57" s="194"/>
      <c r="T57" s="194"/>
      <c r="U57" s="194"/>
    </row>
    <row r="58" spans="1:21" s="12" customFormat="1" ht="15">
      <c r="A58" s="207" t="s">
        <v>2118</v>
      </c>
      <c r="B58" s="135">
        <v>15.10</v>
      </c>
      <c r="C58" s="135">
        <v>22.05</v>
      </c>
      <c r="D58" s="135">
        <v>37.15</v>
      </c>
      <c r="E58" s="135">
        <v>2.85</v>
      </c>
      <c r="F58" s="135">
        <v>0.06</v>
      </c>
      <c r="G58" s="208" t="s">
        <v>36</v>
      </c>
      <c r="H58" s="135">
        <v>9.56</v>
      </c>
      <c r="I58" s="135">
        <v>4.72</v>
      </c>
      <c r="J58" s="135">
        <v>0.24</v>
      </c>
      <c r="K58" s="135">
        <v>334.51</v>
      </c>
      <c r="L58" s="135">
        <v>41.36</v>
      </c>
      <c r="M58" s="135">
        <v>92.46</v>
      </c>
      <c r="N58" s="135">
        <v>145.69999999999999</v>
      </c>
      <c r="O58" s="135">
        <v>0</v>
      </c>
      <c r="P58" s="135">
        <v>3.23</v>
      </c>
      <c r="Q58" s="135">
        <v>8.3800000000000008</v>
      </c>
      <c r="R58" s="194"/>
      <c r="S58" s="194"/>
      <c r="T58" s="194"/>
      <c r="U58" s="194"/>
    </row>
    <row r="59" spans="1:21" s="12" customFormat="1" ht="15">
      <c r="A59" s="207" t="s">
        <v>2119</v>
      </c>
      <c r="B59" s="135">
        <v>15.62</v>
      </c>
      <c r="C59" s="135">
        <v>20.65</v>
      </c>
      <c r="D59" s="135">
        <v>36.270000000000003</v>
      </c>
      <c r="E59" s="135">
        <v>3.16</v>
      </c>
      <c r="F59" s="135">
        <v>0.18</v>
      </c>
      <c r="G59" s="208" t="s">
        <v>36</v>
      </c>
      <c r="H59" s="135">
        <v>9.56</v>
      </c>
      <c r="I59" s="135">
        <v>5.34</v>
      </c>
      <c r="J59" s="135">
        <v>0.19</v>
      </c>
      <c r="K59" s="135">
        <v>16.30</v>
      </c>
      <c r="L59" s="135">
        <v>41.39</v>
      </c>
      <c r="M59" s="135">
        <v>91.30</v>
      </c>
      <c r="N59" s="135">
        <v>326.10000000000002</v>
      </c>
      <c r="O59" s="135">
        <v>0</v>
      </c>
      <c r="P59" s="135">
        <v>3.24</v>
      </c>
      <c r="Q59" s="135">
        <v>8.24</v>
      </c>
      <c r="R59" s="194"/>
      <c r="S59" s="194"/>
      <c r="T59" s="194"/>
      <c r="U59" s="194"/>
    </row>
    <row r="60" spans="1:21" s="12" customFormat="1" ht="15">
      <c r="A60" s="207" t="s">
        <v>2120</v>
      </c>
      <c r="B60" s="135">
        <v>15.19</v>
      </c>
      <c r="C60" s="135">
        <v>19.440000000000001</v>
      </c>
      <c r="D60" s="135">
        <v>34.630000000000003</v>
      </c>
      <c r="E60" s="135">
        <v>3.07</v>
      </c>
      <c r="F60" s="135">
        <v>0.09</v>
      </c>
      <c r="G60" s="208" t="s">
        <v>36</v>
      </c>
      <c r="H60" s="135">
        <v>9.56</v>
      </c>
      <c r="I60" s="135">
        <v>5.94</v>
      </c>
      <c r="J60" s="135">
        <v>0.19</v>
      </c>
      <c r="K60" s="135">
        <v>7.11</v>
      </c>
      <c r="L60" s="135">
        <v>42.37</v>
      </c>
      <c r="M60" s="135">
        <v>87.48</v>
      </c>
      <c r="N60" s="135">
        <v>420.10</v>
      </c>
      <c r="O60" s="135">
        <v>0</v>
      </c>
      <c r="P60" s="135">
        <v>3.27</v>
      </c>
      <c r="Q60" s="135">
        <v>7.88</v>
      </c>
      <c r="R60" s="194"/>
      <c r="S60" s="194"/>
      <c r="T60" s="194"/>
      <c r="U60" s="194"/>
    </row>
    <row r="61" spans="1:21" s="12" customFormat="1" ht="15">
      <c r="A61" s="207" t="s">
        <v>2121</v>
      </c>
      <c r="B61" s="135">
        <v>14.15</v>
      </c>
      <c r="C61" s="135">
        <v>21.10</v>
      </c>
      <c r="D61" s="135">
        <v>35.25</v>
      </c>
      <c r="E61" s="135">
        <v>3.36</v>
      </c>
      <c r="F61" s="135">
        <v>0.31</v>
      </c>
      <c r="G61" s="208" t="s">
        <v>36</v>
      </c>
      <c r="H61" s="135">
        <v>9.5399999999999991</v>
      </c>
      <c r="I61" s="135">
        <v>6.02</v>
      </c>
      <c r="J61" s="135">
        <v>0.54</v>
      </c>
      <c r="K61" s="135">
        <v>320.85000000000002</v>
      </c>
      <c r="L61" s="135">
        <v>43.31</v>
      </c>
      <c r="M61" s="135">
        <v>83.07</v>
      </c>
      <c r="N61" s="135">
        <v>476.30</v>
      </c>
      <c r="O61" s="135">
        <v>0</v>
      </c>
      <c r="P61" s="135">
        <v>3.29</v>
      </c>
      <c r="Q61" s="135">
        <v>7.86</v>
      </c>
      <c r="R61" s="194"/>
      <c r="S61" s="194"/>
      <c r="T61" s="194"/>
      <c r="U61" s="194"/>
    </row>
    <row r="62" spans="1:21" s="12" customFormat="1" ht="15">
      <c r="A62" s="207" t="s">
        <v>2122</v>
      </c>
      <c r="B62" s="135">
        <v>12.39</v>
      </c>
      <c r="C62" s="135">
        <v>21.35</v>
      </c>
      <c r="D62" s="135">
        <v>33.74</v>
      </c>
      <c r="E62" s="135">
        <v>3.18</v>
      </c>
      <c r="F62" s="135">
        <v>0.25</v>
      </c>
      <c r="G62" s="208" t="s">
        <v>36</v>
      </c>
      <c r="H62" s="135">
        <v>9.5</v>
      </c>
      <c r="I62" s="135">
        <v>6.09</v>
      </c>
      <c r="J62" s="135">
        <v>0.33</v>
      </c>
      <c r="K62" s="135">
        <v>342.68</v>
      </c>
      <c r="L62" s="135">
        <v>44.12</v>
      </c>
      <c r="M62" s="135">
        <v>79.83</v>
      </c>
      <c r="N62" s="135">
        <v>458.20</v>
      </c>
      <c r="O62" s="135">
        <v>0</v>
      </c>
      <c r="P62" s="135">
        <v>3.25</v>
      </c>
      <c r="Q62" s="135">
        <v>7.42</v>
      </c>
      <c r="R62" s="194"/>
      <c r="S62" s="194"/>
      <c r="T62" s="194"/>
      <c r="U62" s="194"/>
    </row>
    <row r="63" spans="1:21" s="12" customFormat="1" ht="15">
      <c r="A63" s="207" t="s">
        <v>2123</v>
      </c>
      <c r="B63" s="135">
        <v>10.19</v>
      </c>
      <c r="C63" s="135">
        <v>20.58</v>
      </c>
      <c r="D63" s="135">
        <v>30.78</v>
      </c>
      <c r="E63" s="135">
        <v>3.32</v>
      </c>
      <c r="F63" s="135">
        <v>0.15</v>
      </c>
      <c r="G63" s="208" t="s">
        <v>36</v>
      </c>
      <c r="H63" s="135">
        <v>9.5</v>
      </c>
      <c r="I63" s="135">
        <v>6.17</v>
      </c>
      <c r="J63" s="135">
        <v>0.49</v>
      </c>
      <c r="K63" s="135">
        <v>317.62</v>
      </c>
      <c r="L63" s="135">
        <v>44.23</v>
      </c>
      <c r="M63" s="135">
        <v>79.709999999999994</v>
      </c>
      <c r="N63" s="135">
        <v>399</v>
      </c>
      <c r="O63" s="135">
        <v>0</v>
      </c>
      <c r="P63" s="135">
        <v>3.21</v>
      </c>
      <c r="Q63" s="135">
        <v>6.66</v>
      </c>
      <c r="R63" s="194"/>
      <c r="S63" s="194"/>
      <c r="T63" s="194"/>
      <c r="U63" s="194"/>
    </row>
    <row r="64" spans="1:21" s="12" customFormat="1" ht="15">
      <c r="A64" s="207" t="s">
        <v>2124</v>
      </c>
      <c r="B64" s="135">
        <v>8.83</v>
      </c>
      <c r="C64" s="135">
        <v>19.829999999999998</v>
      </c>
      <c r="D64" s="135">
        <v>28.66</v>
      </c>
      <c r="E64" s="135">
        <v>2.94</v>
      </c>
      <c r="F64" s="135">
        <v>0.20</v>
      </c>
      <c r="G64" s="208" t="s">
        <v>36</v>
      </c>
      <c r="H64" s="135">
        <v>9.5</v>
      </c>
      <c r="I64" s="135">
        <v>6.32</v>
      </c>
      <c r="J64" s="135">
        <v>0.52</v>
      </c>
      <c r="K64" s="135">
        <v>316.26</v>
      </c>
      <c r="L64" s="135">
        <v>44.37</v>
      </c>
      <c r="M64" s="135">
        <v>80.010000000000005</v>
      </c>
      <c r="N64" s="135">
        <v>361.60</v>
      </c>
      <c r="O64" s="135">
        <v>0</v>
      </c>
      <c r="P64" s="135">
        <v>3.18</v>
      </c>
      <c r="Q64" s="135">
        <v>6.18</v>
      </c>
      <c r="R64" s="194"/>
      <c r="S64" s="194"/>
      <c r="T64" s="194"/>
      <c r="U64" s="194"/>
    </row>
    <row r="65" spans="1:21" s="12" customFormat="1" ht="15">
      <c r="A65" s="207" t="s">
        <v>2125</v>
      </c>
      <c r="B65" s="135">
        <v>7.56</v>
      </c>
      <c r="C65" s="135">
        <v>20.93</v>
      </c>
      <c r="D65" s="135">
        <v>28.48</v>
      </c>
      <c r="E65" s="135">
        <v>3.03</v>
      </c>
      <c r="F65" s="135">
        <v>0.76</v>
      </c>
      <c r="G65" s="208" t="s">
        <v>36</v>
      </c>
      <c r="H65" s="135">
        <v>10.71</v>
      </c>
      <c r="I65" s="135">
        <v>6.30</v>
      </c>
      <c r="J65" s="135">
        <v>0.31</v>
      </c>
      <c r="K65" s="135">
        <v>340.06</v>
      </c>
      <c r="L65" s="135">
        <v>44.83</v>
      </c>
      <c r="M65" s="135">
        <v>77.62</v>
      </c>
      <c r="N65" s="135">
        <v>383.40</v>
      </c>
      <c r="O65" s="135">
        <v>0</v>
      </c>
      <c r="P65" s="135">
        <v>3.17</v>
      </c>
      <c r="Q65" s="135">
        <v>6.01</v>
      </c>
      <c r="R65" s="194"/>
      <c r="S65" s="194"/>
      <c r="T65" s="194"/>
      <c r="U65" s="194"/>
    </row>
    <row r="66" spans="1:21" s="12" customFormat="1" ht="15">
      <c r="A66" s="207" t="s">
        <v>2126</v>
      </c>
      <c r="B66" s="135">
        <v>4.97</v>
      </c>
      <c r="C66" s="135">
        <v>22.79</v>
      </c>
      <c r="D66" s="135">
        <v>27.75</v>
      </c>
      <c r="E66" s="135">
        <v>2.91</v>
      </c>
      <c r="F66" s="135">
        <v>1.05</v>
      </c>
      <c r="G66" s="208" t="s">
        <v>36</v>
      </c>
      <c r="H66" s="135">
        <v>13.68</v>
      </c>
      <c r="I66" s="135">
        <v>6.32</v>
      </c>
      <c r="J66" s="135">
        <v>0.15</v>
      </c>
      <c r="K66" s="135">
        <v>312.64999999999998</v>
      </c>
      <c r="L66" s="135">
        <v>43.63</v>
      </c>
      <c r="M66" s="135">
        <v>80.63</v>
      </c>
      <c r="N66" s="135">
        <v>169.70</v>
      </c>
      <c r="O66" s="135">
        <v>0</v>
      </c>
      <c r="P66" s="135">
        <v>3.12</v>
      </c>
      <c r="Q66" s="135">
        <v>5.58</v>
      </c>
      <c r="R66" s="194"/>
      <c r="S66" s="194"/>
      <c r="T66" s="194"/>
      <c r="U66" s="194"/>
    </row>
    <row r="67" spans="1:21" s="12" customFormat="1" ht="15">
      <c r="A67" s="207" t="s">
        <v>2127</v>
      </c>
      <c r="B67" s="135">
        <v>3.26</v>
      </c>
      <c r="C67" s="135">
        <v>22.84</v>
      </c>
      <c r="D67" s="135">
        <v>26.09</v>
      </c>
      <c r="E67" s="135">
        <v>2.5499999999999998</v>
      </c>
      <c r="F67" s="135">
        <v>0.92</v>
      </c>
      <c r="G67" s="208" t="s">
        <v>36</v>
      </c>
      <c r="H67" s="135">
        <v>13.68</v>
      </c>
      <c r="I67" s="135">
        <v>6.72</v>
      </c>
      <c r="J67" s="135">
        <v>0.10</v>
      </c>
      <c r="K67" s="135">
        <v>8.56</v>
      </c>
      <c r="L67" s="135">
        <v>42.70</v>
      </c>
      <c r="M67" s="135">
        <v>83.64</v>
      </c>
      <c r="N67" s="135">
        <v>224.70</v>
      </c>
      <c r="O67" s="135">
        <v>0</v>
      </c>
      <c r="P67" s="135">
        <v>3.09</v>
      </c>
      <c r="Q67" s="135">
        <v>5.07</v>
      </c>
      <c r="R67" s="194"/>
      <c r="S67" s="194"/>
      <c r="T67" s="194"/>
      <c r="U67" s="194"/>
    </row>
    <row r="68" spans="1:21" s="12" customFormat="1" ht="15">
      <c r="A68" s="207" t="s">
        <v>2128</v>
      </c>
      <c r="B68" s="135">
        <v>3.07</v>
      </c>
      <c r="C68" s="135">
        <v>21.73</v>
      </c>
      <c r="D68" s="135">
        <v>24.80</v>
      </c>
      <c r="E68" s="135">
        <v>2.79</v>
      </c>
      <c r="F68" s="135">
        <v>0.56999999999999995</v>
      </c>
      <c r="G68" s="208" t="s">
        <v>36</v>
      </c>
      <c r="H68" s="135">
        <v>13.68</v>
      </c>
      <c r="I68" s="135">
        <v>6.66</v>
      </c>
      <c r="J68" s="135">
        <v>0.03</v>
      </c>
      <c r="K68" s="135">
        <v>208.11</v>
      </c>
      <c r="L68" s="135">
        <v>43.59</v>
      </c>
      <c r="M68" s="135">
        <v>82</v>
      </c>
      <c r="N68" s="135">
        <v>357.5</v>
      </c>
      <c r="O68" s="135">
        <v>0</v>
      </c>
      <c r="P68" s="135">
        <v>3.08</v>
      </c>
      <c r="Q68" s="135">
        <v>4.83</v>
      </c>
      <c r="R68" s="194"/>
      <c r="S68" s="194"/>
      <c r="T68" s="194"/>
      <c r="U68" s="194"/>
    </row>
    <row r="69" spans="1:21" s="12" customFormat="1" ht="15">
      <c r="A69" s="207" t="s">
        <v>2129</v>
      </c>
      <c r="B69" s="135">
        <v>2.79</v>
      </c>
      <c r="C69" s="135">
        <v>21.90</v>
      </c>
      <c r="D69" s="135">
        <v>24.69</v>
      </c>
      <c r="E69" s="135">
        <v>2.75</v>
      </c>
      <c r="F69" s="135">
        <v>1.26</v>
      </c>
      <c r="G69" s="208" t="s">
        <v>36</v>
      </c>
      <c r="H69" s="135">
        <v>13.79</v>
      </c>
      <c r="I69" s="135">
        <v>6.51</v>
      </c>
      <c r="J69" s="135">
        <v>0.06</v>
      </c>
      <c r="K69" s="135">
        <v>340.90</v>
      </c>
      <c r="L69" s="135">
        <v>44.52</v>
      </c>
      <c r="M69" s="135">
        <v>82.88</v>
      </c>
      <c r="N69" s="135">
        <v>266.70</v>
      </c>
      <c r="O69" s="135">
        <v>0</v>
      </c>
      <c r="P69" s="135">
        <v>3.03</v>
      </c>
      <c r="Q69" s="135">
        <v>4.82</v>
      </c>
      <c r="R69" s="194"/>
      <c r="S69" s="194"/>
      <c r="T69" s="194"/>
      <c r="U69" s="194"/>
    </row>
    <row r="70" spans="1:21" s="12" customFormat="1" ht="15">
      <c r="A70" s="207" t="s">
        <v>2130</v>
      </c>
      <c r="B70" s="135">
        <v>2.39</v>
      </c>
      <c r="C70" s="135">
        <v>21.88</v>
      </c>
      <c r="D70" s="135">
        <v>24.27</v>
      </c>
      <c r="E70" s="135">
        <v>2.48</v>
      </c>
      <c r="F70" s="135">
        <v>1.45</v>
      </c>
      <c r="G70" s="208" t="s">
        <v>36</v>
      </c>
      <c r="H70" s="135">
        <v>14.07</v>
      </c>
      <c r="I70" s="135">
        <v>6.13</v>
      </c>
      <c r="J70" s="135">
        <v>0.11</v>
      </c>
      <c r="K70" s="135">
        <v>5.39</v>
      </c>
      <c r="L70" s="135">
        <v>47.71</v>
      </c>
      <c r="M70" s="135">
        <v>82.21</v>
      </c>
      <c r="N70" s="135">
        <v>307</v>
      </c>
      <c r="O70" s="135">
        <v>0</v>
      </c>
      <c r="P70" s="135">
        <v>2.99</v>
      </c>
      <c r="Q70" s="135">
        <v>4.66</v>
      </c>
      <c r="R70" s="194"/>
      <c r="S70" s="194"/>
      <c r="T70" s="194"/>
      <c r="U70" s="194"/>
    </row>
    <row r="71" spans="1:21" s="12" customFormat="1" ht="15">
      <c r="A71" s="207" t="s">
        <v>2131</v>
      </c>
      <c r="B71" s="135">
        <v>1.98</v>
      </c>
      <c r="C71" s="135">
        <v>21.60</v>
      </c>
      <c r="D71" s="135">
        <v>23.58</v>
      </c>
      <c r="E71" s="135">
        <v>2.2000000000000002</v>
      </c>
      <c r="F71" s="135">
        <v>2.02</v>
      </c>
      <c r="G71" s="208" t="s">
        <v>36</v>
      </c>
      <c r="H71" s="135">
        <v>14.07</v>
      </c>
      <c r="I71" s="135">
        <v>5.33</v>
      </c>
      <c r="J71" s="135">
        <v>0.09</v>
      </c>
      <c r="K71" s="135">
        <v>2.79</v>
      </c>
      <c r="L71" s="135">
        <v>46.75</v>
      </c>
      <c r="M71" s="135">
        <v>81.62</v>
      </c>
      <c r="N71" s="135">
        <v>288</v>
      </c>
      <c r="O71" s="135">
        <v>0</v>
      </c>
      <c r="P71" s="135">
        <v>2.96</v>
      </c>
      <c r="Q71" s="135">
        <v>4.46</v>
      </c>
      <c r="R71" s="194"/>
      <c r="S71" s="194"/>
      <c r="T71" s="194"/>
      <c r="U71" s="194"/>
    </row>
    <row r="72" spans="1:21" s="12" customFormat="1" ht="15">
      <c r="A72" s="207" t="s">
        <v>2132</v>
      </c>
      <c r="B72" s="135">
        <v>2.0299999999999998</v>
      </c>
      <c r="C72" s="135">
        <v>21.15</v>
      </c>
      <c r="D72" s="135">
        <v>23.18</v>
      </c>
      <c r="E72" s="135">
        <v>0.87</v>
      </c>
      <c r="F72" s="135">
        <v>1.71</v>
      </c>
      <c r="G72" s="208" t="s">
        <v>36</v>
      </c>
      <c r="H72" s="135">
        <v>14.07</v>
      </c>
      <c r="I72" s="135">
        <v>4.59</v>
      </c>
      <c r="J72" s="135">
        <v>0.10</v>
      </c>
      <c r="K72" s="135">
        <v>34.549999999999997</v>
      </c>
      <c r="L72" s="135">
        <v>43.65</v>
      </c>
      <c r="M72" s="135">
        <v>81.489999999999995</v>
      </c>
      <c r="N72" s="135">
        <v>194.10</v>
      </c>
      <c r="O72" s="135">
        <v>0</v>
      </c>
      <c r="P72" s="135">
        <v>2.94</v>
      </c>
      <c r="Q72" s="135">
        <v>4.29</v>
      </c>
      <c r="R72" s="194"/>
      <c r="S72" s="194"/>
      <c r="T72" s="194"/>
      <c r="U72" s="194"/>
    </row>
    <row r="73" spans="1:21" s="12" customFormat="1" ht="15">
      <c r="A73" s="207" t="s">
        <v>2133</v>
      </c>
      <c r="B73" s="135">
        <v>2.33</v>
      </c>
      <c r="C73" s="135">
        <v>19.190000000000001</v>
      </c>
      <c r="D73" s="135">
        <v>21.53</v>
      </c>
      <c r="E73" s="135">
        <v>2.02</v>
      </c>
      <c r="F73" s="135">
        <v>0.99</v>
      </c>
      <c r="G73" s="208" t="s">
        <v>36</v>
      </c>
      <c r="H73" s="135">
        <v>13.46</v>
      </c>
      <c r="I73" s="135">
        <v>4.07</v>
      </c>
      <c r="J73" s="135">
        <v>0.10</v>
      </c>
      <c r="K73" s="135">
        <v>42.82</v>
      </c>
      <c r="L73" s="135">
        <v>43.30</v>
      </c>
      <c r="M73" s="135">
        <v>81.70</v>
      </c>
      <c r="N73" s="135">
        <v>203.70</v>
      </c>
      <c r="O73" s="135">
        <v>0</v>
      </c>
      <c r="P73" s="135">
        <v>2.93</v>
      </c>
      <c r="Q73" s="135">
        <v>3.94</v>
      </c>
      <c r="R73" s="194"/>
      <c r="S73" s="194"/>
      <c r="T73" s="194"/>
      <c r="U73" s="194"/>
    </row>
    <row r="74" spans="1:21" s="12" customFormat="1" ht="15">
      <c r="A74" s="207" t="s">
        <v>2134</v>
      </c>
      <c r="B74" s="135">
        <v>2.4900000000000002</v>
      </c>
      <c r="C74" s="135">
        <v>18.72</v>
      </c>
      <c r="D74" s="135">
        <v>21.21</v>
      </c>
      <c r="E74" s="135">
        <v>2.11</v>
      </c>
      <c r="F74" s="135">
        <v>1.78</v>
      </c>
      <c r="G74" s="208" t="s">
        <v>36</v>
      </c>
      <c r="H74" s="135">
        <v>11.95</v>
      </c>
      <c r="I74" s="135">
        <v>3.82</v>
      </c>
      <c r="J74" s="135">
        <v>0.13</v>
      </c>
      <c r="K74" s="135">
        <v>2.78</v>
      </c>
      <c r="L74" s="135">
        <v>43.84</v>
      </c>
      <c r="M74" s="135">
        <v>80.97</v>
      </c>
      <c r="N74" s="135">
        <v>147.40</v>
      </c>
      <c r="O74" s="135">
        <v>0</v>
      </c>
      <c r="P74" s="135">
        <v>2.92</v>
      </c>
      <c r="Q74" s="135">
        <v>3.74</v>
      </c>
      <c r="R74" s="194"/>
      <c r="S74" s="194"/>
      <c r="T74" s="194"/>
      <c r="U74" s="194"/>
    </row>
    <row r="75" spans="1:21" s="12" customFormat="1" ht="15">
      <c r="A75" s="207" t="s">
        <v>2135</v>
      </c>
      <c r="B75" s="135">
        <v>2.4500000000000002</v>
      </c>
      <c r="C75" s="135">
        <v>20.440000000000001</v>
      </c>
      <c r="D75" s="135">
        <v>22.89</v>
      </c>
      <c r="E75" s="135">
        <v>1.60</v>
      </c>
      <c r="F75" s="135">
        <v>2.2400000000000002</v>
      </c>
      <c r="G75" s="208" t="s">
        <v>36</v>
      </c>
      <c r="H75" s="135">
        <v>11.95</v>
      </c>
      <c r="I75" s="135">
        <v>3.69</v>
      </c>
      <c r="J75" s="135">
        <v>0.19</v>
      </c>
      <c r="K75" s="135">
        <v>26.45</v>
      </c>
      <c r="L75" s="135">
        <v>44.40</v>
      </c>
      <c r="M75" s="135">
        <v>81.03</v>
      </c>
      <c r="N75" s="135">
        <v>150.60</v>
      </c>
      <c r="O75" s="135">
        <v>0</v>
      </c>
      <c r="P75" s="135">
        <v>2.93</v>
      </c>
      <c r="Q75" s="135">
        <v>4.01</v>
      </c>
      <c r="R75" s="194"/>
      <c r="S75" s="194"/>
      <c r="T75" s="194"/>
      <c r="U75" s="194"/>
    </row>
    <row r="76" spans="1:21" s="12" customFormat="1" ht="15">
      <c r="A76" s="207" t="s">
        <v>2136</v>
      </c>
      <c r="B76" s="135">
        <v>2.34</v>
      </c>
      <c r="C76" s="135">
        <v>20.80</v>
      </c>
      <c r="D76" s="135">
        <v>23.14</v>
      </c>
      <c r="E76" s="135">
        <v>1.71</v>
      </c>
      <c r="F76" s="135">
        <v>2.2799999999999998</v>
      </c>
      <c r="G76" s="208" t="s">
        <v>36</v>
      </c>
      <c r="H76" s="135">
        <v>11.95</v>
      </c>
      <c r="I76" s="135">
        <v>3.46</v>
      </c>
      <c r="J76" s="135">
        <v>0.04</v>
      </c>
      <c r="K76" s="135">
        <v>273.25</v>
      </c>
      <c r="L76" s="135">
        <v>43.52</v>
      </c>
      <c r="M76" s="135">
        <v>83.52</v>
      </c>
      <c r="N76" s="135">
        <v>75.20</v>
      </c>
      <c r="O76" s="135">
        <v>0</v>
      </c>
      <c r="P76" s="135">
        <v>2.93</v>
      </c>
      <c r="Q76" s="135">
        <v>4.1500000000000004</v>
      </c>
      <c r="R76" s="194"/>
      <c r="S76" s="194"/>
      <c r="T76" s="194"/>
      <c r="U76" s="194"/>
    </row>
    <row r="77" spans="1:21" s="12" customFormat="1" ht="15">
      <c r="A77" s="207" t="s">
        <v>2137</v>
      </c>
      <c r="B77" s="135">
        <v>1.79</v>
      </c>
      <c r="C77" s="135">
        <v>19.39</v>
      </c>
      <c r="D77" s="135">
        <v>21.18</v>
      </c>
      <c r="E77" s="135">
        <v>1.39</v>
      </c>
      <c r="F77" s="135">
        <v>2.37</v>
      </c>
      <c r="G77" s="208" t="s">
        <v>36</v>
      </c>
      <c r="H77" s="135">
        <v>11.26</v>
      </c>
      <c r="I77" s="135">
        <v>3.32</v>
      </c>
      <c r="J77" s="135">
        <v>0.05</v>
      </c>
      <c r="K77" s="135">
        <v>244.74</v>
      </c>
      <c r="L77" s="135">
        <v>42.74</v>
      </c>
      <c r="M77" s="135">
        <v>85.60</v>
      </c>
      <c r="N77" s="135">
        <v>67.099999999999994</v>
      </c>
      <c r="O77" s="135">
        <v>0</v>
      </c>
      <c r="P77" s="135">
        <v>2.89</v>
      </c>
      <c r="Q77" s="135">
        <v>3.82</v>
      </c>
      <c r="R77" s="194"/>
      <c r="S77" s="194"/>
      <c r="T77" s="194"/>
      <c r="U77" s="194"/>
    </row>
    <row r="78" spans="1:21" s="12" customFormat="1" ht="15">
      <c r="A78" s="207" t="s">
        <v>2138</v>
      </c>
      <c r="B78" s="135">
        <v>1.72</v>
      </c>
      <c r="C78" s="135">
        <v>18.57</v>
      </c>
      <c r="D78" s="135">
        <v>20.29</v>
      </c>
      <c r="E78" s="135">
        <v>1.06</v>
      </c>
      <c r="F78" s="135">
        <v>1.21</v>
      </c>
      <c r="G78" s="208" t="s">
        <v>36</v>
      </c>
      <c r="H78" s="135">
        <v>9.57</v>
      </c>
      <c r="I78" s="135">
        <v>3.17</v>
      </c>
      <c r="J78" s="135">
        <v>0.05</v>
      </c>
      <c r="K78" s="135">
        <v>274.16000000000003</v>
      </c>
      <c r="L78" s="135">
        <v>42.45</v>
      </c>
      <c r="M78" s="135">
        <v>85.39</v>
      </c>
      <c r="N78" s="135">
        <v>53.80</v>
      </c>
      <c r="O78" s="135">
        <v>0</v>
      </c>
      <c r="P78" s="135">
        <v>2.89</v>
      </c>
      <c r="Q78" s="135">
        <v>3.61</v>
      </c>
      <c r="R78" s="194"/>
      <c r="S78" s="194"/>
      <c r="T78" s="194"/>
      <c r="U78" s="194"/>
    </row>
    <row r="79" spans="1:21" s="12" customFormat="1" ht="15">
      <c r="A79" s="207" t="s">
        <v>2139</v>
      </c>
      <c r="B79" s="135">
        <v>2.2000000000000002</v>
      </c>
      <c r="C79" s="135">
        <v>17.34</v>
      </c>
      <c r="D79" s="135">
        <v>19.54</v>
      </c>
      <c r="E79" s="135">
        <v>1.48</v>
      </c>
      <c r="F79" s="135">
        <v>0.67</v>
      </c>
      <c r="G79" s="208" t="s">
        <v>36</v>
      </c>
      <c r="H79" s="135">
        <v>9.57</v>
      </c>
      <c r="I79" s="135">
        <v>2.85</v>
      </c>
      <c r="J79" s="135">
        <v>0.15</v>
      </c>
      <c r="K79" s="135">
        <v>47.68</v>
      </c>
      <c r="L79" s="135">
        <v>42.57</v>
      </c>
      <c r="M79" s="135">
        <v>85.03</v>
      </c>
      <c r="N79" s="135">
        <v>23.30</v>
      </c>
      <c r="O79" s="135">
        <v>0</v>
      </c>
      <c r="P79" s="135">
        <v>2.90</v>
      </c>
      <c r="Q79" s="135">
        <v>3.52</v>
      </c>
      <c r="R79" s="194"/>
      <c r="S79" s="194"/>
      <c r="T79" s="194"/>
      <c r="U79" s="194"/>
    </row>
    <row r="80" spans="1:21" s="12" customFormat="1" ht="15">
      <c r="A80" s="207" t="s">
        <v>2140</v>
      </c>
      <c r="B80" s="135">
        <v>2.82</v>
      </c>
      <c r="C80" s="135">
        <v>16.80</v>
      </c>
      <c r="D80" s="135">
        <v>19.62</v>
      </c>
      <c r="E80" s="135">
        <v>1.54</v>
      </c>
      <c r="F80" s="135">
        <v>0.44</v>
      </c>
      <c r="G80" s="208" t="s">
        <v>36</v>
      </c>
      <c r="H80" s="135">
        <v>9.57</v>
      </c>
      <c r="I80" s="135">
        <v>2.90</v>
      </c>
      <c r="J80" s="135">
        <v>0.17</v>
      </c>
      <c r="K80" s="135">
        <v>35.090000000000003</v>
      </c>
      <c r="L80" s="135">
        <v>42.33</v>
      </c>
      <c r="M80" s="135">
        <v>85.78</v>
      </c>
      <c r="N80" s="135">
        <v>21.80</v>
      </c>
      <c r="O80" s="135">
        <v>0</v>
      </c>
      <c r="P80" s="135">
        <v>2.94</v>
      </c>
      <c r="Q80" s="135">
        <v>3.71</v>
      </c>
      <c r="R80" s="194"/>
      <c r="S80" s="194"/>
      <c r="T80" s="194"/>
      <c r="U80" s="194"/>
    </row>
    <row r="81" spans="1:21" s="12" customFormat="1" ht="15">
      <c r="A81" s="207" t="s">
        <v>2141</v>
      </c>
      <c r="B81" s="135">
        <v>3.11</v>
      </c>
      <c r="C81" s="135">
        <v>16.55</v>
      </c>
      <c r="D81" s="135">
        <v>19.66</v>
      </c>
      <c r="E81" s="135">
        <v>2.10</v>
      </c>
      <c r="F81" s="135">
        <v>0.34</v>
      </c>
      <c r="G81" s="208" t="s">
        <v>36</v>
      </c>
      <c r="H81" s="135">
        <v>11.05</v>
      </c>
      <c r="I81" s="135">
        <v>2.96</v>
      </c>
      <c r="J81" s="135">
        <v>0.02</v>
      </c>
      <c r="K81" s="135">
        <v>23.18</v>
      </c>
      <c r="L81" s="135">
        <v>42.44</v>
      </c>
      <c r="M81" s="135">
        <v>86.53</v>
      </c>
      <c r="N81" s="135">
        <v>28</v>
      </c>
      <c r="O81" s="135">
        <v>0</v>
      </c>
      <c r="P81" s="135">
        <v>2.95</v>
      </c>
      <c r="Q81" s="135">
        <v>3.77</v>
      </c>
      <c r="R81" s="194"/>
      <c r="S81" s="194"/>
      <c r="T81" s="194"/>
      <c r="U81" s="194"/>
    </row>
    <row r="82" spans="1:21" s="12" customFormat="1" ht="15">
      <c r="A82" s="207" t="s">
        <v>2142</v>
      </c>
      <c r="B82" s="135">
        <v>3.51</v>
      </c>
      <c r="C82" s="135">
        <v>16.45</v>
      </c>
      <c r="D82" s="135">
        <v>19.96</v>
      </c>
      <c r="E82" s="135">
        <v>2.37</v>
      </c>
      <c r="F82" s="135">
        <v>0.31</v>
      </c>
      <c r="G82" s="208" t="s">
        <v>36</v>
      </c>
      <c r="H82" s="135">
        <v>14.68</v>
      </c>
      <c r="I82" s="135">
        <v>3.11</v>
      </c>
      <c r="J82" s="135">
        <v>0.04</v>
      </c>
      <c r="K82" s="135">
        <v>11.39</v>
      </c>
      <c r="L82" s="135">
        <v>42.32</v>
      </c>
      <c r="M82" s="135">
        <v>86.97</v>
      </c>
      <c r="N82" s="135">
        <v>10</v>
      </c>
      <c r="O82" s="135">
        <v>0</v>
      </c>
      <c r="P82" s="135">
        <v>2.97</v>
      </c>
      <c r="Q82" s="135">
        <v>3.86</v>
      </c>
      <c r="R82" s="194"/>
      <c r="S82" s="194"/>
      <c r="T82" s="194"/>
      <c r="U82" s="194"/>
    </row>
    <row r="83" spans="1:21" s="12" customFormat="1" ht="15">
      <c r="A83" s="207" t="s">
        <v>2143</v>
      </c>
      <c r="B83" s="135">
        <v>3.62</v>
      </c>
      <c r="C83" s="135">
        <v>16.28</v>
      </c>
      <c r="D83" s="135">
        <v>19.899999999999999</v>
      </c>
      <c r="E83" s="135">
        <v>2.58</v>
      </c>
      <c r="F83" s="135">
        <v>0.19</v>
      </c>
      <c r="G83" s="208" t="s">
        <v>36</v>
      </c>
      <c r="H83" s="135">
        <v>14.68</v>
      </c>
      <c r="I83" s="135">
        <v>3.25</v>
      </c>
      <c r="J83" s="135">
        <v>0.070000000000000007</v>
      </c>
      <c r="K83" s="135">
        <v>198.27</v>
      </c>
      <c r="L83" s="135">
        <v>42.15</v>
      </c>
      <c r="M83" s="135">
        <v>88.03</v>
      </c>
      <c r="N83" s="135">
        <v>3.30</v>
      </c>
      <c r="O83" s="135">
        <v>0</v>
      </c>
      <c r="P83" s="135">
        <v>2.98</v>
      </c>
      <c r="Q83" s="135">
        <v>3.98</v>
      </c>
      <c r="R83" s="194"/>
      <c r="S83" s="194"/>
      <c r="T83" s="194"/>
      <c r="U83" s="194"/>
    </row>
    <row r="84" spans="1:21" s="12" customFormat="1" ht="15">
      <c r="A84" s="207" t="s">
        <v>2144</v>
      </c>
      <c r="B84" s="135">
        <v>3.53</v>
      </c>
      <c r="C84" s="135">
        <v>15.88</v>
      </c>
      <c r="D84" s="135">
        <v>19.420000000000002</v>
      </c>
      <c r="E84" s="135">
        <v>2.66</v>
      </c>
      <c r="F84" s="135">
        <v>0.26</v>
      </c>
      <c r="G84" s="208" t="s">
        <v>36</v>
      </c>
      <c r="H84" s="135">
        <v>14.68</v>
      </c>
      <c r="I84" s="135">
        <v>3.41</v>
      </c>
      <c r="J84" s="135">
        <v>0.15</v>
      </c>
      <c r="K84" s="135">
        <v>219.16</v>
      </c>
      <c r="L84" s="135">
        <v>41.89</v>
      </c>
      <c r="M84" s="135">
        <v>89.78</v>
      </c>
      <c r="N84" s="135">
        <v>0.90</v>
      </c>
      <c r="O84" s="135">
        <v>0</v>
      </c>
      <c r="P84" s="135">
        <v>2.98</v>
      </c>
      <c r="Q84" s="135">
        <v>4</v>
      </c>
      <c r="R84" s="194"/>
      <c r="S84" s="194"/>
      <c r="T84" s="194"/>
      <c r="U84" s="194"/>
    </row>
    <row r="85" spans="1:21" s="12" customFormat="1" ht="15">
      <c r="A85" s="207" t="s">
        <v>2145</v>
      </c>
      <c r="B85" s="135">
        <v>3.60</v>
      </c>
      <c r="C85" s="135">
        <v>15.60</v>
      </c>
      <c r="D85" s="135">
        <v>19.21</v>
      </c>
      <c r="E85" s="135">
        <v>3.19</v>
      </c>
      <c r="F85" s="135">
        <v>0.23</v>
      </c>
      <c r="G85" s="208" t="s">
        <v>36</v>
      </c>
      <c r="H85" s="135">
        <v>14.11</v>
      </c>
      <c r="I85" s="135">
        <v>3.52</v>
      </c>
      <c r="J85" s="135">
        <v>0.14000000000000001</v>
      </c>
      <c r="K85" s="135">
        <v>53.80</v>
      </c>
      <c r="L85" s="135">
        <v>41.78</v>
      </c>
      <c r="M85" s="135">
        <v>89.79</v>
      </c>
      <c r="N85" s="135">
        <v>0.40</v>
      </c>
      <c r="O85" s="135">
        <v>0</v>
      </c>
      <c r="P85" s="135">
        <v>3</v>
      </c>
      <c r="Q85" s="135">
        <v>4.08</v>
      </c>
      <c r="R85" s="194"/>
      <c r="S85" s="194"/>
      <c r="T85" s="194"/>
      <c r="U85" s="194"/>
    </row>
    <row r="86" spans="1:21" s="12" customFormat="1" ht="15">
      <c r="A86" s="207" t="s">
        <v>2146</v>
      </c>
      <c r="B86" s="135">
        <v>3.92</v>
      </c>
      <c r="C86" s="135">
        <v>15.59</v>
      </c>
      <c r="D86" s="135">
        <v>19.510000000000002</v>
      </c>
      <c r="E86" s="135">
        <v>2.73</v>
      </c>
      <c r="F86" s="135">
        <v>0.27</v>
      </c>
      <c r="G86" s="208" t="s">
        <v>36</v>
      </c>
      <c r="H86" s="135">
        <v>12.70</v>
      </c>
      <c r="I86" s="135">
        <v>3.58</v>
      </c>
      <c r="J86" s="135">
        <v>0.02</v>
      </c>
      <c r="K86" s="135">
        <v>132.43</v>
      </c>
      <c r="L86" s="135">
        <v>41.66</v>
      </c>
      <c r="M86" s="135">
        <v>89.83</v>
      </c>
      <c r="N86" s="135">
        <v>0.5</v>
      </c>
      <c r="O86" s="135">
        <v>0</v>
      </c>
      <c r="P86" s="135">
        <v>3.03</v>
      </c>
      <c r="Q86" s="135">
        <v>4.25</v>
      </c>
      <c r="R86" s="194"/>
      <c r="S86" s="194"/>
      <c r="T86" s="194"/>
      <c r="U86" s="194"/>
    </row>
    <row r="87" spans="1:21" s="12" customFormat="1" ht="15">
      <c r="A87" s="207" t="s">
        <v>2147</v>
      </c>
      <c r="B87" s="135">
        <v>4.03</v>
      </c>
      <c r="C87" s="135">
        <v>15.69</v>
      </c>
      <c r="D87" s="135">
        <v>19.73</v>
      </c>
      <c r="E87" s="135">
        <v>3.05</v>
      </c>
      <c r="F87" s="135">
        <v>0.33</v>
      </c>
      <c r="G87" s="208" t="s">
        <v>36</v>
      </c>
      <c r="H87" s="135">
        <v>12.70</v>
      </c>
      <c r="I87" s="135">
        <v>3.68</v>
      </c>
      <c r="J87" s="135">
        <v>0.06</v>
      </c>
      <c r="K87" s="135">
        <v>219.67</v>
      </c>
      <c r="L87" s="135">
        <v>41.57</v>
      </c>
      <c r="M87" s="135">
        <v>90.27</v>
      </c>
      <c r="N87" s="135">
        <v>0.40</v>
      </c>
      <c r="O87" s="135">
        <v>0</v>
      </c>
      <c r="P87" s="135">
        <v>3.03</v>
      </c>
      <c r="Q87" s="135">
        <v>4.37</v>
      </c>
      <c r="R87" s="194"/>
      <c r="S87" s="194"/>
      <c r="T87" s="194"/>
      <c r="U87" s="194"/>
    </row>
    <row r="88" spans="1:21" s="12" customFormat="1" ht="15">
      <c r="A88" s="207" t="s">
        <v>2148</v>
      </c>
      <c r="B88" s="135">
        <v>4.0999999999999996</v>
      </c>
      <c r="C88" s="135">
        <v>15.14</v>
      </c>
      <c r="D88" s="135">
        <v>19.239999999999998</v>
      </c>
      <c r="E88" s="135">
        <v>1.84</v>
      </c>
      <c r="F88" s="135">
        <v>0.34</v>
      </c>
      <c r="G88" s="208" t="s">
        <v>36</v>
      </c>
      <c r="H88" s="135">
        <v>12.70</v>
      </c>
      <c r="I88" s="135">
        <v>3.86</v>
      </c>
      <c r="J88" s="135">
        <v>0.08</v>
      </c>
      <c r="K88" s="135">
        <v>220.28</v>
      </c>
      <c r="L88" s="135">
        <v>41.42</v>
      </c>
      <c r="M88" s="135">
        <v>90.74</v>
      </c>
      <c r="N88" s="135">
        <v>0.40</v>
      </c>
      <c r="O88" s="135">
        <v>0</v>
      </c>
      <c r="P88" s="135">
        <v>3.05</v>
      </c>
      <c r="Q88" s="135">
        <v>4.42</v>
      </c>
      <c r="R88" s="194"/>
      <c r="S88" s="194"/>
      <c r="T88" s="194"/>
      <c r="U88" s="194"/>
    </row>
    <row r="89" spans="1:21" s="12" customFormat="1" ht="15">
      <c r="A89" s="207" t="s">
        <v>2149</v>
      </c>
      <c r="B89" s="135">
        <v>4.0999999999999996</v>
      </c>
      <c r="C89" s="135">
        <v>14.22</v>
      </c>
      <c r="D89" s="135">
        <v>18.32</v>
      </c>
      <c r="E89" s="135">
        <v>3.41</v>
      </c>
      <c r="F89" s="135">
        <v>0.48</v>
      </c>
      <c r="G89" s="208" t="s">
        <v>36</v>
      </c>
      <c r="H89" s="135">
        <v>13.42</v>
      </c>
      <c r="I89" s="135">
        <v>3.94</v>
      </c>
      <c r="J89" s="135">
        <v>0.12</v>
      </c>
      <c r="K89" s="135">
        <v>250.96</v>
      </c>
      <c r="L89" s="135">
        <v>41.36</v>
      </c>
      <c r="M89" s="135">
        <v>91.21</v>
      </c>
      <c r="N89" s="135">
        <v>0.40</v>
      </c>
      <c r="O89" s="135">
        <v>0</v>
      </c>
      <c r="P89" s="135">
        <v>3.05</v>
      </c>
      <c r="Q89" s="135">
        <v>4.51</v>
      </c>
      <c r="R89" s="194"/>
      <c r="S89" s="194"/>
      <c r="T89" s="194"/>
      <c r="U89" s="194"/>
    </row>
    <row r="90" spans="1:21" s="12" customFormat="1" ht="15">
      <c r="A90" s="207" t="s">
        <v>2150</v>
      </c>
      <c r="B90" s="135">
        <v>4.1399999999999997</v>
      </c>
      <c r="C90" s="135">
        <v>13.78</v>
      </c>
      <c r="D90" s="135">
        <v>17.920000000000002</v>
      </c>
      <c r="E90" s="135">
        <v>4.09</v>
      </c>
      <c r="F90" s="135">
        <v>0.27</v>
      </c>
      <c r="G90" s="208" t="s">
        <v>36</v>
      </c>
      <c r="H90" s="135">
        <v>15.21</v>
      </c>
      <c r="I90" s="135">
        <v>4.03</v>
      </c>
      <c r="J90" s="135">
        <v>0.11</v>
      </c>
      <c r="K90" s="135">
        <v>195.48</v>
      </c>
      <c r="L90" s="135">
        <v>41.28</v>
      </c>
      <c r="M90" s="135">
        <v>91.52</v>
      </c>
      <c r="N90" s="135">
        <v>0.40</v>
      </c>
      <c r="O90" s="135">
        <v>0</v>
      </c>
      <c r="P90" s="135">
        <v>3.05</v>
      </c>
      <c r="Q90" s="135">
        <v>4.3899999999999997</v>
      </c>
      <c r="R90" s="194"/>
      <c r="S90" s="194"/>
      <c r="T90" s="194"/>
      <c r="U90" s="194"/>
    </row>
    <row r="91" spans="1:21" s="12" customFormat="1" ht="15">
      <c r="A91" s="207" t="s">
        <v>2151</v>
      </c>
      <c r="B91" s="135">
        <v>4.16</v>
      </c>
      <c r="C91" s="135">
        <v>13.34</v>
      </c>
      <c r="D91" s="135">
        <v>17.5</v>
      </c>
      <c r="E91" s="135">
        <v>3.85</v>
      </c>
      <c r="F91" s="135">
        <v>0.21</v>
      </c>
      <c r="G91" s="208" t="s">
        <v>36</v>
      </c>
      <c r="H91" s="135">
        <v>15.21</v>
      </c>
      <c r="I91" s="135">
        <v>4.08</v>
      </c>
      <c r="J91" s="135">
        <v>0.09</v>
      </c>
      <c r="K91" s="135">
        <v>219.60</v>
      </c>
      <c r="L91" s="135">
        <v>41.26</v>
      </c>
      <c r="M91" s="135">
        <v>91.59</v>
      </c>
      <c r="N91" s="135">
        <v>0.40</v>
      </c>
      <c r="O91" s="135">
        <v>0</v>
      </c>
      <c r="P91" s="135">
        <v>3.04</v>
      </c>
      <c r="Q91" s="135">
        <v>4.28</v>
      </c>
      <c r="R91" s="194"/>
      <c r="S91" s="194"/>
      <c r="T91" s="194"/>
      <c r="U91" s="194"/>
    </row>
    <row r="92" spans="1:21" s="12" customFormat="1" ht="15">
      <c r="A92" s="207" t="s">
        <v>2152</v>
      </c>
      <c r="B92" s="135">
        <v>4.2300000000000004</v>
      </c>
      <c r="C92" s="135">
        <v>12.98</v>
      </c>
      <c r="D92" s="135">
        <v>17.21</v>
      </c>
      <c r="E92" s="135">
        <v>4.13</v>
      </c>
      <c r="F92" s="135">
        <v>0.23</v>
      </c>
      <c r="G92" s="208" t="s">
        <v>36</v>
      </c>
      <c r="H92" s="135">
        <v>15.21</v>
      </c>
      <c r="I92" s="135">
        <v>4.1100000000000003</v>
      </c>
      <c r="J92" s="135">
        <v>0.13</v>
      </c>
      <c r="K92" s="135">
        <v>239.14</v>
      </c>
      <c r="L92" s="135">
        <v>41.18</v>
      </c>
      <c r="M92" s="135">
        <v>91.85</v>
      </c>
      <c r="N92" s="135">
        <v>0.40</v>
      </c>
      <c r="O92" s="135">
        <v>0</v>
      </c>
      <c r="P92" s="135">
        <v>3.04</v>
      </c>
      <c r="Q92" s="135">
        <v>4.2699999999999996</v>
      </c>
      <c r="R92" s="194"/>
      <c r="S92" s="194"/>
      <c r="T92" s="194"/>
      <c r="U92" s="194"/>
    </row>
    <row r="93" spans="1:21" s="12" customFormat="1" ht="15">
      <c r="A93" s="207" t="s">
        <v>2153</v>
      </c>
      <c r="B93" s="135">
        <v>4.1399999999999997</v>
      </c>
      <c r="C93" s="135">
        <v>12.73</v>
      </c>
      <c r="D93" s="135">
        <v>16.87</v>
      </c>
      <c r="E93" s="135">
        <v>3.90</v>
      </c>
      <c r="F93" s="135">
        <v>0.27</v>
      </c>
      <c r="G93" s="208" t="s">
        <v>36</v>
      </c>
      <c r="H93" s="135">
        <v>14.46</v>
      </c>
      <c r="I93" s="135">
        <v>4.12</v>
      </c>
      <c r="J93" s="135">
        <v>0.06</v>
      </c>
      <c r="K93" s="135">
        <v>45.33</v>
      </c>
      <c r="L93" s="135">
        <v>41.14</v>
      </c>
      <c r="M93" s="135">
        <v>92.11</v>
      </c>
      <c r="N93" s="135">
        <v>0.40</v>
      </c>
      <c r="O93" s="135">
        <v>0</v>
      </c>
      <c r="P93" s="135">
        <v>3.05</v>
      </c>
      <c r="Q93" s="135">
        <v>4.2699999999999996</v>
      </c>
      <c r="R93" s="194"/>
      <c r="S93" s="194"/>
      <c r="T93" s="194"/>
      <c r="U93" s="194"/>
    </row>
    <row r="94" spans="1:21" s="12" customFormat="1" ht="15">
      <c r="A94" s="207" t="s">
        <v>2154</v>
      </c>
      <c r="B94" s="135">
        <v>4.34</v>
      </c>
      <c r="C94" s="135">
        <v>12.85</v>
      </c>
      <c r="D94" s="135">
        <v>17.20</v>
      </c>
      <c r="E94" s="135">
        <v>4.21</v>
      </c>
      <c r="F94" s="135">
        <v>0.20</v>
      </c>
      <c r="G94" s="208" t="s">
        <v>36</v>
      </c>
      <c r="H94" s="135">
        <v>12.60</v>
      </c>
      <c r="I94" s="135">
        <v>4.0999999999999996</v>
      </c>
      <c r="J94" s="135">
        <v>0.11</v>
      </c>
      <c r="K94" s="135">
        <v>29.03</v>
      </c>
      <c r="L94" s="135">
        <v>41.03</v>
      </c>
      <c r="M94" s="135">
        <v>92.54</v>
      </c>
      <c r="N94" s="135">
        <v>0.40</v>
      </c>
      <c r="O94" s="135">
        <v>0</v>
      </c>
      <c r="P94" s="135">
        <v>3.06</v>
      </c>
      <c r="Q94" s="135">
        <v>4.3499999999999996</v>
      </c>
      <c r="R94" s="194"/>
      <c r="S94" s="194"/>
      <c r="T94" s="194"/>
      <c r="U94" s="194"/>
    </row>
    <row r="95" spans="1:21" s="12" customFormat="1" ht="15">
      <c r="A95" s="207" t="s">
        <v>2155</v>
      </c>
      <c r="B95" s="135">
        <v>4.54</v>
      </c>
      <c r="C95" s="135">
        <v>13.42</v>
      </c>
      <c r="D95" s="135">
        <v>17.95</v>
      </c>
      <c r="E95" s="135">
        <v>4.2699999999999996</v>
      </c>
      <c r="F95" s="135">
        <v>0.06</v>
      </c>
      <c r="G95" s="208" t="s">
        <v>36</v>
      </c>
      <c r="H95" s="135">
        <v>12.60</v>
      </c>
      <c r="I95" s="135">
        <v>4.09</v>
      </c>
      <c r="J95" s="135">
        <v>0.08</v>
      </c>
      <c r="K95" s="135">
        <v>47.44</v>
      </c>
      <c r="L95" s="135">
        <v>41.06</v>
      </c>
      <c r="M95" s="135">
        <v>93.51</v>
      </c>
      <c r="N95" s="135">
        <v>0.40</v>
      </c>
      <c r="O95" s="135">
        <v>0</v>
      </c>
      <c r="P95" s="135">
        <v>3.05</v>
      </c>
      <c r="Q95" s="135">
        <v>4.5999999999999996</v>
      </c>
      <c r="R95" s="194"/>
      <c r="S95" s="194"/>
      <c r="T95" s="194"/>
      <c r="U95" s="194"/>
    </row>
    <row r="96" spans="1:26" s="12" customFormat="1" ht="15">
      <c r="A96" s="207" t="s">
        <v>2156</v>
      </c>
      <c r="B96" s="135">
        <v>4.82</v>
      </c>
      <c r="C96" s="135">
        <v>13.56</v>
      </c>
      <c r="D96" s="135">
        <v>18.38</v>
      </c>
      <c r="E96" s="135">
        <v>4.1900000000000004</v>
      </c>
      <c r="F96" s="135">
        <v>0.25</v>
      </c>
      <c r="G96" s="208" t="s">
        <v>36</v>
      </c>
      <c r="H96" s="135">
        <v>12.60</v>
      </c>
      <c r="I96" s="135">
        <v>4.13</v>
      </c>
      <c r="J96" s="135">
        <v>0.03</v>
      </c>
      <c r="K96" s="135">
        <v>56.54</v>
      </c>
      <c r="L96" s="135">
        <v>41.02</v>
      </c>
      <c r="M96" s="135">
        <v>93.64</v>
      </c>
      <c r="N96" s="135">
        <v>0.40</v>
      </c>
      <c r="O96" s="135">
        <v>0</v>
      </c>
      <c r="P96" s="135">
        <v>3.06</v>
      </c>
      <c r="Q96" s="135">
        <v>4.63</v>
      </c>
      <c r="R96" s="194"/>
      <c r="S96" s="194"/>
      <c r="T96" s="194"/>
      <c r="U96" s="194"/>
      <c r="Z96" s="105"/>
    </row>
    <row r="97" spans="1:21" s="12" customFormat="1" ht="15">
      <c r="A97" s="207" t="s">
        <v>2157</v>
      </c>
      <c r="B97" s="135">
        <v>4.99</v>
      </c>
      <c r="C97" s="135">
        <v>13.55</v>
      </c>
      <c r="D97" s="135">
        <v>18.54</v>
      </c>
      <c r="E97" s="135">
        <v>4.28</v>
      </c>
      <c r="F97" s="135">
        <v>0.25</v>
      </c>
      <c r="G97" s="208" t="s">
        <v>36</v>
      </c>
      <c r="H97" s="135">
        <v>12.03</v>
      </c>
      <c r="I97" s="135">
        <v>4.1100000000000003</v>
      </c>
      <c r="J97" s="135">
        <v>0.04</v>
      </c>
      <c r="K97" s="135">
        <v>61.86</v>
      </c>
      <c r="L97" s="135">
        <v>41.09</v>
      </c>
      <c r="M97" s="135">
        <v>93.62</v>
      </c>
      <c r="N97" s="135">
        <v>0.30</v>
      </c>
      <c r="O97" s="135">
        <v>0</v>
      </c>
      <c r="P97" s="135">
        <v>3.06</v>
      </c>
      <c r="Q97" s="135">
        <v>4.7300000000000004</v>
      </c>
      <c r="R97" s="194"/>
      <c r="S97" s="194"/>
      <c r="T97" s="194"/>
      <c r="U97" s="194"/>
    </row>
    <row r="98" spans="1:21" s="12" customFormat="1" ht="15">
      <c r="A98" s="207" t="s">
        <v>2158</v>
      </c>
      <c r="B98" s="135">
        <v>5.16</v>
      </c>
      <c r="C98" s="135">
        <v>13.56</v>
      </c>
      <c r="D98" s="135">
        <v>18.71</v>
      </c>
      <c r="E98" s="135">
        <v>4.78</v>
      </c>
      <c r="F98" s="135">
        <v>0.21</v>
      </c>
      <c r="G98" s="208" t="s">
        <v>36</v>
      </c>
      <c r="H98" s="135">
        <v>10.62</v>
      </c>
      <c r="I98" s="135">
        <v>4.0999999999999996</v>
      </c>
      <c r="J98" s="135">
        <v>0.04</v>
      </c>
      <c r="K98" s="135">
        <v>227.17</v>
      </c>
      <c r="L98" s="135">
        <v>41.06</v>
      </c>
      <c r="M98" s="135">
        <v>93.24</v>
      </c>
      <c r="N98" s="135">
        <v>0.30</v>
      </c>
      <c r="O98" s="135">
        <v>0</v>
      </c>
      <c r="P98" s="135">
        <v>3.05</v>
      </c>
      <c r="Q98" s="135">
        <v>4.8099999999999996</v>
      </c>
      <c r="R98" s="194"/>
      <c r="S98" s="194"/>
      <c r="T98" s="194"/>
      <c r="U98" s="194"/>
    </row>
    <row r="99" spans="1:21" s="12" customFormat="1" ht="15">
      <c r="A99" s="207" t="s">
        <v>2159</v>
      </c>
      <c r="B99" s="135">
        <v>4.92</v>
      </c>
      <c r="C99" s="135">
        <v>13.40</v>
      </c>
      <c r="D99" s="135">
        <v>18.32</v>
      </c>
      <c r="E99" s="135">
        <v>4.45</v>
      </c>
      <c r="F99" s="135">
        <v>0.28999999999999998</v>
      </c>
      <c r="G99" s="208" t="s">
        <v>36</v>
      </c>
      <c r="H99" s="135">
        <v>10.62</v>
      </c>
      <c r="I99" s="135">
        <v>4.09</v>
      </c>
      <c r="J99" s="135">
        <v>0.18</v>
      </c>
      <c r="K99" s="135">
        <v>230.12</v>
      </c>
      <c r="L99" s="135">
        <v>41.03</v>
      </c>
      <c r="M99" s="135">
        <v>93.33</v>
      </c>
      <c r="N99" s="135">
        <v>0.40</v>
      </c>
      <c r="O99" s="135">
        <v>0</v>
      </c>
      <c r="P99" s="135">
        <v>3.04</v>
      </c>
      <c r="Q99" s="135">
        <v>4.7699999999999996</v>
      </c>
      <c r="R99" s="194"/>
      <c r="S99" s="194"/>
      <c r="T99" s="194"/>
      <c r="U99" s="194"/>
    </row>
    <row r="100" spans="1:33" s="12" customFormat="1" ht="15">
      <c r="A100" s="207" t="s">
        <v>2160</v>
      </c>
      <c r="B100" s="135">
        <v>4.6399999999999997</v>
      </c>
      <c r="C100" s="135">
        <v>12.96</v>
      </c>
      <c r="D100" s="135">
        <v>17.600000000000001</v>
      </c>
      <c r="E100" s="135">
        <v>4.6100000000000003</v>
      </c>
      <c r="F100" s="135">
        <v>0.32</v>
      </c>
      <c r="G100" s="208" t="s">
        <v>36</v>
      </c>
      <c r="H100" s="135">
        <v>10.62</v>
      </c>
      <c r="I100" s="135">
        <v>4.09</v>
      </c>
      <c r="J100" s="135">
        <v>0.09</v>
      </c>
      <c r="K100" s="135">
        <v>222.51</v>
      </c>
      <c r="L100" s="135">
        <v>40.93</v>
      </c>
      <c r="M100" s="135">
        <v>93.61</v>
      </c>
      <c r="N100" s="135">
        <v>0.20</v>
      </c>
      <c r="O100" s="135">
        <v>0</v>
      </c>
      <c r="P100" s="135">
        <v>3.02</v>
      </c>
      <c r="Q100" s="135">
        <v>4.72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2161</v>
      </c>
      <c r="B101" s="135">
        <v>4.28</v>
      </c>
      <c r="C101" s="135">
        <v>12.76</v>
      </c>
      <c r="D101" s="135">
        <v>17.04</v>
      </c>
      <c r="E101" s="135">
        <v>4.7300000000000004</v>
      </c>
      <c r="F101" s="135">
        <v>0.30</v>
      </c>
      <c r="G101" s="208" t="s">
        <v>36</v>
      </c>
      <c r="H101" s="135">
        <v>9.85</v>
      </c>
      <c r="I101" s="135">
        <v>4.01</v>
      </c>
      <c r="J101" s="135">
        <v>0.16</v>
      </c>
      <c r="K101" s="135">
        <v>221.92</v>
      </c>
      <c r="L101" s="135">
        <v>40.869999999999997</v>
      </c>
      <c r="M101" s="135">
        <v>93.75</v>
      </c>
      <c r="N101" s="208" t="s">
        <v>36</v>
      </c>
      <c r="O101" s="135">
        <v>0</v>
      </c>
      <c r="P101" s="135">
        <v>3</v>
      </c>
      <c r="Q101" s="135">
        <v>4.75</v>
      </c>
      <c r="R101" s="194"/>
      <c r="S101" s="194"/>
      <c r="T101" s="194"/>
      <c r="U101" s="194"/>
    </row>
    <row r="102" spans="1:21" s="12" customFormat="1" ht="15">
      <c r="A102" s="207" t="s">
        <v>2162</v>
      </c>
      <c r="B102" s="135">
        <v>4.0599999999999996</v>
      </c>
      <c r="C102" s="135">
        <v>12.48</v>
      </c>
      <c r="D102" s="135">
        <v>16.54</v>
      </c>
      <c r="E102" s="135">
        <v>5.15</v>
      </c>
      <c r="F102" s="135">
        <v>0.14000000000000001</v>
      </c>
      <c r="G102" s="208" t="s">
        <v>36</v>
      </c>
      <c r="H102" s="135">
        <v>7.95</v>
      </c>
      <c r="I102" s="135">
        <v>3.98</v>
      </c>
      <c r="J102" s="135">
        <v>0.23</v>
      </c>
      <c r="K102" s="135">
        <v>216.10</v>
      </c>
      <c r="L102" s="135">
        <v>40.909999999999997</v>
      </c>
      <c r="M102" s="135">
        <v>93.60</v>
      </c>
      <c r="N102" s="135">
        <v>0.10</v>
      </c>
      <c r="O102" s="135">
        <v>0</v>
      </c>
      <c r="P102" s="135">
        <v>2.99</v>
      </c>
      <c r="Q102" s="135">
        <v>4.79</v>
      </c>
      <c r="R102" s="194"/>
      <c r="S102" s="194"/>
      <c r="T102" s="194"/>
      <c r="U102" s="194"/>
    </row>
    <row r="103" spans="1:21" s="12" customFormat="1" ht="15">
      <c r="A103" s="207" t="s">
        <v>2163</v>
      </c>
      <c r="B103" s="135">
        <v>3.90</v>
      </c>
      <c r="C103" s="135">
        <v>11.16</v>
      </c>
      <c r="D103" s="135">
        <v>15.06</v>
      </c>
      <c r="E103" s="135">
        <v>5.15</v>
      </c>
      <c r="F103" s="135">
        <v>0.45</v>
      </c>
      <c r="G103" s="208" t="s">
        <v>36</v>
      </c>
      <c r="H103" s="135">
        <v>7.95</v>
      </c>
      <c r="I103" s="135">
        <v>3.89</v>
      </c>
      <c r="J103" s="135">
        <v>0.08</v>
      </c>
      <c r="K103" s="135">
        <v>251.73</v>
      </c>
      <c r="L103" s="135">
        <v>40.89</v>
      </c>
      <c r="M103" s="135">
        <v>93.66</v>
      </c>
      <c r="N103" s="135">
        <v>0.40</v>
      </c>
      <c r="O103" s="135">
        <v>0</v>
      </c>
      <c r="P103" s="135">
        <v>2.96</v>
      </c>
      <c r="Q103" s="135">
        <v>4.57</v>
      </c>
      <c r="R103" s="194"/>
      <c r="S103" s="194"/>
      <c r="T103" s="194"/>
      <c r="U103" s="194"/>
    </row>
    <row r="104" spans="1:21" s="12" customFormat="1" ht="15">
      <c r="A104" s="209" t="s">
        <v>2164</v>
      </c>
      <c r="B104" s="210">
        <v>3.66</v>
      </c>
      <c r="C104" s="210">
        <v>10.59</v>
      </c>
      <c r="D104" s="210">
        <v>14.25</v>
      </c>
      <c r="E104" s="210">
        <v>1.80</v>
      </c>
      <c r="F104" s="210">
        <v>0.47</v>
      </c>
      <c r="G104" s="211" t="s">
        <v>36</v>
      </c>
      <c r="H104" s="210">
        <v>7.95</v>
      </c>
      <c r="I104" s="210">
        <v>3.88</v>
      </c>
      <c r="J104" s="210">
        <v>0.23</v>
      </c>
      <c r="K104" s="210">
        <v>219.09</v>
      </c>
      <c r="L104" s="210">
        <v>40.72</v>
      </c>
      <c r="M104" s="210">
        <v>94.06</v>
      </c>
      <c r="N104" s="210">
        <v>0.20</v>
      </c>
      <c r="O104" s="210">
        <v>0</v>
      </c>
      <c r="P104" s="210">
        <v>2.95</v>
      </c>
      <c r="Q104" s="210">
        <v>4.51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1.29</v>
      </c>
      <c r="C106" s="67">
        <f>MIN(C9:C104)</f>
        <v>8.8200000000000003</v>
      </c>
      <c r="D106" s="67">
        <f t="shared" si="0" ref="D106:Q106">MIN(D9:D104)</f>
        <v>10.15</v>
      </c>
      <c r="E106" s="67">
        <f t="shared" si="0"/>
        <v>0.87</v>
      </c>
      <c r="F106" s="67">
        <f t="shared" si="0"/>
        <v>0.01</v>
      </c>
      <c r="G106" s="67">
        <f t="shared" si="0"/>
        <v>0</v>
      </c>
      <c r="H106" s="67">
        <f t="shared" si="0"/>
        <v>1.95</v>
      </c>
      <c r="I106" s="67">
        <f t="shared" si="0"/>
        <v>2.8500000000000001</v>
      </c>
      <c r="J106" s="67">
        <f t="shared" si="0"/>
        <v>0.01</v>
      </c>
      <c r="K106" s="67">
        <f t="shared" si="0"/>
        <v>2.7799999999999998</v>
      </c>
      <c r="L106" s="67">
        <f t="shared" si="0"/>
        <v>35.490000000000002</v>
      </c>
      <c r="M106" s="67">
        <f t="shared" si="0"/>
        <v>77.620000000000005</v>
      </c>
      <c r="N106" s="67">
        <f t="shared" si="0"/>
        <v>0.10000000000000001</v>
      </c>
      <c r="O106" s="67">
        <f t="shared" si="0"/>
        <v>0</v>
      </c>
      <c r="P106" s="67">
        <f t="shared" si="0"/>
        <v>2.71</v>
      </c>
      <c r="Q106" s="67">
        <f t="shared" si="0"/>
        <v>2.8300000000000001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15.619999999999999</v>
      </c>
      <c r="C107" s="66">
        <f t="shared" si="1" ref="C107:Q107">MAX(C9:C104)</f>
        <v>22.84</v>
      </c>
      <c r="D107" s="66">
        <f t="shared" si="1"/>
        <v>37.149999999999999</v>
      </c>
      <c r="E107" s="66">
        <f t="shared" si="1"/>
        <v>5.8799999999999999</v>
      </c>
      <c r="F107" s="66">
        <f t="shared" si="1"/>
        <v>2.3700000000000001</v>
      </c>
      <c r="G107" s="66">
        <f t="shared" si="1"/>
        <v>0</v>
      </c>
      <c r="H107" s="66">
        <f t="shared" si="1"/>
        <v>15.210000000000001</v>
      </c>
      <c r="I107" s="66">
        <f t="shared" si="1"/>
        <v>6.7199999999999998</v>
      </c>
      <c r="J107" s="66">
        <f t="shared" si="1"/>
        <v>0.54000000000000004</v>
      </c>
      <c r="K107" s="66">
        <f t="shared" si="1"/>
        <v>358.75</v>
      </c>
      <c r="L107" s="66">
        <f t="shared" si="1"/>
        <v>50.719999999999999</v>
      </c>
      <c r="M107" s="66">
        <f t="shared" si="1"/>
        <v>99.019999999999996</v>
      </c>
      <c r="N107" s="66">
        <f t="shared" si="1"/>
        <v>476.30000000000001</v>
      </c>
      <c r="O107" s="66">
        <f t="shared" si="1"/>
        <v>0.40000000000000002</v>
      </c>
      <c r="P107" s="66">
        <f t="shared" si="1"/>
        <v>3.29</v>
      </c>
      <c r="Q107" s="66">
        <f t="shared" si="1"/>
        <v>8.3800000000000008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4.9695833333333335</v>
      </c>
      <c r="C108" s="67">
        <f t="shared" si="2" ref="C108:Q108">AVERAGE(C9:C104)</f>
        <v>14.366562500000002</v>
      </c>
      <c r="D108" s="67">
        <f t="shared" si="2"/>
        <v>19.336145833333337</v>
      </c>
      <c r="E108" s="67">
        <f t="shared" si="2"/>
        <v>3.9480208333333331</v>
      </c>
      <c r="F108" s="67">
        <f t="shared" si="2"/>
        <v>0.42578947368421055</v>
      </c>
      <c r="G108" s="67" t="e">
        <f t="shared" si="2"/>
        <v>#DIV/0!</v>
      </c>
      <c r="H108" s="67">
        <f t="shared" si="2"/>
        <v>8.4007291666666699</v>
      </c>
      <c r="I108" s="67">
        <f t="shared" si="2"/>
        <v>4.066562499999999</v>
      </c>
      <c r="J108" s="67">
        <f t="shared" si="2"/>
        <v>0.11812499999999998</v>
      </c>
      <c r="K108" s="67">
        <f t="shared" si="2"/>
        <v>183.6419791666666</v>
      </c>
      <c r="L108" s="67">
        <f t="shared" si="2"/>
        <v>42.287083333333335</v>
      </c>
      <c r="M108" s="67">
        <f t="shared" si="2"/>
        <v>90.013854166666661</v>
      </c>
      <c r="N108" s="67">
        <f t="shared" si="2"/>
        <v>82.831868131868092</v>
      </c>
      <c r="O108" s="67">
        <f t="shared" si="2"/>
        <v>0.0083333333333333332</v>
      </c>
      <c r="P108" s="67">
        <f t="shared" si="2"/>
        <v>2.9440625000000007</v>
      </c>
      <c r="Q108" s="67">
        <f t="shared" si="2"/>
        <v>4.5552083333333329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3.6757005538269145</v>
      </c>
      <c r="C109" s="67">
        <f t="shared" si="3" ref="C109:Q109">STDEV(C9:C104)</f>
        <v>4.4861217169410867</v>
      </c>
      <c r="D109" s="67">
        <f t="shared" si="3"/>
        <v>7.0829664272878965</v>
      </c>
      <c r="E109" s="67">
        <f t="shared" si="3"/>
        <v>1.3612816095922418</v>
      </c>
      <c r="F109" s="67">
        <f t="shared" si="3"/>
        <v>0.50546077345827656</v>
      </c>
      <c r="G109" s="67" t="e">
        <f t="shared" si="3"/>
        <v>#DIV/0!</v>
      </c>
      <c r="H109" s="67">
        <f t="shared" si="3"/>
        <v>4.1692148054877416</v>
      </c>
      <c r="I109" s="67">
        <f t="shared" si="3"/>
        <v>0.95794937579131045</v>
      </c>
      <c r="J109" s="67">
        <f t="shared" si="3"/>
        <v>0.095865173962953687</v>
      </c>
      <c r="K109" s="67">
        <f t="shared" si="3"/>
        <v>115.92560101084621</v>
      </c>
      <c r="L109" s="67">
        <f t="shared" si="3"/>
        <v>2.6195929441389287</v>
      </c>
      <c r="M109" s="67">
        <f t="shared" si="3"/>
        <v>4.9641568679975974</v>
      </c>
      <c r="N109" s="67">
        <f t="shared" si="3"/>
        <v>124.91927871773913</v>
      </c>
      <c r="O109" s="67">
        <f t="shared" si="3"/>
        <v>0.049559462778335214</v>
      </c>
      <c r="P109" s="67">
        <f t="shared" si="3"/>
        <v>0.14473626196055983</v>
      </c>
      <c r="Q109" s="67">
        <f t="shared" si="3"/>
        <v>1.3561058638746064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COUNT(N9:N104)+5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44127c-d167-48c2-8f46-ddd462f5accd}">
  <sheetPr codeName=""/>
  <dimension ref="A1:AG117"/>
  <sheetViews>
    <sheetView workbookViewId="0" topLeftCell="A1">
      <pane xSplit="1" ySplit="8" topLeftCell="B96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N111" sqref="N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21-07-2022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2165</v>
      </c>
      <c r="B9" s="135">
        <v>3.40</v>
      </c>
      <c r="C9" s="135">
        <v>10.32</v>
      </c>
      <c r="D9" s="135">
        <v>13.72</v>
      </c>
      <c r="E9" s="135">
        <v>4.47</v>
      </c>
      <c r="F9" s="135">
        <v>0.34</v>
      </c>
      <c r="G9" s="208" t="s">
        <v>36</v>
      </c>
      <c r="H9" s="135">
        <v>8.17</v>
      </c>
      <c r="I9" s="135">
        <v>3.82</v>
      </c>
      <c r="J9" s="135">
        <v>0.21</v>
      </c>
      <c r="K9" s="135">
        <v>218.42</v>
      </c>
      <c r="L9" s="9" t="s">
        <v>36</v>
      </c>
      <c r="M9" s="135">
        <v>94.29</v>
      </c>
      <c r="N9" s="135">
        <v>0.10</v>
      </c>
      <c r="O9" s="135">
        <v>0</v>
      </c>
      <c r="P9" s="135">
        <v>2.93</v>
      </c>
      <c r="Q9" s="135">
        <v>4.4000000000000004</v>
      </c>
      <c r="R9" s="194"/>
      <c r="S9" s="194"/>
      <c r="T9" s="194"/>
      <c r="U9" s="194"/>
    </row>
    <row r="10" spans="1:21" s="12" customFormat="1" ht="15">
      <c r="A10" s="207" t="s">
        <v>2166</v>
      </c>
      <c r="B10" s="135">
        <v>3.18</v>
      </c>
      <c r="C10" s="135">
        <v>9.8800000000000008</v>
      </c>
      <c r="D10" s="135">
        <v>13.06</v>
      </c>
      <c r="E10" s="135">
        <v>4.55</v>
      </c>
      <c r="F10" s="135">
        <v>0.22</v>
      </c>
      <c r="G10" s="208" t="s">
        <v>36</v>
      </c>
      <c r="H10" s="135">
        <v>8.7100000000000009</v>
      </c>
      <c r="I10" s="135">
        <v>3.76</v>
      </c>
      <c r="J10" s="135">
        <v>0.17</v>
      </c>
      <c r="K10" s="135">
        <v>221.85</v>
      </c>
      <c r="L10" s="9" t="s">
        <v>36</v>
      </c>
      <c r="M10" s="135">
        <v>94.12</v>
      </c>
      <c r="N10" s="135">
        <v>0.10</v>
      </c>
      <c r="O10" s="135">
        <v>0</v>
      </c>
      <c r="P10" s="135">
        <v>2.92</v>
      </c>
      <c r="Q10" s="135">
        <v>4.16</v>
      </c>
      <c r="R10" s="194"/>
      <c r="S10" s="194"/>
      <c r="T10" s="194"/>
      <c r="U10" s="194"/>
    </row>
    <row r="11" spans="1:21" s="12" customFormat="1" ht="15">
      <c r="A11" s="207" t="s">
        <v>2167</v>
      </c>
      <c r="B11" s="135">
        <v>3.01</v>
      </c>
      <c r="C11" s="135">
        <v>9.5500000000000007</v>
      </c>
      <c r="D11" s="135">
        <v>12.57</v>
      </c>
      <c r="E11" s="135">
        <v>4.45</v>
      </c>
      <c r="F11" s="135">
        <v>0.14000000000000001</v>
      </c>
      <c r="G11" s="208" t="s">
        <v>36</v>
      </c>
      <c r="H11" s="135">
        <v>8.7100000000000009</v>
      </c>
      <c r="I11" s="135">
        <v>3.71</v>
      </c>
      <c r="J11" s="135">
        <v>0.13</v>
      </c>
      <c r="K11" s="135">
        <v>222.79</v>
      </c>
      <c r="L11" s="9" t="s">
        <v>36</v>
      </c>
      <c r="M11" s="135">
        <v>94.21</v>
      </c>
      <c r="N11" s="135">
        <v>0.30</v>
      </c>
      <c r="O11" s="135">
        <v>0</v>
      </c>
      <c r="P11" s="135">
        <v>2.90</v>
      </c>
      <c r="Q11" s="135">
        <v>4.08</v>
      </c>
      <c r="R11" s="194"/>
      <c r="S11" s="194"/>
      <c r="T11" s="194"/>
      <c r="U11" s="194"/>
    </row>
    <row r="12" spans="1:21" s="12" customFormat="1" ht="15">
      <c r="A12" s="207" t="s">
        <v>2168</v>
      </c>
      <c r="B12" s="135">
        <v>2.91</v>
      </c>
      <c r="C12" s="135">
        <v>9.2100000000000009</v>
      </c>
      <c r="D12" s="135">
        <v>12.12</v>
      </c>
      <c r="E12" s="135">
        <v>4.82</v>
      </c>
      <c r="F12" s="135">
        <v>0.17</v>
      </c>
      <c r="G12" s="208" t="s">
        <v>36</v>
      </c>
      <c r="H12" s="135">
        <v>8.7100000000000009</v>
      </c>
      <c r="I12" s="135">
        <v>3.68</v>
      </c>
      <c r="J12" s="135">
        <v>0.11</v>
      </c>
      <c r="K12" s="135">
        <v>211.19</v>
      </c>
      <c r="L12" s="9" t="s">
        <v>36</v>
      </c>
      <c r="M12" s="135">
        <v>95.65</v>
      </c>
      <c r="N12" s="208" t="s">
        <v>36</v>
      </c>
      <c r="O12" s="135">
        <v>0</v>
      </c>
      <c r="P12" s="135">
        <v>2.88</v>
      </c>
      <c r="Q12" s="135">
        <v>4</v>
      </c>
      <c r="R12" s="194"/>
      <c r="S12" s="194"/>
      <c r="T12" s="194"/>
      <c r="U12" s="194"/>
    </row>
    <row r="13" spans="1:21" s="12" customFormat="1" ht="15">
      <c r="A13" s="207" t="s">
        <v>2169</v>
      </c>
      <c r="B13" s="135">
        <v>2.85</v>
      </c>
      <c r="C13" s="135">
        <v>8.94</v>
      </c>
      <c r="D13" s="135">
        <v>11.79</v>
      </c>
      <c r="E13" s="135">
        <v>5.09</v>
      </c>
      <c r="F13" s="135">
        <v>0.24</v>
      </c>
      <c r="G13" s="208" t="s">
        <v>36</v>
      </c>
      <c r="H13" s="135">
        <v>8.73</v>
      </c>
      <c r="I13" s="135">
        <v>3.57</v>
      </c>
      <c r="J13" s="135">
        <v>0.12</v>
      </c>
      <c r="K13" s="135">
        <v>221.31</v>
      </c>
      <c r="L13" s="9" t="s">
        <v>36</v>
      </c>
      <c r="M13" s="135">
        <v>97.12</v>
      </c>
      <c r="N13" s="208" t="s">
        <v>36</v>
      </c>
      <c r="O13" s="135">
        <v>0.20</v>
      </c>
      <c r="P13" s="135">
        <v>2.88</v>
      </c>
      <c r="Q13" s="135">
        <v>3.95</v>
      </c>
      <c r="R13" s="194"/>
      <c r="S13" s="194"/>
      <c r="T13" s="194"/>
      <c r="U13" s="194"/>
    </row>
    <row r="14" spans="1:21" s="12" customFormat="1" ht="15">
      <c r="A14" s="207" t="s">
        <v>2170</v>
      </c>
      <c r="B14" s="135">
        <v>2.93</v>
      </c>
      <c r="C14" s="135">
        <v>8.92</v>
      </c>
      <c r="D14" s="135">
        <v>11.84</v>
      </c>
      <c r="E14" s="135">
        <v>4.74</v>
      </c>
      <c r="F14" s="135">
        <v>0.20</v>
      </c>
      <c r="G14" s="208" t="s">
        <v>36</v>
      </c>
      <c r="H14" s="135">
        <v>8.76</v>
      </c>
      <c r="I14" s="135">
        <v>3.49</v>
      </c>
      <c r="J14" s="135">
        <v>0.15</v>
      </c>
      <c r="K14" s="135">
        <v>215.33</v>
      </c>
      <c r="L14" s="9" t="s">
        <v>36</v>
      </c>
      <c r="M14" s="135">
        <v>97.58</v>
      </c>
      <c r="N14" s="208" t="s">
        <v>36</v>
      </c>
      <c r="O14" s="135">
        <v>0</v>
      </c>
      <c r="P14" s="135">
        <v>2.88</v>
      </c>
      <c r="Q14" s="135">
        <v>4</v>
      </c>
      <c r="R14" s="194"/>
      <c r="S14" s="194"/>
      <c r="T14" s="194"/>
      <c r="U14" s="194"/>
    </row>
    <row r="15" spans="1:21" s="12" customFormat="1" ht="15">
      <c r="A15" s="207" t="s">
        <v>2171</v>
      </c>
      <c r="B15" s="135">
        <v>3.01</v>
      </c>
      <c r="C15" s="135">
        <v>8.76</v>
      </c>
      <c r="D15" s="135">
        <v>11.76</v>
      </c>
      <c r="E15" s="135">
        <v>5.30</v>
      </c>
      <c r="F15" s="135">
        <v>0.23</v>
      </c>
      <c r="G15" s="208" t="s">
        <v>36</v>
      </c>
      <c r="H15" s="135">
        <v>8.76</v>
      </c>
      <c r="I15" s="135">
        <v>3.37</v>
      </c>
      <c r="J15" s="135">
        <v>0.19</v>
      </c>
      <c r="K15" s="135">
        <v>230.35</v>
      </c>
      <c r="L15" s="9" t="s">
        <v>36</v>
      </c>
      <c r="M15" s="135">
        <v>97.36</v>
      </c>
      <c r="N15" s="208" t="s">
        <v>36</v>
      </c>
      <c r="O15" s="135">
        <v>0</v>
      </c>
      <c r="P15" s="135">
        <v>2.87</v>
      </c>
      <c r="Q15" s="135">
        <v>4.07</v>
      </c>
      <c r="R15" s="194"/>
      <c r="S15" s="194"/>
      <c r="T15" s="194"/>
      <c r="U15" s="194"/>
    </row>
    <row r="16" spans="1:21" s="12" customFormat="1" ht="15">
      <c r="A16" s="207" t="s">
        <v>2172</v>
      </c>
      <c r="B16" s="135">
        <v>3.09</v>
      </c>
      <c r="C16" s="135">
        <v>8.74</v>
      </c>
      <c r="D16" s="135">
        <v>11.83</v>
      </c>
      <c r="E16" s="135">
        <v>5.30</v>
      </c>
      <c r="F16" s="135">
        <v>0.19</v>
      </c>
      <c r="G16" s="208" t="s">
        <v>36</v>
      </c>
      <c r="H16" s="135">
        <v>8.76</v>
      </c>
      <c r="I16" s="135">
        <v>3.20</v>
      </c>
      <c r="J16" s="135">
        <v>0.14000000000000001</v>
      </c>
      <c r="K16" s="135">
        <v>205.58</v>
      </c>
      <c r="L16" s="9" t="s">
        <v>36</v>
      </c>
      <c r="M16" s="135">
        <v>97.25</v>
      </c>
      <c r="N16" s="208" t="s">
        <v>36</v>
      </c>
      <c r="O16" s="135">
        <v>0</v>
      </c>
      <c r="P16" s="135">
        <v>2.86</v>
      </c>
      <c r="Q16" s="135">
        <v>4.30</v>
      </c>
      <c r="R16" s="194"/>
      <c r="S16" s="194"/>
      <c r="T16" s="194"/>
      <c r="U16" s="194"/>
    </row>
    <row r="17" spans="1:21" s="12" customFormat="1" ht="15">
      <c r="A17" s="207" t="s">
        <v>2173</v>
      </c>
      <c r="B17" s="135">
        <v>3.19</v>
      </c>
      <c r="C17" s="135">
        <v>8.7200000000000006</v>
      </c>
      <c r="D17" s="135">
        <v>11.92</v>
      </c>
      <c r="E17" s="135">
        <v>5.14</v>
      </c>
      <c r="F17" s="135">
        <v>0.21</v>
      </c>
      <c r="G17" s="208" t="s">
        <v>36</v>
      </c>
      <c r="H17" s="135">
        <v>8.15</v>
      </c>
      <c r="I17" s="135">
        <v>3.18</v>
      </c>
      <c r="J17" s="135">
        <v>0.21</v>
      </c>
      <c r="K17" s="135">
        <v>220.91</v>
      </c>
      <c r="L17" s="9" t="s">
        <v>36</v>
      </c>
      <c r="M17" s="135">
        <v>97.35</v>
      </c>
      <c r="N17" s="208" t="s">
        <v>36</v>
      </c>
      <c r="O17" s="135">
        <v>0</v>
      </c>
      <c r="P17" s="135">
        <v>2.86</v>
      </c>
      <c r="Q17" s="135">
        <v>4.54</v>
      </c>
      <c r="R17" s="194"/>
      <c r="S17" s="194"/>
      <c r="T17" s="194"/>
      <c r="U17" s="194"/>
    </row>
    <row r="18" spans="1:21" s="12" customFormat="1" ht="15">
      <c r="A18" s="207" t="s">
        <v>2174</v>
      </c>
      <c r="B18" s="135">
        <v>3.28</v>
      </c>
      <c r="C18" s="135">
        <v>8.7100000000000009</v>
      </c>
      <c r="D18" s="135">
        <v>11.99</v>
      </c>
      <c r="E18" s="135">
        <v>5.76</v>
      </c>
      <c r="F18" s="135">
        <v>0.21</v>
      </c>
      <c r="G18" s="208" t="s">
        <v>36</v>
      </c>
      <c r="H18" s="135">
        <v>6.65</v>
      </c>
      <c r="I18" s="135">
        <v>3.28</v>
      </c>
      <c r="J18" s="135">
        <v>0.13</v>
      </c>
      <c r="K18" s="135">
        <v>208.61</v>
      </c>
      <c r="L18" s="9" t="s">
        <v>36</v>
      </c>
      <c r="M18" s="135">
        <v>97.09</v>
      </c>
      <c r="N18" s="135">
        <v>0.20</v>
      </c>
      <c r="O18" s="135">
        <v>0</v>
      </c>
      <c r="P18" s="135">
        <v>2.86</v>
      </c>
      <c r="Q18" s="135">
        <v>4.66</v>
      </c>
      <c r="R18" s="194"/>
      <c r="S18" s="194"/>
      <c r="T18" s="194"/>
      <c r="U18" s="194"/>
    </row>
    <row r="19" spans="1:21" s="12" customFormat="1" ht="15">
      <c r="A19" s="207" t="s">
        <v>2175</v>
      </c>
      <c r="B19" s="135">
        <v>3.39</v>
      </c>
      <c r="C19" s="135">
        <v>8.66</v>
      </c>
      <c r="D19" s="135">
        <v>12.06</v>
      </c>
      <c r="E19" s="135">
        <v>5.69</v>
      </c>
      <c r="F19" s="135">
        <v>0.17</v>
      </c>
      <c r="G19" s="208" t="s">
        <v>36</v>
      </c>
      <c r="H19" s="135">
        <v>6.65</v>
      </c>
      <c r="I19" s="135">
        <v>3.35</v>
      </c>
      <c r="J19" s="135">
        <v>0.08</v>
      </c>
      <c r="K19" s="135">
        <v>230.54</v>
      </c>
      <c r="L19" s="9" t="s">
        <v>36</v>
      </c>
      <c r="M19" s="135">
        <v>97.16</v>
      </c>
      <c r="N19" s="135">
        <v>0.40</v>
      </c>
      <c r="O19" s="135">
        <v>0</v>
      </c>
      <c r="P19" s="135">
        <v>2.85</v>
      </c>
      <c r="Q19" s="135">
        <v>4.79</v>
      </c>
      <c r="R19" s="194"/>
      <c r="S19" s="194"/>
      <c r="T19" s="194"/>
      <c r="U19" s="194"/>
    </row>
    <row r="20" spans="1:21" s="12" customFormat="1" ht="15">
      <c r="A20" s="207" t="s">
        <v>2176</v>
      </c>
      <c r="B20" s="135">
        <v>3.55</v>
      </c>
      <c r="C20" s="135">
        <v>8.56</v>
      </c>
      <c r="D20" s="135">
        <v>12.11</v>
      </c>
      <c r="E20" s="135">
        <v>5.69</v>
      </c>
      <c r="F20" s="135">
        <v>0.22</v>
      </c>
      <c r="G20" s="208" t="s">
        <v>36</v>
      </c>
      <c r="H20" s="135">
        <v>6.65</v>
      </c>
      <c r="I20" s="135">
        <v>3.29</v>
      </c>
      <c r="J20" s="135">
        <v>0.05</v>
      </c>
      <c r="K20" s="135">
        <v>258.72000000000003</v>
      </c>
      <c r="L20" s="9" t="s">
        <v>36</v>
      </c>
      <c r="M20" s="135">
        <v>97.05</v>
      </c>
      <c r="N20" s="135">
        <v>0.40</v>
      </c>
      <c r="O20" s="135">
        <v>0</v>
      </c>
      <c r="P20" s="135">
        <v>2.84</v>
      </c>
      <c r="Q20" s="135">
        <v>4.97</v>
      </c>
      <c r="R20" s="194"/>
      <c r="S20" s="194"/>
      <c r="T20" s="194"/>
      <c r="U20" s="194"/>
    </row>
    <row r="21" spans="1:21" s="12" customFormat="1" ht="15">
      <c r="A21" s="207" t="s">
        <v>2177</v>
      </c>
      <c r="B21" s="135">
        <v>3.65</v>
      </c>
      <c r="C21" s="135">
        <v>8.39</v>
      </c>
      <c r="D21" s="135">
        <v>12.03</v>
      </c>
      <c r="E21" s="135">
        <v>6.01</v>
      </c>
      <c r="F21" s="135">
        <v>0.41</v>
      </c>
      <c r="G21" s="208" t="s">
        <v>36</v>
      </c>
      <c r="H21" s="135">
        <v>6.83</v>
      </c>
      <c r="I21" s="135">
        <v>3.20</v>
      </c>
      <c r="J21" s="135">
        <v>0.10</v>
      </c>
      <c r="K21" s="135">
        <v>251.87</v>
      </c>
      <c r="L21" s="9" t="s">
        <v>36</v>
      </c>
      <c r="M21" s="135">
        <v>97.03</v>
      </c>
      <c r="N21" s="135">
        <v>0.40</v>
      </c>
      <c r="O21" s="135">
        <v>0</v>
      </c>
      <c r="P21" s="135">
        <v>2.83</v>
      </c>
      <c r="Q21" s="135">
        <v>5.01</v>
      </c>
      <c r="R21" s="194"/>
      <c r="S21" s="194"/>
      <c r="T21" s="194"/>
      <c r="U21" s="194"/>
    </row>
    <row r="22" spans="1:21" s="12" customFormat="1" ht="15">
      <c r="A22" s="207" t="s">
        <v>2178</v>
      </c>
      <c r="B22" s="135">
        <v>3.60</v>
      </c>
      <c r="C22" s="135">
        <v>8.1199999999999992</v>
      </c>
      <c r="D22" s="135">
        <v>11.73</v>
      </c>
      <c r="E22" s="135">
        <v>5.79</v>
      </c>
      <c r="F22" s="135">
        <v>0.39</v>
      </c>
      <c r="G22" s="208" t="s">
        <v>36</v>
      </c>
      <c r="H22" s="135">
        <v>7.30</v>
      </c>
      <c r="I22" s="135">
        <v>3.22</v>
      </c>
      <c r="J22" s="135">
        <v>0.12</v>
      </c>
      <c r="K22" s="135">
        <v>229.42</v>
      </c>
      <c r="L22" s="9" t="s">
        <v>36</v>
      </c>
      <c r="M22" s="135">
        <v>96.52</v>
      </c>
      <c r="N22" s="135">
        <v>0.5</v>
      </c>
      <c r="O22" s="135">
        <v>0</v>
      </c>
      <c r="P22" s="135">
        <v>2.83</v>
      </c>
      <c r="Q22" s="135">
        <v>5.04</v>
      </c>
      <c r="R22" s="194"/>
      <c r="S22" s="194"/>
      <c r="T22" s="194"/>
      <c r="U22" s="194"/>
    </row>
    <row r="23" spans="1:21" s="12" customFormat="1" ht="15">
      <c r="A23" s="207" t="s">
        <v>2179</v>
      </c>
      <c r="B23" s="135">
        <v>3.44</v>
      </c>
      <c r="C23" s="135">
        <v>8.3699999999999992</v>
      </c>
      <c r="D23" s="135">
        <v>11.81</v>
      </c>
      <c r="E23" s="135">
        <v>6.15</v>
      </c>
      <c r="F23" s="135">
        <v>0.27</v>
      </c>
      <c r="G23" s="208" t="s">
        <v>36</v>
      </c>
      <c r="H23" s="135">
        <v>7.30</v>
      </c>
      <c r="I23" s="135">
        <v>3.40</v>
      </c>
      <c r="J23" s="135">
        <v>0.11</v>
      </c>
      <c r="K23" s="135">
        <v>219.86</v>
      </c>
      <c r="L23" s="9" t="s">
        <v>36</v>
      </c>
      <c r="M23" s="135">
        <v>96.18</v>
      </c>
      <c r="N23" s="135">
        <v>0.40</v>
      </c>
      <c r="O23" s="135">
        <v>0</v>
      </c>
      <c r="P23" s="135">
        <v>2.81</v>
      </c>
      <c r="Q23" s="135">
        <v>4.99</v>
      </c>
      <c r="R23" s="194"/>
      <c r="S23" s="194"/>
      <c r="T23" s="194"/>
      <c r="U23" s="194"/>
    </row>
    <row r="24" spans="1:21" s="12" customFormat="1" ht="15">
      <c r="A24" s="207" t="s">
        <v>2180</v>
      </c>
      <c r="B24" s="135">
        <v>3.19</v>
      </c>
      <c r="C24" s="135">
        <v>8.3800000000000008</v>
      </c>
      <c r="D24" s="135">
        <v>11.57</v>
      </c>
      <c r="E24" s="135">
        <v>3.34</v>
      </c>
      <c r="F24" s="135">
        <v>0.41</v>
      </c>
      <c r="G24" s="208" t="s">
        <v>36</v>
      </c>
      <c r="H24" s="135">
        <v>7.30</v>
      </c>
      <c r="I24" s="135">
        <v>3.51</v>
      </c>
      <c r="J24" s="135">
        <v>0.19</v>
      </c>
      <c r="K24" s="135">
        <v>212.32</v>
      </c>
      <c r="L24" s="9" t="s">
        <v>36</v>
      </c>
      <c r="M24" s="135">
        <v>96.20</v>
      </c>
      <c r="N24" s="135">
        <v>0.40</v>
      </c>
      <c r="O24" s="135">
        <v>0</v>
      </c>
      <c r="P24" s="135">
        <v>2.80</v>
      </c>
      <c r="Q24" s="135">
        <v>4.7300000000000004</v>
      </c>
      <c r="R24" s="194"/>
      <c r="S24" s="194"/>
      <c r="T24" s="194"/>
      <c r="U24" s="194"/>
    </row>
    <row r="25" spans="1:21" s="12" customFormat="1" ht="15">
      <c r="A25" s="207" t="s">
        <v>2181</v>
      </c>
      <c r="B25" s="135">
        <v>3.03</v>
      </c>
      <c r="C25" s="135">
        <v>8.42</v>
      </c>
      <c r="D25" s="135">
        <v>11.45</v>
      </c>
      <c r="E25" s="135">
        <v>5.89</v>
      </c>
      <c r="F25" s="135">
        <v>0.19</v>
      </c>
      <c r="G25" s="208" t="s">
        <v>36</v>
      </c>
      <c r="H25" s="135">
        <v>7.16</v>
      </c>
      <c r="I25" s="135">
        <v>3.42</v>
      </c>
      <c r="J25" s="135">
        <v>0.18</v>
      </c>
      <c r="K25" s="135">
        <v>199.04</v>
      </c>
      <c r="L25" s="9" t="s">
        <v>36</v>
      </c>
      <c r="M25" s="135">
        <v>96.14</v>
      </c>
      <c r="N25" s="135">
        <v>0.40</v>
      </c>
      <c r="O25" s="135">
        <v>0</v>
      </c>
      <c r="P25" s="135">
        <v>2.78</v>
      </c>
      <c r="Q25" s="135">
        <v>4.59</v>
      </c>
      <c r="R25" s="194"/>
      <c r="S25" s="194"/>
      <c r="T25" s="194"/>
      <c r="U25" s="194"/>
    </row>
    <row r="26" spans="1:21" s="12" customFormat="1" ht="15">
      <c r="A26" s="207" t="s">
        <v>2182</v>
      </c>
      <c r="B26" s="135">
        <v>2.89</v>
      </c>
      <c r="C26" s="135">
        <v>8.33</v>
      </c>
      <c r="D26" s="135">
        <v>11.22</v>
      </c>
      <c r="E26" s="135">
        <v>5.93</v>
      </c>
      <c r="F26" s="135">
        <v>0.05</v>
      </c>
      <c r="G26" s="208" t="s">
        <v>36</v>
      </c>
      <c r="H26" s="135">
        <v>6.83</v>
      </c>
      <c r="I26" s="135">
        <v>3.32</v>
      </c>
      <c r="J26" s="135">
        <v>0.06</v>
      </c>
      <c r="K26" s="135">
        <v>294.85000000000002</v>
      </c>
      <c r="L26" s="9" t="s">
        <v>36</v>
      </c>
      <c r="M26" s="135">
        <v>96.24</v>
      </c>
      <c r="N26" s="135">
        <v>0.40</v>
      </c>
      <c r="O26" s="135">
        <v>0</v>
      </c>
      <c r="P26" s="135">
        <v>2.78</v>
      </c>
      <c r="Q26" s="135">
        <v>4.3600000000000003</v>
      </c>
      <c r="R26" s="194"/>
      <c r="S26" s="194"/>
      <c r="T26" s="194"/>
      <c r="U26" s="194"/>
    </row>
    <row r="27" spans="1:21" s="12" customFormat="1" ht="15">
      <c r="A27" s="207" t="s">
        <v>2183</v>
      </c>
      <c r="B27" s="135">
        <v>2.85</v>
      </c>
      <c r="C27" s="135">
        <v>8.40</v>
      </c>
      <c r="D27" s="135">
        <v>11.25</v>
      </c>
      <c r="E27" s="135">
        <v>5.94</v>
      </c>
      <c r="F27" s="135">
        <v>0.06</v>
      </c>
      <c r="G27" s="208" t="s">
        <v>36</v>
      </c>
      <c r="H27" s="135">
        <v>6.83</v>
      </c>
      <c r="I27" s="135">
        <v>3.29</v>
      </c>
      <c r="J27" s="135">
        <v>0.02</v>
      </c>
      <c r="K27" s="135">
        <v>128.41</v>
      </c>
      <c r="L27" s="9" t="s">
        <v>36</v>
      </c>
      <c r="M27" s="135">
        <v>96.17</v>
      </c>
      <c r="N27" s="135">
        <v>0.5</v>
      </c>
      <c r="O27" s="135">
        <v>0</v>
      </c>
      <c r="P27" s="135">
        <v>2.77</v>
      </c>
      <c r="Q27" s="135">
        <v>4.25</v>
      </c>
      <c r="R27" s="194"/>
      <c r="S27" s="194"/>
      <c r="T27" s="194"/>
      <c r="U27" s="194"/>
    </row>
    <row r="28" spans="1:21" s="12" customFormat="1" ht="15">
      <c r="A28" s="207" t="s">
        <v>2184</v>
      </c>
      <c r="B28" s="135">
        <v>2.85</v>
      </c>
      <c r="C28" s="135">
        <v>8.7100000000000009</v>
      </c>
      <c r="D28" s="135">
        <v>11.56</v>
      </c>
      <c r="E28" s="135">
        <v>5.97</v>
      </c>
      <c r="F28" s="135">
        <v>0.05</v>
      </c>
      <c r="G28" s="208" t="s">
        <v>36</v>
      </c>
      <c r="H28" s="135">
        <v>6.83</v>
      </c>
      <c r="I28" s="135">
        <v>3.26</v>
      </c>
      <c r="J28" s="135">
        <v>0.04</v>
      </c>
      <c r="K28" s="135">
        <v>319.02999999999997</v>
      </c>
      <c r="L28" s="9" t="s">
        <v>36</v>
      </c>
      <c r="M28" s="135">
        <v>96.28</v>
      </c>
      <c r="N28" s="135">
        <v>0.60</v>
      </c>
      <c r="O28" s="135">
        <v>0</v>
      </c>
      <c r="P28" s="135">
        <v>2.77</v>
      </c>
      <c r="Q28" s="135">
        <v>4.2300000000000004</v>
      </c>
      <c r="R28" s="194"/>
      <c r="S28" s="194"/>
      <c r="T28" s="194"/>
      <c r="U28" s="194"/>
    </row>
    <row r="29" spans="1:21" s="12" customFormat="1" ht="15">
      <c r="A29" s="207" t="s">
        <v>2185</v>
      </c>
      <c r="B29" s="135">
        <v>2.97</v>
      </c>
      <c r="C29" s="135">
        <v>8.67</v>
      </c>
      <c r="D29" s="135">
        <v>11.64</v>
      </c>
      <c r="E29" s="135">
        <v>6.08</v>
      </c>
      <c r="F29" s="135">
        <v>0.18</v>
      </c>
      <c r="G29" s="208" t="s">
        <v>36</v>
      </c>
      <c r="H29" s="135">
        <v>6.53</v>
      </c>
      <c r="I29" s="135">
        <v>3.18</v>
      </c>
      <c r="J29" s="135">
        <v>0.01</v>
      </c>
      <c r="K29" s="135">
        <v>307.63</v>
      </c>
      <c r="L29" s="9" t="s">
        <v>36</v>
      </c>
      <c r="M29" s="135">
        <v>96.21</v>
      </c>
      <c r="N29" s="135">
        <v>0.60</v>
      </c>
      <c r="O29" s="135">
        <v>0</v>
      </c>
      <c r="P29" s="135">
        <v>2.76</v>
      </c>
      <c r="Q29" s="135">
        <v>4.17</v>
      </c>
      <c r="R29" s="194"/>
      <c r="S29" s="194"/>
      <c r="T29" s="194"/>
      <c r="U29" s="194"/>
    </row>
    <row r="30" spans="1:21" s="12" customFormat="1" ht="15">
      <c r="A30" s="207" t="s">
        <v>2186</v>
      </c>
      <c r="B30" s="135">
        <v>3.07</v>
      </c>
      <c r="C30" s="135">
        <v>8.8000000000000007</v>
      </c>
      <c r="D30" s="135">
        <v>11.87</v>
      </c>
      <c r="E30" s="135">
        <v>6.13</v>
      </c>
      <c r="F30" s="135">
        <v>0.10</v>
      </c>
      <c r="G30" s="208" t="s">
        <v>36</v>
      </c>
      <c r="H30" s="135">
        <v>5.82</v>
      </c>
      <c r="I30" s="135">
        <v>3.10</v>
      </c>
      <c r="J30" s="135">
        <v>0.10</v>
      </c>
      <c r="K30" s="135">
        <v>201.49</v>
      </c>
      <c r="L30" s="9" t="s">
        <v>36</v>
      </c>
      <c r="M30" s="135">
        <v>96.15</v>
      </c>
      <c r="N30" s="135">
        <v>0.80</v>
      </c>
      <c r="O30" s="135">
        <v>0</v>
      </c>
      <c r="P30" s="135">
        <v>2.77</v>
      </c>
      <c r="Q30" s="135">
        <v>4.2300000000000004</v>
      </c>
      <c r="R30" s="194"/>
      <c r="S30" s="194"/>
      <c r="T30" s="194"/>
      <c r="U30" s="194"/>
    </row>
    <row r="31" spans="1:21" s="12" customFormat="1" ht="15">
      <c r="A31" s="207" t="s">
        <v>2187</v>
      </c>
      <c r="B31" s="135">
        <v>3.31</v>
      </c>
      <c r="C31" s="135">
        <v>8.90</v>
      </c>
      <c r="D31" s="135">
        <v>12.21</v>
      </c>
      <c r="E31" s="135">
        <v>5.90</v>
      </c>
      <c r="F31" s="135">
        <v>0.04</v>
      </c>
      <c r="G31" s="208" t="s">
        <v>36</v>
      </c>
      <c r="H31" s="135">
        <v>5.82</v>
      </c>
      <c r="I31" s="135">
        <v>3.09</v>
      </c>
      <c r="J31" s="135">
        <v>0.070000000000000007</v>
      </c>
      <c r="K31" s="135">
        <v>54.67</v>
      </c>
      <c r="L31" s="9" t="s">
        <v>36</v>
      </c>
      <c r="M31" s="135">
        <v>96.10</v>
      </c>
      <c r="N31" s="135">
        <v>1.90</v>
      </c>
      <c r="O31" s="135">
        <v>0</v>
      </c>
      <c r="P31" s="135">
        <v>2.76</v>
      </c>
      <c r="Q31" s="135">
        <v>4.37</v>
      </c>
      <c r="R31" s="194"/>
      <c r="S31" s="194"/>
      <c r="T31" s="194"/>
      <c r="U31" s="194"/>
    </row>
    <row r="32" spans="1:21" s="12" customFormat="1" ht="15">
      <c r="A32" s="207" t="s">
        <v>2188</v>
      </c>
      <c r="B32" s="135">
        <v>3.70</v>
      </c>
      <c r="C32" s="135">
        <v>9.07</v>
      </c>
      <c r="D32" s="135">
        <v>12.77</v>
      </c>
      <c r="E32" s="135">
        <v>5.85</v>
      </c>
      <c r="F32" s="135">
        <v>0.11</v>
      </c>
      <c r="G32" s="208" t="s">
        <v>36</v>
      </c>
      <c r="H32" s="135">
        <v>5.82</v>
      </c>
      <c r="I32" s="135">
        <v>3.05</v>
      </c>
      <c r="J32" s="135">
        <v>0.06</v>
      </c>
      <c r="K32" s="135">
        <v>260.87</v>
      </c>
      <c r="L32" s="9" t="s">
        <v>36</v>
      </c>
      <c r="M32" s="135">
        <v>96</v>
      </c>
      <c r="N32" s="135">
        <v>6.30</v>
      </c>
      <c r="O32" s="135">
        <v>0</v>
      </c>
      <c r="P32" s="135">
        <v>2.77</v>
      </c>
      <c r="Q32" s="135">
        <v>4.5</v>
      </c>
      <c r="R32" s="194"/>
      <c r="S32" s="194"/>
      <c r="T32" s="194"/>
      <c r="U32" s="194"/>
    </row>
    <row r="33" spans="1:21" s="12" customFormat="1" ht="15">
      <c r="A33" s="207" t="s">
        <v>2189</v>
      </c>
      <c r="B33" s="135">
        <v>3.99</v>
      </c>
      <c r="C33" s="135">
        <v>9.25</v>
      </c>
      <c r="D33" s="135">
        <v>13.24</v>
      </c>
      <c r="E33" s="135">
        <v>6.18</v>
      </c>
      <c r="F33" s="135">
        <v>0.08</v>
      </c>
      <c r="G33" s="208" t="s">
        <v>36</v>
      </c>
      <c r="H33" s="135">
        <v>6.28</v>
      </c>
      <c r="I33" s="135">
        <v>3.14</v>
      </c>
      <c r="J33" s="135">
        <v>0.10</v>
      </c>
      <c r="K33" s="135">
        <v>211.20</v>
      </c>
      <c r="L33" s="9" t="s">
        <v>36</v>
      </c>
      <c r="M33" s="135">
        <v>96.22</v>
      </c>
      <c r="N33" s="135">
        <v>16.20</v>
      </c>
      <c r="O33" s="135">
        <v>0</v>
      </c>
      <c r="P33" s="135">
        <v>2.78</v>
      </c>
      <c r="Q33" s="135">
        <v>4.6500000000000004</v>
      </c>
      <c r="R33" s="194"/>
      <c r="S33" s="194"/>
      <c r="T33" s="194"/>
      <c r="U33" s="194"/>
    </row>
    <row r="34" spans="1:21" s="12" customFormat="1" ht="15">
      <c r="A34" s="207" t="s">
        <v>2190</v>
      </c>
      <c r="B34" s="135">
        <v>4.30</v>
      </c>
      <c r="C34" s="135">
        <v>9.51</v>
      </c>
      <c r="D34" s="135">
        <v>13.81</v>
      </c>
      <c r="E34" s="135">
        <v>5.75</v>
      </c>
      <c r="F34" s="135">
        <v>0.13</v>
      </c>
      <c r="G34" s="208" t="s">
        <v>36</v>
      </c>
      <c r="H34" s="135">
        <v>7.42</v>
      </c>
      <c r="I34" s="135">
        <v>3.17</v>
      </c>
      <c r="J34" s="135">
        <v>0.02</v>
      </c>
      <c r="K34" s="135">
        <v>247.79</v>
      </c>
      <c r="L34" s="9" t="s">
        <v>36</v>
      </c>
      <c r="M34" s="135">
        <v>96.35</v>
      </c>
      <c r="N34" s="135">
        <v>19</v>
      </c>
      <c r="O34" s="135">
        <v>0</v>
      </c>
      <c r="P34" s="135">
        <v>2.77</v>
      </c>
      <c r="Q34" s="135">
        <v>4.80</v>
      </c>
      <c r="R34" s="194"/>
      <c r="S34" s="194"/>
      <c r="T34" s="194"/>
      <c r="U34" s="194"/>
    </row>
    <row r="35" spans="1:21" s="12" customFormat="1" ht="15">
      <c r="A35" s="207" t="s">
        <v>2191</v>
      </c>
      <c r="B35" s="135">
        <v>4.54</v>
      </c>
      <c r="C35" s="135">
        <v>9.98</v>
      </c>
      <c r="D35" s="135">
        <v>14.52</v>
      </c>
      <c r="E35" s="135">
        <v>5.85</v>
      </c>
      <c r="F35" s="135">
        <v>0.16</v>
      </c>
      <c r="G35" s="208" t="s">
        <v>36</v>
      </c>
      <c r="H35" s="135">
        <v>7.42</v>
      </c>
      <c r="I35" s="135">
        <v>3.22</v>
      </c>
      <c r="J35" s="135">
        <v>0.10</v>
      </c>
      <c r="K35" s="135">
        <v>237.97</v>
      </c>
      <c r="L35" s="9" t="s">
        <v>36</v>
      </c>
      <c r="M35" s="135">
        <v>96.49</v>
      </c>
      <c r="N35" s="135">
        <v>16.30</v>
      </c>
      <c r="O35" s="135">
        <v>0</v>
      </c>
      <c r="P35" s="135">
        <v>2.79</v>
      </c>
      <c r="Q35" s="135">
        <v>4.8899999999999997</v>
      </c>
      <c r="R35" s="194"/>
      <c r="S35" s="194"/>
      <c r="T35" s="194"/>
      <c r="U35" s="194"/>
    </row>
    <row r="36" spans="1:21" s="12" customFormat="1" ht="15">
      <c r="A36" s="207" t="s">
        <v>2192</v>
      </c>
      <c r="B36" s="135">
        <v>5.0999999999999996</v>
      </c>
      <c r="C36" s="135">
        <v>9.9700000000000006</v>
      </c>
      <c r="D36" s="135">
        <v>15.07</v>
      </c>
      <c r="E36" s="135">
        <v>6.11</v>
      </c>
      <c r="F36" s="135">
        <v>0.20</v>
      </c>
      <c r="G36" s="208" t="s">
        <v>36</v>
      </c>
      <c r="H36" s="135">
        <v>7.42</v>
      </c>
      <c r="I36" s="135">
        <v>3.24</v>
      </c>
      <c r="J36" s="135">
        <v>0.03</v>
      </c>
      <c r="K36" s="135">
        <v>347.09</v>
      </c>
      <c r="L36" s="9" t="s">
        <v>36</v>
      </c>
      <c r="M36" s="135">
        <v>96.31</v>
      </c>
      <c r="N36" s="135">
        <v>27.20</v>
      </c>
      <c r="O36" s="135">
        <v>0</v>
      </c>
      <c r="P36" s="135">
        <v>2.79</v>
      </c>
      <c r="Q36" s="135">
        <v>5.08</v>
      </c>
      <c r="R36" s="194"/>
      <c r="S36" s="194"/>
      <c r="T36" s="194"/>
      <c r="U36" s="194"/>
    </row>
    <row r="37" spans="1:21" s="12" customFormat="1" ht="15">
      <c r="A37" s="207" t="s">
        <v>2193</v>
      </c>
      <c r="B37" s="135">
        <v>5.97</v>
      </c>
      <c r="C37" s="135">
        <v>10.09</v>
      </c>
      <c r="D37" s="135">
        <v>16.05</v>
      </c>
      <c r="E37" s="135">
        <v>5.85</v>
      </c>
      <c r="F37" s="135">
        <v>0.10</v>
      </c>
      <c r="G37" s="208" t="s">
        <v>36</v>
      </c>
      <c r="H37" s="135">
        <v>7.88</v>
      </c>
      <c r="I37" s="135">
        <v>3.29</v>
      </c>
      <c r="J37" s="135">
        <v>0.09</v>
      </c>
      <c r="K37" s="135">
        <v>40.869999999999997</v>
      </c>
      <c r="L37" s="9" t="s">
        <v>36</v>
      </c>
      <c r="M37" s="135">
        <v>95.74</v>
      </c>
      <c r="N37" s="135">
        <v>36.40</v>
      </c>
      <c r="O37" s="135">
        <v>0</v>
      </c>
      <c r="P37" s="135">
        <v>2.81</v>
      </c>
      <c r="Q37" s="135">
        <v>5.40</v>
      </c>
      <c r="R37" s="194"/>
      <c r="S37" s="194"/>
      <c r="T37" s="194"/>
      <c r="U37" s="194"/>
    </row>
    <row r="38" spans="1:21" s="12" customFormat="1" ht="15">
      <c r="A38" s="207" t="s">
        <v>2194</v>
      </c>
      <c r="B38" s="135">
        <v>7.07</v>
      </c>
      <c r="C38" s="135">
        <v>10.43</v>
      </c>
      <c r="D38" s="135">
        <v>17.5</v>
      </c>
      <c r="E38" s="135">
        <v>5.95</v>
      </c>
      <c r="F38" s="135">
        <v>0.11</v>
      </c>
      <c r="G38" s="208" t="s">
        <v>36</v>
      </c>
      <c r="H38" s="135">
        <v>9</v>
      </c>
      <c r="I38" s="135">
        <v>3.31</v>
      </c>
      <c r="J38" s="135">
        <v>0.03</v>
      </c>
      <c r="K38" s="135">
        <v>90.37</v>
      </c>
      <c r="L38" s="9" t="s">
        <v>36</v>
      </c>
      <c r="M38" s="135">
        <v>94.38</v>
      </c>
      <c r="N38" s="135">
        <v>116.20</v>
      </c>
      <c r="O38" s="135">
        <v>0</v>
      </c>
      <c r="P38" s="135">
        <v>2.83</v>
      </c>
      <c r="Q38" s="135">
        <v>5.60</v>
      </c>
      <c r="R38" s="194"/>
      <c r="S38" s="194"/>
      <c r="T38" s="194"/>
      <c r="U38" s="194"/>
    </row>
    <row r="39" spans="1:21" s="12" customFormat="1" ht="15">
      <c r="A39" s="207" t="s">
        <v>2195</v>
      </c>
      <c r="B39" s="135">
        <v>7.54</v>
      </c>
      <c r="C39" s="135">
        <v>10.65</v>
      </c>
      <c r="D39" s="135">
        <v>18.190000000000001</v>
      </c>
      <c r="E39" s="135">
        <v>5.81</v>
      </c>
      <c r="F39" s="135">
        <v>0.22</v>
      </c>
      <c r="G39" s="208" t="s">
        <v>36</v>
      </c>
      <c r="H39" s="135">
        <v>9</v>
      </c>
      <c r="I39" s="135">
        <v>3.43</v>
      </c>
      <c r="J39" s="135">
        <v>0.03</v>
      </c>
      <c r="K39" s="135">
        <v>302.47000000000003</v>
      </c>
      <c r="L39" s="9" t="s">
        <v>36</v>
      </c>
      <c r="M39" s="135">
        <v>92.69</v>
      </c>
      <c r="N39" s="135">
        <v>135.30000000000001</v>
      </c>
      <c r="O39" s="135">
        <v>0</v>
      </c>
      <c r="P39" s="135">
        <v>2.84</v>
      </c>
      <c r="Q39" s="135">
        <v>5.66</v>
      </c>
      <c r="R39" s="194"/>
      <c r="S39" s="194"/>
      <c r="T39" s="194"/>
      <c r="U39" s="194"/>
    </row>
    <row r="40" spans="1:21" s="12" customFormat="1" ht="15">
      <c r="A40" s="207" t="s">
        <v>2196</v>
      </c>
      <c r="B40" s="135">
        <v>7.75</v>
      </c>
      <c r="C40" s="135">
        <v>10.64</v>
      </c>
      <c r="D40" s="135">
        <v>18.39</v>
      </c>
      <c r="E40" s="135">
        <v>2.57</v>
      </c>
      <c r="F40" s="135">
        <v>0.20</v>
      </c>
      <c r="G40" s="208" t="s">
        <v>36</v>
      </c>
      <c r="H40" s="135">
        <v>9</v>
      </c>
      <c r="I40" s="135">
        <v>3.5</v>
      </c>
      <c r="J40" s="135">
        <v>0.11</v>
      </c>
      <c r="K40" s="135">
        <v>24.22</v>
      </c>
      <c r="L40" s="9" t="s">
        <v>36</v>
      </c>
      <c r="M40" s="135">
        <v>91.92</v>
      </c>
      <c r="N40" s="135">
        <v>88</v>
      </c>
      <c r="O40" s="135">
        <v>0</v>
      </c>
      <c r="P40" s="135">
        <v>2.85</v>
      </c>
      <c r="Q40" s="135">
        <v>5.62</v>
      </c>
      <c r="R40" s="194"/>
      <c r="S40" s="194"/>
      <c r="T40" s="194"/>
      <c r="U40" s="194"/>
    </row>
    <row r="41" spans="1:21" s="12" customFormat="1" ht="15">
      <c r="A41" s="207" t="s">
        <v>2197</v>
      </c>
      <c r="B41" s="135">
        <v>7.99</v>
      </c>
      <c r="C41" s="135">
        <v>10.90</v>
      </c>
      <c r="D41" s="135">
        <v>18.89</v>
      </c>
      <c r="E41" s="135">
        <v>4.83</v>
      </c>
      <c r="F41" s="135">
        <v>0.18</v>
      </c>
      <c r="G41" s="208" t="s">
        <v>36</v>
      </c>
      <c r="H41" s="135">
        <v>10.37</v>
      </c>
      <c r="I41" s="135">
        <v>3.59</v>
      </c>
      <c r="J41" s="135">
        <v>0.13</v>
      </c>
      <c r="K41" s="135">
        <v>38.72</v>
      </c>
      <c r="L41" s="9" t="s">
        <v>36</v>
      </c>
      <c r="M41" s="135">
        <v>90.88</v>
      </c>
      <c r="N41" s="135">
        <v>151.10</v>
      </c>
      <c r="O41" s="135">
        <v>0</v>
      </c>
      <c r="P41" s="135">
        <v>2.87</v>
      </c>
      <c r="Q41" s="135">
        <v>5.66</v>
      </c>
      <c r="R41" s="194"/>
      <c r="S41" s="194"/>
      <c r="T41" s="194"/>
      <c r="U41" s="194"/>
    </row>
    <row r="42" spans="1:21" s="12" customFormat="1" ht="15">
      <c r="A42" s="207" t="s">
        <v>2198</v>
      </c>
      <c r="B42" s="135">
        <v>8.26</v>
      </c>
      <c r="C42" s="135">
        <v>11.34</v>
      </c>
      <c r="D42" s="135">
        <v>19.600000000000001</v>
      </c>
      <c r="E42" s="135">
        <v>4.55</v>
      </c>
      <c r="F42" s="135">
        <v>0.08</v>
      </c>
      <c r="G42" s="208" t="s">
        <v>36</v>
      </c>
      <c r="H42" s="135">
        <v>13.74</v>
      </c>
      <c r="I42" s="135">
        <v>3.62</v>
      </c>
      <c r="J42" s="135">
        <v>0.04</v>
      </c>
      <c r="K42" s="135">
        <v>5.12</v>
      </c>
      <c r="L42" s="9" t="s">
        <v>36</v>
      </c>
      <c r="M42" s="135">
        <v>89.51</v>
      </c>
      <c r="N42" s="135">
        <v>230.40</v>
      </c>
      <c r="O42" s="135">
        <v>0</v>
      </c>
      <c r="P42" s="135">
        <v>2.88</v>
      </c>
      <c r="Q42" s="135">
        <v>5.79</v>
      </c>
      <c r="R42" s="194"/>
      <c r="S42" s="194"/>
      <c r="T42" s="194"/>
      <c r="U42" s="194"/>
    </row>
    <row r="43" spans="1:21" s="12" customFormat="1" ht="15">
      <c r="A43" s="207" t="s">
        <v>2199</v>
      </c>
      <c r="B43" s="135">
        <v>8.2200000000000006</v>
      </c>
      <c r="C43" s="135">
        <v>11.79</v>
      </c>
      <c r="D43" s="135">
        <v>20.010000000000002</v>
      </c>
      <c r="E43" s="135">
        <v>5.08</v>
      </c>
      <c r="F43" s="135">
        <v>0.04</v>
      </c>
      <c r="G43" s="208" t="s">
        <v>36</v>
      </c>
      <c r="H43" s="135">
        <v>13.74</v>
      </c>
      <c r="I43" s="135">
        <v>3.64</v>
      </c>
      <c r="J43" s="135">
        <v>0.06</v>
      </c>
      <c r="K43" s="135">
        <v>41.44</v>
      </c>
      <c r="L43" s="9" t="s">
        <v>36</v>
      </c>
      <c r="M43" s="135">
        <v>87.74</v>
      </c>
      <c r="N43" s="135">
        <v>239.20</v>
      </c>
      <c r="O43" s="135">
        <v>0</v>
      </c>
      <c r="P43" s="135">
        <v>2.88</v>
      </c>
      <c r="Q43" s="135">
        <v>5.77</v>
      </c>
      <c r="R43" s="194"/>
      <c r="S43" s="194"/>
      <c r="T43" s="194"/>
      <c r="U43" s="194"/>
    </row>
    <row r="44" spans="1:21" s="12" customFormat="1" ht="15">
      <c r="A44" s="207" t="s">
        <v>2200</v>
      </c>
      <c r="B44" s="135">
        <v>8.36</v>
      </c>
      <c r="C44" s="135">
        <v>12.40</v>
      </c>
      <c r="D44" s="135">
        <v>20.76</v>
      </c>
      <c r="E44" s="135">
        <v>4.92</v>
      </c>
      <c r="F44" s="135">
        <v>0.12</v>
      </c>
      <c r="G44" s="208" t="s">
        <v>36</v>
      </c>
      <c r="H44" s="135">
        <v>13.74</v>
      </c>
      <c r="I44" s="135">
        <v>3.69</v>
      </c>
      <c r="J44" s="135">
        <v>0.070000000000000007</v>
      </c>
      <c r="K44" s="135">
        <v>47.19</v>
      </c>
      <c r="L44" s="9" t="s">
        <v>36</v>
      </c>
      <c r="M44" s="135">
        <v>87.93</v>
      </c>
      <c r="N44" s="135">
        <v>161.69999999999999</v>
      </c>
      <c r="O44" s="135">
        <v>0</v>
      </c>
      <c r="P44" s="135">
        <v>2.89</v>
      </c>
      <c r="Q44" s="135">
        <v>5.71</v>
      </c>
      <c r="R44" s="194"/>
      <c r="S44" s="194"/>
      <c r="T44" s="194"/>
      <c r="U44" s="194"/>
    </row>
    <row r="45" spans="1:21" s="12" customFormat="1" ht="15">
      <c r="A45" s="207" t="s">
        <v>2201</v>
      </c>
      <c r="B45" s="135">
        <v>8.6999999999999993</v>
      </c>
      <c r="C45" s="135">
        <v>12.92</v>
      </c>
      <c r="D45" s="135">
        <v>21.61</v>
      </c>
      <c r="E45" s="135">
        <v>4.5</v>
      </c>
      <c r="F45" s="135">
        <v>0.10</v>
      </c>
      <c r="G45" s="208" t="s">
        <v>36</v>
      </c>
      <c r="H45" s="135">
        <v>13.43</v>
      </c>
      <c r="I45" s="135">
        <v>3.66</v>
      </c>
      <c r="J45" s="135">
        <v>0.06</v>
      </c>
      <c r="K45" s="135">
        <v>24.75</v>
      </c>
      <c r="L45" s="9" t="s">
        <v>36</v>
      </c>
      <c r="M45" s="135">
        <v>87.52</v>
      </c>
      <c r="N45" s="135">
        <v>146</v>
      </c>
      <c r="O45" s="135">
        <v>0</v>
      </c>
      <c r="P45" s="135">
        <v>2.91</v>
      </c>
      <c r="Q45" s="135">
        <v>5.81</v>
      </c>
      <c r="R45" s="194"/>
      <c r="S45" s="194"/>
      <c r="T45" s="194"/>
      <c r="U45" s="194"/>
    </row>
    <row r="46" spans="1:21" s="12" customFormat="1" ht="15">
      <c r="A46" s="207" t="s">
        <v>2202</v>
      </c>
      <c r="B46" s="135">
        <v>8.9499999999999993</v>
      </c>
      <c r="C46" s="135">
        <v>13.26</v>
      </c>
      <c r="D46" s="135">
        <v>22.21</v>
      </c>
      <c r="E46" s="135">
        <v>4.63</v>
      </c>
      <c r="F46" s="135">
        <v>0.22</v>
      </c>
      <c r="G46" s="208" t="s">
        <v>36</v>
      </c>
      <c r="H46" s="135">
        <v>12.68</v>
      </c>
      <c r="I46" s="135">
        <v>3.70</v>
      </c>
      <c r="J46" s="135">
        <v>0.03</v>
      </c>
      <c r="K46" s="135">
        <v>280.49</v>
      </c>
      <c r="L46" s="9" t="s">
        <v>36</v>
      </c>
      <c r="M46" s="135">
        <v>87.97</v>
      </c>
      <c r="N46" s="135">
        <v>174.70</v>
      </c>
      <c r="O46" s="135">
        <v>0</v>
      </c>
      <c r="P46" s="135">
        <v>2.92</v>
      </c>
      <c r="Q46" s="135">
        <v>5.92</v>
      </c>
      <c r="R46" s="194"/>
      <c r="S46" s="194"/>
      <c r="T46" s="194"/>
      <c r="U46" s="194"/>
    </row>
    <row r="47" spans="1:21" s="12" customFormat="1" ht="15">
      <c r="A47" s="207" t="s">
        <v>2203</v>
      </c>
      <c r="B47" s="135">
        <v>9.11</v>
      </c>
      <c r="C47" s="135">
        <v>13.71</v>
      </c>
      <c r="D47" s="135">
        <v>22.81</v>
      </c>
      <c r="E47" s="135">
        <v>4.55</v>
      </c>
      <c r="F47" s="135">
        <v>0.28000000000000003</v>
      </c>
      <c r="G47" s="208" t="s">
        <v>36</v>
      </c>
      <c r="H47" s="135">
        <v>12.68</v>
      </c>
      <c r="I47" s="135">
        <v>3.76</v>
      </c>
      <c r="J47" s="135">
        <v>0.04</v>
      </c>
      <c r="K47" s="135">
        <v>340.48</v>
      </c>
      <c r="L47" s="9" t="s">
        <v>36</v>
      </c>
      <c r="M47" s="135">
        <v>86.37</v>
      </c>
      <c r="N47" s="135">
        <v>383.10</v>
      </c>
      <c r="O47" s="135">
        <v>0</v>
      </c>
      <c r="P47" s="135">
        <v>2.95</v>
      </c>
      <c r="Q47" s="135">
        <v>5.98</v>
      </c>
      <c r="R47" s="194"/>
      <c r="S47" s="194"/>
      <c r="T47" s="194"/>
      <c r="U47" s="194"/>
    </row>
    <row r="48" spans="1:21" s="12" customFormat="1" ht="15">
      <c r="A48" s="207" t="s">
        <v>2204</v>
      </c>
      <c r="B48" s="135">
        <v>9.2100000000000009</v>
      </c>
      <c r="C48" s="135">
        <v>13.90</v>
      </c>
      <c r="D48" s="135">
        <v>23.11</v>
      </c>
      <c r="E48" s="135">
        <v>4.6500000000000004</v>
      </c>
      <c r="F48" s="135">
        <v>0.19</v>
      </c>
      <c r="G48" s="208" t="s">
        <v>36</v>
      </c>
      <c r="H48" s="135">
        <v>12.68</v>
      </c>
      <c r="I48" s="135">
        <v>3.83</v>
      </c>
      <c r="J48" s="135">
        <v>0.08</v>
      </c>
      <c r="K48" s="135">
        <v>339.51</v>
      </c>
      <c r="L48" s="9" t="s">
        <v>36</v>
      </c>
      <c r="M48" s="135">
        <v>82.14</v>
      </c>
      <c r="N48" s="135">
        <v>380.90</v>
      </c>
      <c r="O48" s="135">
        <v>0</v>
      </c>
      <c r="P48" s="135">
        <v>2.97</v>
      </c>
      <c r="Q48" s="135">
        <v>6.08</v>
      </c>
      <c r="R48" s="194"/>
      <c r="S48" s="194"/>
      <c r="T48" s="194"/>
      <c r="U48" s="194"/>
    </row>
    <row r="49" spans="1:21" s="12" customFormat="1" ht="15">
      <c r="A49" s="207" t="s">
        <v>2205</v>
      </c>
      <c r="B49" s="135">
        <v>9.7200000000000006</v>
      </c>
      <c r="C49" s="135">
        <v>14.49</v>
      </c>
      <c r="D49" s="135">
        <v>24.21</v>
      </c>
      <c r="E49" s="135">
        <v>4.63</v>
      </c>
      <c r="F49" s="135">
        <v>0.28000000000000003</v>
      </c>
      <c r="G49" s="208" t="s">
        <v>36</v>
      </c>
      <c r="H49" s="135">
        <v>13.85</v>
      </c>
      <c r="I49" s="135">
        <v>3.96</v>
      </c>
      <c r="J49" s="135">
        <v>0.070000000000000007</v>
      </c>
      <c r="K49" s="135">
        <v>354.55</v>
      </c>
      <c r="L49" s="9" t="s">
        <v>36</v>
      </c>
      <c r="M49" s="135">
        <v>82.15</v>
      </c>
      <c r="N49" s="135">
        <v>426.10</v>
      </c>
      <c r="O49" s="135">
        <v>0</v>
      </c>
      <c r="P49" s="135">
        <v>3</v>
      </c>
      <c r="Q49" s="135">
        <v>6.37</v>
      </c>
      <c r="R49" s="194"/>
      <c r="S49" s="194"/>
      <c r="T49" s="194"/>
      <c r="U49" s="194"/>
    </row>
    <row r="50" spans="1:21" s="12" customFormat="1" ht="15">
      <c r="A50" s="207" t="s">
        <v>2206</v>
      </c>
      <c r="B50" s="135">
        <v>10.72</v>
      </c>
      <c r="C50" s="135">
        <v>15.10</v>
      </c>
      <c r="D50" s="135">
        <v>25.82</v>
      </c>
      <c r="E50" s="135">
        <v>4.6500000000000004</v>
      </c>
      <c r="F50" s="135">
        <v>0.070000000000000007</v>
      </c>
      <c r="G50" s="208" t="s">
        <v>36</v>
      </c>
      <c r="H50" s="135">
        <v>16.72</v>
      </c>
      <c r="I50" s="135">
        <v>4.1500000000000004</v>
      </c>
      <c r="J50" s="135">
        <v>0.19</v>
      </c>
      <c r="K50" s="135">
        <v>354.85</v>
      </c>
      <c r="L50" s="9" t="s">
        <v>36</v>
      </c>
      <c r="M50" s="135">
        <v>77.98</v>
      </c>
      <c r="N50" s="135">
        <v>398</v>
      </c>
      <c r="O50" s="135">
        <v>0</v>
      </c>
      <c r="P50" s="135">
        <v>3.05</v>
      </c>
      <c r="Q50" s="135">
        <v>6.78</v>
      </c>
      <c r="R50" s="194"/>
      <c r="S50" s="194"/>
      <c r="T50" s="194"/>
      <c r="U50" s="194"/>
    </row>
    <row r="51" spans="1:21" s="12" customFormat="1" ht="15">
      <c r="A51" s="207" t="s">
        <v>2207</v>
      </c>
      <c r="B51" s="135">
        <v>11.80</v>
      </c>
      <c r="C51" s="135">
        <v>15.15</v>
      </c>
      <c r="D51" s="135">
        <v>26.95</v>
      </c>
      <c r="E51" s="135">
        <v>4.5199999999999996</v>
      </c>
      <c r="F51" s="135">
        <v>0.48</v>
      </c>
      <c r="G51" s="208" t="s">
        <v>36</v>
      </c>
      <c r="H51" s="135">
        <v>16.72</v>
      </c>
      <c r="I51" s="135">
        <v>4.3499999999999996</v>
      </c>
      <c r="J51" s="135">
        <v>0.16</v>
      </c>
      <c r="K51" s="135">
        <v>23.92</v>
      </c>
      <c r="L51" s="9" t="s">
        <v>36</v>
      </c>
      <c r="M51" s="135">
        <v>81.040000000000006</v>
      </c>
      <c r="N51" s="135">
        <v>299.89999999999998</v>
      </c>
      <c r="O51" s="135">
        <v>0</v>
      </c>
      <c r="P51" s="135">
        <v>3.11</v>
      </c>
      <c r="Q51" s="135">
        <v>7.12</v>
      </c>
      <c r="R51" s="194"/>
      <c r="S51" s="194"/>
      <c r="T51" s="194"/>
      <c r="U51" s="194"/>
    </row>
    <row r="52" spans="1:21" s="12" customFormat="1" ht="15">
      <c r="A52" s="207" t="s">
        <v>2208</v>
      </c>
      <c r="B52" s="135">
        <v>12.32</v>
      </c>
      <c r="C52" s="135">
        <v>15.88</v>
      </c>
      <c r="D52" s="135">
        <v>28.20</v>
      </c>
      <c r="E52" s="135">
        <v>4.25</v>
      </c>
      <c r="F52" s="135">
        <v>0.27</v>
      </c>
      <c r="G52" s="208" t="s">
        <v>36</v>
      </c>
      <c r="H52" s="135">
        <v>16.72</v>
      </c>
      <c r="I52" s="135">
        <v>4.80</v>
      </c>
      <c r="J52" s="135">
        <v>0.15</v>
      </c>
      <c r="K52" s="135">
        <v>24.44</v>
      </c>
      <c r="L52" s="9" t="s">
        <v>36</v>
      </c>
      <c r="M52" s="135">
        <v>81.72</v>
      </c>
      <c r="N52" s="135">
        <v>242</v>
      </c>
      <c r="O52" s="135">
        <v>0</v>
      </c>
      <c r="P52" s="135">
        <v>3.17</v>
      </c>
      <c r="Q52" s="135">
        <v>7.39</v>
      </c>
      <c r="R52" s="194"/>
      <c r="S52" s="194"/>
      <c r="T52" s="194"/>
      <c r="U52" s="194"/>
    </row>
    <row r="53" spans="1:21" s="12" customFormat="1" ht="15">
      <c r="A53" s="207" t="s">
        <v>2209</v>
      </c>
      <c r="B53" s="135">
        <v>12.28</v>
      </c>
      <c r="C53" s="135">
        <v>15.99</v>
      </c>
      <c r="D53" s="135">
        <v>28.27</v>
      </c>
      <c r="E53" s="135">
        <v>4.41</v>
      </c>
      <c r="F53" s="135">
        <v>0.33</v>
      </c>
      <c r="G53" s="208" t="s">
        <v>36</v>
      </c>
      <c r="H53" s="135">
        <v>16.32</v>
      </c>
      <c r="I53" s="135">
        <v>5.27</v>
      </c>
      <c r="J53" s="135">
        <v>0.02</v>
      </c>
      <c r="K53" s="135">
        <v>333.63</v>
      </c>
      <c r="L53" s="9" t="s">
        <v>36</v>
      </c>
      <c r="M53" s="135">
        <v>83.57</v>
      </c>
      <c r="N53" s="135">
        <v>246.80</v>
      </c>
      <c r="O53" s="135">
        <v>0</v>
      </c>
      <c r="P53" s="135">
        <v>3.18</v>
      </c>
      <c r="Q53" s="135">
        <v>7.26</v>
      </c>
      <c r="R53" s="194"/>
      <c r="S53" s="194"/>
      <c r="T53" s="194"/>
      <c r="U53" s="194"/>
    </row>
    <row r="54" spans="1:21" s="12" customFormat="1" ht="15">
      <c r="A54" s="207" t="s">
        <v>2210</v>
      </c>
      <c r="B54" s="135">
        <v>11.84</v>
      </c>
      <c r="C54" s="135">
        <v>16.09</v>
      </c>
      <c r="D54" s="135">
        <v>27.93</v>
      </c>
      <c r="E54" s="135">
        <v>4.2699999999999996</v>
      </c>
      <c r="F54" s="135">
        <v>0.13</v>
      </c>
      <c r="G54" s="208" t="s">
        <v>36</v>
      </c>
      <c r="H54" s="135">
        <v>15.34</v>
      </c>
      <c r="I54" s="135">
        <v>5.5</v>
      </c>
      <c r="J54" s="135">
        <v>0.04</v>
      </c>
      <c r="K54" s="135">
        <v>354.30</v>
      </c>
      <c r="L54" s="9" t="s">
        <v>36</v>
      </c>
      <c r="M54" s="135">
        <v>82.69</v>
      </c>
      <c r="N54" s="135">
        <v>557.90</v>
      </c>
      <c r="O54" s="135">
        <v>0</v>
      </c>
      <c r="P54" s="135">
        <v>3.16</v>
      </c>
      <c r="Q54" s="135">
        <v>7.10</v>
      </c>
      <c r="R54" s="194"/>
      <c r="S54" s="194"/>
      <c r="T54" s="194"/>
      <c r="U54" s="194"/>
    </row>
    <row r="55" spans="1:21" s="12" customFormat="1" ht="15">
      <c r="A55" s="207" t="s">
        <v>2211</v>
      </c>
      <c r="B55" s="135">
        <v>11.23</v>
      </c>
      <c r="C55" s="135">
        <v>16.010000000000002</v>
      </c>
      <c r="D55" s="135">
        <v>27.25</v>
      </c>
      <c r="E55" s="135">
        <v>4.07</v>
      </c>
      <c r="F55" s="135">
        <v>0.20</v>
      </c>
      <c r="G55" s="208" t="s">
        <v>36</v>
      </c>
      <c r="H55" s="135">
        <v>15.34</v>
      </c>
      <c r="I55" s="135">
        <v>5.52</v>
      </c>
      <c r="J55" s="135">
        <v>0.12</v>
      </c>
      <c r="K55" s="135">
        <v>28.55</v>
      </c>
      <c r="L55" s="9" t="s">
        <v>36</v>
      </c>
      <c r="M55" s="135">
        <v>78.739999999999995</v>
      </c>
      <c r="N55" s="135">
        <v>504.90</v>
      </c>
      <c r="O55" s="135">
        <v>0</v>
      </c>
      <c r="P55" s="135">
        <v>3.16</v>
      </c>
      <c r="Q55" s="135">
        <v>6.80</v>
      </c>
      <c r="R55" s="194"/>
      <c r="S55" s="194"/>
      <c r="T55" s="194"/>
      <c r="U55" s="194"/>
    </row>
    <row r="56" spans="1:21" s="12" customFormat="1" ht="15">
      <c r="A56" s="207" t="s">
        <v>2212</v>
      </c>
      <c r="B56" s="135">
        <v>11.20</v>
      </c>
      <c r="C56" s="135">
        <v>16.59</v>
      </c>
      <c r="D56" s="135">
        <v>27.79</v>
      </c>
      <c r="E56" s="135">
        <v>2.74</v>
      </c>
      <c r="F56" s="135">
        <v>0.12</v>
      </c>
      <c r="G56" s="208" t="s">
        <v>36</v>
      </c>
      <c r="H56" s="135">
        <v>15.34</v>
      </c>
      <c r="I56" s="135">
        <v>5.41</v>
      </c>
      <c r="J56" s="135">
        <v>0.05</v>
      </c>
      <c r="K56" s="135">
        <v>278.52999999999997</v>
      </c>
      <c r="L56" s="9" t="s">
        <v>36</v>
      </c>
      <c r="M56" s="135">
        <v>79.05</v>
      </c>
      <c r="N56" s="135">
        <v>597.29999999999995</v>
      </c>
      <c r="O56" s="135">
        <v>0</v>
      </c>
      <c r="P56" s="135">
        <v>3.19</v>
      </c>
      <c r="Q56" s="135">
        <v>6.89</v>
      </c>
      <c r="R56" s="194"/>
      <c r="S56" s="194"/>
      <c r="T56" s="194"/>
      <c r="U56" s="194"/>
    </row>
    <row r="57" spans="1:21" s="12" customFormat="1" ht="15">
      <c r="A57" s="207" t="s">
        <v>2213</v>
      </c>
      <c r="B57" s="135">
        <v>10.65</v>
      </c>
      <c r="C57" s="135">
        <v>17.489999999999998</v>
      </c>
      <c r="D57" s="135">
        <v>28.14</v>
      </c>
      <c r="E57" s="135">
        <v>5</v>
      </c>
      <c r="F57" s="135">
        <v>0.14000000000000001</v>
      </c>
      <c r="G57" s="208" t="s">
        <v>36</v>
      </c>
      <c r="H57" s="135">
        <v>15.38</v>
      </c>
      <c r="I57" s="135">
        <v>5.43</v>
      </c>
      <c r="J57" s="135">
        <v>0.08</v>
      </c>
      <c r="K57" s="135">
        <v>27.69</v>
      </c>
      <c r="L57" s="9" t="s">
        <v>36</v>
      </c>
      <c r="M57" s="135">
        <v>78.150000000000006</v>
      </c>
      <c r="N57" s="135">
        <v>588.79999999999995</v>
      </c>
      <c r="O57" s="135">
        <v>0</v>
      </c>
      <c r="P57" s="135">
        <v>3.20</v>
      </c>
      <c r="Q57" s="135">
        <v>6.90</v>
      </c>
      <c r="R57" s="194"/>
      <c r="S57" s="194"/>
      <c r="T57" s="194"/>
      <c r="U57" s="194"/>
    </row>
    <row r="58" spans="1:21" s="12" customFormat="1" ht="15">
      <c r="A58" s="207" t="s">
        <v>2214</v>
      </c>
      <c r="B58" s="135">
        <v>10.26</v>
      </c>
      <c r="C58" s="135">
        <v>18.68</v>
      </c>
      <c r="D58" s="135">
        <v>28.93</v>
      </c>
      <c r="E58" s="135">
        <v>5.28</v>
      </c>
      <c r="F58" s="135">
        <v>0.38</v>
      </c>
      <c r="G58" s="208" t="s">
        <v>36</v>
      </c>
      <c r="H58" s="135">
        <v>15.49</v>
      </c>
      <c r="I58" s="135">
        <v>5.65</v>
      </c>
      <c r="J58" s="135">
        <v>0.02</v>
      </c>
      <c r="K58" s="135">
        <v>3.36</v>
      </c>
      <c r="L58" s="9" t="s">
        <v>36</v>
      </c>
      <c r="M58" s="135">
        <v>78.94</v>
      </c>
      <c r="N58" s="135">
        <v>391.30</v>
      </c>
      <c r="O58" s="135">
        <v>0</v>
      </c>
      <c r="P58" s="135">
        <v>3.22</v>
      </c>
      <c r="Q58" s="135">
        <v>6.91</v>
      </c>
      <c r="R58" s="194"/>
      <c r="S58" s="194"/>
      <c r="T58" s="194"/>
      <c r="U58" s="194"/>
    </row>
    <row r="59" spans="1:21" s="12" customFormat="1" ht="15">
      <c r="A59" s="207" t="s">
        <v>2215</v>
      </c>
      <c r="B59" s="135">
        <v>9.83</v>
      </c>
      <c r="C59" s="135">
        <v>19.829999999999998</v>
      </c>
      <c r="D59" s="135">
        <v>29.66</v>
      </c>
      <c r="E59" s="135">
        <v>4.93</v>
      </c>
      <c r="F59" s="135">
        <v>0.48</v>
      </c>
      <c r="G59" s="208" t="s">
        <v>36</v>
      </c>
      <c r="H59" s="135">
        <v>15.49</v>
      </c>
      <c r="I59" s="135">
        <v>5.98</v>
      </c>
      <c r="J59" s="135">
        <v>0.03</v>
      </c>
      <c r="K59" s="135">
        <v>23.87</v>
      </c>
      <c r="L59" s="9" t="s">
        <v>36</v>
      </c>
      <c r="M59" s="135">
        <v>79.64</v>
      </c>
      <c r="N59" s="135">
        <v>390.30</v>
      </c>
      <c r="O59" s="135">
        <v>0</v>
      </c>
      <c r="P59" s="135">
        <v>3.22</v>
      </c>
      <c r="Q59" s="135">
        <v>6.95</v>
      </c>
      <c r="R59" s="194"/>
      <c r="S59" s="194"/>
      <c r="T59" s="194"/>
      <c r="U59" s="194"/>
    </row>
    <row r="60" spans="1:21" s="12" customFormat="1" ht="15">
      <c r="A60" s="207" t="s">
        <v>2216</v>
      </c>
      <c r="B60" s="135">
        <v>9.25</v>
      </c>
      <c r="C60" s="135">
        <v>20.45</v>
      </c>
      <c r="D60" s="135">
        <v>29.70</v>
      </c>
      <c r="E60" s="135">
        <v>4.6100000000000003</v>
      </c>
      <c r="F60" s="135">
        <v>0.28999999999999998</v>
      </c>
      <c r="G60" s="208" t="s">
        <v>36</v>
      </c>
      <c r="H60" s="135">
        <v>15.49</v>
      </c>
      <c r="I60" s="135">
        <v>6.30</v>
      </c>
      <c r="J60" s="135">
        <v>0.15</v>
      </c>
      <c r="K60" s="135">
        <v>357.30</v>
      </c>
      <c r="L60" s="9" t="s">
        <v>36</v>
      </c>
      <c r="M60" s="135">
        <v>78.56</v>
      </c>
      <c r="N60" s="135">
        <v>479.90</v>
      </c>
      <c r="O60" s="135">
        <v>0</v>
      </c>
      <c r="P60" s="135">
        <v>3.22</v>
      </c>
      <c r="Q60" s="135">
        <v>6.84</v>
      </c>
      <c r="R60" s="194"/>
      <c r="S60" s="194"/>
      <c r="T60" s="194"/>
      <c r="U60" s="194"/>
    </row>
    <row r="61" spans="1:21" s="12" customFormat="1" ht="15">
      <c r="A61" s="207" t="s">
        <v>2217</v>
      </c>
      <c r="B61" s="135">
        <v>8.51</v>
      </c>
      <c r="C61" s="135">
        <v>20.76</v>
      </c>
      <c r="D61" s="135">
        <v>29.27</v>
      </c>
      <c r="E61" s="135">
        <v>4.78</v>
      </c>
      <c r="F61" s="135">
        <v>0.55000000000000004</v>
      </c>
      <c r="G61" s="208" t="s">
        <v>36</v>
      </c>
      <c r="H61" s="135">
        <v>17.57</v>
      </c>
      <c r="I61" s="135">
        <v>6.46</v>
      </c>
      <c r="J61" s="135">
        <v>0.05</v>
      </c>
      <c r="K61" s="135">
        <v>10.17</v>
      </c>
      <c r="L61" s="9" t="s">
        <v>36</v>
      </c>
      <c r="M61" s="135">
        <v>77.790000000000006</v>
      </c>
      <c r="N61" s="135">
        <v>613.40</v>
      </c>
      <c r="O61" s="135">
        <v>0</v>
      </c>
      <c r="P61" s="135">
        <v>3.23</v>
      </c>
      <c r="Q61" s="135">
        <v>6.73</v>
      </c>
      <c r="R61" s="194"/>
      <c r="S61" s="194"/>
      <c r="T61" s="194"/>
      <c r="U61" s="194"/>
    </row>
    <row r="62" spans="1:21" s="12" customFormat="1" ht="15">
      <c r="A62" s="207" t="s">
        <v>2218</v>
      </c>
      <c r="B62" s="135">
        <v>7.72</v>
      </c>
      <c r="C62" s="135">
        <v>21.29</v>
      </c>
      <c r="D62" s="135">
        <v>29.01</v>
      </c>
      <c r="E62" s="135">
        <v>4.79</v>
      </c>
      <c r="F62" s="135">
        <v>0.52</v>
      </c>
      <c r="G62" s="208" t="s">
        <v>36</v>
      </c>
      <c r="H62" s="135">
        <v>22.68</v>
      </c>
      <c r="I62" s="135">
        <v>6.61</v>
      </c>
      <c r="J62" s="135">
        <v>0.13</v>
      </c>
      <c r="K62" s="135">
        <v>357.76</v>
      </c>
      <c r="L62" s="9" t="s">
        <v>36</v>
      </c>
      <c r="M62" s="135">
        <v>77.06</v>
      </c>
      <c r="N62" s="135">
        <v>382.30</v>
      </c>
      <c r="O62" s="135">
        <v>0</v>
      </c>
      <c r="P62" s="135">
        <v>3.23</v>
      </c>
      <c r="Q62" s="135">
        <v>6.66</v>
      </c>
      <c r="R62" s="194"/>
      <c r="S62" s="194"/>
      <c r="T62" s="194"/>
      <c r="U62" s="194"/>
    </row>
    <row r="63" spans="1:21" s="12" customFormat="1" ht="15">
      <c r="A63" s="207" t="s">
        <v>2219</v>
      </c>
      <c r="B63" s="135">
        <v>6.60</v>
      </c>
      <c r="C63" s="135">
        <v>22.56</v>
      </c>
      <c r="D63" s="135">
        <v>29.16</v>
      </c>
      <c r="E63" s="135">
        <v>4.80</v>
      </c>
      <c r="F63" s="135">
        <v>0.63</v>
      </c>
      <c r="G63" s="208" t="s">
        <v>36</v>
      </c>
      <c r="H63" s="135">
        <v>22.68</v>
      </c>
      <c r="I63" s="135">
        <v>6.88</v>
      </c>
      <c r="J63" s="135">
        <v>0.10</v>
      </c>
      <c r="K63" s="135">
        <v>34.380000000000003</v>
      </c>
      <c r="L63" s="9" t="s">
        <v>36</v>
      </c>
      <c r="M63" s="135">
        <v>77.84</v>
      </c>
      <c r="N63" s="135">
        <v>501.30</v>
      </c>
      <c r="O63" s="135">
        <v>0</v>
      </c>
      <c r="P63" s="135">
        <v>3.24</v>
      </c>
      <c r="Q63" s="135">
        <v>6.57</v>
      </c>
      <c r="R63" s="194"/>
      <c r="S63" s="194"/>
      <c r="T63" s="194"/>
      <c r="U63" s="194"/>
    </row>
    <row r="64" spans="1:21" s="12" customFormat="1" ht="15">
      <c r="A64" s="207" t="s">
        <v>2220</v>
      </c>
      <c r="B64" s="135">
        <v>5.55</v>
      </c>
      <c r="C64" s="135">
        <v>23.32</v>
      </c>
      <c r="D64" s="135">
        <v>28.86</v>
      </c>
      <c r="E64" s="135">
        <v>4.63</v>
      </c>
      <c r="F64" s="135">
        <v>0.81</v>
      </c>
      <c r="G64" s="208" t="s">
        <v>36</v>
      </c>
      <c r="H64" s="135">
        <v>22.68</v>
      </c>
      <c r="I64" s="135">
        <v>7.01</v>
      </c>
      <c r="J64" s="135">
        <v>0.16</v>
      </c>
      <c r="K64" s="135">
        <v>25.86</v>
      </c>
      <c r="L64" s="9" t="s">
        <v>36</v>
      </c>
      <c r="M64" s="135">
        <v>76.510000000000005</v>
      </c>
      <c r="N64" s="135">
        <v>525.5</v>
      </c>
      <c r="O64" s="135">
        <v>0</v>
      </c>
      <c r="P64" s="135">
        <v>3.23</v>
      </c>
      <c r="Q64" s="135">
        <v>6.41</v>
      </c>
      <c r="R64" s="194"/>
      <c r="S64" s="194"/>
      <c r="T64" s="194"/>
      <c r="U64" s="194"/>
    </row>
    <row r="65" spans="1:21" s="12" customFormat="1" ht="15">
      <c r="A65" s="207" t="s">
        <v>2221</v>
      </c>
      <c r="B65" s="135">
        <v>4.7699999999999996</v>
      </c>
      <c r="C65" s="135">
        <v>22.96</v>
      </c>
      <c r="D65" s="135">
        <v>27.73</v>
      </c>
      <c r="E65" s="135">
        <v>4.4000000000000004</v>
      </c>
      <c r="F65" s="135">
        <v>0.99</v>
      </c>
      <c r="G65" s="208" t="s">
        <v>36</v>
      </c>
      <c r="H65" s="135">
        <v>21.98</v>
      </c>
      <c r="I65" s="135">
        <v>7.21</v>
      </c>
      <c r="J65" s="135">
        <v>0.14000000000000001</v>
      </c>
      <c r="K65" s="135">
        <v>349.32</v>
      </c>
      <c r="L65" s="9" t="s">
        <v>36</v>
      </c>
      <c r="M65" s="135">
        <v>74.92</v>
      </c>
      <c r="N65" s="135">
        <v>628.29999999999995</v>
      </c>
      <c r="O65" s="135">
        <v>0</v>
      </c>
      <c r="P65" s="135">
        <v>3.21</v>
      </c>
      <c r="Q65" s="135">
        <v>6.21</v>
      </c>
      <c r="R65" s="194"/>
      <c r="S65" s="194"/>
      <c r="T65" s="194"/>
      <c r="U65" s="194"/>
    </row>
    <row r="66" spans="1:21" s="12" customFormat="1" ht="15">
      <c r="A66" s="207" t="s">
        <v>2222</v>
      </c>
      <c r="B66" s="135">
        <v>4.62</v>
      </c>
      <c r="C66" s="135">
        <v>22.03</v>
      </c>
      <c r="D66" s="135">
        <v>26.65</v>
      </c>
      <c r="E66" s="135">
        <v>4.2300000000000004</v>
      </c>
      <c r="F66" s="135">
        <v>0.95</v>
      </c>
      <c r="G66" s="208" t="s">
        <v>36</v>
      </c>
      <c r="H66" s="135">
        <v>20.239999999999998</v>
      </c>
      <c r="I66" s="135">
        <v>7.22</v>
      </c>
      <c r="J66" s="135">
        <v>0.11</v>
      </c>
      <c r="K66" s="135">
        <v>356.26</v>
      </c>
      <c r="L66" s="9" t="s">
        <v>36</v>
      </c>
      <c r="M66" s="135">
        <v>75.510000000000005</v>
      </c>
      <c r="N66" s="135">
        <v>498.30</v>
      </c>
      <c r="O66" s="135">
        <v>0</v>
      </c>
      <c r="P66" s="135">
        <v>3.21</v>
      </c>
      <c r="Q66" s="135">
        <v>6.05</v>
      </c>
      <c r="R66" s="194"/>
      <c r="S66" s="194"/>
      <c r="T66" s="194"/>
      <c r="U66" s="194"/>
    </row>
    <row r="67" spans="1:21" s="12" customFormat="1" ht="15">
      <c r="A67" s="207" t="s">
        <v>2223</v>
      </c>
      <c r="B67" s="135">
        <v>4.62</v>
      </c>
      <c r="C67" s="135">
        <v>21.61</v>
      </c>
      <c r="D67" s="135">
        <v>26.24</v>
      </c>
      <c r="E67" s="135">
        <v>4.13</v>
      </c>
      <c r="F67" s="135">
        <v>0.88</v>
      </c>
      <c r="G67" s="208" t="s">
        <v>36</v>
      </c>
      <c r="H67" s="135">
        <v>20.239999999999998</v>
      </c>
      <c r="I67" s="135">
        <v>7.22</v>
      </c>
      <c r="J67" s="135">
        <v>0.06</v>
      </c>
      <c r="K67" s="135">
        <v>18.04</v>
      </c>
      <c r="L67" s="9" t="s">
        <v>36</v>
      </c>
      <c r="M67" s="135">
        <v>76.209999999999994</v>
      </c>
      <c r="N67" s="135">
        <v>695.60</v>
      </c>
      <c r="O67" s="135">
        <v>0</v>
      </c>
      <c r="P67" s="135">
        <v>3.19</v>
      </c>
      <c r="Q67" s="135">
        <v>5.92</v>
      </c>
      <c r="R67" s="194"/>
      <c r="S67" s="194"/>
      <c r="T67" s="194"/>
      <c r="U67" s="194"/>
    </row>
    <row r="68" spans="1:21" s="12" customFormat="1" ht="15">
      <c r="A68" s="207" t="s">
        <v>2224</v>
      </c>
      <c r="B68" s="135">
        <v>4.59</v>
      </c>
      <c r="C68" s="135">
        <v>21.51</v>
      </c>
      <c r="D68" s="135">
        <v>26.10</v>
      </c>
      <c r="E68" s="135">
        <v>4.38</v>
      </c>
      <c r="F68" s="135">
        <v>0.78</v>
      </c>
      <c r="G68" s="208" t="s">
        <v>36</v>
      </c>
      <c r="H68" s="135">
        <v>20.239999999999998</v>
      </c>
      <c r="I68" s="135">
        <v>7.01</v>
      </c>
      <c r="J68" s="135">
        <v>0.10</v>
      </c>
      <c r="K68" s="135">
        <v>44.30</v>
      </c>
      <c r="L68" s="9" t="s">
        <v>36</v>
      </c>
      <c r="M68" s="135">
        <v>75.67</v>
      </c>
      <c r="N68" s="135">
        <v>534</v>
      </c>
      <c r="O68" s="135">
        <v>0</v>
      </c>
      <c r="P68" s="135">
        <v>3.17</v>
      </c>
      <c r="Q68" s="135">
        <v>5.73</v>
      </c>
      <c r="R68" s="194"/>
      <c r="S68" s="194"/>
      <c r="T68" s="194"/>
      <c r="U68" s="194"/>
    </row>
    <row r="69" spans="1:21" s="12" customFormat="1" ht="15">
      <c r="A69" s="207" t="s">
        <v>2225</v>
      </c>
      <c r="B69" s="135">
        <v>4.55</v>
      </c>
      <c r="C69" s="135">
        <v>21.11</v>
      </c>
      <c r="D69" s="135">
        <v>25.66</v>
      </c>
      <c r="E69" s="135">
        <v>4.13</v>
      </c>
      <c r="F69" s="135">
        <v>0.41</v>
      </c>
      <c r="G69" s="208" t="s">
        <v>36</v>
      </c>
      <c r="H69" s="135">
        <v>19.440000000000001</v>
      </c>
      <c r="I69" s="135">
        <v>6.82</v>
      </c>
      <c r="J69" s="135">
        <v>0.08</v>
      </c>
      <c r="K69" s="135">
        <v>213.58</v>
      </c>
      <c r="L69" s="9" t="s">
        <v>36</v>
      </c>
      <c r="M69" s="135">
        <v>76.59</v>
      </c>
      <c r="N69" s="135">
        <v>346.20</v>
      </c>
      <c r="O69" s="135">
        <v>0</v>
      </c>
      <c r="P69" s="135">
        <v>3.17</v>
      </c>
      <c r="Q69" s="135">
        <v>5.54</v>
      </c>
      <c r="R69" s="194"/>
      <c r="S69" s="194"/>
      <c r="T69" s="194"/>
      <c r="U69" s="194"/>
    </row>
    <row r="70" spans="1:21" s="12" customFormat="1" ht="15">
      <c r="A70" s="207" t="s">
        <v>2226</v>
      </c>
      <c r="B70" s="135">
        <v>4.8899999999999997</v>
      </c>
      <c r="C70" s="135">
        <v>20.59</v>
      </c>
      <c r="D70" s="135">
        <v>25.48</v>
      </c>
      <c r="E70" s="135">
        <v>4.16</v>
      </c>
      <c r="F70" s="135">
        <v>0.53</v>
      </c>
      <c r="G70" s="208" t="s">
        <v>36</v>
      </c>
      <c r="H70" s="135">
        <v>17.45</v>
      </c>
      <c r="I70" s="135">
        <v>6.78</v>
      </c>
      <c r="J70" s="135">
        <v>0.05</v>
      </c>
      <c r="K70" s="135">
        <v>289.95</v>
      </c>
      <c r="L70" s="9" t="s">
        <v>36</v>
      </c>
      <c r="M70" s="135">
        <v>77.91</v>
      </c>
      <c r="N70" s="135">
        <v>243.5</v>
      </c>
      <c r="O70" s="135">
        <v>0</v>
      </c>
      <c r="P70" s="135">
        <v>3.16</v>
      </c>
      <c r="Q70" s="135">
        <v>5.54</v>
      </c>
      <c r="R70" s="194"/>
      <c r="S70" s="194"/>
      <c r="T70" s="194"/>
      <c r="U70" s="194"/>
    </row>
    <row r="71" spans="1:21" s="12" customFormat="1" ht="15">
      <c r="A71" s="207" t="s">
        <v>2227</v>
      </c>
      <c r="B71" s="135">
        <v>4.75</v>
      </c>
      <c r="C71" s="135">
        <v>20.02</v>
      </c>
      <c r="D71" s="135">
        <v>24.77</v>
      </c>
      <c r="E71" s="135">
        <v>4.3499999999999996</v>
      </c>
      <c r="F71" s="135">
        <v>0.5</v>
      </c>
      <c r="G71" s="208" t="s">
        <v>36</v>
      </c>
      <c r="H71" s="135">
        <v>17.45</v>
      </c>
      <c r="I71" s="135">
        <v>6.69</v>
      </c>
      <c r="J71" s="135">
        <v>0.13</v>
      </c>
      <c r="K71" s="135">
        <v>205.57</v>
      </c>
      <c r="L71" s="9" t="s">
        <v>36</v>
      </c>
      <c r="M71" s="135">
        <v>78.34</v>
      </c>
      <c r="N71" s="135">
        <v>470.40</v>
      </c>
      <c r="O71" s="135">
        <v>0</v>
      </c>
      <c r="P71" s="135">
        <v>3.14</v>
      </c>
      <c r="Q71" s="135">
        <v>5.34</v>
      </c>
      <c r="R71" s="194"/>
      <c r="S71" s="194"/>
      <c r="T71" s="194"/>
      <c r="U71" s="194"/>
    </row>
    <row r="72" spans="1:21" s="12" customFormat="1" ht="15">
      <c r="A72" s="207" t="s">
        <v>2228</v>
      </c>
      <c r="B72" s="135">
        <v>4.26</v>
      </c>
      <c r="C72" s="135">
        <v>19.57</v>
      </c>
      <c r="D72" s="135">
        <v>23.82</v>
      </c>
      <c r="E72" s="135">
        <v>1.82</v>
      </c>
      <c r="F72" s="135">
        <v>0.48</v>
      </c>
      <c r="G72" s="208" t="s">
        <v>36</v>
      </c>
      <c r="H72" s="135">
        <v>17.45</v>
      </c>
      <c r="I72" s="135">
        <v>6.51</v>
      </c>
      <c r="J72" s="135">
        <v>0.04</v>
      </c>
      <c r="K72" s="135">
        <v>88.43</v>
      </c>
      <c r="L72" s="9" t="s">
        <v>36</v>
      </c>
      <c r="M72" s="135">
        <v>75.20</v>
      </c>
      <c r="N72" s="135">
        <v>512.29999999999995</v>
      </c>
      <c r="O72" s="135">
        <v>0</v>
      </c>
      <c r="P72" s="135">
        <v>3.13</v>
      </c>
      <c r="Q72" s="135">
        <v>5.1100000000000003</v>
      </c>
      <c r="R72" s="194"/>
      <c r="S72" s="194"/>
      <c r="T72" s="194"/>
      <c r="U72" s="194"/>
    </row>
    <row r="73" spans="1:21" s="12" customFormat="1" ht="15">
      <c r="A73" s="207" t="s">
        <v>2229</v>
      </c>
      <c r="B73" s="135">
        <v>3.80</v>
      </c>
      <c r="C73" s="135">
        <v>19.68</v>
      </c>
      <c r="D73" s="135">
        <v>23.47</v>
      </c>
      <c r="E73" s="135">
        <v>3.54</v>
      </c>
      <c r="F73" s="135">
        <v>0.52</v>
      </c>
      <c r="G73" s="208" t="s">
        <v>36</v>
      </c>
      <c r="H73" s="135">
        <v>18.02</v>
      </c>
      <c r="I73" s="135">
        <v>6.29</v>
      </c>
      <c r="J73" s="135">
        <v>0.11</v>
      </c>
      <c r="K73" s="135">
        <v>283.75</v>
      </c>
      <c r="L73" s="9" t="s">
        <v>36</v>
      </c>
      <c r="M73" s="135">
        <v>76.20</v>
      </c>
      <c r="N73" s="135">
        <v>390.5</v>
      </c>
      <c r="O73" s="135">
        <v>0</v>
      </c>
      <c r="P73" s="135">
        <v>3.11</v>
      </c>
      <c r="Q73" s="135">
        <v>4.91</v>
      </c>
      <c r="R73" s="194"/>
      <c r="S73" s="194"/>
      <c r="T73" s="194"/>
      <c r="U73" s="194"/>
    </row>
    <row r="74" spans="1:21" s="12" customFormat="1" ht="15">
      <c r="A74" s="207" t="s">
        <v>2230</v>
      </c>
      <c r="B74" s="135">
        <v>3.33</v>
      </c>
      <c r="C74" s="135">
        <v>19.61</v>
      </c>
      <c r="D74" s="135">
        <v>22.94</v>
      </c>
      <c r="E74" s="135">
        <v>3.68</v>
      </c>
      <c r="F74" s="135">
        <v>0.72</v>
      </c>
      <c r="G74" s="208" t="s">
        <v>36</v>
      </c>
      <c r="H74" s="135">
        <v>19.41</v>
      </c>
      <c r="I74" s="135">
        <v>6.11</v>
      </c>
      <c r="J74" s="208" t="s">
        <v>36</v>
      </c>
      <c r="K74" s="135">
        <v>343.11</v>
      </c>
      <c r="L74" s="9" t="s">
        <v>36</v>
      </c>
      <c r="M74" s="135">
        <v>76.80</v>
      </c>
      <c r="N74" s="135">
        <v>215.30</v>
      </c>
      <c r="O74" s="135">
        <v>0</v>
      </c>
      <c r="P74" s="135">
        <v>3.10</v>
      </c>
      <c r="Q74" s="135">
        <v>4.67</v>
      </c>
      <c r="R74" s="194"/>
      <c r="S74" s="194"/>
      <c r="T74" s="194"/>
      <c r="U74" s="194"/>
    </row>
    <row r="75" spans="1:21" s="12" customFormat="1" ht="15">
      <c r="A75" s="207" t="s">
        <v>2231</v>
      </c>
      <c r="B75" s="135">
        <v>2.85</v>
      </c>
      <c r="C75" s="135">
        <v>19.670000000000002</v>
      </c>
      <c r="D75" s="135">
        <v>22.52</v>
      </c>
      <c r="E75" s="135">
        <v>3.54</v>
      </c>
      <c r="F75" s="135">
        <v>0.99</v>
      </c>
      <c r="G75" s="208" t="s">
        <v>36</v>
      </c>
      <c r="H75" s="135">
        <v>19.41</v>
      </c>
      <c r="I75" s="135">
        <v>5.91</v>
      </c>
      <c r="J75" s="135">
        <v>0.13</v>
      </c>
      <c r="K75" s="135">
        <v>18.11</v>
      </c>
      <c r="L75" s="9" t="s">
        <v>36</v>
      </c>
      <c r="M75" s="135">
        <v>78.41</v>
      </c>
      <c r="N75" s="135">
        <v>181</v>
      </c>
      <c r="O75" s="135">
        <v>0</v>
      </c>
      <c r="P75" s="135">
        <v>3.08</v>
      </c>
      <c r="Q75" s="135">
        <v>4.55</v>
      </c>
      <c r="R75" s="194"/>
      <c r="S75" s="194"/>
      <c r="T75" s="194"/>
      <c r="U75" s="194"/>
    </row>
    <row r="76" spans="1:21" s="12" customFormat="1" ht="15">
      <c r="A76" s="207" t="s">
        <v>2232</v>
      </c>
      <c r="B76" s="135">
        <v>2.92</v>
      </c>
      <c r="C76" s="135">
        <v>19.97</v>
      </c>
      <c r="D76" s="135">
        <v>22.88</v>
      </c>
      <c r="E76" s="135">
        <v>4.09</v>
      </c>
      <c r="F76" s="135">
        <v>1.02</v>
      </c>
      <c r="G76" s="208" t="s">
        <v>36</v>
      </c>
      <c r="H76" s="135">
        <v>19.41</v>
      </c>
      <c r="I76" s="135">
        <v>5.76</v>
      </c>
      <c r="J76" s="135">
        <v>0.10</v>
      </c>
      <c r="K76" s="135">
        <v>34.43</v>
      </c>
      <c r="L76" s="9" t="s">
        <v>36</v>
      </c>
      <c r="M76" s="135">
        <v>78.319999999999993</v>
      </c>
      <c r="N76" s="135">
        <v>148.10</v>
      </c>
      <c r="O76" s="135">
        <v>0</v>
      </c>
      <c r="P76" s="135">
        <v>3.08</v>
      </c>
      <c r="Q76" s="135">
        <v>4.6900000000000004</v>
      </c>
      <c r="R76" s="194"/>
      <c r="S76" s="194"/>
      <c r="T76" s="194"/>
      <c r="U76" s="194"/>
    </row>
    <row r="77" spans="1:21" s="12" customFormat="1" ht="15">
      <c r="A77" s="207" t="s">
        <v>2233</v>
      </c>
      <c r="B77" s="135">
        <v>2.56</v>
      </c>
      <c r="C77" s="135">
        <v>19.899999999999999</v>
      </c>
      <c r="D77" s="135">
        <v>22.46</v>
      </c>
      <c r="E77" s="135">
        <v>3.48</v>
      </c>
      <c r="F77" s="135">
        <v>0.98</v>
      </c>
      <c r="G77" s="208" t="s">
        <v>36</v>
      </c>
      <c r="H77" s="135">
        <v>17.829999999999998</v>
      </c>
      <c r="I77" s="135">
        <v>5.58</v>
      </c>
      <c r="J77" s="135">
        <v>0.10</v>
      </c>
      <c r="K77" s="135">
        <v>63</v>
      </c>
      <c r="L77" s="9" t="s">
        <v>36</v>
      </c>
      <c r="M77" s="135">
        <v>80.66</v>
      </c>
      <c r="N77" s="135">
        <v>146.5</v>
      </c>
      <c r="O77" s="135">
        <v>0</v>
      </c>
      <c r="P77" s="135">
        <v>3.07</v>
      </c>
      <c r="Q77" s="135">
        <v>4.63</v>
      </c>
      <c r="R77" s="194"/>
      <c r="S77" s="194"/>
      <c r="T77" s="194"/>
      <c r="U77" s="194"/>
    </row>
    <row r="78" spans="1:21" s="12" customFormat="1" ht="15">
      <c r="A78" s="207" t="s">
        <v>2234</v>
      </c>
      <c r="B78" s="135">
        <v>2.19</v>
      </c>
      <c r="C78" s="135">
        <v>19.899999999999999</v>
      </c>
      <c r="D78" s="135">
        <v>22.09</v>
      </c>
      <c r="E78" s="135">
        <v>3.64</v>
      </c>
      <c r="F78" s="135">
        <v>1.1200000000000001</v>
      </c>
      <c r="G78" s="208" t="s">
        <v>36</v>
      </c>
      <c r="H78" s="135">
        <v>13.94</v>
      </c>
      <c r="I78" s="135">
        <v>5.45</v>
      </c>
      <c r="J78" s="135">
        <v>0.08</v>
      </c>
      <c r="K78" s="135">
        <v>21.34</v>
      </c>
      <c r="L78" s="9" t="s">
        <v>36</v>
      </c>
      <c r="M78" s="135">
        <v>80.930000000000007</v>
      </c>
      <c r="N78" s="135">
        <v>121.90</v>
      </c>
      <c r="O78" s="135">
        <v>0</v>
      </c>
      <c r="P78" s="135">
        <v>3.06</v>
      </c>
      <c r="Q78" s="135">
        <v>4.51</v>
      </c>
      <c r="R78" s="194"/>
      <c r="S78" s="194"/>
      <c r="T78" s="194"/>
      <c r="U78" s="194"/>
    </row>
    <row r="79" spans="1:21" s="12" customFormat="1" ht="15">
      <c r="A79" s="207" t="s">
        <v>2235</v>
      </c>
      <c r="B79" s="135">
        <v>2.2200000000000002</v>
      </c>
      <c r="C79" s="135">
        <v>19.899999999999999</v>
      </c>
      <c r="D79" s="135">
        <v>22.12</v>
      </c>
      <c r="E79" s="135">
        <v>3.98</v>
      </c>
      <c r="F79" s="135">
        <v>1.01</v>
      </c>
      <c r="G79" s="208" t="s">
        <v>36</v>
      </c>
      <c r="H79" s="135">
        <v>13.94</v>
      </c>
      <c r="I79" s="135">
        <v>5.32</v>
      </c>
      <c r="J79" s="135">
        <v>0.02</v>
      </c>
      <c r="K79" s="135">
        <v>241.35</v>
      </c>
      <c r="L79" s="9" t="s">
        <v>36</v>
      </c>
      <c r="M79" s="135">
        <v>82.35</v>
      </c>
      <c r="N79" s="135">
        <v>92</v>
      </c>
      <c r="O79" s="135">
        <v>0</v>
      </c>
      <c r="P79" s="135">
        <v>3.07</v>
      </c>
      <c r="Q79" s="135">
        <v>4.5</v>
      </c>
      <c r="R79" s="194"/>
      <c r="S79" s="194"/>
      <c r="T79" s="194"/>
      <c r="U79" s="194"/>
    </row>
    <row r="80" spans="1:21" s="12" customFormat="1" ht="15">
      <c r="A80" s="207" t="s">
        <v>2236</v>
      </c>
      <c r="B80" s="135">
        <v>2.19</v>
      </c>
      <c r="C80" s="135">
        <v>18.420000000000002</v>
      </c>
      <c r="D80" s="135">
        <v>20.61</v>
      </c>
      <c r="E80" s="135">
        <v>3.62</v>
      </c>
      <c r="F80" s="135">
        <v>0.93</v>
      </c>
      <c r="G80" s="208" t="s">
        <v>36</v>
      </c>
      <c r="H80" s="135">
        <v>13.94</v>
      </c>
      <c r="I80" s="135">
        <v>5.15</v>
      </c>
      <c r="J80" s="135">
        <v>0.01</v>
      </c>
      <c r="K80" s="135">
        <v>134.69999999999999</v>
      </c>
      <c r="L80" s="9" t="s">
        <v>36</v>
      </c>
      <c r="M80" s="135">
        <v>83.51</v>
      </c>
      <c r="N80" s="135">
        <v>63.20</v>
      </c>
      <c r="O80" s="135">
        <v>0</v>
      </c>
      <c r="P80" s="135">
        <v>3.07</v>
      </c>
      <c r="Q80" s="135">
        <v>4.34</v>
      </c>
      <c r="R80" s="194"/>
      <c r="S80" s="194"/>
      <c r="T80" s="194"/>
      <c r="U80" s="194"/>
    </row>
    <row r="81" spans="1:21" s="12" customFormat="1" ht="15">
      <c r="A81" s="207" t="s">
        <v>2237</v>
      </c>
      <c r="B81" s="135">
        <v>2.38</v>
      </c>
      <c r="C81" s="135">
        <v>17.5</v>
      </c>
      <c r="D81" s="135">
        <v>19.88</v>
      </c>
      <c r="E81" s="135">
        <v>3.91</v>
      </c>
      <c r="F81" s="135">
        <v>0.57999999999999996</v>
      </c>
      <c r="G81" s="208" t="s">
        <v>36</v>
      </c>
      <c r="H81" s="135">
        <v>15.03</v>
      </c>
      <c r="I81" s="135">
        <v>5.07</v>
      </c>
      <c r="J81" s="135">
        <v>0.17</v>
      </c>
      <c r="K81" s="135">
        <v>32.56</v>
      </c>
      <c r="L81" s="9" t="s">
        <v>36</v>
      </c>
      <c r="M81" s="135">
        <v>83.97</v>
      </c>
      <c r="N81" s="135">
        <v>43.90</v>
      </c>
      <c r="O81" s="135">
        <v>0</v>
      </c>
      <c r="P81" s="135">
        <v>3.09</v>
      </c>
      <c r="Q81" s="135">
        <v>4.34</v>
      </c>
      <c r="R81" s="194"/>
      <c r="S81" s="194"/>
      <c r="T81" s="194"/>
      <c r="U81" s="194"/>
    </row>
    <row r="82" spans="1:21" s="12" customFormat="1" ht="15">
      <c r="A82" s="207" t="s">
        <v>2238</v>
      </c>
      <c r="B82" s="135">
        <v>2.4900000000000002</v>
      </c>
      <c r="C82" s="135">
        <v>16.850000000000001</v>
      </c>
      <c r="D82" s="135">
        <v>19.34</v>
      </c>
      <c r="E82" s="135">
        <v>3.77</v>
      </c>
      <c r="F82" s="135">
        <v>0.5</v>
      </c>
      <c r="G82" s="208" t="s">
        <v>36</v>
      </c>
      <c r="H82" s="135">
        <v>17.73</v>
      </c>
      <c r="I82" s="135">
        <v>4.99</v>
      </c>
      <c r="J82" s="135">
        <v>0.05</v>
      </c>
      <c r="K82" s="135">
        <v>332.97</v>
      </c>
      <c r="L82" s="9" t="s">
        <v>36</v>
      </c>
      <c r="M82" s="135">
        <v>85.24</v>
      </c>
      <c r="N82" s="135">
        <v>29.10</v>
      </c>
      <c r="O82" s="135">
        <v>0</v>
      </c>
      <c r="P82" s="135">
        <v>3.10</v>
      </c>
      <c r="Q82" s="135">
        <v>4.1500000000000004</v>
      </c>
      <c r="R82" s="194"/>
      <c r="S82" s="194"/>
      <c r="T82" s="194"/>
      <c r="U82" s="194"/>
    </row>
    <row r="83" spans="1:21" s="12" customFormat="1" ht="15">
      <c r="A83" s="207" t="s">
        <v>2239</v>
      </c>
      <c r="B83" s="135">
        <v>2.46</v>
      </c>
      <c r="C83" s="135">
        <v>16.38</v>
      </c>
      <c r="D83" s="135">
        <v>18.829999999999998</v>
      </c>
      <c r="E83" s="135">
        <v>3.66</v>
      </c>
      <c r="F83" s="135">
        <v>0.44</v>
      </c>
      <c r="G83" s="208" t="s">
        <v>36</v>
      </c>
      <c r="H83" s="135">
        <v>17.73</v>
      </c>
      <c r="I83" s="135">
        <v>5.05</v>
      </c>
      <c r="J83" s="135">
        <v>0.01</v>
      </c>
      <c r="K83" s="135">
        <v>143.63</v>
      </c>
      <c r="L83" s="9" t="s">
        <v>36</v>
      </c>
      <c r="M83" s="135">
        <v>86.49</v>
      </c>
      <c r="N83" s="135">
        <v>18.70</v>
      </c>
      <c r="O83" s="135">
        <v>0</v>
      </c>
      <c r="P83" s="135">
        <v>3.10</v>
      </c>
      <c r="Q83" s="135">
        <v>4.0599999999999996</v>
      </c>
      <c r="R83" s="194"/>
      <c r="S83" s="194"/>
      <c r="T83" s="194"/>
      <c r="U83" s="194"/>
    </row>
    <row r="84" spans="1:21" s="12" customFormat="1" ht="15">
      <c r="A84" s="207" t="s">
        <v>2240</v>
      </c>
      <c r="B84" s="135">
        <v>2.65</v>
      </c>
      <c r="C84" s="135">
        <v>15.98</v>
      </c>
      <c r="D84" s="135">
        <v>18.62</v>
      </c>
      <c r="E84" s="135">
        <v>3.91</v>
      </c>
      <c r="F84" s="135">
        <v>0.38</v>
      </c>
      <c r="G84" s="208" t="s">
        <v>36</v>
      </c>
      <c r="H84" s="135">
        <v>17.73</v>
      </c>
      <c r="I84" s="135">
        <v>5.01</v>
      </c>
      <c r="J84" s="135">
        <v>0.04</v>
      </c>
      <c r="K84" s="135">
        <v>36.119999999999997</v>
      </c>
      <c r="L84" s="9" t="s">
        <v>36</v>
      </c>
      <c r="M84" s="135">
        <v>87.87</v>
      </c>
      <c r="N84" s="135">
        <v>15.5</v>
      </c>
      <c r="O84" s="135">
        <v>0</v>
      </c>
      <c r="P84" s="135">
        <v>3.10</v>
      </c>
      <c r="Q84" s="135">
        <v>3.92</v>
      </c>
      <c r="R84" s="194"/>
      <c r="S84" s="194"/>
      <c r="T84" s="194"/>
      <c r="U84" s="194"/>
    </row>
    <row r="85" spans="1:21" s="12" customFormat="1" ht="15">
      <c r="A85" s="207" t="s">
        <v>2241</v>
      </c>
      <c r="B85" s="135">
        <v>2.98</v>
      </c>
      <c r="C85" s="135">
        <v>15.64</v>
      </c>
      <c r="D85" s="135">
        <v>18.61</v>
      </c>
      <c r="E85" s="135">
        <v>3.68</v>
      </c>
      <c r="F85" s="135">
        <v>0.27</v>
      </c>
      <c r="G85" s="208" t="s">
        <v>36</v>
      </c>
      <c r="H85" s="135">
        <v>18.09</v>
      </c>
      <c r="I85" s="135">
        <v>4.97</v>
      </c>
      <c r="J85" s="135">
        <v>0.10</v>
      </c>
      <c r="K85" s="135">
        <v>16.14</v>
      </c>
      <c r="L85" s="9" t="s">
        <v>36</v>
      </c>
      <c r="M85" s="135">
        <v>88.68</v>
      </c>
      <c r="N85" s="135">
        <v>15</v>
      </c>
      <c r="O85" s="135">
        <v>0</v>
      </c>
      <c r="P85" s="135">
        <v>3.12</v>
      </c>
      <c r="Q85" s="135">
        <v>4.01</v>
      </c>
      <c r="R85" s="194"/>
      <c r="S85" s="194"/>
      <c r="T85" s="194"/>
      <c r="U85" s="194"/>
    </row>
    <row r="86" spans="1:21" s="12" customFormat="1" ht="15">
      <c r="A86" s="207" t="s">
        <v>2242</v>
      </c>
      <c r="B86" s="135">
        <v>3.32</v>
      </c>
      <c r="C86" s="135">
        <v>15.88</v>
      </c>
      <c r="D86" s="135">
        <v>19.20</v>
      </c>
      <c r="E86" s="135">
        <v>4.0599999999999996</v>
      </c>
      <c r="F86" s="135">
        <v>0.21</v>
      </c>
      <c r="G86" s="208" t="s">
        <v>36</v>
      </c>
      <c r="H86" s="135">
        <v>18.989999999999998</v>
      </c>
      <c r="I86" s="135">
        <v>4.97</v>
      </c>
      <c r="J86" s="135">
        <v>0.09</v>
      </c>
      <c r="K86" s="135">
        <v>5.57</v>
      </c>
      <c r="L86" s="9" t="s">
        <v>36</v>
      </c>
      <c r="M86" s="135">
        <v>89.05</v>
      </c>
      <c r="N86" s="135">
        <v>15</v>
      </c>
      <c r="O86" s="135">
        <v>0</v>
      </c>
      <c r="P86" s="135">
        <v>3.13</v>
      </c>
      <c r="Q86" s="135">
        <v>4.1500000000000004</v>
      </c>
      <c r="R86" s="194"/>
      <c r="S86" s="194"/>
      <c r="T86" s="194"/>
      <c r="U86" s="194"/>
    </row>
    <row r="87" spans="1:21" s="12" customFormat="1" ht="15">
      <c r="A87" s="207" t="s">
        <v>2243</v>
      </c>
      <c r="B87" s="135">
        <v>3.97</v>
      </c>
      <c r="C87" s="135">
        <v>15.91</v>
      </c>
      <c r="D87" s="135">
        <v>19.88</v>
      </c>
      <c r="E87" s="135">
        <v>4.63</v>
      </c>
      <c r="F87" s="135">
        <v>0.30</v>
      </c>
      <c r="G87" s="208" t="s">
        <v>36</v>
      </c>
      <c r="H87" s="135">
        <v>18.989999999999998</v>
      </c>
      <c r="I87" s="135">
        <v>5</v>
      </c>
      <c r="J87" s="135">
        <v>0.53</v>
      </c>
      <c r="K87" s="135">
        <v>329.66</v>
      </c>
      <c r="L87" s="9" t="s">
        <v>36</v>
      </c>
      <c r="M87" s="135">
        <v>88.63</v>
      </c>
      <c r="N87" s="135">
        <v>15.40</v>
      </c>
      <c r="O87" s="135">
        <v>0</v>
      </c>
      <c r="P87" s="135">
        <v>3.16</v>
      </c>
      <c r="Q87" s="135">
        <v>4.21</v>
      </c>
      <c r="R87" s="194"/>
      <c r="S87" s="194"/>
      <c r="T87" s="194"/>
      <c r="U87" s="194"/>
    </row>
    <row r="88" spans="1:21" s="12" customFormat="1" ht="15">
      <c r="A88" s="207" t="s">
        <v>2244</v>
      </c>
      <c r="B88" s="135">
        <v>4.41</v>
      </c>
      <c r="C88" s="135">
        <v>15.98</v>
      </c>
      <c r="D88" s="135">
        <v>20.39</v>
      </c>
      <c r="E88" s="135">
        <v>3.30</v>
      </c>
      <c r="F88" s="135">
        <v>0.56999999999999995</v>
      </c>
      <c r="G88" s="208" t="s">
        <v>36</v>
      </c>
      <c r="H88" s="135">
        <v>18.989999999999998</v>
      </c>
      <c r="I88" s="135">
        <v>5.09</v>
      </c>
      <c r="J88" s="135">
        <v>0.28999999999999998</v>
      </c>
      <c r="K88" s="135">
        <v>319.43</v>
      </c>
      <c r="L88" s="9" t="s">
        <v>36</v>
      </c>
      <c r="M88" s="135">
        <v>94.47</v>
      </c>
      <c r="N88" s="135">
        <v>15.70</v>
      </c>
      <c r="O88" s="135">
        <v>0.20</v>
      </c>
      <c r="P88" s="135">
        <v>3.17</v>
      </c>
      <c r="Q88" s="135">
        <v>4.37</v>
      </c>
      <c r="R88" s="194"/>
      <c r="S88" s="194"/>
      <c r="T88" s="194"/>
      <c r="U88" s="194"/>
    </row>
    <row r="89" spans="1:21" s="12" customFormat="1" ht="15">
      <c r="A89" s="207" t="s">
        <v>2245</v>
      </c>
      <c r="B89" s="135">
        <v>4.7300000000000004</v>
      </c>
      <c r="C89" s="135">
        <v>15.74</v>
      </c>
      <c r="D89" s="135">
        <v>20.47</v>
      </c>
      <c r="E89" s="135">
        <v>5.1100000000000003</v>
      </c>
      <c r="F89" s="135">
        <v>0.43</v>
      </c>
      <c r="G89" s="208" t="s">
        <v>36</v>
      </c>
      <c r="H89" s="135">
        <v>18.39</v>
      </c>
      <c r="I89" s="135">
        <v>5.18</v>
      </c>
      <c r="J89" s="135">
        <v>0.11</v>
      </c>
      <c r="K89" s="135">
        <v>273.79000000000002</v>
      </c>
      <c r="L89" s="9" t="s">
        <v>36</v>
      </c>
      <c r="M89" s="135">
        <v>98.05</v>
      </c>
      <c r="N89" s="135">
        <v>15</v>
      </c>
      <c r="O89" s="135">
        <v>0.20</v>
      </c>
      <c r="P89" s="135">
        <v>3.19</v>
      </c>
      <c r="Q89" s="135">
        <v>4.45</v>
      </c>
      <c r="R89" s="194"/>
      <c r="S89" s="194"/>
      <c r="T89" s="194"/>
      <c r="U89" s="194"/>
    </row>
    <row r="90" spans="1:21" s="12" customFormat="1" ht="15">
      <c r="A90" s="207" t="s">
        <v>2246</v>
      </c>
      <c r="B90" s="135">
        <v>5.35</v>
      </c>
      <c r="C90" s="135">
        <v>15.33</v>
      </c>
      <c r="D90" s="135">
        <v>20.68</v>
      </c>
      <c r="E90" s="135">
        <v>5.51</v>
      </c>
      <c r="F90" s="135">
        <v>0.24</v>
      </c>
      <c r="G90" s="208" t="s">
        <v>36</v>
      </c>
      <c r="H90" s="135">
        <v>16.920000000000002</v>
      </c>
      <c r="I90" s="135">
        <v>5.18</v>
      </c>
      <c r="J90" s="135">
        <v>0.10</v>
      </c>
      <c r="K90" s="135">
        <v>263.98</v>
      </c>
      <c r="L90" s="9" t="s">
        <v>36</v>
      </c>
      <c r="M90" s="135">
        <v>98.23</v>
      </c>
      <c r="N90" s="135">
        <v>15</v>
      </c>
      <c r="O90" s="135">
        <v>0</v>
      </c>
      <c r="P90" s="135">
        <v>3.23</v>
      </c>
      <c r="Q90" s="135">
        <v>4.63</v>
      </c>
      <c r="R90" s="194"/>
      <c r="S90" s="194"/>
      <c r="T90" s="194"/>
      <c r="U90" s="194"/>
    </row>
    <row r="91" spans="1:21" s="12" customFormat="1" ht="15">
      <c r="A91" s="207" t="s">
        <v>2247</v>
      </c>
      <c r="B91" s="135">
        <v>6.46</v>
      </c>
      <c r="C91" s="135">
        <v>14.89</v>
      </c>
      <c r="D91" s="135">
        <v>21.35</v>
      </c>
      <c r="E91" s="135">
        <v>5.29</v>
      </c>
      <c r="F91" s="135">
        <v>0.16</v>
      </c>
      <c r="G91" s="208" t="s">
        <v>36</v>
      </c>
      <c r="H91" s="135">
        <v>16.920000000000002</v>
      </c>
      <c r="I91" s="135">
        <v>5.38</v>
      </c>
      <c r="J91" s="135">
        <v>0.09</v>
      </c>
      <c r="K91" s="135">
        <v>232.76</v>
      </c>
      <c r="L91" s="9" t="s">
        <v>36</v>
      </c>
      <c r="M91" s="135">
        <v>97.73</v>
      </c>
      <c r="N91" s="135">
        <v>14.90</v>
      </c>
      <c r="O91" s="135">
        <v>0</v>
      </c>
      <c r="P91" s="135">
        <v>3.26</v>
      </c>
      <c r="Q91" s="135">
        <v>5.0199999999999996</v>
      </c>
      <c r="R91" s="194"/>
      <c r="S91" s="194"/>
      <c r="T91" s="194"/>
      <c r="U91" s="194"/>
    </row>
    <row r="92" spans="1:21" s="12" customFormat="1" ht="15">
      <c r="A92" s="207" t="s">
        <v>2248</v>
      </c>
      <c r="B92" s="135">
        <v>7.69</v>
      </c>
      <c r="C92" s="135">
        <v>14.70</v>
      </c>
      <c r="D92" s="135">
        <v>22.39</v>
      </c>
      <c r="E92" s="135">
        <v>6.14</v>
      </c>
      <c r="F92" s="135">
        <v>0.12</v>
      </c>
      <c r="G92" s="208" t="s">
        <v>36</v>
      </c>
      <c r="H92" s="135">
        <v>16.920000000000002</v>
      </c>
      <c r="I92" s="135">
        <v>5.87</v>
      </c>
      <c r="J92" s="135">
        <v>0.12</v>
      </c>
      <c r="K92" s="135">
        <v>228.97</v>
      </c>
      <c r="L92" s="9" t="s">
        <v>36</v>
      </c>
      <c r="M92" s="135">
        <v>98.16</v>
      </c>
      <c r="N92" s="135">
        <v>15</v>
      </c>
      <c r="O92" s="135">
        <v>0</v>
      </c>
      <c r="P92" s="135">
        <v>3.28</v>
      </c>
      <c r="Q92" s="135">
        <v>5.47</v>
      </c>
      <c r="R92" s="194"/>
      <c r="S92" s="194"/>
      <c r="T92" s="194"/>
      <c r="U92" s="194"/>
    </row>
    <row r="93" spans="1:21" s="12" customFormat="1" ht="15">
      <c r="A93" s="207" t="s">
        <v>2249</v>
      </c>
      <c r="B93" s="135">
        <v>8.18</v>
      </c>
      <c r="C93" s="135">
        <v>14.40</v>
      </c>
      <c r="D93" s="135">
        <v>22.58</v>
      </c>
      <c r="E93" s="135">
        <v>6.04</v>
      </c>
      <c r="F93" s="135">
        <v>0.13</v>
      </c>
      <c r="G93" s="208" t="s">
        <v>36</v>
      </c>
      <c r="H93" s="135">
        <v>17.91</v>
      </c>
      <c r="I93" s="135">
        <v>6.12</v>
      </c>
      <c r="J93" s="135">
        <v>0.20</v>
      </c>
      <c r="K93" s="135">
        <v>200.80</v>
      </c>
      <c r="L93" s="9" t="s">
        <v>36</v>
      </c>
      <c r="M93" s="135">
        <v>98.09</v>
      </c>
      <c r="N93" s="135">
        <v>14.90</v>
      </c>
      <c r="O93" s="135">
        <v>0</v>
      </c>
      <c r="P93" s="135">
        <v>3.28</v>
      </c>
      <c r="Q93" s="135">
        <v>5.77</v>
      </c>
      <c r="R93" s="194"/>
      <c r="S93" s="194"/>
      <c r="T93" s="194"/>
      <c r="U93" s="194"/>
    </row>
    <row r="94" spans="1:21" s="12" customFormat="1" ht="15">
      <c r="A94" s="207" t="s">
        <v>2250</v>
      </c>
      <c r="B94" s="135">
        <v>8.31</v>
      </c>
      <c r="C94" s="135">
        <v>13.47</v>
      </c>
      <c r="D94" s="135">
        <v>21.78</v>
      </c>
      <c r="E94" s="135">
        <v>6.21</v>
      </c>
      <c r="F94" s="135">
        <v>0.37</v>
      </c>
      <c r="G94" s="208" t="s">
        <v>36</v>
      </c>
      <c r="H94" s="135">
        <v>20.350000000000001</v>
      </c>
      <c r="I94" s="135">
        <v>5.63</v>
      </c>
      <c r="J94" s="135">
        <v>0.15</v>
      </c>
      <c r="K94" s="135">
        <v>213.34</v>
      </c>
      <c r="L94" s="9" t="s">
        <v>36</v>
      </c>
      <c r="M94" s="135">
        <v>97.82</v>
      </c>
      <c r="N94" s="135">
        <v>14.80</v>
      </c>
      <c r="O94" s="135">
        <v>0</v>
      </c>
      <c r="P94" s="135">
        <v>3.26</v>
      </c>
      <c r="Q94" s="135">
        <v>5.75</v>
      </c>
      <c r="R94" s="194"/>
      <c r="S94" s="194"/>
      <c r="T94" s="194"/>
      <c r="U94" s="194"/>
    </row>
    <row r="95" spans="1:21" s="12" customFormat="1" ht="15">
      <c r="A95" s="207" t="s">
        <v>2251</v>
      </c>
      <c r="B95" s="135">
        <v>8.39</v>
      </c>
      <c r="C95" s="135">
        <v>12.80</v>
      </c>
      <c r="D95" s="135">
        <v>21.19</v>
      </c>
      <c r="E95" s="135">
        <v>5.90</v>
      </c>
      <c r="F95" s="135">
        <v>0.17</v>
      </c>
      <c r="G95" s="208" t="s">
        <v>36</v>
      </c>
      <c r="H95" s="135">
        <v>20.350000000000001</v>
      </c>
      <c r="I95" s="135">
        <v>5.27</v>
      </c>
      <c r="J95" s="135">
        <v>0.11</v>
      </c>
      <c r="K95" s="135">
        <v>225.91</v>
      </c>
      <c r="L95" s="9" t="s">
        <v>36</v>
      </c>
      <c r="M95" s="135">
        <v>97.36</v>
      </c>
      <c r="N95" s="135">
        <v>14.80</v>
      </c>
      <c r="O95" s="135">
        <v>0</v>
      </c>
      <c r="P95" s="135">
        <v>3.28</v>
      </c>
      <c r="Q95" s="135">
        <v>5.81</v>
      </c>
      <c r="R95" s="194"/>
      <c r="S95" s="194"/>
      <c r="T95" s="194"/>
      <c r="U95" s="194"/>
    </row>
    <row r="96" spans="1:26" s="12" customFormat="1" ht="15">
      <c r="A96" s="207" t="s">
        <v>2252</v>
      </c>
      <c r="B96" s="135">
        <v>8.51</v>
      </c>
      <c r="C96" s="135">
        <v>13</v>
      </c>
      <c r="D96" s="135">
        <v>21.51</v>
      </c>
      <c r="E96" s="135">
        <v>5.87</v>
      </c>
      <c r="F96" s="135">
        <v>0.09</v>
      </c>
      <c r="G96" s="208" t="s">
        <v>36</v>
      </c>
      <c r="H96" s="135">
        <v>20.350000000000001</v>
      </c>
      <c r="I96" s="135">
        <v>5.69</v>
      </c>
      <c r="J96" s="135">
        <v>0.06</v>
      </c>
      <c r="K96" s="135">
        <v>212.87</v>
      </c>
      <c r="L96" s="9" t="s">
        <v>36</v>
      </c>
      <c r="M96" s="135">
        <v>96.81</v>
      </c>
      <c r="N96" s="135">
        <v>14.80</v>
      </c>
      <c r="O96" s="135">
        <v>0</v>
      </c>
      <c r="P96" s="135">
        <v>3.28</v>
      </c>
      <c r="Q96" s="135">
        <v>5.92</v>
      </c>
      <c r="R96" s="194"/>
      <c r="S96" s="194"/>
      <c r="T96" s="194"/>
      <c r="U96" s="194"/>
      <c r="Z96" s="105"/>
    </row>
    <row r="97" spans="1:21" s="12" customFormat="1" ht="15">
      <c r="A97" s="207" t="s">
        <v>2253</v>
      </c>
      <c r="B97" s="135">
        <v>8.4499999999999993</v>
      </c>
      <c r="C97" s="135">
        <v>13.04</v>
      </c>
      <c r="D97" s="135">
        <v>21.49</v>
      </c>
      <c r="E97" s="135">
        <v>6.13</v>
      </c>
      <c r="F97" s="135">
        <v>0.04</v>
      </c>
      <c r="G97" s="208" t="s">
        <v>36</v>
      </c>
      <c r="H97" s="135">
        <v>18.64</v>
      </c>
      <c r="I97" s="135">
        <v>5.83</v>
      </c>
      <c r="J97" s="135">
        <v>0.03</v>
      </c>
      <c r="K97" s="135">
        <v>341.43</v>
      </c>
      <c r="L97" s="9" t="s">
        <v>36</v>
      </c>
      <c r="M97" s="135">
        <v>96.78</v>
      </c>
      <c r="N97" s="135">
        <v>15</v>
      </c>
      <c r="O97" s="135">
        <v>0</v>
      </c>
      <c r="P97" s="135">
        <v>3.26</v>
      </c>
      <c r="Q97" s="135">
        <v>6.03</v>
      </c>
      <c r="R97" s="194"/>
      <c r="S97" s="194"/>
      <c r="T97" s="194"/>
      <c r="U97" s="194"/>
    </row>
    <row r="98" spans="1:21" s="12" customFormat="1" ht="15">
      <c r="A98" s="207" t="s">
        <v>2254</v>
      </c>
      <c r="B98" s="135">
        <v>8.51</v>
      </c>
      <c r="C98" s="135">
        <v>13.05</v>
      </c>
      <c r="D98" s="135">
        <v>21.55</v>
      </c>
      <c r="E98" s="135">
        <v>6.58</v>
      </c>
      <c r="F98" s="135">
        <v>0.03</v>
      </c>
      <c r="G98" s="208" t="s">
        <v>36</v>
      </c>
      <c r="H98" s="135">
        <v>14.44</v>
      </c>
      <c r="I98" s="135">
        <v>5.77</v>
      </c>
      <c r="J98" s="135">
        <v>0.070000000000000007</v>
      </c>
      <c r="K98" s="135">
        <v>15.91</v>
      </c>
      <c r="L98" s="9" t="s">
        <v>36</v>
      </c>
      <c r="M98" s="135">
        <v>96.66</v>
      </c>
      <c r="N98" s="135">
        <v>15</v>
      </c>
      <c r="O98" s="135">
        <v>0</v>
      </c>
      <c r="P98" s="135">
        <v>3.26</v>
      </c>
      <c r="Q98" s="135">
        <v>6.01</v>
      </c>
      <c r="R98" s="194"/>
      <c r="S98" s="194"/>
      <c r="T98" s="194"/>
      <c r="U98" s="194"/>
    </row>
    <row r="99" spans="1:21" s="12" customFormat="1" ht="15">
      <c r="A99" s="207" t="s">
        <v>2255</v>
      </c>
      <c r="B99" s="135">
        <v>8.69</v>
      </c>
      <c r="C99" s="135">
        <v>12.88</v>
      </c>
      <c r="D99" s="135">
        <v>21.57</v>
      </c>
      <c r="E99" s="135">
        <v>6.28</v>
      </c>
      <c r="F99" s="135">
        <v>0.08</v>
      </c>
      <c r="G99" s="208" t="s">
        <v>36</v>
      </c>
      <c r="H99" s="135">
        <v>14.44</v>
      </c>
      <c r="I99" s="135">
        <v>5.67</v>
      </c>
      <c r="J99" s="135">
        <v>0.08</v>
      </c>
      <c r="K99" s="135">
        <v>182.99</v>
      </c>
      <c r="L99" s="9" t="s">
        <v>36</v>
      </c>
      <c r="M99" s="135">
        <v>96.72</v>
      </c>
      <c r="N99" s="135">
        <v>15</v>
      </c>
      <c r="O99" s="135">
        <v>0</v>
      </c>
      <c r="P99" s="135">
        <v>3.26</v>
      </c>
      <c r="Q99" s="135">
        <v>5.97</v>
      </c>
      <c r="R99" s="194"/>
      <c r="S99" s="194"/>
      <c r="T99" s="194"/>
      <c r="U99" s="194"/>
    </row>
    <row r="100" spans="1:33" s="12" customFormat="1" ht="15">
      <c r="A100" s="207" t="s">
        <v>2256</v>
      </c>
      <c r="B100" s="135">
        <v>8.59</v>
      </c>
      <c r="C100" s="135">
        <v>12.75</v>
      </c>
      <c r="D100" s="135">
        <v>21.33</v>
      </c>
      <c r="E100" s="135">
        <v>6.07</v>
      </c>
      <c r="F100" s="135">
        <v>0.070000000000000007</v>
      </c>
      <c r="G100" s="208" t="s">
        <v>36</v>
      </c>
      <c r="H100" s="135">
        <v>14.44</v>
      </c>
      <c r="I100" s="135">
        <v>5.64</v>
      </c>
      <c r="J100" s="135">
        <v>0.08</v>
      </c>
      <c r="K100" s="135">
        <v>86.55</v>
      </c>
      <c r="L100" s="9" t="s">
        <v>36</v>
      </c>
      <c r="M100" s="135">
        <v>97</v>
      </c>
      <c r="N100" s="135">
        <v>15</v>
      </c>
      <c r="O100" s="135">
        <v>0</v>
      </c>
      <c r="P100" s="135">
        <v>3.23</v>
      </c>
      <c r="Q100" s="135">
        <v>5.87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2257</v>
      </c>
      <c r="B101" s="135">
        <v>8.5500000000000007</v>
      </c>
      <c r="C101" s="135">
        <v>12.71</v>
      </c>
      <c r="D101" s="135">
        <v>21.26</v>
      </c>
      <c r="E101" s="135">
        <v>6.04</v>
      </c>
      <c r="F101" s="135">
        <v>0.12</v>
      </c>
      <c r="G101" s="208" t="s">
        <v>36</v>
      </c>
      <c r="H101" s="135">
        <v>15.48</v>
      </c>
      <c r="I101" s="135">
        <v>5.64</v>
      </c>
      <c r="J101" s="135">
        <v>0.09</v>
      </c>
      <c r="K101" s="135">
        <v>58.71</v>
      </c>
      <c r="L101" s="9" t="s">
        <v>36</v>
      </c>
      <c r="M101" s="135">
        <v>96.5</v>
      </c>
      <c r="N101" s="135">
        <v>15</v>
      </c>
      <c r="O101" s="135">
        <v>0</v>
      </c>
      <c r="P101" s="135">
        <v>3.22</v>
      </c>
      <c r="Q101" s="135">
        <v>5.87</v>
      </c>
      <c r="R101" s="194"/>
      <c r="S101" s="194"/>
      <c r="T101" s="194"/>
      <c r="U101" s="194"/>
    </row>
    <row r="102" spans="1:21" s="12" customFormat="1" ht="15">
      <c r="A102" s="207" t="s">
        <v>2258</v>
      </c>
      <c r="B102" s="135">
        <v>8.7100000000000009</v>
      </c>
      <c r="C102" s="135">
        <v>12.63</v>
      </c>
      <c r="D102" s="135">
        <v>21.33</v>
      </c>
      <c r="E102" s="135">
        <v>6.45</v>
      </c>
      <c r="F102" s="135">
        <v>0.19</v>
      </c>
      <c r="G102" s="208" t="s">
        <v>36</v>
      </c>
      <c r="H102" s="135">
        <v>18.03</v>
      </c>
      <c r="I102" s="135">
        <v>5.5</v>
      </c>
      <c r="J102" s="135">
        <v>0.01</v>
      </c>
      <c r="K102" s="135">
        <v>327.58</v>
      </c>
      <c r="L102" s="9" t="s">
        <v>36</v>
      </c>
      <c r="M102" s="135">
        <v>96.27</v>
      </c>
      <c r="N102" s="135">
        <v>15</v>
      </c>
      <c r="O102" s="135">
        <v>0</v>
      </c>
      <c r="P102" s="135">
        <v>3.21</v>
      </c>
      <c r="Q102" s="135">
        <v>5.86</v>
      </c>
      <c r="R102" s="194"/>
      <c r="S102" s="194"/>
      <c r="T102" s="194"/>
      <c r="U102" s="194"/>
    </row>
    <row r="103" spans="1:21" s="12" customFormat="1" ht="15">
      <c r="A103" s="207" t="s">
        <v>2259</v>
      </c>
      <c r="B103" s="135">
        <v>8.66</v>
      </c>
      <c r="C103" s="135">
        <v>12.47</v>
      </c>
      <c r="D103" s="135">
        <v>21.13</v>
      </c>
      <c r="E103" s="135">
        <v>6.5</v>
      </c>
      <c r="F103" s="135">
        <v>0.18</v>
      </c>
      <c r="G103" s="208" t="s">
        <v>36</v>
      </c>
      <c r="H103" s="135">
        <v>18.03</v>
      </c>
      <c r="I103" s="135">
        <v>5.19</v>
      </c>
      <c r="J103" s="135">
        <v>0.06</v>
      </c>
      <c r="K103" s="135">
        <v>240.22</v>
      </c>
      <c r="L103" s="9" t="s">
        <v>36</v>
      </c>
      <c r="M103" s="135">
        <v>95.97</v>
      </c>
      <c r="N103" s="135">
        <v>15</v>
      </c>
      <c r="O103" s="135">
        <v>0</v>
      </c>
      <c r="P103" s="135">
        <v>3.19</v>
      </c>
      <c r="Q103" s="135">
        <v>5.86</v>
      </c>
      <c r="R103" s="194"/>
      <c r="S103" s="194"/>
      <c r="T103" s="194"/>
      <c r="U103" s="194"/>
    </row>
    <row r="104" spans="1:21" s="12" customFormat="1" ht="15">
      <c r="A104" s="209" t="s">
        <v>2260</v>
      </c>
      <c r="B104" s="210">
        <v>8.99</v>
      </c>
      <c r="C104" s="210">
        <v>12.29</v>
      </c>
      <c r="D104" s="210">
        <v>21.28</v>
      </c>
      <c r="E104" s="210">
        <v>3.57</v>
      </c>
      <c r="F104" s="210">
        <v>0.06</v>
      </c>
      <c r="G104" s="211" t="s">
        <v>36</v>
      </c>
      <c r="H104" s="210">
        <v>18.03</v>
      </c>
      <c r="I104" s="210">
        <v>4.96</v>
      </c>
      <c r="J104" s="210">
        <v>0.05</v>
      </c>
      <c r="K104" s="210">
        <v>65.59</v>
      </c>
      <c r="L104" s="9" t="s">
        <v>36</v>
      </c>
      <c r="M104" s="210">
        <v>95.22</v>
      </c>
      <c r="N104" s="210">
        <v>15.20</v>
      </c>
      <c r="O104" s="210">
        <v>0</v>
      </c>
      <c r="P104" s="210">
        <v>3.18</v>
      </c>
      <c r="Q104" s="210">
        <v>5.99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2.1899999999999999</v>
      </c>
      <c r="C106" s="67">
        <f>MIN(C9:C104)</f>
        <v>8.1199999999999992</v>
      </c>
      <c r="D106" s="67">
        <f t="shared" si="0" ref="D106:Q106">MIN(D9:D104)</f>
        <v>11.220000000000001</v>
      </c>
      <c r="E106" s="67">
        <f t="shared" si="0"/>
        <v>1.8200000000000001</v>
      </c>
      <c r="F106" s="67">
        <f t="shared" si="0"/>
        <v>0.029999999999999999</v>
      </c>
      <c r="G106" s="67">
        <f t="shared" si="0"/>
        <v>0</v>
      </c>
      <c r="H106" s="67">
        <f t="shared" si="0"/>
        <v>5.8200000000000003</v>
      </c>
      <c r="I106" s="67">
        <f t="shared" si="0"/>
        <v>3.0499999999999998</v>
      </c>
      <c r="J106" s="67">
        <f t="shared" si="0"/>
        <v>0.01</v>
      </c>
      <c r="K106" s="67">
        <f t="shared" si="0"/>
        <v>3.3599999999999999</v>
      </c>
      <c r="L106" s="67">
        <f t="shared" si="0"/>
        <v>0</v>
      </c>
      <c r="M106" s="67">
        <f t="shared" si="0"/>
        <v>74.920000000000002</v>
      </c>
      <c r="N106" s="67">
        <f t="shared" si="0"/>
        <v>0.10000000000000001</v>
      </c>
      <c r="O106" s="67">
        <f t="shared" si="0"/>
        <v>0</v>
      </c>
      <c r="P106" s="67">
        <f t="shared" si="0"/>
        <v>2.7599999999999998</v>
      </c>
      <c r="Q106" s="67">
        <f t="shared" si="0"/>
        <v>3.9199999999999999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12.32</v>
      </c>
      <c r="C107" s="66">
        <f t="shared" si="1" ref="C107:Q107">MAX(C9:C104)</f>
        <v>23.32</v>
      </c>
      <c r="D107" s="66">
        <f t="shared" si="1"/>
        <v>29.699999999999999</v>
      </c>
      <c r="E107" s="66">
        <f t="shared" si="1"/>
        <v>6.5800000000000001</v>
      </c>
      <c r="F107" s="66">
        <f t="shared" si="1"/>
        <v>1.1200000000000001</v>
      </c>
      <c r="G107" s="66">
        <f t="shared" si="1"/>
        <v>0</v>
      </c>
      <c r="H107" s="66">
        <f t="shared" si="1"/>
        <v>22.68</v>
      </c>
      <c r="I107" s="66">
        <f t="shared" si="1"/>
        <v>7.2199999999999998</v>
      </c>
      <c r="J107" s="66">
        <f t="shared" si="1"/>
        <v>0.53000000000000003</v>
      </c>
      <c r="K107" s="66">
        <f t="shared" si="1"/>
        <v>357.75999999999999</v>
      </c>
      <c r="L107" s="66">
        <f t="shared" si="1"/>
        <v>0</v>
      </c>
      <c r="M107" s="66">
        <f t="shared" si="1"/>
        <v>98.230000000000004</v>
      </c>
      <c r="N107" s="66">
        <f t="shared" si="1"/>
        <v>695.60000000000002</v>
      </c>
      <c r="O107" s="66">
        <f t="shared" si="1"/>
        <v>0.20000000000000001</v>
      </c>
      <c r="P107" s="66">
        <f t="shared" si="1"/>
        <v>3.2799999999999998</v>
      </c>
      <c r="Q107" s="66">
        <f t="shared" si="1"/>
        <v>7.3899999999999997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5.8481250000000005</v>
      </c>
      <c r="C108" s="67">
        <f t="shared" si="2" ref="C108:Q108">AVERAGE(C9:C104)</f>
        <v>14.111145833333337</v>
      </c>
      <c r="D108" s="67">
        <f t="shared" si="2"/>
        <v>19.958124999999995</v>
      </c>
      <c r="E108" s="67">
        <f t="shared" si="2"/>
        <v>4.8947916666666682</v>
      </c>
      <c r="F108" s="67">
        <f t="shared" si="2"/>
        <v>0.32739583333333339</v>
      </c>
      <c r="G108" s="67" t="e">
        <f t="shared" si="2"/>
        <v>#DIV/0!</v>
      </c>
      <c r="H108" s="67">
        <f t="shared" si="2"/>
        <v>13.868541666666673</v>
      </c>
      <c r="I108" s="67">
        <f t="shared" si="2"/>
        <v>4.7448958333333335</v>
      </c>
      <c r="J108" s="67">
        <f t="shared" si="2"/>
        <v>0.097263157894736801</v>
      </c>
      <c r="K108" s="67">
        <f t="shared" si="2"/>
        <v>183.86062500000003</v>
      </c>
      <c r="L108" s="67" t="e">
        <f t="shared" si="2"/>
        <v>#DIV/0!</v>
      </c>
      <c r="M108" s="67">
        <f t="shared" si="2"/>
        <v>89.045208333333321</v>
      </c>
      <c r="N108" s="67">
        <f t="shared" si="2"/>
        <v>168.63222222222217</v>
      </c>
      <c r="O108" s="67">
        <f t="shared" si="2"/>
        <v>0.0062500000000000012</v>
      </c>
      <c r="P108" s="67">
        <f t="shared" si="2"/>
        <v>3.0349999999999984</v>
      </c>
      <c r="Q108" s="67">
        <f t="shared" si="2"/>
        <v>5.3147916666666672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2.9591383214143856</v>
      </c>
      <c r="C109" s="67">
        <f t="shared" si="3" ref="C109:Q109">STDEV(C9:C104)</f>
        <v>4.5165361366035386</v>
      </c>
      <c r="D109" s="67">
        <f t="shared" si="3"/>
        <v>5.7913284200104771</v>
      </c>
      <c r="E109" s="67">
        <f t="shared" si="3"/>
        <v>1.0019685667584219</v>
      </c>
      <c r="F109" s="67">
        <f t="shared" si="3"/>
        <v>0.27469885824170837</v>
      </c>
      <c r="G109" s="67" t="e">
        <f t="shared" si="3"/>
        <v>#DIV/0!</v>
      </c>
      <c r="H109" s="67">
        <f t="shared" si="3"/>
        <v>5.0475025568496186</v>
      </c>
      <c r="I109" s="67">
        <f t="shared" si="3"/>
        <v>1.283290995257421</v>
      </c>
      <c r="J109" s="67">
        <f t="shared" si="3"/>
        <v>0.070822554786715786</v>
      </c>
      <c r="K109" s="67">
        <f t="shared" si="3"/>
        <v>119.55881207534817</v>
      </c>
      <c r="L109" s="67" t="e">
        <f t="shared" si="3"/>
        <v>#DIV/0!</v>
      </c>
      <c r="M109" s="67">
        <f t="shared" si="3"/>
        <v>8.200196528988501</v>
      </c>
      <c r="N109" s="67">
        <f t="shared" si="3"/>
        <v>205.97761514015664</v>
      </c>
      <c r="O109" s="67">
        <f t="shared" si="3"/>
        <v>0.034981197957278651</v>
      </c>
      <c r="P109" s="67">
        <f t="shared" si="3"/>
        <v>0.1761279439259397</v>
      </c>
      <c r="Q109" s="67">
        <f t="shared" si="3"/>
        <v>0.95631747554621427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>COUNT(E9:E104)</f>
        <v>96</v>
      </c>
      <c r="F110" s="66">
        <f>COUNT(F9:F104)</f>
        <v>96</v>
      </c>
      <c r="G110" s="66">
        <f>COUNT(G9:G104)+96</f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 ref="K110:Q110">COUNT(K9:K104)</f>
        <v>96</v>
      </c>
      <c r="L110" s="66">
        <f>COUNT(L9:L104)+96</f>
        <v>96</v>
      </c>
      <c r="M110" s="66">
        <f t="shared" si="4"/>
        <v>96</v>
      </c>
      <c r="N110" s="66">
        <f>COUNT(N9:N104)+6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820366-7fc8-4df3-b83f-7fa287b20dc4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22-07-2022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2261</v>
      </c>
      <c r="B9" s="135">
        <v>8.85</v>
      </c>
      <c r="C9" s="135">
        <v>12.28</v>
      </c>
      <c r="D9" s="135">
        <v>21.13</v>
      </c>
      <c r="E9" s="135">
        <v>6.04</v>
      </c>
      <c r="F9" s="135">
        <v>0.070000000000000007</v>
      </c>
      <c r="G9" s="208" t="s">
        <v>36</v>
      </c>
      <c r="H9" s="135">
        <v>16.62</v>
      </c>
      <c r="I9" s="135">
        <v>5</v>
      </c>
      <c r="J9" s="135">
        <v>0.06</v>
      </c>
      <c r="K9" s="135">
        <v>45.42</v>
      </c>
      <c r="L9" s="9" t="s">
        <v>36</v>
      </c>
      <c r="M9" s="135">
        <v>94.28</v>
      </c>
      <c r="N9" s="135">
        <v>15.40</v>
      </c>
      <c r="O9" s="135">
        <v>0</v>
      </c>
      <c r="P9" s="135">
        <v>3.15</v>
      </c>
      <c r="Q9" s="135">
        <v>5.96</v>
      </c>
      <c r="R9" s="194"/>
      <c r="S9" s="194"/>
      <c r="T9" s="194"/>
      <c r="U9" s="194"/>
    </row>
    <row r="10" spans="1:21" s="12" customFormat="1" ht="15">
      <c r="A10" s="207" t="s">
        <v>2262</v>
      </c>
      <c r="B10" s="135">
        <v>8.4600000000000009</v>
      </c>
      <c r="C10" s="135">
        <v>12.20</v>
      </c>
      <c r="D10" s="135">
        <v>20.66</v>
      </c>
      <c r="E10" s="135">
        <v>6.07</v>
      </c>
      <c r="F10" s="135">
        <v>0.20</v>
      </c>
      <c r="G10" s="208" t="s">
        <v>36</v>
      </c>
      <c r="H10" s="135">
        <v>13.14</v>
      </c>
      <c r="I10" s="135">
        <v>5.26</v>
      </c>
      <c r="J10" s="135">
        <v>0.08</v>
      </c>
      <c r="K10" s="135">
        <v>210.12</v>
      </c>
      <c r="L10" s="9" t="s">
        <v>36</v>
      </c>
      <c r="M10" s="135">
        <v>93.11</v>
      </c>
      <c r="N10" s="135">
        <v>15.40</v>
      </c>
      <c r="O10" s="135">
        <v>0</v>
      </c>
      <c r="P10" s="135">
        <v>3.15</v>
      </c>
      <c r="Q10" s="135">
        <v>5.91</v>
      </c>
      <c r="R10" s="194"/>
      <c r="S10" s="194"/>
      <c r="T10" s="194"/>
      <c r="U10" s="194"/>
    </row>
    <row r="11" spans="1:21" s="12" customFormat="1" ht="15">
      <c r="A11" s="207" t="s">
        <v>2263</v>
      </c>
      <c r="B11" s="135">
        <v>8.2100000000000009</v>
      </c>
      <c r="C11" s="135">
        <v>11.96</v>
      </c>
      <c r="D11" s="135">
        <v>20.170000000000002</v>
      </c>
      <c r="E11" s="135">
        <v>6.46</v>
      </c>
      <c r="F11" s="135">
        <v>0.20</v>
      </c>
      <c r="G11" s="208" t="s">
        <v>36</v>
      </c>
      <c r="H11" s="135">
        <v>13.14</v>
      </c>
      <c r="I11" s="135">
        <v>5.16</v>
      </c>
      <c r="J11" s="135">
        <v>0.09</v>
      </c>
      <c r="K11" s="135">
        <v>241.35</v>
      </c>
      <c r="L11" s="9" t="s">
        <v>36</v>
      </c>
      <c r="M11" s="135">
        <v>93.12</v>
      </c>
      <c r="N11" s="135">
        <v>15.70</v>
      </c>
      <c r="O11" s="135">
        <v>0</v>
      </c>
      <c r="P11" s="135">
        <v>3.15</v>
      </c>
      <c r="Q11" s="135">
        <v>5.87</v>
      </c>
      <c r="R11" s="194"/>
      <c r="S11" s="194"/>
      <c r="T11" s="194"/>
      <c r="U11" s="194"/>
    </row>
    <row r="12" spans="1:21" s="12" customFormat="1" ht="15">
      <c r="A12" s="207" t="s">
        <v>2264</v>
      </c>
      <c r="B12" s="135">
        <v>8.7200000000000006</v>
      </c>
      <c r="C12" s="135">
        <v>12.10</v>
      </c>
      <c r="D12" s="135">
        <v>20.82</v>
      </c>
      <c r="E12" s="135">
        <v>6.36</v>
      </c>
      <c r="F12" s="135">
        <v>0.26</v>
      </c>
      <c r="G12" s="208" t="s">
        <v>36</v>
      </c>
      <c r="H12" s="135">
        <v>13.14</v>
      </c>
      <c r="I12" s="135">
        <v>5.0199999999999996</v>
      </c>
      <c r="J12" s="135">
        <v>0.01</v>
      </c>
      <c r="K12" s="135">
        <v>237.03</v>
      </c>
      <c r="L12" s="9" t="s">
        <v>36</v>
      </c>
      <c r="M12" s="135">
        <v>93.17</v>
      </c>
      <c r="N12" s="135">
        <v>15.5</v>
      </c>
      <c r="O12" s="135">
        <v>0</v>
      </c>
      <c r="P12" s="135">
        <v>3.14</v>
      </c>
      <c r="Q12" s="135">
        <v>6.07</v>
      </c>
      <c r="R12" s="194"/>
      <c r="S12" s="194"/>
      <c r="T12" s="194"/>
      <c r="U12" s="194"/>
    </row>
    <row r="13" spans="1:21" s="12" customFormat="1" ht="15">
      <c r="A13" s="207" t="s">
        <v>2265</v>
      </c>
      <c r="B13" s="135">
        <v>8.91</v>
      </c>
      <c r="C13" s="135">
        <v>11.46</v>
      </c>
      <c r="D13" s="135">
        <v>20.37</v>
      </c>
      <c r="E13" s="135">
        <v>6.59</v>
      </c>
      <c r="F13" s="135">
        <v>0.32</v>
      </c>
      <c r="G13" s="208" t="s">
        <v>36</v>
      </c>
      <c r="H13" s="135">
        <v>12.12</v>
      </c>
      <c r="I13" s="135">
        <v>4.92</v>
      </c>
      <c r="J13" s="135">
        <v>0.070000000000000007</v>
      </c>
      <c r="K13" s="135">
        <v>228.66</v>
      </c>
      <c r="L13" s="9" t="s">
        <v>36</v>
      </c>
      <c r="M13" s="135">
        <v>93.27</v>
      </c>
      <c r="N13" s="135">
        <v>15.5</v>
      </c>
      <c r="O13" s="135">
        <v>0</v>
      </c>
      <c r="P13" s="135">
        <v>3.14</v>
      </c>
      <c r="Q13" s="135">
        <v>6.10</v>
      </c>
      <c r="R13" s="194"/>
      <c r="S13" s="194"/>
      <c r="T13" s="194"/>
      <c r="U13" s="194"/>
    </row>
    <row r="14" spans="1:21" s="12" customFormat="1" ht="15">
      <c r="A14" s="207" t="s">
        <v>2266</v>
      </c>
      <c r="B14" s="135">
        <v>8.6300000000000008</v>
      </c>
      <c r="C14" s="135">
        <v>11.54</v>
      </c>
      <c r="D14" s="135">
        <v>20.170000000000002</v>
      </c>
      <c r="E14" s="135">
        <v>6.44</v>
      </c>
      <c r="F14" s="135">
        <v>0.21</v>
      </c>
      <c r="G14" s="208" t="s">
        <v>36</v>
      </c>
      <c r="H14" s="135">
        <v>9.60</v>
      </c>
      <c r="I14" s="135">
        <v>5.0599999999999996</v>
      </c>
      <c r="J14" s="135">
        <v>0.05</v>
      </c>
      <c r="K14" s="135">
        <v>227.54</v>
      </c>
      <c r="L14" s="9" t="s">
        <v>36</v>
      </c>
      <c r="M14" s="135">
        <v>93.30</v>
      </c>
      <c r="N14" s="135">
        <v>15.40</v>
      </c>
      <c r="O14" s="135">
        <v>0</v>
      </c>
      <c r="P14" s="135">
        <v>3.14</v>
      </c>
      <c r="Q14" s="135">
        <v>6.12</v>
      </c>
      <c r="R14" s="194"/>
      <c r="S14" s="194"/>
      <c r="T14" s="194"/>
      <c r="U14" s="194"/>
    </row>
    <row r="15" spans="1:21" s="12" customFormat="1" ht="15">
      <c r="A15" s="207" t="s">
        <v>2267</v>
      </c>
      <c r="B15" s="135">
        <v>8.16</v>
      </c>
      <c r="C15" s="135">
        <v>11.42</v>
      </c>
      <c r="D15" s="135">
        <v>19.579999999999998</v>
      </c>
      <c r="E15" s="135">
        <v>6.10</v>
      </c>
      <c r="F15" s="135">
        <v>0.17</v>
      </c>
      <c r="G15" s="208" t="s">
        <v>36</v>
      </c>
      <c r="H15" s="135">
        <v>9.60</v>
      </c>
      <c r="I15" s="135">
        <v>5.37</v>
      </c>
      <c r="J15" s="135">
        <v>0.04</v>
      </c>
      <c r="K15" s="135">
        <v>291.88</v>
      </c>
      <c r="L15" s="9" t="s">
        <v>36</v>
      </c>
      <c r="M15" s="135">
        <v>93.48</v>
      </c>
      <c r="N15" s="135">
        <v>15.40</v>
      </c>
      <c r="O15" s="135">
        <v>0</v>
      </c>
      <c r="P15" s="135">
        <v>3.13</v>
      </c>
      <c r="Q15" s="135">
        <v>5.93</v>
      </c>
      <c r="R15" s="194"/>
      <c r="S15" s="194"/>
      <c r="T15" s="194"/>
      <c r="U15" s="194"/>
    </row>
    <row r="16" spans="1:21" s="12" customFormat="1" ht="15">
      <c r="A16" s="207" t="s">
        <v>2268</v>
      </c>
      <c r="B16" s="135">
        <v>7.69</v>
      </c>
      <c r="C16" s="135">
        <v>11.24</v>
      </c>
      <c r="D16" s="135">
        <v>18.93</v>
      </c>
      <c r="E16" s="135">
        <v>6.69</v>
      </c>
      <c r="F16" s="135">
        <v>1.44</v>
      </c>
      <c r="G16" s="208" t="s">
        <v>36</v>
      </c>
      <c r="H16" s="135">
        <v>9.60</v>
      </c>
      <c r="I16" s="135">
        <v>5.53</v>
      </c>
      <c r="J16" s="135">
        <v>0.01</v>
      </c>
      <c r="K16" s="135">
        <v>151.22999999999999</v>
      </c>
      <c r="L16" s="9" t="s">
        <v>36</v>
      </c>
      <c r="M16" s="135">
        <v>93.14</v>
      </c>
      <c r="N16" s="135">
        <v>15.40</v>
      </c>
      <c r="O16" s="135">
        <v>0</v>
      </c>
      <c r="P16" s="135">
        <v>3.12</v>
      </c>
      <c r="Q16" s="135">
        <v>5.69</v>
      </c>
      <c r="R16" s="194"/>
      <c r="S16" s="194"/>
      <c r="T16" s="194"/>
      <c r="U16" s="194"/>
    </row>
    <row r="17" spans="1:21" s="12" customFormat="1" ht="15">
      <c r="A17" s="207" t="s">
        <v>2269</v>
      </c>
      <c r="B17" s="135">
        <v>7.04</v>
      </c>
      <c r="C17" s="135">
        <v>11.17</v>
      </c>
      <c r="D17" s="135">
        <v>18.21</v>
      </c>
      <c r="E17" s="135">
        <v>6.22</v>
      </c>
      <c r="F17" s="135">
        <v>0.20</v>
      </c>
      <c r="G17" s="208" t="s">
        <v>36</v>
      </c>
      <c r="H17" s="135">
        <v>10.23</v>
      </c>
      <c r="I17" s="135">
        <v>5.83</v>
      </c>
      <c r="J17" s="135">
        <v>0.03</v>
      </c>
      <c r="K17" s="135">
        <v>65.89</v>
      </c>
      <c r="L17" s="9" t="s">
        <v>36</v>
      </c>
      <c r="M17" s="135">
        <v>93.67</v>
      </c>
      <c r="N17" s="135">
        <v>15.5</v>
      </c>
      <c r="O17" s="135">
        <v>0</v>
      </c>
      <c r="P17" s="135">
        <v>3.10</v>
      </c>
      <c r="Q17" s="135">
        <v>5.47</v>
      </c>
      <c r="R17" s="194"/>
      <c r="S17" s="194"/>
      <c r="T17" s="194"/>
      <c r="U17" s="194"/>
    </row>
    <row r="18" spans="1:21" s="12" customFormat="1" ht="15">
      <c r="A18" s="207" t="s">
        <v>2270</v>
      </c>
      <c r="B18" s="135">
        <v>6.45</v>
      </c>
      <c r="C18" s="135">
        <v>10.94</v>
      </c>
      <c r="D18" s="135">
        <v>17.39</v>
      </c>
      <c r="E18" s="135">
        <v>6.32</v>
      </c>
      <c r="F18" s="135">
        <v>0.14000000000000001</v>
      </c>
      <c r="G18" s="208" t="s">
        <v>36</v>
      </c>
      <c r="H18" s="135">
        <v>11.78</v>
      </c>
      <c r="I18" s="135">
        <v>5.94</v>
      </c>
      <c r="J18" s="135">
        <v>0.02</v>
      </c>
      <c r="K18" s="135">
        <v>122.07</v>
      </c>
      <c r="L18" s="9" t="s">
        <v>36</v>
      </c>
      <c r="M18" s="135">
        <v>94.71</v>
      </c>
      <c r="N18" s="135">
        <v>15.40</v>
      </c>
      <c r="O18" s="135">
        <v>0</v>
      </c>
      <c r="P18" s="135">
        <v>3.09</v>
      </c>
      <c r="Q18" s="135">
        <v>5.18</v>
      </c>
      <c r="R18" s="194"/>
      <c r="S18" s="194"/>
      <c r="T18" s="194"/>
      <c r="U18" s="194"/>
    </row>
    <row r="19" spans="1:21" s="12" customFormat="1" ht="15">
      <c r="A19" s="207" t="s">
        <v>2271</v>
      </c>
      <c r="B19" s="135">
        <v>5.98</v>
      </c>
      <c r="C19" s="135">
        <v>11.24</v>
      </c>
      <c r="D19" s="135">
        <v>17.22</v>
      </c>
      <c r="E19" s="135">
        <v>6.28</v>
      </c>
      <c r="F19" s="135">
        <v>0.59</v>
      </c>
      <c r="G19" s="208" t="s">
        <v>36</v>
      </c>
      <c r="H19" s="135">
        <v>11.78</v>
      </c>
      <c r="I19" s="135">
        <v>5.80</v>
      </c>
      <c r="J19" s="135">
        <v>0.01</v>
      </c>
      <c r="K19" s="135">
        <v>353.42</v>
      </c>
      <c r="L19" s="9" t="s">
        <v>36</v>
      </c>
      <c r="M19" s="135">
        <v>94.94</v>
      </c>
      <c r="N19" s="135">
        <v>15.30</v>
      </c>
      <c r="O19" s="135">
        <v>0</v>
      </c>
      <c r="P19" s="135">
        <v>3.07</v>
      </c>
      <c r="Q19" s="135">
        <v>5.05</v>
      </c>
      <c r="R19" s="194"/>
      <c r="S19" s="194"/>
      <c r="T19" s="194"/>
      <c r="U19" s="194"/>
    </row>
    <row r="20" spans="1:21" s="12" customFormat="1" ht="15">
      <c r="A20" s="207" t="s">
        <v>2272</v>
      </c>
      <c r="B20" s="135">
        <v>5.60</v>
      </c>
      <c r="C20" s="135">
        <v>11.28</v>
      </c>
      <c r="D20" s="135">
        <v>16.88</v>
      </c>
      <c r="E20" s="135">
        <v>6.23</v>
      </c>
      <c r="F20" s="135">
        <v>0.02</v>
      </c>
      <c r="G20" s="208" t="s">
        <v>36</v>
      </c>
      <c r="H20" s="135">
        <v>11.78</v>
      </c>
      <c r="I20" s="135">
        <v>5.62</v>
      </c>
      <c r="J20" s="135">
        <v>0.04</v>
      </c>
      <c r="K20" s="135">
        <v>301.95</v>
      </c>
      <c r="L20" s="9" t="s">
        <v>36</v>
      </c>
      <c r="M20" s="135">
        <v>95.32</v>
      </c>
      <c r="N20" s="135">
        <v>15.30</v>
      </c>
      <c r="O20" s="135">
        <v>0</v>
      </c>
      <c r="P20" s="135">
        <v>3.04</v>
      </c>
      <c r="Q20" s="135">
        <v>4.88</v>
      </c>
      <c r="R20" s="194"/>
      <c r="S20" s="194"/>
      <c r="T20" s="194"/>
      <c r="U20" s="194"/>
    </row>
    <row r="21" spans="1:21" s="12" customFormat="1" ht="15">
      <c r="A21" s="207" t="s">
        <v>2273</v>
      </c>
      <c r="B21" s="135">
        <v>5.43</v>
      </c>
      <c r="C21" s="135">
        <v>10.86</v>
      </c>
      <c r="D21" s="135">
        <v>16.29</v>
      </c>
      <c r="E21" s="135">
        <v>5.99</v>
      </c>
      <c r="F21" s="135">
        <v>0.13</v>
      </c>
      <c r="G21" s="208" t="s">
        <v>36</v>
      </c>
      <c r="H21" s="135">
        <v>11.06</v>
      </c>
      <c r="I21" s="135">
        <v>5.39</v>
      </c>
      <c r="J21" s="135">
        <v>0.08</v>
      </c>
      <c r="K21" s="135">
        <v>359.33</v>
      </c>
      <c r="L21" s="9" t="s">
        <v>36</v>
      </c>
      <c r="M21" s="135">
        <v>96.26</v>
      </c>
      <c r="N21" s="135">
        <v>15</v>
      </c>
      <c r="O21" s="135">
        <v>0</v>
      </c>
      <c r="P21" s="135">
        <v>3.03</v>
      </c>
      <c r="Q21" s="135">
        <v>4.72</v>
      </c>
      <c r="R21" s="194"/>
      <c r="S21" s="194"/>
      <c r="T21" s="194"/>
      <c r="U21" s="194"/>
    </row>
    <row r="22" spans="1:21" s="12" customFormat="1" ht="15">
      <c r="A22" s="207" t="s">
        <v>2274</v>
      </c>
      <c r="B22" s="135">
        <v>5.26</v>
      </c>
      <c r="C22" s="135">
        <v>10.63</v>
      </c>
      <c r="D22" s="135">
        <v>15.88</v>
      </c>
      <c r="E22" s="135">
        <v>6.63</v>
      </c>
      <c r="F22" s="135">
        <v>0.20</v>
      </c>
      <c r="G22" s="208" t="s">
        <v>36</v>
      </c>
      <c r="H22" s="135">
        <v>9.2899999999999991</v>
      </c>
      <c r="I22" s="135">
        <v>4.96</v>
      </c>
      <c r="J22" s="135">
        <v>0.08</v>
      </c>
      <c r="K22" s="135">
        <v>29.10</v>
      </c>
      <c r="L22" s="9" t="s">
        <v>36</v>
      </c>
      <c r="M22" s="135">
        <v>96.46</v>
      </c>
      <c r="N22" s="135">
        <v>15</v>
      </c>
      <c r="O22" s="135">
        <v>0</v>
      </c>
      <c r="P22" s="135">
        <v>3.02</v>
      </c>
      <c r="Q22" s="135">
        <v>4.71</v>
      </c>
      <c r="R22" s="194"/>
      <c r="S22" s="194"/>
      <c r="T22" s="194"/>
      <c r="U22" s="194"/>
    </row>
    <row r="23" spans="1:21" s="12" customFormat="1" ht="15">
      <c r="A23" s="207" t="s">
        <v>2275</v>
      </c>
      <c r="B23" s="135">
        <v>4.99</v>
      </c>
      <c r="C23" s="135">
        <v>10.58</v>
      </c>
      <c r="D23" s="135">
        <v>15.57</v>
      </c>
      <c r="E23" s="135">
        <v>6.54</v>
      </c>
      <c r="F23" s="135">
        <v>0.41</v>
      </c>
      <c r="G23" s="208" t="s">
        <v>36</v>
      </c>
      <c r="H23" s="135">
        <v>9.2899999999999991</v>
      </c>
      <c r="I23" s="135">
        <v>4.8499999999999996</v>
      </c>
      <c r="J23" s="135">
        <v>0.01</v>
      </c>
      <c r="K23" s="135">
        <v>27.64</v>
      </c>
      <c r="L23" s="9" t="s">
        <v>36</v>
      </c>
      <c r="M23" s="135">
        <v>96.98</v>
      </c>
      <c r="N23" s="135">
        <v>15</v>
      </c>
      <c r="O23" s="135">
        <v>0</v>
      </c>
      <c r="P23" s="135">
        <v>3.01</v>
      </c>
      <c r="Q23" s="135">
        <v>4.58</v>
      </c>
      <c r="R23" s="194"/>
      <c r="S23" s="194"/>
      <c r="T23" s="194"/>
      <c r="U23" s="194"/>
    </row>
    <row r="24" spans="1:21" s="12" customFormat="1" ht="15">
      <c r="A24" s="207" t="s">
        <v>2276</v>
      </c>
      <c r="B24" s="135">
        <v>4.78</v>
      </c>
      <c r="C24" s="135">
        <v>10.54</v>
      </c>
      <c r="D24" s="135">
        <v>15.32</v>
      </c>
      <c r="E24" s="135">
        <v>2.65</v>
      </c>
      <c r="F24" s="135">
        <v>0.26</v>
      </c>
      <c r="G24" s="208" t="s">
        <v>36</v>
      </c>
      <c r="H24" s="135">
        <v>9.2899999999999991</v>
      </c>
      <c r="I24" s="135">
        <v>4.82</v>
      </c>
      <c r="J24" s="135">
        <v>0.05</v>
      </c>
      <c r="K24" s="135">
        <v>22.73</v>
      </c>
      <c r="L24" s="9" t="s">
        <v>36</v>
      </c>
      <c r="M24" s="135">
        <v>97.49</v>
      </c>
      <c r="N24" s="135">
        <v>15</v>
      </c>
      <c r="O24" s="135">
        <v>0</v>
      </c>
      <c r="P24" s="135">
        <v>3</v>
      </c>
      <c r="Q24" s="135">
        <v>4.55</v>
      </c>
      <c r="R24" s="194"/>
      <c r="S24" s="194"/>
      <c r="T24" s="194"/>
      <c r="U24" s="194"/>
    </row>
    <row r="25" spans="1:21" s="12" customFormat="1" ht="15">
      <c r="A25" s="207" t="s">
        <v>2277</v>
      </c>
      <c r="B25" s="135">
        <v>4.7300000000000004</v>
      </c>
      <c r="C25" s="135">
        <v>10.40</v>
      </c>
      <c r="D25" s="135">
        <v>15.13</v>
      </c>
      <c r="E25" s="135">
        <v>5.89</v>
      </c>
      <c r="F25" s="135">
        <v>0.18</v>
      </c>
      <c r="G25" s="208" t="s">
        <v>36</v>
      </c>
      <c r="H25" s="135">
        <v>8.86</v>
      </c>
      <c r="I25" s="135">
        <v>4.8499999999999996</v>
      </c>
      <c r="J25" s="135">
        <v>0.05</v>
      </c>
      <c r="K25" s="135">
        <v>4.8899999999999997</v>
      </c>
      <c r="L25" s="9" t="s">
        <v>36</v>
      </c>
      <c r="M25" s="135">
        <v>97.51</v>
      </c>
      <c r="N25" s="135">
        <v>15</v>
      </c>
      <c r="O25" s="135">
        <v>0</v>
      </c>
      <c r="P25" s="135">
        <v>2.98</v>
      </c>
      <c r="Q25" s="135">
        <v>4.55</v>
      </c>
      <c r="R25" s="194"/>
      <c r="S25" s="194"/>
      <c r="T25" s="194"/>
      <c r="U25" s="194"/>
    </row>
    <row r="26" spans="1:21" s="12" customFormat="1" ht="15">
      <c r="A26" s="207" t="s">
        <v>2278</v>
      </c>
      <c r="B26" s="135">
        <v>4.70</v>
      </c>
      <c r="C26" s="135">
        <v>10.44</v>
      </c>
      <c r="D26" s="135">
        <v>15.14</v>
      </c>
      <c r="E26" s="135">
        <v>6.27</v>
      </c>
      <c r="F26" s="135">
        <v>0.06</v>
      </c>
      <c r="G26" s="208" t="s">
        <v>36</v>
      </c>
      <c r="H26" s="135">
        <v>7.82</v>
      </c>
      <c r="I26" s="135">
        <v>4.82</v>
      </c>
      <c r="J26" s="135">
        <v>0.11</v>
      </c>
      <c r="K26" s="135">
        <v>31.74</v>
      </c>
      <c r="L26" s="9" t="s">
        <v>36</v>
      </c>
      <c r="M26" s="135">
        <v>97.63</v>
      </c>
      <c r="N26" s="135">
        <v>15</v>
      </c>
      <c r="O26" s="135">
        <v>0</v>
      </c>
      <c r="P26" s="135">
        <v>2.98</v>
      </c>
      <c r="Q26" s="135">
        <v>4.57</v>
      </c>
      <c r="R26" s="194"/>
      <c r="S26" s="194"/>
      <c r="T26" s="194"/>
      <c r="U26" s="194"/>
    </row>
    <row r="27" spans="1:21" s="12" customFormat="1" ht="15">
      <c r="A27" s="207" t="s">
        <v>2279</v>
      </c>
      <c r="B27" s="135">
        <v>4.67</v>
      </c>
      <c r="C27" s="135">
        <v>10.17</v>
      </c>
      <c r="D27" s="135">
        <v>14.83</v>
      </c>
      <c r="E27" s="135">
        <v>6.24</v>
      </c>
      <c r="F27" s="135">
        <v>0.21</v>
      </c>
      <c r="G27" s="208" t="s">
        <v>36</v>
      </c>
      <c r="H27" s="135">
        <v>7.82</v>
      </c>
      <c r="I27" s="135">
        <v>4.71</v>
      </c>
      <c r="J27" s="135">
        <v>0.01</v>
      </c>
      <c r="K27" s="135">
        <v>327.01</v>
      </c>
      <c r="L27" s="9" t="s">
        <v>36</v>
      </c>
      <c r="M27" s="135">
        <v>97.70</v>
      </c>
      <c r="N27" s="135">
        <v>15</v>
      </c>
      <c r="O27" s="135">
        <v>0</v>
      </c>
      <c r="P27" s="135">
        <v>2.97</v>
      </c>
      <c r="Q27" s="135">
        <v>4.43</v>
      </c>
      <c r="R27" s="194"/>
      <c r="S27" s="194"/>
      <c r="T27" s="194"/>
      <c r="U27" s="194"/>
    </row>
    <row r="28" spans="1:21" s="12" customFormat="1" ht="15">
      <c r="A28" s="207" t="s">
        <v>2280</v>
      </c>
      <c r="B28" s="135">
        <v>4.70</v>
      </c>
      <c r="C28" s="135">
        <v>9.74</v>
      </c>
      <c r="D28" s="135">
        <v>14.44</v>
      </c>
      <c r="E28" s="135">
        <v>5.58</v>
      </c>
      <c r="F28" s="135">
        <v>0.28999999999999998</v>
      </c>
      <c r="G28" s="208" t="s">
        <v>36</v>
      </c>
      <c r="H28" s="135">
        <v>7.82</v>
      </c>
      <c r="I28" s="135">
        <v>4.58</v>
      </c>
      <c r="J28" s="135">
        <v>0</v>
      </c>
      <c r="K28" s="135">
        <v>57.16</v>
      </c>
      <c r="L28" s="9" t="s">
        <v>36</v>
      </c>
      <c r="M28" s="135">
        <v>97.81</v>
      </c>
      <c r="N28" s="135">
        <v>15</v>
      </c>
      <c r="O28" s="135">
        <v>0</v>
      </c>
      <c r="P28" s="135">
        <v>2.95</v>
      </c>
      <c r="Q28" s="135">
        <v>4.41</v>
      </c>
      <c r="R28" s="194"/>
      <c r="S28" s="194"/>
      <c r="T28" s="194"/>
      <c r="U28" s="194"/>
    </row>
    <row r="29" spans="1:21" s="12" customFormat="1" ht="15">
      <c r="A29" s="207" t="s">
        <v>2281</v>
      </c>
      <c r="B29" s="135">
        <v>4.8499999999999996</v>
      </c>
      <c r="C29" s="135">
        <v>9.81</v>
      </c>
      <c r="D29" s="135">
        <v>14.66</v>
      </c>
      <c r="E29" s="135">
        <v>5.81</v>
      </c>
      <c r="F29" s="135">
        <v>0.10</v>
      </c>
      <c r="G29" s="208" t="s">
        <v>36</v>
      </c>
      <c r="H29" s="135">
        <v>9.60</v>
      </c>
      <c r="I29" s="135">
        <v>4.59</v>
      </c>
      <c r="J29" s="135">
        <v>0.04</v>
      </c>
      <c r="K29" s="135">
        <v>275.83999999999997</v>
      </c>
      <c r="L29" s="9" t="s">
        <v>36</v>
      </c>
      <c r="M29" s="135">
        <v>97.93</v>
      </c>
      <c r="N29" s="135">
        <v>15</v>
      </c>
      <c r="O29" s="135">
        <v>0</v>
      </c>
      <c r="P29" s="135">
        <v>2.95</v>
      </c>
      <c r="Q29" s="135">
        <v>4.49</v>
      </c>
      <c r="R29" s="194"/>
      <c r="S29" s="194"/>
      <c r="T29" s="194"/>
      <c r="U29" s="194"/>
    </row>
    <row r="30" spans="1:21" s="12" customFormat="1" ht="15">
      <c r="A30" s="207" t="s">
        <v>2282</v>
      </c>
      <c r="B30" s="135">
        <v>5.1100000000000003</v>
      </c>
      <c r="C30" s="135">
        <v>9.82</v>
      </c>
      <c r="D30" s="135">
        <v>14.93</v>
      </c>
      <c r="E30" s="135">
        <v>5.82</v>
      </c>
      <c r="F30" s="208" t="s">
        <v>36</v>
      </c>
      <c r="G30" s="208" t="s">
        <v>36</v>
      </c>
      <c r="H30" s="135">
        <v>14</v>
      </c>
      <c r="I30" s="135">
        <v>4.57</v>
      </c>
      <c r="J30" s="135">
        <v>0.03</v>
      </c>
      <c r="K30" s="135">
        <v>341.87</v>
      </c>
      <c r="L30" s="9" t="s">
        <v>36</v>
      </c>
      <c r="M30" s="135">
        <v>98.02</v>
      </c>
      <c r="N30" s="135">
        <v>15.70</v>
      </c>
      <c r="O30" s="135">
        <v>0</v>
      </c>
      <c r="P30" s="135">
        <v>2.94</v>
      </c>
      <c r="Q30" s="135">
        <v>4.47</v>
      </c>
      <c r="R30" s="194"/>
      <c r="S30" s="194"/>
      <c r="T30" s="194"/>
      <c r="U30" s="194"/>
    </row>
    <row r="31" spans="1:21" s="12" customFormat="1" ht="15">
      <c r="A31" s="207" t="s">
        <v>2283</v>
      </c>
      <c r="B31" s="135">
        <v>5.47</v>
      </c>
      <c r="C31" s="135">
        <v>9.6999999999999993</v>
      </c>
      <c r="D31" s="135">
        <v>15.17</v>
      </c>
      <c r="E31" s="135">
        <v>5.77</v>
      </c>
      <c r="F31" s="135">
        <v>0.02</v>
      </c>
      <c r="G31" s="208" t="s">
        <v>36</v>
      </c>
      <c r="H31" s="135">
        <v>14</v>
      </c>
      <c r="I31" s="135">
        <v>4.49</v>
      </c>
      <c r="J31" s="135">
        <v>0.10</v>
      </c>
      <c r="K31" s="135">
        <v>24.83</v>
      </c>
      <c r="L31" s="9" t="s">
        <v>36</v>
      </c>
      <c r="M31" s="135">
        <v>98.12</v>
      </c>
      <c r="N31" s="135">
        <v>20.90</v>
      </c>
      <c r="O31" s="135">
        <v>0</v>
      </c>
      <c r="P31" s="135">
        <v>2.94</v>
      </c>
      <c r="Q31" s="135">
        <v>4.49</v>
      </c>
      <c r="R31" s="194"/>
      <c r="S31" s="194"/>
      <c r="T31" s="194"/>
      <c r="U31" s="194"/>
    </row>
    <row r="32" spans="1:21" s="12" customFormat="1" ht="15">
      <c r="A32" s="207" t="s">
        <v>2284</v>
      </c>
      <c r="B32" s="135">
        <v>6.30</v>
      </c>
      <c r="C32" s="135">
        <v>9.9600000000000009</v>
      </c>
      <c r="D32" s="135">
        <v>16.260000000000002</v>
      </c>
      <c r="E32" s="135">
        <v>5.76</v>
      </c>
      <c r="F32" s="208" t="s">
        <v>36</v>
      </c>
      <c r="G32" s="208" t="s">
        <v>36</v>
      </c>
      <c r="H32" s="135">
        <v>14</v>
      </c>
      <c r="I32" s="135">
        <v>4.45</v>
      </c>
      <c r="J32" s="135">
        <v>0.03</v>
      </c>
      <c r="K32" s="135">
        <v>32.92</v>
      </c>
      <c r="L32" s="9" t="s">
        <v>36</v>
      </c>
      <c r="M32" s="135">
        <v>97.79</v>
      </c>
      <c r="N32" s="135">
        <v>34.5</v>
      </c>
      <c r="O32" s="135">
        <v>0</v>
      </c>
      <c r="P32" s="135">
        <v>2.93</v>
      </c>
      <c r="Q32" s="135">
        <v>4.68</v>
      </c>
      <c r="R32" s="194"/>
      <c r="S32" s="194"/>
      <c r="T32" s="194"/>
      <c r="U32" s="194"/>
    </row>
    <row r="33" spans="1:21" s="12" customFormat="1" ht="15">
      <c r="A33" s="207" t="s">
        <v>2285</v>
      </c>
      <c r="B33" s="135">
        <v>6.86</v>
      </c>
      <c r="C33" s="135">
        <v>10.210000000000001</v>
      </c>
      <c r="D33" s="135">
        <v>17.059999999999999</v>
      </c>
      <c r="E33" s="135">
        <v>5.56</v>
      </c>
      <c r="F33" s="208" t="s">
        <v>36</v>
      </c>
      <c r="G33" s="208" t="s">
        <v>36</v>
      </c>
      <c r="H33" s="135">
        <v>13.28</v>
      </c>
      <c r="I33" s="135">
        <v>4.3600000000000003</v>
      </c>
      <c r="J33" s="135">
        <v>0.070000000000000007</v>
      </c>
      <c r="K33" s="135">
        <v>49.49</v>
      </c>
      <c r="L33" s="9" t="s">
        <v>36</v>
      </c>
      <c r="M33" s="135">
        <v>97.32</v>
      </c>
      <c r="N33" s="135">
        <v>49.80</v>
      </c>
      <c r="O33" s="135">
        <v>0</v>
      </c>
      <c r="P33" s="135">
        <v>2.94</v>
      </c>
      <c r="Q33" s="135">
        <v>4.83</v>
      </c>
      <c r="R33" s="194"/>
      <c r="S33" s="194"/>
      <c r="T33" s="194"/>
      <c r="U33" s="194"/>
    </row>
    <row r="34" spans="1:21" s="12" customFormat="1" ht="15">
      <c r="A34" s="207" t="s">
        <v>2286</v>
      </c>
      <c r="B34" s="135">
        <v>7.41</v>
      </c>
      <c r="C34" s="135">
        <v>10.78</v>
      </c>
      <c r="D34" s="135">
        <v>18.190000000000001</v>
      </c>
      <c r="E34" s="135">
        <v>5.99</v>
      </c>
      <c r="F34" s="135">
        <v>0.08</v>
      </c>
      <c r="G34" s="208" t="s">
        <v>36</v>
      </c>
      <c r="H34" s="135">
        <v>11.52</v>
      </c>
      <c r="I34" s="135">
        <v>4.3899999999999997</v>
      </c>
      <c r="J34" s="135">
        <v>0.05</v>
      </c>
      <c r="K34" s="135">
        <v>12.16</v>
      </c>
      <c r="L34" s="9" t="s">
        <v>36</v>
      </c>
      <c r="M34" s="135">
        <v>96.59</v>
      </c>
      <c r="N34" s="135">
        <v>67.80</v>
      </c>
      <c r="O34" s="135">
        <v>0</v>
      </c>
      <c r="P34" s="135">
        <v>2.96</v>
      </c>
      <c r="Q34" s="135">
        <v>5.0599999999999996</v>
      </c>
      <c r="R34" s="194"/>
      <c r="S34" s="194"/>
      <c r="T34" s="194"/>
      <c r="U34" s="194"/>
    </row>
    <row r="35" spans="1:21" s="12" customFormat="1" ht="15">
      <c r="A35" s="207" t="s">
        <v>2287</v>
      </c>
      <c r="B35" s="135">
        <v>7.95</v>
      </c>
      <c r="C35" s="135">
        <v>10.63</v>
      </c>
      <c r="D35" s="135">
        <v>18.579999999999998</v>
      </c>
      <c r="E35" s="135">
        <v>6.12</v>
      </c>
      <c r="F35" s="135">
        <v>0.18</v>
      </c>
      <c r="G35" s="208" t="s">
        <v>36</v>
      </c>
      <c r="H35" s="135">
        <v>11.52</v>
      </c>
      <c r="I35" s="135">
        <v>4.42</v>
      </c>
      <c r="J35" s="135">
        <v>0.12</v>
      </c>
      <c r="K35" s="135">
        <v>11.32</v>
      </c>
      <c r="L35" s="9" t="s">
        <v>36</v>
      </c>
      <c r="M35" s="135">
        <v>95.49</v>
      </c>
      <c r="N35" s="135">
        <v>89.40</v>
      </c>
      <c r="O35" s="135">
        <v>0</v>
      </c>
      <c r="P35" s="135">
        <v>2.97</v>
      </c>
      <c r="Q35" s="135">
        <v>5.20</v>
      </c>
      <c r="R35" s="194"/>
      <c r="S35" s="194"/>
      <c r="T35" s="194"/>
      <c r="U35" s="194"/>
    </row>
    <row r="36" spans="1:21" s="12" customFormat="1" ht="15">
      <c r="A36" s="207" t="s">
        <v>2288</v>
      </c>
      <c r="B36" s="135">
        <v>8.73</v>
      </c>
      <c r="C36" s="135">
        <v>10.72</v>
      </c>
      <c r="D36" s="135">
        <v>19.45</v>
      </c>
      <c r="E36" s="135">
        <v>6.13</v>
      </c>
      <c r="F36" s="135">
        <v>0.14000000000000001</v>
      </c>
      <c r="G36" s="208" t="s">
        <v>36</v>
      </c>
      <c r="H36" s="135">
        <v>11.52</v>
      </c>
      <c r="I36" s="135">
        <v>4.49</v>
      </c>
      <c r="J36" s="135">
        <v>0.05</v>
      </c>
      <c r="K36" s="135">
        <v>353.51</v>
      </c>
      <c r="L36" s="9" t="s">
        <v>36</v>
      </c>
      <c r="M36" s="135">
        <v>94.51</v>
      </c>
      <c r="N36" s="135">
        <v>123.5</v>
      </c>
      <c r="O36" s="135">
        <v>0</v>
      </c>
      <c r="P36" s="135">
        <v>2.99</v>
      </c>
      <c r="Q36" s="135">
        <v>5.40</v>
      </c>
      <c r="R36" s="194"/>
      <c r="S36" s="194"/>
      <c r="T36" s="194"/>
      <c r="U36" s="194"/>
    </row>
    <row r="37" spans="1:21" s="12" customFormat="1" ht="15">
      <c r="A37" s="207" t="s">
        <v>2289</v>
      </c>
      <c r="B37" s="135">
        <v>9.2200000000000006</v>
      </c>
      <c r="C37" s="135">
        <v>11.01</v>
      </c>
      <c r="D37" s="135">
        <v>20.239999999999998</v>
      </c>
      <c r="E37" s="135">
        <v>6.36</v>
      </c>
      <c r="F37" s="135">
        <v>0.09</v>
      </c>
      <c r="G37" s="208" t="s">
        <v>36</v>
      </c>
      <c r="H37" s="135">
        <v>11.14</v>
      </c>
      <c r="I37" s="135">
        <v>4.63</v>
      </c>
      <c r="J37" s="135">
        <v>0.10</v>
      </c>
      <c r="K37" s="135">
        <v>347.05</v>
      </c>
      <c r="L37" s="9" t="s">
        <v>36</v>
      </c>
      <c r="M37" s="135">
        <v>93.81</v>
      </c>
      <c r="N37" s="135">
        <v>132.60</v>
      </c>
      <c r="O37" s="135">
        <v>0</v>
      </c>
      <c r="P37" s="135">
        <v>3</v>
      </c>
      <c r="Q37" s="135">
        <v>5.61</v>
      </c>
      <c r="R37" s="194"/>
      <c r="S37" s="194"/>
      <c r="T37" s="194"/>
      <c r="U37" s="194"/>
    </row>
    <row r="38" spans="1:21" s="12" customFormat="1" ht="15">
      <c r="A38" s="207" t="s">
        <v>2290</v>
      </c>
      <c r="B38" s="135">
        <v>10.10</v>
      </c>
      <c r="C38" s="135">
        <v>11.29</v>
      </c>
      <c r="D38" s="135">
        <v>21.39</v>
      </c>
      <c r="E38" s="135">
        <v>6.10</v>
      </c>
      <c r="F38" s="135">
        <v>0.06</v>
      </c>
      <c r="G38" s="208" t="s">
        <v>36</v>
      </c>
      <c r="H38" s="135">
        <v>10.19</v>
      </c>
      <c r="I38" s="135">
        <v>4.9000000000000004</v>
      </c>
      <c r="J38" s="135">
        <v>0.070000000000000007</v>
      </c>
      <c r="K38" s="135">
        <v>14.70</v>
      </c>
      <c r="L38" s="9" t="s">
        <v>36</v>
      </c>
      <c r="M38" s="135">
        <v>91.30</v>
      </c>
      <c r="N38" s="135">
        <v>119.5</v>
      </c>
      <c r="O38" s="135">
        <v>0</v>
      </c>
      <c r="P38" s="135">
        <v>3.03</v>
      </c>
      <c r="Q38" s="135">
        <v>5.85</v>
      </c>
      <c r="R38" s="194"/>
      <c r="S38" s="194"/>
      <c r="T38" s="194"/>
      <c r="U38" s="194"/>
    </row>
    <row r="39" spans="1:21" s="12" customFormat="1" ht="15">
      <c r="A39" s="207" t="s">
        <v>2291</v>
      </c>
      <c r="B39" s="135">
        <v>10.92</v>
      </c>
      <c r="C39" s="135">
        <v>11.30</v>
      </c>
      <c r="D39" s="135">
        <v>22.21</v>
      </c>
      <c r="E39" s="135">
        <v>5.96</v>
      </c>
      <c r="F39" s="135">
        <v>0.10</v>
      </c>
      <c r="G39" s="208" t="s">
        <v>36</v>
      </c>
      <c r="H39" s="135">
        <v>10.19</v>
      </c>
      <c r="I39" s="135">
        <v>5.16</v>
      </c>
      <c r="J39" s="135">
        <v>0.06</v>
      </c>
      <c r="K39" s="135">
        <v>283.44</v>
      </c>
      <c r="L39" s="9" t="s">
        <v>36</v>
      </c>
      <c r="M39" s="135">
        <v>90.87</v>
      </c>
      <c r="N39" s="135">
        <v>133.40</v>
      </c>
      <c r="O39" s="135">
        <v>0</v>
      </c>
      <c r="P39" s="135">
        <v>3.05</v>
      </c>
      <c r="Q39" s="135">
        <v>6.16</v>
      </c>
      <c r="R39" s="194"/>
      <c r="S39" s="194"/>
      <c r="T39" s="194"/>
      <c r="U39" s="194"/>
    </row>
    <row r="40" spans="1:21" s="12" customFormat="1" ht="15">
      <c r="A40" s="207" t="s">
        <v>2292</v>
      </c>
      <c r="B40" s="135">
        <v>11.51</v>
      </c>
      <c r="C40" s="135">
        <v>11.30</v>
      </c>
      <c r="D40" s="135">
        <v>22.80</v>
      </c>
      <c r="E40" s="135">
        <v>3.39</v>
      </c>
      <c r="F40" s="135">
        <v>0.06</v>
      </c>
      <c r="G40" s="208" t="s">
        <v>36</v>
      </c>
      <c r="H40" s="135">
        <v>10.19</v>
      </c>
      <c r="I40" s="135">
        <v>5.75</v>
      </c>
      <c r="J40" s="135">
        <v>0.05</v>
      </c>
      <c r="K40" s="135">
        <v>192.97</v>
      </c>
      <c r="L40" s="9" t="s">
        <v>36</v>
      </c>
      <c r="M40" s="135">
        <v>91.07</v>
      </c>
      <c r="N40" s="135">
        <v>125.60</v>
      </c>
      <c r="O40" s="135">
        <v>0</v>
      </c>
      <c r="P40" s="135">
        <v>3.08</v>
      </c>
      <c r="Q40" s="135">
        <v>6.44</v>
      </c>
      <c r="R40" s="194"/>
      <c r="S40" s="194"/>
      <c r="T40" s="194"/>
      <c r="U40" s="194"/>
    </row>
    <row r="41" spans="1:21" s="12" customFormat="1" ht="15">
      <c r="A41" s="207" t="s">
        <v>2293</v>
      </c>
      <c r="B41" s="135">
        <v>11.88</v>
      </c>
      <c r="C41" s="135">
        <v>11.45</v>
      </c>
      <c r="D41" s="135">
        <v>23.33</v>
      </c>
      <c r="E41" s="135">
        <v>6.47</v>
      </c>
      <c r="F41" s="135">
        <v>0.09</v>
      </c>
      <c r="G41" s="208" t="s">
        <v>36</v>
      </c>
      <c r="H41" s="135">
        <v>11.74</v>
      </c>
      <c r="I41" s="135">
        <v>6.67</v>
      </c>
      <c r="J41" s="135">
        <v>0.36</v>
      </c>
      <c r="K41" s="135">
        <v>172.49</v>
      </c>
      <c r="L41" s="9" t="s">
        <v>36</v>
      </c>
      <c r="M41" s="135">
        <v>89.85</v>
      </c>
      <c r="N41" s="135">
        <v>179.40</v>
      </c>
      <c r="O41" s="135">
        <v>0</v>
      </c>
      <c r="P41" s="135">
        <v>3.13</v>
      </c>
      <c r="Q41" s="135">
        <v>6.69</v>
      </c>
      <c r="R41" s="194"/>
      <c r="S41" s="194"/>
      <c r="T41" s="194"/>
      <c r="U41" s="194"/>
    </row>
    <row r="42" spans="1:21" s="12" customFormat="1" ht="15">
      <c r="A42" s="207" t="s">
        <v>2294</v>
      </c>
      <c r="B42" s="135">
        <v>12.08</v>
      </c>
      <c r="C42" s="135">
        <v>11.02</v>
      </c>
      <c r="D42" s="135">
        <v>23.10</v>
      </c>
      <c r="E42" s="135">
        <v>6.69</v>
      </c>
      <c r="F42" s="135">
        <v>0.30</v>
      </c>
      <c r="G42" s="208" t="s">
        <v>36</v>
      </c>
      <c r="H42" s="135">
        <v>15.57</v>
      </c>
      <c r="I42" s="135">
        <v>6.56</v>
      </c>
      <c r="J42" s="135">
        <v>0.24</v>
      </c>
      <c r="K42" s="135">
        <v>183.97</v>
      </c>
      <c r="L42" s="9" t="s">
        <v>36</v>
      </c>
      <c r="M42" s="135">
        <v>88.72</v>
      </c>
      <c r="N42" s="135">
        <v>265.10000000000002</v>
      </c>
      <c r="O42" s="135">
        <v>0</v>
      </c>
      <c r="P42" s="135">
        <v>3.18</v>
      </c>
      <c r="Q42" s="135">
        <v>6.68</v>
      </c>
      <c r="R42" s="194"/>
      <c r="S42" s="194"/>
      <c r="T42" s="194"/>
      <c r="U42" s="194"/>
    </row>
    <row r="43" spans="1:21" s="12" customFormat="1" ht="15">
      <c r="A43" s="207" t="s">
        <v>2295</v>
      </c>
      <c r="B43" s="135">
        <v>12.11</v>
      </c>
      <c r="C43" s="135">
        <v>11.38</v>
      </c>
      <c r="D43" s="135">
        <v>23.49</v>
      </c>
      <c r="E43" s="135">
        <v>6.57</v>
      </c>
      <c r="F43" s="135">
        <v>0.11</v>
      </c>
      <c r="G43" s="208" t="s">
        <v>36</v>
      </c>
      <c r="H43" s="135">
        <v>15.57</v>
      </c>
      <c r="I43" s="135">
        <v>7.27</v>
      </c>
      <c r="J43" s="135">
        <v>0.11</v>
      </c>
      <c r="K43" s="135">
        <v>342.84</v>
      </c>
      <c r="L43" s="9" t="s">
        <v>36</v>
      </c>
      <c r="M43" s="135">
        <v>83.93</v>
      </c>
      <c r="N43" s="135">
        <v>393.60</v>
      </c>
      <c r="O43" s="135">
        <v>0</v>
      </c>
      <c r="P43" s="135">
        <v>3.22</v>
      </c>
      <c r="Q43" s="135">
        <v>6.88</v>
      </c>
      <c r="R43" s="194"/>
      <c r="S43" s="194"/>
      <c r="T43" s="194"/>
      <c r="U43" s="194"/>
    </row>
    <row r="44" spans="1:21" s="12" customFormat="1" ht="15">
      <c r="A44" s="207" t="s">
        <v>2296</v>
      </c>
      <c r="B44" s="135">
        <v>11.98</v>
      </c>
      <c r="C44" s="135">
        <v>11.84</v>
      </c>
      <c r="D44" s="135">
        <v>23.82</v>
      </c>
      <c r="E44" s="135">
        <v>6.29</v>
      </c>
      <c r="F44" s="135">
        <v>0.12</v>
      </c>
      <c r="G44" s="208" t="s">
        <v>36</v>
      </c>
      <c r="H44" s="135">
        <v>15.57</v>
      </c>
      <c r="I44" s="135">
        <v>7.14</v>
      </c>
      <c r="J44" s="135">
        <v>0.12</v>
      </c>
      <c r="K44" s="135">
        <v>8.15</v>
      </c>
      <c r="L44" s="9" t="s">
        <v>36</v>
      </c>
      <c r="M44" s="135">
        <v>82.13</v>
      </c>
      <c r="N44" s="135">
        <v>421.70</v>
      </c>
      <c r="O44" s="135">
        <v>0</v>
      </c>
      <c r="P44" s="135">
        <v>3.23</v>
      </c>
      <c r="Q44" s="135">
        <v>6.91</v>
      </c>
      <c r="R44" s="194"/>
      <c r="S44" s="194"/>
      <c r="T44" s="194"/>
      <c r="U44" s="194"/>
    </row>
    <row r="45" spans="1:21" s="12" customFormat="1" ht="15">
      <c r="A45" s="207" t="s">
        <v>2297</v>
      </c>
      <c r="B45" s="135">
        <v>11.91</v>
      </c>
      <c r="C45" s="135">
        <v>12.32</v>
      </c>
      <c r="D45" s="135">
        <v>24.23</v>
      </c>
      <c r="E45" s="135">
        <v>6.53</v>
      </c>
      <c r="F45" s="135">
        <v>0.11</v>
      </c>
      <c r="G45" s="208" t="s">
        <v>36</v>
      </c>
      <c r="H45" s="135">
        <v>15.94</v>
      </c>
      <c r="I45" s="135">
        <v>7.48</v>
      </c>
      <c r="J45" s="135">
        <v>0.31</v>
      </c>
      <c r="K45" s="135">
        <v>316.48</v>
      </c>
      <c r="L45" s="9" t="s">
        <v>36</v>
      </c>
      <c r="M45" s="135">
        <v>78.55</v>
      </c>
      <c r="N45" s="135">
        <v>550.70000000000005</v>
      </c>
      <c r="O45" s="135">
        <v>0</v>
      </c>
      <c r="P45" s="135">
        <v>3.24</v>
      </c>
      <c r="Q45" s="135">
        <v>6.92</v>
      </c>
      <c r="R45" s="194"/>
      <c r="S45" s="194"/>
      <c r="T45" s="194"/>
      <c r="U45" s="194"/>
    </row>
    <row r="46" spans="1:21" s="12" customFormat="1" ht="15">
      <c r="A46" s="207" t="s">
        <v>2298</v>
      </c>
      <c r="B46" s="135">
        <v>11.81</v>
      </c>
      <c r="C46" s="135">
        <v>12.78</v>
      </c>
      <c r="D46" s="135">
        <v>24.59</v>
      </c>
      <c r="E46" s="135">
        <v>6.02</v>
      </c>
      <c r="F46" s="135">
        <v>0.10</v>
      </c>
      <c r="G46" s="208" t="s">
        <v>36</v>
      </c>
      <c r="H46" s="135">
        <v>16.829999999999998</v>
      </c>
      <c r="I46" s="135">
        <v>7.75</v>
      </c>
      <c r="J46" s="135">
        <v>0.31</v>
      </c>
      <c r="K46" s="135">
        <v>326.83999999999997</v>
      </c>
      <c r="L46" s="9" t="s">
        <v>36</v>
      </c>
      <c r="M46" s="135">
        <v>75.099999999999994</v>
      </c>
      <c r="N46" s="135">
        <v>356.70</v>
      </c>
      <c r="O46" s="135">
        <v>0</v>
      </c>
      <c r="P46" s="135">
        <v>3.25</v>
      </c>
      <c r="Q46" s="135">
        <v>6.82</v>
      </c>
      <c r="R46" s="194"/>
      <c r="S46" s="194"/>
      <c r="T46" s="194"/>
      <c r="U46" s="194"/>
    </row>
    <row r="47" spans="1:21" s="12" customFormat="1" ht="15">
      <c r="A47" s="207" t="s">
        <v>2299</v>
      </c>
      <c r="B47" s="135">
        <v>11.33</v>
      </c>
      <c r="C47" s="135">
        <v>13.59</v>
      </c>
      <c r="D47" s="135">
        <v>24.92</v>
      </c>
      <c r="E47" s="135">
        <v>6</v>
      </c>
      <c r="F47" s="135">
        <v>0.09</v>
      </c>
      <c r="G47" s="208" t="s">
        <v>36</v>
      </c>
      <c r="H47" s="135">
        <v>16.829999999999998</v>
      </c>
      <c r="I47" s="135">
        <v>7.97</v>
      </c>
      <c r="J47" s="135">
        <v>0.26</v>
      </c>
      <c r="K47" s="135">
        <v>323.95</v>
      </c>
      <c r="L47" s="9" t="s">
        <v>36</v>
      </c>
      <c r="M47" s="135">
        <v>76.13</v>
      </c>
      <c r="N47" s="135">
        <v>338.60</v>
      </c>
      <c r="O47" s="135">
        <v>0</v>
      </c>
      <c r="P47" s="135">
        <v>3.28</v>
      </c>
      <c r="Q47" s="135">
        <v>6.78</v>
      </c>
      <c r="R47" s="194"/>
      <c r="S47" s="194"/>
      <c r="T47" s="194"/>
      <c r="U47" s="194"/>
    </row>
    <row r="48" spans="1:21" s="12" customFormat="1" ht="15">
      <c r="A48" s="207" t="s">
        <v>2300</v>
      </c>
      <c r="B48" s="135">
        <v>10.79</v>
      </c>
      <c r="C48" s="135">
        <v>14.38</v>
      </c>
      <c r="D48" s="135">
        <v>25.17</v>
      </c>
      <c r="E48" s="135">
        <v>5.73</v>
      </c>
      <c r="F48" s="135">
        <v>0.05</v>
      </c>
      <c r="G48" s="208" t="s">
        <v>36</v>
      </c>
      <c r="H48" s="135">
        <v>16.829999999999998</v>
      </c>
      <c r="I48" s="135">
        <v>8.16</v>
      </c>
      <c r="J48" s="135">
        <v>0.12</v>
      </c>
      <c r="K48" s="135">
        <v>338.34</v>
      </c>
      <c r="L48" s="9" t="s">
        <v>36</v>
      </c>
      <c r="M48" s="135">
        <v>76.150000000000006</v>
      </c>
      <c r="N48" s="135">
        <v>447.30</v>
      </c>
      <c r="O48" s="135">
        <v>0</v>
      </c>
      <c r="P48" s="135">
        <v>3.30</v>
      </c>
      <c r="Q48" s="135">
        <v>7</v>
      </c>
      <c r="R48" s="194"/>
      <c r="S48" s="194"/>
      <c r="T48" s="194"/>
      <c r="U48" s="194"/>
    </row>
    <row r="49" spans="1:21" s="12" customFormat="1" ht="15">
      <c r="A49" s="207" t="s">
        <v>2301</v>
      </c>
      <c r="B49" s="135">
        <v>10.68</v>
      </c>
      <c r="C49" s="135">
        <v>14.89</v>
      </c>
      <c r="D49" s="135">
        <v>25.57</v>
      </c>
      <c r="E49" s="135">
        <v>5.92</v>
      </c>
      <c r="F49" s="135">
        <v>0.22</v>
      </c>
      <c r="G49" s="208" t="s">
        <v>36</v>
      </c>
      <c r="H49" s="135">
        <v>16.829999999999998</v>
      </c>
      <c r="I49" s="135">
        <v>8.3800000000000008</v>
      </c>
      <c r="J49" s="135">
        <v>0.39</v>
      </c>
      <c r="K49" s="135">
        <v>318.17</v>
      </c>
      <c r="L49" s="9" t="s">
        <v>36</v>
      </c>
      <c r="M49" s="135">
        <v>73.790000000000006</v>
      </c>
      <c r="N49" s="135">
        <v>519.10</v>
      </c>
      <c r="O49" s="135">
        <v>0</v>
      </c>
      <c r="P49" s="135">
        <v>3.37</v>
      </c>
      <c r="Q49" s="135">
        <v>7.16</v>
      </c>
      <c r="R49" s="194"/>
      <c r="S49" s="194"/>
      <c r="T49" s="194"/>
      <c r="U49" s="194"/>
    </row>
    <row r="50" spans="1:21" s="12" customFormat="1" ht="15">
      <c r="A50" s="207" t="s">
        <v>2302</v>
      </c>
      <c r="B50" s="135">
        <v>10.46</v>
      </c>
      <c r="C50" s="135">
        <v>16.27</v>
      </c>
      <c r="D50" s="135">
        <v>26.73</v>
      </c>
      <c r="E50" s="135">
        <v>5.90</v>
      </c>
      <c r="F50" s="135">
        <v>0.34</v>
      </c>
      <c r="G50" s="208" t="s">
        <v>36</v>
      </c>
      <c r="H50" s="135">
        <v>16.84</v>
      </c>
      <c r="I50" s="135">
        <v>8.6300000000000008</v>
      </c>
      <c r="J50" s="135">
        <v>0.28000000000000003</v>
      </c>
      <c r="K50" s="135">
        <v>326.83</v>
      </c>
      <c r="L50" s="9" t="s">
        <v>36</v>
      </c>
      <c r="M50" s="135">
        <v>73.92</v>
      </c>
      <c r="N50" s="135">
        <v>440</v>
      </c>
      <c r="O50" s="135">
        <v>0</v>
      </c>
      <c r="P50" s="135">
        <v>3.41</v>
      </c>
      <c r="Q50" s="135">
        <v>7.29</v>
      </c>
      <c r="R50" s="194"/>
      <c r="S50" s="194"/>
      <c r="T50" s="194"/>
      <c r="U50" s="194"/>
    </row>
    <row r="51" spans="1:21" s="12" customFormat="1" ht="15">
      <c r="A51" s="207" t="s">
        <v>2303</v>
      </c>
      <c r="B51" s="135">
        <v>10.42</v>
      </c>
      <c r="C51" s="135">
        <v>15.81</v>
      </c>
      <c r="D51" s="135">
        <v>26.23</v>
      </c>
      <c r="E51" s="135">
        <v>5.65</v>
      </c>
      <c r="F51" s="135">
        <v>0.24</v>
      </c>
      <c r="G51" s="208" t="s">
        <v>36</v>
      </c>
      <c r="H51" s="135">
        <v>16.84</v>
      </c>
      <c r="I51" s="135">
        <v>8.99</v>
      </c>
      <c r="J51" s="135">
        <v>0.39</v>
      </c>
      <c r="K51" s="135">
        <v>304.93</v>
      </c>
      <c r="L51" s="9" t="s">
        <v>36</v>
      </c>
      <c r="M51" s="135">
        <v>72.09</v>
      </c>
      <c r="N51" s="135">
        <v>545.60</v>
      </c>
      <c r="O51" s="135">
        <v>0</v>
      </c>
      <c r="P51" s="135">
        <v>3.40</v>
      </c>
      <c r="Q51" s="135">
        <v>7.27</v>
      </c>
      <c r="R51" s="194"/>
      <c r="S51" s="194"/>
      <c r="T51" s="194"/>
      <c r="U51" s="194"/>
    </row>
    <row r="52" spans="1:21" s="12" customFormat="1" ht="15">
      <c r="A52" s="207" t="s">
        <v>2304</v>
      </c>
      <c r="B52" s="135">
        <v>10.050000000000001</v>
      </c>
      <c r="C52" s="135">
        <v>14.92</v>
      </c>
      <c r="D52" s="135">
        <v>24.97</v>
      </c>
      <c r="E52" s="135">
        <v>5.79</v>
      </c>
      <c r="F52" s="135">
        <v>1.98</v>
      </c>
      <c r="G52" s="208" t="s">
        <v>36</v>
      </c>
      <c r="H52" s="135">
        <v>16.84</v>
      </c>
      <c r="I52" s="135">
        <v>9.2899999999999991</v>
      </c>
      <c r="J52" s="135">
        <v>0.28999999999999998</v>
      </c>
      <c r="K52" s="135">
        <v>325.63</v>
      </c>
      <c r="L52" s="9" t="s">
        <v>36</v>
      </c>
      <c r="M52" s="135">
        <v>70.930000000000007</v>
      </c>
      <c r="N52" s="135">
        <v>688.70</v>
      </c>
      <c r="O52" s="135">
        <v>0</v>
      </c>
      <c r="P52" s="135">
        <v>3.40</v>
      </c>
      <c r="Q52" s="135">
        <v>7.03</v>
      </c>
      <c r="R52" s="194"/>
      <c r="S52" s="194"/>
      <c r="T52" s="194"/>
      <c r="U52" s="194"/>
    </row>
    <row r="53" spans="1:21" s="12" customFormat="1" ht="15">
      <c r="A53" s="207" t="s">
        <v>2305</v>
      </c>
      <c r="B53" s="135">
        <v>8.15</v>
      </c>
      <c r="C53" s="135">
        <v>17.62</v>
      </c>
      <c r="D53" s="135">
        <v>25.77</v>
      </c>
      <c r="E53" s="135">
        <v>5.31</v>
      </c>
      <c r="F53" s="135">
        <v>0.99</v>
      </c>
      <c r="G53" s="208" t="s">
        <v>36</v>
      </c>
      <c r="H53" s="135">
        <v>17.28</v>
      </c>
      <c r="I53" s="135">
        <v>9.34</v>
      </c>
      <c r="J53" s="135">
        <v>0.38</v>
      </c>
      <c r="K53" s="135">
        <v>302.32</v>
      </c>
      <c r="L53" s="9" t="s">
        <v>36</v>
      </c>
      <c r="M53" s="135">
        <v>67.209999999999994</v>
      </c>
      <c r="N53" s="135">
        <v>454.5</v>
      </c>
      <c r="O53" s="135">
        <v>0</v>
      </c>
      <c r="P53" s="135">
        <v>3.39</v>
      </c>
      <c r="Q53" s="135">
        <v>6.93</v>
      </c>
      <c r="R53" s="194"/>
      <c r="S53" s="194"/>
      <c r="T53" s="194"/>
      <c r="U53" s="194"/>
    </row>
    <row r="54" spans="1:21" s="12" customFormat="1" ht="15">
      <c r="A54" s="207" t="s">
        <v>2306</v>
      </c>
      <c r="B54" s="135">
        <v>6.17</v>
      </c>
      <c r="C54" s="135">
        <v>21.55</v>
      </c>
      <c r="D54" s="135">
        <v>27.72</v>
      </c>
      <c r="E54" s="135">
        <v>4.75</v>
      </c>
      <c r="F54" s="135">
        <v>1.26</v>
      </c>
      <c r="G54" s="208" t="s">
        <v>36</v>
      </c>
      <c r="H54" s="135">
        <v>18.37</v>
      </c>
      <c r="I54" s="135">
        <v>9.07</v>
      </c>
      <c r="J54" s="135">
        <v>1.04</v>
      </c>
      <c r="K54" s="135">
        <v>345.05</v>
      </c>
      <c r="L54" s="9" t="s">
        <v>36</v>
      </c>
      <c r="M54" s="135">
        <v>70.92</v>
      </c>
      <c r="N54" s="135">
        <v>226.90</v>
      </c>
      <c r="O54" s="135">
        <v>0</v>
      </c>
      <c r="P54" s="135">
        <v>3.39</v>
      </c>
      <c r="Q54" s="135">
        <v>6.94</v>
      </c>
      <c r="R54" s="194"/>
      <c r="S54" s="194"/>
      <c r="T54" s="194"/>
      <c r="U54" s="194"/>
    </row>
    <row r="55" spans="1:21" s="12" customFormat="1" ht="15">
      <c r="A55" s="207" t="s">
        <v>2307</v>
      </c>
      <c r="B55" s="135">
        <v>5.31</v>
      </c>
      <c r="C55" s="135">
        <v>23.47</v>
      </c>
      <c r="D55" s="135">
        <v>28.78</v>
      </c>
      <c r="E55" s="135">
        <v>4.62</v>
      </c>
      <c r="F55" s="135">
        <v>0.91</v>
      </c>
      <c r="G55" s="208" t="s">
        <v>36</v>
      </c>
      <c r="H55" s="135">
        <v>18.37</v>
      </c>
      <c r="I55" s="135">
        <v>8.39</v>
      </c>
      <c r="J55" s="135">
        <v>0.96</v>
      </c>
      <c r="K55" s="135">
        <v>333.48</v>
      </c>
      <c r="L55" s="9" t="s">
        <v>36</v>
      </c>
      <c r="M55" s="135">
        <v>76.88</v>
      </c>
      <c r="N55" s="135">
        <v>278.60000000000002</v>
      </c>
      <c r="O55" s="135">
        <v>0</v>
      </c>
      <c r="P55" s="135">
        <v>3.43</v>
      </c>
      <c r="Q55" s="135">
        <v>6.97</v>
      </c>
      <c r="R55" s="194"/>
      <c r="S55" s="194"/>
      <c r="T55" s="194"/>
      <c r="U55" s="194"/>
    </row>
    <row r="56" spans="1:21" s="12" customFormat="1" ht="15">
      <c r="A56" s="207" t="s">
        <v>2308</v>
      </c>
      <c r="B56" s="135">
        <v>5.21</v>
      </c>
      <c r="C56" s="135">
        <v>24.59</v>
      </c>
      <c r="D56" s="135">
        <v>29.80</v>
      </c>
      <c r="E56" s="135">
        <v>1.70</v>
      </c>
      <c r="F56" s="135">
        <v>1.21</v>
      </c>
      <c r="G56" s="208" t="s">
        <v>36</v>
      </c>
      <c r="H56" s="135">
        <v>18.37</v>
      </c>
      <c r="I56" s="135">
        <v>7.99</v>
      </c>
      <c r="J56" s="135">
        <v>1.17</v>
      </c>
      <c r="K56" s="135">
        <v>343.68</v>
      </c>
      <c r="L56" s="9" t="s">
        <v>36</v>
      </c>
      <c r="M56" s="135">
        <v>82.28</v>
      </c>
      <c r="N56" s="135">
        <v>222.30</v>
      </c>
      <c r="O56" s="135">
        <v>0.20</v>
      </c>
      <c r="P56" s="135">
        <v>3.44</v>
      </c>
      <c r="Q56" s="135">
        <v>7.15</v>
      </c>
      <c r="R56" s="194"/>
      <c r="S56" s="194"/>
      <c r="T56" s="194"/>
      <c r="U56" s="194"/>
    </row>
    <row r="57" spans="1:21" s="12" customFormat="1" ht="15">
      <c r="A57" s="207" t="s">
        <v>2309</v>
      </c>
      <c r="B57" s="135">
        <v>5.34</v>
      </c>
      <c r="C57" s="135">
        <v>25.37</v>
      </c>
      <c r="D57" s="135">
        <v>30.70</v>
      </c>
      <c r="E57" s="135">
        <v>3</v>
      </c>
      <c r="F57" s="135">
        <v>1.44</v>
      </c>
      <c r="G57" s="208" t="s">
        <v>36</v>
      </c>
      <c r="H57" s="135">
        <v>18.20</v>
      </c>
      <c r="I57" s="135">
        <v>7.66</v>
      </c>
      <c r="J57" s="135">
        <v>1.52</v>
      </c>
      <c r="K57" s="135">
        <v>323.98</v>
      </c>
      <c r="L57" s="9" t="s">
        <v>36</v>
      </c>
      <c r="M57" s="135">
        <v>83.41</v>
      </c>
      <c r="N57" s="135">
        <v>167.60</v>
      </c>
      <c r="O57" s="135">
        <v>0</v>
      </c>
      <c r="P57" s="135">
        <v>3.44</v>
      </c>
      <c r="Q57" s="135">
        <v>7.20</v>
      </c>
      <c r="R57" s="194"/>
      <c r="S57" s="194"/>
      <c r="T57" s="194"/>
      <c r="U57" s="194"/>
    </row>
    <row r="58" spans="1:21" s="12" customFormat="1" ht="15">
      <c r="A58" s="207" t="s">
        <v>2310</v>
      </c>
      <c r="B58" s="135">
        <v>4.59</v>
      </c>
      <c r="C58" s="135">
        <v>25.70</v>
      </c>
      <c r="D58" s="135">
        <v>30.29</v>
      </c>
      <c r="E58" s="135">
        <v>2.33</v>
      </c>
      <c r="F58" s="135">
        <v>0.82</v>
      </c>
      <c r="G58" s="208" t="s">
        <v>36</v>
      </c>
      <c r="H58" s="135">
        <v>17.80</v>
      </c>
      <c r="I58" s="135">
        <v>7.22</v>
      </c>
      <c r="J58" s="135">
        <v>1.38</v>
      </c>
      <c r="K58" s="135">
        <v>330.42</v>
      </c>
      <c r="L58" s="9" t="s">
        <v>36</v>
      </c>
      <c r="M58" s="135">
        <v>85.52</v>
      </c>
      <c r="N58" s="135">
        <v>151.90</v>
      </c>
      <c r="O58" s="135">
        <v>0</v>
      </c>
      <c r="P58" s="135">
        <v>3.43</v>
      </c>
      <c r="Q58" s="135">
        <v>7.11</v>
      </c>
      <c r="R58" s="194"/>
      <c r="S58" s="194"/>
      <c r="T58" s="194"/>
      <c r="U58" s="194"/>
    </row>
    <row r="59" spans="1:21" s="12" customFormat="1" ht="15">
      <c r="A59" s="207" t="s">
        <v>2311</v>
      </c>
      <c r="B59" s="135">
        <v>5.03</v>
      </c>
      <c r="C59" s="135">
        <v>23.35</v>
      </c>
      <c r="D59" s="135">
        <v>28.38</v>
      </c>
      <c r="E59" s="135">
        <v>3.39</v>
      </c>
      <c r="F59" s="135">
        <v>0.84</v>
      </c>
      <c r="G59" s="208" t="s">
        <v>36</v>
      </c>
      <c r="H59" s="135">
        <v>17.80</v>
      </c>
      <c r="I59" s="135">
        <v>6.62</v>
      </c>
      <c r="J59" s="135">
        <v>1.28</v>
      </c>
      <c r="K59" s="135">
        <v>332.68</v>
      </c>
      <c r="L59" s="9" t="s">
        <v>36</v>
      </c>
      <c r="M59" s="135">
        <v>86.43</v>
      </c>
      <c r="N59" s="135">
        <v>130.80000000000001</v>
      </c>
      <c r="O59" s="135">
        <v>0</v>
      </c>
      <c r="P59" s="135">
        <v>3.42</v>
      </c>
      <c r="Q59" s="135">
        <v>6.67</v>
      </c>
      <c r="R59" s="194"/>
      <c r="S59" s="194"/>
      <c r="T59" s="194"/>
      <c r="U59" s="194"/>
    </row>
    <row r="60" spans="1:21" s="12" customFormat="1" ht="15">
      <c r="A60" s="207" t="s">
        <v>2312</v>
      </c>
      <c r="B60" s="135">
        <v>7.78</v>
      </c>
      <c r="C60" s="135">
        <v>22.96</v>
      </c>
      <c r="D60" s="135">
        <v>30.73</v>
      </c>
      <c r="E60" s="135">
        <v>3.08</v>
      </c>
      <c r="F60" s="135">
        <v>0.90</v>
      </c>
      <c r="G60" s="208" t="s">
        <v>36</v>
      </c>
      <c r="H60" s="135">
        <v>17.80</v>
      </c>
      <c r="I60" s="135">
        <v>6.28</v>
      </c>
      <c r="J60" s="135">
        <v>1.44</v>
      </c>
      <c r="K60" s="135">
        <v>339.09</v>
      </c>
      <c r="L60" s="9" t="s">
        <v>36</v>
      </c>
      <c r="M60" s="135">
        <v>87.21</v>
      </c>
      <c r="N60" s="135">
        <v>75</v>
      </c>
      <c r="O60" s="135">
        <v>0</v>
      </c>
      <c r="P60" s="135">
        <v>3.44</v>
      </c>
      <c r="Q60" s="135">
        <v>7.01</v>
      </c>
      <c r="R60" s="194"/>
      <c r="S60" s="194"/>
      <c r="T60" s="194"/>
      <c r="U60" s="194"/>
    </row>
    <row r="61" spans="1:21" s="12" customFormat="1" ht="15">
      <c r="A61" s="207" t="s">
        <v>2313</v>
      </c>
      <c r="B61" s="135">
        <v>9.10</v>
      </c>
      <c r="C61" s="135">
        <v>22.61</v>
      </c>
      <c r="D61" s="135">
        <v>31.72</v>
      </c>
      <c r="E61" s="135">
        <v>3.12</v>
      </c>
      <c r="F61" s="135">
        <v>0.83</v>
      </c>
      <c r="G61" s="208" t="s">
        <v>36</v>
      </c>
      <c r="H61" s="135">
        <v>18.43</v>
      </c>
      <c r="I61" s="135">
        <v>6.20</v>
      </c>
      <c r="J61" s="135">
        <v>1.53</v>
      </c>
      <c r="K61" s="135">
        <v>342.64</v>
      </c>
      <c r="L61" s="9" t="s">
        <v>36</v>
      </c>
      <c r="M61" s="135">
        <v>88.01</v>
      </c>
      <c r="N61" s="135">
        <v>74.80</v>
      </c>
      <c r="O61" s="135">
        <v>0</v>
      </c>
      <c r="P61" s="135">
        <v>3.43</v>
      </c>
      <c r="Q61" s="135">
        <v>7.53</v>
      </c>
      <c r="R61" s="194"/>
      <c r="S61" s="194"/>
      <c r="T61" s="194"/>
      <c r="U61" s="194"/>
    </row>
    <row r="62" spans="1:21" s="12" customFormat="1" ht="15">
      <c r="A62" s="207" t="s">
        <v>2314</v>
      </c>
      <c r="B62" s="135">
        <v>8.52</v>
      </c>
      <c r="C62" s="135">
        <v>23.17</v>
      </c>
      <c r="D62" s="135">
        <v>31.70</v>
      </c>
      <c r="E62" s="135">
        <v>3.27</v>
      </c>
      <c r="F62" s="135">
        <v>1.1399999999999999</v>
      </c>
      <c r="G62" s="208" t="s">
        <v>36</v>
      </c>
      <c r="H62" s="135">
        <v>19.97</v>
      </c>
      <c r="I62" s="135">
        <v>6.10</v>
      </c>
      <c r="J62" s="135">
        <v>1.19</v>
      </c>
      <c r="K62" s="135">
        <v>333.66</v>
      </c>
      <c r="L62" s="9" t="s">
        <v>36</v>
      </c>
      <c r="M62" s="135">
        <v>90.88</v>
      </c>
      <c r="N62" s="135">
        <v>86.30</v>
      </c>
      <c r="O62" s="135">
        <v>0.40</v>
      </c>
      <c r="P62" s="135">
        <v>3.42</v>
      </c>
      <c r="Q62" s="135">
        <v>7.13</v>
      </c>
      <c r="R62" s="194"/>
      <c r="S62" s="194"/>
      <c r="T62" s="194"/>
      <c r="U62" s="194"/>
    </row>
    <row r="63" spans="1:21" s="12" customFormat="1" ht="15">
      <c r="A63" s="207" t="s">
        <v>2315</v>
      </c>
      <c r="B63" s="135">
        <v>8.43</v>
      </c>
      <c r="C63" s="135">
        <v>20.99</v>
      </c>
      <c r="D63" s="135">
        <v>29.42</v>
      </c>
      <c r="E63" s="135">
        <v>2.92</v>
      </c>
      <c r="F63" s="135">
        <v>0.16</v>
      </c>
      <c r="G63" s="208" t="s">
        <v>36</v>
      </c>
      <c r="H63" s="135">
        <v>19.97</v>
      </c>
      <c r="I63" s="135">
        <v>5.92</v>
      </c>
      <c r="J63" s="135">
        <v>0.34</v>
      </c>
      <c r="K63" s="135">
        <v>344.11</v>
      </c>
      <c r="L63" s="9" t="s">
        <v>36</v>
      </c>
      <c r="M63" s="135">
        <v>95.03</v>
      </c>
      <c r="N63" s="135">
        <v>149.19999999999999</v>
      </c>
      <c r="O63" s="135">
        <v>0.20</v>
      </c>
      <c r="P63" s="135">
        <v>3.41</v>
      </c>
      <c r="Q63" s="135">
        <v>6.74</v>
      </c>
      <c r="R63" s="194"/>
      <c r="S63" s="194"/>
      <c r="T63" s="194"/>
      <c r="U63" s="194"/>
    </row>
    <row r="64" spans="1:21" s="12" customFormat="1" ht="15">
      <c r="A64" s="207" t="s">
        <v>2316</v>
      </c>
      <c r="B64" s="135">
        <v>8.83</v>
      </c>
      <c r="C64" s="135">
        <v>18.07</v>
      </c>
      <c r="D64" s="135">
        <v>26.90</v>
      </c>
      <c r="E64" s="135">
        <v>2.44</v>
      </c>
      <c r="F64" s="135">
        <v>0.02</v>
      </c>
      <c r="G64" s="208" t="s">
        <v>36</v>
      </c>
      <c r="H64" s="135">
        <v>19.97</v>
      </c>
      <c r="I64" s="135">
        <v>5.58</v>
      </c>
      <c r="J64" s="135">
        <v>0.15</v>
      </c>
      <c r="K64" s="135">
        <v>345.91</v>
      </c>
      <c r="L64" s="9" t="s">
        <v>36</v>
      </c>
      <c r="M64" s="135">
        <v>92.39</v>
      </c>
      <c r="N64" s="135">
        <v>354.70</v>
      </c>
      <c r="O64" s="135">
        <v>0.20</v>
      </c>
      <c r="P64" s="135">
        <v>3.40</v>
      </c>
      <c r="Q64" s="135">
        <v>6.30</v>
      </c>
      <c r="R64" s="194"/>
      <c r="S64" s="194"/>
      <c r="T64" s="194"/>
      <c r="U64" s="194"/>
    </row>
    <row r="65" spans="1:21" s="12" customFormat="1" ht="15">
      <c r="A65" s="207" t="s">
        <v>2317</v>
      </c>
      <c r="B65" s="135">
        <v>9.16</v>
      </c>
      <c r="C65" s="135">
        <v>15.84</v>
      </c>
      <c r="D65" s="135">
        <v>25</v>
      </c>
      <c r="E65" s="135">
        <v>3</v>
      </c>
      <c r="F65" s="135">
        <v>0.02</v>
      </c>
      <c r="G65" s="208" t="s">
        <v>36</v>
      </c>
      <c r="H65" s="135">
        <v>19.760000000000002</v>
      </c>
      <c r="I65" s="135">
        <v>5.62</v>
      </c>
      <c r="J65" s="135">
        <v>0.34</v>
      </c>
      <c r="K65" s="135">
        <v>314.85000000000002</v>
      </c>
      <c r="L65" s="9" t="s">
        <v>36</v>
      </c>
      <c r="M65" s="135">
        <v>87.21</v>
      </c>
      <c r="N65" s="135">
        <v>742.40</v>
      </c>
      <c r="O65" s="135">
        <v>0</v>
      </c>
      <c r="P65" s="135">
        <v>3.39</v>
      </c>
      <c r="Q65" s="135">
        <v>6.02</v>
      </c>
      <c r="R65" s="194"/>
      <c r="S65" s="194"/>
      <c r="T65" s="194"/>
      <c r="U65" s="194"/>
    </row>
    <row r="66" spans="1:21" s="12" customFormat="1" ht="15">
      <c r="A66" s="207" t="s">
        <v>2318</v>
      </c>
      <c r="B66" s="135">
        <v>9.5299999999999994</v>
      </c>
      <c r="C66" s="135">
        <v>14.38</v>
      </c>
      <c r="D66" s="135">
        <v>23.91</v>
      </c>
      <c r="E66" s="135">
        <v>3.20</v>
      </c>
      <c r="F66" s="135">
        <v>0.02</v>
      </c>
      <c r="G66" s="208" t="s">
        <v>36</v>
      </c>
      <c r="H66" s="135">
        <v>19.239999999999998</v>
      </c>
      <c r="I66" s="135">
        <v>5.70</v>
      </c>
      <c r="J66" s="135">
        <v>0.77</v>
      </c>
      <c r="K66" s="135">
        <v>317.18</v>
      </c>
      <c r="L66" s="9" t="s">
        <v>36</v>
      </c>
      <c r="M66" s="135">
        <v>78.06</v>
      </c>
      <c r="N66" s="135">
        <v>847</v>
      </c>
      <c r="O66" s="135">
        <v>0</v>
      </c>
      <c r="P66" s="135">
        <v>3.38</v>
      </c>
      <c r="Q66" s="135">
        <v>5.91</v>
      </c>
      <c r="R66" s="194"/>
      <c r="S66" s="194"/>
      <c r="T66" s="194"/>
      <c r="U66" s="194"/>
    </row>
    <row r="67" spans="1:21" s="12" customFormat="1" ht="15">
      <c r="A67" s="207" t="s">
        <v>2319</v>
      </c>
      <c r="B67" s="135">
        <v>9.51</v>
      </c>
      <c r="C67" s="135">
        <v>13.65</v>
      </c>
      <c r="D67" s="135">
        <v>23.16</v>
      </c>
      <c r="E67" s="135">
        <v>3.91</v>
      </c>
      <c r="F67" s="135">
        <v>0.09</v>
      </c>
      <c r="G67" s="208" t="s">
        <v>36</v>
      </c>
      <c r="H67" s="135">
        <v>19.239999999999998</v>
      </c>
      <c r="I67" s="135">
        <v>5.65</v>
      </c>
      <c r="J67" s="135">
        <v>0.46</v>
      </c>
      <c r="K67" s="135">
        <v>313.20</v>
      </c>
      <c r="L67" s="9" t="s">
        <v>36</v>
      </c>
      <c r="M67" s="135">
        <v>74.30</v>
      </c>
      <c r="N67" s="135">
        <v>582.79999999999995</v>
      </c>
      <c r="O67" s="135">
        <v>0</v>
      </c>
      <c r="P67" s="135">
        <v>3.36</v>
      </c>
      <c r="Q67" s="135">
        <v>5.77</v>
      </c>
      <c r="R67" s="194"/>
      <c r="S67" s="194"/>
      <c r="T67" s="194"/>
      <c r="U67" s="194"/>
    </row>
    <row r="68" spans="1:21" s="12" customFormat="1" ht="15">
      <c r="A68" s="207" t="s">
        <v>2320</v>
      </c>
      <c r="B68" s="135">
        <v>8.25</v>
      </c>
      <c r="C68" s="135">
        <v>14.71</v>
      </c>
      <c r="D68" s="135">
        <v>22.95</v>
      </c>
      <c r="E68" s="135">
        <v>3.72</v>
      </c>
      <c r="F68" s="135">
        <v>0.85</v>
      </c>
      <c r="G68" s="208" t="s">
        <v>36</v>
      </c>
      <c r="H68" s="135">
        <v>19.239999999999998</v>
      </c>
      <c r="I68" s="135">
        <v>5.70</v>
      </c>
      <c r="J68" s="135">
        <v>0.99</v>
      </c>
      <c r="K68" s="135">
        <v>312.95</v>
      </c>
      <c r="L68" s="9" t="s">
        <v>36</v>
      </c>
      <c r="M68" s="135">
        <v>76.72</v>
      </c>
      <c r="N68" s="135">
        <v>411.20</v>
      </c>
      <c r="O68" s="135">
        <v>0</v>
      </c>
      <c r="P68" s="135">
        <v>3.29</v>
      </c>
      <c r="Q68" s="135">
        <v>5.68</v>
      </c>
      <c r="R68" s="194"/>
      <c r="S68" s="194"/>
      <c r="T68" s="194"/>
      <c r="U68" s="194"/>
    </row>
    <row r="69" spans="1:21" s="12" customFormat="1" ht="15">
      <c r="A69" s="207" t="s">
        <v>2321</v>
      </c>
      <c r="B69" s="135">
        <v>5.15</v>
      </c>
      <c r="C69" s="135">
        <v>17.75</v>
      </c>
      <c r="D69" s="135">
        <v>22.90</v>
      </c>
      <c r="E69" s="135">
        <v>3.04</v>
      </c>
      <c r="F69" s="135">
        <v>1.66</v>
      </c>
      <c r="G69" s="208" t="s">
        <v>36</v>
      </c>
      <c r="H69" s="135">
        <v>17.71</v>
      </c>
      <c r="I69" s="135">
        <v>5.59</v>
      </c>
      <c r="J69" s="135">
        <v>0.31</v>
      </c>
      <c r="K69" s="135">
        <v>322.64999999999998</v>
      </c>
      <c r="L69" s="9" t="s">
        <v>36</v>
      </c>
      <c r="M69" s="135">
        <v>81.19</v>
      </c>
      <c r="N69" s="135">
        <v>253.20</v>
      </c>
      <c r="O69" s="135">
        <v>0</v>
      </c>
      <c r="P69" s="135">
        <v>3.20</v>
      </c>
      <c r="Q69" s="135">
        <v>5.29</v>
      </c>
      <c r="R69" s="194"/>
      <c r="S69" s="194"/>
      <c r="T69" s="194"/>
      <c r="U69" s="194"/>
    </row>
    <row r="70" spans="1:21" s="12" customFormat="1" ht="15">
      <c r="A70" s="207" t="s">
        <v>2322</v>
      </c>
      <c r="B70" s="135">
        <v>4.01</v>
      </c>
      <c r="C70" s="135">
        <v>19.89</v>
      </c>
      <c r="D70" s="135">
        <v>23.91</v>
      </c>
      <c r="E70" s="135">
        <v>2.98</v>
      </c>
      <c r="F70" s="135">
        <v>1.41</v>
      </c>
      <c r="G70" s="208" t="s">
        <v>36</v>
      </c>
      <c r="H70" s="135">
        <v>13.96</v>
      </c>
      <c r="I70" s="135">
        <v>5.14</v>
      </c>
      <c r="J70" s="135">
        <v>0.33</v>
      </c>
      <c r="K70" s="135">
        <v>336.22</v>
      </c>
      <c r="L70" s="9" t="s">
        <v>36</v>
      </c>
      <c r="M70" s="135">
        <v>80.19</v>
      </c>
      <c r="N70" s="135">
        <v>312.89999999999998</v>
      </c>
      <c r="O70" s="135">
        <v>0</v>
      </c>
      <c r="P70" s="135">
        <v>3.16</v>
      </c>
      <c r="Q70" s="135">
        <v>5.46</v>
      </c>
      <c r="R70" s="194"/>
      <c r="S70" s="194"/>
      <c r="T70" s="194"/>
      <c r="U70" s="194"/>
    </row>
    <row r="71" spans="1:21" s="12" customFormat="1" ht="15">
      <c r="A71" s="207" t="s">
        <v>2323</v>
      </c>
      <c r="B71" s="135">
        <v>3.81</v>
      </c>
      <c r="C71" s="135">
        <v>21.08</v>
      </c>
      <c r="D71" s="135">
        <v>24.89</v>
      </c>
      <c r="E71" s="135">
        <v>2.34</v>
      </c>
      <c r="F71" s="135">
        <v>2.29</v>
      </c>
      <c r="G71" s="208" t="s">
        <v>36</v>
      </c>
      <c r="H71" s="135">
        <v>13.96</v>
      </c>
      <c r="I71" s="135">
        <v>4.4400000000000004</v>
      </c>
      <c r="J71" s="135">
        <v>0.42</v>
      </c>
      <c r="K71" s="135">
        <v>318.39999999999998</v>
      </c>
      <c r="L71" s="9" t="s">
        <v>36</v>
      </c>
      <c r="M71" s="135">
        <v>78.5</v>
      </c>
      <c r="N71" s="135">
        <v>276.10000000000002</v>
      </c>
      <c r="O71" s="135">
        <v>0</v>
      </c>
      <c r="P71" s="135">
        <v>3.10</v>
      </c>
      <c r="Q71" s="135">
        <v>5.61</v>
      </c>
      <c r="R71" s="194"/>
      <c r="S71" s="194"/>
      <c r="T71" s="194"/>
      <c r="U71" s="194"/>
    </row>
    <row r="72" spans="1:21" s="12" customFormat="1" ht="15">
      <c r="A72" s="207" t="s">
        <v>2324</v>
      </c>
      <c r="B72" s="135">
        <v>3.33</v>
      </c>
      <c r="C72" s="135">
        <v>20.97</v>
      </c>
      <c r="D72" s="135">
        <v>24.30</v>
      </c>
      <c r="E72" s="135">
        <v>1.06</v>
      </c>
      <c r="F72" s="135">
        <v>2.3199999999999998</v>
      </c>
      <c r="G72" s="208" t="s">
        <v>36</v>
      </c>
      <c r="H72" s="135">
        <v>13.96</v>
      </c>
      <c r="I72" s="135">
        <v>4.08</v>
      </c>
      <c r="J72" s="135">
        <v>1.22</v>
      </c>
      <c r="K72" s="135">
        <v>310.85000000000002</v>
      </c>
      <c r="L72" s="9" t="s">
        <v>36</v>
      </c>
      <c r="M72" s="135">
        <v>77.66</v>
      </c>
      <c r="N72" s="135">
        <v>255.70</v>
      </c>
      <c r="O72" s="135">
        <v>0</v>
      </c>
      <c r="P72" s="135">
        <v>3.07</v>
      </c>
      <c r="Q72" s="135">
        <v>5.81</v>
      </c>
      <c r="R72" s="194"/>
      <c r="S72" s="194"/>
      <c r="T72" s="194"/>
      <c r="U72" s="194"/>
    </row>
    <row r="73" spans="1:21" s="12" customFormat="1" ht="15">
      <c r="A73" s="207" t="s">
        <v>2325</v>
      </c>
      <c r="B73" s="135">
        <v>3.19</v>
      </c>
      <c r="C73" s="135">
        <v>21.40</v>
      </c>
      <c r="D73" s="135">
        <v>24.59</v>
      </c>
      <c r="E73" s="135">
        <v>2.19</v>
      </c>
      <c r="F73" s="135">
        <v>2.75</v>
      </c>
      <c r="G73" s="208" t="s">
        <v>36</v>
      </c>
      <c r="H73" s="135">
        <v>14.13</v>
      </c>
      <c r="I73" s="135">
        <v>3.64</v>
      </c>
      <c r="J73" s="135">
        <v>0.53</v>
      </c>
      <c r="K73" s="135">
        <v>310.26</v>
      </c>
      <c r="L73" s="9" t="s">
        <v>36</v>
      </c>
      <c r="M73" s="135">
        <v>78.53</v>
      </c>
      <c r="N73" s="135">
        <v>199.40</v>
      </c>
      <c r="O73" s="135">
        <v>0</v>
      </c>
      <c r="P73" s="135">
        <v>3.04</v>
      </c>
      <c r="Q73" s="135">
        <v>5.91</v>
      </c>
      <c r="R73" s="194"/>
      <c r="S73" s="194"/>
      <c r="T73" s="194"/>
      <c r="U73" s="194"/>
    </row>
    <row r="74" spans="1:21" s="12" customFormat="1" ht="15">
      <c r="A74" s="207" t="s">
        <v>2326</v>
      </c>
      <c r="B74" s="135">
        <v>3.5</v>
      </c>
      <c r="C74" s="135">
        <v>22.02</v>
      </c>
      <c r="D74" s="135">
        <v>25.53</v>
      </c>
      <c r="E74" s="135">
        <v>1.95</v>
      </c>
      <c r="F74" s="135">
        <v>1.87</v>
      </c>
      <c r="G74" s="208" t="s">
        <v>36</v>
      </c>
      <c r="H74" s="135">
        <v>14.56</v>
      </c>
      <c r="I74" s="135">
        <v>3.23</v>
      </c>
      <c r="J74" s="135">
        <v>0.20</v>
      </c>
      <c r="K74" s="135">
        <v>336</v>
      </c>
      <c r="L74" s="9" t="s">
        <v>36</v>
      </c>
      <c r="M74" s="135">
        <v>79.83</v>
      </c>
      <c r="N74" s="135">
        <v>184.70</v>
      </c>
      <c r="O74" s="135">
        <v>0</v>
      </c>
      <c r="P74" s="135">
        <v>3.07</v>
      </c>
      <c r="Q74" s="135">
        <v>6.40</v>
      </c>
      <c r="R74" s="194"/>
      <c r="S74" s="194"/>
      <c r="T74" s="194"/>
      <c r="U74" s="194"/>
    </row>
    <row r="75" spans="1:21" s="12" customFormat="1" ht="15">
      <c r="A75" s="207" t="s">
        <v>2327</v>
      </c>
      <c r="B75" s="135">
        <v>3.42</v>
      </c>
      <c r="C75" s="135">
        <v>21.74</v>
      </c>
      <c r="D75" s="135">
        <v>25.15</v>
      </c>
      <c r="E75" s="135">
        <v>2.0099999999999998</v>
      </c>
      <c r="F75" s="135">
        <v>1.54</v>
      </c>
      <c r="G75" s="208" t="s">
        <v>36</v>
      </c>
      <c r="H75" s="135">
        <v>14.56</v>
      </c>
      <c r="I75" s="135">
        <v>3.03</v>
      </c>
      <c r="J75" s="135">
        <v>0.31</v>
      </c>
      <c r="K75" s="135">
        <v>330.15</v>
      </c>
      <c r="L75" s="9" t="s">
        <v>36</v>
      </c>
      <c r="M75" s="135">
        <v>79.510000000000005</v>
      </c>
      <c r="N75" s="135">
        <v>173.10</v>
      </c>
      <c r="O75" s="135">
        <v>0</v>
      </c>
      <c r="P75" s="135">
        <v>3.09</v>
      </c>
      <c r="Q75" s="135">
        <v>6.33</v>
      </c>
      <c r="R75" s="194"/>
      <c r="S75" s="194"/>
      <c r="T75" s="194"/>
      <c r="U75" s="194"/>
    </row>
    <row r="76" spans="1:21" s="12" customFormat="1" ht="15">
      <c r="A76" s="207" t="s">
        <v>2328</v>
      </c>
      <c r="B76" s="135">
        <v>3.28</v>
      </c>
      <c r="C76" s="135">
        <v>19.37</v>
      </c>
      <c r="D76" s="135">
        <v>22.66</v>
      </c>
      <c r="E76" s="135">
        <v>2.09</v>
      </c>
      <c r="F76" s="135">
        <v>0.53</v>
      </c>
      <c r="G76" s="208" t="s">
        <v>36</v>
      </c>
      <c r="H76" s="135">
        <v>14.56</v>
      </c>
      <c r="I76" s="135">
        <v>3.12</v>
      </c>
      <c r="J76" s="135">
        <v>0.30</v>
      </c>
      <c r="K76" s="135">
        <v>335.97</v>
      </c>
      <c r="L76" s="9" t="s">
        <v>36</v>
      </c>
      <c r="M76" s="135">
        <v>80.27</v>
      </c>
      <c r="N76" s="135">
        <v>143.40</v>
      </c>
      <c r="O76" s="135">
        <v>0</v>
      </c>
      <c r="P76" s="135">
        <v>3.10</v>
      </c>
      <c r="Q76" s="135">
        <v>6.16</v>
      </c>
      <c r="R76" s="194"/>
      <c r="S76" s="194"/>
      <c r="T76" s="194"/>
      <c r="U76" s="194"/>
    </row>
    <row r="77" spans="1:21" s="12" customFormat="1" ht="15">
      <c r="A77" s="207" t="s">
        <v>2329</v>
      </c>
      <c r="B77" s="135">
        <v>3.30</v>
      </c>
      <c r="C77" s="135">
        <v>17.62</v>
      </c>
      <c r="D77" s="135">
        <v>20.92</v>
      </c>
      <c r="E77" s="135">
        <v>2.46</v>
      </c>
      <c r="F77" s="135">
        <v>0.28999999999999998</v>
      </c>
      <c r="G77" s="208" t="s">
        <v>36</v>
      </c>
      <c r="H77" s="135">
        <v>14.36</v>
      </c>
      <c r="I77" s="135">
        <v>3.21</v>
      </c>
      <c r="J77" s="135">
        <v>0.28000000000000003</v>
      </c>
      <c r="K77" s="135">
        <v>342.14</v>
      </c>
      <c r="L77" s="9" t="s">
        <v>36</v>
      </c>
      <c r="M77" s="135">
        <v>81.75</v>
      </c>
      <c r="N77" s="135">
        <v>97.10</v>
      </c>
      <c r="O77" s="135">
        <v>0</v>
      </c>
      <c r="P77" s="135">
        <v>3.11</v>
      </c>
      <c r="Q77" s="135">
        <v>5.98</v>
      </c>
      <c r="R77" s="194"/>
      <c r="S77" s="194"/>
      <c r="T77" s="194"/>
      <c r="U77" s="194"/>
    </row>
    <row r="78" spans="1:21" s="12" customFormat="1" ht="15">
      <c r="A78" s="207" t="s">
        <v>2330</v>
      </c>
      <c r="B78" s="135">
        <v>3.61</v>
      </c>
      <c r="C78" s="135">
        <v>17.96</v>
      </c>
      <c r="D78" s="135">
        <v>21.57</v>
      </c>
      <c r="E78" s="135">
        <v>2.25</v>
      </c>
      <c r="F78" s="135">
        <v>0.25</v>
      </c>
      <c r="G78" s="208" t="s">
        <v>36</v>
      </c>
      <c r="H78" s="135">
        <v>13.86</v>
      </c>
      <c r="I78" s="135">
        <v>3.35</v>
      </c>
      <c r="J78" s="135">
        <v>0.34</v>
      </c>
      <c r="K78" s="135">
        <v>324.20</v>
      </c>
      <c r="L78" s="9" t="s">
        <v>36</v>
      </c>
      <c r="M78" s="135">
        <v>82.32</v>
      </c>
      <c r="N78" s="135">
        <v>58.10</v>
      </c>
      <c r="O78" s="135">
        <v>0</v>
      </c>
      <c r="P78" s="135">
        <v>3.12</v>
      </c>
      <c r="Q78" s="135">
        <v>6.15</v>
      </c>
      <c r="R78" s="194"/>
      <c r="S78" s="194"/>
      <c r="T78" s="194"/>
      <c r="U78" s="194"/>
    </row>
    <row r="79" spans="1:21" s="12" customFormat="1" ht="15">
      <c r="A79" s="207" t="s">
        <v>2331</v>
      </c>
      <c r="B79" s="135">
        <v>4.2300000000000004</v>
      </c>
      <c r="C79" s="135">
        <v>17.600000000000001</v>
      </c>
      <c r="D79" s="135">
        <v>21.83</v>
      </c>
      <c r="E79" s="135">
        <v>2.59</v>
      </c>
      <c r="F79" s="135">
        <v>0.24</v>
      </c>
      <c r="G79" s="208" t="s">
        <v>36</v>
      </c>
      <c r="H79" s="135">
        <v>13.86</v>
      </c>
      <c r="I79" s="135">
        <v>3.43</v>
      </c>
      <c r="J79" s="135">
        <v>0.69</v>
      </c>
      <c r="K79" s="135">
        <v>315.01</v>
      </c>
      <c r="L79" s="9" t="s">
        <v>36</v>
      </c>
      <c r="M79" s="135">
        <v>81.569999999999993</v>
      </c>
      <c r="N79" s="135">
        <v>42.40</v>
      </c>
      <c r="O79" s="135">
        <v>0</v>
      </c>
      <c r="P79" s="135">
        <v>3.13</v>
      </c>
      <c r="Q79" s="135">
        <v>6.39</v>
      </c>
      <c r="R79" s="194"/>
      <c r="S79" s="194"/>
      <c r="T79" s="194"/>
      <c r="U79" s="194"/>
    </row>
    <row r="80" spans="1:21" s="12" customFormat="1" ht="15">
      <c r="A80" s="207" t="s">
        <v>2332</v>
      </c>
      <c r="B80" s="135">
        <v>4.9800000000000004</v>
      </c>
      <c r="C80" s="135">
        <v>16.91</v>
      </c>
      <c r="D80" s="135">
        <v>21.89</v>
      </c>
      <c r="E80" s="135">
        <v>3.03</v>
      </c>
      <c r="F80" s="135">
        <v>0.19</v>
      </c>
      <c r="G80" s="208" t="s">
        <v>36</v>
      </c>
      <c r="H80" s="135">
        <v>13.86</v>
      </c>
      <c r="I80" s="135">
        <v>3.51</v>
      </c>
      <c r="J80" s="135">
        <v>1.04</v>
      </c>
      <c r="K80" s="135">
        <v>329.75</v>
      </c>
      <c r="L80" s="9" t="s">
        <v>36</v>
      </c>
      <c r="M80" s="135">
        <v>82.58</v>
      </c>
      <c r="N80" s="135">
        <v>31.90</v>
      </c>
      <c r="O80" s="135">
        <v>0</v>
      </c>
      <c r="P80" s="135">
        <v>3.17</v>
      </c>
      <c r="Q80" s="135">
        <v>6.72</v>
      </c>
      <c r="R80" s="194"/>
      <c r="S80" s="194"/>
      <c r="T80" s="194"/>
      <c r="U80" s="194"/>
    </row>
    <row r="81" spans="1:21" s="12" customFormat="1" ht="15">
      <c r="A81" s="207" t="s">
        <v>2333</v>
      </c>
      <c r="B81" s="135">
        <v>6.10</v>
      </c>
      <c r="C81" s="135">
        <v>16.329999999999998</v>
      </c>
      <c r="D81" s="135">
        <v>22.42</v>
      </c>
      <c r="E81" s="135">
        <v>3.25</v>
      </c>
      <c r="F81" s="135">
        <v>0.17</v>
      </c>
      <c r="G81" s="208" t="s">
        <v>36</v>
      </c>
      <c r="H81" s="135">
        <v>13.11</v>
      </c>
      <c r="I81" s="135">
        <v>3.65</v>
      </c>
      <c r="J81" s="135">
        <v>0.90</v>
      </c>
      <c r="K81" s="135">
        <v>337.70</v>
      </c>
      <c r="L81" s="9" t="s">
        <v>36</v>
      </c>
      <c r="M81" s="135">
        <v>82.59</v>
      </c>
      <c r="N81" s="135">
        <v>25.70</v>
      </c>
      <c r="O81" s="135">
        <v>0</v>
      </c>
      <c r="P81" s="135">
        <v>3.19</v>
      </c>
      <c r="Q81" s="135">
        <v>7.23</v>
      </c>
      <c r="R81" s="194"/>
      <c r="S81" s="194"/>
      <c r="T81" s="194"/>
      <c r="U81" s="194"/>
    </row>
    <row r="82" spans="1:21" s="12" customFormat="1" ht="15">
      <c r="A82" s="207" t="s">
        <v>2334</v>
      </c>
      <c r="B82" s="135">
        <v>7.21</v>
      </c>
      <c r="C82" s="135">
        <v>15.92</v>
      </c>
      <c r="D82" s="135">
        <v>23.14</v>
      </c>
      <c r="E82" s="135">
        <v>3.87</v>
      </c>
      <c r="F82" s="135">
        <v>0.06</v>
      </c>
      <c r="G82" s="208" t="s">
        <v>36</v>
      </c>
      <c r="H82" s="135">
        <v>11.26</v>
      </c>
      <c r="I82" s="135">
        <v>3.81</v>
      </c>
      <c r="J82" s="135">
        <v>0.56000000000000005</v>
      </c>
      <c r="K82" s="135">
        <v>342.40</v>
      </c>
      <c r="L82" s="9" t="s">
        <v>36</v>
      </c>
      <c r="M82" s="135">
        <v>82.58</v>
      </c>
      <c r="N82" s="135">
        <v>20</v>
      </c>
      <c r="O82" s="135">
        <v>0</v>
      </c>
      <c r="P82" s="135">
        <v>3.24</v>
      </c>
      <c r="Q82" s="135">
        <v>7.69</v>
      </c>
      <c r="R82" s="194"/>
      <c r="S82" s="194"/>
      <c r="T82" s="194"/>
      <c r="U82" s="194"/>
    </row>
    <row r="83" spans="1:21" s="12" customFormat="1" ht="15">
      <c r="A83" s="207" t="s">
        <v>2335</v>
      </c>
      <c r="B83" s="135">
        <v>8.7200000000000006</v>
      </c>
      <c r="C83" s="135">
        <v>15.59</v>
      </c>
      <c r="D83" s="135">
        <v>24.31</v>
      </c>
      <c r="E83" s="135">
        <v>3.56</v>
      </c>
      <c r="F83" s="135">
        <v>0.09</v>
      </c>
      <c r="G83" s="208" t="s">
        <v>36</v>
      </c>
      <c r="H83" s="135">
        <v>11.26</v>
      </c>
      <c r="I83" s="135">
        <v>4</v>
      </c>
      <c r="J83" s="135">
        <v>0.5</v>
      </c>
      <c r="K83" s="135">
        <v>325.98</v>
      </c>
      <c r="L83" s="9" t="s">
        <v>36</v>
      </c>
      <c r="M83" s="135">
        <v>83.18</v>
      </c>
      <c r="N83" s="135">
        <v>16.399999999999999</v>
      </c>
      <c r="O83" s="135">
        <v>0</v>
      </c>
      <c r="P83" s="135">
        <v>3.28</v>
      </c>
      <c r="Q83" s="135">
        <v>8.26</v>
      </c>
      <c r="R83" s="194"/>
      <c r="S83" s="194"/>
      <c r="T83" s="194"/>
      <c r="U83" s="194"/>
    </row>
    <row r="84" spans="1:21" s="12" customFormat="1" ht="15">
      <c r="A84" s="207" t="s">
        <v>2336</v>
      </c>
      <c r="B84" s="135">
        <v>10.14</v>
      </c>
      <c r="C84" s="135">
        <v>15.22</v>
      </c>
      <c r="D84" s="135">
        <v>25.36</v>
      </c>
      <c r="E84" s="135">
        <v>4.28</v>
      </c>
      <c r="F84" s="135">
        <v>0.28000000000000003</v>
      </c>
      <c r="G84" s="208" t="s">
        <v>36</v>
      </c>
      <c r="H84" s="135">
        <v>11.26</v>
      </c>
      <c r="I84" s="135">
        <v>4.33</v>
      </c>
      <c r="J84" s="135">
        <v>0.09</v>
      </c>
      <c r="K84" s="135">
        <v>317.72000000000003</v>
      </c>
      <c r="L84" s="9" t="s">
        <v>36</v>
      </c>
      <c r="M84" s="135">
        <v>83.76</v>
      </c>
      <c r="N84" s="135">
        <v>15.30</v>
      </c>
      <c r="O84" s="135">
        <v>0</v>
      </c>
      <c r="P84" s="135">
        <v>3.32</v>
      </c>
      <c r="Q84" s="135">
        <v>8.84</v>
      </c>
      <c r="R84" s="194"/>
      <c r="S84" s="194"/>
      <c r="T84" s="194"/>
      <c r="U84" s="194"/>
    </row>
    <row r="85" spans="1:21" s="12" customFormat="1" ht="15">
      <c r="A85" s="207" t="s">
        <v>2337</v>
      </c>
      <c r="B85" s="135">
        <v>10.90</v>
      </c>
      <c r="C85" s="135">
        <v>14.88</v>
      </c>
      <c r="D85" s="135">
        <v>25.77</v>
      </c>
      <c r="E85" s="135">
        <v>4.04</v>
      </c>
      <c r="F85" s="135">
        <v>0.36</v>
      </c>
      <c r="G85" s="208" t="s">
        <v>36</v>
      </c>
      <c r="H85" s="135">
        <v>12.09</v>
      </c>
      <c r="I85" s="135">
        <v>4.6399999999999997</v>
      </c>
      <c r="J85" s="135">
        <v>0.13</v>
      </c>
      <c r="K85" s="135">
        <v>312.25</v>
      </c>
      <c r="L85" s="9" t="s">
        <v>36</v>
      </c>
      <c r="M85" s="135">
        <v>84.54</v>
      </c>
      <c r="N85" s="135">
        <v>14.90</v>
      </c>
      <c r="O85" s="135">
        <v>0</v>
      </c>
      <c r="P85" s="135">
        <v>3.34</v>
      </c>
      <c r="Q85" s="135">
        <v>9.2899999999999991</v>
      </c>
      <c r="R85" s="194"/>
      <c r="S85" s="194"/>
      <c r="T85" s="194"/>
      <c r="U85" s="194"/>
    </row>
    <row r="86" spans="1:21" s="12" customFormat="1" ht="15">
      <c r="A86" s="207" t="s">
        <v>2338</v>
      </c>
      <c r="B86" s="135">
        <v>12.18</v>
      </c>
      <c r="C86" s="135">
        <v>15.12</v>
      </c>
      <c r="D86" s="135">
        <v>27.30</v>
      </c>
      <c r="E86" s="135">
        <v>4.55</v>
      </c>
      <c r="F86" s="135">
        <v>0.40</v>
      </c>
      <c r="G86" s="208" t="s">
        <v>36</v>
      </c>
      <c r="H86" s="135">
        <v>14.14</v>
      </c>
      <c r="I86" s="135">
        <v>4.79</v>
      </c>
      <c r="J86" s="135">
        <v>0.35</v>
      </c>
      <c r="K86" s="135">
        <v>355.53</v>
      </c>
      <c r="L86" s="9" t="s">
        <v>36</v>
      </c>
      <c r="M86" s="135">
        <v>87.07</v>
      </c>
      <c r="N86" s="135">
        <v>15</v>
      </c>
      <c r="O86" s="135">
        <v>0</v>
      </c>
      <c r="P86" s="135">
        <v>3.42</v>
      </c>
      <c r="Q86" s="135">
        <v>10.32</v>
      </c>
      <c r="R86" s="194"/>
      <c r="S86" s="194"/>
      <c r="T86" s="194"/>
      <c r="U86" s="194"/>
    </row>
    <row r="87" spans="1:21" s="12" customFormat="1" ht="15">
      <c r="A87" s="207" t="s">
        <v>2339</v>
      </c>
      <c r="B87" s="135">
        <v>15.42</v>
      </c>
      <c r="C87" s="135">
        <v>16.20</v>
      </c>
      <c r="D87" s="135">
        <v>31.62</v>
      </c>
      <c r="E87" s="135">
        <v>4.38</v>
      </c>
      <c r="F87" s="135">
        <v>0.06</v>
      </c>
      <c r="G87" s="208" t="s">
        <v>36</v>
      </c>
      <c r="H87" s="135">
        <v>14.14</v>
      </c>
      <c r="I87" s="135">
        <v>4.87</v>
      </c>
      <c r="J87" s="135">
        <v>0.27</v>
      </c>
      <c r="K87" s="135">
        <v>354.39</v>
      </c>
      <c r="L87" s="9" t="s">
        <v>36</v>
      </c>
      <c r="M87" s="135">
        <v>88.46</v>
      </c>
      <c r="N87" s="135">
        <v>15</v>
      </c>
      <c r="O87" s="135">
        <v>0</v>
      </c>
      <c r="P87" s="135">
        <v>3.53</v>
      </c>
      <c r="Q87" s="135">
        <v>11.42</v>
      </c>
      <c r="R87" s="194"/>
      <c r="S87" s="194"/>
      <c r="T87" s="194"/>
      <c r="U87" s="194"/>
    </row>
    <row r="88" spans="1:21" s="12" customFormat="1" ht="15">
      <c r="A88" s="207" t="s">
        <v>2340</v>
      </c>
      <c r="B88" s="135">
        <v>19.55</v>
      </c>
      <c r="C88" s="135">
        <v>16.86</v>
      </c>
      <c r="D88" s="135">
        <v>36.409999999999997</v>
      </c>
      <c r="E88" s="135">
        <v>1.93</v>
      </c>
      <c r="F88" s="135">
        <v>0.19</v>
      </c>
      <c r="G88" s="208" t="s">
        <v>36</v>
      </c>
      <c r="H88" s="135">
        <v>14.14</v>
      </c>
      <c r="I88" s="135">
        <v>5.08</v>
      </c>
      <c r="J88" s="135">
        <v>0.15</v>
      </c>
      <c r="K88" s="135">
        <v>24.53</v>
      </c>
      <c r="L88" s="9" t="s">
        <v>36</v>
      </c>
      <c r="M88" s="135">
        <v>88.02</v>
      </c>
      <c r="N88" s="135">
        <v>15</v>
      </c>
      <c r="O88" s="135">
        <v>0</v>
      </c>
      <c r="P88" s="135">
        <v>3.66</v>
      </c>
      <c r="Q88" s="135">
        <v>12.74</v>
      </c>
      <c r="R88" s="194"/>
      <c r="S88" s="194"/>
      <c r="T88" s="194"/>
      <c r="U88" s="194"/>
    </row>
    <row r="89" spans="1:21" s="12" customFormat="1" ht="15">
      <c r="A89" s="207" t="s">
        <v>2341</v>
      </c>
      <c r="B89" s="135">
        <v>22.41</v>
      </c>
      <c r="C89" s="135">
        <v>17.64</v>
      </c>
      <c r="D89" s="135">
        <v>40.049999999999997</v>
      </c>
      <c r="E89" s="135">
        <v>4.79</v>
      </c>
      <c r="F89" s="135">
        <v>0.03</v>
      </c>
      <c r="G89" s="208" t="s">
        <v>36</v>
      </c>
      <c r="H89" s="135">
        <v>14.55</v>
      </c>
      <c r="I89" s="135">
        <v>5.48</v>
      </c>
      <c r="J89" s="135">
        <v>0.15</v>
      </c>
      <c r="K89" s="135">
        <v>356.80</v>
      </c>
      <c r="L89" s="9" t="s">
        <v>36</v>
      </c>
      <c r="M89" s="135">
        <v>87.78</v>
      </c>
      <c r="N89" s="135">
        <v>15.10</v>
      </c>
      <c r="O89" s="135">
        <v>0</v>
      </c>
      <c r="P89" s="135">
        <v>3.76</v>
      </c>
      <c r="Q89" s="135">
        <v>13.75</v>
      </c>
      <c r="R89" s="194"/>
      <c r="S89" s="194"/>
      <c r="T89" s="194"/>
      <c r="U89" s="194"/>
    </row>
    <row r="90" spans="1:21" s="12" customFormat="1" ht="15">
      <c r="A90" s="207" t="s">
        <v>2342</v>
      </c>
      <c r="B90" s="135">
        <v>24.79</v>
      </c>
      <c r="C90" s="135">
        <v>18.07</v>
      </c>
      <c r="D90" s="135">
        <v>42.86</v>
      </c>
      <c r="E90" s="135">
        <v>4.88</v>
      </c>
      <c r="F90" s="135">
        <v>0.01</v>
      </c>
      <c r="G90" s="208" t="s">
        <v>36</v>
      </c>
      <c r="H90" s="135">
        <v>15.54</v>
      </c>
      <c r="I90" s="135">
        <v>5.96</v>
      </c>
      <c r="J90" s="135">
        <v>0.04</v>
      </c>
      <c r="K90" s="135">
        <v>296.95999999999998</v>
      </c>
      <c r="L90" s="9" t="s">
        <v>36</v>
      </c>
      <c r="M90" s="135">
        <v>89.21</v>
      </c>
      <c r="N90" s="135">
        <v>15.10</v>
      </c>
      <c r="O90" s="135">
        <v>0</v>
      </c>
      <c r="P90" s="135">
        <v>3.87</v>
      </c>
      <c r="Q90" s="135">
        <v>14.49</v>
      </c>
      <c r="R90" s="194"/>
      <c r="S90" s="194"/>
      <c r="T90" s="194"/>
      <c r="U90" s="194"/>
    </row>
    <row r="91" spans="1:21" s="12" customFormat="1" ht="15">
      <c r="A91" s="207" t="s">
        <v>2343</v>
      </c>
      <c r="B91" s="135">
        <v>27.08</v>
      </c>
      <c r="C91" s="135">
        <v>18.350000000000001</v>
      </c>
      <c r="D91" s="135">
        <v>45.43</v>
      </c>
      <c r="E91" s="135">
        <v>5.53</v>
      </c>
      <c r="F91" s="135">
        <v>0.04</v>
      </c>
      <c r="G91" s="208" t="s">
        <v>36</v>
      </c>
      <c r="H91" s="135">
        <v>15.54</v>
      </c>
      <c r="I91" s="135">
        <v>6.34</v>
      </c>
      <c r="J91" s="135">
        <v>0.15</v>
      </c>
      <c r="K91" s="135">
        <v>52.89</v>
      </c>
      <c r="L91" s="9" t="s">
        <v>36</v>
      </c>
      <c r="M91" s="135">
        <v>91.31</v>
      </c>
      <c r="N91" s="135">
        <v>14.60</v>
      </c>
      <c r="O91" s="135">
        <v>0</v>
      </c>
      <c r="P91" s="135">
        <v>3.99</v>
      </c>
      <c r="Q91" s="135">
        <v>15.36</v>
      </c>
      <c r="R91" s="194"/>
      <c r="S91" s="194"/>
      <c r="T91" s="194"/>
      <c r="U91" s="194"/>
    </row>
    <row r="92" spans="1:21" s="12" customFormat="1" ht="15">
      <c r="A92" s="207" t="s">
        <v>2344</v>
      </c>
      <c r="B92" s="135">
        <v>29.62</v>
      </c>
      <c r="C92" s="135">
        <v>18.12</v>
      </c>
      <c r="D92" s="135">
        <v>47.74</v>
      </c>
      <c r="E92" s="135">
        <v>5.15</v>
      </c>
      <c r="F92" s="135">
        <v>0.13</v>
      </c>
      <c r="G92" s="208" t="s">
        <v>36</v>
      </c>
      <c r="H92" s="135">
        <v>15.54</v>
      </c>
      <c r="I92" s="135">
        <v>6.79</v>
      </c>
      <c r="J92" s="135">
        <v>0.21</v>
      </c>
      <c r="K92" s="135">
        <v>0.25</v>
      </c>
      <c r="L92" s="9" t="s">
        <v>36</v>
      </c>
      <c r="M92" s="135">
        <v>93.71</v>
      </c>
      <c r="N92" s="135">
        <v>14.60</v>
      </c>
      <c r="O92" s="135">
        <v>0.20</v>
      </c>
      <c r="P92" s="135">
        <v>4.07</v>
      </c>
      <c r="Q92" s="135">
        <v>16.12</v>
      </c>
      <c r="R92" s="194"/>
      <c r="S92" s="194"/>
      <c r="T92" s="194"/>
      <c r="U92" s="194"/>
    </row>
    <row r="93" spans="1:21" s="12" customFormat="1" ht="15">
      <c r="A93" s="207" t="s">
        <v>2345</v>
      </c>
      <c r="B93" s="135">
        <v>30.84</v>
      </c>
      <c r="C93" s="135">
        <v>17.579999999999998</v>
      </c>
      <c r="D93" s="135">
        <v>48.42</v>
      </c>
      <c r="E93" s="135">
        <v>5.57</v>
      </c>
      <c r="F93" s="135">
        <v>0.24</v>
      </c>
      <c r="G93" s="208" t="s">
        <v>36</v>
      </c>
      <c r="H93" s="135">
        <v>15.53</v>
      </c>
      <c r="I93" s="135">
        <v>7.38</v>
      </c>
      <c r="J93" s="135">
        <v>0.33</v>
      </c>
      <c r="K93" s="135">
        <v>82.54</v>
      </c>
      <c r="L93" s="9" t="s">
        <v>36</v>
      </c>
      <c r="M93" s="135">
        <v>94.08</v>
      </c>
      <c r="N93" s="135">
        <v>14.60</v>
      </c>
      <c r="O93" s="135">
        <v>0</v>
      </c>
      <c r="P93" s="135">
        <v>4.09</v>
      </c>
      <c r="Q93" s="135">
        <v>16.61</v>
      </c>
      <c r="R93" s="194"/>
      <c r="S93" s="194"/>
      <c r="T93" s="194"/>
      <c r="U93" s="194"/>
    </row>
    <row r="94" spans="1:21" s="12" customFormat="1" ht="15">
      <c r="A94" s="207" t="s">
        <v>2346</v>
      </c>
      <c r="B94" s="135">
        <v>30.97</v>
      </c>
      <c r="C94" s="135">
        <v>16.71</v>
      </c>
      <c r="D94" s="135">
        <v>47.67</v>
      </c>
      <c r="E94" s="135">
        <v>5.37</v>
      </c>
      <c r="F94" s="135">
        <v>0.22</v>
      </c>
      <c r="G94" s="208" t="s">
        <v>36</v>
      </c>
      <c r="H94" s="135">
        <v>15.52</v>
      </c>
      <c r="I94" s="135">
        <v>8.0500000000000007</v>
      </c>
      <c r="J94" s="135">
        <v>0.44</v>
      </c>
      <c r="K94" s="135">
        <v>79.319999999999993</v>
      </c>
      <c r="L94" s="9" t="s">
        <v>36</v>
      </c>
      <c r="M94" s="135">
        <v>94.98</v>
      </c>
      <c r="N94" s="135">
        <v>14.90</v>
      </c>
      <c r="O94" s="135">
        <v>0.40</v>
      </c>
      <c r="P94" s="135">
        <v>4.07</v>
      </c>
      <c r="Q94" s="135">
        <v>16.80</v>
      </c>
      <c r="R94" s="194"/>
      <c r="S94" s="194"/>
      <c r="T94" s="194"/>
      <c r="U94" s="194"/>
    </row>
    <row r="95" spans="1:21" s="12" customFormat="1" ht="15">
      <c r="A95" s="207" t="s">
        <v>2347</v>
      </c>
      <c r="B95" s="135">
        <v>30.74</v>
      </c>
      <c r="C95" s="135">
        <v>16.25</v>
      </c>
      <c r="D95" s="135">
        <v>46.99</v>
      </c>
      <c r="E95" s="135">
        <v>6.08</v>
      </c>
      <c r="F95" s="135">
        <v>0.14000000000000001</v>
      </c>
      <c r="G95" s="208" t="s">
        <v>36</v>
      </c>
      <c r="H95" s="135">
        <v>15.52</v>
      </c>
      <c r="I95" s="135">
        <v>7.94</v>
      </c>
      <c r="J95" s="135">
        <v>0.43</v>
      </c>
      <c r="K95" s="135">
        <v>66.98</v>
      </c>
      <c r="L95" s="9" t="s">
        <v>36</v>
      </c>
      <c r="M95" s="135">
        <v>94.96</v>
      </c>
      <c r="N95" s="135">
        <v>14.90</v>
      </c>
      <c r="O95" s="135">
        <v>0.40</v>
      </c>
      <c r="P95" s="135">
        <v>4.09</v>
      </c>
      <c r="Q95" s="135">
        <v>17.010000000000002</v>
      </c>
      <c r="R95" s="194"/>
      <c r="S95" s="194"/>
      <c r="T95" s="194"/>
      <c r="U95" s="194"/>
    </row>
    <row r="96" spans="1:26" s="12" customFormat="1" ht="15">
      <c r="A96" s="207" t="s">
        <v>2348</v>
      </c>
      <c r="B96" s="135">
        <v>31.42</v>
      </c>
      <c r="C96" s="135">
        <v>16.079999999999998</v>
      </c>
      <c r="D96" s="135">
        <v>47.5</v>
      </c>
      <c r="E96" s="135">
        <v>6.04</v>
      </c>
      <c r="F96" s="135">
        <v>0.18</v>
      </c>
      <c r="G96" s="208" t="s">
        <v>36</v>
      </c>
      <c r="H96" s="135">
        <v>15.52</v>
      </c>
      <c r="I96" s="135">
        <v>7.64</v>
      </c>
      <c r="J96" s="135">
        <v>0.44</v>
      </c>
      <c r="K96" s="135">
        <v>92.75</v>
      </c>
      <c r="L96" s="9" t="s">
        <v>36</v>
      </c>
      <c r="M96" s="135">
        <v>97.08</v>
      </c>
      <c r="N96" s="135">
        <v>15</v>
      </c>
      <c r="O96" s="135">
        <v>0.40</v>
      </c>
      <c r="P96" s="135">
        <v>4.12</v>
      </c>
      <c r="Q96" s="135">
        <v>17.54</v>
      </c>
      <c r="R96" s="194"/>
      <c r="S96" s="194"/>
      <c r="T96" s="194"/>
      <c r="U96" s="194"/>
      <c r="Z96" s="105"/>
    </row>
    <row r="97" spans="1:21" s="12" customFormat="1" ht="15">
      <c r="A97" s="207" t="s">
        <v>2349</v>
      </c>
      <c r="B97" s="135">
        <v>31.51</v>
      </c>
      <c r="C97" s="135">
        <v>15.97</v>
      </c>
      <c r="D97" s="135">
        <v>47.48</v>
      </c>
      <c r="E97" s="135">
        <v>6.16</v>
      </c>
      <c r="F97" s="135">
        <v>0.08</v>
      </c>
      <c r="G97" s="208" t="s">
        <v>36</v>
      </c>
      <c r="H97" s="135">
        <v>15.84</v>
      </c>
      <c r="I97" s="135">
        <v>8.19</v>
      </c>
      <c r="J97" s="135">
        <v>0.73</v>
      </c>
      <c r="K97" s="135">
        <v>98.14</v>
      </c>
      <c r="L97" s="9" t="s">
        <v>36</v>
      </c>
      <c r="M97" s="135">
        <v>96.22</v>
      </c>
      <c r="N97" s="135">
        <v>15.30</v>
      </c>
      <c r="O97" s="135">
        <v>0.60</v>
      </c>
      <c r="P97" s="135">
        <v>4.12</v>
      </c>
      <c r="Q97" s="135">
        <v>17.98</v>
      </c>
      <c r="R97" s="194"/>
      <c r="S97" s="194"/>
      <c r="T97" s="194"/>
      <c r="U97" s="194"/>
    </row>
    <row r="98" spans="1:21" s="12" customFormat="1" ht="15">
      <c r="A98" s="207" t="s">
        <v>2350</v>
      </c>
      <c r="B98" s="135">
        <v>31.49</v>
      </c>
      <c r="C98" s="135">
        <v>15.35</v>
      </c>
      <c r="D98" s="135">
        <v>46.84</v>
      </c>
      <c r="E98" s="135">
        <v>6.96</v>
      </c>
      <c r="F98" s="135">
        <v>0.16</v>
      </c>
      <c r="G98" s="208" t="s">
        <v>36</v>
      </c>
      <c r="H98" s="135">
        <v>16.63</v>
      </c>
      <c r="I98" s="135">
        <v>8.4700000000000006</v>
      </c>
      <c r="J98" s="135">
        <v>0.10</v>
      </c>
      <c r="K98" s="135">
        <v>263.76</v>
      </c>
      <c r="L98" s="9" t="s">
        <v>36</v>
      </c>
      <c r="M98" s="135">
        <v>98.66</v>
      </c>
      <c r="N98" s="135">
        <v>15</v>
      </c>
      <c r="O98" s="135">
        <v>0.80</v>
      </c>
      <c r="P98" s="135">
        <v>4.0999999999999996</v>
      </c>
      <c r="Q98" s="135">
        <v>18.29</v>
      </c>
      <c r="R98" s="194"/>
      <c r="S98" s="194"/>
      <c r="T98" s="194"/>
      <c r="U98" s="194"/>
    </row>
    <row r="99" spans="1:21" s="12" customFormat="1" ht="15">
      <c r="A99" s="207" t="s">
        <v>2351</v>
      </c>
      <c r="B99" s="135">
        <v>31.70</v>
      </c>
      <c r="C99" s="135">
        <v>14.96</v>
      </c>
      <c r="D99" s="135">
        <v>46.66</v>
      </c>
      <c r="E99" s="135">
        <v>7.23</v>
      </c>
      <c r="F99" s="135">
        <v>0.08</v>
      </c>
      <c r="G99" s="208" t="s">
        <v>36</v>
      </c>
      <c r="H99" s="135">
        <v>16.63</v>
      </c>
      <c r="I99" s="135">
        <v>8.27</v>
      </c>
      <c r="J99" s="135">
        <v>0.10</v>
      </c>
      <c r="K99" s="135">
        <v>274.11</v>
      </c>
      <c r="L99" s="9" t="s">
        <v>36</v>
      </c>
      <c r="M99" s="135">
        <v>99.10</v>
      </c>
      <c r="N99" s="135">
        <v>15.40</v>
      </c>
      <c r="O99" s="135">
        <v>0.80</v>
      </c>
      <c r="P99" s="135">
        <v>4.12</v>
      </c>
      <c r="Q99" s="135">
        <v>18.59</v>
      </c>
      <c r="R99" s="194"/>
      <c r="S99" s="194"/>
      <c r="T99" s="194"/>
      <c r="U99" s="194"/>
    </row>
    <row r="100" spans="1:33" s="12" customFormat="1" ht="15">
      <c r="A100" s="207" t="s">
        <v>2352</v>
      </c>
      <c r="B100" s="135">
        <v>31.35</v>
      </c>
      <c r="C100" s="135">
        <v>14.42</v>
      </c>
      <c r="D100" s="135">
        <v>45.77</v>
      </c>
      <c r="E100" s="135">
        <v>7.09</v>
      </c>
      <c r="F100" s="135">
        <v>0.42</v>
      </c>
      <c r="G100" s="208" t="s">
        <v>36</v>
      </c>
      <c r="H100" s="135">
        <v>16.63</v>
      </c>
      <c r="I100" s="135">
        <v>8.01</v>
      </c>
      <c r="J100" s="135">
        <v>0.17</v>
      </c>
      <c r="K100" s="135">
        <v>208.17</v>
      </c>
      <c r="L100" s="9" t="s">
        <v>36</v>
      </c>
      <c r="M100" s="135">
        <v>99.10</v>
      </c>
      <c r="N100" s="135">
        <v>15.20</v>
      </c>
      <c r="O100" s="135">
        <v>0.40</v>
      </c>
      <c r="P100" s="135">
        <v>4.09</v>
      </c>
      <c r="Q100" s="135">
        <v>18.43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2353</v>
      </c>
      <c r="B101" s="135">
        <v>29.82</v>
      </c>
      <c r="C101" s="135">
        <v>14.76</v>
      </c>
      <c r="D101" s="135">
        <v>44.59</v>
      </c>
      <c r="E101" s="135">
        <v>7.06</v>
      </c>
      <c r="F101" s="135">
        <v>0.10</v>
      </c>
      <c r="G101" s="208" t="s">
        <v>36</v>
      </c>
      <c r="H101" s="135">
        <v>16.80</v>
      </c>
      <c r="I101" s="135">
        <v>8.5500000000000007</v>
      </c>
      <c r="J101" s="135">
        <v>0.05</v>
      </c>
      <c r="K101" s="135">
        <v>323.79000000000002</v>
      </c>
      <c r="L101" s="9" t="s">
        <v>36</v>
      </c>
      <c r="M101" s="135">
        <v>99.10</v>
      </c>
      <c r="N101" s="135">
        <v>15.30</v>
      </c>
      <c r="O101" s="135">
        <v>0.80</v>
      </c>
      <c r="P101" s="135">
        <v>4.07</v>
      </c>
      <c r="Q101" s="135">
        <v>18.260000000000002</v>
      </c>
      <c r="R101" s="194"/>
      <c r="S101" s="194"/>
      <c r="T101" s="194"/>
      <c r="U101" s="194"/>
    </row>
    <row r="102" spans="1:21" s="12" customFormat="1" ht="15">
      <c r="A102" s="207" t="s">
        <v>2354</v>
      </c>
      <c r="B102" s="135">
        <v>28.60</v>
      </c>
      <c r="C102" s="135">
        <v>14.65</v>
      </c>
      <c r="D102" s="135">
        <v>43.25</v>
      </c>
      <c r="E102" s="135">
        <v>6.79</v>
      </c>
      <c r="F102" s="135">
        <v>0.19</v>
      </c>
      <c r="G102" s="208" t="s">
        <v>36</v>
      </c>
      <c r="H102" s="135">
        <v>17.21</v>
      </c>
      <c r="I102" s="135">
        <v>8.3699999999999992</v>
      </c>
      <c r="J102" s="135">
        <v>0.03</v>
      </c>
      <c r="K102" s="135">
        <v>221.05</v>
      </c>
      <c r="L102" s="9" t="s">
        <v>36</v>
      </c>
      <c r="M102" s="135">
        <v>99.10</v>
      </c>
      <c r="N102" s="135">
        <v>15.40</v>
      </c>
      <c r="O102" s="135">
        <v>0.60</v>
      </c>
      <c r="P102" s="135">
        <v>4.03</v>
      </c>
      <c r="Q102" s="135">
        <v>17.34</v>
      </c>
      <c r="R102" s="194"/>
      <c r="S102" s="194"/>
      <c r="T102" s="194"/>
      <c r="U102" s="194"/>
    </row>
    <row r="103" spans="1:21" s="12" customFormat="1" ht="15">
      <c r="A103" s="207" t="s">
        <v>2355</v>
      </c>
      <c r="B103" s="135">
        <v>26.96</v>
      </c>
      <c r="C103" s="135">
        <v>14.68</v>
      </c>
      <c r="D103" s="135">
        <v>41.64</v>
      </c>
      <c r="E103" s="135">
        <v>6.38</v>
      </c>
      <c r="F103" s="135">
        <v>0.12</v>
      </c>
      <c r="G103" s="208" t="s">
        <v>36</v>
      </c>
      <c r="H103" s="135">
        <v>17.21</v>
      </c>
      <c r="I103" s="135">
        <v>8.33</v>
      </c>
      <c r="J103" s="135">
        <v>0.070000000000000007</v>
      </c>
      <c r="K103" s="135">
        <v>19.079999999999998</v>
      </c>
      <c r="L103" s="9" t="s">
        <v>36</v>
      </c>
      <c r="M103" s="135">
        <v>99.10</v>
      </c>
      <c r="N103" s="135">
        <v>15.70</v>
      </c>
      <c r="O103" s="135">
        <v>0.20</v>
      </c>
      <c r="P103" s="135">
        <v>3.97</v>
      </c>
      <c r="Q103" s="135">
        <v>16.5</v>
      </c>
      <c r="R103" s="194"/>
      <c r="S103" s="194"/>
      <c r="T103" s="194"/>
      <c r="U103" s="194"/>
    </row>
    <row r="104" spans="1:21" s="12" customFormat="1" ht="15">
      <c r="A104" s="209" t="s">
        <v>2356</v>
      </c>
      <c r="B104" s="210">
        <v>24.95</v>
      </c>
      <c r="C104" s="210">
        <v>14.57</v>
      </c>
      <c r="D104" s="210">
        <v>39.520000000000003</v>
      </c>
      <c r="E104" s="210">
        <v>2.67</v>
      </c>
      <c r="F104" s="210">
        <v>0.08</v>
      </c>
      <c r="G104" s="211" t="s">
        <v>36</v>
      </c>
      <c r="H104" s="210">
        <v>17.21</v>
      </c>
      <c r="I104" s="210">
        <v>8.26</v>
      </c>
      <c r="J104" s="210">
        <v>0.12</v>
      </c>
      <c r="K104" s="210">
        <v>184</v>
      </c>
      <c r="L104" s="9" t="s">
        <v>36</v>
      </c>
      <c r="M104" s="210">
        <v>99.10</v>
      </c>
      <c r="N104" s="210">
        <v>15.40</v>
      </c>
      <c r="O104" s="210">
        <v>0</v>
      </c>
      <c r="P104" s="210">
        <v>3.91</v>
      </c>
      <c r="Q104" s="210">
        <v>15.64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3.1899999999999999</v>
      </c>
      <c r="C106" s="67">
        <f>MIN(C9:C104)</f>
        <v>9.6999999999999993</v>
      </c>
      <c r="D106" s="67">
        <f t="shared" si="0" ref="D106:Q106">MIN(D9:D104)</f>
        <v>14.44</v>
      </c>
      <c r="E106" s="67">
        <f t="shared" si="0"/>
        <v>1.0600000000000001</v>
      </c>
      <c r="F106" s="67">
        <f t="shared" si="0"/>
        <v>0.01</v>
      </c>
      <c r="G106" s="67">
        <f t="shared" si="0"/>
        <v>0</v>
      </c>
      <c r="H106" s="67">
        <f t="shared" si="0"/>
        <v>7.8200000000000003</v>
      </c>
      <c r="I106" s="67">
        <f t="shared" si="0"/>
        <v>3.0299999999999998</v>
      </c>
      <c r="J106" s="67">
        <f t="shared" si="0"/>
        <v>0</v>
      </c>
      <c r="K106" s="67">
        <f t="shared" si="0"/>
        <v>0.25</v>
      </c>
      <c r="L106" s="67">
        <f t="shared" si="0"/>
        <v>0</v>
      </c>
      <c r="M106" s="67">
        <f t="shared" si="0"/>
        <v>67.209999999999994</v>
      </c>
      <c r="N106" s="67">
        <f t="shared" si="0"/>
        <v>14.6</v>
      </c>
      <c r="O106" s="67">
        <f t="shared" si="0"/>
        <v>0</v>
      </c>
      <c r="P106" s="67">
        <f t="shared" si="0"/>
        <v>2.9300000000000002</v>
      </c>
      <c r="Q106" s="67">
        <f t="shared" si="0"/>
        <v>4.4100000000000001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31.699999999999999</v>
      </c>
      <c r="C107" s="66">
        <f t="shared" si="1" ref="C107:Q107">MAX(C9:C104)</f>
        <v>25.699999999999999</v>
      </c>
      <c r="D107" s="66">
        <f t="shared" si="1"/>
        <v>48.420000000000002</v>
      </c>
      <c r="E107" s="66">
        <f t="shared" si="1"/>
        <v>7.2300000000000004</v>
      </c>
      <c r="F107" s="66">
        <f t="shared" si="1"/>
        <v>2.75</v>
      </c>
      <c r="G107" s="66">
        <f t="shared" si="1"/>
        <v>0</v>
      </c>
      <c r="H107" s="66">
        <f t="shared" si="1"/>
        <v>19.969999999999999</v>
      </c>
      <c r="I107" s="66">
        <f t="shared" si="1"/>
        <v>9.3399999999999999</v>
      </c>
      <c r="J107" s="66">
        <f t="shared" si="1"/>
        <v>1.53</v>
      </c>
      <c r="K107" s="66">
        <f t="shared" si="1"/>
        <v>359.32999999999998</v>
      </c>
      <c r="L107" s="66">
        <f t="shared" si="1"/>
        <v>0</v>
      </c>
      <c r="M107" s="66">
        <f t="shared" si="1"/>
        <v>99.099999999999994</v>
      </c>
      <c r="N107" s="66">
        <f t="shared" si="1"/>
        <v>847</v>
      </c>
      <c r="O107" s="66">
        <f t="shared" si="1"/>
        <v>0.80000000000000004</v>
      </c>
      <c r="P107" s="66">
        <f t="shared" si="1"/>
        <v>4.1200000000000001</v>
      </c>
      <c r="Q107" s="66">
        <f t="shared" si="1"/>
        <v>18.59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11.261249999999999</v>
      </c>
      <c r="C108" s="67">
        <f t="shared" si="2" ref="C108:Q108">AVERAGE(C9:C104)</f>
        <v>15.166562499999998</v>
      </c>
      <c r="D108" s="67">
        <f t="shared" si="2"/>
        <v>26.427395833333339</v>
      </c>
      <c r="E108" s="67">
        <f t="shared" si="2"/>
        <v>4.8883333333333328</v>
      </c>
      <c r="F108" s="67">
        <f t="shared" si="2"/>
        <v>0.43881720430107513</v>
      </c>
      <c r="G108" s="67" t="e">
        <f t="shared" si="2"/>
        <v>#DIV/0!</v>
      </c>
      <c r="H108" s="67">
        <f t="shared" si="2"/>
        <v>14.365937500000001</v>
      </c>
      <c r="I108" s="67">
        <f t="shared" si="2"/>
        <v>5.8957291666666629</v>
      </c>
      <c r="J108" s="67">
        <f t="shared" si="2"/>
        <v>0.3361458333333332</v>
      </c>
      <c r="K108" s="67">
        <f t="shared" si="2"/>
        <v>236.9038541666666</v>
      </c>
      <c r="L108" s="67" t="e">
        <f t="shared" si="2"/>
        <v>#DIV/0!</v>
      </c>
      <c r="M108" s="67">
        <f t="shared" si="2"/>
        <v>88.402187500000025</v>
      </c>
      <c r="N108" s="67">
        <f t="shared" si="2"/>
        <v>143.1479166666667</v>
      </c>
      <c r="O108" s="67">
        <f t="shared" si="2"/>
        <v>0.068749999999999992</v>
      </c>
      <c r="P108" s="67">
        <f t="shared" si="2"/>
        <v>3.3314583333333321</v>
      </c>
      <c r="Q108" s="67">
        <f t="shared" si="2"/>
        <v>8.0690624999999994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8.5546683161885362</v>
      </c>
      <c r="C109" s="67">
        <f t="shared" si="3" ref="C109:Q109">STDEV(C9:C104)</f>
        <v>4.2378283485580459</v>
      </c>
      <c r="D109" s="67">
        <f t="shared" si="3"/>
        <v>9.5922014645441838</v>
      </c>
      <c r="E109" s="67">
        <f t="shared" si="3"/>
        <v>1.656509117433514</v>
      </c>
      <c r="F109" s="67">
        <f t="shared" si="3"/>
        <v>0.58837441765679177</v>
      </c>
      <c r="G109" s="67" t="e">
        <f t="shared" si="3"/>
        <v>#DIV/0!</v>
      </c>
      <c r="H109" s="67">
        <f t="shared" si="3"/>
        <v>3.1759138189702543</v>
      </c>
      <c r="I109" s="67">
        <f t="shared" si="3"/>
        <v>1.678237637518146</v>
      </c>
      <c r="J109" s="67">
        <f t="shared" si="3"/>
        <v>0.39183876864602762</v>
      </c>
      <c r="K109" s="67">
        <f t="shared" si="3"/>
        <v>124.60920822922914</v>
      </c>
      <c r="L109" s="67" t="e">
        <f t="shared" si="3"/>
        <v>#DIV/0!</v>
      </c>
      <c r="M109" s="67">
        <f t="shared" si="3"/>
        <v>8.4388925692920527</v>
      </c>
      <c r="N109" s="67">
        <f t="shared" si="3"/>
        <v>189.12574484727114</v>
      </c>
      <c r="O109" s="67">
        <f t="shared" si="3"/>
        <v>0.18313785431802607</v>
      </c>
      <c r="P109" s="67">
        <f t="shared" si="3"/>
        <v>0.35457010046020676</v>
      </c>
      <c r="Q109" s="67">
        <f t="shared" si="3"/>
        <v>4.1855742429708576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>COUNT(F9:F104)+3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6905d0-e0f1-4ba4-b7c5-d8a600307d04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110" sqref="L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23-07-2022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2357</v>
      </c>
      <c r="B9" s="135">
        <v>23.09</v>
      </c>
      <c r="C9" s="135">
        <v>14.02</v>
      </c>
      <c r="D9" s="135">
        <v>37.11</v>
      </c>
      <c r="E9" s="135">
        <v>6.32</v>
      </c>
      <c r="F9" s="135">
        <v>0.12</v>
      </c>
      <c r="G9" s="208" t="s">
        <v>36</v>
      </c>
      <c r="H9" s="135">
        <v>15.87</v>
      </c>
      <c r="I9" s="135">
        <v>8.17</v>
      </c>
      <c r="J9" s="135">
        <v>0.17</v>
      </c>
      <c r="K9" s="135">
        <v>202.08</v>
      </c>
      <c r="L9" s="9" t="s">
        <v>36</v>
      </c>
      <c r="M9" s="135">
        <v>99.10</v>
      </c>
      <c r="N9" s="135">
        <v>15.30</v>
      </c>
      <c r="O9" s="135">
        <v>0</v>
      </c>
      <c r="P9" s="135">
        <v>3.86</v>
      </c>
      <c r="Q9" s="135">
        <v>14.82</v>
      </c>
      <c r="R9" s="194"/>
      <c r="S9" s="194"/>
      <c r="T9" s="194"/>
      <c r="U9" s="194"/>
    </row>
    <row r="10" spans="1:21" s="12" customFormat="1" ht="15">
      <c r="A10" s="207" t="s">
        <v>2358</v>
      </c>
      <c r="B10" s="135">
        <v>21.56</v>
      </c>
      <c r="C10" s="135">
        <v>14.03</v>
      </c>
      <c r="D10" s="135">
        <v>35.58</v>
      </c>
      <c r="E10" s="135">
        <v>5.81</v>
      </c>
      <c r="F10" s="135">
        <v>0.62</v>
      </c>
      <c r="G10" s="208" t="s">
        <v>36</v>
      </c>
      <c r="H10" s="135">
        <v>12.57</v>
      </c>
      <c r="I10" s="135">
        <v>8.18</v>
      </c>
      <c r="J10" s="135">
        <v>0.16</v>
      </c>
      <c r="K10" s="135">
        <v>179.64</v>
      </c>
      <c r="L10" s="9" t="s">
        <v>36</v>
      </c>
      <c r="M10" s="135">
        <v>99.10</v>
      </c>
      <c r="N10" s="135">
        <v>15.30</v>
      </c>
      <c r="O10" s="135">
        <v>0</v>
      </c>
      <c r="P10" s="135">
        <v>3.81</v>
      </c>
      <c r="Q10" s="135">
        <v>14.21</v>
      </c>
      <c r="R10" s="194"/>
      <c r="S10" s="194"/>
      <c r="T10" s="194"/>
      <c r="U10" s="194"/>
    </row>
    <row r="11" spans="1:21" s="12" customFormat="1" ht="15">
      <c r="A11" s="207" t="s">
        <v>2359</v>
      </c>
      <c r="B11" s="135">
        <v>20.77</v>
      </c>
      <c r="C11" s="135">
        <v>13.36</v>
      </c>
      <c r="D11" s="135">
        <v>34.130000000000003</v>
      </c>
      <c r="E11" s="135">
        <v>6.04</v>
      </c>
      <c r="F11" s="135">
        <v>0.44</v>
      </c>
      <c r="G11" s="208" t="s">
        <v>36</v>
      </c>
      <c r="H11" s="135">
        <v>12.57</v>
      </c>
      <c r="I11" s="135">
        <v>8.2799999999999994</v>
      </c>
      <c r="J11" s="135">
        <v>0.08</v>
      </c>
      <c r="K11" s="135">
        <v>221.15</v>
      </c>
      <c r="L11" s="9" t="s">
        <v>36</v>
      </c>
      <c r="M11" s="135">
        <v>99.10</v>
      </c>
      <c r="N11" s="135">
        <v>15.30</v>
      </c>
      <c r="O11" s="135">
        <v>0</v>
      </c>
      <c r="P11" s="135">
        <v>3.78</v>
      </c>
      <c r="Q11" s="135">
        <v>13.66</v>
      </c>
      <c r="R11" s="194"/>
      <c r="S11" s="194"/>
      <c r="T11" s="194"/>
      <c r="U11" s="194"/>
    </row>
    <row r="12" spans="1:21" s="12" customFormat="1" ht="15">
      <c r="A12" s="207" t="s">
        <v>2360</v>
      </c>
      <c r="B12" s="135">
        <v>20.20</v>
      </c>
      <c r="C12" s="135">
        <v>12.69</v>
      </c>
      <c r="D12" s="135">
        <v>32.89</v>
      </c>
      <c r="E12" s="135">
        <v>6.53</v>
      </c>
      <c r="F12" s="135">
        <v>0.13</v>
      </c>
      <c r="G12" s="208" t="s">
        <v>36</v>
      </c>
      <c r="H12" s="135">
        <v>12.57</v>
      </c>
      <c r="I12" s="135">
        <v>8.52</v>
      </c>
      <c r="J12" s="135">
        <v>0.36</v>
      </c>
      <c r="K12" s="135">
        <v>159.27000000000001</v>
      </c>
      <c r="L12" s="9" t="s">
        <v>36</v>
      </c>
      <c r="M12" s="135">
        <v>99.10</v>
      </c>
      <c r="N12" s="135">
        <v>15.20</v>
      </c>
      <c r="O12" s="135">
        <v>0</v>
      </c>
      <c r="P12" s="135">
        <v>3.76</v>
      </c>
      <c r="Q12" s="135">
        <v>13.32</v>
      </c>
      <c r="R12" s="194"/>
      <c r="S12" s="194"/>
      <c r="T12" s="194"/>
      <c r="U12" s="194"/>
    </row>
    <row r="13" spans="1:21" s="12" customFormat="1" ht="15">
      <c r="A13" s="207" t="s">
        <v>2361</v>
      </c>
      <c r="B13" s="135">
        <v>19.649999999999999</v>
      </c>
      <c r="C13" s="135">
        <v>12.22</v>
      </c>
      <c r="D13" s="135">
        <v>31.87</v>
      </c>
      <c r="E13" s="135">
        <v>6.36</v>
      </c>
      <c r="F13" s="135">
        <v>0.18</v>
      </c>
      <c r="G13" s="208" t="s">
        <v>36</v>
      </c>
      <c r="H13" s="135">
        <v>13.78</v>
      </c>
      <c r="I13" s="135">
        <v>8.43</v>
      </c>
      <c r="J13" s="135">
        <v>0.06</v>
      </c>
      <c r="K13" s="135">
        <v>169.58</v>
      </c>
      <c r="L13" s="9" t="s">
        <v>36</v>
      </c>
      <c r="M13" s="135">
        <v>99.10</v>
      </c>
      <c r="N13" s="135">
        <v>15.20</v>
      </c>
      <c r="O13" s="135">
        <v>0</v>
      </c>
      <c r="P13" s="135">
        <v>3.74</v>
      </c>
      <c r="Q13" s="135">
        <v>13.15</v>
      </c>
      <c r="R13" s="194"/>
      <c r="S13" s="194"/>
      <c r="T13" s="194"/>
      <c r="U13" s="194"/>
    </row>
    <row r="14" spans="1:21" s="12" customFormat="1" ht="15">
      <c r="A14" s="207" t="s">
        <v>2362</v>
      </c>
      <c r="B14" s="135">
        <v>19.28</v>
      </c>
      <c r="C14" s="135">
        <v>11.80</v>
      </c>
      <c r="D14" s="135">
        <v>31.07</v>
      </c>
      <c r="E14" s="135">
        <v>6.62</v>
      </c>
      <c r="F14" s="135">
        <v>1.60</v>
      </c>
      <c r="G14" s="208" t="s">
        <v>36</v>
      </c>
      <c r="H14" s="135">
        <v>16.739999999999998</v>
      </c>
      <c r="I14" s="135">
        <v>8.40</v>
      </c>
      <c r="J14" s="135">
        <v>0.08</v>
      </c>
      <c r="K14" s="135">
        <v>228.70</v>
      </c>
      <c r="L14" s="9" t="s">
        <v>36</v>
      </c>
      <c r="M14" s="135">
        <v>99.10</v>
      </c>
      <c r="N14" s="135">
        <v>15.40</v>
      </c>
      <c r="O14" s="135">
        <v>0</v>
      </c>
      <c r="P14" s="135">
        <v>3.71</v>
      </c>
      <c r="Q14" s="135">
        <v>13.03</v>
      </c>
      <c r="R14" s="194"/>
      <c r="S14" s="194"/>
      <c r="T14" s="194"/>
      <c r="U14" s="194"/>
    </row>
    <row r="15" spans="1:21" s="12" customFormat="1" ht="15">
      <c r="A15" s="207" t="s">
        <v>2363</v>
      </c>
      <c r="B15" s="135">
        <v>18.87</v>
      </c>
      <c r="C15" s="135">
        <v>11.47</v>
      </c>
      <c r="D15" s="135">
        <v>30.34</v>
      </c>
      <c r="E15" s="135">
        <v>6.70</v>
      </c>
      <c r="F15" s="135">
        <v>0.17</v>
      </c>
      <c r="G15" s="208" t="s">
        <v>36</v>
      </c>
      <c r="H15" s="135">
        <v>16.739999999999998</v>
      </c>
      <c r="I15" s="135">
        <v>8.42</v>
      </c>
      <c r="J15" s="135">
        <v>0.070000000000000007</v>
      </c>
      <c r="K15" s="135">
        <v>237.78</v>
      </c>
      <c r="L15" s="9" t="s">
        <v>36</v>
      </c>
      <c r="M15" s="135">
        <v>99.10</v>
      </c>
      <c r="N15" s="135">
        <v>15.30</v>
      </c>
      <c r="O15" s="135">
        <v>0</v>
      </c>
      <c r="P15" s="135">
        <v>3.70</v>
      </c>
      <c r="Q15" s="135">
        <v>12.91</v>
      </c>
      <c r="R15" s="194"/>
      <c r="S15" s="194"/>
      <c r="T15" s="194"/>
      <c r="U15" s="194"/>
    </row>
    <row r="16" spans="1:21" s="12" customFormat="1" ht="15">
      <c r="A16" s="207" t="s">
        <v>2364</v>
      </c>
      <c r="B16" s="135">
        <v>18.57</v>
      </c>
      <c r="C16" s="135">
        <v>11.04</v>
      </c>
      <c r="D16" s="135">
        <v>29.62</v>
      </c>
      <c r="E16" s="135">
        <v>6.70</v>
      </c>
      <c r="F16" s="135">
        <v>0.03</v>
      </c>
      <c r="G16" s="208" t="s">
        <v>36</v>
      </c>
      <c r="H16" s="135">
        <v>16.739999999999998</v>
      </c>
      <c r="I16" s="135">
        <v>8.42</v>
      </c>
      <c r="J16" s="135">
        <v>0.05</v>
      </c>
      <c r="K16" s="135">
        <v>286.67</v>
      </c>
      <c r="L16" s="9" t="s">
        <v>36</v>
      </c>
      <c r="M16" s="135">
        <v>99.10</v>
      </c>
      <c r="N16" s="135">
        <v>15.40</v>
      </c>
      <c r="O16" s="135">
        <v>0</v>
      </c>
      <c r="P16" s="135">
        <v>3.66</v>
      </c>
      <c r="Q16" s="135">
        <v>12.93</v>
      </c>
      <c r="R16" s="194"/>
      <c r="S16" s="194"/>
      <c r="T16" s="194"/>
      <c r="U16" s="194"/>
    </row>
    <row r="17" spans="1:21" s="12" customFormat="1" ht="15">
      <c r="A17" s="207" t="s">
        <v>2365</v>
      </c>
      <c r="B17" s="135">
        <v>18.23</v>
      </c>
      <c r="C17" s="135">
        <v>10.94</v>
      </c>
      <c r="D17" s="135">
        <v>29.17</v>
      </c>
      <c r="E17" s="135">
        <v>6.93</v>
      </c>
      <c r="F17" s="135">
        <v>0.14000000000000001</v>
      </c>
      <c r="G17" s="208" t="s">
        <v>36</v>
      </c>
      <c r="H17" s="135">
        <v>15.32</v>
      </c>
      <c r="I17" s="135">
        <v>8.48</v>
      </c>
      <c r="J17" s="135">
        <v>0.070000000000000007</v>
      </c>
      <c r="K17" s="135">
        <v>285.80</v>
      </c>
      <c r="L17" s="9" t="s">
        <v>36</v>
      </c>
      <c r="M17" s="135">
        <v>99.10</v>
      </c>
      <c r="N17" s="135">
        <v>15.20</v>
      </c>
      <c r="O17" s="135">
        <v>0</v>
      </c>
      <c r="P17" s="135">
        <v>3.66</v>
      </c>
      <c r="Q17" s="135">
        <v>12.87</v>
      </c>
      <c r="R17" s="194"/>
      <c r="S17" s="194"/>
      <c r="T17" s="194"/>
      <c r="U17" s="194"/>
    </row>
    <row r="18" spans="1:21" s="12" customFormat="1" ht="15">
      <c r="A18" s="207" t="s">
        <v>2366</v>
      </c>
      <c r="B18" s="135">
        <v>17.84</v>
      </c>
      <c r="C18" s="135">
        <v>10.5</v>
      </c>
      <c r="D18" s="135">
        <v>28.34</v>
      </c>
      <c r="E18" s="135">
        <v>6.83</v>
      </c>
      <c r="F18" s="135">
        <v>0.26</v>
      </c>
      <c r="G18" s="208" t="s">
        <v>36</v>
      </c>
      <c r="H18" s="135">
        <v>11.83</v>
      </c>
      <c r="I18" s="135">
        <v>7.91</v>
      </c>
      <c r="J18" s="135">
        <v>0.04</v>
      </c>
      <c r="K18" s="135">
        <v>333.22</v>
      </c>
      <c r="L18" s="9" t="s">
        <v>36</v>
      </c>
      <c r="M18" s="135">
        <v>99.10</v>
      </c>
      <c r="N18" s="135">
        <v>15.30</v>
      </c>
      <c r="O18" s="135">
        <v>0</v>
      </c>
      <c r="P18" s="135">
        <v>3.61</v>
      </c>
      <c r="Q18" s="135">
        <v>12.57</v>
      </c>
      <c r="R18" s="194"/>
      <c r="S18" s="194"/>
      <c r="T18" s="194"/>
      <c r="U18" s="194"/>
    </row>
    <row r="19" spans="1:21" s="12" customFormat="1" ht="15">
      <c r="A19" s="207" t="s">
        <v>2367</v>
      </c>
      <c r="B19" s="135">
        <v>17.059999999999999</v>
      </c>
      <c r="C19" s="135">
        <v>10.42</v>
      </c>
      <c r="D19" s="135">
        <v>27.48</v>
      </c>
      <c r="E19" s="135">
        <v>6.68</v>
      </c>
      <c r="F19" s="135">
        <v>0.19</v>
      </c>
      <c r="G19" s="208" t="s">
        <v>36</v>
      </c>
      <c r="H19" s="135">
        <v>11.83</v>
      </c>
      <c r="I19" s="135">
        <v>8.39</v>
      </c>
      <c r="J19" s="135">
        <v>0.070000000000000007</v>
      </c>
      <c r="K19" s="135">
        <v>221.69</v>
      </c>
      <c r="L19" s="9" t="s">
        <v>36</v>
      </c>
      <c r="M19" s="135">
        <v>99.10</v>
      </c>
      <c r="N19" s="135">
        <v>15.30</v>
      </c>
      <c r="O19" s="135">
        <v>0.20</v>
      </c>
      <c r="P19" s="135">
        <v>3.56</v>
      </c>
      <c r="Q19" s="135">
        <v>12.57</v>
      </c>
      <c r="R19" s="194"/>
      <c r="S19" s="194"/>
      <c r="T19" s="194"/>
      <c r="U19" s="194"/>
    </row>
    <row r="20" spans="1:21" s="12" customFormat="1" ht="15">
      <c r="A20" s="207" t="s">
        <v>2368</v>
      </c>
      <c r="B20" s="135">
        <v>16.149999999999999</v>
      </c>
      <c r="C20" s="135">
        <v>10.44</v>
      </c>
      <c r="D20" s="135">
        <v>26.59</v>
      </c>
      <c r="E20" s="135">
        <v>6.71</v>
      </c>
      <c r="F20" s="135">
        <v>0.28999999999999998</v>
      </c>
      <c r="G20" s="208" t="s">
        <v>36</v>
      </c>
      <c r="H20" s="135">
        <v>11.83</v>
      </c>
      <c r="I20" s="135">
        <v>8.2200000000000006</v>
      </c>
      <c r="J20" s="135">
        <v>0.11</v>
      </c>
      <c r="K20" s="135">
        <v>227.23</v>
      </c>
      <c r="L20" s="9" t="s">
        <v>36</v>
      </c>
      <c r="M20" s="135">
        <v>99.10</v>
      </c>
      <c r="N20" s="135">
        <v>15.40</v>
      </c>
      <c r="O20" s="135">
        <v>0</v>
      </c>
      <c r="P20" s="135">
        <v>3.52</v>
      </c>
      <c r="Q20" s="135">
        <v>11.96</v>
      </c>
      <c r="R20" s="194"/>
      <c r="S20" s="194"/>
      <c r="T20" s="194"/>
      <c r="U20" s="194"/>
    </row>
    <row r="21" spans="1:21" s="12" customFormat="1" ht="15">
      <c r="A21" s="207" t="s">
        <v>2369</v>
      </c>
      <c r="B21" s="135">
        <v>15.11</v>
      </c>
      <c r="C21" s="135">
        <v>10.76</v>
      </c>
      <c r="D21" s="135">
        <v>25.87</v>
      </c>
      <c r="E21" s="135">
        <v>6.87</v>
      </c>
      <c r="F21" s="135">
        <v>0.63</v>
      </c>
      <c r="G21" s="208" t="s">
        <v>36</v>
      </c>
      <c r="H21" s="135">
        <v>10.90</v>
      </c>
      <c r="I21" s="135">
        <v>7.95</v>
      </c>
      <c r="J21" s="135">
        <v>0.13</v>
      </c>
      <c r="K21" s="135">
        <v>210.87</v>
      </c>
      <c r="L21" s="9" t="s">
        <v>36</v>
      </c>
      <c r="M21" s="135">
        <v>99.10</v>
      </c>
      <c r="N21" s="135">
        <v>15.40</v>
      </c>
      <c r="O21" s="135">
        <v>0</v>
      </c>
      <c r="P21" s="135">
        <v>3.49</v>
      </c>
      <c r="Q21" s="135">
        <v>11.59</v>
      </c>
      <c r="R21" s="194"/>
      <c r="S21" s="194"/>
      <c r="T21" s="194"/>
      <c r="U21" s="194"/>
    </row>
    <row r="22" spans="1:21" s="12" customFormat="1" ht="15">
      <c r="A22" s="207" t="s">
        <v>2370</v>
      </c>
      <c r="B22" s="135">
        <v>14.45</v>
      </c>
      <c r="C22" s="135">
        <v>10.57</v>
      </c>
      <c r="D22" s="135">
        <v>25.02</v>
      </c>
      <c r="E22" s="135">
        <v>6.23</v>
      </c>
      <c r="F22" s="135">
        <v>0.10</v>
      </c>
      <c r="G22" s="208" t="s">
        <v>36</v>
      </c>
      <c r="H22" s="135">
        <v>8.61</v>
      </c>
      <c r="I22" s="135">
        <v>7.77</v>
      </c>
      <c r="J22" s="135">
        <v>0.08</v>
      </c>
      <c r="K22" s="135">
        <v>208.89</v>
      </c>
      <c r="L22" s="9" t="s">
        <v>36</v>
      </c>
      <c r="M22" s="135">
        <v>99.10</v>
      </c>
      <c r="N22" s="135">
        <v>15.5</v>
      </c>
      <c r="O22" s="135">
        <v>0</v>
      </c>
      <c r="P22" s="135">
        <v>3.45</v>
      </c>
      <c r="Q22" s="135">
        <v>10.99</v>
      </c>
      <c r="R22" s="194"/>
      <c r="S22" s="194"/>
      <c r="T22" s="194"/>
      <c r="U22" s="194"/>
    </row>
    <row r="23" spans="1:21" s="12" customFormat="1" ht="15">
      <c r="A23" s="207" t="s">
        <v>2371</v>
      </c>
      <c r="B23" s="135">
        <v>13.76</v>
      </c>
      <c r="C23" s="135">
        <v>10.60</v>
      </c>
      <c r="D23" s="135">
        <v>24.36</v>
      </c>
      <c r="E23" s="135">
        <v>6.69</v>
      </c>
      <c r="F23" s="135">
        <v>0.22</v>
      </c>
      <c r="G23" s="208" t="s">
        <v>36</v>
      </c>
      <c r="H23" s="135">
        <v>8.61</v>
      </c>
      <c r="I23" s="135">
        <v>7.70</v>
      </c>
      <c r="J23" s="135">
        <v>0.070000000000000007</v>
      </c>
      <c r="K23" s="135">
        <v>228.79</v>
      </c>
      <c r="L23" s="9" t="s">
        <v>36</v>
      </c>
      <c r="M23" s="135">
        <v>99.10</v>
      </c>
      <c r="N23" s="135">
        <v>15.5</v>
      </c>
      <c r="O23" s="135">
        <v>0</v>
      </c>
      <c r="P23" s="135">
        <v>3.42</v>
      </c>
      <c r="Q23" s="135">
        <v>10.55</v>
      </c>
      <c r="R23" s="194"/>
      <c r="S23" s="194"/>
      <c r="T23" s="194"/>
      <c r="U23" s="194"/>
    </row>
    <row r="24" spans="1:21" s="12" customFormat="1" ht="15">
      <c r="A24" s="207" t="s">
        <v>2372</v>
      </c>
      <c r="B24" s="135">
        <v>12.93</v>
      </c>
      <c r="C24" s="135">
        <v>10.98</v>
      </c>
      <c r="D24" s="135">
        <v>23.91</v>
      </c>
      <c r="E24" s="135">
        <v>3.48</v>
      </c>
      <c r="F24" s="135">
        <v>0.03</v>
      </c>
      <c r="G24" s="208" t="s">
        <v>36</v>
      </c>
      <c r="H24" s="135">
        <v>8.61</v>
      </c>
      <c r="I24" s="135">
        <v>7.54</v>
      </c>
      <c r="J24" s="135">
        <v>0.070000000000000007</v>
      </c>
      <c r="K24" s="135">
        <v>258.24</v>
      </c>
      <c r="L24" s="9" t="s">
        <v>36</v>
      </c>
      <c r="M24" s="135">
        <v>99.10</v>
      </c>
      <c r="N24" s="135">
        <v>15.40</v>
      </c>
      <c r="O24" s="135">
        <v>0</v>
      </c>
      <c r="P24" s="135">
        <v>3.39</v>
      </c>
      <c r="Q24" s="135">
        <v>10.39</v>
      </c>
      <c r="R24" s="194"/>
      <c r="S24" s="194"/>
      <c r="T24" s="194"/>
      <c r="U24" s="194"/>
    </row>
    <row r="25" spans="1:21" s="12" customFormat="1" ht="15">
      <c r="A25" s="207" t="s">
        <v>2373</v>
      </c>
      <c r="B25" s="135">
        <v>12.59</v>
      </c>
      <c r="C25" s="135">
        <v>11.16</v>
      </c>
      <c r="D25" s="135">
        <v>23.75</v>
      </c>
      <c r="E25" s="135">
        <v>6.65</v>
      </c>
      <c r="F25" s="135">
        <v>0.15</v>
      </c>
      <c r="G25" s="208" t="s">
        <v>36</v>
      </c>
      <c r="H25" s="135">
        <v>8.48</v>
      </c>
      <c r="I25" s="135">
        <v>7.40</v>
      </c>
      <c r="J25" s="135">
        <v>0.16</v>
      </c>
      <c r="K25" s="135">
        <v>300.97000000000003</v>
      </c>
      <c r="L25" s="9" t="s">
        <v>36</v>
      </c>
      <c r="M25" s="135">
        <v>99.10</v>
      </c>
      <c r="N25" s="135">
        <v>15.5</v>
      </c>
      <c r="O25" s="135">
        <v>0</v>
      </c>
      <c r="P25" s="135">
        <v>3.37</v>
      </c>
      <c r="Q25" s="135">
        <v>10.119999999999999</v>
      </c>
      <c r="R25" s="194"/>
      <c r="S25" s="194"/>
      <c r="T25" s="194"/>
      <c r="U25" s="194"/>
    </row>
    <row r="26" spans="1:21" s="12" customFormat="1" ht="15">
      <c r="A26" s="207" t="s">
        <v>2374</v>
      </c>
      <c r="B26" s="135">
        <v>12.68</v>
      </c>
      <c r="C26" s="135">
        <v>10.81</v>
      </c>
      <c r="D26" s="135">
        <v>23.49</v>
      </c>
      <c r="E26" s="135">
        <v>6.99</v>
      </c>
      <c r="F26" s="135">
        <v>0.08</v>
      </c>
      <c r="G26" s="208" t="s">
        <v>36</v>
      </c>
      <c r="H26" s="135">
        <v>8.1199999999999992</v>
      </c>
      <c r="I26" s="135">
        <v>7.28</v>
      </c>
      <c r="J26" s="135">
        <v>0.10</v>
      </c>
      <c r="K26" s="135">
        <v>320.54000000000002</v>
      </c>
      <c r="L26" s="9" t="s">
        <v>36</v>
      </c>
      <c r="M26" s="135">
        <v>99.10</v>
      </c>
      <c r="N26" s="135">
        <v>15.70</v>
      </c>
      <c r="O26" s="135">
        <v>0</v>
      </c>
      <c r="P26" s="135">
        <v>3.36</v>
      </c>
      <c r="Q26" s="135">
        <v>10.01</v>
      </c>
      <c r="R26" s="194"/>
      <c r="S26" s="194"/>
      <c r="T26" s="194"/>
      <c r="U26" s="194"/>
    </row>
    <row r="27" spans="1:21" s="12" customFormat="1" ht="15">
      <c r="A27" s="207" t="s">
        <v>2375</v>
      </c>
      <c r="B27" s="135">
        <v>12.66</v>
      </c>
      <c r="C27" s="135">
        <v>10.53</v>
      </c>
      <c r="D27" s="135">
        <v>23.20</v>
      </c>
      <c r="E27" s="135">
        <v>7.02</v>
      </c>
      <c r="F27" s="135">
        <v>0.06</v>
      </c>
      <c r="G27" s="208" t="s">
        <v>36</v>
      </c>
      <c r="H27" s="135">
        <v>8.1199999999999992</v>
      </c>
      <c r="I27" s="135">
        <v>6.80</v>
      </c>
      <c r="J27" s="135">
        <v>0.08</v>
      </c>
      <c r="K27" s="135">
        <v>321.66000000000003</v>
      </c>
      <c r="L27" s="9" t="s">
        <v>36</v>
      </c>
      <c r="M27" s="135">
        <v>99.10</v>
      </c>
      <c r="N27" s="135">
        <v>15.70</v>
      </c>
      <c r="O27" s="135">
        <v>0</v>
      </c>
      <c r="P27" s="135">
        <v>3.35</v>
      </c>
      <c r="Q27" s="135">
        <v>9.9499999999999993</v>
      </c>
      <c r="R27" s="194"/>
      <c r="S27" s="194"/>
      <c r="T27" s="194"/>
      <c r="U27" s="194"/>
    </row>
    <row r="28" spans="1:21" s="12" customFormat="1" ht="15">
      <c r="A28" s="207" t="s">
        <v>2376</v>
      </c>
      <c r="B28" s="135">
        <v>12.75</v>
      </c>
      <c r="C28" s="135">
        <v>10.28</v>
      </c>
      <c r="D28" s="135">
        <v>23.04</v>
      </c>
      <c r="E28" s="135">
        <v>7.20</v>
      </c>
      <c r="F28" s="135">
        <v>0.61</v>
      </c>
      <c r="G28" s="208" t="s">
        <v>36</v>
      </c>
      <c r="H28" s="135">
        <v>8.1199999999999992</v>
      </c>
      <c r="I28" s="135">
        <v>7.20</v>
      </c>
      <c r="J28" s="135">
        <v>0.01</v>
      </c>
      <c r="K28" s="135">
        <v>7.17</v>
      </c>
      <c r="L28" s="9" t="s">
        <v>36</v>
      </c>
      <c r="M28" s="135">
        <v>99.10</v>
      </c>
      <c r="N28" s="135">
        <v>15.70</v>
      </c>
      <c r="O28" s="135">
        <v>0</v>
      </c>
      <c r="P28" s="135">
        <v>3.33</v>
      </c>
      <c r="Q28" s="135">
        <v>9.9700000000000006</v>
      </c>
      <c r="R28" s="194"/>
      <c r="S28" s="194"/>
      <c r="T28" s="194"/>
      <c r="U28" s="194"/>
    </row>
    <row r="29" spans="1:21" s="12" customFormat="1" ht="15">
      <c r="A29" s="207" t="s">
        <v>2377</v>
      </c>
      <c r="B29" s="135">
        <v>12.88</v>
      </c>
      <c r="C29" s="135">
        <v>10.14</v>
      </c>
      <c r="D29" s="135">
        <v>23.02</v>
      </c>
      <c r="E29" s="135">
        <v>7.72</v>
      </c>
      <c r="F29" s="135">
        <v>0.21</v>
      </c>
      <c r="G29" s="208" t="s">
        <v>36</v>
      </c>
      <c r="H29" s="135">
        <v>7.60</v>
      </c>
      <c r="I29" s="135">
        <v>7</v>
      </c>
      <c r="J29" s="135">
        <v>0.070000000000000007</v>
      </c>
      <c r="K29" s="135">
        <v>222.63</v>
      </c>
      <c r="L29" s="9" t="s">
        <v>36</v>
      </c>
      <c r="M29" s="135">
        <v>99.10</v>
      </c>
      <c r="N29" s="135">
        <v>15.60</v>
      </c>
      <c r="O29" s="135">
        <v>0</v>
      </c>
      <c r="P29" s="135">
        <v>3.32</v>
      </c>
      <c r="Q29" s="135">
        <v>10.050000000000001</v>
      </c>
      <c r="R29" s="194"/>
      <c r="S29" s="194"/>
      <c r="T29" s="194"/>
      <c r="U29" s="194"/>
    </row>
    <row r="30" spans="1:21" s="12" customFormat="1" ht="15">
      <c r="A30" s="207" t="s">
        <v>2378</v>
      </c>
      <c r="B30" s="135">
        <v>12.87</v>
      </c>
      <c r="C30" s="135">
        <v>10.15</v>
      </c>
      <c r="D30" s="135">
        <v>23.02</v>
      </c>
      <c r="E30" s="135">
        <v>7.71</v>
      </c>
      <c r="F30" s="135">
        <v>0.08</v>
      </c>
      <c r="G30" s="208" t="s">
        <v>36</v>
      </c>
      <c r="H30" s="135">
        <v>6.31</v>
      </c>
      <c r="I30" s="135">
        <v>6.87</v>
      </c>
      <c r="J30" s="135">
        <v>0.11</v>
      </c>
      <c r="K30" s="135">
        <v>254.72</v>
      </c>
      <c r="L30" s="9" t="s">
        <v>36</v>
      </c>
      <c r="M30" s="135">
        <v>99.10</v>
      </c>
      <c r="N30" s="135">
        <v>16</v>
      </c>
      <c r="O30" s="135">
        <v>0</v>
      </c>
      <c r="P30" s="135">
        <v>3.31</v>
      </c>
      <c r="Q30" s="135">
        <v>10.10</v>
      </c>
      <c r="R30" s="194"/>
      <c r="S30" s="194"/>
      <c r="T30" s="194"/>
      <c r="U30" s="194"/>
    </row>
    <row r="31" spans="1:21" s="12" customFormat="1" ht="15">
      <c r="A31" s="207" t="s">
        <v>2379</v>
      </c>
      <c r="B31" s="135">
        <v>13.03</v>
      </c>
      <c r="C31" s="135">
        <v>10.14</v>
      </c>
      <c r="D31" s="135">
        <v>23.16</v>
      </c>
      <c r="E31" s="135">
        <v>7.26</v>
      </c>
      <c r="F31" s="135">
        <v>0.18</v>
      </c>
      <c r="G31" s="208" t="s">
        <v>36</v>
      </c>
      <c r="H31" s="135">
        <v>6.31</v>
      </c>
      <c r="I31" s="135">
        <v>6.62</v>
      </c>
      <c r="J31" s="135">
        <v>0.19</v>
      </c>
      <c r="K31" s="135">
        <v>302.70</v>
      </c>
      <c r="L31" s="9" t="s">
        <v>36</v>
      </c>
      <c r="M31" s="135">
        <v>99.10</v>
      </c>
      <c r="N31" s="135">
        <v>18.20</v>
      </c>
      <c r="O31" s="135">
        <v>0</v>
      </c>
      <c r="P31" s="135">
        <v>3.30</v>
      </c>
      <c r="Q31" s="135">
        <v>10.19</v>
      </c>
      <c r="R31" s="194"/>
      <c r="S31" s="194"/>
      <c r="T31" s="194"/>
      <c r="U31" s="194"/>
    </row>
    <row r="32" spans="1:21" s="12" customFormat="1" ht="15">
      <c r="A32" s="207" t="s">
        <v>2380</v>
      </c>
      <c r="B32" s="135">
        <v>13.71</v>
      </c>
      <c r="C32" s="135">
        <v>10.08</v>
      </c>
      <c r="D32" s="135">
        <v>23.79</v>
      </c>
      <c r="E32" s="135">
        <v>7.82</v>
      </c>
      <c r="F32" s="135">
        <v>0.08</v>
      </c>
      <c r="G32" s="208" t="s">
        <v>36</v>
      </c>
      <c r="H32" s="135">
        <v>6.31</v>
      </c>
      <c r="I32" s="135">
        <v>6.75</v>
      </c>
      <c r="J32" s="135">
        <v>0.15</v>
      </c>
      <c r="K32" s="135">
        <v>293.08</v>
      </c>
      <c r="L32" s="9" t="s">
        <v>36</v>
      </c>
      <c r="M32" s="135">
        <v>99.10</v>
      </c>
      <c r="N32" s="135">
        <v>23.5</v>
      </c>
      <c r="O32" s="135">
        <v>0</v>
      </c>
      <c r="P32" s="135">
        <v>3.29</v>
      </c>
      <c r="Q32" s="135">
        <v>10.47</v>
      </c>
      <c r="R32" s="194"/>
      <c r="S32" s="194"/>
      <c r="T32" s="194"/>
      <c r="U32" s="194"/>
    </row>
    <row r="33" spans="1:21" s="12" customFormat="1" ht="15">
      <c r="A33" s="207" t="s">
        <v>2381</v>
      </c>
      <c r="B33" s="135">
        <v>14.07</v>
      </c>
      <c r="C33" s="135">
        <v>9.99</v>
      </c>
      <c r="D33" s="135">
        <v>24.06</v>
      </c>
      <c r="E33" s="135">
        <v>7.76</v>
      </c>
      <c r="F33" s="135">
        <v>0.24</v>
      </c>
      <c r="G33" s="208" t="s">
        <v>36</v>
      </c>
      <c r="H33" s="135">
        <v>6.94</v>
      </c>
      <c r="I33" s="135">
        <v>6.88</v>
      </c>
      <c r="J33" s="135">
        <v>0.19</v>
      </c>
      <c r="K33" s="135">
        <v>301.37</v>
      </c>
      <c r="L33" s="9" t="s">
        <v>36</v>
      </c>
      <c r="M33" s="135">
        <v>99.10</v>
      </c>
      <c r="N33" s="135">
        <v>37</v>
      </c>
      <c r="O33" s="135">
        <v>0</v>
      </c>
      <c r="P33" s="135">
        <v>3.29</v>
      </c>
      <c r="Q33" s="135">
        <v>10.74</v>
      </c>
      <c r="R33" s="194"/>
      <c r="S33" s="194"/>
      <c r="T33" s="194"/>
      <c r="U33" s="194"/>
    </row>
    <row r="34" spans="1:21" s="12" customFormat="1" ht="15">
      <c r="A34" s="207" t="s">
        <v>2382</v>
      </c>
      <c r="B34" s="135">
        <v>14.56</v>
      </c>
      <c r="C34" s="135">
        <v>10.65</v>
      </c>
      <c r="D34" s="135">
        <v>25.20</v>
      </c>
      <c r="E34" s="135">
        <v>7.48</v>
      </c>
      <c r="F34" s="135">
        <v>0.14000000000000001</v>
      </c>
      <c r="G34" s="208" t="s">
        <v>36</v>
      </c>
      <c r="H34" s="135">
        <v>8.49</v>
      </c>
      <c r="I34" s="135">
        <v>7.31</v>
      </c>
      <c r="J34" s="135">
        <v>0.36</v>
      </c>
      <c r="K34" s="135">
        <v>322.95999999999998</v>
      </c>
      <c r="L34" s="9" t="s">
        <v>36</v>
      </c>
      <c r="M34" s="135">
        <v>99.10</v>
      </c>
      <c r="N34" s="135">
        <v>51.30</v>
      </c>
      <c r="O34" s="135">
        <v>0</v>
      </c>
      <c r="P34" s="135">
        <v>3.29</v>
      </c>
      <c r="Q34" s="135">
        <v>10.91</v>
      </c>
      <c r="R34" s="194"/>
      <c r="S34" s="194"/>
      <c r="T34" s="194"/>
      <c r="U34" s="194"/>
    </row>
    <row r="35" spans="1:21" s="12" customFormat="1" ht="15">
      <c r="A35" s="207" t="s">
        <v>2383</v>
      </c>
      <c r="B35" s="135">
        <v>15.17</v>
      </c>
      <c r="C35" s="135">
        <v>11.33</v>
      </c>
      <c r="D35" s="135">
        <v>26.5</v>
      </c>
      <c r="E35" s="135">
        <v>7.87</v>
      </c>
      <c r="F35" s="135">
        <v>0.16</v>
      </c>
      <c r="G35" s="208" t="s">
        <v>36</v>
      </c>
      <c r="H35" s="135">
        <v>8.49</v>
      </c>
      <c r="I35" s="135">
        <v>7.28</v>
      </c>
      <c r="J35" s="135">
        <v>0.34</v>
      </c>
      <c r="K35" s="135">
        <v>312.87</v>
      </c>
      <c r="L35" s="9" t="s">
        <v>36</v>
      </c>
      <c r="M35" s="135">
        <v>99.09</v>
      </c>
      <c r="N35" s="135">
        <v>70.80</v>
      </c>
      <c r="O35" s="135">
        <v>0</v>
      </c>
      <c r="P35" s="135">
        <v>3.28</v>
      </c>
      <c r="Q35" s="135">
        <v>11.10</v>
      </c>
      <c r="R35" s="194"/>
      <c r="S35" s="194"/>
      <c r="T35" s="194"/>
      <c r="U35" s="194"/>
    </row>
    <row r="36" spans="1:21" s="12" customFormat="1" ht="15">
      <c r="A36" s="207" t="s">
        <v>2384</v>
      </c>
      <c r="B36" s="135">
        <v>15.85</v>
      </c>
      <c r="C36" s="135">
        <v>11.51</v>
      </c>
      <c r="D36" s="135">
        <v>27.37</v>
      </c>
      <c r="E36" s="135">
        <v>7.58</v>
      </c>
      <c r="F36" s="135">
        <v>0.27</v>
      </c>
      <c r="G36" s="208" t="s">
        <v>36</v>
      </c>
      <c r="H36" s="135">
        <v>8.49</v>
      </c>
      <c r="I36" s="135">
        <v>7.19</v>
      </c>
      <c r="J36" s="135">
        <v>0.51</v>
      </c>
      <c r="K36" s="135">
        <v>342.79</v>
      </c>
      <c r="L36" s="9" t="s">
        <v>36</v>
      </c>
      <c r="M36" s="135">
        <v>98.62</v>
      </c>
      <c r="N36" s="135">
        <v>59.20</v>
      </c>
      <c r="O36" s="135">
        <v>0</v>
      </c>
      <c r="P36" s="135">
        <v>3.29</v>
      </c>
      <c r="Q36" s="135">
        <v>11.16</v>
      </c>
      <c r="R36" s="194"/>
      <c r="S36" s="194"/>
      <c r="T36" s="194"/>
      <c r="U36" s="194"/>
    </row>
    <row r="37" spans="1:21" s="12" customFormat="1" ht="15">
      <c r="A37" s="207" t="s">
        <v>2385</v>
      </c>
      <c r="B37" s="135">
        <v>16.600000000000001</v>
      </c>
      <c r="C37" s="135">
        <v>11.84</v>
      </c>
      <c r="D37" s="135">
        <v>28.44</v>
      </c>
      <c r="E37" s="135">
        <v>7.51</v>
      </c>
      <c r="F37" s="135">
        <v>0.18</v>
      </c>
      <c r="G37" s="208" t="s">
        <v>36</v>
      </c>
      <c r="H37" s="135">
        <v>8.5399999999999991</v>
      </c>
      <c r="I37" s="135">
        <v>7.15</v>
      </c>
      <c r="J37" s="135">
        <v>0.59</v>
      </c>
      <c r="K37" s="135">
        <v>322.31</v>
      </c>
      <c r="L37" s="9" t="s">
        <v>36</v>
      </c>
      <c r="M37" s="135">
        <v>98.13</v>
      </c>
      <c r="N37" s="135">
        <v>97.80</v>
      </c>
      <c r="O37" s="135">
        <v>0</v>
      </c>
      <c r="P37" s="135">
        <v>3.28</v>
      </c>
      <c r="Q37" s="135">
        <v>11.33</v>
      </c>
      <c r="R37" s="194"/>
      <c r="S37" s="194"/>
      <c r="T37" s="194"/>
      <c r="U37" s="194"/>
    </row>
    <row r="38" spans="1:21" s="12" customFormat="1" ht="15">
      <c r="A38" s="207" t="s">
        <v>2386</v>
      </c>
      <c r="B38" s="135">
        <v>17.84</v>
      </c>
      <c r="C38" s="135">
        <v>12.09</v>
      </c>
      <c r="D38" s="135">
        <v>29.93</v>
      </c>
      <c r="E38" s="135">
        <v>6.85</v>
      </c>
      <c r="F38" s="135">
        <v>0.19</v>
      </c>
      <c r="G38" s="208" t="s">
        <v>36</v>
      </c>
      <c r="H38" s="135">
        <v>8.65</v>
      </c>
      <c r="I38" s="135">
        <v>7.07</v>
      </c>
      <c r="J38" s="135">
        <v>0.36</v>
      </c>
      <c r="K38" s="135">
        <v>345.29</v>
      </c>
      <c r="L38" s="9" t="s">
        <v>36</v>
      </c>
      <c r="M38" s="135">
        <v>97.40</v>
      </c>
      <c r="N38" s="135">
        <v>72.5</v>
      </c>
      <c r="O38" s="135">
        <v>0</v>
      </c>
      <c r="P38" s="135">
        <v>3.30</v>
      </c>
      <c r="Q38" s="135">
        <v>11.58</v>
      </c>
      <c r="R38" s="194"/>
      <c r="S38" s="194"/>
      <c r="T38" s="194"/>
      <c r="U38" s="194"/>
    </row>
    <row r="39" spans="1:21" s="12" customFormat="1" ht="15">
      <c r="A39" s="207" t="s">
        <v>2387</v>
      </c>
      <c r="B39" s="135">
        <v>19.46</v>
      </c>
      <c r="C39" s="135">
        <v>12.35</v>
      </c>
      <c r="D39" s="135">
        <v>31.81</v>
      </c>
      <c r="E39" s="135">
        <v>7.42</v>
      </c>
      <c r="F39" s="135">
        <v>0.04</v>
      </c>
      <c r="G39" s="208" t="s">
        <v>36</v>
      </c>
      <c r="H39" s="135">
        <v>8.65</v>
      </c>
      <c r="I39" s="135">
        <v>7.04</v>
      </c>
      <c r="J39" s="135">
        <v>0.25</v>
      </c>
      <c r="K39" s="135">
        <v>347.21</v>
      </c>
      <c r="L39" s="9" t="s">
        <v>36</v>
      </c>
      <c r="M39" s="135">
        <v>96.82</v>
      </c>
      <c r="N39" s="135">
        <v>135.69999999999999</v>
      </c>
      <c r="O39" s="135">
        <v>0</v>
      </c>
      <c r="P39" s="135">
        <v>3.33</v>
      </c>
      <c r="Q39" s="135">
        <v>12.44</v>
      </c>
      <c r="R39" s="194"/>
      <c r="S39" s="194"/>
      <c r="T39" s="194"/>
      <c r="U39" s="194"/>
    </row>
    <row r="40" spans="1:21" s="12" customFormat="1" ht="15">
      <c r="A40" s="207" t="s">
        <v>2388</v>
      </c>
      <c r="B40" s="135">
        <v>20.57</v>
      </c>
      <c r="C40" s="135">
        <v>12.51</v>
      </c>
      <c r="D40" s="135">
        <v>33.08</v>
      </c>
      <c r="E40" s="135">
        <v>3.58</v>
      </c>
      <c r="F40" s="135">
        <v>0.02</v>
      </c>
      <c r="G40" s="208" t="s">
        <v>36</v>
      </c>
      <c r="H40" s="135">
        <v>8.65</v>
      </c>
      <c r="I40" s="135">
        <v>7.03</v>
      </c>
      <c r="J40" s="135">
        <v>0.42</v>
      </c>
      <c r="K40" s="135">
        <v>23.24</v>
      </c>
      <c r="L40" s="9" t="s">
        <v>36</v>
      </c>
      <c r="M40" s="135">
        <v>93.78</v>
      </c>
      <c r="N40" s="135">
        <v>155.19999999999999</v>
      </c>
      <c r="O40" s="135">
        <v>0</v>
      </c>
      <c r="P40" s="135">
        <v>3.34</v>
      </c>
      <c r="Q40" s="135">
        <v>12.73</v>
      </c>
      <c r="R40" s="194"/>
      <c r="S40" s="194"/>
      <c r="T40" s="194"/>
      <c r="U40" s="194"/>
    </row>
    <row r="41" spans="1:21" s="12" customFormat="1" ht="15">
      <c r="A41" s="207" t="s">
        <v>2389</v>
      </c>
      <c r="B41" s="135">
        <v>21.29</v>
      </c>
      <c r="C41" s="135">
        <v>12.45</v>
      </c>
      <c r="D41" s="135">
        <v>33.74</v>
      </c>
      <c r="E41" s="135">
        <v>7.28</v>
      </c>
      <c r="F41" s="135">
        <v>0.14000000000000001</v>
      </c>
      <c r="G41" s="208" t="s">
        <v>36</v>
      </c>
      <c r="H41" s="135">
        <v>9.93</v>
      </c>
      <c r="I41" s="135">
        <v>7.06</v>
      </c>
      <c r="J41" s="135">
        <v>0.60</v>
      </c>
      <c r="K41" s="135">
        <v>355.07</v>
      </c>
      <c r="L41" s="9" t="s">
        <v>36</v>
      </c>
      <c r="M41" s="135">
        <v>93.56</v>
      </c>
      <c r="N41" s="135">
        <v>108.60</v>
      </c>
      <c r="O41" s="135">
        <v>0</v>
      </c>
      <c r="P41" s="135">
        <v>3.35</v>
      </c>
      <c r="Q41" s="135">
        <v>12.97</v>
      </c>
      <c r="R41" s="194"/>
      <c r="S41" s="194"/>
      <c r="T41" s="194"/>
      <c r="U41" s="194"/>
    </row>
    <row r="42" spans="1:21" s="12" customFormat="1" ht="15">
      <c r="A42" s="207" t="s">
        <v>2390</v>
      </c>
      <c r="B42" s="135">
        <v>21.95</v>
      </c>
      <c r="C42" s="135">
        <v>12.38</v>
      </c>
      <c r="D42" s="135">
        <v>34.32</v>
      </c>
      <c r="E42" s="135">
        <v>7.56</v>
      </c>
      <c r="F42" s="135">
        <v>0.22</v>
      </c>
      <c r="G42" s="208" t="s">
        <v>36</v>
      </c>
      <c r="H42" s="135">
        <v>13.08</v>
      </c>
      <c r="I42" s="135">
        <v>7.08</v>
      </c>
      <c r="J42" s="135">
        <v>0.32</v>
      </c>
      <c r="K42" s="135">
        <v>61.14</v>
      </c>
      <c r="L42" s="9" t="s">
        <v>36</v>
      </c>
      <c r="M42" s="135">
        <v>94.22</v>
      </c>
      <c r="N42" s="135">
        <v>56.20</v>
      </c>
      <c r="O42" s="135">
        <v>0</v>
      </c>
      <c r="P42" s="135">
        <v>3.36</v>
      </c>
      <c r="Q42" s="135">
        <v>13.38</v>
      </c>
      <c r="R42" s="194"/>
      <c r="S42" s="194"/>
      <c r="T42" s="194"/>
      <c r="U42" s="194"/>
    </row>
    <row r="43" spans="1:21" s="12" customFormat="1" ht="15">
      <c r="A43" s="207" t="s">
        <v>2391</v>
      </c>
      <c r="B43" s="135">
        <v>22.31</v>
      </c>
      <c r="C43" s="135">
        <v>12.22</v>
      </c>
      <c r="D43" s="135">
        <v>34.53</v>
      </c>
      <c r="E43" s="135">
        <v>7.59</v>
      </c>
      <c r="F43" s="135">
        <v>0.08</v>
      </c>
      <c r="G43" s="208" t="s">
        <v>36</v>
      </c>
      <c r="H43" s="135">
        <v>13.08</v>
      </c>
      <c r="I43" s="135">
        <v>7.10</v>
      </c>
      <c r="J43" s="135">
        <v>0.53</v>
      </c>
      <c r="K43" s="135">
        <v>78.739999999999995</v>
      </c>
      <c r="L43" s="9" t="s">
        <v>36</v>
      </c>
      <c r="M43" s="135">
        <v>95.35</v>
      </c>
      <c r="N43" s="135">
        <v>91.40</v>
      </c>
      <c r="O43" s="135">
        <v>0</v>
      </c>
      <c r="P43" s="135">
        <v>3.37</v>
      </c>
      <c r="Q43" s="135">
        <v>13.70</v>
      </c>
      <c r="R43" s="194"/>
      <c r="S43" s="194"/>
      <c r="T43" s="194"/>
      <c r="U43" s="194"/>
    </row>
    <row r="44" spans="1:21" s="12" customFormat="1" ht="15">
      <c r="A44" s="207" t="s">
        <v>2392</v>
      </c>
      <c r="B44" s="135">
        <v>22.65</v>
      </c>
      <c r="C44" s="135">
        <v>12.24</v>
      </c>
      <c r="D44" s="135">
        <v>34.90</v>
      </c>
      <c r="E44" s="135">
        <v>7.94</v>
      </c>
      <c r="F44" s="135">
        <v>0.13</v>
      </c>
      <c r="G44" s="208" t="s">
        <v>36</v>
      </c>
      <c r="H44" s="135">
        <v>13.08</v>
      </c>
      <c r="I44" s="135">
        <v>7.07</v>
      </c>
      <c r="J44" s="135">
        <v>0.31</v>
      </c>
      <c r="K44" s="135">
        <v>44.98</v>
      </c>
      <c r="L44" s="9" t="s">
        <v>36</v>
      </c>
      <c r="M44" s="135">
        <v>94.89</v>
      </c>
      <c r="N44" s="135">
        <v>102.90</v>
      </c>
      <c r="O44" s="135">
        <v>0</v>
      </c>
      <c r="P44" s="135">
        <v>3.37</v>
      </c>
      <c r="Q44" s="135">
        <v>14.14</v>
      </c>
      <c r="R44" s="194"/>
      <c r="S44" s="194"/>
      <c r="T44" s="194"/>
      <c r="U44" s="194"/>
    </row>
    <row r="45" spans="1:21" s="12" customFormat="1" ht="15">
      <c r="A45" s="207" t="s">
        <v>2393</v>
      </c>
      <c r="B45" s="135">
        <v>23.25</v>
      </c>
      <c r="C45" s="135">
        <v>12.12</v>
      </c>
      <c r="D45" s="135">
        <v>35.369999999999997</v>
      </c>
      <c r="E45" s="135">
        <v>8.27</v>
      </c>
      <c r="F45" s="135">
        <v>0.17</v>
      </c>
      <c r="G45" s="208" t="s">
        <v>36</v>
      </c>
      <c r="H45" s="135">
        <v>16.78</v>
      </c>
      <c r="I45" s="135">
        <v>7.29</v>
      </c>
      <c r="J45" s="135">
        <v>0.95</v>
      </c>
      <c r="K45" s="135">
        <v>91.43</v>
      </c>
      <c r="L45" s="9" t="s">
        <v>36</v>
      </c>
      <c r="M45" s="135">
        <v>93.92</v>
      </c>
      <c r="N45" s="135">
        <v>51.30</v>
      </c>
      <c r="O45" s="135">
        <v>0.20</v>
      </c>
      <c r="P45" s="135">
        <v>3.38</v>
      </c>
      <c r="Q45" s="135">
        <v>14.54</v>
      </c>
      <c r="R45" s="194"/>
      <c r="S45" s="194"/>
      <c r="T45" s="194"/>
      <c r="U45" s="194"/>
    </row>
    <row r="46" spans="1:21" s="12" customFormat="1" ht="15">
      <c r="A46" s="207" t="s">
        <v>2394</v>
      </c>
      <c r="B46" s="135">
        <v>23.39</v>
      </c>
      <c r="C46" s="135">
        <v>12.16</v>
      </c>
      <c r="D46" s="135">
        <v>35.56</v>
      </c>
      <c r="E46" s="135">
        <v>8.15</v>
      </c>
      <c r="F46" s="135">
        <v>0.06</v>
      </c>
      <c r="G46" s="208" t="s">
        <v>36</v>
      </c>
      <c r="H46" s="135">
        <v>25.90</v>
      </c>
      <c r="I46" s="135">
        <v>7.26</v>
      </c>
      <c r="J46" s="135">
        <v>0.54</v>
      </c>
      <c r="K46" s="135">
        <v>155.66999999999999</v>
      </c>
      <c r="L46" s="9" t="s">
        <v>36</v>
      </c>
      <c r="M46" s="135">
        <v>98.37</v>
      </c>
      <c r="N46" s="135">
        <v>89.5</v>
      </c>
      <c r="O46" s="135">
        <v>1</v>
      </c>
      <c r="P46" s="135">
        <v>3.37</v>
      </c>
      <c r="Q46" s="135">
        <v>14.91</v>
      </c>
      <c r="R46" s="194"/>
      <c r="S46" s="194"/>
      <c r="T46" s="194"/>
      <c r="U46" s="194"/>
    </row>
    <row r="47" spans="1:21" s="12" customFormat="1" ht="15">
      <c r="A47" s="207" t="s">
        <v>2395</v>
      </c>
      <c r="B47" s="135">
        <v>23.16</v>
      </c>
      <c r="C47" s="135">
        <v>12.33</v>
      </c>
      <c r="D47" s="135">
        <v>35.49</v>
      </c>
      <c r="E47" s="135">
        <v>8.36</v>
      </c>
      <c r="F47" s="135">
        <v>0.28000000000000003</v>
      </c>
      <c r="G47" s="208" t="s">
        <v>36</v>
      </c>
      <c r="H47" s="135">
        <v>25.90</v>
      </c>
      <c r="I47" s="135">
        <v>7.45</v>
      </c>
      <c r="J47" s="135">
        <v>1.28</v>
      </c>
      <c r="K47" s="135">
        <v>127.99</v>
      </c>
      <c r="L47" s="9" t="s">
        <v>36</v>
      </c>
      <c r="M47" s="135">
        <v>99.10</v>
      </c>
      <c r="N47" s="135">
        <v>59.40</v>
      </c>
      <c r="O47" s="135">
        <v>4.4000000000000004</v>
      </c>
      <c r="P47" s="135">
        <v>3.36</v>
      </c>
      <c r="Q47" s="135">
        <v>14.92</v>
      </c>
      <c r="R47" s="194"/>
      <c r="S47" s="194"/>
      <c r="T47" s="194"/>
      <c r="U47" s="194"/>
    </row>
    <row r="48" spans="1:21" s="12" customFormat="1" ht="15">
      <c r="A48" s="207" t="s">
        <v>2396</v>
      </c>
      <c r="B48" s="135">
        <v>21.84</v>
      </c>
      <c r="C48" s="135">
        <v>12.5</v>
      </c>
      <c r="D48" s="135">
        <v>34.340000000000003</v>
      </c>
      <c r="E48" s="135">
        <v>8.0500000000000007</v>
      </c>
      <c r="F48" s="135">
        <v>0.28000000000000003</v>
      </c>
      <c r="G48" s="208" t="s">
        <v>36</v>
      </c>
      <c r="H48" s="135">
        <v>25.90</v>
      </c>
      <c r="I48" s="135">
        <v>7.59</v>
      </c>
      <c r="J48" s="135">
        <v>1.03</v>
      </c>
      <c r="K48" s="135">
        <v>161.59</v>
      </c>
      <c r="L48" s="9" t="s">
        <v>36</v>
      </c>
      <c r="M48" s="135">
        <v>99.10</v>
      </c>
      <c r="N48" s="135">
        <v>110.40</v>
      </c>
      <c r="O48" s="135">
        <v>1.60</v>
      </c>
      <c r="P48" s="135">
        <v>3.34</v>
      </c>
      <c r="Q48" s="135">
        <v>14.79</v>
      </c>
      <c r="R48" s="194"/>
      <c r="S48" s="194"/>
      <c r="T48" s="194"/>
      <c r="U48" s="194"/>
    </row>
    <row r="49" spans="1:21" s="12" customFormat="1" ht="15">
      <c r="A49" s="207" t="s">
        <v>2397</v>
      </c>
      <c r="B49" s="135">
        <v>20.399999999999999</v>
      </c>
      <c r="C49" s="135">
        <v>13.59</v>
      </c>
      <c r="D49" s="135">
        <v>33.99</v>
      </c>
      <c r="E49" s="135">
        <v>7.65</v>
      </c>
      <c r="F49" s="135">
        <v>0.10</v>
      </c>
      <c r="G49" s="208" t="s">
        <v>36</v>
      </c>
      <c r="H49" s="135">
        <v>24.08</v>
      </c>
      <c r="I49" s="135">
        <v>7.44</v>
      </c>
      <c r="J49" s="135">
        <v>1.04</v>
      </c>
      <c r="K49" s="135">
        <v>165.93</v>
      </c>
      <c r="L49" s="9" t="s">
        <v>36</v>
      </c>
      <c r="M49" s="135">
        <v>99.10</v>
      </c>
      <c r="N49" s="135">
        <v>78.900000000000006</v>
      </c>
      <c r="O49" s="135">
        <v>2.60</v>
      </c>
      <c r="P49" s="135">
        <v>3.32</v>
      </c>
      <c r="Q49" s="135">
        <v>14.28</v>
      </c>
      <c r="R49" s="194"/>
      <c r="S49" s="194"/>
      <c r="T49" s="194"/>
      <c r="U49" s="194"/>
    </row>
    <row r="50" spans="1:21" s="12" customFormat="1" ht="15">
      <c r="A50" s="207" t="s">
        <v>2398</v>
      </c>
      <c r="B50" s="135">
        <v>18.809999999999999</v>
      </c>
      <c r="C50" s="135">
        <v>14.47</v>
      </c>
      <c r="D50" s="135">
        <v>33.28</v>
      </c>
      <c r="E50" s="135">
        <v>8.16</v>
      </c>
      <c r="F50" s="135">
        <v>0.12</v>
      </c>
      <c r="G50" s="208" t="s">
        <v>36</v>
      </c>
      <c r="H50" s="135">
        <v>19.61</v>
      </c>
      <c r="I50" s="135">
        <v>7.33</v>
      </c>
      <c r="J50" s="135">
        <v>1.1200000000000001</v>
      </c>
      <c r="K50" s="135">
        <v>160.80000000000001</v>
      </c>
      <c r="L50" s="9" t="s">
        <v>36</v>
      </c>
      <c r="M50" s="135">
        <v>99.10</v>
      </c>
      <c r="N50" s="135">
        <v>63.80</v>
      </c>
      <c r="O50" s="135">
        <v>10.199999999999999</v>
      </c>
      <c r="P50" s="135">
        <v>3.30</v>
      </c>
      <c r="Q50" s="135">
        <v>13.56</v>
      </c>
      <c r="R50" s="194"/>
      <c r="S50" s="194"/>
      <c r="T50" s="194"/>
      <c r="U50" s="194"/>
    </row>
    <row r="51" spans="1:21" s="12" customFormat="1" ht="15">
      <c r="A51" s="207" t="s">
        <v>2399</v>
      </c>
      <c r="B51" s="135">
        <v>16.68</v>
      </c>
      <c r="C51" s="135">
        <v>15.14</v>
      </c>
      <c r="D51" s="135">
        <v>31.82</v>
      </c>
      <c r="E51" s="135">
        <v>7.76</v>
      </c>
      <c r="F51" s="135">
        <v>0.24</v>
      </c>
      <c r="G51" s="208" t="s">
        <v>36</v>
      </c>
      <c r="H51" s="135">
        <v>19.61</v>
      </c>
      <c r="I51" s="135">
        <v>7.13</v>
      </c>
      <c r="J51" s="135">
        <v>1.58</v>
      </c>
      <c r="K51" s="135">
        <v>174.59</v>
      </c>
      <c r="L51" s="9" t="s">
        <v>36</v>
      </c>
      <c r="M51" s="135">
        <v>99.10</v>
      </c>
      <c r="N51" s="135">
        <v>66</v>
      </c>
      <c r="O51" s="135">
        <v>2.60</v>
      </c>
      <c r="P51" s="135">
        <v>3.27</v>
      </c>
      <c r="Q51" s="135">
        <v>12.70</v>
      </c>
      <c r="R51" s="194"/>
      <c r="S51" s="194"/>
      <c r="T51" s="194"/>
      <c r="U51" s="194"/>
    </row>
    <row r="52" spans="1:21" s="12" customFormat="1" ht="15">
      <c r="A52" s="207" t="s">
        <v>2400</v>
      </c>
      <c r="B52" s="135">
        <v>14.75</v>
      </c>
      <c r="C52" s="135">
        <v>15.58</v>
      </c>
      <c r="D52" s="135">
        <v>30.33</v>
      </c>
      <c r="E52" s="135">
        <v>7.26</v>
      </c>
      <c r="F52" s="135">
        <v>0.12</v>
      </c>
      <c r="G52" s="208" t="s">
        <v>36</v>
      </c>
      <c r="H52" s="135">
        <v>19.61</v>
      </c>
      <c r="I52" s="135">
        <v>7.01</v>
      </c>
      <c r="J52" s="135">
        <v>1.62</v>
      </c>
      <c r="K52" s="135">
        <v>162.02000000000001</v>
      </c>
      <c r="L52" s="9" t="s">
        <v>36</v>
      </c>
      <c r="M52" s="135">
        <v>99.10</v>
      </c>
      <c r="N52" s="135">
        <v>55.60</v>
      </c>
      <c r="O52" s="135">
        <v>7.60</v>
      </c>
      <c r="P52" s="135">
        <v>3.25</v>
      </c>
      <c r="Q52" s="135">
        <v>11.87</v>
      </c>
      <c r="R52" s="194"/>
      <c r="S52" s="194"/>
      <c r="T52" s="194"/>
      <c r="U52" s="194"/>
    </row>
    <row r="53" spans="1:21" s="12" customFormat="1" ht="15">
      <c r="A53" s="207" t="s">
        <v>2401</v>
      </c>
      <c r="B53" s="135">
        <v>13.34</v>
      </c>
      <c r="C53" s="135">
        <v>15.54</v>
      </c>
      <c r="D53" s="135">
        <v>28.88</v>
      </c>
      <c r="E53" s="135">
        <v>7.42</v>
      </c>
      <c r="F53" s="135">
        <v>0.24</v>
      </c>
      <c r="G53" s="208" t="s">
        <v>36</v>
      </c>
      <c r="H53" s="135">
        <v>18.87</v>
      </c>
      <c r="I53" s="135">
        <v>6.80</v>
      </c>
      <c r="J53" s="135">
        <v>1.18</v>
      </c>
      <c r="K53" s="135">
        <v>192.66</v>
      </c>
      <c r="L53" s="9" t="s">
        <v>36</v>
      </c>
      <c r="M53" s="135">
        <v>99.10</v>
      </c>
      <c r="N53" s="135">
        <v>65.80</v>
      </c>
      <c r="O53" s="135">
        <v>7.60</v>
      </c>
      <c r="P53" s="135">
        <v>3.23</v>
      </c>
      <c r="Q53" s="135">
        <v>11.34</v>
      </c>
      <c r="R53" s="194"/>
      <c r="S53" s="194"/>
      <c r="T53" s="194"/>
      <c r="U53" s="194"/>
    </row>
    <row r="54" spans="1:21" s="12" customFormat="1" ht="15">
      <c r="A54" s="207" t="s">
        <v>2402</v>
      </c>
      <c r="B54" s="135">
        <v>11.94</v>
      </c>
      <c r="C54" s="135">
        <v>15.62</v>
      </c>
      <c r="D54" s="135">
        <v>27.55</v>
      </c>
      <c r="E54" s="135">
        <v>7.44</v>
      </c>
      <c r="F54" s="135">
        <v>0.04</v>
      </c>
      <c r="G54" s="208" t="s">
        <v>36</v>
      </c>
      <c r="H54" s="135">
        <v>17.03</v>
      </c>
      <c r="I54" s="135">
        <v>6.64</v>
      </c>
      <c r="J54" s="135">
        <v>0.66</v>
      </c>
      <c r="K54" s="135">
        <v>166.93</v>
      </c>
      <c r="L54" s="9" t="s">
        <v>36</v>
      </c>
      <c r="M54" s="135">
        <v>99.10</v>
      </c>
      <c r="N54" s="135">
        <v>62.10</v>
      </c>
      <c r="O54" s="135">
        <v>9.8000000000000007</v>
      </c>
      <c r="P54" s="135">
        <v>3.21</v>
      </c>
      <c r="Q54" s="135">
        <v>11.26</v>
      </c>
      <c r="R54" s="194"/>
      <c r="S54" s="194"/>
      <c r="T54" s="194"/>
      <c r="U54" s="194"/>
    </row>
    <row r="55" spans="1:21" s="12" customFormat="1" ht="15">
      <c r="A55" s="207" t="s">
        <v>2403</v>
      </c>
      <c r="B55" s="135">
        <v>11.08</v>
      </c>
      <c r="C55" s="135">
        <v>15.35</v>
      </c>
      <c r="D55" s="135">
        <v>26.44</v>
      </c>
      <c r="E55" s="135">
        <v>7.73</v>
      </c>
      <c r="F55" s="135">
        <v>0.11</v>
      </c>
      <c r="G55" s="208" t="s">
        <v>36</v>
      </c>
      <c r="H55" s="135">
        <v>17.03</v>
      </c>
      <c r="I55" s="135">
        <v>6.48</v>
      </c>
      <c r="J55" s="135">
        <v>0.33</v>
      </c>
      <c r="K55" s="135">
        <v>192.57</v>
      </c>
      <c r="L55" s="9" t="s">
        <v>36</v>
      </c>
      <c r="M55" s="135">
        <v>99.10</v>
      </c>
      <c r="N55" s="135">
        <v>69.20</v>
      </c>
      <c r="O55" s="135">
        <v>7.60</v>
      </c>
      <c r="P55" s="135">
        <v>3.20</v>
      </c>
      <c r="Q55" s="135">
        <v>10.53</v>
      </c>
      <c r="R55" s="194"/>
      <c r="S55" s="194"/>
      <c r="T55" s="194"/>
      <c r="U55" s="194"/>
    </row>
    <row r="56" spans="1:21" s="12" customFormat="1" ht="15">
      <c r="A56" s="207" t="s">
        <v>2404</v>
      </c>
      <c r="B56" s="135">
        <v>10.43</v>
      </c>
      <c r="C56" s="135">
        <v>15.77</v>
      </c>
      <c r="D56" s="135">
        <v>26.20</v>
      </c>
      <c r="E56" s="135">
        <v>4.16</v>
      </c>
      <c r="F56" s="135">
        <v>0.09</v>
      </c>
      <c r="G56" s="208" t="s">
        <v>36</v>
      </c>
      <c r="H56" s="135">
        <v>17.03</v>
      </c>
      <c r="I56" s="135">
        <v>6.41</v>
      </c>
      <c r="J56" s="135">
        <v>0.27</v>
      </c>
      <c r="K56" s="135">
        <v>299.23</v>
      </c>
      <c r="L56" s="9" t="s">
        <v>36</v>
      </c>
      <c r="M56" s="135">
        <v>99.10</v>
      </c>
      <c r="N56" s="135">
        <v>85</v>
      </c>
      <c r="O56" s="135">
        <v>4.80</v>
      </c>
      <c r="P56" s="135">
        <v>3.20</v>
      </c>
      <c r="Q56" s="135">
        <v>10.050000000000001</v>
      </c>
      <c r="R56" s="194"/>
      <c r="S56" s="194"/>
      <c r="T56" s="194"/>
      <c r="U56" s="194"/>
    </row>
    <row r="57" spans="1:21" s="12" customFormat="1" ht="15">
      <c r="A57" s="207" t="s">
        <v>2405</v>
      </c>
      <c r="B57" s="135">
        <v>10.039999999999999</v>
      </c>
      <c r="C57" s="135">
        <v>16.73</v>
      </c>
      <c r="D57" s="135">
        <v>26.76</v>
      </c>
      <c r="E57" s="135">
        <v>7.34</v>
      </c>
      <c r="F57" s="135">
        <v>0.01</v>
      </c>
      <c r="G57" s="208" t="s">
        <v>36</v>
      </c>
      <c r="H57" s="135">
        <v>15.67</v>
      </c>
      <c r="I57" s="135">
        <v>6.33</v>
      </c>
      <c r="J57" s="135">
        <v>0.28999999999999998</v>
      </c>
      <c r="K57" s="135">
        <v>247.03</v>
      </c>
      <c r="L57" s="9" t="s">
        <v>36</v>
      </c>
      <c r="M57" s="135">
        <v>99.10</v>
      </c>
      <c r="N57" s="135">
        <v>83.90</v>
      </c>
      <c r="O57" s="135">
        <v>3</v>
      </c>
      <c r="P57" s="135">
        <v>3.20</v>
      </c>
      <c r="Q57" s="135">
        <v>9.81</v>
      </c>
      <c r="R57" s="194"/>
      <c r="S57" s="194"/>
      <c r="T57" s="194"/>
      <c r="U57" s="194"/>
    </row>
    <row r="58" spans="1:21" s="12" customFormat="1" ht="15">
      <c r="A58" s="207" t="s">
        <v>2406</v>
      </c>
      <c r="B58" s="135">
        <v>9.84</v>
      </c>
      <c r="C58" s="135">
        <v>16.71</v>
      </c>
      <c r="D58" s="135">
        <v>26.55</v>
      </c>
      <c r="E58" s="135">
        <v>7.46</v>
      </c>
      <c r="F58" s="135">
        <v>0.08</v>
      </c>
      <c r="G58" s="208" t="s">
        <v>36</v>
      </c>
      <c r="H58" s="135">
        <v>12.33</v>
      </c>
      <c r="I58" s="135">
        <v>6.25</v>
      </c>
      <c r="J58" s="135">
        <v>0.04</v>
      </c>
      <c r="K58" s="135">
        <v>26.92</v>
      </c>
      <c r="L58" s="9" t="s">
        <v>36</v>
      </c>
      <c r="M58" s="135">
        <v>99.10</v>
      </c>
      <c r="N58" s="135">
        <v>76.5</v>
      </c>
      <c r="O58" s="135">
        <v>1</v>
      </c>
      <c r="P58" s="135">
        <v>3.19</v>
      </c>
      <c r="Q58" s="135">
        <v>9.48</v>
      </c>
      <c r="R58" s="194"/>
      <c r="S58" s="194"/>
      <c r="T58" s="194"/>
      <c r="U58" s="194"/>
    </row>
    <row r="59" spans="1:21" s="12" customFormat="1" ht="15">
      <c r="A59" s="207" t="s">
        <v>2407</v>
      </c>
      <c r="B59" s="135">
        <v>9.5399999999999991</v>
      </c>
      <c r="C59" s="135">
        <v>16.64</v>
      </c>
      <c r="D59" s="135">
        <v>26.18</v>
      </c>
      <c r="E59" s="135">
        <v>7.86</v>
      </c>
      <c r="F59" s="135">
        <v>0.06</v>
      </c>
      <c r="G59" s="208" t="s">
        <v>36</v>
      </c>
      <c r="H59" s="135">
        <v>12.33</v>
      </c>
      <c r="I59" s="135">
        <v>6.16</v>
      </c>
      <c r="J59" s="135">
        <v>0.35</v>
      </c>
      <c r="K59" s="135">
        <v>204.45</v>
      </c>
      <c r="L59" s="9" t="s">
        <v>36</v>
      </c>
      <c r="M59" s="135">
        <v>99.10</v>
      </c>
      <c r="N59" s="135">
        <v>79.5</v>
      </c>
      <c r="O59" s="135">
        <v>3.80</v>
      </c>
      <c r="P59" s="135">
        <v>3.19</v>
      </c>
      <c r="Q59" s="135">
        <v>9.24</v>
      </c>
      <c r="R59" s="194"/>
      <c r="S59" s="194"/>
      <c r="T59" s="194"/>
      <c r="U59" s="194"/>
    </row>
    <row r="60" spans="1:21" s="12" customFormat="1" ht="15">
      <c r="A60" s="207" t="s">
        <v>2408</v>
      </c>
      <c r="B60" s="135">
        <v>9.09</v>
      </c>
      <c r="C60" s="135">
        <v>16.670000000000002</v>
      </c>
      <c r="D60" s="135">
        <v>25.76</v>
      </c>
      <c r="E60" s="135">
        <v>7.54</v>
      </c>
      <c r="F60" s="135">
        <v>0.10</v>
      </c>
      <c r="G60" s="208" t="s">
        <v>36</v>
      </c>
      <c r="H60" s="135">
        <v>12.33</v>
      </c>
      <c r="I60" s="135">
        <v>6.13</v>
      </c>
      <c r="J60" s="135">
        <v>0.23</v>
      </c>
      <c r="K60" s="135">
        <v>217.27</v>
      </c>
      <c r="L60" s="9" t="s">
        <v>36</v>
      </c>
      <c r="M60" s="135">
        <v>99.10</v>
      </c>
      <c r="N60" s="135">
        <v>99.30</v>
      </c>
      <c r="O60" s="135">
        <v>2.2000000000000002</v>
      </c>
      <c r="P60" s="135">
        <v>3.19</v>
      </c>
      <c r="Q60" s="135">
        <v>9.0299999999999994</v>
      </c>
      <c r="R60" s="194"/>
      <c r="S60" s="194"/>
      <c r="T60" s="194"/>
      <c r="U60" s="194"/>
    </row>
    <row r="61" spans="1:21" s="12" customFormat="1" ht="15">
      <c r="A61" s="207" t="s">
        <v>2409</v>
      </c>
      <c r="B61" s="135">
        <v>8.4700000000000006</v>
      </c>
      <c r="C61" s="135">
        <v>16.14</v>
      </c>
      <c r="D61" s="135">
        <v>24.61</v>
      </c>
      <c r="E61" s="135">
        <v>7.71</v>
      </c>
      <c r="F61" s="135">
        <v>0.27</v>
      </c>
      <c r="G61" s="208" t="s">
        <v>36</v>
      </c>
      <c r="H61" s="135">
        <v>11.69</v>
      </c>
      <c r="I61" s="135">
        <v>6.10</v>
      </c>
      <c r="J61" s="135">
        <v>0.070000000000000007</v>
      </c>
      <c r="K61" s="135">
        <v>251.40</v>
      </c>
      <c r="L61" s="9" t="s">
        <v>36</v>
      </c>
      <c r="M61" s="135">
        <v>99.10</v>
      </c>
      <c r="N61" s="135">
        <v>140.69999999999999</v>
      </c>
      <c r="O61" s="135">
        <v>1.40</v>
      </c>
      <c r="P61" s="135">
        <v>3.17</v>
      </c>
      <c r="Q61" s="135">
        <v>8.66</v>
      </c>
      <c r="R61" s="194"/>
      <c r="S61" s="194"/>
      <c r="T61" s="194"/>
      <c r="U61" s="194"/>
    </row>
    <row r="62" spans="1:21" s="12" customFormat="1" ht="15">
      <c r="A62" s="207" t="s">
        <v>2410</v>
      </c>
      <c r="B62" s="135">
        <v>8.23</v>
      </c>
      <c r="C62" s="135">
        <v>15.81</v>
      </c>
      <c r="D62" s="135">
        <v>24.04</v>
      </c>
      <c r="E62" s="135">
        <v>7.51</v>
      </c>
      <c r="F62" s="135">
        <v>0.49</v>
      </c>
      <c r="G62" s="208" t="s">
        <v>36</v>
      </c>
      <c r="H62" s="135">
        <v>10.119999999999999</v>
      </c>
      <c r="I62" s="135">
        <v>6.03</v>
      </c>
      <c r="J62" s="135">
        <v>0.17</v>
      </c>
      <c r="K62" s="135">
        <v>337.67</v>
      </c>
      <c r="L62" s="9" t="s">
        <v>36</v>
      </c>
      <c r="M62" s="135">
        <v>99.10</v>
      </c>
      <c r="N62" s="135">
        <v>228.30</v>
      </c>
      <c r="O62" s="135">
        <v>0.20</v>
      </c>
      <c r="P62" s="135">
        <v>3.18</v>
      </c>
      <c r="Q62" s="135">
        <v>8.5500000000000007</v>
      </c>
      <c r="R62" s="194"/>
      <c r="S62" s="194"/>
      <c r="T62" s="194"/>
      <c r="U62" s="194"/>
    </row>
    <row r="63" spans="1:21" s="12" customFormat="1" ht="15">
      <c r="A63" s="207" t="s">
        <v>2411</v>
      </c>
      <c r="B63" s="135">
        <v>7.93</v>
      </c>
      <c r="C63" s="135">
        <v>16.03</v>
      </c>
      <c r="D63" s="135">
        <v>23.96</v>
      </c>
      <c r="E63" s="135">
        <v>7.56</v>
      </c>
      <c r="F63" s="135">
        <v>0.31</v>
      </c>
      <c r="G63" s="208" t="s">
        <v>36</v>
      </c>
      <c r="H63" s="135">
        <v>10.119999999999999</v>
      </c>
      <c r="I63" s="135">
        <v>5.95</v>
      </c>
      <c r="J63" s="135">
        <v>0.10</v>
      </c>
      <c r="K63" s="135">
        <v>210.36</v>
      </c>
      <c r="L63" s="9" t="s">
        <v>36</v>
      </c>
      <c r="M63" s="135">
        <v>99.10</v>
      </c>
      <c r="N63" s="135">
        <v>203.20</v>
      </c>
      <c r="O63" s="135">
        <v>0.20</v>
      </c>
      <c r="P63" s="135">
        <v>3.18</v>
      </c>
      <c r="Q63" s="135">
        <v>8.39</v>
      </c>
      <c r="R63" s="194"/>
      <c r="S63" s="194"/>
      <c r="T63" s="194"/>
      <c r="U63" s="194"/>
    </row>
    <row r="64" spans="1:21" s="12" customFormat="1" ht="15">
      <c r="A64" s="207" t="s">
        <v>2412</v>
      </c>
      <c r="B64" s="135">
        <v>8.0500000000000007</v>
      </c>
      <c r="C64" s="135">
        <v>16.5</v>
      </c>
      <c r="D64" s="135">
        <v>24.55</v>
      </c>
      <c r="E64" s="135">
        <v>7.27</v>
      </c>
      <c r="F64" s="135">
        <v>0.22</v>
      </c>
      <c r="G64" s="208" t="s">
        <v>36</v>
      </c>
      <c r="H64" s="135">
        <v>10.119999999999999</v>
      </c>
      <c r="I64" s="135">
        <v>5.89</v>
      </c>
      <c r="J64" s="135">
        <v>0.070000000000000007</v>
      </c>
      <c r="K64" s="135">
        <v>315.14</v>
      </c>
      <c r="L64" s="9" t="s">
        <v>36</v>
      </c>
      <c r="M64" s="135">
        <v>99.10</v>
      </c>
      <c r="N64" s="135">
        <v>187.90</v>
      </c>
      <c r="O64" s="135">
        <v>0</v>
      </c>
      <c r="P64" s="135">
        <v>3.19</v>
      </c>
      <c r="Q64" s="135">
        <v>8.43</v>
      </c>
      <c r="R64" s="194"/>
      <c r="S64" s="194"/>
      <c r="T64" s="194"/>
      <c r="U64" s="194"/>
    </row>
    <row r="65" spans="1:21" s="12" customFormat="1" ht="15">
      <c r="A65" s="207" t="s">
        <v>2413</v>
      </c>
      <c r="B65" s="135">
        <v>8.51</v>
      </c>
      <c r="C65" s="135">
        <v>16.79</v>
      </c>
      <c r="D65" s="135">
        <v>25.30</v>
      </c>
      <c r="E65" s="135">
        <v>7.37</v>
      </c>
      <c r="F65" s="135">
        <v>0.14000000000000001</v>
      </c>
      <c r="G65" s="208" t="s">
        <v>36</v>
      </c>
      <c r="H65" s="135">
        <v>11.46</v>
      </c>
      <c r="I65" s="135">
        <v>5.81</v>
      </c>
      <c r="J65" s="135">
        <v>0.11</v>
      </c>
      <c r="K65" s="135">
        <v>233.17</v>
      </c>
      <c r="L65" s="9" t="s">
        <v>36</v>
      </c>
      <c r="M65" s="135">
        <v>99.10</v>
      </c>
      <c r="N65" s="135">
        <v>170.70</v>
      </c>
      <c r="O65" s="135">
        <v>0</v>
      </c>
      <c r="P65" s="135">
        <v>3.20</v>
      </c>
      <c r="Q65" s="135">
        <v>8.51</v>
      </c>
      <c r="R65" s="194"/>
      <c r="S65" s="194"/>
      <c r="T65" s="194"/>
      <c r="U65" s="194"/>
    </row>
    <row r="66" spans="1:21" s="12" customFormat="1" ht="15">
      <c r="A66" s="207" t="s">
        <v>2414</v>
      </c>
      <c r="B66" s="135">
        <v>7.96</v>
      </c>
      <c r="C66" s="135">
        <v>16.350000000000001</v>
      </c>
      <c r="D66" s="135">
        <v>24.31</v>
      </c>
      <c r="E66" s="135">
        <v>7.05</v>
      </c>
      <c r="F66" s="135">
        <v>0.17</v>
      </c>
      <c r="G66" s="208" t="s">
        <v>36</v>
      </c>
      <c r="H66" s="135">
        <v>14.77</v>
      </c>
      <c r="I66" s="135">
        <v>5.81</v>
      </c>
      <c r="J66" s="135">
        <v>0.15</v>
      </c>
      <c r="K66" s="135">
        <v>187.5</v>
      </c>
      <c r="L66" s="9" t="s">
        <v>36</v>
      </c>
      <c r="M66" s="135">
        <v>99.10</v>
      </c>
      <c r="N66" s="135">
        <v>169.40</v>
      </c>
      <c r="O66" s="135">
        <v>0</v>
      </c>
      <c r="P66" s="135">
        <v>3.21</v>
      </c>
      <c r="Q66" s="135">
        <v>8.1999999999999993</v>
      </c>
      <c r="R66" s="194"/>
      <c r="S66" s="194"/>
      <c r="T66" s="194"/>
      <c r="U66" s="194"/>
    </row>
    <row r="67" spans="1:21" s="12" customFormat="1" ht="15">
      <c r="A67" s="207" t="s">
        <v>2415</v>
      </c>
      <c r="B67" s="135">
        <v>7.49</v>
      </c>
      <c r="C67" s="135">
        <v>15.99</v>
      </c>
      <c r="D67" s="135">
        <v>23.48</v>
      </c>
      <c r="E67" s="135">
        <v>7.22</v>
      </c>
      <c r="F67" s="135">
        <v>0.37</v>
      </c>
      <c r="G67" s="208" t="s">
        <v>36</v>
      </c>
      <c r="H67" s="135">
        <v>14.77</v>
      </c>
      <c r="I67" s="135">
        <v>5.80</v>
      </c>
      <c r="J67" s="135">
        <v>0.56999999999999995</v>
      </c>
      <c r="K67" s="135">
        <v>184.05</v>
      </c>
      <c r="L67" s="9" t="s">
        <v>36</v>
      </c>
      <c r="M67" s="135">
        <v>99.10</v>
      </c>
      <c r="N67" s="135">
        <v>115.40</v>
      </c>
      <c r="O67" s="135">
        <v>0</v>
      </c>
      <c r="P67" s="135">
        <v>3.21</v>
      </c>
      <c r="Q67" s="135">
        <v>7.82</v>
      </c>
      <c r="R67" s="194"/>
      <c r="S67" s="194"/>
      <c r="T67" s="194"/>
      <c r="U67" s="194"/>
    </row>
    <row r="68" spans="1:21" s="12" customFormat="1" ht="15">
      <c r="A68" s="207" t="s">
        <v>2416</v>
      </c>
      <c r="B68" s="135">
        <v>6.78</v>
      </c>
      <c r="C68" s="135">
        <v>15.95</v>
      </c>
      <c r="D68" s="135">
        <v>22.73</v>
      </c>
      <c r="E68" s="135">
        <v>7.57</v>
      </c>
      <c r="F68" s="208" t="s">
        <v>36</v>
      </c>
      <c r="G68" s="208" t="s">
        <v>36</v>
      </c>
      <c r="H68" s="135">
        <v>14.77</v>
      </c>
      <c r="I68" s="135">
        <v>5.75</v>
      </c>
      <c r="J68" s="135">
        <v>0.95</v>
      </c>
      <c r="K68" s="135">
        <v>196.24</v>
      </c>
      <c r="L68" s="9" t="s">
        <v>36</v>
      </c>
      <c r="M68" s="135">
        <v>99.10</v>
      </c>
      <c r="N68" s="135">
        <v>90.80</v>
      </c>
      <c r="O68" s="135">
        <v>0</v>
      </c>
      <c r="P68" s="135">
        <v>3.21</v>
      </c>
      <c r="Q68" s="135">
        <v>7.63</v>
      </c>
      <c r="R68" s="194"/>
      <c r="S68" s="194"/>
      <c r="T68" s="194"/>
      <c r="U68" s="194"/>
    </row>
    <row r="69" spans="1:21" s="12" customFormat="1" ht="15">
      <c r="A69" s="207" t="s">
        <v>2417</v>
      </c>
      <c r="B69" s="135">
        <v>6.44</v>
      </c>
      <c r="C69" s="135">
        <v>15</v>
      </c>
      <c r="D69" s="135">
        <v>21.44</v>
      </c>
      <c r="E69" s="135">
        <v>7.68</v>
      </c>
      <c r="F69" s="135">
        <v>0.06</v>
      </c>
      <c r="G69" s="208" t="s">
        <v>36</v>
      </c>
      <c r="H69" s="135">
        <v>13.56</v>
      </c>
      <c r="I69" s="135">
        <v>5.68</v>
      </c>
      <c r="J69" s="135">
        <v>0.99</v>
      </c>
      <c r="K69" s="135">
        <v>193.17</v>
      </c>
      <c r="L69" s="9" t="s">
        <v>36</v>
      </c>
      <c r="M69" s="135">
        <v>99.10</v>
      </c>
      <c r="N69" s="135">
        <v>102.40</v>
      </c>
      <c r="O69" s="135">
        <v>0</v>
      </c>
      <c r="P69" s="135">
        <v>3.19</v>
      </c>
      <c r="Q69" s="135">
        <v>7.23</v>
      </c>
      <c r="R69" s="194"/>
      <c r="S69" s="194"/>
      <c r="T69" s="194"/>
      <c r="U69" s="194"/>
    </row>
    <row r="70" spans="1:21" s="12" customFormat="1" ht="15">
      <c r="A70" s="207" t="s">
        <v>2418</v>
      </c>
      <c r="B70" s="135">
        <v>6.18</v>
      </c>
      <c r="C70" s="135">
        <v>14.14</v>
      </c>
      <c r="D70" s="135">
        <v>20.32</v>
      </c>
      <c r="E70" s="135">
        <v>7.58</v>
      </c>
      <c r="F70" s="135">
        <v>0.19</v>
      </c>
      <c r="G70" s="208" t="s">
        <v>36</v>
      </c>
      <c r="H70" s="135">
        <v>10.57</v>
      </c>
      <c r="I70" s="135">
        <v>5.66</v>
      </c>
      <c r="J70" s="135">
        <v>0.62</v>
      </c>
      <c r="K70" s="135">
        <v>174.62</v>
      </c>
      <c r="L70" s="9" t="s">
        <v>36</v>
      </c>
      <c r="M70" s="135">
        <v>99.09</v>
      </c>
      <c r="N70" s="135">
        <v>90.90</v>
      </c>
      <c r="O70" s="135">
        <v>0</v>
      </c>
      <c r="P70" s="135">
        <v>3.18</v>
      </c>
      <c r="Q70" s="135">
        <v>6.97</v>
      </c>
      <c r="R70" s="194"/>
      <c r="S70" s="194"/>
      <c r="T70" s="194"/>
      <c r="U70" s="194"/>
    </row>
    <row r="71" spans="1:21" s="12" customFormat="1" ht="15">
      <c r="A71" s="207" t="s">
        <v>2419</v>
      </c>
      <c r="B71" s="135">
        <v>5.96</v>
      </c>
      <c r="C71" s="135">
        <v>13.60</v>
      </c>
      <c r="D71" s="135">
        <v>19.57</v>
      </c>
      <c r="E71" s="135">
        <v>7.43</v>
      </c>
      <c r="F71" s="135">
        <v>0.12</v>
      </c>
      <c r="G71" s="208" t="s">
        <v>36</v>
      </c>
      <c r="H71" s="135">
        <v>10.57</v>
      </c>
      <c r="I71" s="135">
        <v>5.68</v>
      </c>
      <c r="J71" s="135">
        <v>0.39</v>
      </c>
      <c r="K71" s="135">
        <v>187.08</v>
      </c>
      <c r="L71" s="9" t="s">
        <v>36</v>
      </c>
      <c r="M71" s="135">
        <v>99.10</v>
      </c>
      <c r="N71" s="135">
        <v>48.90</v>
      </c>
      <c r="O71" s="135">
        <v>0</v>
      </c>
      <c r="P71" s="135">
        <v>3.18</v>
      </c>
      <c r="Q71" s="135">
        <v>6.78</v>
      </c>
      <c r="R71" s="194"/>
      <c r="S71" s="194"/>
      <c r="T71" s="194"/>
      <c r="U71" s="194"/>
    </row>
    <row r="72" spans="1:21" s="12" customFormat="1" ht="15">
      <c r="A72" s="207" t="s">
        <v>2420</v>
      </c>
      <c r="B72" s="135">
        <v>5.72</v>
      </c>
      <c r="C72" s="135">
        <v>13.26</v>
      </c>
      <c r="D72" s="135">
        <v>18.98</v>
      </c>
      <c r="E72" s="135">
        <v>4.12</v>
      </c>
      <c r="F72" s="135">
        <v>0.13</v>
      </c>
      <c r="G72" s="208" t="s">
        <v>36</v>
      </c>
      <c r="H72" s="135">
        <v>10.57</v>
      </c>
      <c r="I72" s="135">
        <v>5.69</v>
      </c>
      <c r="J72" s="135">
        <v>0.15</v>
      </c>
      <c r="K72" s="135">
        <v>214.63</v>
      </c>
      <c r="L72" s="9" t="s">
        <v>36</v>
      </c>
      <c r="M72" s="135">
        <v>99.10</v>
      </c>
      <c r="N72" s="135">
        <v>49.5</v>
      </c>
      <c r="O72" s="135">
        <v>0</v>
      </c>
      <c r="P72" s="135">
        <v>3.17</v>
      </c>
      <c r="Q72" s="135">
        <v>6.71</v>
      </c>
      <c r="R72" s="194"/>
      <c r="S72" s="194"/>
      <c r="T72" s="194"/>
      <c r="U72" s="194"/>
    </row>
    <row r="73" spans="1:21" s="12" customFormat="1" ht="15">
      <c r="A73" s="207" t="s">
        <v>2421</v>
      </c>
      <c r="B73" s="135">
        <v>5.56</v>
      </c>
      <c r="C73" s="135">
        <v>13</v>
      </c>
      <c r="D73" s="135">
        <v>18.559999999999999</v>
      </c>
      <c r="E73" s="135">
        <v>8.17</v>
      </c>
      <c r="F73" s="135">
        <v>0.15</v>
      </c>
      <c r="G73" s="208" t="s">
        <v>36</v>
      </c>
      <c r="H73" s="135">
        <v>9.7100000000000009</v>
      </c>
      <c r="I73" s="135">
        <v>5.65</v>
      </c>
      <c r="J73" s="135">
        <v>0.36</v>
      </c>
      <c r="K73" s="135">
        <v>173.80</v>
      </c>
      <c r="L73" s="9" t="s">
        <v>36</v>
      </c>
      <c r="M73" s="135">
        <v>99.10</v>
      </c>
      <c r="N73" s="135">
        <v>47.5</v>
      </c>
      <c r="O73" s="135">
        <v>0</v>
      </c>
      <c r="P73" s="135">
        <v>3.17</v>
      </c>
      <c r="Q73" s="135">
        <v>6.68</v>
      </c>
      <c r="R73" s="194"/>
      <c r="S73" s="194"/>
      <c r="T73" s="194"/>
      <c r="U73" s="194"/>
    </row>
    <row r="74" spans="1:21" s="12" customFormat="1" ht="15">
      <c r="A74" s="207" t="s">
        <v>2422</v>
      </c>
      <c r="B74" s="135">
        <v>5.62</v>
      </c>
      <c r="C74" s="135">
        <v>12.93</v>
      </c>
      <c r="D74" s="135">
        <v>18.55</v>
      </c>
      <c r="E74" s="135">
        <v>8.32</v>
      </c>
      <c r="F74" s="135">
        <v>0.14000000000000001</v>
      </c>
      <c r="G74" s="208" t="s">
        <v>36</v>
      </c>
      <c r="H74" s="135">
        <v>7.61</v>
      </c>
      <c r="I74" s="135">
        <v>5.66</v>
      </c>
      <c r="J74" s="135">
        <v>0.20</v>
      </c>
      <c r="K74" s="135">
        <v>195.30</v>
      </c>
      <c r="L74" s="9" t="s">
        <v>36</v>
      </c>
      <c r="M74" s="135">
        <v>99.10</v>
      </c>
      <c r="N74" s="135">
        <v>50.5</v>
      </c>
      <c r="O74" s="135">
        <v>0</v>
      </c>
      <c r="P74" s="135">
        <v>3.17</v>
      </c>
      <c r="Q74" s="135">
        <v>6.82</v>
      </c>
      <c r="R74" s="194"/>
      <c r="S74" s="194"/>
      <c r="T74" s="194"/>
      <c r="U74" s="194"/>
    </row>
    <row r="75" spans="1:21" s="12" customFormat="1" ht="15">
      <c r="A75" s="207" t="s">
        <v>2423</v>
      </c>
      <c r="B75" s="135">
        <v>5.77</v>
      </c>
      <c r="C75" s="135">
        <v>12.55</v>
      </c>
      <c r="D75" s="135">
        <v>18.32</v>
      </c>
      <c r="E75" s="135">
        <v>8.09</v>
      </c>
      <c r="F75" s="135">
        <v>0.10</v>
      </c>
      <c r="G75" s="208" t="s">
        <v>36</v>
      </c>
      <c r="H75" s="135">
        <v>7.61</v>
      </c>
      <c r="I75" s="135">
        <v>5.60</v>
      </c>
      <c r="J75" s="135">
        <v>0.17</v>
      </c>
      <c r="K75" s="135">
        <v>205.82</v>
      </c>
      <c r="L75" s="9" t="s">
        <v>36</v>
      </c>
      <c r="M75" s="135">
        <v>99.10</v>
      </c>
      <c r="N75" s="135">
        <v>61.80</v>
      </c>
      <c r="O75" s="135">
        <v>0</v>
      </c>
      <c r="P75" s="135">
        <v>3.17</v>
      </c>
      <c r="Q75" s="135">
        <v>6.81</v>
      </c>
      <c r="R75" s="194"/>
      <c r="S75" s="194"/>
      <c r="T75" s="194"/>
      <c r="U75" s="194"/>
    </row>
    <row r="76" spans="1:21" s="12" customFormat="1" ht="15">
      <c r="A76" s="207" t="s">
        <v>2424</v>
      </c>
      <c r="B76" s="135">
        <v>6.37</v>
      </c>
      <c r="C76" s="135">
        <v>12.49</v>
      </c>
      <c r="D76" s="135">
        <v>18.86</v>
      </c>
      <c r="E76" s="135">
        <v>8.5399999999999991</v>
      </c>
      <c r="F76" s="135">
        <v>0.48</v>
      </c>
      <c r="G76" s="208" t="s">
        <v>36</v>
      </c>
      <c r="H76" s="135">
        <v>7.61</v>
      </c>
      <c r="I76" s="135">
        <v>5.49</v>
      </c>
      <c r="J76" s="135">
        <v>0.26</v>
      </c>
      <c r="K76" s="135">
        <v>215.76</v>
      </c>
      <c r="L76" s="9" t="s">
        <v>36</v>
      </c>
      <c r="M76" s="135">
        <v>99.10</v>
      </c>
      <c r="N76" s="135">
        <v>72</v>
      </c>
      <c r="O76" s="135">
        <v>0</v>
      </c>
      <c r="P76" s="135">
        <v>3.19</v>
      </c>
      <c r="Q76" s="135">
        <v>6.99</v>
      </c>
      <c r="R76" s="194"/>
      <c r="S76" s="194"/>
      <c r="T76" s="194"/>
      <c r="U76" s="194"/>
    </row>
    <row r="77" spans="1:21" s="12" customFormat="1" ht="15">
      <c r="A77" s="207" t="s">
        <v>2425</v>
      </c>
      <c r="B77" s="135">
        <v>6.86</v>
      </c>
      <c r="C77" s="135">
        <v>13.13</v>
      </c>
      <c r="D77" s="135">
        <v>19.989999999999998</v>
      </c>
      <c r="E77" s="135">
        <v>8.35</v>
      </c>
      <c r="F77" s="135">
        <v>0.28000000000000003</v>
      </c>
      <c r="G77" s="208" t="s">
        <v>36</v>
      </c>
      <c r="H77" s="135">
        <v>8.06</v>
      </c>
      <c r="I77" s="135">
        <v>5.77</v>
      </c>
      <c r="J77" s="135">
        <v>0.48</v>
      </c>
      <c r="K77" s="135">
        <v>201.11</v>
      </c>
      <c r="L77" s="9" t="s">
        <v>36</v>
      </c>
      <c r="M77" s="135">
        <v>99.09</v>
      </c>
      <c r="N77" s="135">
        <v>72.70</v>
      </c>
      <c r="O77" s="135">
        <v>0</v>
      </c>
      <c r="P77" s="135">
        <v>3.24</v>
      </c>
      <c r="Q77" s="135">
        <v>7.48</v>
      </c>
      <c r="R77" s="194"/>
      <c r="S77" s="194"/>
      <c r="T77" s="194"/>
      <c r="U77" s="194"/>
    </row>
    <row r="78" spans="1:21" s="12" customFormat="1" ht="15">
      <c r="A78" s="207" t="s">
        <v>2426</v>
      </c>
      <c r="B78" s="135">
        <v>7.43</v>
      </c>
      <c r="C78" s="135">
        <v>14.20</v>
      </c>
      <c r="D78" s="135">
        <v>21.63</v>
      </c>
      <c r="E78" s="135">
        <v>8.41</v>
      </c>
      <c r="F78" s="135">
        <v>0.22</v>
      </c>
      <c r="G78" s="208" t="s">
        <v>36</v>
      </c>
      <c r="H78" s="135">
        <v>9.17</v>
      </c>
      <c r="I78" s="135">
        <v>5.99</v>
      </c>
      <c r="J78" s="135">
        <v>0.85</v>
      </c>
      <c r="K78" s="135">
        <v>204.58</v>
      </c>
      <c r="L78" s="9" t="s">
        <v>36</v>
      </c>
      <c r="M78" s="135">
        <v>98.96</v>
      </c>
      <c r="N78" s="135">
        <v>71</v>
      </c>
      <c r="O78" s="135">
        <v>0</v>
      </c>
      <c r="P78" s="135">
        <v>3.28</v>
      </c>
      <c r="Q78" s="135">
        <v>7.61</v>
      </c>
      <c r="R78" s="194"/>
      <c r="S78" s="194"/>
      <c r="T78" s="194"/>
      <c r="U78" s="194"/>
    </row>
    <row r="79" spans="1:21" s="12" customFormat="1" ht="15">
      <c r="A79" s="207" t="s">
        <v>2427</v>
      </c>
      <c r="B79" s="135">
        <v>7.19</v>
      </c>
      <c r="C79" s="135">
        <v>14.68</v>
      </c>
      <c r="D79" s="135">
        <v>21.87</v>
      </c>
      <c r="E79" s="135">
        <v>8.18</v>
      </c>
      <c r="F79" s="135">
        <v>0.15</v>
      </c>
      <c r="G79" s="208" t="s">
        <v>36</v>
      </c>
      <c r="H79" s="135">
        <v>9.17</v>
      </c>
      <c r="I79" s="135">
        <v>6.40</v>
      </c>
      <c r="J79" s="135">
        <v>0.85</v>
      </c>
      <c r="K79" s="135">
        <v>204.28</v>
      </c>
      <c r="L79" s="9" t="s">
        <v>36</v>
      </c>
      <c r="M79" s="135">
        <v>98.55</v>
      </c>
      <c r="N79" s="135">
        <v>64.099999999999994</v>
      </c>
      <c r="O79" s="135">
        <v>0</v>
      </c>
      <c r="P79" s="135">
        <v>3.29</v>
      </c>
      <c r="Q79" s="135">
        <v>7.58</v>
      </c>
      <c r="R79" s="194"/>
      <c r="S79" s="194"/>
      <c r="T79" s="194"/>
      <c r="U79" s="194"/>
    </row>
    <row r="80" spans="1:21" s="12" customFormat="1" ht="15">
      <c r="A80" s="207" t="s">
        <v>2428</v>
      </c>
      <c r="B80" s="135">
        <v>6.47</v>
      </c>
      <c r="C80" s="135">
        <v>14.70</v>
      </c>
      <c r="D80" s="135">
        <v>21.17</v>
      </c>
      <c r="E80" s="135">
        <v>7.89</v>
      </c>
      <c r="F80" s="135">
        <v>0.13</v>
      </c>
      <c r="G80" s="208" t="s">
        <v>36</v>
      </c>
      <c r="H80" s="135">
        <v>9.17</v>
      </c>
      <c r="I80" s="135">
        <v>6.88</v>
      </c>
      <c r="J80" s="135">
        <v>0.49</v>
      </c>
      <c r="K80" s="135">
        <v>203.25</v>
      </c>
      <c r="L80" s="9" t="s">
        <v>36</v>
      </c>
      <c r="M80" s="135">
        <v>98.67</v>
      </c>
      <c r="N80" s="135">
        <v>41.5</v>
      </c>
      <c r="O80" s="135">
        <v>0</v>
      </c>
      <c r="P80" s="135">
        <v>3.28</v>
      </c>
      <c r="Q80" s="135">
        <v>7.32</v>
      </c>
      <c r="R80" s="194"/>
      <c r="S80" s="194"/>
      <c r="T80" s="194"/>
      <c r="U80" s="194"/>
    </row>
    <row r="81" spans="1:21" s="12" customFormat="1" ht="15">
      <c r="A81" s="207" t="s">
        <v>2429</v>
      </c>
      <c r="B81" s="135">
        <v>5.75</v>
      </c>
      <c r="C81" s="135">
        <v>14.59</v>
      </c>
      <c r="D81" s="135">
        <v>20.34</v>
      </c>
      <c r="E81" s="135">
        <v>7.85</v>
      </c>
      <c r="F81" s="135">
        <v>0.23</v>
      </c>
      <c r="G81" s="208" t="s">
        <v>36</v>
      </c>
      <c r="H81" s="135">
        <v>8.57</v>
      </c>
      <c r="I81" s="135">
        <v>7.13</v>
      </c>
      <c r="J81" s="135">
        <v>0.30</v>
      </c>
      <c r="K81" s="135">
        <v>210.74</v>
      </c>
      <c r="L81" s="9" t="s">
        <v>36</v>
      </c>
      <c r="M81" s="135">
        <v>98.99</v>
      </c>
      <c r="N81" s="135">
        <v>24.20</v>
      </c>
      <c r="O81" s="135">
        <v>0</v>
      </c>
      <c r="P81" s="135">
        <v>3.28</v>
      </c>
      <c r="Q81" s="135">
        <v>6.90</v>
      </c>
      <c r="R81" s="194"/>
      <c r="S81" s="194"/>
      <c r="T81" s="194"/>
      <c r="U81" s="194"/>
    </row>
    <row r="82" spans="1:21" s="12" customFormat="1" ht="15">
      <c r="A82" s="207" t="s">
        <v>2430</v>
      </c>
      <c r="B82" s="135">
        <v>5.28</v>
      </c>
      <c r="C82" s="135">
        <v>14.26</v>
      </c>
      <c r="D82" s="135">
        <v>19.54</v>
      </c>
      <c r="E82" s="135">
        <v>8.01</v>
      </c>
      <c r="F82" s="135">
        <v>0.31</v>
      </c>
      <c r="G82" s="208" t="s">
        <v>36</v>
      </c>
      <c r="H82" s="135">
        <v>7.08</v>
      </c>
      <c r="I82" s="135">
        <v>7.11</v>
      </c>
      <c r="J82" s="135">
        <v>0.21</v>
      </c>
      <c r="K82" s="135">
        <v>219.45</v>
      </c>
      <c r="L82" s="9" t="s">
        <v>36</v>
      </c>
      <c r="M82" s="135">
        <v>99.08</v>
      </c>
      <c r="N82" s="135">
        <v>19.100000000000001</v>
      </c>
      <c r="O82" s="135">
        <v>0</v>
      </c>
      <c r="P82" s="135">
        <v>3.28</v>
      </c>
      <c r="Q82" s="135">
        <v>6.69</v>
      </c>
      <c r="R82" s="194"/>
      <c r="S82" s="194"/>
      <c r="T82" s="194"/>
      <c r="U82" s="194"/>
    </row>
    <row r="83" spans="1:21" s="12" customFormat="1" ht="15">
      <c r="A83" s="207" t="s">
        <v>2431</v>
      </c>
      <c r="B83" s="135">
        <v>5.09</v>
      </c>
      <c r="C83" s="135">
        <v>14.10</v>
      </c>
      <c r="D83" s="135">
        <v>19.190000000000001</v>
      </c>
      <c r="E83" s="135">
        <v>8.14</v>
      </c>
      <c r="F83" s="135">
        <v>0.01</v>
      </c>
      <c r="G83" s="208" t="s">
        <v>36</v>
      </c>
      <c r="H83" s="135">
        <v>7.08</v>
      </c>
      <c r="I83" s="135">
        <v>6.95</v>
      </c>
      <c r="J83" s="135">
        <v>0.14000000000000001</v>
      </c>
      <c r="K83" s="135">
        <v>224.21</v>
      </c>
      <c r="L83" s="9" t="s">
        <v>36</v>
      </c>
      <c r="M83" s="135">
        <v>99.10</v>
      </c>
      <c r="N83" s="135">
        <v>16.600000000000001</v>
      </c>
      <c r="O83" s="135">
        <v>0</v>
      </c>
      <c r="P83" s="135">
        <v>3.28</v>
      </c>
      <c r="Q83" s="135">
        <v>6.72</v>
      </c>
      <c r="R83" s="194"/>
      <c r="S83" s="194"/>
      <c r="T83" s="194"/>
      <c r="U83" s="194"/>
    </row>
    <row r="84" spans="1:21" s="12" customFormat="1" ht="15">
      <c r="A84" s="207" t="s">
        <v>2432</v>
      </c>
      <c r="B84" s="135">
        <v>5.25</v>
      </c>
      <c r="C84" s="135">
        <v>13.77</v>
      </c>
      <c r="D84" s="135">
        <v>19.02</v>
      </c>
      <c r="E84" s="135">
        <v>7.80</v>
      </c>
      <c r="F84" s="135">
        <v>0.10</v>
      </c>
      <c r="G84" s="208" t="s">
        <v>36</v>
      </c>
      <c r="H84" s="135">
        <v>7.08</v>
      </c>
      <c r="I84" s="135">
        <v>6.74</v>
      </c>
      <c r="J84" s="135">
        <v>0.19</v>
      </c>
      <c r="K84" s="135">
        <v>185.75</v>
      </c>
      <c r="L84" s="9" t="s">
        <v>36</v>
      </c>
      <c r="M84" s="135">
        <v>99.10</v>
      </c>
      <c r="N84" s="135">
        <v>15.5</v>
      </c>
      <c r="O84" s="135">
        <v>0</v>
      </c>
      <c r="P84" s="135">
        <v>3.29</v>
      </c>
      <c r="Q84" s="135">
        <v>6.54</v>
      </c>
      <c r="R84" s="194"/>
      <c r="S84" s="194"/>
      <c r="T84" s="194"/>
      <c r="U84" s="194"/>
    </row>
    <row r="85" spans="1:21" s="12" customFormat="1" ht="15">
      <c r="A85" s="207" t="s">
        <v>2433</v>
      </c>
      <c r="B85" s="135">
        <v>5.46</v>
      </c>
      <c r="C85" s="135">
        <v>13.42</v>
      </c>
      <c r="D85" s="135">
        <v>18.89</v>
      </c>
      <c r="E85" s="135">
        <v>8</v>
      </c>
      <c r="F85" s="135">
        <v>0.15</v>
      </c>
      <c r="G85" s="208" t="s">
        <v>36</v>
      </c>
      <c r="H85" s="135">
        <v>6.91</v>
      </c>
      <c r="I85" s="135">
        <v>6.53</v>
      </c>
      <c r="J85" s="135">
        <v>0.26</v>
      </c>
      <c r="K85" s="135">
        <v>206.12</v>
      </c>
      <c r="L85" s="9" t="s">
        <v>36</v>
      </c>
      <c r="M85" s="135">
        <v>99.09</v>
      </c>
      <c r="N85" s="135">
        <v>15.20</v>
      </c>
      <c r="O85" s="135">
        <v>0</v>
      </c>
      <c r="P85" s="135">
        <v>3.30</v>
      </c>
      <c r="Q85" s="135">
        <v>6.53</v>
      </c>
      <c r="R85" s="194"/>
      <c r="S85" s="194"/>
      <c r="T85" s="194"/>
      <c r="U85" s="194"/>
    </row>
    <row r="86" spans="1:21" s="12" customFormat="1" ht="15">
      <c r="A86" s="207" t="s">
        <v>2434</v>
      </c>
      <c r="B86" s="135">
        <v>5.70</v>
      </c>
      <c r="C86" s="135">
        <v>13.08</v>
      </c>
      <c r="D86" s="135">
        <v>18.78</v>
      </c>
      <c r="E86" s="135">
        <v>8.08</v>
      </c>
      <c r="F86" s="135">
        <v>0.16</v>
      </c>
      <c r="G86" s="208" t="s">
        <v>36</v>
      </c>
      <c r="H86" s="135">
        <v>6.5</v>
      </c>
      <c r="I86" s="135">
        <v>6.74</v>
      </c>
      <c r="J86" s="135">
        <v>0.24</v>
      </c>
      <c r="K86" s="135">
        <v>214.53</v>
      </c>
      <c r="L86" s="9" t="s">
        <v>36</v>
      </c>
      <c r="M86" s="135">
        <v>99.06</v>
      </c>
      <c r="N86" s="135">
        <v>15.30</v>
      </c>
      <c r="O86" s="135">
        <v>0</v>
      </c>
      <c r="P86" s="135">
        <v>3.29</v>
      </c>
      <c r="Q86" s="135">
        <v>6.56</v>
      </c>
      <c r="R86" s="194"/>
      <c r="S86" s="194"/>
      <c r="T86" s="194"/>
      <c r="U86" s="194"/>
    </row>
    <row r="87" spans="1:21" s="12" customFormat="1" ht="15">
      <c r="A87" s="207" t="s">
        <v>2435</v>
      </c>
      <c r="B87" s="135">
        <v>5.82</v>
      </c>
      <c r="C87" s="135">
        <v>12.97</v>
      </c>
      <c r="D87" s="135">
        <v>18.78</v>
      </c>
      <c r="E87" s="135">
        <v>8.2799999999999994</v>
      </c>
      <c r="F87" s="135">
        <v>0.10</v>
      </c>
      <c r="G87" s="208" t="s">
        <v>36</v>
      </c>
      <c r="H87" s="135">
        <v>6.5</v>
      </c>
      <c r="I87" s="135">
        <v>6.69</v>
      </c>
      <c r="J87" s="135">
        <v>0.47</v>
      </c>
      <c r="K87" s="135">
        <v>205.16</v>
      </c>
      <c r="L87" s="9" t="s">
        <v>36</v>
      </c>
      <c r="M87" s="135">
        <v>99.07</v>
      </c>
      <c r="N87" s="135">
        <v>15.10</v>
      </c>
      <c r="O87" s="135">
        <v>0</v>
      </c>
      <c r="P87" s="135">
        <v>3.30</v>
      </c>
      <c r="Q87" s="135">
        <v>6.67</v>
      </c>
      <c r="R87" s="194"/>
      <c r="S87" s="194"/>
      <c r="T87" s="194"/>
      <c r="U87" s="194"/>
    </row>
    <row r="88" spans="1:21" s="12" customFormat="1" ht="15">
      <c r="A88" s="207" t="s">
        <v>2436</v>
      </c>
      <c r="B88" s="135">
        <v>5.95</v>
      </c>
      <c r="C88" s="135">
        <v>12.74</v>
      </c>
      <c r="D88" s="135">
        <v>18.690000000000001</v>
      </c>
      <c r="E88" s="135">
        <v>4.1500000000000004</v>
      </c>
      <c r="F88" s="135">
        <v>0.13</v>
      </c>
      <c r="G88" s="208" t="s">
        <v>36</v>
      </c>
      <c r="H88" s="135">
        <v>6.5</v>
      </c>
      <c r="I88" s="135">
        <v>6.82</v>
      </c>
      <c r="J88" s="135">
        <v>0.41</v>
      </c>
      <c r="K88" s="135">
        <v>210.76</v>
      </c>
      <c r="L88" s="9" t="s">
        <v>36</v>
      </c>
      <c r="M88" s="135">
        <v>99.09</v>
      </c>
      <c r="N88" s="135">
        <v>15.10</v>
      </c>
      <c r="O88" s="135">
        <v>0</v>
      </c>
      <c r="P88" s="135">
        <v>3.29</v>
      </c>
      <c r="Q88" s="135">
        <v>6.73</v>
      </c>
      <c r="R88" s="194"/>
      <c r="S88" s="194"/>
      <c r="T88" s="194"/>
      <c r="U88" s="194"/>
    </row>
    <row r="89" spans="1:21" s="12" customFormat="1" ht="15">
      <c r="A89" s="207" t="s">
        <v>2437</v>
      </c>
      <c r="B89" s="135">
        <v>6.19</v>
      </c>
      <c r="C89" s="135">
        <v>12.65</v>
      </c>
      <c r="D89" s="135">
        <v>18.84</v>
      </c>
      <c r="E89" s="135">
        <v>8.0399999999999991</v>
      </c>
      <c r="F89" s="135">
        <v>0.11</v>
      </c>
      <c r="G89" s="208" t="s">
        <v>36</v>
      </c>
      <c r="H89" s="135">
        <v>6.64</v>
      </c>
      <c r="I89" s="135">
        <v>6.95</v>
      </c>
      <c r="J89" s="135">
        <v>0.44</v>
      </c>
      <c r="K89" s="135">
        <v>204.90</v>
      </c>
      <c r="L89" s="9" t="s">
        <v>36</v>
      </c>
      <c r="M89" s="135">
        <v>99.10</v>
      </c>
      <c r="N89" s="135">
        <v>15</v>
      </c>
      <c r="O89" s="135">
        <v>0</v>
      </c>
      <c r="P89" s="135">
        <v>3.29</v>
      </c>
      <c r="Q89" s="135">
        <v>6.89</v>
      </c>
      <c r="R89" s="194"/>
      <c r="S89" s="194"/>
      <c r="T89" s="194"/>
      <c r="U89" s="194"/>
    </row>
    <row r="90" spans="1:21" s="12" customFormat="1" ht="15">
      <c r="A90" s="207" t="s">
        <v>2438</v>
      </c>
      <c r="B90" s="135">
        <v>6.44</v>
      </c>
      <c r="C90" s="135">
        <v>12.83</v>
      </c>
      <c r="D90" s="135">
        <v>19.27</v>
      </c>
      <c r="E90" s="135">
        <v>8.6199999999999992</v>
      </c>
      <c r="F90" s="135">
        <v>0.070000000000000007</v>
      </c>
      <c r="G90" s="208" t="s">
        <v>36</v>
      </c>
      <c r="H90" s="135">
        <v>6.97</v>
      </c>
      <c r="I90" s="135">
        <v>6.95</v>
      </c>
      <c r="J90" s="135">
        <v>0.51</v>
      </c>
      <c r="K90" s="135">
        <v>194.63</v>
      </c>
      <c r="L90" s="9" t="s">
        <v>36</v>
      </c>
      <c r="M90" s="135">
        <v>99.10</v>
      </c>
      <c r="N90" s="135">
        <v>15</v>
      </c>
      <c r="O90" s="135">
        <v>0</v>
      </c>
      <c r="P90" s="135">
        <v>3.30</v>
      </c>
      <c r="Q90" s="135">
        <v>7.11</v>
      </c>
      <c r="R90" s="194"/>
      <c r="S90" s="194"/>
      <c r="T90" s="194"/>
      <c r="U90" s="194"/>
    </row>
    <row r="91" spans="1:21" s="12" customFormat="1" ht="15">
      <c r="A91" s="207" t="s">
        <v>2439</v>
      </c>
      <c r="B91" s="135">
        <v>6.66</v>
      </c>
      <c r="C91" s="135">
        <v>12.55</v>
      </c>
      <c r="D91" s="135">
        <v>19.21</v>
      </c>
      <c r="E91" s="135">
        <v>8.0299999999999994</v>
      </c>
      <c r="F91" s="135">
        <v>0.31</v>
      </c>
      <c r="G91" s="208" t="s">
        <v>36</v>
      </c>
      <c r="H91" s="135">
        <v>6.97</v>
      </c>
      <c r="I91" s="135">
        <v>6.62</v>
      </c>
      <c r="J91" s="135">
        <v>0.21</v>
      </c>
      <c r="K91" s="135">
        <v>212.70</v>
      </c>
      <c r="L91" s="9" t="s">
        <v>36</v>
      </c>
      <c r="M91" s="135">
        <v>99.10</v>
      </c>
      <c r="N91" s="135">
        <v>15.10</v>
      </c>
      <c r="O91" s="135">
        <v>0</v>
      </c>
      <c r="P91" s="135">
        <v>3.32</v>
      </c>
      <c r="Q91" s="135">
        <v>7.20</v>
      </c>
      <c r="R91" s="194"/>
      <c r="S91" s="194"/>
      <c r="T91" s="194"/>
      <c r="U91" s="194"/>
    </row>
    <row r="92" spans="1:21" s="12" customFormat="1" ht="15">
      <c r="A92" s="207" t="s">
        <v>2440</v>
      </c>
      <c r="B92" s="135">
        <v>6.68</v>
      </c>
      <c r="C92" s="135">
        <v>13.03</v>
      </c>
      <c r="D92" s="135">
        <v>19.71</v>
      </c>
      <c r="E92" s="135">
        <v>8.5299999999999994</v>
      </c>
      <c r="F92" s="135">
        <v>0.13</v>
      </c>
      <c r="G92" s="208" t="s">
        <v>36</v>
      </c>
      <c r="H92" s="135">
        <v>6.97</v>
      </c>
      <c r="I92" s="135">
        <v>6.94</v>
      </c>
      <c r="J92" s="135">
        <v>0.23</v>
      </c>
      <c r="K92" s="135">
        <v>203.30</v>
      </c>
      <c r="L92" s="9" t="s">
        <v>36</v>
      </c>
      <c r="M92" s="135">
        <v>99.08</v>
      </c>
      <c r="N92" s="135">
        <v>15</v>
      </c>
      <c r="O92" s="135">
        <v>0</v>
      </c>
      <c r="P92" s="135">
        <v>3.32</v>
      </c>
      <c r="Q92" s="135">
        <v>7.21</v>
      </c>
      <c r="R92" s="194"/>
      <c r="S92" s="194"/>
      <c r="T92" s="194"/>
      <c r="U92" s="194"/>
    </row>
    <row r="93" spans="1:21" s="12" customFormat="1" ht="15">
      <c r="A93" s="207" t="s">
        <v>2441</v>
      </c>
      <c r="B93" s="135">
        <v>6.35</v>
      </c>
      <c r="C93" s="135">
        <v>12.91</v>
      </c>
      <c r="D93" s="135">
        <v>19.260000000000002</v>
      </c>
      <c r="E93" s="135">
        <v>7.90</v>
      </c>
      <c r="F93" s="135">
        <v>0.42</v>
      </c>
      <c r="G93" s="208" t="s">
        <v>36</v>
      </c>
      <c r="H93" s="135">
        <v>7</v>
      </c>
      <c r="I93" s="135">
        <v>6.99</v>
      </c>
      <c r="J93" s="135">
        <v>0.11</v>
      </c>
      <c r="K93" s="135">
        <v>214.35</v>
      </c>
      <c r="L93" s="9" t="s">
        <v>36</v>
      </c>
      <c r="M93" s="135">
        <v>99.08</v>
      </c>
      <c r="N93" s="135">
        <v>15</v>
      </c>
      <c r="O93" s="135">
        <v>0</v>
      </c>
      <c r="P93" s="135">
        <v>3.31</v>
      </c>
      <c r="Q93" s="135">
        <v>6.92</v>
      </c>
      <c r="R93" s="194"/>
      <c r="S93" s="194"/>
      <c r="T93" s="194"/>
      <c r="U93" s="194"/>
    </row>
    <row r="94" spans="1:21" s="12" customFormat="1" ht="15">
      <c r="A94" s="207" t="s">
        <v>2442</v>
      </c>
      <c r="B94" s="135">
        <v>6.07</v>
      </c>
      <c r="C94" s="135">
        <v>13.01</v>
      </c>
      <c r="D94" s="135">
        <v>19.079999999999998</v>
      </c>
      <c r="E94" s="135">
        <v>8.52</v>
      </c>
      <c r="F94" s="135">
        <v>0.18</v>
      </c>
      <c r="G94" s="208" t="s">
        <v>36</v>
      </c>
      <c r="H94" s="135">
        <v>7.06</v>
      </c>
      <c r="I94" s="135">
        <v>6.89</v>
      </c>
      <c r="J94" s="135">
        <v>0.16</v>
      </c>
      <c r="K94" s="135">
        <v>200.64</v>
      </c>
      <c r="L94" s="9" t="s">
        <v>36</v>
      </c>
      <c r="M94" s="135">
        <v>99.07</v>
      </c>
      <c r="N94" s="135">
        <v>15</v>
      </c>
      <c r="O94" s="135">
        <v>0</v>
      </c>
      <c r="P94" s="135">
        <v>3.29</v>
      </c>
      <c r="Q94" s="135">
        <v>6.82</v>
      </c>
      <c r="R94" s="194"/>
      <c r="S94" s="194"/>
      <c r="T94" s="194"/>
      <c r="U94" s="194"/>
    </row>
    <row r="95" spans="1:21" s="12" customFormat="1" ht="15">
      <c r="A95" s="207" t="s">
        <v>2443</v>
      </c>
      <c r="B95" s="135">
        <v>5.79</v>
      </c>
      <c r="C95" s="135">
        <v>12.88</v>
      </c>
      <c r="D95" s="135">
        <v>18.670000000000002</v>
      </c>
      <c r="E95" s="135">
        <v>8.0500000000000007</v>
      </c>
      <c r="F95" s="135">
        <v>0.16</v>
      </c>
      <c r="G95" s="208" t="s">
        <v>36</v>
      </c>
      <c r="H95" s="135">
        <v>7.06</v>
      </c>
      <c r="I95" s="135">
        <v>6.77</v>
      </c>
      <c r="J95" s="135">
        <v>0.20</v>
      </c>
      <c r="K95" s="135">
        <v>213.45</v>
      </c>
      <c r="L95" s="9" t="s">
        <v>36</v>
      </c>
      <c r="M95" s="135">
        <v>99.07</v>
      </c>
      <c r="N95" s="135">
        <v>15</v>
      </c>
      <c r="O95" s="135">
        <v>0</v>
      </c>
      <c r="P95" s="135">
        <v>3.28</v>
      </c>
      <c r="Q95" s="135">
        <v>6.46</v>
      </c>
      <c r="R95" s="194"/>
      <c r="S95" s="194"/>
      <c r="T95" s="194"/>
      <c r="U95" s="194"/>
    </row>
    <row r="96" spans="1:26" s="12" customFormat="1" ht="15">
      <c r="A96" s="207" t="s">
        <v>2444</v>
      </c>
      <c r="B96" s="135">
        <v>5.61</v>
      </c>
      <c r="C96" s="135">
        <v>12.81</v>
      </c>
      <c r="D96" s="135">
        <v>18.41</v>
      </c>
      <c r="E96" s="135">
        <v>7.98</v>
      </c>
      <c r="F96" s="135">
        <v>0.21</v>
      </c>
      <c r="G96" s="208" t="s">
        <v>36</v>
      </c>
      <c r="H96" s="135">
        <v>7.06</v>
      </c>
      <c r="I96" s="135">
        <v>6.66</v>
      </c>
      <c r="J96" s="135">
        <v>0.09</v>
      </c>
      <c r="K96" s="135">
        <v>217.32</v>
      </c>
      <c r="L96" s="9" t="s">
        <v>36</v>
      </c>
      <c r="M96" s="135">
        <v>99.04</v>
      </c>
      <c r="N96" s="135">
        <v>15</v>
      </c>
      <c r="O96" s="135">
        <v>0</v>
      </c>
      <c r="P96" s="135">
        <v>3.26</v>
      </c>
      <c r="Q96" s="135">
        <v>6.30</v>
      </c>
      <c r="R96" s="194"/>
      <c r="S96" s="194"/>
      <c r="T96" s="194"/>
      <c r="U96" s="194"/>
      <c r="Z96" s="105"/>
    </row>
    <row r="97" spans="1:21" s="12" customFormat="1" ht="15">
      <c r="A97" s="207" t="s">
        <v>2445</v>
      </c>
      <c r="B97" s="135">
        <v>5.70</v>
      </c>
      <c r="C97" s="135">
        <v>12.90</v>
      </c>
      <c r="D97" s="135">
        <v>18.600000000000001</v>
      </c>
      <c r="E97" s="135">
        <v>7.89</v>
      </c>
      <c r="F97" s="135">
        <v>0.01</v>
      </c>
      <c r="G97" s="208" t="s">
        <v>36</v>
      </c>
      <c r="H97" s="135">
        <v>6.47</v>
      </c>
      <c r="I97" s="135">
        <v>6.5</v>
      </c>
      <c r="J97" s="135">
        <v>0.20</v>
      </c>
      <c r="K97" s="135">
        <v>225.81</v>
      </c>
      <c r="L97" s="9" t="s">
        <v>36</v>
      </c>
      <c r="M97" s="135">
        <v>98.74</v>
      </c>
      <c r="N97" s="135">
        <v>15</v>
      </c>
      <c r="O97" s="135">
        <v>0</v>
      </c>
      <c r="P97" s="135">
        <v>3.26</v>
      </c>
      <c r="Q97" s="135">
        <v>6.38</v>
      </c>
      <c r="R97" s="194"/>
      <c r="S97" s="194"/>
      <c r="T97" s="194"/>
      <c r="U97" s="194"/>
    </row>
    <row r="98" spans="1:21" s="12" customFormat="1" ht="15">
      <c r="A98" s="207" t="s">
        <v>2446</v>
      </c>
      <c r="B98" s="135">
        <v>5.84</v>
      </c>
      <c r="C98" s="135">
        <v>12.59</v>
      </c>
      <c r="D98" s="135">
        <v>18.43</v>
      </c>
      <c r="E98" s="135">
        <v>8.1300000000000008</v>
      </c>
      <c r="F98" s="135">
        <v>0.01</v>
      </c>
      <c r="G98" s="208" t="s">
        <v>36</v>
      </c>
      <c r="H98" s="135">
        <v>5.03</v>
      </c>
      <c r="I98" s="135">
        <v>6.35</v>
      </c>
      <c r="J98" s="135">
        <v>0.46</v>
      </c>
      <c r="K98" s="135">
        <v>199.94</v>
      </c>
      <c r="L98" s="9" t="s">
        <v>36</v>
      </c>
      <c r="M98" s="135">
        <v>98.88</v>
      </c>
      <c r="N98" s="135">
        <v>15.20</v>
      </c>
      <c r="O98" s="135">
        <v>0</v>
      </c>
      <c r="P98" s="135">
        <v>3.25</v>
      </c>
      <c r="Q98" s="135">
        <v>6.47</v>
      </c>
      <c r="R98" s="194"/>
      <c r="S98" s="194"/>
      <c r="T98" s="194"/>
      <c r="U98" s="194"/>
    </row>
    <row r="99" spans="1:21" s="12" customFormat="1" ht="15">
      <c r="A99" s="207" t="s">
        <v>2447</v>
      </c>
      <c r="B99" s="135">
        <v>5.96</v>
      </c>
      <c r="C99" s="135">
        <v>12.09</v>
      </c>
      <c r="D99" s="135">
        <v>18.05</v>
      </c>
      <c r="E99" s="135">
        <v>8.02</v>
      </c>
      <c r="F99" s="135">
        <v>0.05</v>
      </c>
      <c r="G99" s="208" t="s">
        <v>36</v>
      </c>
      <c r="H99" s="135">
        <v>5.03</v>
      </c>
      <c r="I99" s="135">
        <v>6.09</v>
      </c>
      <c r="J99" s="135">
        <v>0.51</v>
      </c>
      <c r="K99" s="135">
        <v>204.58</v>
      </c>
      <c r="L99" s="9" t="s">
        <v>36</v>
      </c>
      <c r="M99" s="135">
        <v>98.78</v>
      </c>
      <c r="N99" s="135">
        <v>15.40</v>
      </c>
      <c r="O99" s="135">
        <v>0</v>
      </c>
      <c r="P99" s="135">
        <v>3.25</v>
      </c>
      <c r="Q99" s="135">
        <v>6.30</v>
      </c>
      <c r="R99" s="194"/>
      <c r="S99" s="194"/>
      <c r="T99" s="194"/>
      <c r="U99" s="194"/>
    </row>
    <row r="100" spans="1:33" s="12" customFormat="1" ht="15">
      <c r="A100" s="207" t="s">
        <v>2448</v>
      </c>
      <c r="B100" s="135">
        <v>5.98</v>
      </c>
      <c r="C100" s="135">
        <v>11.81</v>
      </c>
      <c r="D100" s="135">
        <v>17.80</v>
      </c>
      <c r="E100" s="135">
        <v>8.07</v>
      </c>
      <c r="F100" s="135">
        <v>0.24</v>
      </c>
      <c r="G100" s="208" t="s">
        <v>36</v>
      </c>
      <c r="H100" s="135">
        <v>5.03</v>
      </c>
      <c r="I100" s="135">
        <v>5.99</v>
      </c>
      <c r="J100" s="135">
        <v>0.57999999999999996</v>
      </c>
      <c r="K100" s="135">
        <v>202</v>
      </c>
      <c r="L100" s="9" t="s">
        <v>36</v>
      </c>
      <c r="M100" s="135">
        <v>98.99</v>
      </c>
      <c r="N100" s="135">
        <v>15.30</v>
      </c>
      <c r="O100" s="135">
        <v>0</v>
      </c>
      <c r="P100" s="135">
        <v>3.24</v>
      </c>
      <c r="Q100" s="135">
        <v>6.22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2449</v>
      </c>
      <c r="B101" s="135">
        <v>5.98</v>
      </c>
      <c r="C101" s="135">
        <v>11.56</v>
      </c>
      <c r="D101" s="135">
        <v>17.53</v>
      </c>
      <c r="E101" s="135">
        <v>8.3000000000000007</v>
      </c>
      <c r="F101" s="135">
        <v>0.12</v>
      </c>
      <c r="G101" s="208" t="s">
        <v>36</v>
      </c>
      <c r="H101" s="135">
        <v>4.9800000000000004</v>
      </c>
      <c r="I101" s="135">
        <v>6.05</v>
      </c>
      <c r="J101" s="135">
        <v>0.69</v>
      </c>
      <c r="K101" s="135">
        <v>208.16</v>
      </c>
      <c r="L101" s="9" t="s">
        <v>36</v>
      </c>
      <c r="M101" s="135">
        <v>99.02</v>
      </c>
      <c r="N101" s="135">
        <v>15.5</v>
      </c>
      <c r="O101" s="135">
        <v>0</v>
      </c>
      <c r="P101" s="135">
        <v>3.23</v>
      </c>
      <c r="Q101" s="135">
        <v>6.14</v>
      </c>
      <c r="R101" s="194"/>
      <c r="S101" s="194"/>
      <c r="T101" s="194"/>
      <c r="U101" s="194"/>
    </row>
    <row r="102" spans="1:21" s="12" customFormat="1" ht="15">
      <c r="A102" s="207" t="s">
        <v>2450</v>
      </c>
      <c r="B102" s="135">
        <v>6</v>
      </c>
      <c r="C102" s="135">
        <v>11.53</v>
      </c>
      <c r="D102" s="135">
        <v>17.53</v>
      </c>
      <c r="E102" s="135">
        <v>8.5399999999999991</v>
      </c>
      <c r="F102" s="135">
        <v>0.12</v>
      </c>
      <c r="G102" s="208" t="s">
        <v>36</v>
      </c>
      <c r="H102" s="135">
        <v>4.87</v>
      </c>
      <c r="I102" s="135">
        <v>6.09</v>
      </c>
      <c r="J102" s="135">
        <v>0.89</v>
      </c>
      <c r="K102" s="135">
        <v>202.46</v>
      </c>
      <c r="L102" s="9" t="s">
        <v>36</v>
      </c>
      <c r="M102" s="135">
        <v>98.94</v>
      </c>
      <c r="N102" s="135">
        <v>15.30</v>
      </c>
      <c r="O102" s="135">
        <v>0</v>
      </c>
      <c r="P102" s="135">
        <v>3.22</v>
      </c>
      <c r="Q102" s="135">
        <v>6.20</v>
      </c>
      <c r="R102" s="194"/>
      <c r="S102" s="194"/>
      <c r="T102" s="194"/>
      <c r="U102" s="194"/>
    </row>
    <row r="103" spans="1:21" s="12" customFormat="1" ht="15">
      <c r="A103" s="207" t="s">
        <v>2451</v>
      </c>
      <c r="B103" s="135">
        <v>6.01</v>
      </c>
      <c r="C103" s="135">
        <v>11.25</v>
      </c>
      <c r="D103" s="135">
        <v>17.260000000000002</v>
      </c>
      <c r="E103" s="135">
        <v>8.5500000000000007</v>
      </c>
      <c r="F103" s="135">
        <v>0.23</v>
      </c>
      <c r="G103" s="208" t="s">
        <v>36</v>
      </c>
      <c r="H103" s="135">
        <v>4.87</v>
      </c>
      <c r="I103" s="135">
        <v>5.94</v>
      </c>
      <c r="J103" s="135">
        <v>1.03</v>
      </c>
      <c r="K103" s="135">
        <v>200.30</v>
      </c>
      <c r="L103" s="9" t="s">
        <v>36</v>
      </c>
      <c r="M103" s="135">
        <v>99.08</v>
      </c>
      <c r="N103" s="135">
        <v>15.20</v>
      </c>
      <c r="O103" s="135">
        <v>0</v>
      </c>
      <c r="P103" s="135">
        <v>3.20</v>
      </c>
      <c r="Q103" s="135">
        <v>6.15</v>
      </c>
      <c r="R103" s="194"/>
      <c r="S103" s="194"/>
      <c r="T103" s="194"/>
      <c r="U103" s="194"/>
    </row>
    <row r="104" spans="1:21" s="12" customFormat="1" ht="15">
      <c r="A104" s="209" t="s">
        <v>2452</v>
      </c>
      <c r="B104" s="210">
        <v>6.05</v>
      </c>
      <c r="C104" s="210">
        <v>11.09</v>
      </c>
      <c r="D104" s="210">
        <v>17.14</v>
      </c>
      <c r="E104" s="210">
        <v>4.1100000000000003</v>
      </c>
      <c r="F104" s="210">
        <v>0.19</v>
      </c>
      <c r="G104" s="211" t="s">
        <v>36</v>
      </c>
      <c r="H104" s="210">
        <v>4.87</v>
      </c>
      <c r="I104" s="210">
        <v>5.94</v>
      </c>
      <c r="J104" s="210">
        <v>1.1299999999999999</v>
      </c>
      <c r="K104" s="210">
        <v>202.28</v>
      </c>
      <c r="L104" s="9" t="s">
        <v>36</v>
      </c>
      <c r="M104" s="210">
        <v>99.01</v>
      </c>
      <c r="N104" s="210">
        <v>15.30</v>
      </c>
      <c r="O104" s="210">
        <v>0</v>
      </c>
      <c r="P104" s="210">
        <v>3.20</v>
      </c>
      <c r="Q104" s="210">
        <v>6.22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5.0899999999999999</v>
      </c>
      <c r="C106" s="67">
        <f>MIN(C9:C104)</f>
        <v>9.9900000000000002</v>
      </c>
      <c r="D106" s="67">
        <f t="shared" si="0" ref="D106:Q106">MIN(D9:D104)</f>
        <v>17.140000000000001</v>
      </c>
      <c r="E106" s="67">
        <f t="shared" si="0"/>
        <v>3.48</v>
      </c>
      <c r="F106" s="67">
        <f t="shared" si="0"/>
        <v>0.01</v>
      </c>
      <c r="G106" s="67">
        <f t="shared" si="0"/>
        <v>0</v>
      </c>
      <c r="H106" s="67">
        <f t="shared" si="0"/>
        <v>4.8700000000000001</v>
      </c>
      <c r="I106" s="67">
        <f t="shared" si="0"/>
        <v>5.4900000000000002</v>
      </c>
      <c r="J106" s="67">
        <f t="shared" si="0"/>
        <v>0.01</v>
      </c>
      <c r="K106" s="67">
        <f t="shared" si="0"/>
        <v>7.1699999999999999</v>
      </c>
      <c r="L106" s="67">
        <f t="shared" si="0"/>
        <v>0</v>
      </c>
      <c r="M106" s="67">
        <f t="shared" si="0"/>
        <v>93.560000000000002</v>
      </c>
      <c r="N106" s="67">
        <f t="shared" si="0"/>
        <v>15</v>
      </c>
      <c r="O106" s="67">
        <f t="shared" si="0"/>
        <v>0</v>
      </c>
      <c r="P106" s="67">
        <f t="shared" si="0"/>
        <v>3.1699999999999999</v>
      </c>
      <c r="Q106" s="67">
        <f t="shared" si="0"/>
        <v>6.1399999999999997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23.390000000000001</v>
      </c>
      <c r="C107" s="66">
        <f t="shared" si="1" ref="C107:Q107">MAX(C9:C104)</f>
        <v>16.789999999999999</v>
      </c>
      <c r="D107" s="66">
        <f t="shared" si="1"/>
        <v>37.109999999999999</v>
      </c>
      <c r="E107" s="66">
        <f t="shared" si="1"/>
        <v>8.6199999999999992</v>
      </c>
      <c r="F107" s="66">
        <f t="shared" si="1"/>
        <v>1.6000000000000001</v>
      </c>
      <c r="G107" s="66">
        <f t="shared" si="1"/>
        <v>0</v>
      </c>
      <c r="H107" s="66">
        <f t="shared" si="1"/>
        <v>25.899999999999999</v>
      </c>
      <c r="I107" s="66">
        <f t="shared" si="1"/>
        <v>8.5199999999999996</v>
      </c>
      <c r="J107" s="66">
        <f t="shared" si="1"/>
        <v>1.6200000000000001</v>
      </c>
      <c r="K107" s="66">
        <f t="shared" si="1"/>
        <v>355.06999999999999</v>
      </c>
      <c r="L107" s="66">
        <f t="shared" si="1"/>
        <v>0</v>
      </c>
      <c r="M107" s="66">
        <f t="shared" si="1"/>
        <v>99.099999999999994</v>
      </c>
      <c r="N107" s="66">
        <f t="shared" si="1"/>
        <v>228.30000000000001</v>
      </c>
      <c r="O107" s="66">
        <f t="shared" si="1"/>
        <v>10.199999999999999</v>
      </c>
      <c r="P107" s="66">
        <f t="shared" si="1"/>
        <v>3.8599999999999999</v>
      </c>
      <c r="Q107" s="66">
        <f t="shared" si="1"/>
        <v>14.92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11.887395833333331</v>
      </c>
      <c r="C108" s="67">
        <f t="shared" si="2" ref="C108:Q108">AVERAGE(C9:C104)</f>
        <v>12.992395833333328</v>
      </c>
      <c r="D108" s="67">
        <f t="shared" si="2"/>
        <v>24.879791666666673</v>
      </c>
      <c r="E108" s="67">
        <f t="shared" si="2"/>
        <v>7.3594791666666639</v>
      </c>
      <c r="F108" s="67">
        <f t="shared" si="2"/>
        <v>0.19347368421052638</v>
      </c>
      <c r="G108" s="67" t="e">
        <f t="shared" si="2"/>
        <v>#DIV/0!</v>
      </c>
      <c r="H108" s="67">
        <f t="shared" si="2"/>
        <v>10.884062499999997</v>
      </c>
      <c r="I108" s="67">
        <f t="shared" si="2"/>
        <v>6.8477083333333377</v>
      </c>
      <c r="J108" s="67">
        <f t="shared" si="2"/>
        <v>0.39052083333333343</v>
      </c>
      <c r="K108" s="67">
        <f t="shared" si="2"/>
        <v>214.17281249999994</v>
      </c>
      <c r="L108" s="67" t="e">
        <f t="shared" si="2"/>
        <v>#DIV/0!</v>
      </c>
      <c r="M108" s="67">
        <f t="shared" si="2"/>
        <v>98.704895833333453</v>
      </c>
      <c r="N108" s="67">
        <f t="shared" si="2"/>
        <v>52.851041666666681</v>
      </c>
      <c r="O108" s="67">
        <f t="shared" si="2"/>
        <v>0.75</v>
      </c>
      <c r="P108" s="67">
        <f t="shared" si="2"/>
        <v>3.3269791666666673</v>
      </c>
      <c r="Q108" s="67">
        <f t="shared" si="2"/>
        <v>9.6913541666666685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5.9869987639518838</v>
      </c>
      <c r="C109" s="67">
        <f t="shared" si="3" ref="C109:Q109">STDEV(C9:C104)</f>
        <v>1.9100017882558196</v>
      </c>
      <c r="D109" s="67">
        <f t="shared" si="3"/>
        <v>5.7084019294123918</v>
      </c>
      <c r="E109" s="67">
        <f t="shared" si="3"/>
        <v>1.0832615175251528</v>
      </c>
      <c r="F109" s="67">
        <f t="shared" si="3"/>
        <v>0.19403206809455001</v>
      </c>
      <c r="G109" s="67" t="e">
        <f t="shared" si="3"/>
        <v>#DIV/0!</v>
      </c>
      <c r="H109" s="67">
        <f t="shared" si="3"/>
        <v>4.9097343862393448</v>
      </c>
      <c r="I109" s="67">
        <f t="shared" si="3"/>
        <v>0.80376545304504143</v>
      </c>
      <c r="J109" s="67">
        <f t="shared" si="3"/>
        <v>0.3596207645537805</v>
      </c>
      <c r="K109" s="67">
        <f t="shared" si="3"/>
        <v>69.913888322905265</v>
      </c>
      <c r="L109" s="67" t="e">
        <f t="shared" si="3"/>
        <v>#DIV/0!</v>
      </c>
      <c r="M109" s="67">
        <f t="shared" si="3"/>
        <v>1.2012949108022115</v>
      </c>
      <c r="N109" s="67">
        <f t="shared" si="3"/>
        <v>48.407252598827235</v>
      </c>
      <c r="O109" s="67">
        <f t="shared" si="3"/>
        <v>2.0780557715022194</v>
      </c>
      <c r="P109" s="67">
        <f t="shared" si="3"/>
        <v>0.15943399750807072</v>
      </c>
      <c r="Q109" s="67">
        <f t="shared" si="3"/>
        <v>2.7956005361024117</v>
      </c>
      <c r="R109" s="195"/>
      <c r="S109" s="195"/>
      <c r="T109" s="195"/>
      <c r="U109" s="195"/>
    </row>
    <row r="110" spans="1:22" ht="15">
      <c r="A110" s="65" t="s">
        <v>62</v>
      </c>
      <c r="B110" s="66">
        <f>COUNT(B9:B104)</f>
        <v>96</v>
      </c>
      <c r="C110" s="66">
        <f t="shared" si="4" ref="C110:Q110">COUNT(C9:C104)</f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39d071-4490-4434-b3c5-74f67165a227}">
  <sheetPr codeName=""/>
  <dimension ref="A1:AG117"/>
  <sheetViews>
    <sheetView workbookViewId="0" topLeftCell="A1">
      <pane xSplit="1" ySplit="8" topLeftCell="B81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24-07-2022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207" t="s">
        <v>2453</v>
      </c>
      <c r="B9" s="135">
        <v>5.94</v>
      </c>
      <c r="C9" s="135">
        <v>10.49</v>
      </c>
      <c r="D9" s="135">
        <v>16.43</v>
      </c>
      <c r="E9" s="135">
        <v>8.42</v>
      </c>
      <c r="F9" s="135">
        <v>0.39</v>
      </c>
      <c r="G9" s="208" t="s">
        <v>36</v>
      </c>
      <c r="H9" s="135">
        <v>4.51</v>
      </c>
      <c r="I9" s="135">
        <v>5.88</v>
      </c>
      <c r="J9" s="135">
        <v>1.18</v>
      </c>
      <c r="K9" s="135">
        <v>200.05</v>
      </c>
      <c r="L9" s="9" t="s">
        <v>36</v>
      </c>
      <c r="M9" s="135">
        <v>99.01</v>
      </c>
      <c r="N9" s="135">
        <v>15.40</v>
      </c>
      <c r="O9" s="135">
        <v>0</v>
      </c>
      <c r="P9" s="135">
        <v>3.18</v>
      </c>
      <c r="Q9" s="135">
        <v>6.18</v>
      </c>
      <c r="R9" s="194"/>
      <c r="S9" s="194"/>
      <c r="T9" s="194"/>
      <c r="U9" s="194"/>
    </row>
    <row r="10" spans="1:21" s="12" customFormat="1" ht="15">
      <c r="A10" s="207" t="s">
        <v>2454</v>
      </c>
      <c r="B10" s="135">
        <v>5.57</v>
      </c>
      <c r="C10" s="135">
        <v>10.77</v>
      </c>
      <c r="D10" s="135">
        <v>16.34</v>
      </c>
      <c r="E10" s="135">
        <v>8.16</v>
      </c>
      <c r="F10" s="135">
        <v>0.18</v>
      </c>
      <c r="G10" s="208" t="s">
        <v>36</v>
      </c>
      <c r="H10" s="135">
        <v>3.61</v>
      </c>
      <c r="I10" s="135">
        <v>6.11</v>
      </c>
      <c r="J10" s="135">
        <v>1.1599999999999999</v>
      </c>
      <c r="K10" s="135">
        <v>201.83</v>
      </c>
      <c r="L10" s="9" t="s">
        <v>36</v>
      </c>
      <c r="M10" s="135">
        <v>98.95</v>
      </c>
      <c r="N10" s="135">
        <v>15.30</v>
      </c>
      <c r="O10" s="135">
        <v>0</v>
      </c>
      <c r="P10" s="135">
        <v>3.17</v>
      </c>
      <c r="Q10" s="135">
        <v>6.14</v>
      </c>
      <c r="R10" s="194"/>
      <c r="S10" s="194"/>
      <c r="T10" s="194"/>
      <c r="U10" s="194"/>
    </row>
    <row r="11" spans="1:21" s="12" customFormat="1" ht="15">
      <c r="A11" s="207" t="s">
        <v>2455</v>
      </c>
      <c r="B11" s="135">
        <v>5.0999999999999996</v>
      </c>
      <c r="C11" s="135">
        <v>10.88</v>
      </c>
      <c r="D11" s="135">
        <v>15.98</v>
      </c>
      <c r="E11" s="135">
        <v>7.97</v>
      </c>
      <c r="F11" s="135">
        <v>0.20</v>
      </c>
      <c r="G11" s="208" t="s">
        <v>36</v>
      </c>
      <c r="H11" s="135">
        <v>3.61</v>
      </c>
      <c r="I11" s="135">
        <v>5.90</v>
      </c>
      <c r="J11" s="135">
        <v>0.95</v>
      </c>
      <c r="K11" s="135">
        <v>204.10</v>
      </c>
      <c r="L11" s="9" t="s">
        <v>36</v>
      </c>
      <c r="M11" s="135">
        <v>98.47</v>
      </c>
      <c r="N11" s="135">
        <v>15.40</v>
      </c>
      <c r="O11" s="135">
        <v>0</v>
      </c>
      <c r="P11" s="135">
        <v>3.15</v>
      </c>
      <c r="Q11" s="135">
        <v>5.98</v>
      </c>
      <c r="R11" s="194"/>
      <c r="S11" s="194"/>
      <c r="T11" s="194"/>
      <c r="U11" s="194"/>
    </row>
    <row r="12" spans="1:21" s="12" customFormat="1" ht="15">
      <c r="A12" s="207" t="s">
        <v>2456</v>
      </c>
      <c r="B12" s="135">
        <v>4.5599999999999996</v>
      </c>
      <c r="C12" s="135">
        <v>10.85</v>
      </c>
      <c r="D12" s="135">
        <v>15.41</v>
      </c>
      <c r="E12" s="135">
        <v>8.02</v>
      </c>
      <c r="F12" s="135">
        <v>0.27</v>
      </c>
      <c r="G12" s="208" t="s">
        <v>36</v>
      </c>
      <c r="H12" s="135">
        <v>3.61</v>
      </c>
      <c r="I12" s="135">
        <v>5.79</v>
      </c>
      <c r="J12" s="135">
        <v>0.84</v>
      </c>
      <c r="K12" s="135">
        <v>203.18</v>
      </c>
      <c r="L12" s="9" t="s">
        <v>36</v>
      </c>
      <c r="M12" s="135">
        <v>97.58</v>
      </c>
      <c r="N12" s="135">
        <v>15.40</v>
      </c>
      <c r="O12" s="135">
        <v>0</v>
      </c>
      <c r="P12" s="135">
        <v>3.12</v>
      </c>
      <c r="Q12" s="135">
        <v>5.59</v>
      </c>
      <c r="R12" s="194"/>
      <c r="S12" s="194"/>
      <c r="T12" s="194"/>
      <c r="U12" s="194"/>
    </row>
    <row r="13" spans="1:21" s="12" customFormat="1" ht="15">
      <c r="A13" s="207" t="s">
        <v>2457</v>
      </c>
      <c r="B13" s="135">
        <v>4.04</v>
      </c>
      <c r="C13" s="135">
        <v>10.76</v>
      </c>
      <c r="D13" s="135">
        <v>14.80</v>
      </c>
      <c r="E13" s="135">
        <v>7.86</v>
      </c>
      <c r="F13" s="135">
        <v>0.21</v>
      </c>
      <c r="G13" s="208" t="s">
        <v>36</v>
      </c>
      <c r="H13" s="135">
        <v>3.31</v>
      </c>
      <c r="I13" s="135">
        <v>5.65</v>
      </c>
      <c r="J13" s="135">
        <v>0.83</v>
      </c>
      <c r="K13" s="135">
        <v>203.14</v>
      </c>
      <c r="L13" s="9" t="s">
        <v>36</v>
      </c>
      <c r="M13" s="135">
        <v>97.58</v>
      </c>
      <c r="N13" s="135">
        <v>15.40</v>
      </c>
      <c r="O13" s="135">
        <v>0</v>
      </c>
      <c r="P13" s="135">
        <v>3.09</v>
      </c>
      <c r="Q13" s="135">
        <v>5.30</v>
      </c>
      <c r="R13" s="194"/>
      <c r="S13" s="194"/>
      <c r="T13" s="194"/>
      <c r="U13" s="194"/>
    </row>
    <row r="14" spans="1:21" s="12" customFormat="1" ht="15">
      <c r="A14" s="207" t="s">
        <v>2458</v>
      </c>
      <c r="B14" s="135">
        <v>3.63</v>
      </c>
      <c r="C14" s="135">
        <v>10.72</v>
      </c>
      <c r="D14" s="135">
        <v>14.34</v>
      </c>
      <c r="E14" s="135">
        <v>7.58</v>
      </c>
      <c r="F14" s="135">
        <v>0.10</v>
      </c>
      <c r="G14" s="208" t="s">
        <v>36</v>
      </c>
      <c r="H14" s="135">
        <v>2.57</v>
      </c>
      <c r="I14" s="135">
        <v>5.44</v>
      </c>
      <c r="J14" s="135">
        <v>0.97</v>
      </c>
      <c r="K14" s="135">
        <v>199.26</v>
      </c>
      <c r="L14" s="9" t="s">
        <v>36</v>
      </c>
      <c r="M14" s="135">
        <v>97.66</v>
      </c>
      <c r="N14" s="135">
        <v>15.30</v>
      </c>
      <c r="O14" s="135">
        <v>0</v>
      </c>
      <c r="P14" s="135">
        <v>3.07</v>
      </c>
      <c r="Q14" s="135">
        <v>5.1100000000000003</v>
      </c>
      <c r="R14" s="194"/>
      <c r="S14" s="194"/>
      <c r="T14" s="194"/>
      <c r="U14" s="194"/>
    </row>
    <row r="15" spans="1:21" s="12" customFormat="1" ht="15">
      <c r="A15" s="207" t="s">
        <v>2459</v>
      </c>
      <c r="B15" s="135">
        <v>3.25</v>
      </c>
      <c r="C15" s="135">
        <v>10.60</v>
      </c>
      <c r="D15" s="135">
        <v>13.85</v>
      </c>
      <c r="E15" s="135">
        <v>7.81</v>
      </c>
      <c r="F15" s="135">
        <v>0.15</v>
      </c>
      <c r="G15" s="208" t="s">
        <v>36</v>
      </c>
      <c r="H15" s="135">
        <v>2.57</v>
      </c>
      <c r="I15" s="135">
        <v>5.33</v>
      </c>
      <c r="J15" s="135">
        <v>0.80</v>
      </c>
      <c r="K15" s="135">
        <v>198.47</v>
      </c>
      <c r="L15" s="9" t="s">
        <v>36</v>
      </c>
      <c r="M15" s="135">
        <v>97.33</v>
      </c>
      <c r="N15" s="135">
        <v>15.40</v>
      </c>
      <c r="O15" s="135">
        <v>0</v>
      </c>
      <c r="P15" s="135">
        <v>3.07</v>
      </c>
      <c r="Q15" s="135">
        <v>5.38</v>
      </c>
      <c r="R15" s="194"/>
      <c r="S15" s="194"/>
      <c r="T15" s="194"/>
      <c r="U15" s="194"/>
    </row>
    <row r="16" spans="1:21" s="12" customFormat="1" ht="15">
      <c r="A16" s="207" t="s">
        <v>2460</v>
      </c>
      <c r="B16" s="135">
        <v>3</v>
      </c>
      <c r="C16" s="135">
        <v>10.74</v>
      </c>
      <c r="D16" s="135">
        <v>13.74</v>
      </c>
      <c r="E16" s="135">
        <v>7.42</v>
      </c>
      <c r="F16" s="135">
        <v>0.03</v>
      </c>
      <c r="G16" s="208" t="s">
        <v>36</v>
      </c>
      <c r="H16" s="135">
        <v>2.57</v>
      </c>
      <c r="I16" s="135">
        <v>5.16</v>
      </c>
      <c r="J16" s="135">
        <v>0.70</v>
      </c>
      <c r="K16" s="135">
        <v>199.77</v>
      </c>
      <c r="L16" s="9" t="s">
        <v>36</v>
      </c>
      <c r="M16" s="135">
        <v>96.87</v>
      </c>
      <c r="N16" s="135">
        <v>15.40</v>
      </c>
      <c r="O16" s="135">
        <v>0</v>
      </c>
      <c r="P16" s="135">
        <v>3.05</v>
      </c>
      <c r="Q16" s="135">
        <v>5.29</v>
      </c>
      <c r="R16" s="194"/>
      <c r="S16" s="194"/>
      <c r="T16" s="194"/>
      <c r="U16" s="194"/>
    </row>
    <row r="17" spans="1:21" s="12" customFormat="1" ht="15">
      <c r="A17" s="207" t="s">
        <v>2461</v>
      </c>
      <c r="B17" s="135">
        <v>2.86</v>
      </c>
      <c r="C17" s="135">
        <v>10.59</v>
      </c>
      <c r="D17" s="135">
        <v>13.45</v>
      </c>
      <c r="E17" s="135">
        <v>7.62</v>
      </c>
      <c r="F17" s="135">
        <v>0.06</v>
      </c>
      <c r="G17" s="208" t="s">
        <v>36</v>
      </c>
      <c r="H17" s="135">
        <v>3.01</v>
      </c>
      <c r="I17" s="135">
        <v>5.07</v>
      </c>
      <c r="J17" s="135">
        <v>0.47</v>
      </c>
      <c r="K17" s="135">
        <v>202.24</v>
      </c>
      <c r="L17" s="9" t="s">
        <v>36</v>
      </c>
      <c r="M17" s="135">
        <v>97.06</v>
      </c>
      <c r="N17" s="135">
        <v>15.60</v>
      </c>
      <c r="O17" s="135">
        <v>0</v>
      </c>
      <c r="P17" s="135">
        <v>3.03</v>
      </c>
      <c r="Q17" s="135">
        <v>4.80</v>
      </c>
      <c r="R17" s="194"/>
      <c r="S17" s="194"/>
      <c r="T17" s="194"/>
      <c r="U17" s="194"/>
    </row>
    <row r="18" spans="1:21" s="12" customFormat="1" ht="15">
      <c r="A18" s="207" t="s">
        <v>2462</v>
      </c>
      <c r="B18" s="135">
        <v>2.82</v>
      </c>
      <c r="C18" s="135">
        <v>10.53</v>
      </c>
      <c r="D18" s="135">
        <v>13.35</v>
      </c>
      <c r="E18" s="135">
        <v>7.66</v>
      </c>
      <c r="F18" s="135">
        <v>0.11</v>
      </c>
      <c r="G18" s="208" t="s">
        <v>36</v>
      </c>
      <c r="H18" s="135">
        <v>4.08</v>
      </c>
      <c r="I18" s="135">
        <v>5.01</v>
      </c>
      <c r="J18" s="135">
        <v>0.31</v>
      </c>
      <c r="K18" s="135">
        <v>195.93</v>
      </c>
      <c r="L18" s="9" t="s">
        <v>36</v>
      </c>
      <c r="M18" s="135">
        <v>98.20</v>
      </c>
      <c r="N18" s="135">
        <v>15.40</v>
      </c>
      <c r="O18" s="135">
        <v>0</v>
      </c>
      <c r="P18" s="135">
        <v>3.02</v>
      </c>
      <c r="Q18" s="135">
        <v>4.63</v>
      </c>
      <c r="R18" s="194"/>
      <c r="S18" s="194"/>
      <c r="T18" s="194"/>
      <c r="U18" s="194"/>
    </row>
    <row r="19" spans="1:21" s="12" customFormat="1" ht="15">
      <c r="A19" s="207" t="s">
        <v>2463</v>
      </c>
      <c r="B19" s="135">
        <v>2.82</v>
      </c>
      <c r="C19" s="135">
        <v>10.27</v>
      </c>
      <c r="D19" s="135">
        <v>13.08</v>
      </c>
      <c r="E19" s="135">
        <v>7.96</v>
      </c>
      <c r="F19" s="135">
        <v>0.05</v>
      </c>
      <c r="G19" s="208" t="s">
        <v>36</v>
      </c>
      <c r="H19" s="135">
        <v>4.08</v>
      </c>
      <c r="I19" s="135">
        <v>4.92</v>
      </c>
      <c r="J19" s="135">
        <v>0.26</v>
      </c>
      <c r="K19" s="135">
        <v>186.19</v>
      </c>
      <c r="L19" s="9" t="s">
        <v>36</v>
      </c>
      <c r="M19" s="135">
        <v>98.77</v>
      </c>
      <c r="N19" s="135">
        <v>15.40</v>
      </c>
      <c r="O19" s="135">
        <v>0</v>
      </c>
      <c r="P19" s="135">
        <v>3.01</v>
      </c>
      <c r="Q19" s="135">
        <v>4.5599999999999996</v>
      </c>
      <c r="R19" s="194"/>
      <c r="S19" s="194"/>
      <c r="T19" s="194"/>
      <c r="U19" s="194"/>
    </row>
    <row r="20" spans="1:21" s="12" customFormat="1" ht="15">
      <c r="A20" s="207" t="s">
        <v>2464</v>
      </c>
      <c r="B20" s="135">
        <v>2.80</v>
      </c>
      <c r="C20" s="135">
        <v>10.23</v>
      </c>
      <c r="D20" s="135">
        <v>13.03</v>
      </c>
      <c r="E20" s="135">
        <v>7.56</v>
      </c>
      <c r="F20" s="135">
        <v>0.13</v>
      </c>
      <c r="G20" s="208" t="s">
        <v>36</v>
      </c>
      <c r="H20" s="135">
        <v>4.08</v>
      </c>
      <c r="I20" s="135">
        <v>4.87</v>
      </c>
      <c r="J20" s="135">
        <v>0.14000000000000001</v>
      </c>
      <c r="K20" s="135">
        <v>215.97</v>
      </c>
      <c r="L20" s="9" t="s">
        <v>36</v>
      </c>
      <c r="M20" s="135">
        <v>98.35</v>
      </c>
      <c r="N20" s="135">
        <v>15.40</v>
      </c>
      <c r="O20" s="135">
        <v>0</v>
      </c>
      <c r="P20" s="135">
        <v>3</v>
      </c>
      <c r="Q20" s="135">
        <v>4.53</v>
      </c>
      <c r="R20" s="194"/>
      <c r="S20" s="194"/>
      <c r="T20" s="194"/>
      <c r="U20" s="194"/>
    </row>
    <row r="21" spans="1:21" s="12" customFormat="1" ht="15">
      <c r="A21" s="207" t="s">
        <v>2465</v>
      </c>
      <c r="B21" s="135">
        <v>2.80</v>
      </c>
      <c r="C21" s="135">
        <v>10.14</v>
      </c>
      <c r="D21" s="135">
        <v>12.94</v>
      </c>
      <c r="E21" s="135">
        <v>7.52</v>
      </c>
      <c r="F21" s="135">
        <v>0.13</v>
      </c>
      <c r="G21" s="208" t="s">
        <v>36</v>
      </c>
      <c r="H21" s="135">
        <v>5.67</v>
      </c>
      <c r="I21" s="135">
        <v>4.82</v>
      </c>
      <c r="J21" s="135">
        <v>0.24</v>
      </c>
      <c r="K21" s="135">
        <v>215.35</v>
      </c>
      <c r="L21" s="9" t="s">
        <v>36</v>
      </c>
      <c r="M21" s="135">
        <v>98.14</v>
      </c>
      <c r="N21" s="135">
        <v>15.40</v>
      </c>
      <c r="O21" s="135">
        <v>0</v>
      </c>
      <c r="P21" s="135">
        <v>2.99</v>
      </c>
      <c r="Q21" s="135">
        <v>4.49</v>
      </c>
      <c r="R21" s="194"/>
      <c r="S21" s="194"/>
      <c r="T21" s="194"/>
      <c r="U21" s="194"/>
    </row>
    <row r="22" spans="1:21" s="12" customFormat="1" ht="15">
      <c r="A22" s="207" t="s">
        <v>2466</v>
      </c>
      <c r="B22" s="135">
        <v>2.86</v>
      </c>
      <c r="C22" s="135">
        <v>10.10</v>
      </c>
      <c r="D22" s="135">
        <v>12.96</v>
      </c>
      <c r="E22" s="135">
        <v>7.64</v>
      </c>
      <c r="F22" s="135">
        <v>0.16</v>
      </c>
      <c r="G22" s="208" t="s">
        <v>36</v>
      </c>
      <c r="H22" s="135">
        <v>9.59</v>
      </c>
      <c r="I22" s="135">
        <v>4.72</v>
      </c>
      <c r="J22" s="135">
        <v>0.12</v>
      </c>
      <c r="K22" s="135">
        <v>210.32</v>
      </c>
      <c r="L22" s="9" t="s">
        <v>36</v>
      </c>
      <c r="M22" s="135">
        <v>97.59</v>
      </c>
      <c r="N22" s="135">
        <v>15.5</v>
      </c>
      <c r="O22" s="135">
        <v>0</v>
      </c>
      <c r="P22" s="135">
        <v>2.98</v>
      </c>
      <c r="Q22" s="135">
        <v>4.45</v>
      </c>
      <c r="R22" s="194"/>
      <c r="S22" s="194"/>
      <c r="T22" s="194"/>
      <c r="U22" s="194"/>
    </row>
    <row r="23" spans="1:21" s="12" customFormat="1" ht="15">
      <c r="A23" s="207" t="s">
        <v>2467</v>
      </c>
      <c r="B23" s="135">
        <v>2.84</v>
      </c>
      <c r="C23" s="135">
        <v>9.8000000000000007</v>
      </c>
      <c r="D23" s="135">
        <v>12.64</v>
      </c>
      <c r="E23" s="135">
        <v>7.88</v>
      </c>
      <c r="F23" s="135">
        <v>0.10</v>
      </c>
      <c r="G23" s="208" t="s">
        <v>36</v>
      </c>
      <c r="H23" s="135">
        <v>9.59</v>
      </c>
      <c r="I23" s="135">
        <v>4.6900000000000004</v>
      </c>
      <c r="J23" s="135">
        <v>0.16</v>
      </c>
      <c r="K23" s="135">
        <v>207.97</v>
      </c>
      <c r="L23" s="9" t="s">
        <v>36</v>
      </c>
      <c r="M23" s="135">
        <v>97.54</v>
      </c>
      <c r="N23" s="135">
        <v>15.40</v>
      </c>
      <c r="O23" s="135">
        <v>0</v>
      </c>
      <c r="P23" s="135">
        <v>2.97</v>
      </c>
      <c r="Q23" s="135">
        <v>4.42</v>
      </c>
      <c r="R23" s="194"/>
      <c r="S23" s="194"/>
      <c r="T23" s="194"/>
      <c r="U23" s="194"/>
    </row>
    <row r="24" spans="1:21" s="12" customFormat="1" ht="15">
      <c r="A24" s="207" t="s">
        <v>2468</v>
      </c>
      <c r="B24" s="135">
        <v>2.66</v>
      </c>
      <c r="C24" s="135">
        <v>9.0399999999999991</v>
      </c>
      <c r="D24" s="135">
        <v>11.70</v>
      </c>
      <c r="E24" s="135">
        <v>3.94</v>
      </c>
      <c r="F24" s="135">
        <v>0.38</v>
      </c>
      <c r="G24" s="208" t="s">
        <v>36</v>
      </c>
      <c r="H24" s="135">
        <v>9.59</v>
      </c>
      <c r="I24" s="135">
        <v>4.67</v>
      </c>
      <c r="J24" s="135">
        <v>0.08</v>
      </c>
      <c r="K24" s="135">
        <v>221.12</v>
      </c>
      <c r="L24" s="9" t="s">
        <v>36</v>
      </c>
      <c r="M24" s="135">
        <v>97.57</v>
      </c>
      <c r="N24" s="135">
        <v>15.40</v>
      </c>
      <c r="O24" s="135">
        <v>0</v>
      </c>
      <c r="P24" s="135">
        <v>2.95</v>
      </c>
      <c r="Q24" s="135">
        <v>4.34</v>
      </c>
      <c r="R24" s="194"/>
      <c r="S24" s="194"/>
      <c r="T24" s="194"/>
      <c r="U24" s="194"/>
    </row>
    <row r="25" spans="1:21" s="12" customFormat="1" ht="15">
      <c r="A25" s="207" t="s">
        <v>2469</v>
      </c>
      <c r="B25" s="135">
        <v>2.48</v>
      </c>
      <c r="C25" s="135">
        <v>9.14</v>
      </c>
      <c r="D25" s="135">
        <v>11.62</v>
      </c>
      <c r="E25" s="135">
        <v>7.10</v>
      </c>
      <c r="F25" s="135">
        <v>0.25</v>
      </c>
      <c r="G25" s="208" t="s">
        <v>36</v>
      </c>
      <c r="H25" s="135">
        <v>8.93</v>
      </c>
      <c r="I25" s="135">
        <v>4.55</v>
      </c>
      <c r="J25" s="135">
        <v>0.04</v>
      </c>
      <c r="K25" s="135">
        <v>186.65</v>
      </c>
      <c r="L25" s="9" t="s">
        <v>36</v>
      </c>
      <c r="M25" s="135">
        <v>97.87</v>
      </c>
      <c r="N25" s="135">
        <v>15.40</v>
      </c>
      <c r="O25" s="135">
        <v>0</v>
      </c>
      <c r="P25" s="135">
        <v>2.94</v>
      </c>
      <c r="Q25" s="135">
        <v>4.16</v>
      </c>
      <c r="R25" s="194"/>
      <c r="S25" s="194"/>
      <c r="T25" s="194"/>
      <c r="U25" s="194"/>
    </row>
    <row r="26" spans="1:21" s="12" customFormat="1" ht="15">
      <c r="A26" s="207" t="s">
        <v>2470</v>
      </c>
      <c r="B26" s="135">
        <v>2.34</v>
      </c>
      <c r="C26" s="135">
        <v>9.15</v>
      </c>
      <c r="D26" s="135">
        <v>11.5</v>
      </c>
      <c r="E26" s="135">
        <v>7.16</v>
      </c>
      <c r="F26" s="135">
        <v>0.08</v>
      </c>
      <c r="G26" s="208" t="s">
        <v>36</v>
      </c>
      <c r="H26" s="135">
        <v>7.29</v>
      </c>
      <c r="I26" s="135">
        <v>4.42</v>
      </c>
      <c r="J26" s="135">
        <v>0.17</v>
      </c>
      <c r="K26" s="135">
        <v>198.68</v>
      </c>
      <c r="L26" s="9" t="s">
        <v>36</v>
      </c>
      <c r="M26" s="135">
        <v>97.81</v>
      </c>
      <c r="N26" s="135">
        <v>15.20</v>
      </c>
      <c r="O26" s="135">
        <v>0</v>
      </c>
      <c r="P26" s="135">
        <v>2.93</v>
      </c>
      <c r="Q26" s="135">
        <v>3.95</v>
      </c>
      <c r="R26" s="194"/>
      <c r="S26" s="194"/>
      <c r="T26" s="194"/>
      <c r="U26" s="194"/>
    </row>
    <row r="27" spans="1:21" s="12" customFormat="1" ht="15">
      <c r="A27" s="207" t="s">
        <v>2471</v>
      </c>
      <c r="B27" s="135">
        <v>2.23</v>
      </c>
      <c r="C27" s="135">
        <v>9.15</v>
      </c>
      <c r="D27" s="135">
        <v>11.37</v>
      </c>
      <c r="E27" s="135">
        <v>7.35</v>
      </c>
      <c r="F27" s="135">
        <v>0.10</v>
      </c>
      <c r="G27" s="208" t="s">
        <v>36</v>
      </c>
      <c r="H27" s="135">
        <v>7.29</v>
      </c>
      <c r="I27" s="135">
        <v>4.30</v>
      </c>
      <c r="J27" s="135">
        <v>0.12</v>
      </c>
      <c r="K27" s="135">
        <v>226.93</v>
      </c>
      <c r="L27" s="9" t="s">
        <v>36</v>
      </c>
      <c r="M27" s="135">
        <v>97.89</v>
      </c>
      <c r="N27" s="135">
        <v>15.10</v>
      </c>
      <c r="O27" s="135">
        <v>0</v>
      </c>
      <c r="P27" s="135">
        <v>2.91</v>
      </c>
      <c r="Q27" s="135">
        <v>3.79</v>
      </c>
      <c r="R27" s="194"/>
      <c r="S27" s="194"/>
      <c r="T27" s="194"/>
      <c r="U27" s="194"/>
    </row>
    <row r="28" spans="1:21" s="12" customFormat="1" ht="15">
      <c r="A28" s="207" t="s">
        <v>2472</v>
      </c>
      <c r="B28" s="135">
        <v>2.13</v>
      </c>
      <c r="C28" s="135">
        <v>9.1300000000000008</v>
      </c>
      <c r="D28" s="135">
        <v>11.25</v>
      </c>
      <c r="E28" s="135">
        <v>7.34</v>
      </c>
      <c r="F28" s="135">
        <v>0.28999999999999998</v>
      </c>
      <c r="G28" s="208" t="s">
        <v>36</v>
      </c>
      <c r="H28" s="135">
        <v>7.29</v>
      </c>
      <c r="I28" s="135">
        <v>4.1900000000000004</v>
      </c>
      <c r="J28" s="135">
        <v>0.11</v>
      </c>
      <c r="K28" s="135">
        <v>211.71</v>
      </c>
      <c r="L28" s="9" t="s">
        <v>36</v>
      </c>
      <c r="M28" s="135">
        <v>97.87</v>
      </c>
      <c r="N28" s="135">
        <v>15.20</v>
      </c>
      <c r="O28" s="135">
        <v>0</v>
      </c>
      <c r="P28" s="135">
        <v>2.90</v>
      </c>
      <c r="Q28" s="135">
        <v>3.64</v>
      </c>
      <c r="R28" s="194"/>
      <c r="S28" s="194"/>
      <c r="T28" s="194"/>
      <c r="U28" s="194"/>
    </row>
    <row r="29" spans="1:21" s="12" customFormat="1" ht="15">
      <c r="A29" s="207" t="s">
        <v>2473</v>
      </c>
      <c r="B29" s="135">
        <v>2.11</v>
      </c>
      <c r="C29" s="135">
        <v>9.06</v>
      </c>
      <c r="D29" s="135">
        <v>11.18</v>
      </c>
      <c r="E29" s="135">
        <v>6.98</v>
      </c>
      <c r="F29" s="135">
        <v>0.14000000000000001</v>
      </c>
      <c r="G29" s="208" t="s">
        <v>36</v>
      </c>
      <c r="H29" s="135">
        <v>6.84</v>
      </c>
      <c r="I29" s="135">
        <v>4.09</v>
      </c>
      <c r="J29" s="135">
        <v>0.20</v>
      </c>
      <c r="K29" s="135">
        <v>216.49</v>
      </c>
      <c r="L29" s="9" t="s">
        <v>36</v>
      </c>
      <c r="M29" s="135">
        <v>98.33</v>
      </c>
      <c r="N29" s="135">
        <v>15.20</v>
      </c>
      <c r="O29" s="135">
        <v>0</v>
      </c>
      <c r="P29" s="135">
        <v>2.89</v>
      </c>
      <c r="Q29" s="135">
        <v>3.64</v>
      </c>
      <c r="R29" s="194"/>
      <c r="S29" s="194"/>
      <c r="T29" s="194"/>
      <c r="U29" s="194"/>
    </row>
    <row r="30" spans="1:21" s="12" customFormat="1" ht="15">
      <c r="A30" s="207" t="s">
        <v>2474</v>
      </c>
      <c r="B30" s="135">
        <v>2.12</v>
      </c>
      <c r="C30" s="135">
        <v>8.98</v>
      </c>
      <c r="D30" s="135">
        <v>11.10</v>
      </c>
      <c r="E30" s="135">
        <v>7.46</v>
      </c>
      <c r="F30" s="135">
        <v>0.11</v>
      </c>
      <c r="G30" s="208" t="s">
        <v>36</v>
      </c>
      <c r="H30" s="135">
        <v>5.74</v>
      </c>
      <c r="I30" s="135">
        <v>4</v>
      </c>
      <c r="J30" s="135">
        <v>0.27</v>
      </c>
      <c r="K30" s="135">
        <v>195.89</v>
      </c>
      <c r="L30" s="9" t="s">
        <v>36</v>
      </c>
      <c r="M30" s="135">
        <v>98.36</v>
      </c>
      <c r="N30" s="135">
        <v>15.5</v>
      </c>
      <c r="O30" s="135">
        <v>0.20</v>
      </c>
      <c r="P30" s="135">
        <v>2.89</v>
      </c>
      <c r="Q30" s="135">
        <v>3.79</v>
      </c>
      <c r="R30" s="194"/>
      <c r="S30" s="194"/>
      <c r="T30" s="194"/>
      <c r="U30" s="194"/>
    </row>
    <row r="31" spans="1:21" s="12" customFormat="1" ht="15">
      <c r="A31" s="207" t="s">
        <v>2475</v>
      </c>
      <c r="B31" s="135">
        <v>2.27</v>
      </c>
      <c r="C31" s="135">
        <v>8.94</v>
      </c>
      <c r="D31" s="135">
        <v>11.21</v>
      </c>
      <c r="E31" s="135">
        <v>7.28</v>
      </c>
      <c r="F31" s="135">
        <v>0.04</v>
      </c>
      <c r="G31" s="208" t="s">
        <v>36</v>
      </c>
      <c r="H31" s="135">
        <v>5.74</v>
      </c>
      <c r="I31" s="135">
        <v>3.97</v>
      </c>
      <c r="J31" s="135">
        <v>0.28000000000000003</v>
      </c>
      <c r="K31" s="135">
        <v>209.04</v>
      </c>
      <c r="L31" s="9" t="s">
        <v>36</v>
      </c>
      <c r="M31" s="135">
        <v>98.37</v>
      </c>
      <c r="N31" s="135">
        <v>18</v>
      </c>
      <c r="O31" s="135">
        <v>0</v>
      </c>
      <c r="P31" s="135">
        <v>2.88</v>
      </c>
      <c r="Q31" s="135">
        <v>3.68</v>
      </c>
      <c r="R31" s="194"/>
      <c r="S31" s="194"/>
      <c r="T31" s="194"/>
      <c r="U31" s="194"/>
    </row>
    <row r="32" spans="1:21" s="12" customFormat="1" ht="15">
      <c r="A32" s="207" t="s">
        <v>2476</v>
      </c>
      <c r="B32" s="135">
        <v>2.5299999999999998</v>
      </c>
      <c r="C32" s="135">
        <v>8.92</v>
      </c>
      <c r="D32" s="135">
        <v>11.46</v>
      </c>
      <c r="E32" s="135">
        <v>7.39</v>
      </c>
      <c r="F32" s="135">
        <v>0.070000000000000007</v>
      </c>
      <c r="G32" s="208" t="s">
        <v>36</v>
      </c>
      <c r="H32" s="135">
        <v>5.74</v>
      </c>
      <c r="I32" s="135">
        <v>3.94</v>
      </c>
      <c r="J32" s="135">
        <v>0.35</v>
      </c>
      <c r="K32" s="135">
        <v>170.14</v>
      </c>
      <c r="L32" s="9" t="s">
        <v>36</v>
      </c>
      <c r="M32" s="135">
        <v>98.31</v>
      </c>
      <c r="N32" s="135">
        <v>25.30</v>
      </c>
      <c r="O32" s="135">
        <v>0</v>
      </c>
      <c r="P32" s="135">
        <v>2.88</v>
      </c>
      <c r="Q32" s="135">
        <v>3.67</v>
      </c>
      <c r="R32" s="194"/>
      <c r="S32" s="194"/>
      <c r="T32" s="194"/>
      <c r="U32" s="194"/>
    </row>
    <row r="33" spans="1:21" s="12" customFormat="1" ht="15">
      <c r="A33" s="207" t="s">
        <v>2477</v>
      </c>
      <c r="B33" s="135">
        <v>2.87</v>
      </c>
      <c r="C33" s="135">
        <v>9.0500000000000007</v>
      </c>
      <c r="D33" s="135">
        <v>11.92</v>
      </c>
      <c r="E33" s="135">
        <v>7.67</v>
      </c>
      <c r="F33" s="135">
        <v>0.02</v>
      </c>
      <c r="G33" s="208" t="s">
        <v>36</v>
      </c>
      <c r="H33" s="135">
        <v>5.85</v>
      </c>
      <c r="I33" s="135">
        <v>3.98</v>
      </c>
      <c r="J33" s="135">
        <v>0.12</v>
      </c>
      <c r="K33" s="135">
        <v>213.47</v>
      </c>
      <c r="L33" s="9" t="s">
        <v>36</v>
      </c>
      <c r="M33" s="135">
        <v>98.20</v>
      </c>
      <c r="N33" s="135">
        <v>35.200000000000003</v>
      </c>
      <c r="O33" s="135">
        <v>0</v>
      </c>
      <c r="P33" s="135">
        <v>2.88</v>
      </c>
      <c r="Q33" s="135">
        <v>3.84</v>
      </c>
      <c r="R33" s="194"/>
      <c r="S33" s="194"/>
      <c r="T33" s="194"/>
      <c r="U33" s="194"/>
    </row>
    <row r="34" spans="1:21" s="12" customFormat="1" ht="15">
      <c r="A34" s="207" t="s">
        <v>2478</v>
      </c>
      <c r="B34" s="135">
        <v>3.21</v>
      </c>
      <c r="C34" s="135">
        <v>9.02</v>
      </c>
      <c r="D34" s="135">
        <v>12.23</v>
      </c>
      <c r="E34" s="135">
        <v>7.68</v>
      </c>
      <c r="F34" s="135">
        <v>0.14000000000000001</v>
      </c>
      <c r="G34" s="208" t="s">
        <v>36</v>
      </c>
      <c r="H34" s="135">
        <v>6.10</v>
      </c>
      <c r="I34" s="135">
        <v>4.01</v>
      </c>
      <c r="J34" s="135">
        <v>0.18</v>
      </c>
      <c r="K34" s="135">
        <v>209.48</v>
      </c>
      <c r="L34" s="9" t="s">
        <v>36</v>
      </c>
      <c r="M34" s="135">
        <v>97.55</v>
      </c>
      <c r="N34" s="135">
        <v>50.5</v>
      </c>
      <c r="O34" s="135">
        <v>0</v>
      </c>
      <c r="P34" s="135">
        <v>2.89</v>
      </c>
      <c r="Q34" s="135">
        <v>4.0599999999999996</v>
      </c>
      <c r="R34" s="194"/>
      <c r="S34" s="194"/>
      <c r="T34" s="194"/>
      <c r="U34" s="194"/>
    </row>
    <row r="35" spans="1:21" s="12" customFormat="1" ht="15">
      <c r="A35" s="207" t="s">
        <v>2479</v>
      </c>
      <c r="B35" s="135">
        <v>3.44</v>
      </c>
      <c r="C35" s="135">
        <v>9.02</v>
      </c>
      <c r="D35" s="135">
        <v>12.47</v>
      </c>
      <c r="E35" s="135">
        <v>7.91</v>
      </c>
      <c r="F35" s="135">
        <v>0.08</v>
      </c>
      <c r="G35" s="208" t="s">
        <v>36</v>
      </c>
      <c r="H35" s="135">
        <v>6.10</v>
      </c>
      <c r="I35" s="135">
        <v>4.01</v>
      </c>
      <c r="J35" s="135">
        <v>0.28999999999999998</v>
      </c>
      <c r="K35" s="135">
        <v>216.63</v>
      </c>
      <c r="L35" s="9" t="s">
        <v>36</v>
      </c>
      <c r="M35" s="135">
        <v>96.77</v>
      </c>
      <c r="N35" s="135">
        <v>63.40</v>
      </c>
      <c r="O35" s="135">
        <v>0</v>
      </c>
      <c r="P35" s="135">
        <v>2.88</v>
      </c>
      <c r="Q35" s="135">
        <v>4.0999999999999996</v>
      </c>
      <c r="R35" s="194"/>
      <c r="S35" s="194"/>
      <c r="T35" s="194"/>
      <c r="U35" s="194"/>
    </row>
    <row r="36" spans="1:21" s="12" customFormat="1" ht="15">
      <c r="A36" s="207" t="s">
        <v>2480</v>
      </c>
      <c r="B36" s="135">
        <v>3.65</v>
      </c>
      <c r="C36" s="135">
        <v>9.33</v>
      </c>
      <c r="D36" s="135">
        <v>12.98</v>
      </c>
      <c r="E36" s="135">
        <v>7.84</v>
      </c>
      <c r="F36" s="135">
        <v>0.02</v>
      </c>
      <c r="G36" s="208" t="s">
        <v>36</v>
      </c>
      <c r="H36" s="135">
        <v>6.10</v>
      </c>
      <c r="I36" s="135">
        <v>4.05</v>
      </c>
      <c r="J36" s="135">
        <v>0.19</v>
      </c>
      <c r="K36" s="135">
        <v>213.19</v>
      </c>
      <c r="L36" s="9" t="s">
        <v>36</v>
      </c>
      <c r="M36" s="135">
        <v>96.74</v>
      </c>
      <c r="N36" s="135">
        <v>57.5</v>
      </c>
      <c r="O36" s="135">
        <v>0</v>
      </c>
      <c r="P36" s="135">
        <v>2.88</v>
      </c>
      <c r="Q36" s="135">
        <v>4.30</v>
      </c>
      <c r="R36" s="194"/>
      <c r="S36" s="194"/>
      <c r="T36" s="194"/>
      <c r="U36" s="194"/>
    </row>
    <row r="37" spans="1:21" s="12" customFormat="1" ht="15">
      <c r="A37" s="207" t="s">
        <v>2481</v>
      </c>
      <c r="B37" s="135">
        <v>3.93</v>
      </c>
      <c r="C37" s="135">
        <v>9.25</v>
      </c>
      <c r="D37" s="135">
        <v>13.17</v>
      </c>
      <c r="E37" s="135">
        <v>8.11</v>
      </c>
      <c r="F37" s="135">
        <v>0.10</v>
      </c>
      <c r="G37" s="208" t="s">
        <v>36</v>
      </c>
      <c r="H37" s="135">
        <v>6.51</v>
      </c>
      <c r="I37" s="135">
        <v>4.1100000000000003</v>
      </c>
      <c r="J37" s="135">
        <v>0.33</v>
      </c>
      <c r="K37" s="135">
        <v>211.42</v>
      </c>
      <c r="L37" s="9" t="s">
        <v>36</v>
      </c>
      <c r="M37" s="135">
        <v>96.07</v>
      </c>
      <c r="N37" s="135">
        <v>70.30</v>
      </c>
      <c r="O37" s="135">
        <v>0</v>
      </c>
      <c r="P37" s="135">
        <v>2.89</v>
      </c>
      <c r="Q37" s="135">
        <v>4.3899999999999997</v>
      </c>
      <c r="R37" s="194"/>
      <c r="S37" s="194"/>
      <c r="T37" s="194"/>
      <c r="U37" s="194"/>
    </row>
    <row r="38" spans="1:21" s="12" customFormat="1" ht="15">
      <c r="A38" s="207" t="s">
        <v>2482</v>
      </c>
      <c r="B38" s="135">
        <v>4.1100000000000003</v>
      </c>
      <c r="C38" s="135">
        <v>8.73</v>
      </c>
      <c r="D38" s="135">
        <v>12.83</v>
      </c>
      <c r="E38" s="135">
        <v>8.10</v>
      </c>
      <c r="F38" s="135">
        <v>0.06</v>
      </c>
      <c r="G38" s="208" t="s">
        <v>36</v>
      </c>
      <c r="H38" s="135">
        <v>7.52</v>
      </c>
      <c r="I38" s="135">
        <v>4.22</v>
      </c>
      <c r="J38" s="135">
        <v>0.32</v>
      </c>
      <c r="K38" s="135">
        <v>212</v>
      </c>
      <c r="L38" s="9" t="s">
        <v>36</v>
      </c>
      <c r="M38" s="135">
        <v>96.38</v>
      </c>
      <c r="N38" s="135">
        <v>81</v>
      </c>
      <c r="O38" s="135">
        <v>0</v>
      </c>
      <c r="P38" s="135">
        <v>2.89</v>
      </c>
      <c r="Q38" s="135">
        <v>4.3499999999999996</v>
      </c>
      <c r="R38" s="194"/>
      <c r="S38" s="194"/>
      <c r="T38" s="194"/>
      <c r="U38" s="194"/>
    </row>
    <row r="39" spans="1:21" s="12" customFormat="1" ht="15">
      <c r="A39" s="207" t="s">
        <v>2483</v>
      </c>
      <c r="B39" s="135">
        <v>4.20</v>
      </c>
      <c r="C39" s="135">
        <v>8.9700000000000006</v>
      </c>
      <c r="D39" s="135">
        <v>13.17</v>
      </c>
      <c r="E39" s="135">
        <v>8.25</v>
      </c>
      <c r="F39" s="135">
        <v>0.18</v>
      </c>
      <c r="G39" s="208" t="s">
        <v>36</v>
      </c>
      <c r="H39" s="135">
        <v>7.52</v>
      </c>
      <c r="I39" s="135">
        <v>4.24</v>
      </c>
      <c r="J39" s="135">
        <v>0.24</v>
      </c>
      <c r="K39" s="135">
        <v>227.72</v>
      </c>
      <c r="L39" s="9" t="s">
        <v>36</v>
      </c>
      <c r="M39" s="135">
        <v>95.51</v>
      </c>
      <c r="N39" s="135">
        <v>87.90</v>
      </c>
      <c r="O39" s="135">
        <v>0</v>
      </c>
      <c r="P39" s="135">
        <v>2.89</v>
      </c>
      <c r="Q39" s="135">
        <v>4.49</v>
      </c>
      <c r="R39" s="194"/>
      <c r="S39" s="194"/>
      <c r="T39" s="194"/>
      <c r="U39" s="194"/>
    </row>
    <row r="40" spans="1:21" s="12" customFormat="1" ht="15">
      <c r="A40" s="207" t="s">
        <v>2484</v>
      </c>
      <c r="B40" s="135">
        <v>4.28</v>
      </c>
      <c r="C40" s="135">
        <v>9.17</v>
      </c>
      <c r="D40" s="135">
        <v>13.45</v>
      </c>
      <c r="E40" s="135">
        <v>4.1500000000000004</v>
      </c>
      <c r="F40" s="135">
        <v>0.26</v>
      </c>
      <c r="G40" s="208" t="s">
        <v>36</v>
      </c>
      <c r="H40" s="135">
        <v>7.52</v>
      </c>
      <c r="I40" s="135">
        <v>4.17</v>
      </c>
      <c r="J40" s="135">
        <v>0.30</v>
      </c>
      <c r="K40" s="135">
        <v>225.01</v>
      </c>
      <c r="L40" s="9" t="s">
        <v>36</v>
      </c>
      <c r="M40" s="135">
        <v>94.49</v>
      </c>
      <c r="N40" s="135">
        <v>101.40</v>
      </c>
      <c r="O40" s="135">
        <v>0</v>
      </c>
      <c r="P40" s="135">
        <v>2.89</v>
      </c>
      <c r="Q40" s="135">
        <v>4.51</v>
      </c>
      <c r="R40" s="194"/>
      <c r="S40" s="194"/>
      <c r="T40" s="194"/>
      <c r="U40" s="194"/>
    </row>
    <row r="41" spans="1:21" s="12" customFormat="1" ht="15">
      <c r="A41" s="207" t="s">
        <v>2485</v>
      </c>
      <c r="B41" s="135">
        <v>4.20</v>
      </c>
      <c r="C41" s="135">
        <v>9.41</v>
      </c>
      <c r="D41" s="135">
        <v>13.61</v>
      </c>
      <c r="E41" s="135">
        <v>7.79</v>
      </c>
      <c r="F41" s="135">
        <v>0.04</v>
      </c>
      <c r="G41" s="208" t="s">
        <v>36</v>
      </c>
      <c r="H41" s="135">
        <v>7.64</v>
      </c>
      <c r="I41" s="135">
        <v>4.17</v>
      </c>
      <c r="J41" s="135">
        <v>0.19</v>
      </c>
      <c r="K41" s="135">
        <v>222.84</v>
      </c>
      <c r="L41" s="9" t="s">
        <v>36</v>
      </c>
      <c r="M41" s="135">
        <v>94.05</v>
      </c>
      <c r="N41" s="135">
        <v>92.20</v>
      </c>
      <c r="O41" s="135">
        <v>0</v>
      </c>
      <c r="P41" s="135">
        <v>2.89</v>
      </c>
      <c r="Q41" s="135">
        <v>4.49</v>
      </c>
      <c r="R41" s="194"/>
      <c r="S41" s="194"/>
      <c r="T41" s="194"/>
      <c r="U41" s="194"/>
    </row>
    <row r="42" spans="1:21" s="12" customFormat="1" ht="15">
      <c r="A42" s="207" t="s">
        <v>2486</v>
      </c>
      <c r="B42" s="135">
        <v>4.13</v>
      </c>
      <c r="C42" s="135">
        <v>9.48</v>
      </c>
      <c r="D42" s="135">
        <v>13.61</v>
      </c>
      <c r="E42" s="135">
        <v>7.82</v>
      </c>
      <c r="F42" s="135">
        <v>0.05</v>
      </c>
      <c r="G42" s="208" t="s">
        <v>36</v>
      </c>
      <c r="H42" s="135">
        <v>7.94</v>
      </c>
      <c r="I42" s="135">
        <v>4.18</v>
      </c>
      <c r="J42" s="135">
        <v>0.15</v>
      </c>
      <c r="K42" s="135">
        <v>226.35</v>
      </c>
      <c r="L42" s="9" t="s">
        <v>36</v>
      </c>
      <c r="M42" s="135">
        <v>93.82</v>
      </c>
      <c r="N42" s="135">
        <v>89.10</v>
      </c>
      <c r="O42" s="135">
        <v>0</v>
      </c>
      <c r="P42" s="135">
        <v>2.89</v>
      </c>
      <c r="Q42" s="135">
        <v>4.4000000000000004</v>
      </c>
      <c r="R42" s="194"/>
      <c r="S42" s="194"/>
      <c r="T42" s="194"/>
      <c r="U42" s="194"/>
    </row>
    <row r="43" spans="1:21" s="12" customFormat="1" ht="15">
      <c r="A43" s="207" t="s">
        <v>2487</v>
      </c>
      <c r="B43" s="135">
        <v>4.12</v>
      </c>
      <c r="C43" s="135">
        <v>9.5399999999999991</v>
      </c>
      <c r="D43" s="135">
        <v>13.66</v>
      </c>
      <c r="E43" s="135">
        <v>8.10</v>
      </c>
      <c r="F43" s="135">
        <v>0.14000000000000001</v>
      </c>
      <c r="G43" s="208" t="s">
        <v>36</v>
      </c>
      <c r="H43" s="135">
        <v>7.94</v>
      </c>
      <c r="I43" s="135">
        <v>4.1500000000000004</v>
      </c>
      <c r="J43" s="135">
        <v>0.33</v>
      </c>
      <c r="K43" s="135">
        <v>188.97</v>
      </c>
      <c r="L43" s="9" t="s">
        <v>36</v>
      </c>
      <c r="M43" s="135">
        <v>93.87</v>
      </c>
      <c r="N43" s="135">
        <v>98.70</v>
      </c>
      <c r="O43" s="135">
        <v>0</v>
      </c>
      <c r="P43" s="135">
        <v>2.89</v>
      </c>
      <c r="Q43" s="135">
        <v>4.34</v>
      </c>
      <c r="R43" s="194"/>
      <c r="S43" s="194"/>
      <c r="T43" s="194"/>
      <c r="U43" s="194"/>
    </row>
    <row r="44" spans="1:21" s="12" customFormat="1" ht="15">
      <c r="A44" s="207" t="s">
        <v>2488</v>
      </c>
      <c r="B44" s="135">
        <v>4.1399999999999997</v>
      </c>
      <c r="C44" s="135">
        <v>9.56</v>
      </c>
      <c r="D44" s="135">
        <v>13.70</v>
      </c>
      <c r="E44" s="135">
        <v>7.78</v>
      </c>
      <c r="F44" s="135">
        <v>0.06</v>
      </c>
      <c r="G44" s="208" t="s">
        <v>36</v>
      </c>
      <c r="H44" s="135">
        <v>7.94</v>
      </c>
      <c r="I44" s="135">
        <v>4.1100000000000003</v>
      </c>
      <c r="J44" s="135">
        <v>0.26</v>
      </c>
      <c r="K44" s="135">
        <v>200.94</v>
      </c>
      <c r="L44" s="9" t="s">
        <v>36</v>
      </c>
      <c r="M44" s="135">
        <v>93.12</v>
      </c>
      <c r="N44" s="135">
        <v>138.80000000000001</v>
      </c>
      <c r="O44" s="135">
        <v>0</v>
      </c>
      <c r="P44" s="135">
        <v>2.89</v>
      </c>
      <c r="Q44" s="135">
        <v>4.22</v>
      </c>
      <c r="R44" s="194"/>
      <c r="S44" s="194"/>
      <c r="T44" s="194"/>
      <c r="U44" s="194"/>
    </row>
    <row r="45" spans="1:21" s="12" customFormat="1" ht="15">
      <c r="A45" s="207" t="s">
        <v>2489</v>
      </c>
      <c r="B45" s="135">
        <v>4.12</v>
      </c>
      <c r="C45" s="135">
        <v>9.81</v>
      </c>
      <c r="D45" s="135">
        <v>13.93</v>
      </c>
      <c r="E45" s="135">
        <v>8.0299999999999994</v>
      </c>
      <c r="F45" s="208" t="s">
        <v>36</v>
      </c>
      <c r="G45" s="208" t="s">
        <v>36</v>
      </c>
      <c r="H45" s="135">
        <v>7.77</v>
      </c>
      <c r="I45" s="135">
        <v>4.09</v>
      </c>
      <c r="J45" s="135">
        <v>0.19</v>
      </c>
      <c r="K45" s="135">
        <v>202.10</v>
      </c>
      <c r="L45" s="9" t="s">
        <v>36</v>
      </c>
      <c r="M45" s="135">
        <v>91.45</v>
      </c>
      <c r="N45" s="135">
        <v>159.10</v>
      </c>
      <c r="O45" s="135">
        <v>0</v>
      </c>
      <c r="P45" s="135">
        <v>2.89</v>
      </c>
      <c r="Q45" s="135">
        <v>4.2699999999999996</v>
      </c>
      <c r="R45" s="194"/>
      <c r="S45" s="194"/>
      <c r="T45" s="194"/>
      <c r="U45" s="194"/>
    </row>
    <row r="46" spans="1:21" s="12" customFormat="1" ht="15">
      <c r="A46" s="207" t="s">
        <v>2490</v>
      </c>
      <c r="B46" s="135">
        <v>4.17</v>
      </c>
      <c r="C46" s="135">
        <v>9.77</v>
      </c>
      <c r="D46" s="135">
        <v>13.94</v>
      </c>
      <c r="E46" s="135">
        <v>7.38</v>
      </c>
      <c r="F46" s="135">
        <v>0.04</v>
      </c>
      <c r="G46" s="208" t="s">
        <v>36</v>
      </c>
      <c r="H46" s="135">
        <v>7.34</v>
      </c>
      <c r="I46" s="135">
        <v>4.0599999999999996</v>
      </c>
      <c r="J46" s="135">
        <v>0.30</v>
      </c>
      <c r="K46" s="135">
        <v>198.30</v>
      </c>
      <c r="L46" s="9" t="s">
        <v>36</v>
      </c>
      <c r="M46" s="135">
        <v>90.98</v>
      </c>
      <c r="N46" s="135">
        <v>231.5</v>
      </c>
      <c r="O46" s="135">
        <v>0</v>
      </c>
      <c r="P46" s="135">
        <v>2.90</v>
      </c>
      <c r="Q46" s="135">
        <v>4.22</v>
      </c>
      <c r="R46" s="194"/>
      <c r="S46" s="194"/>
      <c r="T46" s="194"/>
      <c r="U46" s="194"/>
    </row>
    <row r="47" spans="1:21" s="12" customFormat="1" ht="15">
      <c r="A47" s="207" t="s">
        <v>2491</v>
      </c>
      <c r="B47" s="135">
        <v>4.18</v>
      </c>
      <c r="C47" s="135">
        <v>9.7200000000000006</v>
      </c>
      <c r="D47" s="135">
        <v>13.90</v>
      </c>
      <c r="E47" s="135">
        <v>7.88</v>
      </c>
      <c r="F47" s="135">
        <v>0.070000000000000007</v>
      </c>
      <c r="G47" s="208" t="s">
        <v>36</v>
      </c>
      <c r="H47" s="135">
        <v>7.34</v>
      </c>
      <c r="I47" s="135">
        <v>4.05</v>
      </c>
      <c r="J47" s="135">
        <v>0.28000000000000003</v>
      </c>
      <c r="K47" s="135">
        <v>202.40</v>
      </c>
      <c r="L47" s="9" t="s">
        <v>36</v>
      </c>
      <c r="M47" s="135">
        <v>89.89</v>
      </c>
      <c r="N47" s="135">
        <v>326.80</v>
      </c>
      <c r="O47" s="135">
        <v>0</v>
      </c>
      <c r="P47" s="135">
        <v>2.89</v>
      </c>
      <c r="Q47" s="135">
        <v>4.1399999999999997</v>
      </c>
      <c r="R47" s="194"/>
      <c r="S47" s="194"/>
      <c r="T47" s="194"/>
      <c r="U47" s="194"/>
    </row>
    <row r="48" spans="1:21" s="12" customFormat="1" ht="15">
      <c r="A48" s="207" t="s">
        <v>2492</v>
      </c>
      <c r="B48" s="135">
        <v>3.93</v>
      </c>
      <c r="C48" s="135">
        <v>9.93</v>
      </c>
      <c r="D48" s="135">
        <v>13.86</v>
      </c>
      <c r="E48" s="135">
        <v>7.48</v>
      </c>
      <c r="F48" s="135">
        <v>0.22</v>
      </c>
      <c r="G48" s="208" t="s">
        <v>36</v>
      </c>
      <c r="H48" s="135">
        <v>7.34</v>
      </c>
      <c r="I48" s="135">
        <v>4.01</v>
      </c>
      <c r="J48" s="135">
        <v>0.37</v>
      </c>
      <c r="K48" s="135">
        <v>201.30</v>
      </c>
      <c r="L48" s="9" t="s">
        <v>36</v>
      </c>
      <c r="M48" s="135">
        <v>88.38</v>
      </c>
      <c r="N48" s="135">
        <v>354.90</v>
      </c>
      <c r="O48" s="135">
        <v>0</v>
      </c>
      <c r="P48" s="135">
        <v>2.90</v>
      </c>
      <c r="Q48" s="135">
        <v>4.0199999999999996</v>
      </c>
      <c r="R48" s="194"/>
      <c r="S48" s="194"/>
      <c r="T48" s="194"/>
      <c r="U48" s="194"/>
    </row>
    <row r="49" spans="1:21" s="12" customFormat="1" ht="15">
      <c r="A49" s="207" t="s">
        <v>2493</v>
      </c>
      <c r="B49" s="135">
        <v>3.83</v>
      </c>
      <c r="C49" s="135">
        <v>10.42</v>
      </c>
      <c r="D49" s="135">
        <v>14.25</v>
      </c>
      <c r="E49" s="135">
        <v>7.53</v>
      </c>
      <c r="F49" s="135">
        <v>0.10</v>
      </c>
      <c r="G49" s="208" t="s">
        <v>36</v>
      </c>
      <c r="H49" s="135">
        <v>7.16</v>
      </c>
      <c r="I49" s="135">
        <v>4.0199999999999996</v>
      </c>
      <c r="J49" s="135">
        <v>0.38</v>
      </c>
      <c r="K49" s="135">
        <v>267.81</v>
      </c>
      <c r="L49" s="9" t="s">
        <v>36</v>
      </c>
      <c r="M49" s="135">
        <v>86.20</v>
      </c>
      <c r="N49" s="135">
        <v>436.70</v>
      </c>
      <c r="O49" s="135">
        <v>0</v>
      </c>
      <c r="P49" s="135">
        <v>2.90</v>
      </c>
      <c r="Q49" s="135">
        <v>4.1100000000000003</v>
      </c>
      <c r="R49" s="194"/>
      <c r="S49" s="194"/>
      <c r="T49" s="194"/>
      <c r="U49" s="194"/>
    </row>
    <row r="50" spans="1:21" s="12" customFormat="1" ht="15">
      <c r="A50" s="207" t="s">
        <v>2494</v>
      </c>
      <c r="B50" s="135">
        <v>3.96</v>
      </c>
      <c r="C50" s="135">
        <v>10.89</v>
      </c>
      <c r="D50" s="135">
        <v>14.85</v>
      </c>
      <c r="E50" s="135">
        <v>7.23</v>
      </c>
      <c r="F50" s="135">
        <v>0.17</v>
      </c>
      <c r="G50" s="208" t="s">
        <v>36</v>
      </c>
      <c r="H50" s="135">
        <v>6.71</v>
      </c>
      <c r="I50" s="135">
        <v>3.98</v>
      </c>
      <c r="J50" s="135">
        <v>0.31</v>
      </c>
      <c r="K50" s="135">
        <v>205.90</v>
      </c>
      <c r="L50" s="9" t="s">
        <v>36</v>
      </c>
      <c r="M50" s="135">
        <v>82.46</v>
      </c>
      <c r="N50" s="135">
        <v>576.70000000000005</v>
      </c>
      <c r="O50" s="135">
        <v>0</v>
      </c>
      <c r="P50" s="135">
        <v>2.91</v>
      </c>
      <c r="Q50" s="135">
        <v>4.20</v>
      </c>
      <c r="R50" s="194"/>
      <c r="S50" s="194"/>
      <c r="T50" s="194"/>
      <c r="U50" s="194"/>
    </row>
    <row r="51" spans="1:21" s="12" customFormat="1" ht="15">
      <c r="A51" s="207" t="s">
        <v>2495</v>
      </c>
      <c r="B51" s="135">
        <v>3.94</v>
      </c>
      <c r="C51" s="135">
        <v>11.81</v>
      </c>
      <c r="D51" s="135">
        <v>15.75</v>
      </c>
      <c r="E51" s="135">
        <v>6.95</v>
      </c>
      <c r="F51" s="135">
        <v>0.44</v>
      </c>
      <c r="G51" s="208" t="s">
        <v>36</v>
      </c>
      <c r="H51" s="135">
        <v>6.71</v>
      </c>
      <c r="I51" s="135">
        <v>3.96</v>
      </c>
      <c r="J51" s="135">
        <v>0.10</v>
      </c>
      <c r="K51" s="135">
        <v>68.209999999999994</v>
      </c>
      <c r="L51" s="9" t="s">
        <v>36</v>
      </c>
      <c r="M51" s="135">
        <v>81.78</v>
      </c>
      <c r="N51" s="135">
        <v>410.90</v>
      </c>
      <c r="O51" s="135">
        <v>0</v>
      </c>
      <c r="P51" s="135">
        <v>2.91</v>
      </c>
      <c r="Q51" s="135">
        <v>4.2300000000000004</v>
      </c>
      <c r="R51" s="194"/>
      <c r="S51" s="194"/>
      <c r="T51" s="194"/>
      <c r="U51" s="194"/>
    </row>
    <row r="52" spans="1:21" s="12" customFormat="1" ht="15">
      <c r="A52" s="207" t="s">
        <v>2496</v>
      </c>
      <c r="B52" s="135">
        <v>4.05</v>
      </c>
      <c r="C52" s="135">
        <v>12.60</v>
      </c>
      <c r="D52" s="135">
        <v>16.649999999999999</v>
      </c>
      <c r="E52" s="135">
        <v>6.74</v>
      </c>
      <c r="F52" s="135">
        <v>0.28000000000000003</v>
      </c>
      <c r="G52" s="208" t="s">
        <v>36</v>
      </c>
      <c r="H52" s="135">
        <v>6.71</v>
      </c>
      <c r="I52" s="135">
        <v>3.99</v>
      </c>
      <c r="J52" s="135">
        <v>0.02</v>
      </c>
      <c r="K52" s="135">
        <v>179.83</v>
      </c>
      <c r="L52" s="9" t="s">
        <v>36</v>
      </c>
      <c r="M52" s="135">
        <v>82.51</v>
      </c>
      <c r="N52" s="135">
        <v>255.40</v>
      </c>
      <c r="O52" s="135">
        <v>0</v>
      </c>
      <c r="P52" s="135">
        <v>2.94</v>
      </c>
      <c r="Q52" s="135">
        <v>4.29</v>
      </c>
      <c r="R52" s="194"/>
      <c r="S52" s="194"/>
      <c r="T52" s="194"/>
      <c r="U52" s="194"/>
    </row>
    <row r="53" spans="1:21" s="12" customFormat="1" ht="15">
      <c r="A53" s="207" t="s">
        <v>2497</v>
      </c>
      <c r="B53" s="135">
        <v>4.41</v>
      </c>
      <c r="C53" s="135">
        <v>12.37</v>
      </c>
      <c r="D53" s="135">
        <v>16.78</v>
      </c>
      <c r="E53" s="135">
        <v>6.32</v>
      </c>
      <c r="F53" s="135">
        <v>0.68</v>
      </c>
      <c r="G53" s="208" t="s">
        <v>36</v>
      </c>
      <c r="H53" s="135">
        <v>7.30</v>
      </c>
      <c r="I53" s="135">
        <v>3.93</v>
      </c>
      <c r="J53" s="135">
        <v>0.34</v>
      </c>
      <c r="K53" s="135">
        <v>198.47</v>
      </c>
      <c r="L53" s="9" t="s">
        <v>36</v>
      </c>
      <c r="M53" s="135">
        <v>84.52</v>
      </c>
      <c r="N53" s="135">
        <v>157.80000000000001</v>
      </c>
      <c r="O53" s="135">
        <v>0</v>
      </c>
      <c r="P53" s="135">
        <v>2.95</v>
      </c>
      <c r="Q53" s="135">
        <v>4.38</v>
      </c>
      <c r="R53" s="194"/>
      <c r="S53" s="194"/>
      <c r="T53" s="194"/>
      <c r="U53" s="194"/>
    </row>
    <row r="54" spans="1:21" s="12" customFormat="1" ht="15">
      <c r="A54" s="207" t="s">
        <v>2498</v>
      </c>
      <c r="B54" s="135">
        <v>4.34</v>
      </c>
      <c r="C54" s="135">
        <v>12.54</v>
      </c>
      <c r="D54" s="135">
        <v>16.87</v>
      </c>
      <c r="E54" s="135">
        <v>6.51</v>
      </c>
      <c r="F54" s="135">
        <v>0.17</v>
      </c>
      <c r="G54" s="208" t="s">
        <v>36</v>
      </c>
      <c r="H54" s="135">
        <v>8.74</v>
      </c>
      <c r="I54" s="135">
        <v>3.90</v>
      </c>
      <c r="J54" s="135">
        <v>0.28999999999999998</v>
      </c>
      <c r="K54" s="135">
        <v>216.13</v>
      </c>
      <c r="L54" s="9" t="s">
        <v>36</v>
      </c>
      <c r="M54" s="135">
        <v>86.23</v>
      </c>
      <c r="N54" s="135">
        <v>222.80</v>
      </c>
      <c r="O54" s="135">
        <v>0</v>
      </c>
      <c r="P54" s="135">
        <v>2.98</v>
      </c>
      <c r="Q54" s="135">
        <v>4.4400000000000004</v>
      </c>
      <c r="R54" s="194"/>
      <c r="S54" s="194"/>
      <c r="T54" s="194"/>
      <c r="U54" s="194"/>
    </row>
    <row r="55" spans="1:21" s="12" customFormat="1" ht="15">
      <c r="A55" s="207" t="s">
        <v>2499</v>
      </c>
      <c r="B55" s="135">
        <v>4.3099999999999996</v>
      </c>
      <c r="C55" s="135">
        <v>12.5</v>
      </c>
      <c r="D55" s="135">
        <v>16.809999999999999</v>
      </c>
      <c r="E55" s="135">
        <v>6.54</v>
      </c>
      <c r="F55" s="135">
        <v>0.09</v>
      </c>
      <c r="G55" s="208" t="s">
        <v>36</v>
      </c>
      <c r="H55" s="135">
        <v>8.74</v>
      </c>
      <c r="I55" s="135">
        <v>3.90</v>
      </c>
      <c r="J55" s="135">
        <v>0.11</v>
      </c>
      <c r="K55" s="135">
        <v>217.76</v>
      </c>
      <c r="L55" s="9" t="s">
        <v>36</v>
      </c>
      <c r="M55" s="135">
        <v>82.32</v>
      </c>
      <c r="N55" s="135">
        <v>462.20</v>
      </c>
      <c r="O55" s="135">
        <v>0</v>
      </c>
      <c r="P55" s="135">
        <v>2.99</v>
      </c>
      <c r="Q55" s="135">
        <v>4.30</v>
      </c>
      <c r="R55" s="194"/>
      <c r="S55" s="194"/>
      <c r="T55" s="194"/>
      <c r="U55" s="194"/>
    </row>
    <row r="56" spans="1:21" s="12" customFormat="1" ht="15">
      <c r="A56" s="207" t="s">
        <v>2500</v>
      </c>
      <c r="B56" s="135">
        <v>4.26</v>
      </c>
      <c r="C56" s="135">
        <v>12.29</v>
      </c>
      <c r="D56" s="135">
        <v>16.55</v>
      </c>
      <c r="E56" s="135">
        <v>3.29</v>
      </c>
      <c r="F56" s="135">
        <v>0.27</v>
      </c>
      <c r="G56" s="208" t="s">
        <v>36</v>
      </c>
      <c r="H56" s="135">
        <v>8.74</v>
      </c>
      <c r="I56" s="135">
        <v>3.97</v>
      </c>
      <c r="J56" s="135">
        <v>0.27</v>
      </c>
      <c r="K56" s="135">
        <v>202.59</v>
      </c>
      <c r="L56" s="9" t="s">
        <v>36</v>
      </c>
      <c r="M56" s="135">
        <v>81.30</v>
      </c>
      <c r="N56" s="135">
        <v>460.80</v>
      </c>
      <c r="O56" s="135">
        <v>0</v>
      </c>
      <c r="P56" s="135">
        <v>2.99</v>
      </c>
      <c r="Q56" s="135">
        <v>4.1399999999999997</v>
      </c>
      <c r="R56" s="194"/>
      <c r="S56" s="194"/>
      <c r="T56" s="194"/>
      <c r="U56" s="194"/>
    </row>
    <row r="57" spans="1:21" s="12" customFormat="1" ht="15">
      <c r="A57" s="207" t="s">
        <v>2501</v>
      </c>
      <c r="B57" s="135">
        <v>3.76</v>
      </c>
      <c r="C57" s="135">
        <v>12.15</v>
      </c>
      <c r="D57" s="135">
        <v>15.91</v>
      </c>
      <c r="E57" s="135">
        <v>5.37</v>
      </c>
      <c r="F57" s="135">
        <v>0.34</v>
      </c>
      <c r="G57" s="208" t="s">
        <v>36</v>
      </c>
      <c r="H57" s="135">
        <v>9.07</v>
      </c>
      <c r="I57" s="135">
        <v>4.0199999999999996</v>
      </c>
      <c r="J57" s="135">
        <v>0.070000000000000007</v>
      </c>
      <c r="K57" s="135">
        <v>267.64999999999998</v>
      </c>
      <c r="L57" s="9" t="s">
        <v>36</v>
      </c>
      <c r="M57" s="135">
        <v>81.88</v>
      </c>
      <c r="N57" s="135">
        <v>218.30</v>
      </c>
      <c r="O57" s="135">
        <v>0</v>
      </c>
      <c r="P57" s="135">
        <v>2.98</v>
      </c>
      <c r="Q57" s="135">
        <v>3.84</v>
      </c>
      <c r="R57" s="194"/>
      <c r="S57" s="194"/>
      <c r="T57" s="194"/>
      <c r="U57" s="194"/>
    </row>
    <row r="58" spans="1:21" s="12" customFormat="1" ht="15">
      <c r="A58" s="207" t="s">
        <v>2502</v>
      </c>
      <c r="B58" s="135">
        <v>3.57</v>
      </c>
      <c r="C58" s="135">
        <v>12.36</v>
      </c>
      <c r="D58" s="135">
        <v>15.94</v>
      </c>
      <c r="E58" s="135">
        <v>5.46</v>
      </c>
      <c r="F58" s="135">
        <v>0.34</v>
      </c>
      <c r="G58" s="208" t="s">
        <v>36</v>
      </c>
      <c r="H58" s="135">
        <v>9.8800000000000008</v>
      </c>
      <c r="I58" s="135">
        <v>3.93</v>
      </c>
      <c r="J58" s="135">
        <v>0.06</v>
      </c>
      <c r="K58" s="135">
        <v>188.76</v>
      </c>
      <c r="L58" s="9" t="s">
        <v>36</v>
      </c>
      <c r="M58" s="135">
        <v>83.84</v>
      </c>
      <c r="N58" s="135">
        <v>226.40</v>
      </c>
      <c r="O58" s="135">
        <v>0</v>
      </c>
      <c r="P58" s="135">
        <v>2.99</v>
      </c>
      <c r="Q58" s="135">
        <v>3.78</v>
      </c>
      <c r="R58" s="194"/>
      <c r="S58" s="194"/>
      <c r="T58" s="194"/>
      <c r="U58" s="194"/>
    </row>
    <row r="59" spans="1:21" s="12" customFormat="1" ht="15">
      <c r="A59" s="207" t="s">
        <v>2503</v>
      </c>
      <c r="B59" s="135">
        <v>3.59</v>
      </c>
      <c r="C59" s="135">
        <v>12.59</v>
      </c>
      <c r="D59" s="135">
        <v>16.18</v>
      </c>
      <c r="E59" s="135">
        <v>5.82</v>
      </c>
      <c r="F59" s="135">
        <v>0.38</v>
      </c>
      <c r="G59" s="208" t="s">
        <v>36</v>
      </c>
      <c r="H59" s="135">
        <v>9.8800000000000008</v>
      </c>
      <c r="I59" s="135">
        <v>3.82</v>
      </c>
      <c r="J59" s="135">
        <v>0.20</v>
      </c>
      <c r="K59" s="135">
        <v>344.37</v>
      </c>
      <c r="L59" s="9" t="s">
        <v>36</v>
      </c>
      <c r="M59" s="135">
        <v>81.52</v>
      </c>
      <c r="N59" s="135">
        <v>352.90</v>
      </c>
      <c r="O59" s="135">
        <v>0</v>
      </c>
      <c r="P59" s="135">
        <v>3</v>
      </c>
      <c r="Q59" s="135">
        <v>3.73</v>
      </c>
      <c r="R59" s="194"/>
      <c r="S59" s="194"/>
      <c r="T59" s="194"/>
      <c r="U59" s="194"/>
    </row>
    <row r="60" spans="1:21" s="12" customFormat="1" ht="15">
      <c r="A60" s="207" t="s">
        <v>2504</v>
      </c>
      <c r="B60" s="135">
        <v>3.77</v>
      </c>
      <c r="C60" s="135">
        <v>12.65</v>
      </c>
      <c r="D60" s="135">
        <v>16.41</v>
      </c>
      <c r="E60" s="135">
        <v>5.76</v>
      </c>
      <c r="F60" s="135">
        <v>0.20</v>
      </c>
      <c r="G60" s="208" t="s">
        <v>36</v>
      </c>
      <c r="H60" s="135">
        <v>9.8800000000000008</v>
      </c>
      <c r="I60" s="135">
        <v>3.86</v>
      </c>
      <c r="J60" s="135">
        <v>0.22</v>
      </c>
      <c r="K60" s="135">
        <v>346.03</v>
      </c>
      <c r="L60" s="9" t="s">
        <v>36</v>
      </c>
      <c r="M60" s="135">
        <v>77.58</v>
      </c>
      <c r="N60" s="135">
        <v>382.80</v>
      </c>
      <c r="O60" s="135">
        <v>0</v>
      </c>
      <c r="P60" s="135">
        <v>3.02</v>
      </c>
      <c r="Q60" s="135">
        <v>3.76</v>
      </c>
      <c r="R60" s="194"/>
      <c r="S60" s="194"/>
      <c r="T60" s="194"/>
      <c r="U60" s="194"/>
    </row>
    <row r="61" spans="1:21" s="12" customFormat="1" ht="15">
      <c r="A61" s="207" t="s">
        <v>2505</v>
      </c>
      <c r="B61" s="135">
        <v>4.0199999999999996</v>
      </c>
      <c r="C61" s="135">
        <v>12.77</v>
      </c>
      <c r="D61" s="135">
        <v>16.79</v>
      </c>
      <c r="E61" s="135">
        <v>5.53</v>
      </c>
      <c r="F61" s="135">
        <v>0.63</v>
      </c>
      <c r="G61" s="208" t="s">
        <v>36</v>
      </c>
      <c r="H61" s="135">
        <v>9.2200000000000006</v>
      </c>
      <c r="I61" s="135">
        <v>3.91</v>
      </c>
      <c r="J61" s="135">
        <v>0.13</v>
      </c>
      <c r="K61" s="135">
        <v>355.55</v>
      </c>
      <c r="L61" s="9" t="s">
        <v>36</v>
      </c>
      <c r="M61" s="135">
        <v>76.27</v>
      </c>
      <c r="N61" s="135">
        <v>456.90</v>
      </c>
      <c r="O61" s="135">
        <v>0</v>
      </c>
      <c r="P61" s="135">
        <v>3.03</v>
      </c>
      <c r="Q61" s="135">
        <v>3.79</v>
      </c>
      <c r="R61" s="194"/>
      <c r="S61" s="194"/>
      <c r="T61" s="194"/>
      <c r="U61" s="194"/>
    </row>
    <row r="62" spans="1:21" s="12" customFormat="1" ht="15">
      <c r="A62" s="207" t="s">
        <v>2506</v>
      </c>
      <c r="B62" s="135">
        <v>4.0999999999999996</v>
      </c>
      <c r="C62" s="135">
        <v>13.05</v>
      </c>
      <c r="D62" s="135">
        <v>17.16</v>
      </c>
      <c r="E62" s="135">
        <v>5.48</v>
      </c>
      <c r="F62" s="135">
        <v>0.61</v>
      </c>
      <c r="G62" s="208" t="s">
        <v>36</v>
      </c>
      <c r="H62" s="135">
        <v>7.57</v>
      </c>
      <c r="I62" s="135">
        <v>4.01</v>
      </c>
      <c r="J62" s="135">
        <v>0.23</v>
      </c>
      <c r="K62" s="135">
        <v>335</v>
      </c>
      <c r="L62" s="9" t="s">
        <v>36</v>
      </c>
      <c r="M62" s="135">
        <v>75</v>
      </c>
      <c r="N62" s="135">
        <v>491.30</v>
      </c>
      <c r="O62" s="135">
        <v>0</v>
      </c>
      <c r="P62" s="135">
        <v>3.04</v>
      </c>
      <c r="Q62" s="135">
        <v>3.83</v>
      </c>
      <c r="R62" s="194"/>
      <c r="S62" s="194"/>
      <c r="T62" s="194"/>
      <c r="U62" s="194"/>
    </row>
    <row r="63" spans="1:21" s="12" customFormat="1" ht="15">
      <c r="A63" s="207" t="s">
        <v>2507</v>
      </c>
      <c r="B63" s="135">
        <v>4.34</v>
      </c>
      <c r="C63" s="135">
        <v>13.17</v>
      </c>
      <c r="D63" s="135">
        <v>17.52</v>
      </c>
      <c r="E63" s="135">
        <v>5.85</v>
      </c>
      <c r="F63" s="135">
        <v>0.41</v>
      </c>
      <c r="G63" s="208" t="s">
        <v>36</v>
      </c>
      <c r="H63" s="135">
        <v>7.57</v>
      </c>
      <c r="I63" s="135">
        <v>4.17</v>
      </c>
      <c r="J63" s="135">
        <v>0.18</v>
      </c>
      <c r="K63" s="135">
        <v>332.31</v>
      </c>
      <c r="L63" s="9" t="s">
        <v>36</v>
      </c>
      <c r="M63" s="135">
        <v>73.03</v>
      </c>
      <c r="N63" s="135">
        <v>488.60</v>
      </c>
      <c r="O63" s="135">
        <v>0</v>
      </c>
      <c r="P63" s="135">
        <v>3.06</v>
      </c>
      <c r="Q63" s="135">
        <v>3.89</v>
      </c>
      <c r="R63" s="194"/>
      <c r="S63" s="194"/>
      <c r="T63" s="194"/>
      <c r="U63" s="194"/>
    </row>
    <row r="64" spans="1:21" s="12" customFormat="1" ht="15">
      <c r="A64" s="207" t="s">
        <v>2508</v>
      </c>
      <c r="B64" s="135">
        <v>4.4800000000000004</v>
      </c>
      <c r="C64" s="135">
        <v>13.21</v>
      </c>
      <c r="D64" s="135">
        <v>17.690000000000001</v>
      </c>
      <c r="E64" s="135">
        <v>5.38</v>
      </c>
      <c r="F64" s="135">
        <v>0.21</v>
      </c>
      <c r="G64" s="208" t="s">
        <v>36</v>
      </c>
      <c r="H64" s="135">
        <v>7.57</v>
      </c>
      <c r="I64" s="135">
        <v>4.26</v>
      </c>
      <c r="J64" s="135">
        <v>0.12</v>
      </c>
      <c r="K64" s="135">
        <v>26.09</v>
      </c>
      <c r="L64" s="9" t="s">
        <v>36</v>
      </c>
      <c r="M64" s="135">
        <v>73.34</v>
      </c>
      <c r="N64" s="135">
        <v>422</v>
      </c>
      <c r="O64" s="135">
        <v>0</v>
      </c>
      <c r="P64" s="135">
        <v>3.05</v>
      </c>
      <c r="Q64" s="135">
        <v>3.98</v>
      </c>
      <c r="R64" s="194"/>
      <c r="S64" s="194"/>
      <c r="T64" s="194"/>
      <c r="U64" s="194"/>
    </row>
    <row r="65" spans="1:21" s="12" customFormat="1" ht="15">
      <c r="A65" s="207" t="s">
        <v>2509</v>
      </c>
      <c r="B65" s="135">
        <v>4.41</v>
      </c>
      <c r="C65" s="135">
        <v>13.5</v>
      </c>
      <c r="D65" s="135">
        <v>17.920000000000002</v>
      </c>
      <c r="E65" s="135">
        <v>5.67</v>
      </c>
      <c r="F65" s="135">
        <v>0.26</v>
      </c>
      <c r="G65" s="208" t="s">
        <v>36</v>
      </c>
      <c r="H65" s="135">
        <v>8.3000000000000007</v>
      </c>
      <c r="I65" s="135">
        <v>4.30</v>
      </c>
      <c r="J65" s="135">
        <v>0.070000000000000007</v>
      </c>
      <c r="K65" s="135">
        <v>235.13</v>
      </c>
      <c r="L65" s="9" t="s">
        <v>36</v>
      </c>
      <c r="M65" s="135">
        <v>72.989999999999995</v>
      </c>
      <c r="N65" s="135">
        <v>440.90</v>
      </c>
      <c r="O65" s="135">
        <v>0</v>
      </c>
      <c r="P65" s="135">
        <v>3.05</v>
      </c>
      <c r="Q65" s="135">
        <v>3.99</v>
      </c>
      <c r="R65" s="194"/>
      <c r="S65" s="194"/>
      <c r="T65" s="194"/>
      <c r="U65" s="194"/>
    </row>
    <row r="66" spans="1:21" s="12" customFormat="1" ht="15">
      <c r="A66" s="207" t="s">
        <v>2510</v>
      </c>
      <c r="B66" s="135">
        <v>4.29</v>
      </c>
      <c r="C66" s="135">
        <v>14.01</v>
      </c>
      <c r="D66" s="135">
        <v>18.309999999999999</v>
      </c>
      <c r="E66" s="135">
        <v>5.52</v>
      </c>
      <c r="F66" s="135">
        <v>0.18</v>
      </c>
      <c r="G66" s="208" t="s">
        <v>36</v>
      </c>
      <c r="H66" s="135">
        <v>10.08</v>
      </c>
      <c r="I66" s="135">
        <v>4.34</v>
      </c>
      <c r="J66" s="135">
        <v>0.18</v>
      </c>
      <c r="K66" s="135">
        <v>342.15</v>
      </c>
      <c r="L66" s="9" t="s">
        <v>36</v>
      </c>
      <c r="M66" s="135">
        <v>71.790000000000006</v>
      </c>
      <c r="N66" s="135">
        <v>618</v>
      </c>
      <c r="O66" s="135">
        <v>0</v>
      </c>
      <c r="P66" s="135">
        <v>3.05</v>
      </c>
      <c r="Q66" s="135">
        <v>4.05</v>
      </c>
      <c r="R66" s="194"/>
      <c r="S66" s="194"/>
      <c r="T66" s="194"/>
      <c r="U66" s="194"/>
    </row>
    <row r="67" spans="1:21" s="12" customFormat="1" ht="15">
      <c r="A67" s="207" t="s">
        <v>2511</v>
      </c>
      <c r="B67" s="135">
        <v>4.4400000000000004</v>
      </c>
      <c r="C67" s="135">
        <v>13.75</v>
      </c>
      <c r="D67" s="135">
        <v>18.190000000000001</v>
      </c>
      <c r="E67" s="135">
        <v>5.48</v>
      </c>
      <c r="F67" s="135">
        <v>0.78</v>
      </c>
      <c r="G67" s="208" t="s">
        <v>36</v>
      </c>
      <c r="H67" s="135">
        <v>10.08</v>
      </c>
      <c r="I67" s="135">
        <v>4.4000000000000004</v>
      </c>
      <c r="J67" s="135">
        <v>0.17</v>
      </c>
      <c r="K67" s="135">
        <v>358.46</v>
      </c>
      <c r="L67" s="9" t="s">
        <v>36</v>
      </c>
      <c r="M67" s="135">
        <v>68.64</v>
      </c>
      <c r="N67" s="135">
        <v>748.90</v>
      </c>
      <c r="O67" s="135">
        <v>0</v>
      </c>
      <c r="P67" s="135">
        <v>3.05</v>
      </c>
      <c r="Q67" s="135">
        <v>4</v>
      </c>
      <c r="R67" s="194"/>
      <c r="S67" s="194"/>
      <c r="T67" s="194"/>
      <c r="U67" s="194"/>
    </row>
    <row r="68" spans="1:21" s="12" customFormat="1" ht="15">
      <c r="A68" s="207" t="s">
        <v>2512</v>
      </c>
      <c r="B68" s="135">
        <v>4.4400000000000004</v>
      </c>
      <c r="C68" s="135">
        <v>13.97</v>
      </c>
      <c r="D68" s="135">
        <v>18.41</v>
      </c>
      <c r="E68" s="135">
        <v>5.45</v>
      </c>
      <c r="F68" s="135">
        <v>0.43</v>
      </c>
      <c r="G68" s="208" t="s">
        <v>36</v>
      </c>
      <c r="H68" s="135">
        <v>10.08</v>
      </c>
      <c r="I68" s="135">
        <v>4.33</v>
      </c>
      <c r="J68" s="135">
        <v>0.03</v>
      </c>
      <c r="K68" s="135">
        <v>288.69</v>
      </c>
      <c r="L68" s="9" t="s">
        <v>36</v>
      </c>
      <c r="M68" s="135">
        <v>66.75</v>
      </c>
      <c r="N68" s="135">
        <v>783</v>
      </c>
      <c r="O68" s="135">
        <v>0</v>
      </c>
      <c r="P68" s="135">
        <v>3.07</v>
      </c>
      <c r="Q68" s="135">
        <v>4.2300000000000004</v>
      </c>
      <c r="R68" s="194"/>
      <c r="S68" s="194"/>
      <c r="T68" s="194"/>
      <c r="U68" s="194"/>
    </row>
    <row r="69" spans="1:21" s="12" customFormat="1" ht="15">
      <c r="A69" s="207" t="s">
        <v>2513</v>
      </c>
      <c r="B69" s="135">
        <v>4.25</v>
      </c>
      <c r="C69" s="135">
        <v>13.94</v>
      </c>
      <c r="D69" s="135">
        <v>18.190000000000001</v>
      </c>
      <c r="E69" s="135">
        <v>5.24</v>
      </c>
      <c r="F69" s="135">
        <v>0.64</v>
      </c>
      <c r="G69" s="208" t="s">
        <v>36</v>
      </c>
      <c r="H69" s="135">
        <v>10.67</v>
      </c>
      <c r="I69" s="135">
        <v>4.28</v>
      </c>
      <c r="J69" s="135">
        <v>0.10</v>
      </c>
      <c r="K69" s="135">
        <v>351.09</v>
      </c>
      <c r="L69" s="9" t="s">
        <v>36</v>
      </c>
      <c r="M69" s="135">
        <v>67.599999999999994</v>
      </c>
      <c r="N69" s="135">
        <v>534.60</v>
      </c>
      <c r="O69" s="135">
        <v>0</v>
      </c>
      <c r="P69" s="135">
        <v>3.04</v>
      </c>
      <c r="Q69" s="135">
        <v>3.96</v>
      </c>
      <c r="R69" s="194"/>
      <c r="S69" s="194"/>
      <c r="T69" s="194"/>
      <c r="U69" s="194"/>
    </row>
    <row r="70" spans="1:21" s="12" customFormat="1" ht="15">
      <c r="A70" s="207" t="s">
        <v>2514</v>
      </c>
      <c r="B70" s="135">
        <v>4.20</v>
      </c>
      <c r="C70" s="135">
        <v>14.11</v>
      </c>
      <c r="D70" s="135">
        <v>18.309999999999999</v>
      </c>
      <c r="E70" s="135">
        <v>4.99</v>
      </c>
      <c r="F70" s="135">
        <v>0.25</v>
      </c>
      <c r="G70" s="208" t="s">
        <v>36</v>
      </c>
      <c r="H70" s="135">
        <v>12.10</v>
      </c>
      <c r="I70" s="135">
        <v>4.22</v>
      </c>
      <c r="J70" s="135">
        <v>0.06</v>
      </c>
      <c r="K70" s="135">
        <v>344.24</v>
      </c>
      <c r="L70" s="9" t="s">
        <v>36</v>
      </c>
      <c r="M70" s="135">
        <v>72.290000000000006</v>
      </c>
      <c r="N70" s="135">
        <v>359</v>
      </c>
      <c r="O70" s="135">
        <v>0</v>
      </c>
      <c r="P70" s="135">
        <v>3.05</v>
      </c>
      <c r="Q70" s="135">
        <v>4.25</v>
      </c>
      <c r="R70" s="194"/>
      <c r="S70" s="194"/>
      <c r="T70" s="194"/>
      <c r="U70" s="194"/>
    </row>
    <row r="71" spans="1:21" s="12" customFormat="1" ht="15">
      <c r="A71" s="207" t="s">
        <v>2515</v>
      </c>
      <c r="B71" s="135">
        <v>4.33</v>
      </c>
      <c r="C71" s="135">
        <v>13.94</v>
      </c>
      <c r="D71" s="135">
        <v>18.27</v>
      </c>
      <c r="E71" s="135">
        <v>5.0599999999999996</v>
      </c>
      <c r="F71" s="135">
        <v>0.55000000000000004</v>
      </c>
      <c r="G71" s="208" t="s">
        <v>36</v>
      </c>
      <c r="H71" s="135">
        <v>12.10</v>
      </c>
      <c r="I71" s="135">
        <v>4.0999999999999996</v>
      </c>
      <c r="J71" s="135">
        <v>0.60</v>
      </c>
      <c r="K71" s="135">
        <v>316.30</v>
      </c>
      <c r="L71" s="9" t="s">
        <v>36</v>
      </c>
      <c r="M71" s="135">
        <v>70.540000000000006</v>
      </c>
      <c r="N71" s="135">
        <v>488.70</v>
      </c>
      <c r="O71" s="135">
        <v>0</v>
      </c>
      <c r="P71" s="135">
        <v>3.05</v>
      </c>
      <c r="Q71" s="135">
        <v>4.01</v>
      </c>
      <c r="R71" s="194"/>
      <c r="S71" s="194"/>
      <c r="T71" s="194"/>
      <c r="U71" s="194"/>
    </row>
    <row r="72" spans="1:21" s="12" customFormat="1" ht="15">
      <c r="A72" s="207" t="s">
        <v>2516</v>
      </c>
      <c r="B72" s="135">
        <v>4.7699999999999996</v>
      </c>
      <c r="C72" s="135">
        <v>14.65</v>
      </c>
      <c r="D72" s="135">
        <v>19.420000000000002</v>
      </c>
      <c r="E72" s="135">
        <v>3.02</v>
      </c>
      <c r="F72" s="135">
        <v>0.41</v>
      </c>
      <c r="G72" s="208" t="s">
        <v>36</v>
      </c>
      <c r="H72" s="135">
        <v>12.10</v>
      </c>
      <c r="I72" s="135">
        <v>4.0599999999999996</v>
      </c>
      <c r="J72" s="135">
        <v>0.56999999999999995</v>
      </c>
      <c r="K72" s="135">
        <v>312.98</v>
      </c>
      <c r="L72" s="9" t="s">
        <v>36</v>
      </c>
      <c r="M72" s="135">
        <v>70.20</v>
      </c>
      <c r="N72" s="135">
        <v>332.90</v>
      </c>
      <c r="O72" s="135">
        <v>0</v>
      </c>
      <c r="P72" s="135">
        <v>3.07</v>
      </c>
      <c r="Q72" s="135">
        <v>4.1900000000000004</v>
      </c>
      <c r="R72" s="194"/>
      <c r="S72" s="194"/>
      <c r="T72" s="194"/>
      <c r="U72" s="194"/>
    </row>
    <row r="73" spans="1:21" s="12" customFormat="1" ht="15">
      <c r="A73" s="207" t="s">
        <v>2517</v>
      </c>
      <c r="B73" s="135">
        <v>5.26</v>
      </c>
      <c r="C73" s="135">
        <v>15.42</v>
      </c>
      <c r="D73" s="135">
        <v>20.68</v>
      </c>
      <c r="E73" s="135">
        <v>5.40</v>
      </c>
      <c r="F73" s="135">
        <v>0.26</v>
      </c>
      <c r="G73" s="208" t="s">
        <v>36</v>
      </c>
      <c r="H73" s="135">
        <v>11.21</v>
      </c>
      <c r="I73" s="135">
        <v>4.03</v>
      </c>
      <c r="J73" s="135">
        <v>0.25</v>
      </c>
      <c r="K73" s="135">
        <v>357.06</v>
      </c>
      <c r="L73" s="9" t="s">
        <v>36</v>
      </c>
      <c r="M73" s="135">
        <v>70.819999999999993</v>
      </c>
      <c r="N73" s="135">
        <v>300.30</v>
      </c>
      <c r="O73" s="135">
        <v>0</v>
      </c>
      <c r="P73" s="135">
        <v>3.11</v>
      </c>
      <c r="Q73" s="135">
        <v>4.83</v>
      </c>
      <c r="R73" s="194"/>
      <c r="S73" s="194"/>
      <c r="T73" s="194"/>
      <c r="U73" s="194"/>
    </row>
    <row r="74" spans="1:21" s="12" customFormat="1" ht="15">
      <c r="A74" s="207" t="s">
        <v>2518</v>
      </c>
      <c r="B74" s="135">
        <v>5.66</v>
      </c>
      <c r="C74" s="135">
        <v>15.82</v>
      </c>
      <c r="D74" s="135">
        <v>21.47</v>
      </c>
      <c r="E74" s="135">
        <v>5.46</v>
      </c>
      <c r="F74" s="135">
        <v>0.21</v>
      </c>
      <c r="G74" s="208" t="s">
        <v>36</v>
      </c>
      <c r="H74" s="135">
        <v>9.01</v>
      </c>
      <c r="I74" s="135">
        <v>4.25</v>
      </c>
      <c r="J74" s="135">
        <v>0.22</v>
      </c>
      <c r="K74" s="135">
        <v>330.33</v>
      </c>
      <c r="L74" s="9" t="s">
        <v>36</v>
      </c>
      <c r="M74" s="135">
        <v>72.39</v>
      </c>
      <c r="N74" s="135">
        <v>245.40</v>
      </c>
      <c r="O74" s="135">
        <v>0</v>
      </c>
      <c r="P74" s="135">
        <v>3.15</v>
      </c>
      <c r="Q74" s="135">
        <v>4.9800000000000004</v>
      </c>
      <c r="R74" s="194"/>
      <c r="S74" s="194"/>
      <c r="T74" s="194"/>
      <c r="U74" s="194"/>
    </row>
    <row r="75" spans="1:21" s="12" customFormat="1" ht="15">
      <c r="A75" s="207" t="s">
        <v>2519</v>
      </c>
      <c r="B75" s="135">
        <v>6.10</v>
      </c>
      <c r="C75" s="135">
        <v>15.87</v>
      </c>
      <c r="D75" s="135">
        <v>21.97</v>
      </c>
      <c r="E75" s="135">
        <v>5.69</v>
      </c>
      <c r="F75" s="135">
        <v>0.35</v>
      </c>
      <c r="G75" s="208" t="s">
        <v>36</v>
      </c>
      <c r="H75" s="135">
        <v>9.01</v>
      </c>
      <c r="I75" s="135">
        <v>4.68</v>
      </c>
      <c r="J75" s="135">
        <v>0.14000000000000001</v>
      </c>
      <c r="K75" s="135">
        <v>331.68</v>
      </c>
      <c r="L75" s="9" t="s">
        <v>36</v>
      </c>
      <c r="M75" s="135">
        <v>74.87</v>
      </c>
      <c r="N75" s="135">
        <v>186</v>
      </c>
      <c r="O75" s="135">
        <v>0</v>
      </c>
      <c r="P75" s="135">
        <v>3.18</v>
      </c>
      <c r="Q75" s="135">
        <v>4.88</v>
      </c>
      <c r="R75" s="194"/>
      <c r="S75" s="194"/>
      <c r="T75" s="194"/>
      <c r="U75" s="194"/>
    </row>
    <row r="76" spans="1:21" s="12" customFormat="1" ht="15">
      <c r="A76" s="207" t="s">
        <v>2520</v>
      </c>
      <c r="B76" s="135">
        <v>6.40</v>
      </c>
      <c r="C76" s="135">
        <v>15.60</v>
      </c>
      <c r="D76" s="135">
        <v>22</v>
      </c>
      <c r="E76" s="135">
        <v>6.08</v>
      </c>
      <c r="F76" s="135">
        <v>0.32</v>
      </c>
      <c r="G76" s="208" t="s">
        <v>36</v>
      </c>
      <c r="H76" s="135">
        <v>9.01</v>
      </c>
      <c r="I76" s="135">
        <v>5.39</v>
      </c>
      <c r="J76" s="135">
        <v>0.02</v>
      </c>
      <c r="K76" s="135">
        <v>287.93</v>
      </c>
      <c r="L76" s="9" t="s">
        <v>36</v>
      </c>
      <c r="M76" s="135">
        <v>75.83</v>
      </c>
      <c r="N76" s="135">
        <v>171.30</v>
      </c>
      <c r="O76" s="135">
        <v>0</v>
      </c>
      <c r="P76" s="135">
        <v>3.20</v>
      </c>
      <c r="Q76" s="135">
        <v>4.87</v>
      </c>
      <c r="R76" s="194"/>
      <c r="S76" s="194"/>
      <c r="T76" s="194"/>
      <c r="U76" s="194"/>
    </row>
    <row r="77" spans="1:21" s="12" customFormat="1" ht="15">
      <c r="A77" s="207" t="s">
        <v>2521</v>
      </c>
      <c r="B77" s="135">
        <v>6.61</v>
      </c>
      <c r="C77" s="135">
        <v>15.36</v>
      </c>
      <c r="D77" s="135">
        <v>21.97</v>
      </c>
      <c r="E77" s="135">
        <v>5.92</v>
      </c>
      <c r="F77" s="135">
        <v>0.26</v>
      </c>
      <c r="G77" s="208" t="s">
        <v>36</v>
      </c>
      <c r="H77" s="135">
        <v>9.65</v>
      </c>
      <c r="I77" s="135">
        <v>5.99</v>
      </c>
      <c r="J77" s="135">
        <v>0.13</v>
      </c>
      <c r="K77" s="135">
        <v>338.28</v>
      </c>
      <c r="L77" s="9" t="s">
        <v>36</v>
      </c>
      <c r="M77" s="135">
        <v>75.70</v>
      </c>
      <c r="N77" s="135">
        <v>165.30</v>
      </c>
      <c r="O77" s="135">
        <v>0</v>
      </c>
      <c r="P77" s="135">
        <v>3.22</v>
      </c>
      <c r="Q77" s="135">
        <v>4.87</v>
      </c>
      <c r="R77" s="194"/>
      <c r="S77" s="194"/>
      <c r="T77" s="194"/>
      <c r="U77" s="194"/>
    </row>
    <row r="78" spans="1:21" s="12" customFormat="1" ht="15">
      <c r="A78" s="207" t="s">
        <v>2522</v>
      </c>
      <c r="B78" s="135">
        <v>6.66</v>
      </c>
      <c r="C78" s="135">
        <v>15.10</v>
      </c>
      <c r="D78" s="135">
        <v>21.77</v>
      </c>
      <c r="E78" s="135">
        <v>6.04</v>
      </c>
      <c r="F78" s="135">
        <v>0.39</v>
      </c>
      <c r="G78" s="208" t="s">
        <v>36</v>
      </c>
      <c r="H78" s="135">
        <v>11.22</v>
      </c>
      <c r="I78" s="135">
        <v>6.24</v>
      </c>
      <c r="J78" s="135">
        <v>0.21</v>
      </c>
      <c r="K78" s="135">
        <v>342.28</v>
      </c>
      <c r="L78" s="9" t="s">
        <v>36</v>
      </c>
      <c r="M78" s="135">
        <v>75.14</v>
      </c>
      <c r="N78" s="135">
        <v>121.30</v>
      </c>
      <c r="O78" s="135">
        <v>0</v>
      </c>
      <c r="P78" s="135">
        <v>3.21</v>
      </c>
      <c r="Q78" s="135">
        <v>4.9000000000000004</v>
      </c>
      <c r="R78" s="194"/>
      <c r="S78" s="194"/>
      <c r="T78" s="194"/>
      <c r="U78" s="194"/>
    </row>
    <row r="79" spans="1:21" s="12" customFormat="1" ht="15">
      <c r="A79" s="207" t="s">
        <v>2523</v>
      </c>
      <c r="B79" s="135">
        <v>7.77</v>
      </c>
      <c r="C79" s="135">
        <v>15.11</v>
      </c>
      <c r="D79" s="135">
        <v>22.88</v>
      </c>
      <c r="E79" s="135">
        <v>6.09</v>
      </c>
      <c r="F79" s="135">
        <v>0.20</v>
      </c>
      <c r="G79" s="208" t="s">
        <v>36</v>
      </c>
      <c r="H79" s="135">
        <v>11.22</v>
      </c>
      <c r="I79" s="135">
        <v>6.31</v>
      </c>
      <c r="J79" s="135">
        <v>0.12</v>
      </c>
      <c r="K79" s="135">
        <v>356.95</v>
      </c>
      <c r="L79" s="9" t="s">
        <v>36</v>
      </c>
      <c r="M79" s="135">
        <v>76.010000000000005</v>
      </c>
      <c r="N79" s="135">
        <v>92.90</v>
      </c>
      <c r="O79" s="135">
        <v>0</v>
      </c>
      <c r="P79" s="135">
        <v>3.22</v>
      </c>
      <c r="Q79" s="135">
        <v>5.24</v>
      </c>
      <c r="R79" s="194"/>
      <c r="S79" s="194"/>
      <c r="T79" s="194"/>
      <c r="U79" s="194"/>
    </row>
    <row r="80" spans="1:21" s="12" customFormat="1" ht="15">
      <c r="A80" s="207" t="s">
        <v>2524</v>
      </c>
      <c r="B80" s="135">
        <v>8.32</v>
      </c>
      <c r="C80" s="135">
        <v>14.94</v>
      </c>
      <c r="D80" s="135">
        <v>23.26</v>
      </c>
      <c r="E80" s="135">
        <v>5.91</v>
      </c>
      <c r="F80" s="135">
        <v>0.08</v>
      </c>
      <c r="G80" s="208" t="s">
        <v>36</v>
      </c>
      <c r="H80" s="135">
        <v>11.22</v>
      </c>
      <c r="I80" s="135">
        <v>6.25</v>
      </c>
      <c r="J80" s="135">
        <v>0.12</v>
      </c>
      <c r="K80" s="135">
        <v>327.45</v>
      </c>
      <c r="L80" s="9" t="s">
        <v>36</v>
      </c>
      <c r="M80" s="135">
        <v>77.66</v>
      </c>
      <c r="N80" s="135">
        <v>92.5</v>
      </c>
      <c r="O80" s="135">
        <v>0</v>
      </c>
      <c r="P80" s="135">
        <v>3.24</v>
      </c>
      <c r="Q80" s="135">
        <v>5.42</v>
      </c>
      <c r="R80" s="194"/>
      <c r="S80" s="194"/>
      <c r="T80" s="194"/>
      <c r="U80" s="194"/>
    </row>
    <row r="81" spans="1:21" s="12" customFormat="1" ht="15">
      <c r="A81" s="207" t="s">
        <v>2525</v>
      </c>
      <c r="B81" s="135">
        <v>8.77</v>
      </c>
      <c r="C81" s="135">
        <v>14.58</v>
      </c>
      <c r="D81" s="135">
        <v>23.35</v>
      </c>
      <c r="E81" s="135">
        <v>5.97</v>
      </c>
      <c r="F81" s="135">
        <v>0.44</v>
      </c>
      <c r="G81" s="208" t="s">
        <v>36</v>
      </c>
      <c r="H81" s="135">
        <v>11.93</v>
      </c>
      <c r="I81" s="135">
        <v>6.22</v>
      </c>
      <c r="J81" s="135">
        <v>0.09</v>
      </c>
      <c r="K81" s="135">
        <v>332.04</v>
      </c>
      <c r="L81" s="9" t="s">
        <v>36</v>
      </c>
      <c r="M81" s="135">
        <v>78.63</v>
      </c>
      <c r="N81" s="135">
        <v>58.90</v>
      </c>
      <c r="O81" s="135">
        <v>0</v>
      </c>
      <c r="P81" s="135">
        <v>3.26</v>
      </c>
      <c r="Q81" s="135">
        <v>5.53</v>
      </c>
      <c r="R81" s="194"/>
      <c r="S81" s="194"/>
      <c r="T81" s="194"/>
      <c r="U81" s="194"/>
    </row>
    <row r="82" spans="1:21" s="12" customFormat="1" ht="15">
      <c r="A82" s="207" t="s">
        <v>2526</v>
      </c>
      <c r="B82" s="135">
        <v>9.42</v>
      </c>
      <c r="C82" s="135">
        <v>14.54</v>
      </c>
      <c r="D82" s="135">
        <v>23.96</v>
      </c>
      <c r="E82" s="135">
        <v>6.36</v>
      </c>
      <c r="F82" s="135">
        <v>0.42</v>
      </c>
      <c r="G82" s="208" t="s">
        <v>36</v>
      </c>
      <c r="H82" s="135">
        <v>13.69</v>
      </c>
      <c r="I82" s="135">
        <v>6.18</v>
      </c>
      <c r="J82" s="135">
        <v>0.15</v>
      </c>
      <c r="K82" s="135">
        <v>13.56</v>
      </c>
      <c r="L82" s="9" t="s">
        <v>36</v>
      </c>
      <c r="M82" s="135">
        <v>79.72</v>
      </c>
      <c r="N82" s="135">
        <v>30.5</v>
      </c>
      <c r="O82" s="135">
        <v>0</v>
      </c>
      <c r="P82" s="135">
        <v>3.30</v>
      </c>
      <c r="Q82" s="135">
        <v>5.85</v>
      </c>
      <c r="R82" s="194"/>
      <c r="S82" s="194"/>
      <c r="T82" s="194"/>
      <c r="U82" s="194"/>
    </row>
    <row r="83" spans="1:21" s="12" customFormat="1" ht="15">
      <c r="A83" s="207" t="s">
        <v>2527</v>
      </c>
      <c r="B83" s="135">
        <v>9.7799999999999994</v>
      </c>
      <c r="C83" s="135">
        <v>14.84</v>
      </c>
      <c r="D83" s="135">
        <v>24.63</v>
      </c>
      <c r="E83" s="135">
        <v>6.16</v>
      </c>
      <c r="F83" s="135">
        <v>0.17</v>
      </c>
      <c r="G83" s="208" t="s">
        <v>36</v>
      </c>
      <c r="H83" s="135">
        <v>13.69</v>
      </c>
      <c r="I83" s="135">
        <v>6.18</v>
      </c>
      <c r="J83" s="135">
        <v>0.12</v>
      </c>
      <c r="K83" s="135">
        <v>187.02</v>
      </c>
      <c r="L83" s="9" t="s">
        <v>36</v>
      </c>
      <c r="M83" s="135">
        <v>80.31</v>
      </c>
      <c r="N83" s="135">
        <v>19</v>
      </c>
      <c r="O83" s="135">
        <v>0</v>
      </c>
      <c r="P83" s="135">
        <v>3.30</v>
      </c>
      <c r="Q83" s="135">
        <v>6.12</v>
      </c>
      <c r="R83" s="194"/>
      <c r="S83" s="194"/>
      <c r="T83" s="194"/>
      <c r="U83" s="194"/>
    </row>
    <row r="84" spans="1:21" s="12" customFormat="1" ht="15">
      <c r="A84" s="207" t="s">
        <v>2528</v>
      </c>
      <c r="B84" s="135">
        <v>9.36</v>
      </c>
      <c r="C84" s="135">
        <v>14.71</v>
      </c>
      <c r="D84" s="135">
        <v>24.07</v>
      </c>
      <c r="E84" s="135">
        <v>5.99</v>
      </c>
      <c r="F84" s="135">
        <v>0.17</v>
      </c>
      <c r="G84" s="208" t="s">
        <v>36</v>
      </c>
      <c r="H84" s="135">
        <v>13.69</v>
      </c>
      <c r="I84" s="135">
        <v>6.16</v>
      </c>
      <c r="J84" s="135">
        <v>0.88</v>
      </c>
      <c r="K84" s="135">
        <v>178.83</v>
      </c>
      <c r="L84" s="9" t="s">
        <v>36</v>
      </c>
      <c r="M84" s="135">
        <v>83.21</v>
      </c>
      <c r="N84" s="135">
        <v>16.70</v>
      </c>
      <c r="O84" s="135">
        <v>0</v>
      </c>
      <c r="P84" s="135">
        <v>3.30</v>
      </c>
      <c r="Q84" s="135">
        <v>5.99</v>
      </c>
      <c r="R84" s="194"/>
      <c r="S84" s="194"/>
      <c r="T84" s="194"/>
      <c r="U84" s="194"/>
    </row>
    <row r="85" spans="1:21" s="12" customFormat="1" ht="15">
      <c r="A85" s="207" t="s">
        <v>2529</v>
      </c>
      <c r="B85" s="135">
        <v>8.5299999999999994</v>
      </c>
      <c r="C85" s="135">
        <v>14.32</v>
      </c>
      <c r="D85" s="135">
        <v>22.85</v>
      </c>
      <c r="E85" s="135">
        <v>6.14</v>
      </c>
      <c r="F85" s="135">
        <v>0.16</v>
      </c>
      <c r="G85" s="208" t="s">
        <v>36</v>
      </c>
      <c r="H85" s="135">
        <v>12.71</v>
      </c>
      <c r="I85" s="135">
        <v>6.19</v>
      </c>
      <c r="J85" s="135">
        <v>1.45</v>
      </c>
      <c r="K85" s="135">
        <v>158.90</v>
      </c>
      <c r="L85" s="9" t="s">
        <v>36</v>
      </c>
      <c r="M85" s="135">
        <v>86.52</v>
      </c>
      <c r="N85" s="135">
        <v>16.100000000000001</v>
      </c>
      <c r="O85" s="135">
        <v>0</v>
      </c>
      <c r="P85" s="135">
        <v>3.28</v>
      </c>
      <c r="Q85" s="135">
        <v>5.77</v>
      </c>
      <c r="R85" s="194"/>
      <c r="S85" s="194"/>
      <c r="T85" s="194"/>
      <c r="U85" s="194"/>
    </row>
    <row r="86" spans="1:21" s="12" customFormat="1" ht="15">
      <c r="A86" s="207" t="s">
        <v>2530</v>
      </c>
      <c r="B86" s="135">
        <v>7.80</v>
      </c>
      <c r="C86" s="135">
        <v>13.65</v>
      </c>
      <c r="D86" s="135">
        <v>21.45</v>
      </c>
      <c r="E86" s="135">
        <v>6.26</v>
      </c>
      <c r="F86" s="135">
        <v>0.20</v>
      </c>
      <c r="G86" s="208" t="s">
        <v>36</v>
      </c>
      <c r="H86" s="135">
        <v>10.29</v>
      </c>
      <c r="I86" s="135">
        <v>6.07</v>
      </c>
      <c r="J86" s="135">
        <v>0.88</v>
      </c>
      <c r="K86" s="135">
        <v>167.16</v>
      </c>
      <c r="L86" s="9" t="s">
        <v>36</v>
      </c>
      <c r="M86" s="135">
        <v>87.83</v>
      </c>
      <c r="N86" s="135">
        <v>15.5</v>
      </c>
      <c r="O86" s="135">
        <v>0</v>
      </c>
      <c r="P86" s="135">
        <v>3.24</v>
      </c>
      <c r="Q86" s="135">
        <v>5.43</v>
      </c>
      <c r="R86" s="194"/>
      <c r="S86" s="194"/>
      <c r="T86" s="194"/>
      <c r="U86" s="194"/>
    </row>
    <row r="87" spans="1:21" s="12" customFormat="1" ht="15">
      <c r="A87" s="207" t="s">
        <v>2531</v>
      </c>
      <c r="B87" s="135">
        <v>7.09</v>
      </c>
      <c r="C87" s="135">
        <v>13.08</v>
      </c>
      <c r="D87" s="135">
        <v>20.170000000000002</v>
      </c>
      <c r="E87" s="135">
        <v>6.27</v>
      </c>
      <c r="F87" s="135">
        <v>0.22</v>
      </c>
      <c r="G87" s="208" t="s">
        <v>36</v>
      </c>
      <c r="H87" s="135">
        <v>10.29</v>
      </c>
      <c r="I87" s="135">
        <v>5.89</v>
      </c>
      <c r="J87" s="135">
        <v>0.85</v>
      </c>
      <c r="K87" s="135">
        <v>170.46</v>
      </c>
      <c r="L87" s="9" t="s">
        <v>36</v>
      </c>
      <c r="M87" s="135">
        <v>90.46</v>
      </c>
      <c r="N87" s="135">
        <v>15.30</v>
      </c>
      <c r="O87" s="135">
        <v>0</v>
      </c>
      <c r="P87" s="135">
        <v>3.22</v>
      </c>
      <c r="Q87" s="135">
        <v>5.1100000000000003</v>
      </c>
      <c r="R87" s="194"/>
      <c r="S87" s="194"/>
      <c r="T87" s="194"/>
      <c r="U87" s="194"/>
    </row>
    <row r="88" spans="1:21" s="12" customFormat="1" ht="15">
      <c r="A88" s="207" t="s">
        <v>2532</v>
      </c>
      <c r="B88" s="135">
        <v>7.02</v>
      </c>
      <c r="C88" s="135">
        <v>13.10</v>
      </c>
      <c r="D88" s="135">
        <v>20.12</v>
      </c>
      <c r="E88" s="135">
        <v>3.36</v>
      </c>
      <c r="F88" s="135">
        <v>0.16</v>
      </c>
      <c r="G88" s="208" t="s">
        <v>36</v>
      </c>
      <c r="H88" s="135">
        <v>10.29</v>
      </c>
      <c r="I88" s="135">
        <v>5.68</v>
      </c>
      <c r="J88" s="135">
        <v>1.19</v>
      </c>
      <c r="K88" s="135">
        <v>161.80000000000001</v>
      </c>
      <c r="L88" s="9" t="s">
        <v>36</v>
      </c>
      <c r="M88" s="135">
        <v>92.38</v>
      </c>
      <c r="N88" s="135">
        <v>15.10</v>
      </c>
      <c r="O88" s="135">
        <v>0</v>
      </c>
      <c r="P88" s="135">
        <v>3.21</v>
      </c>
      <c r="Q88" s="135">
        <v>5.16</v>
      </c>
      <c r="R88" s="194"/>
      <c r="S88" s="194"/>
      <c r="T88" s="194"/>
      <c r="U88" s="194"/>
    </row>
    <row r="89" spans="1:21" s="12" customFormat="1" ht="15">
      <c r="A89" s="207" t="s">
        <v>2533</v>
      </c>
      <c r="B89" s="135">
        <v>6.90</v>
      </c>
      <c r="C89" s="135">
        <v>12.75</v>
      </c>
      <c r="D89" s="135">
        <v>19.649999999999999</v>
      </c>
      <c r="E89" s="135">
        <v>5.0999999999999996</v>
      </c>
      <c r="F89" s="135">
        <v>0.04</v>
      </c>
      <c r="G89" s="208" t="s">
        <v>36</v>
      </c>
      <c r="H89" s="135">
        <v>9.4600000000000009</v>
      </c>
      <c r="I89" s="135">
        <v>5.52</v>
      </c>
      <c r="J89" s="135">
        <v>1</v>
      </c>
      <c r="K89" s="135">
        <v>161.30000000000001</v>
      </c>
      <c r="L89" s="9" t="s">
        <v>36</v>
      </c>
      <c r="M89" s="135">
        <v>96.62</v>
      </c>
      <c r="N89" s="135">
        <v>15.20</v>
      </c>
      <c r="O89" s="135">
        <v>0.20</v>
      </c>
      <c r="P89" s="135">
        <v>3.20</v>
      </c>
      <c r="Q89" s="135">
        <v>4.9800000000000004</v>
      </c>
      <c r="R89" s="194"/>
      <c r="S89" s="194"/>
      <c r="T89" s="194"/>
      <c r="U89" s="194"/>
    </row>
    <row r="90" spans="1:21" s="12" customFormat="1" ht="15">
      <c r="A90" s="207" t="s">
        <v>2534</v>
      </c>
      <c r="B90" s="135">
        <v>6.76</v>
      </c>
      <c r="C90" s="135">
        <v>12.22</v>
      </c>
      <c r="D90" s="135">
        <v>18.98</v>
      </c>
      <c r="E90" s="135">
        <v>5.52</v>
      </c>
      <c r="F90" s="135">
        <v>0.09</v>
      </c>
      <c r="G90" s="208" t="s">
        <v>36</v>
      </c>
      <c r="H90" s="135">
        <v>7.41</v>
      </c>
      <c r="I90" s="135">
        <v>5.52</v>
      </c>
      <c r="J90" s="135">
        <v>0.84</v>
      </c>
      <c r="K90" s="135">
        <v>167.99</v>
      </c>
      <c r="L90" s="9" t="s">
        <v>36</v>
      </c>
      <c r="M90" s="135">
        <v>98.46</v>
      </c>
      <c r="N90" s="135">
        <v>15</v>
      </c>
      <c r="O90" s="135">
        <v>0.40</v>
      </c>
      <c r="P90" s="135">
        <v>3.19</v>
      </c>
      <c r="Q90" s="135">
        <v>4.79</v>
      </c>
      <c r="R90" s="194"/>
      <c r="S90" s="194"/>
      <c r="T90" s="194"/>
      <c r="U90" s="194"/>
    </row>
    <row r="91" spans="1:21" s="12" customFormat="1" ht="15">
      <c r="A91" s="207" t="s">
        <v>2535</v>
      </c>
      <c r="B91" s="135">
        <v>6.67</v>
      </c>
      <c r="C91" s="135">
        <v>11.98</v>
      </c>
      <c r="D91" s="135">
        <v>18.64</v>
      </c>
      <c r="E91" s="135">
        <v>5.91</v>
      </c>
      <c r="F91" s="135">
        <v>0.04</v>
      </c>
      <c r="G91" s="208" t="s">
        <v>36</v>
      </c>
      <c r="H91" s="135">
        <v>7.41</v>
      </c>
      <c r="I91" s="135">
        <v>5.47</v>
      </c>
      <c r="J91" s="135">
        <v>0.43</v>
      </c>
      <c r="K91" s="135">
        <v>186.67</v>
      </c>
      <c r="L91" s="9" t="s">
        <v>36</v>
      </c>
      <c r="M91" s="135">
        <v>98.49</v>
      </c>
      <c r="N91" s="135">
        <v>15.5</v>
      </c>
      <c r="O91" s="135">
        <v>0.60</v>
      </c>
      <c r="P91" s="135">
        <v>3.17</v>
      </c>
      <c r="Q91" s="135">
        <v>4.80</v>
      </c>
      <c r="R91" s="194"/>
      <c r="S91" s="194"/>
      <c r="T91" s="194"/>
      <c r="U91" s="194"/>
    </row>
    <row r="92" spans="1:21" s="12" customFormat="1" ht="15">
      <c r="A92" s="207" t="s">
        <v>2536</v>
      </c>
      <c r="B92" s="135">
        <v>6.32</v>
      </c>
      <c r="C92" s="135">
        <v>11.92</v>
      </c>
      <c r="D92" s="135">
        <v>18.25</v>
      </c>
      <c r="E92" s="135">
        <v>5.78</v>
      </c>
      <c r="F92" s="135">
        <v>0.10</v>
      </c>
      <c r="G92" s="208" t="s">
        <v>36</v>
      </c>
      <c r="H92" s="135">
        <v>7.41</v>
      </c>
      <c r="I92" s="135">
        <v>5.43</v>
      </c>
      <c r="J92" s="135">
        <v>0.070000000000000007</v>
      </c>
      <c r="K92" s="135">
        <v>181.99</v>
      </c>
      <c r="L92" s="9" t="s">
        <v>36</v>
      </c>
      <c r="M92" s="135">
        <v>98.25</v>
      </c>
      <c r="N92" s="135">
        <v>16</v>
      </c>
      <c r="O92" s="135">
        <v>0.20</v>
      </c>
      <c r="P92" s="135">
        <v>3.16</v>
      </c>
      <c r="Q92" s="135">
        <v>4.75</v>
      </c>
      <c r="R92" s="194"/>
      <c r="S92" s="194"/>
      <c r="T92" s="194"/>
      <c r="U92" s="194"/>
    </row>
    <row r="93" spans="1:21" s="12" customFormat="1" ht="15">
      <c r="A93" s="207" t="s">
        <v>2537</v>
      </c>
      <c r="B93" s="135">
        <v>5.53</v>
      </c>
      <c r="C93" s="135">
        <v>12.49</v>
      </c>
      <c r="D93" s="135">
        <v>18.03</v>
      </c>
      <c r="E93" s="135">
        <v>5.16</v>
      </c>
      <c r="F93" s="135">
        <v>0.14000000000000001</v>
      </c>
      <c r="G93" s="208" t="s">
        <v>36</v>
      </c>
      <c r="H93" s="135">
        <v>6.89</v>
      </c>
      <c r="I93" s="135">
        <v>5.34</v>
      </c>
      <c r="J93" s="135">
        <v>0.05</v>
      </c>
      <c r="K93" s="135">
        <v>192.99</v>
      </c>
      <c r="L93" s="9" t="s">
        <v>36</v>
      </c>
      <c r="M93" s="135">
        <v>99.05</v>
      </c>
      <c r="N93" s="135">
        <v>15.70</v>
      </c>
      <c r="O93" s="135">
        <v>0.40</v>
      </c>
      <c r="P93" s="135">
        <v>3.13</v>
      </c>
      <c r="Q93" s="135">
        <v>4.66</v>
      </c>
      <c r="R93" s="194"/>
      <c r="S93" s="194"/>
      <c r="T93" s="194"/>
      <c r="U93" s="194"/>
    </row>
    <row r="94" spans="1:21" s="12" customFormat="1" ht="15">
      <c r="A94" s="207" t="s">
        <v>2538</v>
      </c>
      <c r="B94" s="135">
        <v>5.05</v>
      </c>
      <c r="C94" s="135">
        <v>13.12</v>
      </c>
      <c r="D94" s="135">
        <v>18.170000000000002</v>
      </c>
      <c r="E94" s="135">
        <v>5.52</v>
      </c>
      <c r="F94" s="135">
        <v>0.17</v>
      </c>
      <c r="G94" s="208" t="s">
        <v>36</v>
      </c>
      <c r="H94" s="135">
        <v>5.61</v>
      </c>
      <c r="I94" s="135">
        <v>5.23</v>
      </c>
      <c r="J94" s="135">
        <v>0.09</v>
      </c>
      <c r="K94" s="135">
        <v>50.56</v>
      </c>
      <c r="L94" s="9" t="s">
        <v>36</v>
      </c>
      <c r="M94" s="135">
        <v>99.09</v>
      </c>
      <c r="N94" s="135">
        <v>15.10</v>
      </c>
      <c r="O94" s="135">
        <v>0</v>
      </c>
      <c r="P94" s="135">
        <v>3.13</v>
      </c>
      <c r="Q94" s="135">
        <v>4.59</v>
      </c>
      <c r="R94" s="194"/>
      <c r="S94" s="194"/>
      <c r="T94" s="194"/>
      <c r="U94" s="194"/>
    </row>
    <row r="95" spans="1:21" s="12" customFormat="1" ht="15">
      <c r="A95" s="207" t="s">
        <v>2539</v>
      </c>
      <c r="B95" s="135">
        <v>4.95</v>
      </c>
      <c r="C95" s="135">
        <v>13.08</v>
      </c>
      <c r="D95" s="135">
        <v>18.03</v>
      </c>
      <c r="E95" s="135">
        <v>5.64</v>
      </c>
      <c r="F95" s="135">
        <v>0.12</v>
      </c>
      <c r="G95" s="208" t="s">
        <v>36</v>
      </c>
      <c r="H95" s="135">
        <v>5.61</v>
      </c>
      <c r="I95" s="135">
        <v>5.04</v>
      </c>
      <c r="J95" s="135">
        <v>0.10</v>
      </c>
      <c r="K95" s="135">
        <v>227.90</v>
      </c>
      <c r="L95" s="9" t="s">
        <v>36</v>
      </c>
      <c r="M95" s="135">
        <v>99.09</v>
      </c>
      <c r="N95" s="135">
        <v>15.20</v>
      </c>
      <c r="O95" s="135">
        <v>0.20</v>
      </c>
      <c r="P95" s="135">
        <v>3.12</v>
      </c>
      <c r="Q95" s="135">
        <v>4.4800000000000004</v>
      </c>
      <c r="R95" s="194"/>
      <c r="S95" s="194"/>
      <c r="T95" s="194"/>
      <c r="U95" s="194"/>
    </row>
    <row r="96" spans="1:26" s="12" customFormat="1" ht="15">
      <c r="A96" s="207" t="s">
        <v>2540</v>
      </c>
      <c r="B96" s="135">
        <v>4.72</v>
      </c>
      <c r="C96" s="135">
        <v>12.23</v>
      </c>
      <c r="D96" s="135">
        <v>16.940000000000001</v>
      </c>
      <c r="E96" s="135">
        <v>5.58</v>
      </c>
      <c r="F96" s="135">
        <v>0.53</v>
      </c>
      <c r="G96" s="208" t="s">
        <v>36</v>
      </c>
      <c r="H96" s="135">
        <v>5.61</v>
      </c>
      <c r="I96" s="135">
        <v>4.93</v>
      </c>
      <c r="J96" s="135">
        <v>0.12</v>
      </c>
      <c r="K96" s="135">
        <v>234.08</v>
      </c>
      <c r="L96" s="9" t="s">
        <v>36</v>
      </c>
      <c r="M96" s="135">
        <v>99.10</v>
      </c>
      <c r="N96" s="135">
        <v>15</v>
      </c>
      <c r="O96" s="135">
        <v>0</v>
      </c>
      <c r="P96" s="135">
        <v>3.11</v>
      </c>
      <c r="Q96" s="135">
        <v>4.4400000000000004</v>
      </c>
      <c r="R96" s="194"/>
      <c r="S96" s="194"/>
      <c r="T96" s="194"/>
      <c r="U96" s="194"/>
      <c r="Z96" s="105"/>
    </row>
    <row r="97" spans="1:21" s="12" customFormat="1" ht="15">
      <c r="A97" s="207" t="s">
        <v>2541</v>
      </c>
      <c r="B97" s="135">
        <v>4.5199999999999996</v>
      </c>
      <c r="C97" s="135">
        <v>12.12</v>
      </c>
      <c r="D97" s="135">
        <v>16.64</v>
      </c>
      <c r="E97" s="135">
        <v>5.48</v>
      </c>
      <c r="F97" s="135">
        <v>0.24</v>
      </c>
      <c r="G97" s="208" t="s">
        <v>36</v>
      </c>
      <c r="H97" s="135">
        <v>5.72</v>
      </c>
      <c r="I97" s="135">
        <v>4.8600000000000003</v>
      </c>
      <c r="J97" s="135">
        <v>0.13</v>
      </c>
      <c r="K97" s="135">
        <v>223.83</v>
      </c>
      <c r="L97" s="9" t="s">
        <v>36</v>
      </c>
      <c r="M97" s="135">
        <v>99.10</v>
      </c>
      <c r="N97" s="135">
        <v>15</v>
      </c>
      <c r="O97" s="135">
        <v>0</v>
      </c>
      <c r="P97" s="135">
        <v>3.11</v>
      </c>
      <c r="Q97" s="135">
        <v>4.42</v>
      </c>
      <c r="R97" s="194"/>
      <c r="S97" s="194"/>
      <c r="T97" s="194"/>
      <c r="U97" s="194"/>
    </row>
    <row r="98" spans="1:21" s="12" customFormat="1" ht="15">
      <c r="A98" s="207" t="s">
        <v>2542</v>
      </c>
      <c r="B98" s="135">
        <v>4.3499999999999996</v>
      </c>
      <c r="C98" s="135">
        <v>11.80</v>
      </c>
      <c r="D98" s="135">
        <v>16.149999999999999</v>
      </c>
      <c r="E98" s="135">
        <v>5.58</v>
      </c>
      <c r="F98" s="135">
        <v>0.01</v>
      </c>
      <c r="G98" s="208" t="s">
        <v>36</v>
      </c>
      <c r="H98" s="135">
        <v>5.99</v>
      </c>
      <c r="I98" s="135">
        <v>4.71</v>
      </c>
      <c r="J98" s="135">
        <v>0.22</v>
      </c>
      <c r="K98" s="135">
        <v>211.55</v>
      </c>
      <c r="L98" s="9" t="s">
        <v>36</v>
      </c>
      <c r="M98" s="135">
        <v>99.04</v>
      </c>
      <c r="N98" s="135">
        <v>15</v>
      </c>
      <c r="O98" s="135">
        <v>0</v>
      </c>
      <c r="P98" s="135">
        <v>3.09</v>
      </c>
      <c r="Q98" s="135">
        <v>4.53</v>
      </c>
      <c r="R98" s="194"/>
      <c r="S98" s="194"/>
      <c r="T98" s="194"/>
      <c r="U98" s="194"/>
    </row>
    <row r="99" spans="1:21" s="12" customFormat="1" ht="15">
      <c r="A99" s="207" t="s">
        <v>2543</v>
      </c>
      <c r="B99" s="135">
        <v>4.0999999999999996</v>
      </c>
      <c r="C99" s="135">
        <v>11.15</v>
      </c>
      <c r="D99" s="135">
        <v>15.24</v>
      </c>
      <c r="E99" s="135">
        <v>5.64</v>
      </c>
      <c r="F99" s="135">
        <v>0.02</v>
      </c>
      <c r="G99" s="208" t="s">
        <v>36</v>
      </c>
      <c r="H99" s="135">
        <v>5.99</v>
      </c>
      <c r="I99" s="135">
        <v>4.6900000000000004</v>
      </c>
      <c r="J99" s="135">
        <v>0.15</v>
      </c>
      <c r="K99" s="135">
        <v>228.42</v>
      </c>
      <c r="L99" s="9" t="s">
        <v>36</v>
      </c>
      <c r="M99" s="135">
        <v>98.71</v>
      </c>
      <c r="N99" s="135">
        <v>15.10</v>
      </c>
      <c r="O99" s="135">
        <v>0</v>
      </c>
      <c r="P99" s="135">
        <v>3.09</v>
      </c>
      <c r="Q99" s="135">
        <v>4.16</v>
      </c>
      <c r="R99" s="194"/>
      <c r="S99" s="194"/>
      <c r="T99" s="194"/>
      <c r="U99" s="194"/>
    </row>
    <row r="100" spans="1:33" s="12" customFormat="1" ht="15">
      <c r="A100" s="207" t="s">
        <v>2544</v>
      </c>
      <c r="B100" s="135">
        <v>3.84</v>
      </c>
      <c r="C100" s="135">
        <v>10.80</v>
      </c>
      <c r="D100" s="135">
        <v>14.64</v>
      </c>
      <c r="E100" s="135">
        <v>5.78</v>
      </c>
      <c r="F100" s="135">
        <v>0</v>
      </c>
      <c r="G100" s="208" t="s">
        <v>36</v>
      </c>
      <c r="H100" s="135">
        <v>5.99</v>
      </c>
      <c r="I100" s="135">
        <v>4.6500000000000004</v>
      </c>
      <c r="J100" s="135">
        <v>0.19</v>
      </c>
      <c r="K100" s="135">
        <v>225.72</v>
      </c>
      <c r="L100" s="9" t="s">
        <v>36</v>
      </c>
      <c r="M100" s="135">
        <v>98.89</v>
      </c>
      <c r="N100" s="135">
        <v>15</v>
      </c>
      <c r="O100" s="135">
        <v>0</v>
      </c>
      <c r="P100" s="135">
        <v>3.07</v>
      </c>
      <c r="Q100" s="135">
        <v>3.89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207" t="s">
        <v>2545</v>
      </c>
      <c r="B101" s="135">
        <v>3.56</v>
      </c>
      <c r="C101" s="135">
        <v>10.16</v>
      </c>
      <c r="D101" s="135">
        <v>13.73</v>
      </c>
      <c r="E101" s="135">
        <v>6.18</v>
      </c>
      <c r="F101" s="135">
        <v>0.13</v>
      </c>
      <c r="G101" s="208" t="s">
        <v>36</v>
      </c>
      <c r="H101" s="135">
        <v>5.87</v>
      </c>
      <c r="I101" s="135">
        <v>4.5199999999999996</v>
      </c>
      <c r="J101" s="135">
        <v>0.14000000000000001</v>
      </c>
      <c r="K101" s="135">
        <v>234.54</v>
      </c>
      <c r="L101" s="9" t="s">
        <v>36</v>
      </c>
      <c r="M101" s="135">
        <v>99.08</v>
      </c>
      <c r="N101" s="135">
        <v>15</v>
      </c>
      <c r="O101" s="135">
        <v>0</v>
      </c>
      <c r="P101" s="135">
        <v>3.04</v>
      </c>
      <c r="Q101" s="135">
        <v>3.66</v>
      </c>
      <c r="R101" s="194"/>
      <c r="S101" s="194"/>
      <c r="T101" s="194"/>
      <c r="U101" s="194"/>
    </row>
    <row r="102" spans="1:21" s="12" customFormat="1" ht="15">
      <c r="A102" s="207" t="s">
        <v>2546</v>
      </c>
      <c r="B102" s="135">
        <v>3.36</v>
      </c>
      <c r="C102" s="135">
        <v>10.14</v>
      </c>
      <c r="D102" s="135">
        <v>13.51</v>
      </c>
      <c r="E102" s="135">
        <v>5.99</v>
      </c>
      <c r="F102" s="135">
        <v>0.01</v>
      </c>
      <c r="G102" s="208" t="s">
        <v>36</v>
      </c>
      <c r="H102" s="135">
        <v>5.58</v>
      </c>
      <c r="I102" s="135">
        <v>4.45</v>
      </c>
      <c r="J102" s="135">
        <v>0.10</v>
      </c>
      <c r="K102" s="135">
        <v>208.25</v>
      </c>
      <c r="L102" s="9" t="s">
        <v>36</v>
      </c>
      <c r="M102" s="135">
        <v>99.09</v>
      </c>
      <c r="N102" s="135">
        <v>15</v>
      </c>
      <c r="O102" s="135">
        <v>0</v>
      </c>
      <c r="P102" s="135">
        <v>3.05</v>
      </c>
      <c r="Q102" s="135">
        <v>4.3899999999999997</v>
      </c>
      <c r="R102" s="194"/>
      <c r="S102" s="194"/>
      <c r="T102" s="194"/>
      <c r="U102" s="194"/>
    </row>
    <row r="103" spans="1:21" s="12" customFormat="1" ht="15">
      <c r="A103" s="207" t="s">
        <v>2547</v>
      </c>
      <c r="B103" s="135">
        <v>3.42</v>
      </c>
      <c r="C103" s="135">
        <v>9.64</v>
      </c>
      <c r="D103" s="135">
        <v>13.06</v>
      </c>
      <c r="E103" s="135">
        <v>6.17</v>
      </c>
      <c r="F103" s="135">
        <v>0.03</v>
      </c>
      <c r="G103" s="208" t="s">
        <v>36</v>
      </c>
      <c r="H103" s="135">
        <v>5.58</v>
      </c>
      <c r="I103" s="135">
        <v>4.34</v>
      </c>
      <c r="J103" s="135">
        <v>0.08</v>
      </c>
      <c r="K103" s="135">
        <v>205.80</v>
      </c>
      <c r="L103" s="9" t="s">
        <v>36</v>
      </c>
      <c r="M103" s="135">
        <v>99.08</v>
      </c>
      <c r="N103" s="135">
        <v>15</v>
      </c>
      <c r="O103" s="135">
        <v>0</v>
      </c>
      <c r="P103" s="135">
        <v>3.03</v>
      </c>
      <c r="Q103" s="135">
        <v>3.95</v>
      </c>
      <c r="R103" s="194"/>
      <c r="S103" s="194"/>
      <c r="T103" s="194"/>
      <c r="U103" s="194"/>
    </row>
    <row r="104" spans="1:21" s="12" customFormat="1" ht="15">
      <c r="A104" s="209" t="s">
        <v>2548</v>
      </c>
      <c r="B104" s="210">
        <v>3.5</v>
      </c>
      <c r="C104" s="210">
        <v>9.5</v>
      </c>
      <c r="D104" s="210">
        <v>13</v>
      </c>
      <c r="E104" s="210">
        <v>3.40</v>
      </c>
      <c r="F104" s="210">
        <v>0.18</v>
      </c>
      <c r="G104" s="211" t="s">
        <v>36</v>
      </c>
      <c r="H104" s="210">
        <v>5.58</v>
      </c>
      <c r="I104" s="210">
        <v>4.24</v>
      </c>
      <c r="J104" s="210">
        <v>0.19</v>
      </c>
      <c r="K104" s="210">
        <v>216.90</v>
      </c>
      <c r="L104" s="9" t="s">
        <v>36</v>
      </c>
      <c r="M104" s="210">
        <v>98.94</v>
      </c>
      <c r="N104" s="210">
        <v>15</v>
      </c>
      <c r="O104" s="210">
        <v>0</v>
      </c>
      <c r="P104" s="210">
        <v>3.03</v>
      </c>
      <c r="Q104" s="210">
        <v>3.76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2.1099999999999999</v>
      </c>
      <c r="C106" s="67">
        <f>MIN(C9:C104)</f>
        <v>8.7300000000000004</v>
      </c>
      <c r="D106" s="67">
        <f t="shared" si="0" ref="D106:Q106">MIN(D9:D104)</f>
        <v>11.1</v>
      </c>
      <c r="E106" s="67">
        <f t="shared" si="0"/>
        <v>3.02</v>
      </c>
      <c r="F106" s="67">
        <f t="shared" si="0"/>
        <v>0</v>
      </c>
      <c r="G106" s="67">
        <f t="shared" si="0"/>
        <v>0</v>
      </c>
      <c r="H106" s="67">
        <f t="shared" si="0"/>
        <v>2.5699999999999998</v>
      </c>
      <c r="I106" s="67">
        <f t="shared" si="0"/>
        <v>3.8199999999999998</v>
      </c>
      <c r="J106" s="67">
        <f t="shared" si="0"/>
        <v>0.02</v>
      </c>
      <c r="K106" s="67">
        <f t="shared" si="0"/>
        <v>13.56</v>
      </c>
      <c r="L106" s="67">
        <f t="shared" si="0"/>
        <v>0</v>
      </c>
      <c r="M106" s="67">
        <f t="shared" si="0"/>
        <v>66.75</v>
      </c>
      <c r="N106" s="67">
        <f t="shared" si="0"/>
        <v>15</v>
      </c>
      <c r="O106" s="67">
        <f t="shared" si="0"/>
        <v>0</v>
      </c>
      <c r="P106" s="67">
        <f t="shared" si="0"/>
        <v>2.8799999999999999</v>
      </c>
      <c r="Q106" s="67">
        <f t="shared" si="0"/>
        <v>3.6400000000000001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9.7799999999999994</v>
      </c>
      <c r="C107" s="66">
        <f t="shared" si="1" ref="C107:Q107">MAX(C9:C104)</f>
        <v>15.869999999999999</v>
      </c>
      <c r="D107" s="66">
        <f t="shared" si="1"/>
        <v>24.629999999999999</v>
      </c>
      <c r="E107" s="66">
        <f t="shared" si="1"/>
        <v>8.4199999999999999</v>
      </c>
      <c r="F107" s="66">
        <f t="shared" si="1"/>
        <v>0.78000000000000003</v>
      </c>
      <c r="G107" s="66">
        <f t="shared" si="1"/>
        <v>0</v>
      </c>
      <c r="H107" s="66">
        <f t="shared" si="1"/>
        <v>13.69</v>
      </c>
      <c r="I107" s="66">
        <f t="shared" si="1"/>
        <v>6.3099999999999996</v>
      </c>
      <c r="J107" s="66">
        <f t="shared" si="1"/>
        <v>1.45</v>
      </c>
      <c r="K107" s="66">
        <f t="shared" si="1"/>
        <v>358.45999999999998</v>
      </c>
      <c r="L107" s="66">
        <f t="shared" si="1"/>
        <v>0</v>
      </c>
      <c r="M107" s="66">
        <f t="shared" si="1"/>
        <v>99.099999999999994</v>
      </c>
      <c r="N107" s="66">
        <f t="shared" si="1"/>
        <v>783</v>
      </c>
      <c r="O107" s="66">
        <f t="shared" si="1"/>
        <v>0.59999999999999998</v>
      </c>
      <c r="P107" s="66">
        <f t="shared" si="1"/>
        <v>3.2999999999999998</v>
      </c>
      <c r="Q107" s="66">
        <f t="shared" si="1"/>
        <v>6.1799999999999997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4.5458333333333325</v>
      </c>
      <c r="C108" s="67">
        <f t="shared" si="2" ref="C108:Q108">AVERAGE(C9:C104)</f>
        <v>11.657500000000006</v>
      </c>
      <c r="D108" s="67">
        <f t="shared" si="2"/>
        <v>16.203645833333336</v>
      </c>
      <c r="E108" s="67">
        <f t="shared" si="2"/>
        <v>6.4455208333333305</v>
      </c>
      <c r="F108" s="67">
        <f t="shared" si="2"/>
        <v>0.20936842105263165</v>
      </c>
      <c r="G108" s="67" t="e">
        <f t="shared" si="2"/>
        <v>#DIV/0!</v>
      </c>
      <c r="H108" s="67">
        <f t="shared" si="2"/>
        <v>7.7310416666666688</v>
      </c>
      <c r="I108" s="67">
        <f t="shared" si="2"/>
        <v>4.7021875</v>
      </c>
      <c r="J108" s="67">
        <f t="shared" si="2"/>
        <v>0.3158333333333333</v>
      </c>
      <c r="K108" s="67">
        <f t="shared" si="2"/>
        <v>226.60687500000009</v>
      </c>
      <c r="L108" s="67" t="e">
        <f t="shared" si="2"/>
        <v>#DIV/0!</v>
      </c>
      <c r="M108" s="67">
        <f t="shared" si="2"/>
        <v>89.238437500000046</v>
      </c>
      <c r="N108" s="67">
        <f t="shared" si="2"/>
        <v>151.59479166666668</v>
      </c>
      <c r="O108" s="67">
        <f t="shared" si="2"/>
        <v>0.022916666666666669</v>
      </c>
      <c r="P108" s="67">
        <f t="shared" si="2"/>
        <v>3.0398958333333339</v>
      </c>
      <c r="Q108" s="67">
        <f t="shared" si="2"/>
        <v>4.5022916666666672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1.7344756020293575</v>
      </c>
      <c r="C109" s="67">
        <f t="shared" si="3" ref="C109:Q109">STDEV(C9:C104)</f>
        <v>2.089154449960394</v>
      </c>
      <c r="D109" s="67">
        <f t="shared" si="3"/>
        <v>3.5396848268236543</v>
      </c>
      <c r="E109" s="67">
        <f t="shared" si="3"/>
        <v>1.251884364755514</v>
      </c>
      <c r="F109" s="67">
        <f t="shared" si="3"/>
        <v>0.16713996253819005</v>
      </c>
      <c r="G109" s="67" t="e">
        <f t="shared" si="3"/>
        <v>#DIV/0!</v>
      </c>
      <c r="H109" s="67">
        <f t="shared" si="3"/>
        <v>2.6103548777358401</v>
      </c>
      <c r="I109" s="67">
        <f t="shared" si="3"/>
        <v>0.76929523882166451</v>
      </c>
      <c r="J109" s="67">
        <f t="shared" si="3"/>
        <v>0.31132878767484357</v>
      </c>
      <c r="K109" s="67">
        <f t="shared" si="3"/>
        <v>69.569932272838571</v>
      </c>
      <c r="L109" s="67" t="e">
        <f t="shared" si="3"/>
        <v>#DIV/0!</v>
      </c>
      <c r="M109" s="67">
        <f t="shared" si="3"/>
        <v>10.403432968635292</v>
      </c>
      <c r="N109" s="67">
        <f t="shared" si="3"/>
        <v>191.67822563638794</v>
      </c>
      <c r="O109" s="67">
        <f t="shared" si="3"/>
        <v>0.091166899194674439</v>
      </c>
      <c r="P109" s="67">
        <f t="shared" si="3"/>
        <v>0.122039638010009</v>
      </c>
      <c r="Q109" s="67">
        <f t="shared" si="3"/>
        <v>0.63897694409713079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COUNT(L9:L104)+96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bc7ae48-7d78-4799-b69a-228e1bfdc028}">
  <sheetPr codeName=""/>
  <dimension ref="A1:AG117"/>
  <sheetViews>
    <sheetView workbookViewId="0" topLeftCell="A1">
      <pane xSplit="1" ySplit="8" topLeftCell="B96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L111" sqref="L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25-07-2022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2549</v>
      </c>
      <c r="B9" s="60">
        <v>3.56</v>
      </c>
      <c r="C9" s="60">
        <v>9.35</v>
      </c>
      <c r="D9" s="60">
        <v>12.91</v>
      </c>
      <c r="E9" s="60">
        <v>6.60</v>
      </c>
      <c r="F9" s="60">
        <v>0.23</v>
      </c>
      <c r="G9" s="214" t="s">
        <v>36</v>
      </c>
      <c r="H9" s="60">
        <v>5.57</v>
      </c>
      <c r="I9" s="60">
        <v>4.28</v>
      </c>
      <c r="J9" s="60">
        <v>0.21</v>
      </c>
      <c r="K9" s="60">
        <v>214.84</v>
      </c>
      <c r="L9" s="60">
        <v>49.17</v>
      </c>
      <c r="M9" s="60">
        <v>98.64</v>
      </c>
      <c r="N9" s="60">
        <v>15</v>
      </c>
      <c r="O9" s="60">
        <v>0</v>
      </c>
      <c r="P9" s="60">
        <v>3.02</v>
      </c>
      <c r="Q9" s="60">
        <v>3.78</v>
      </c>
      <c r="R9" s="194"/>
      <c r="S9" s="194"/>
      <c r="T9" s="194"/>
      <c r="U9" s="194"/>
    </row>
    <row r="10" spans="1:21" s="12" customFormat="1" ht="15">
      <c r="A10" s="197" t="s">
        <v>2550</v>
      </c>
      <c r="B10" s="60">
        <v>3.65</v>
      </c>
      <c r="C10" s="60">
        <v>9.26</v>
      </c>
      <c r="D10" s="60">
        <v>12.92</v>
      </c>
      <c r="E10" s="60">
        <v>6.76</v>
      </c>
      <c r="F10" s="60">
        <v>0.070000000000000007</v>
      </c>
      <c r="G10" s="214" t="s">
        <v>36</v>
      </c>
      <c r="H10" s="60">
        <v>5.54</v>
      </c>
      <c r="I10" s="60">
        <v>4.3499999999999996</v>
      </c>
      <c r="J10" s="60">
        <v>0.070000000000000007</v>
      </c>
      <c r="K10" s="60">
        <v>201.79</v>
      </c>
      <c r="L10" s="60">
        <v>51.54</v>
      </c>
      <c r="M10" s="60">
        <v>98.80</v>
      </c>
      <c r="N10" s="60">
        <v>15.20</v>
      </c>
      <c r="O10" s="60">
        <v>0</v>
      </c>
      <c r="P10" s="60">
        <v>3.01</v>
      </c>
      <c r="Q10" s="60">
        <v>3.87</v>
      </c>
      <c r="R10" s="194"/>
      <c r="S10" s="194"/>
      <c r="T10" s="194"/>
      <c r="U10" s="194"/>
    </row>
    <row r="11" spans="1:21" s="12" customFormat="1" ht="15">
      <c r="A11" s="197" t="s">
        <v>2551</v>
      </c>
      <c r="B11" s="60">
        <v>3.74</v>
      </c>
      <c r="C11" s="60">
        <v>9.18</v>
      </c>
      <c r="D11" s="60">
        <v>12.92</v>
      </c>
      <c r="E11" s="60">
        <v>6.88</v>
      </c>
      <c r="F11" s="60">
        <v>0.070000000000000007</v>
      </c>
      <c r="G11" s="214" t="s">
        <v>36</v>
      </c>
      <c r="H11" s="60">
        <v>5.54</v>
      </c>
      <c r="I11" s="60">
        <v>4.24</v>
      </c>
      <c r="J11" s="60">
        <v>0.05</v>
      </c>
      <c r="K11" s="60">
        <v>232.49</v>
      </c>
      <c r="L11" s="60">
        <v>51.19</v>
      </c>
      <c r="M11" s="60">
        <v>98.51</v>
      </c>
      <c r="N11" s="60">
        <v>15.20</v>
      </c>
      <c r="O11" s="60">
        <v>0</v>
      </c>
      <c r="P11" s="60">
        <v>3.01</v>
      </c>
      <c r="Q11" s="60">
        <v>3.94</v>
      </c>
      <c r="R11" s="194"/>
      <c r="S11" s="194"/>
      <c r="T11" s="194"/>
      <c r="U11" s="194"/>
    </row>
    <row r="12" spans="1:21" s="12" customFormat="1" ht="15">
      <c r="A12" s="197" t="s">
        <v>2552</v>
      </c>
      <c r="B12" s="60">
        <v>3.83</v>
      </c>
      <c r="C12" s="60">
        <v>9.06</v>
      </c>
      <c r="D12" s="60">
        <v>12.88</v>
      </c>
      <c r="E12" s="60">
        <v>7.22</v>
      </c>
      <c r="F12" s="60">
        <v>0.02</v>
      </c>
      <c r="G12" s="214" t="s">
        <v>36</v>
      </c>
      <c r="H12" s="60">
        <v>5.54</v>
      </c>
      <c r="I12" s="60">
        <v>4.28</v>
      </c>
      <c r="J12" s="60">
        <v>0.13</v>
      </c>
      <c r="K12" s="60">
        <v>228.76</v>
      </c>
      <c r="L12" s="60">
        <v>51.34</v>
      </c>
      <c r="M12" s="60">
        <v>97.64</v>
      </c>
      <c r="N12" s="60">
        <v>15.40</v>
      </c>
      <c r="O12" s="60">
        <v>0</v>
      </c>
      <c r="P12" s="60">
        <v>3</v>
      </c>
      <c r="Q12" s="60">
        <v>3.99</v>
      </c>
      <c r="R12" s="194"/>
      <c r="S12" s="194"/>
      <c r="T12" s="194"/>
      <c r="U12" s="194"/>
    </row>
    <row r="13" spans="1:21" s="12" customFormat="1" ht="15">
      <c r="A13" s="197" t="s">
        <v>2553</v>
      </c>
      <c r="B13" s="60">
        <v>3.81</v>
      </c>
      <c r="C13" s="60">
        <v>9.17</v>
      </c>
      <c r="D13" s="60">
        <v>12.98</v>
      </c>
      <c r="E13" s="60">
        <v>7.26</v>
      </c>
      <c r="F13" s="60">
        <v>0.04</v>
      </c>
      <c r="G13" s="214" t="s">
        <v>36</v>
      </c>
      <c r="H13" s="60">
        <v>5.24</v>
      </c>
      <c r="I13" s="60">
        <v>4.3099999999999996</v>
      </c>
      <c r="J13" s="60">
        <v>0.28000000000000003</v>
      </c>
      <c r="K13" s="60">
        <v>200.43</v>
      </c>
      <c r="L13" s="60">
        <v>49.60</v>
      </c>
      <c r="M13" s="60">
        <v>97.63</v>
      </c>
      <c r="N13" s="60">
        <v>15.40</v>
      </c>
      <c r="O13" s="60">
        <v>0</v>
      </c>
      <c r="P13" s="60">
        <v>2.99</v>
      </c>
      <c r="Q13" s="60">
        <v>4.0599999999999996</v>
      </c>
      <c r="R13" s="194"/>
      <c r="S13" s="194"/>
      <c r="T13" s="194"/>
      <c r="U13" s="194"/>
    </row>
    <row r="14" spans="1:21" s="12" customFormat="1" ht="15">
      <c r="A14" s="197" t="s">
        <v>2554</v>
      </c>
      <c r="B14" s="60">
        <v>3.83</v>
      </c>
      <c r="C14" s="60">
        <v>8.42</v>
      </c>
      <c r="D14" s="60">
        <v>12.25</v>
      </c>
      <c r="E14" s="60">
        <v>6.98</v>
      </c>
      <c r="F14" s="60">
        <v>0.40</v>
      </c>
      <c r="G14" s="214" t="s">
        <v>36</v>
      </c>
      <c r="H14" s="60">
        <v>4.5</v>
      </c>
      <c r="I14" s="60">
        <v>4.29</v>
      </c>
      <c r="J14" s="60">
        <v>0.25</v>
      </c>
      <c r="K14" s="60">
        <v>206.10</v>
      </c>
      <c r="L14" s="60">
        <v>49.52</v>
      </c>
      <c r="M14" s="60">
        <v>97.43</v>
      </c>
      <c r="N14" s="60">
        <v>15.70</v>
      </c>
      <c r="O14" s="60">
        <v>0</v>
      </c>
      <c r="P14" s="60">
        <v>2.97</v>
      </c>
      <c r="Q14" s="60">
        <v>3.92</v>
      </c>
      <c r="R14" s="194"/>
      <c r="S14" s="194"/>
      <c r="T14" s="194"/>
      <c r="U14" s="194"/>
    </row>
    <row r="15" spans="1:21" s="12" customFormat="1" ht="15">
      <c r="A15" s="197" t="s">
        <v>2555</v>
      </c>
      <c r="B15" s="60">
        <v>3.64</v>
      </c>
      <c r="C15" s="60">
        <v>8.26</v>
      </c>
      <c r="D15" s="60">
        <v>11.89</v>
      </c>
      <c r="E15" s="60">
        <v>7.01</v>
      </c>
      <c r="F15" s="60">
        <v>0.14000000000000001</v>
      </c>
      <c r="G15" s="214" t="s">
        <v>36</v>
      </c>
      <c r="H15" s="60">
        <v>4.5</v>
      </c>
      <c r="I15" s="60">
        <v>4.3099999999999996</v>
      </c>
      <c r="J15" s="60">
        <v>0.19</v>
      </c>
      <c r="K15" s="60">
        <v>203.29</v>
      </c>
      <c r="L15" s="60">
        <v>46.75</v>
      </c>
      <c r="M15" s="60">
        <v>97.35</v>
      </c>
      <c r="N15" s="60">
        <v>15.60</v>
      </c>
      <c r="O15" s="60">
        <v>0</v>
      </c>
      <c r="P15" s="60">
        <v>2.98</v>
      </c>
      <c r="Q15" s="60">
        <v>4.04</v>
      </c>
      <c r="R15" s="194"/>
      <c r="S15" s="194"/>
      <c r="T15" s="194"/>
      <c r="U15" s="194"/>
    </row>
    <row r="16" spans="1:21" s="12" customFormat="1" ht="15">
      <c r="A16" s="197" t="s">
        <v>2556</v>
      </c>
      <c r="B16" s="60">
        <v>3.43</v>
      </c>
      <c r="C16" s="60">
        <v>8.0399999999999991</v>
      </c>
      <c r="D16" s="60">
        <v>11.47</v>
      </c>
      <c r="E16" s="60">
        <v>6.93</v>
      </c>
      <c r="F16" s="60">
        <v>0.44</v>
      </c>
      <c r="G16" s="214" t="s">
        <v>36</v>
      </c>
      <c r="H16" s="60">
        <v>4.5</v>
      </c>
      <c r="I16" s="60">
        <v>4.1500000000000004</v>
      </c>
      <c r="J16" s="60">
        <v>0.27</v>
      </c>
      <c r="K16" s="60">
        <v>188.41</v>
      </c>
      <c r="L16" s="60">
        <v>41.51</v>
      </c>
      <c r="M16" s="60">
        <v>97.39</v>
      </c>
      <c r="N16" s="60">
        <v>15.70</v>
      </c>
      <c r="O16" s="60">
        <v>0</v>
      </c>
      <c r="P16" s="60">
        <v>2.97</v>
      </c>
      <c r="Q16" s="60">
        <v>3.83</v>
      </c>
      <c r="R16" s="194"/>
      <c r="S16" s="194"/>
      <c r="T16" s="194"/>
      <c r="U16" s="194"/>
    </row>
    <row r="17" spans="1:21" s="12" customFormat="1" ht="15">
      <c r="A17" s="197" t="s">
        <v>2557</v>
      </c>
      <c r="B17" s="60">
        <v>3.25</v>
      </c>
      <c r="C17" s="60">
        <v>8.11</v>
      </c>
      <c r="D17" s="60">
        <v>11.36</v>
      </c>
      <c r="E17" s="60">
        <v>7.03</v>
      </c>
      <c r="F17" s="60">
        <v>0.16</v>
      </c>
      <c r="G17" s="214" t="s">
        <v>36</v>
      </c>
      <c r="H17" s="60">
        <v>4.12</v>
      </c>
      <c r="I17" s="60">
        <v>4.0999999999999996</v>
      </c>
      <c r="J17" s="60">
        <v>0.26</v>
      </c>
      <c r="K17" s="60">
        <v>187.32</v>
      </c>
      <c r="L17" s="60">
        <v>41.03</v>
      </c>
      <c r="M17" s="60">
        <v>97.52</v>
      </c>
      <c r="N17" s="60">
        <v>15.60</v>
      </c>
      <c r="O17" s="60">
        <v>0</v>
      </c>
      <c r="P17" s="60">
        <v>2.95</v>
      </c>
      <c r="Q17" s="60">
        <v>3.71</v>
      </c>
      <c r="R17" s="194"/>
      <c r="S17" s="194"/>
      <c r="T17" s="194"/>
      <c r="U17" s="194"/>
    </row>
    <row r="18" spans="1:21" s="12" customFormat="1" ht="15">
      <c r="A18" s="197" t="s">
        <v>2558</v>
      </c>
      <c r="B18" s="60">
        <v>3.13</v>
      </c>
      <c r="C18" s="60">
        <v>8.1199999999999992</v>
      </c>
      <c r="D18" s="60">
        <v>11.25</v>
      </c>
      <c r="E18" s="60">
        <v>7.12</v>
      </c>
      <c r="F18" s="60">
        <v>0.04</v>
      </c>
      <c r="G18" s="214" t="s">
        <v>36</v>
      </c>
      <c r="H18" s="60">
        <v>3.19</v>
      </c>
      <c r="I18" s="60">
        <v>3.99</v>
      </c>
      <c r="J18" s="60">
        <v>0.28000000000000003</v>
      </c>
      <c r="K18" s="60">
        <v>190.21</v>
      </c>
      <c r="L18" s="60">
        <v>45.67</v>
      </c>
      <c r="M18" s="60">
        <v>97.59</v>
      </c>
      <c r="N18" s="60">
        <v>15.5</v>
      </c>
      <c r="O18" s="60">
        <v>0</v>
      </c>
      <c r="P18" s="60">
        <v>2.94</v>
      </c>
      <c r="Q18" s="60">
        <v>3.66</v>
      </c>
      <c r="R18" s="194"/>
      <c r="S18" s="194"/>
      <c r="T18" s="194"/>
      <c r="U18" s="194"/>
    </row>
    <row r="19" spans="1:21" s="12" customFormat="1" ht="15">
      <c r="A19" s="197" t="s">
        <v>2559</v>
      </c>
      <c r="B19" s="60">
        <v>3.05</v>
      </c>
      <c r="C19" s="60">
        <v>8.02</v>
      </c>
      <c r="D19" s="60">
        <v>11.08</v>
      </c>
      <c r="E19" s="60">
        <v>6.67</v>
      </c>
      <c r="F19" s="60">
        <v>0.01</v>
      </c>
      <c r="G19" s="214" t="s">
        <v>36</v>
      </c>
      <c r="H19" s="60">
        <v>3.19</v>
      </c>
      <c r="I19" s="60">
        <v>3.93</v>
      </c>
      <c r="J19" s="60">
        <v>0.28999999999999998</v>
      </c>
      <c r="K19" s="60">
        <v>198.86</v>
      </c>
      <c r="L19" s="60">
        <v>49.99</v>
      </c>
      <c r="M19" s="60">
        <v>97.58</v>
      </c>
      <c r="N19" s="60">
        <v>15.5</v>
      </c>
      <c r="O19" s="60">
        <v>0</v>
      </c>
      <c r="P19" s="60">
        <v>2.93</v>
      </c>
      <c r="Q19" s="60">
        <v>3.52</v>
      </c>
      <c r="R19" s="194"/>
      <c r="S19" s="194"/>
      <c r="T19" s="194"/>
      <c r="U19" s="194"/>
    </row>
    <row r="20" spans="1:21" s="12" customFormat="1" ht="15">
      <c r="A20" s="197" t="s">
        <v>2560</v>
      </c>
      <c r="B20" s="60">
        <v>2.97</v>
      </c>
      <c r="C20" s="60">
        <v>8.08</v>
      </c>
      <c r="D20" s="60">
        <v>11.05</v>
      </c>
      <c r="E20" s="60">
        <v>6.66</v>
      </c>
      <c r="F20" s="60">
        <v>0.02</v>
      </c>
      <c r="G20" s="214" t="s">
        <v>36</v>
      </c>
      <c r="H20" s="60">
        <v>3.19</v>
      </c>
      <c r="I20" s="60">
        <v>3.89</v>
      </c>
      <c r="J20" s="60">
        <v>0.46</v>
      </c>
      <c r="K20" s="60">
        <v>165.54</v>
      </c>
      <c r="L20" s="60">
        <v>46.55</v>
      </c>
      <c r="M20" s="60">
        <v>97.59</v>
      </c>
      <c r="N20" s="60">
        <v>15.70</v>
      </c>
      <c r="O20" s="60">
        <v>0</v>
      </c>
      <c r="P20" s="60">
        <v>2.92</v>
      </c>
      <c r="Q20" s="60">
        <v>3.5</v>
      </c>
      <c r="R20" s="194"/>
      <c r="S20" s="194"/>
      <c r="T20" s="194"/>
      <c r="U20" s="194"/>
    </row>
    <row r="21" spans="1:21" s="12" customFormat="1" ht="15">
      <c r="A21" s="197" t="s">
        <v>2561</v>
      </c>
      <c r="B21" s="60">
        <v>2.97</v>
      </c>
      <c r="C21" s="60">
        <v>8.11</v>
      </c>
      <c r="D21" s="60">
        <v>11.08</v>
      </c>
      <c r="E21" s="60">
        <v>7.18</v>
      </c>
      <c r="F21" s="60">
        <v>0.01</v>
      </c>
      <c r="G21" s="214" t="s">
        <v>36</v>
      </c>
      <c r="H21" s="60">
        <v>2.95</v>
      </c>
      <c r="I21" s="60">
        <v>3.81</v>
      </c>
      <c r="J21" s="60">
        <v>0.32</v>
      </c>
      <c r="K21" s="60">
        <v>194.66</v>
      </c>
      <c r="L21" s="60">
        <v>47.17</v>
      </c>
      <c r="M21" s="60">
        <v>97.36</v>
      </c>
      <c r="N21" s="60">
        <v>15.80</v>
      </c>
      <c r="O21" s="60">
        <v>0</v>
      </c>
      <c r="P21" s="60">
        <v>2.92</v>
      </c>
      <c r="Q21" s="60">
        <v>3.53</v>
      </c>
      <c r="R21" s="194"/>
      <c r="S21" s="194"/>
      <c r="T21" s="194"/>
      <c r="U21" s="194"/>
    </row>
    <row r="22" spans="1:21" s="12" customFormat="1" ht="15">
      <c r="A22" s="197" t="s">
        <v>2562</v>
      </c>
      <c r="B22" s="60">
        <v>3.09</v>
      </c>
      <c r="C22" s="60">
        <v>7.93</v>
      </c>
      <c r="D22" s="60">
        <v>11.01</v>
      </c>
      <c r="E22" s="60">
        <v>7.25</v>
      </c>
      <c r="F22" s="60">
        <v>0.01</v>
      </c>
      <c r="G22" s="214" t="s">
        <v>36</v>
      </c>
      <c r="H22" s="60">
        <v>2.37</v>
      </c>
      <c r="I22" s="60">
        <v>3.74</v>
      </c>
      <c r="J22" s="60">
        <v>0.15</v>
      </c>
      <c r="K22" s="60">
        <v>211.37</v>
      </c>
      <c r="L22" s="60">
        <v>46.53</v>
      </c>
      <c r="M22" s="60">
        <v>97.61</v>
      </c>
      <c r="N22" s="60">
        <v>15.70</v>
      </c>
      <c r="O22" s="60">
        <v>0</v>
      </c>
      <c r="P22" s="60">
        <v>2.91</v>
      </c>
      <c r="Q22" s="60">
        <v>3.57</v>
      </c>
      <c r="R22" s="194"/>
      <c r="S22" s="194"/>
      <c r="T22" s="194"/>
      <c r="U22" s="194"/>
    </row>
    <row r="23" spans="1:21" s="12" customFormat="1" ht="15">
      <c r="A23" s="197" t="s">
        <v>2563</v>
      </c>
      <c r="B23" s="60">
        <v>3.25</v>
      </c>
      <c r="C23" s="60">
        <v>7.86</v>
      </c>
      <c r="D23" s="60">
        <v>11.11</v>
      </c>
      <c r="E23" s="60">
        <v>7.30</v>
      </c>
      <c r="F23" s="60">
        <v>0.38</v>
      </c>
      <c r="G23" s="214" t="s">
        <v>36</v>
      </c>
      <c r="H23" s="60">
        <v>2.37</v>
      </c>
      <c r="I23" s="60">
        <v>3.69</v>
      </c>
      <c r="J23" s="60">
        <v>0.20</v>
      </c>
      <c r="K23" s="60">
        <v>193.46</v>
      </c>
      <c r="L23" s="60">
        <v>49.02</v>
      </c>
      <c r="M23" s="60">
        <v>97.31</v>
      </c>
      <c r="N23" s="60">
        <v>15.70</v>
      </c>
      <c r="O23" s="60">
        <v>0</v>
      </c>
      <c r="P23" s="60">
        <v>2.91</v>
      </c>
      <c r="Q23" s="60">
        <v>3.60</v>
      </c>
      <c r="R23" s="194"/>
      <c r="S23" s="194"/>
      <c r="T23" s="194"/>
      <c r="U23" s="194"/>
    </row>
    <row r="24" spans="1:21" s="12" customFormat="1" ht="15">
      <c r="A24" s="197" t="s">
        <v>2564</v>
      </c>
      <c r="B24" s="60">
        <v>3.44</v>
      </c>
      <c r="C24" s="60">
        <v>7.77</v>
      </c>
      <c r="D24" s="60">
        <v>11.21</v>
      </c>
      <c r="E24" s="60">
        <v>4.12</v>
      </c>
      <c r="F24" s="60">
        <v>0.61</v>
      </c>
      <c r="G24" s="214" t="s">
        <v>36</v>
      </c>
      <c r="H24" s="60">
        <v>2.37</v>
      </c>
      <c r="I24" s="60">
        <v>3.72</v>
      </c>
      <c r="J24" s="60">
        <v>0.19</v>
      </c>
      <c r="K24" s="60">
        <v>210.64</v>
      </c>
      <c r="L24" s="60">
        <v>43.68</v>
      </c>
      <c r="M24" s="60">
        <v>97.02</v>
      </c>
      <c r="N24" s="60">
        <v>15.70</v>
      </c>
      <c r="O24" s="60">
        <v>0</v>
      </c>
      <c r="P24" s="60">
        <v>2.90</v>
      </c>
      <c r="Q24" s="60">
        <v>3.65</v>
      </c>
      <c r="R24" s="194"/>
      <c r="S24" s="194"/>
      <c r="T24" s="194"/>
      <c r="U24" s="194"/>
    </row>
    <row r="25" spans="1:21" s="12" customFormat="1" ht="15">
      <c r="A25" s="197" t="s">
        <v>2565</v>
      </c>
      <c r="B25" s="60">
        <v>3.62</v>
      </c>
      <c r="C25" s="60">
        <v>7.84</v>
      </c>
      <c r="D25" s="60">
        <v>11.46</v>
      </c>
      <c r="E25" s="60">
        <v>7.40</v>
      </c>
      <c r="F25" s="60">
        <v>0.16</v>
      </c>
      <c r="G25" s="214" t="s">
        <v>36</v>
      </c>
      <c r="H25" s="60">
        <v>2.2599999999999998</v>
      </c>
      <c r="I25" s="60">
        <v>3.74</v>
      </c>
      <c r="J25" s="60">
        <v>0.24</v>
      </c>
      <c r="K25" s="60">
        <v>206.33</v>
      </c>
      <c r="L25" s="60">
        <v>47.88</v>
      </c>
      <c r="M25" s="60">
        <v>96.73</v>
      </c>
      <c r="N25" s="60">
        <v>15.80</v>
      </c>
      <c r="O25" s="60">
        <v>0</v>
      </c>
      <c r="P25" s="60">
        <v>2.90</v>
      </c>
      <c r="Q25" s="60">
        <v>3.80</v>
      </c>
      <c r="R25" s="194"/>
      <c r="S25" s="194"/>
      <c r="T25" s="194"/>
      <c r="U25" s="194"/>
    </row>
    <row r="26" spans="1:21" s="12" customFormat="1" ht="15">
      <c r="A26" s="197" t="s">
        <v>2566</v>
      </c>
      <c r="B26" s="60">
        <v>3.78</v>
      </c>
      <c r="C26" s="60">
        <v>7.96</v>
      </c>
      <c r="D26" s="60">
        <v>11.74</v>
      </c>
      <c r="E26" s="60">
        <v>7.68</v>
      </c>
      <c r="F26" s="60">
        <v>0.06</v>
      </c>
      <c r="G26" s="214" t="s">
        <v>36</v>
      </c>
      <c r="H26" s="60">
        <v>1.99</v>
      </c>
      <c r="I26" s="60">
        <v>3.82</v>
      </c>
      <c r="J26" s="60">
        <v>0.28000000000000003</v>
      </c>
      <c r="K26" s="60">
        <v>194.92</v>
      </c>
      <c r="L26" s="60">
        <v>53.33</v>
      </c>
      <c r="M26" s="60">
        <v>96.74</v>
      </c>
      <c r="N26" s="60">
        <v>15.80</v>
      </c>
      <c r="O26" s="60">
        <v>0</v>
      </c>
      <c r="P26" s="60">
        <v>2.90</v>
      </c>
      <c r="Q26" s="60">
        <v>3.99</v>
      </c>
      <c r="R26" s="194"/>
      <c r="S26" s="194"/>
      <c r="T26" s="194"/>
      <c r="U26" s="194"/>
    </row>
    <row r="27" spans="1:21" s="12" customFormat="1" ht="15">
      <c r="A27" s="197" t="s">
        <v>2567</v>
      </c>
      <c r="B27" s="60">
        <v>3.96</v>
      </c>
      <c r="C27" s="60">
        <v>8.0299999999999994</v>
      </c>
      <c r="D27" s="60">
        <v>11.99</v>
      </c>
      <c r="E27" s="60">
        <v>8.26</v>
      </c>
      <c r="F27" s="60">
        <v>0.25</v>
      </c>
      <c r="G27" s="214" t="s">
        <v>36</v>
      </c>
      <c r="H27" s="60">
        <v>1.99</v>
      </c>
      <c r="I27" s="60">
        <v>3.73</v>
      </c>
      <c r="J27" s="60">
        <v>0.19</v>
      </c>
      <c r="K27" s="60">
        <v>198.05</v>
      </c>
      <c r="L27" s="60">
        <v>50.54</v>
      </c>
      <c r="M27" s="60">
        <v>97.20</v>
      </c>
      <c r="N27" s="60">
        <v>15.80</v>
      </c>
      <c r="O27" s="60">
        <v>0</v>
      </c>
      <c r="P27" s="60">
        <v>2.90</v>
      </c>
      <c r="Q27" s="60">
        <v>4.0999999999999996</v>
      </c>
      <c r="R27" s="194"/>
      <c r="S27" s="194"/>
      <c r="T27" s="194"/>
      <c r="U27" s="194"/>
    </row>
    <row r="28" spans="1:21" s="12" customFormat="1" ht="15">
      <c r="A28" s="197" t="s">
        <v>2568</v>
      </c>
      <c r="B28" s="60">
        <v>4.21</v>
      </c>
      <c r="C28" s="60">
        <v>8.18</v>
      </c>
      <c r="D28" s="60">
        <v>12.38</v>
      </c>
      <c r="E28" s="60">
        <v>7.91</v>
      </c>
      <c r="F28" s="60">
        <v>0.16</v>
      </c>
      <c r="G28" s="214" t="s">
        <v>36</v>
      </c>
      <c r="H28" s="60">
        <v>1.99</v>
      </c>
      <c r="I28" s="60">
        <v>3.82</v>
      </c>
      <c r="J28" s="60">
        <v>0.16</v>
      </c>
      <c r="K28" s="60">
        <v>232.44</v>
      </c>
      <c r="L28" s="60">
        <v>48.17</v>
      </c>
      <c r="M28" s="60">
        <v>97.14</v>
      </c>
      <c r="N28" s="60">
        <v>15.70</v>
      </c>
      <c r="O28" s="60">
        <v>0</v>
      </c>
      <c r="P28" s="60">
        <v>2.90</v>
      </c>
      <c r="Q28" s="60">
        <v>4.26</v>
      </c>
      <c r="R28" s="194"/>
      <c r="S28" s="194"/>
      <c r="T28" s="194"/>
      <c r="U28" s="194"/>
    </row>
    <row r="29" spans="1:21" s="12" customFormat="1" ht="15">
      <c r="A29" s="197" t="s">
        <v>2569</v>
      </c>
      <c r="B29" s="60">
        <v>4.28</v>
      </c>
      <c r="C29" s="60">
        <v>7.56</v>
      </c>
      <c r="D29" s="60">
        <v>11.84</v>
      </c>
      <c r="E29" s="60">
        <v>7.85</v>
      </c>
      <c r="F29" s="60">
        <v>0.30</v>
      </c>
      <c r="G29" s="214" t="s">
        <v>36</v>
      </c>
      <c r="H29" s="60">
        <v>1.92</v>
      </c>
      <c r="I29" s="60">
        <v>3.80</v>
      </c>
      <c r="J29" s="60">
        <v>0.28000000000000003</v>
      </c>
      <c r="K29" s="60">
        <v>187.86</v>
      </c>
      <c r="L29" s="60">
        <v>46.40</v>
      </c>
      <c r="M29" s="60">
        <v>96.84</v>
      </c>
      <c r="N29" s="60">
        <v>15.80</v>
      </c>
      <c r="O29" s="60">
        <v>0</v>
      </c>
      <c r="P29" s="60">
        <v>2.90</v>
      </c>
      <c r="Q29" s="60">
        <v>4.25</v>
      </c>
      <c r="R29" s="194"/>
      <c r="S29" s="194"/>
      <c r="T29" s="194"/>
      <c r="U29" s="194"/>
    </row>
    <row r="30" spans="1:21" s="12" customFormat="1" ht="15">
      <c r="A30" s="197" t="s">
        <v>2570</v>
      </c>
      <c r="B30" s="60">
        <v>4.3099999999999996</v>
      </c>
      <c r="C30" s="60">
        <v>7.96</v>
      </c>
      <c r="D30" s="60">
        <v>12.27</v>
      </c>
      <c r="E30" s="60">
        <v>8.10</v>
      </c>
      <c r="F30" s="60">
        <v>0.04</v>
      </c>
      <c r="G30" s="214" t="s">
        <v>36</v>
      </c>
      <c r="H30" s="60">
        <v>1.77</v>
      </c>
      <c r="I30" s="60">
        <v>3.79</v>
      </c>
      <c r="J30" s="60">
        <v>0.26</v>
      </c>
      <c r="K30" s="60">
        <v>176.37</v>
      </c>
      <c r="L30" s="60">
        <v>46.51</v>
      </c>
      <c r="M30" s="60">
        <v>96.93</v>
      </c>
      <c r="N30" s="60">
        <v>15.80</v>
      </c>
      <c r="O30" s="60">
        <v>0</v>
      </c>
      <c r="P30" s="60">
        <v>2.89</v>
      </c>
      <c r="Q30" s="60">
        <v>4.32</v>
      </c>
      <c r="R30" s="194"/>
      <c r="S30" s="194"/>
      <c r="T30" s="194"/>
      <c r="U30" s="194"/>
    </row>
    <row r="31" spans="1:21" s="12" customFormat="1" ht="15">
      <c r="A31" s="197" t="s">
        <v>2571</v>
      </c>
      <c r="B31" s="60">
        <v>4.37</v>
      </c>
      <c r="C31" s="60">
        <v>8.1999999999999993</v>
      </c>
      <c r="D31" s="60">
        <v>12.57</v>
      </c>
      <c r="E31" s="60">
        <v>8.0500000000000007</v>
      </c>
      <c r="F31" s="60">
        <v>0.32</v>
      </c>
      <c r="G31" s="214" t="s">
        <v>36</v>
      </c>
      <c r="H31" s="60">
        <v>1.77</v>
      </c>
      <c r="I31" s="60">
        <v>3.78</v>
      </c>
      <c r="J31" s="60">
        <v>0.39</v>
      </c>
      <c r="K31" s="60">
        <v>170.73</v>
      </c>
      <c r="L31" s="60">
        <v>45.37</v>
      </c>
      <c r="M31" s="60">
        <v>96.53</v>
      </c>
      <c r="N31" s="60">
        <v>16.399999999999999</v>
      </c>
      <c r="O31" s="60">
        <v>0</v>
      </c>
      <c r="P31" s="60">
        <v>2.88</v>
      </c>
      <c r="Q31" s="60">
        <v>4.17</v>
      </c>
      <c r="R31" s="194"/>
      <c r="S31" s="194"/>
      <c r="T31" s="194"/>
      <c r="U31" s="194"/>
    </row>
    <row r="32" spans="1:21" s="12" customFormat="1" ht="15">
      <c r="A32" s="197" t="s">
        <v>2572</v>
      </c>
      <c r="B32" s="60">
        <v>4.54</v>
      </c>
      <c r="C32" s="60">
        <v>8.44</v>
      </c>
      <c r="D32" s="60">
        <v>12.98</v>
      </c>
      <c r="E32" s="60">
        <v>7.83</v>
      </c>
      <c r="F32" s="60">
        <v>0.26</v>
      </c>
      <c r="G32" s="214" t="s">
        <v>36</v>
      </c>
      <c r="H32" s="60">
        <v>1.77</v>
      </c>
      <c r="I32" s="60">
        <v>3.77</v>
      </c>
      <c r="J32" s="60">
        <v>0.33</v>
      </c>
      <c r="K32" s="60">
        <v>185.07</v>
      </c>
      <c r="L32" s="60">
        <v>45.14</v>
      </c>
      <c r="M32" s="60">
        <v>96.21</v>
      </c>
      <c r="N32" s="60">
        <v>19.5</v>
      </c>
      <c r="O32" s="60">
        <v>0</v>
      </c>
      <c r="P32" s="60">
        <v>2.88</v>
      </c>
      <c r="Q32" s="60">
        <v>4.24</v>
      </c>
      <c r="R32" s="194"/>
      <c r="S32" s="194"/>
      <c r="T32" s="194"/>
      <c r="U32" s="194"/>
    </row>
    <row r="33" spans="1:21" s="12" customFormat="1" ht="15">
      <c r="A33" s="197" t="s">
        <v>2573</v>
      </c>
      <c r="B33" s="60">
        <v>5.0599999999999996</v>
      </c>
      <c r="C33" s="60">
        <v>8.67</v>
      </c>
      <c r="D33" s="60">
        <v>13.73</v>
      </c>
      <c r="E33" s="60">
        <v>8.09</v>
      </c>
      <c r="F33" s="60">
        <v>0.08</v>
      </c>
      <c r="G33" s="214" t="s">
        <v>36</v>
      </c>
      <c r="H33" s="60">
        <v>1.71</v>
      </c>
      <c r="I33" s="60">
        <v>3.69</v>
      </c>
      <c r="J33" s="60">
        <v>0.28999999999999998</v>
      </c>
      <c r="K33" s="60">
        <v>212.27</v>
      </c>
      <c r="L33" s="60">
        <v>44.71</v>
      </c>
      <c r="M33" s="60">
        <v>95.92</v>
      </c>
      <c r="N33" s="60">
        <v>24.10</v>
      </c>
      <c r="O33" s="60">
        <v>0</v>
      </c>
      <c r="P33" s="60">
        <v>2.88</v>
      </c>
      <c r="Q33" s="60">
        <v>4.3499999999999996</v>
      </c>
      <c r="R33" s="194"/>
      <c r="S33" s="194"/>
      <c r="T33" s="194"/>
      <c r="U33" s="194"/>
    </row>
    <row r="34" spans="1:21" s="12" customFormat="1" ht="15">
      <c r="A34" s="197" t="s">
        <v>2574</v>
      </c>
      <c r="B34" s="60">
        <v>5.42</v>
      </c>
      <c r="C34" s="60">
        <v>8.90</v>
      </c>
      <c r="D34" s="60">
        <v>14.32</v>
      </c>
      <c r="E34" s="60">
        <v>7.82</v>
      </c>
      <c r="F34" s="60">
        <v>0.01</v>
      </c>
      <c r="G34" s="214" t="s">
        <v>36</v>
      </c>
      <c r="H34" s="60">
        <v>1.54</v>
      </c>
      <c r="I34" s="60">
        <v>3.68</v>
      </c>
      <c r="J34" s="60">
        <v>0.15</v>
      </c>
      <c r="K34" s="60">
        <v>213.63</v>
      </c>
      <c r="L34" s="60">
        <v>44.71</v>
      </c>
      <c r="M34" s="60">
        <v>95.74</v>
      </c>
      <c r="N34" s="60">
        <v>31.90</v>
      </c>
      <c r="O34" s="60">
        <v>0</v>
      </c>
      <c r="P34" s="60">
        <v>2.88</v>
      </c>
      <c r="Q34" s="60">
        <v>4.5</v>
      </c>
      <c r="R34" s="194"/>
      <c r="S34" s="194"/>
      <c r="T34" s="194"/>
      <c r="U34" s="194"/>
    </row>
    <row r="35" spans="1:21" s="12" customFormat="1" ht="15">
      <c r="A35" s="197" t="s">
        <v>2575</v>
      </c>
      <c r="B35" s="60">
        <v>5.55</v>
      </c>
      <c r="C35" s="60">
        <v>8.92</v>
      </c>
      <c r="D35" s="60">
        <v>14.47</v>
      </c>
      <c r="E35" s="60">
        <v>7.80</v>
      </c>
      <c r="F35" s="60">
        <v>0.06</v>
      </c>
      <c r="G35" s="214" t="s">
        <v>36</v>
      </c>
      <c r="H35" s="60">
        <v>1.54</v>
      </c>
      <c r="I35" s="60">
        <v>3.66</v>
      </c>
      <c r="J35" s="60">
        <v>0.21</v>
      </c>
      <c r="K35" s="60">
        <v>215.63</v>
      </c>
      <c r="L35" s="60">
        <v>45.89</v>
      </c>
      <c r="M35" s="60">
        <v>94.90</v>
      </c>
      <c r="N35" s="60">
        <v>36.5</v>
      </c>
      <c r="O35" s="60">
        <v>0</v>
      </c>
      <c r="P35" s="60">
        <v>2.87</v>
      </c>
      <c r="Q35" s="60">
        <v>4.42</v>
      </c>
      <c r="R35" s="194"/>
      <c r="S35" s="194"/>
      <c r="T35" s="194"/>
      <c r="U35" s="194"/>
    </row>
    <row r="36" spans="1:21" s="12" customFormat="1" ht="15">
      <c r="A36" s="197" t="s">
        <v>2576</v>
      </c>
      <c r="B36" s="60">
        <v>5.77</v>
      </c>
      <c r="C36" s="60">
        <v>8.83</v>
      </c>
      <c r="D36" s="60">
        <v>14.60</v>
      </c>
      <c r="E36" s="60">
        <v>8.33</v>
      </c>
      <c r="F36" s="60">
        <v>0.05</v>
      </c>
      <c r="G36" s="214" t="s">
        <v>36</v>
      </c>
      <c r="H36" s="60">
        <v>1.54</v>
      </c>
      <c r="I36" s="60">
        <v>3.64</v>
      </c>
      <c r="J36" s="60">
        <v>0.30</v>
      </c>
      <c r="K36" s="60">
        <v>215.55</v>
      </c>
      <c r="L36" s="60">
        <v>46.90</v>
      </c>
      <c r="M36" s="60">
        <v>94.72</v>
      </c>
      <c r="N36" s="60">
        <v>40.799999999999997</v>
      </c>
      <c r="O36" s="60">
        <v>0</v>
      </c>
      <c r="P36" s="60">
        <v>2.89</v>
      </c>
      <c r="Q36" s="60">
        <v>4.46</v>
      </c>
      <c r="R36" s="194"/>
      <c r="S36" s="194"/>
      <c r="T36" s="194"/>
      <c r="U36" s="194"/>
    </row>
    <row r="37" spans="1:21" s="12" customFormat="1" ht="15">
      <c r="A37" s="197" t="s">
        <v>2577</v>
      </c>
      <c r="B37" s="60">
        <v>6.02</v>
      </c>
      <c r="C37" s="60">
        <v>8.7200000000000006</v>
      </c>
      <c r="D37" s="60">
        <v>14.74</v>
      </c>
      <c r="E37" s="60">
        <v>8.23</v>
      </c>
      <c r="F37" s="214" t="s">
        <v>36</v>
      </c>
      <c r="G37" s="214" t="s">
        <v>36</v>
      </c>
      <c r="H37" s="60">
        <v>1.55</v>
      </c>
      <c r="I37" s="60">
        <v>3.55</v>
      </c>
      <c r="J37" s="60">
        <v>0.40</v>
      </c>
      <c r="K37" s="60">
        <v>181.32</v>
      </c>
      <c r="L37" s="60">
        <v>44.99</v>
      </c>
      <c r="M37" s="60">
        <v>95.11</v>
      </c>
      <c r="N37" s="60">
        <v>53.20</v>
      </c>
      <c r="O37" s="60">
        <v>0</v>
      </c>
      <c r="P37" s="60">
        <v>2.89</v>
      </c>
      <c r="Q37" s="60">
        <v>4.55</v>
      </c>
      <c r="R37" s="194"/>
      <c r="S37" s="194"/>
      <c r="T37" s="194"/>
      <c r="U37" s="194"/>
    </row>
    <row r="38" spans="1:21" s="12" customFormat="1" ht="15">
      <c r="A38" s="197" t="s">
        <v>2578</v>
      </c>
      <c r="B38" s="60">
        <v>6.31</v>
      </c>
      <c r="C38" s="60">
        <v>8.6199999999999992</v>
      </c>
      <c r="D38" s="60">
        <v>14.92</v>
      </c>
      <c r="E38" s="60">
        <v>8.3000000000000007</v>
      </c>
      <c r="F38" s="214" t="s">
        <v>36</v>
      </c>
      <c r="G38" s="214" t="s">
        <v>36</v>
      </c>
      <c r="H38" s="60">
        <v>1.59</v>
      </c>
      <c r="I38" s="60">
        <v>3.59</v>
      </c>
      <c r="J38" s="60">
        <v>0.28000000000000003</v>
      </c>
      <c r="K38" s="60">
        <v>187.29</v>
      </c>
      <c r="L38" s="60">
        <v>45.40</v>
      </c>
      <c r="M38" s="60">
        <v>94.66</v>
      </c>
      <c r="N38" s="60">
        <v>98.30</v>
      </c>
      <c r="O38" s="60">
        <v>0</v>
      </c>
      <c r="P38" s="60">
        <v>2.88</v>
      </c>
      <c r="Q38" s="60">
        <v>4.6500000000000004</v>
      </c>
      <c r="R38" s="194"/>
      <c r="S38" s="194"/>
      <c r="T38" s="194"/>
      <c r="U38" s="194"/>
    </row>
    <row r="39" spans="1:21" s="12" customFormat="1" ht="15">
      <c r="A39" s="197" t="s">
        <v>2579</v>
      </c>
      <c r="B39" s="60">
        <v>6.59</v>
      </c>
      <c r="C39" s="60">
        <v>8.75</v>
      </c>
      <c r="D39" s="60">
        <v>15.34</v>
      </c>
      <c r="E39" s="60">
        <v>8.15</v>
      </c>
      <c r="F39" s="214" t="s">
        <v>36</v>
      </c>
      <c r="G39" s="214" t="s">
        <v>36</v>
      </c>
      <c r="H39" s="60">
        <v>1.59</v>
      </c>
      <c r="I39" s="60">
        <v>3.69</v>
      </c>
      <c r="J39" s="60">
        <v>0.49</v>
      </c>
      <c r="K39" s="60">
        <v>172.51</v>
      </c>
      <c r="L39" s="60">
        <v>47.04</v>
      </c>
      <c r="M39" s="60">
        <v>91.63</v>
      </c>
      <c r="N39" s="60">
        <v>193.5</v>
      </c>
      <c r="O39" s="60">
        <v>0</v>
      </c>
      <c r="P39" s="60">
        <v>2.88</v>
      </c>
      <c r="Q39" s="60">
        <v>4.8099999999999996</v>
      </c>
      <c r="R39" s="194"/>
      <c r="S39" s="194"/>
      <c r="T39" s="194"/>
      <c r="U39" s="194"/>
    </row>
    <row r="40" spans="1:21" s="12" customFormat="1" ht="15">
      <c r="A40" s="197" t="s">
        <v>2580</v>
      </c>
      <c r="B40" s="60">
        <v>6.78</v>
      </c>
      <c r="C40" s="60">
        <v>8.66</v>
      </c>
      <c r="D40" s="60">
        <v>15.44</v>
      </c>
      <c r="E40" s="60">
        <v>4.1100000000000003</v>
      </c>
      <c r="F40" s="60">
        <v>0.03</v>
      </c>
      <c r="G40" s="214" t="s">
        <v>36</v>
      </c>
      <c r="H40" s="60">
        <v>1.59</v>
      </c>
      <c r="I40" s="60">
        <v>3.72</v>
      </c>
      <c r="J40" s="60">
        <v>0.52</v>
      </c>
      <c r="K40" s="60">
        <v>176.04</v>
      </c>
      <c r="L40" s="60">
        <v>48.25</v>
      </c>
      <c r="M40" s="60">
        <v>89.68</v>
      </c>
      <c r="N40" s="60">
        <v>220.30</v>
      </c>
      <c r="O40" s="60">
        <v>0</v>
      </c>
      <c r="P40" s="60">
        <v>2.89</v>
      </c>
      <c r="Q40" s="60">
        <v>4.8499999999999996</v>
      </c>
      <c r="R40" s="194"/>
      <c r="S40" s="194"/>
      <c r="T40" s="194"/>
      <c r="U40" s="194"/>
    </row>
    <row r="41" spans="1:21" s="12" customFormat="1" ht="15">
      <c r="A41" s="197" t="s">
        <v>2581</v>
      </c>
      <c r="B41" s="60">
        <v>6.90</v>
      </c>
      <c r="C41" s="60">
        <v>8.8800000000000008</v>
      </c>
      <c r="D41" s="60">
        <v>15.78</v>
      </c>
      <c r="E41" s="60">
        <v>7.54</v>
      </c>
      <c r="F41" s="60">
        <v>0.02</v>
      </c>
      <c r="G41" s="214" t="s">
        <v>36</v>
      </c>
      <c r="H41" s="60">
        <v>2.31</v>
      </c>
      <c r="I41" s="60">
        <v>3.79</v>
      </c>
      <c r="J41" s="60">
        <v>0.35</v>
      </c>
      <c r="K41" s="60">
        <v>190.92</v>
      </c>
      <c r="L41" s="60">
        <v>46.06</v>
      </c>
      <c r="M41" s="60">
        <v>88.55</v>
      </c>
      <c r="N41" s="60">
        <v>188.70</v>
      </c>
      <c r="O41" s="60">
        <v>0</v>
      </c>
      <c r="P41" s="60">
        <v>2.89</v>
      </c>
      <c r="Q41" s="60">
        <v>4.95</v>
      </c>
      <c r="R41" s="194"/>
      <c r="S41" s="194"/>
      <c r="T41" s="194"/>
      <c r="U41" s="194"/>
    </row>
    <row r="42" spans="1:21" s="12" customFormat="1" ht="15">
      <c r="A42" s="197" t="s">
        <v>2582</v>
      </c>
      <c r="B42" s="60">
        <v>7</v>
      </c>
      <c r="C42" s="60">
        <v>8.75</v>
      </c>
      <c r="D42" s="60">
        <v>15.75</v>
      </c>
      <c r="E42" s="60">
        <v>7.71</v>
      </c>
      <c r="F42" s="60">
        <v>0.070000000000000007</v>
      </c>
      <c r="G42" s="214" t="s">
        <v>36</v>
      </c>
      <c r="H42" s="60">
        <v>4.1100000000000003</v>
      </c>
      <c r="I42" s="60">
        <v>3.83</v>
      </c>
      <c r="J42" s="60">
        <v>0.24</v>
      </c>
      <c r="K42" s="60">
        <v>194.82</v>
      </c>
      <c r="L42" s="60">
        <v>46.76</v>
      </c>
      <c r="M42" s="60">
        <v>87.81</v>
      </c>
      <c r="N42" s="60">
        <v>303.60000000000002</v>
      </c>
      <c r="O42" s="60">
        <v>0</v>
      </c>
      <c r="P42" s="60">
        <v>2.89</v>
      </c>
      <c r="Q42" s="60">
        <v>4.95</v>
      </c>
      <c r="R42" s="194"/>
      <c r="S42" s="194"/>
      <c r="T42" s="194"/>
      <c r="U42" s="194"/>
    </row>
    <row r="43" spans="1:21" s="12" customFormat="1" ht="15">
      <c r="A43" s="197" t="s">
        <v>2583</v>
      </c>
      <c r="B43" s="60">
        <v>7.03</v>
      </c>
      <c r="C43" s="60">
        <v>8.5500000000000007</v>
      </c>
      <c r="D43" s="60">
        <v>15.58</v>
      </c>
      <c r="E43" s="60">
        <v>7.88</v>
      </c>
      <c r="F43" s="60">
        <v>0.25</v>
      </c>
      <c r="G43" s="214" t="s">
        <v>36</v>
      </c>
      <c r="H43" s="60">
        <v>4.1100000000000003</v>
      </c>
      <c r="I43" s="60">
        <v>3.79</v>
      </c>
      <c r="J43" s="60">
        <v>0.67</v>
      </c>
      <c r="K43" s="60">
        <v>166.42</v>
      </c>
      <c r="L43" s="60">
        <v>48.68</v>
      </c>
      <c r="M43" s="60">
        <v>85.79</v>
      </c>
      <c r="N43" s="60">
        <v>269.30</v>
      </c>
      <c r="O43" s="60">
        <v>0</v>
      </c>
      <c r="P43" s="60">
        <v>2.88</v>
      </c>
      <c r="Q43" s="60">
        <v>4.8899999999999997</v>
      </c>
      <c r="R43" s="194"/>
      <c r="S43" s="194"/>
      <c r="T43" s="194"/>
      <c r="U43" s="194"/>
    </row>
    <row r="44" spans="1:21" s="12" customFormat="1" ht="15">
      <c r="A44" s="197" t="s">
        <v>2584</v>
      </c>
      <c r="B44" s="60">
        <v>6.75</v>
      </c>
      <c r="C44" s="60">
        <v>9.01</v>
      </c>
      <c r="D44" s="60">
        <v>15.77</v>
      </c>
      <c r="E44" s="60">
        <v>7.43</v>
      </c>
      <c r="F44" s="60">
        <v>0.12</v>
      </c>
      <c r="G44" s="214" t="s">
        <v>36</v>
      </c>
      <c r="H44" s="60">
        <v>4.1100000000000003</v>
      </c>
      <c r="I44" s="60">
        <v>3.83</v>
      </c>
      <c r="J44" s="60">
        <v>0.34</v>
      </c>
      <c r="K44" s="60">
        <v>187.74</v>
      </c>
      <c r="L44" s="60">
        <v>48.08</v>
      </c>
      <c r="M44" s="60">
        <v>84.38</v>
      </c>
      <c r="N44" s="60">
        <v>449.10</v>
      </c>
      <c r="O44" s="60">
        <v>0</v>
      </c>
      <c r="P44" s="60">
        <v>2.89</v>
      </c>
      <c r="Q44" s="60">
        <v>5.03</v>
      </c>
      <c r="R44" s="194"/>
      <c r="S44" s="194"/>
      <c r="T44" s="194"/>
      <c r="U44" s="194"/>
    </row>
    <row r="45" spans="1:21" s="12" customFormat="1" ht="15">
      <c r="A45" s="197" t="s">
        <v>2585</v>
      </c>
      <c r="B45" s="60">
        <v>6.48</v>
      </c>
      <c r="C45" s="60">
        <v>9.17</v>
      </c>
      <c r="D45" s="60">
        <v>15.66</v>
      </c>
      <c r="E45" s="60">
        <v>7.41</v>
      </c>
      <c r="F45" s="60">
        <v>0.19</v>
      </c>
      <c r="G45" s="214" t="s">
        <v>36</v>
      </c>
      <c r="H45" s="60">
        <v>3.96</v>
      </c>
      <c r="I45" s="60">
        <v>3.79</v>
      </c>
      <c r="J45" s="60">
        <v>0.69</v>
      </c>
      <c r="K45" s="60">
        <v>180.07</v>
      </c>
      <c r="L45" s="60">
        <v>52.92</v>
      </c>
      <c r="M45" s="60">
        <v>84.86</v>
      </c>
      <c r="N45" s="60">
        <v>237.40</v>
      </c>
      <c r="O45" s="60">
        <v>0</v>
      </c>
      <c r="P45" s="60">
        <v>2.89</v>
      </c>
      <c r="Q45" s="60">
        <v>4.87</v>
      </c>
      <c r="R45" s="194"/>
      <c r="S45" s="194"/>
      <c r="T45" s="194"/>
      <c r="U45" s="194"/>
    </row>
    <row r="46" spans="1:21" s="12" customFormat="1" ht="15">
      <c r="A46" s="197" t="s">
        <v>2586</v>
      </c>
      <c r="B46" s="60">
        <v>6.22</v>
      </c>
      <c r="C46" s="60">
        <v>9.39</v>
      </c>
      <c r="D46" s="60">
        <v>15.61</v>
      </c>
      <c r="E46" s="60">
        <v>7.38</v>
      </c>
      <c r="F46" s="60">
        <v>0.05</v>
      </c>
      <c r="G46" s="214" t="s">
        <v>36</v>
      </c>
      <c r="H46" s="60">
        <v>3.59</v>
      </c>
      <c r="I46" s="60">
        <v>3.73</v>
      </c>
      <c r="J46" s="60">
        <v>0.60</v>
      </c>
      <c r="K46" s="60">
        <v>177.40</v>
      </c>
      <c r="L46" s="60">
        <v>49.20</v>
      </c>
      <c r="M46" s="60">
        <v>84.95</v>
      </c>
      <c r="N46" s="60">
        <v>355.20</v>
      </c>
      <c r="O46" s="60">
        <v>0</v>
      </c>
      <c r="P46" s="60">
        <v>2.89</v>
      </c>
      <c r="Q46" s="60">
        <v>4.76</v>
      </c>
      <c r="R46" s="194"/>
      <c r="S46" s="194"/>
      <c r="T46" s="194"/>
      <c r="U46" s="194"/>
    </row>
    <row r="47" spans="1:21" s="12" customFormat="1" ht="15">
      <c r="A47" s="197" t="s">
        <v>2587</v>
      </c>
      <c r="B47" s="60">
        <v>6.33</v>
      </c>
      <c r="C47" s="60">
        <v>9.7100000000000009</v>
      </c>
      <c r="D47" s="60">
        <v>16.04</v>
      </c>
      <c r="E47" s="60">
        <v>7.60</v>
      </c>
      <c r="F47" s="60">
        <v>0.070000000000000007</v>
      </c>
      <c r="G47" s="214" t="s">
        <v>36</v>
      </c>
      <c r="H47" s="60">
        <v>3.59</v>
      </c>
      <c r="I47" s="60">
        <v>3.68</v>
      </c>
      <c r="J47" s="60">
        <v>0.52</v>
      </c>
      <c r="K47" s="60">
        <v>182.01</v>
      </c>
      <c r="L47" s="60">
        <v>48.25</v>
      </c>
      <c r="M47" s="60">
        <v>82.76</v>
      </c>
      <c r="N47" s="60">
        <v>529.60</v>
      </c>
      <c r="O47" s="60">
        <v>0</v>
      </c>
      <c r="P47" s="60">
        <v>2.89</v>
      </c>
      <c r="Q47" s="60">
        <v>4.7300000000000004</v>
      </c>
      <c r="R47" s="194"/>
      <c r="S47" s="194"/>
      <c r="T47" s="194"/>
      <c r="U47" s="194"/>
    </row>
    <row r="48" spans="1:21" s="12" customFormat="1" ht="15">
      <c r="A48" s="197" t="s">
        <v>2588</v>
      </c>
      <c r="B48" s="60">
        <v>6.49</v>
      </c>
      <c r="C48" s="60">
        <v>10.52</v>
      </c>
      <c r="D48" s="60">
        <v>17.010000000000002</v>
      </c>
      <c r="E48" s="60">
        <v>6.59</v>
      </c>
      <c r="F48" s="60">
        <v>0.14000000000000001</v>
      </c>
      <c r="G48" s="214" t="s">
        <v>36</v>
      </c>
      <c r="H48" s="60">
        <v>3.59</v>
      </c>
      <c r="I48" s="60">
        <v>3.63</v>
      </c>
      <c r="J48" s="60">
        <v>0.49</v>
      </c>
      <c r="K48" s="60">
        <v>192.74</v>
      </c>
      <c r="L48" s="60">
        <v>52.71</v>
      </c>
      <c r="M48" s="60">
        <v>82.70</v>
      </c>
      <c r="N48" s="60">
        <v>281.30</v>
      </c>
      <c r="O48" s="60">
        <v>0</v>
      </c>
      <c r="P48" s="60">
        <v>2.88</v>
      </c>
      <c r="Q48" s="60">
        <v>4.76</v>
      </c>
      <c r="R48" s="194"/>
      <c r="S48" s="194"/>
      <c r="T48" s="194"/>
      <c r="U48" s="194"/>
    </row>
    <row r="49" spans="1:21" s="12" customFormat="1" ht="15">
      <c r="A49" s="197" t="s">
        <v>2589</v>
      </c>
      <c r="B49" s="60">
        <v>5.56</v>
      </c>
      <c r="C49" s="60">
        <v>12.58</v>
      </c>
      <c r="D49" s="60">
        <v>18.14</v>
      </c>
      <c r="E49" s="60">
        <v>5.64</v>
      </c>
      <c r="F49" s="60">
        <v>0.61</v>
      </c>
      <c r="G49" s="214" t="s">
        <v>36</v>
      </c>
      <c r="H49" s="60">
        <v>4.71</v>
      </c>
      <c r="I49" s="60">
        <v>3.60</v>
      </c>
      <c r="J49" s="60">
        <v>1.34</v>
      </c>
      <c r="K49" s="60">
        <v>159</v>
      </c>
      <c r="L49" s="60">
        <v>54.99</v>
      </c>
      <c r="M49" s="60">
        <v>85.18</v>
      </c>
      <c r="N49" s="60">
        <v>240.5</v>
      </c>
      <c r="O49" s="60">
        <v>0</v>
      </c>
      <c r="P49" s="60">
        <v>2.86</v>
      </c>
      <c r="Q49" s="60">
        <v>4.45</v>
      </c>
      <c r="R49" s="194"/>
      <c r="S49" s="194"/>
      <c r="T49" s="194"/>
      <c r="U49" s="194"/>
    </row>
    <row r="50" spans="1:21" s="12" customFormat="1" ht="15">
      <c r="A50" s="197" t="s">
        <v>2590</v>
      </c>
      <c r="B50" s="60">
        <v>5.0199999999999996</v>
      </c>
      <c r="C50" s="60">
        <v>13.97</v>
      </c>
      <c r="D50" s="60">
        <v>18.989999999999998</v>
      </c>
      <c r="E50" s="60">
        <v>5.47</v>
      </c>
      <c r="F50" s="60">
        <v>0.5</v>
      </c>
      <c r="G50" s="214" t="s">
        <v>36</v>
      </c>
      <c r="H50" s="60">
        <v>7.47</v>
      </c>
      <c r="I50" s="60">
        <v>3.43</v>
      </c>
      <c r="J50" s="60">
        <v>1.1000000000000001</v>
      </c>
      <c r="K50" s="60">
        <v>168.04</v>
      </c>
      <c r="L50" s="60">
        <v>52.76</v>
      </c>
      <c r="M50" s="60">
        <v>87.98</v>
      </c>
      <c r="N50" s="60">
        <v>235.5</v>
      </c>
      <c r="O50" s="60">
        <v>0</v>
      </c>
      <c r="P50" s="60">
        <v>2.85</v>
      </c>
      <c r="Q50" s="60">
        <v>4.46</v>
      </c>
      <c r="R50" s="194"/>
      <c r="S50" s="194"/>
      <c r="T50" s="194"/>
      <c r="U50" s="194"/>
    </row>
    <row r="51" spans="1:21" s="12" customFormat="1" ht="15">
      <c r="A51" s="197" t="s">
        <v>2591</v>
      </c>
      <c r="B51" s="60">
        <v>4.3099999999999996</v>
      </c>
      <c r="C51" s="60">
        <v>14.52</v>
      </c>
      <c r="D51" s="60">
        <v>18.829999999999998</v>
      </c>
      <c r="E51" s="60">
        <v>4.83</v>
      </c>
      <c r="F51" s="60">
        <v>0.49</v>
      </c>
      <c r="G51" s="214" t="s">
        <v>36</v>
      </c>
      <c r="H51" s="60">
        <v>7.47</v>
      </c>
      <c r="I51" s="60">
        <v>3.04</v>
      </c>
      <c r="J51" s="60">
        <v>0.39</v>
      </c>
      <c r="K51" s="60">
        <v>195.68</v>
      </c>
      <c r="L51" s="60">
        <v>53.86</v>
      </c>
      <c r="M51" s="60">
        <v>90.03</v>
      </c>
      <c r="N51" s="60">
        <v>368.40</v>
      </c>
      <c r="O51" s="60">
        <v>0</v>
      </c>
      <c r="P51" s="60">
        <v>2.84</v>
      </c>
      <c r="Q51" s="60">
        <v>4.13</v>
      </c>
      <c r="R51" s="194"/>
      <c r="S51" s="194"/>
      <c r="T51" s="194"/>
      <c r="U51" s="194"/>
    </row>
    <row r="52" spans="1:21" s="12" customFormat="1" ht="15">
      <c r="A52" s="197" t="s">
        <v>2592</v>
      </c>
      <c r="B52" s="60">
        <v>3.42</v>
      </c>
      <c r="C52" s="60">
        <v>14.40</v>
      </c>
      <c r="D52" s="60">
        <v>17.82</v>
      </c>
      <c r="E52" s="60">
        <v>4.08</v>
      </c>
      <c r="F52" s="60">
        <v>0.77</v>
      </c>
      <c r="G52" s="214" t="s">
        <v>36</v>
      </c>
      <c r="H52" s="60">
        <v>7.47</v>
      </c>
      <c r="I52" s="60">
        <v>2.90</v>
      </c>
      <c r="J52" s="60">
        <v>0.22</v>
      </c>
      <c r="K52" s="60">
        <v>194.73</v>
      </c>
      <c r="L52" s="60">
        <v>53.09</v>
      </c>
      <c r="M52" s="60">
        <v>85.61</v>
      </c>
      <c r="N52" s="60">
        <v>487.5</v>
      </c>
      <c r="O52" s="60">
        <v>0</v>
      </c>
      <c r="P52" s="60">
        <v>2.84</v>
      </c>
      <c r="Q52" s="60">
        <v>3.56</v>
      </c>
      <c r="R52" s="194"/>
      <c r="S52" s="194"/>
      <c r="T52" s="194"/>
      <c r="U52" s="194"/>
    </row>
    <row r="53" spans="1:21" s="12" customFormat="1" ht="15">
      <c r="A53" s="197" t="s">
        <v>2593</v>
      </c>
      <c r="B53" s="60">
        <v>2.65</v>
      </c>
      <c r="C53" s="60">
        <v>14.54</v>
      </c>
      <c r="D53" s="60">
        <v>17.190000000000001</v>
      </c>
      <c r="E53" s="60">
        <v>4.2300000000000004</v>
      </c>
      <c r="F53" s="60">
        <v>0.72</v>
      </c>
      <c r="G53" s="214" t="s">
        <v>36</v>
      </c>
      <c r="H53" s="60">
        <v>7.61</v>
      </c>
      <c r="I53" s="60">
        <v>2.76</v>
      </c>
      <c r="J53" s="60">
        <v>0.57999999999999996</v>
      </c>
      <c r="K53" s="60">
        <v>180.28</v>
      </c>
      <c r="L53" s="60">
        <v>55.37</v>
      </c>
      <c r="M53" s="60">
        <v>80.20</v>
      </c>
      <c r="N53" s="60">
        <v>605.60</v>
      </c>
      <c r="O53" s="60">
        <v>0</v>
      </c>
      <c r="P53" s="60">
        <v>2.84</v>
      </c>
      <c r="Q53" s="60">
        <v>3.13</v>
      </c>
      <c r="R53" s="194"/>
      <c r="S53" s="194"/>
      <c r="T53" s="194"/>
      <c r="U53" s="194"/>
    </row>
    <row r="54" spans="1:21" s="12" customFormat="1" ht="15">
      <c r="A54" s="197" t="s">
        <v>2594</v>
      </c>
      <c r="B54" s="60">
        <v>1.88</v>
      </c>
      <c r="C54" s="60">
        <v>13.96</v>
      </c>
      <c r="D54" s="60">
        <v>15.83</v>
      </c>
      <c r="E54" s="60">
        <v>3.29</v>
      </c>
      <c r="F54" s="60">
        <v>0.96</v>
      </c>
      <c r="G54" s="214" t="s">
        <v>36</v>
      </c>
      <c r="H54" s="60">
        <v>7.96</v>
      </c>
      <c r="I54" s="60">
        <v>2.58</v>
      </c>
      <c r="J54" s="60">
        <v>0.34</v>
      </c>
      <c r="K54" s="60">
        <v>204.23</v>
      </c>
      <c r="L54" s="60">
        <v>54.65</v>
      </c>
      <c r="M54" s="60">
        <v>81.77</v>
      </c>
      <c r="N54" s="60">
        <v>331.90</v>
      </c>
      <c r="O54" s="60">
        <v>0</v>
      </c>
      <c r="P54" s="60">
        <v>2.83</v>
      </c>
      <c r="Q54" s="60">
        <v>2.79</v>
      </c>
      <c r="R54" s="194"/>
      <c r="S54" s="194"/>
      <c r="T54" s="194"/>
      <c r="U54" s="194"/>
    </row>
    <row r="55" spans="1:21" s="12" customFormat="1" ht="15">
      <c r="A55" s="197" t="s">
        <v>2595</v>
      </c>
      <c r="B55" s="60">
        <v>1.34</v>
      </c>
      <c r="C55" s="60">
        <v>13.05</v>
      </c>
      <c r="D55" s="60">
        <v>14.39</v>
      </c>
      <c r="E55" s="60">
        <v>3.31</v>
      </c>
      <c r="F55" s="60">
        <v>1.46</v>
      </c>
      <c r="G55" s="214" t="s">
        <v>36</v>
      </c>
      <c r="H55" s="60">
        <v>7.96</v>
      </c>
      <c r="I55" s="60">
        <v>2.5</v>
      </c>
      <c r="J55" s="60">
        <v>0.89</v>
      </c>
      <c r="K55" s="60">
        <v>176.53</v>
      </c>
      <c r="L55" s="60">
        <v>71.239999999999995</v>
      </c>
      <c r="M55" s="60">
        <v>80.319999999999993</v>
      </c>
      <c r="N55" s="60">
        <v>513</v>
      </c>
      <c r="O55" s="60">
        <v>0</v>
      </c>
      <c r="P55" s="60">
        <v>2.83</v>
      </c>
      <c r="Q55" s="60">
        <v>2.31</v>
      </c>
      <c r="R55" s="194"/>
      <c r="S55" s="194"/>
      <c r="T55" s="194"/>
      <c r="U55" s="194"/>
    </row>
    <row r="56" spans="1:21" s="12" customFormat="1" ht="15">
      <c r="A56" s="197" t="s">
        <v>2596</v>
      </c>
      <c r="B56" s="60">
        <v>1.07</v>
      </c>
      <c r="C56" s="60">
        <v>12.82</v>
      </c>
      <c r="D56" s="60">
        <v>13.89</v>
      </c>
      <c r="E56" s="60">
        <v>1.48</v>
      </c>
      <c r="F56" s="60">
        <v>1.58</v>
      </c>
      <c r="G56" s="214" t="s">
        <v>36</v>
      </c>
      <c r="H56" s="60">
        <v>7.96</v>
      </c>
      <c r="I56" s="60">
        <v>2.46</v>
      </c>
      <c r="J56" s="60">
        <v>1.1399999999999999</v>
      </c>
      <c r="K56" s="60">
        <v>162.16</v>
      </c>
      <c r="L56" s="60">
        <v>64.709999999999994</v>
      </c>
      <c r="M56" s="60">
        <v>80.12</v>
      </c>
      <c r="N56" s="60">
        <v>323.5</v>
      </c>
      <c r="O56" s="60">
        <v>0</v>
      </c>
      <c r="P56" s="60">
        <v>2.81</v>
      </c>
      <c r="Q56" s="60">
        <v>2.02</v>
      </c>
      <c r="R56" s="194"/>
      <c r="S56" s="194"/>
      <c r="T56" s="194"/>
      <c r="U56" s="194"/>
    </row>
    <row r="57" spans="1:21" s="12" customFormat="1" ht="15">
      <c r="A57" s="197" t="s">
        <v>2597</v>
      </c>
      <c r="B57" s="60">
        <v>1.23</v>
      </c>
      <c r="C57" s="60">
        <v>12.61</v>
      </c>
      <c r="D57" s="60">
        <v>13.84</v>
      </c>
      <c r="E57" s="60">
        <v>3.16</v>
      </c>
      <c r="F57" s="60">
        <v>0.85</v>
      </c>
      <c r="G57" s="214" t="s">
        <v>36</v>
      </c>
      <c r="H57" s="60">
        <v>8.6999999999999993</v>
      </c>
      <c r="I57" s="60">
        <v>2.2999999999999998</v>
      </c>
      <c r="J57" s="60">
        <v>0.80</v>
      </c>
      <c r="K57" s="60">
        <v>168.36</v>
      </c>
      <c r="L57" s="60">
        <v>57.97</v>
      </c>
      <c r="M57" s="60">
        <v>80.62</v>
      </c>
      <c r="N57" s="60">
        <v>463</v>
      </c>
      <c r="O57" s="60">
        <v>0</v>
      </c>
      <c r="P57" s="60">
        <v>2.82</v>
      </c>
      <c r="Q57" s="60">
        <v>2.11</v>
      </c>
      <c r="R57" s="194"/>
      <c r="S57" s="194"/>
      <c r="T57" s="194"/>
      <c r="U57" s="194"/>
    </row>
    <row r="58" spans="1:21" s="12" customFormat="1" ht="15">
      <c r="A58" s="197" t="s">
        <v>2598</v>
      </c>
      <c r="B58" s="60">
        <v>1.82</v>
      </c>
      <c r="C58" s="60">
        <v>11.60</v>
      </c>
      <c r="D58" s="60">
        <v>13.42</v>
      </c>
      <c r="E58" s="60">
        <v>2.90</v>
      </c>
      <c r="F58" s="60">
        <v>1.02</v>
      </c>
      <c r="G58" s="214" t="s">
        <v>36</v>
      </c>
      <c r="H58" s="60">
        <v>10.52</v>
      </c>
      <c r="I58" s="60">
        <v>2.23</v>
      </c>
      <c r="J58" s="60">
        <v>0.45</v>
      </c>
      <c r="K58" s="60">
        <v>203.89</v>
      </c>
      <c r="L58" s="60">
        <v>48.41</v>
      </c>
      <c r="M58" s="60">
        <v>80.209999999999994</v>
      </c>
      <c r="N58" s="60">
        <v>417.5</v>
      </c>
      <c r="O58" s="60">
        <v>0</v>
      </c>
      <c r="P58" s="60">
        <v>2.83</v>
      </c>
      <c r="Q58" s="60">
        <v>1.97</v>
      </c>
      <c r="R58" s="194"/>
      <c r="S58" s="194"/>
      <c r="T58" s="194"/>
      <c r="U58" s="194"/>
    </row>
    <row r="59" spans="1:21" s="12" customFormat="1" ht="15">
      <c r="A59" s="197" t="s">
        <v>2599</v>
      </c>
      <c r="B59" s="60">
        <v>1.76</v>
      </c>
      <c r="C59" s="60">
        <v>11.33</v>
      </c>
      <c r="D59" s="60">
        <v>13.09</v>
      </c>
      <c r="E59" s="60">
        <v>3.16</v>
      </c>
      <c r="F59" s="60">
        <v>1.1399999999999999</v>
      </c>
      <c r="G59" s="214" t="s">
        <v>36</v>
      </c>
      <c r="H59" s="60">
        <v>10.52</v>
      </c>
      <c r="I59" s="60">
        <v>2.35</v>
      </c>
      <c r="J59" s="60">
        <v>0.95</v>
      </c>
      <c r="K59" s="60">
        <v>175.72</v>
      </c>
      <c r="L59" s="60">
        <v>69.73</v>
      </c>
      <c r="M59" s="60">
        <v>79.569999999999993</v>
      </c>
      <c r="N59" s="60">
        <v>509.5</v>
      </c>
      <c r="O59" s="60">
        <v>0</v>
      </c>
      <c r="P59" s="60">
        <v>2.83</v>
      </c>
      <c r="Q59" s="60">
        <v>1.99</v>
      </c>
      <c r="R59" s="194"/>
      <c r="S59" s="194"/>
      <c r="T59" s="194"/>
      <c r="U59" s="194"/>
    </row>
    <row r="60" spans="1:21" s="12" customFormat="1" ht="15">
      <c r="A60" s="197" t="s">
        <v>2600</v>
      </c>
      <c r="B60" s="60">
        <v>1.29</v>
      </c>
      <c r="C60" s="60">
        <v>11.45</v>
      </c>
      <c r="D60" s="60">
        <v>12.73</v>
      </c>
      <c r="E60" s="60">
        <v>2.87</v>
      </c>
      <c r="F60" s="60">
        <v>1.76</v>
      </c>
      <c r="G60" s="214" t="s">
        <v>36</v>
      </c>
      <c r="H60" s="60">
        <v>10.52</v>
      </c>
      <c r="I60" s="60">
        <v>2.42</v>
      </c>
      <c r="J60" s="60">
        <v>0.93</v>
      </c>
      <c r="K60" s="60">
        <v>170.97</v>
      </c>
      <c r="L60" s="60">
        <v>89.80</v>
      </c>
      <c r="M60" s="60">
        <v>78.819999999999993</v>
      </c>
      <c r="N60" s="60">
        <v>489.30</v>
      </c>
      <c r="O60" s="60">
        <v>0</v>
      </c>
      <c r="P60" s="60">
        <v>2.81</v>
      </c>
      <c r="Q60" s="60">
        <v>1.62</v>
      </c>
      <c r="R60" s="194"/>
      <c r="S60" s="194"/>
      <c r="T60" s="194"/>
      <c r="U60" s="194"/>
    </row>
    <row r="61" spans="1:21" s="12" customFormat="1" ht="15">
      <c r="A61" s="197" t="s">
        <v>2601</v>
      </c>
      <c r="B61" s="60">
        <v>1.22</v>
      </c>
      <c r="C61" s="60">
        <v>11.55</v>
      </c>
      <c r="D61" s="60">
        <v>12.77</v>
      </c>
      <c r="E61" s="60">
        <v>2.65</v>
      </c>
      <c r="F61" s="60">
        <v>1.48</v>
      </c>
      <c r="G61" s="214" t="s">
        <v>36</v>
      </c>
      <c r="H61" s="60">
        <v>10.25</v>
      </c>
      <c r="I61" s="60">
        <v>2.36</v>
      </c>
      <c r="J61" s="60">
        <v>1.01</v>
      </c>
      <c r="K61" s="60">
        <v>176.88</v>
      </c>
      <c r="L61" s="9" t="s">
        <v>36</v>
      </c>
      <c r="M61" s="60">
        <v>77.98</v>
      </c>
      <c r="N61" s="60">
        <v>571.79999999999995</v>
      </c>
      <c r="O61" s="60">
        <v>0</v>
      </c>
      <c r="P61" s="60">
        <v>2.83</v>
      </c>
      <c r="Q61" s="60">
        <v>1.86</v>
      </c>
      <c r="R61" s="194"/>
      <c r="S61" s="194"/>
      <c r="T61" s="194"/>
      <c r="U61" s="194"/>
    </row>
    <row r="62" spans="1:21" s="12" customFormat="1" ht="15">
      <c r="A62" s="197" t="s">
        <v>2602</v>
      </c>
      <c r="B62" s="60">
        <v>1.40</v>
      </c>
      <c r="C62" s="60">
        <v>12.01</v>
      </c>
      <c r="D62" s="60">
        <v>13.41</v>
      </c>
      <c r="E62" s="60">
        <v>2.1800000000000002</v>
      </c>
      <c r="F62" s="60">
        <v>1.66</v>
      </c>
      <c r="G62" s="214" t="s">
        <v>36</v>
      </c>
      <c r="H62" s="60">
        <v>9.58</v>
      </c>
      <c r="I62" s="60">
        <v>2.2200000000000002</v>
      </c>
      <c r="J62" s="60">
        <v>1.1299999999999999</v>
      </c>
      <c r="K62" s="60">
        <v>166.35</v>
      </c>
      <c r="L62" s="9" t="s">
        <v>36</v>
      </c>
      <c r="M62" s="60">
        <v>76.959999999999994</v>
      </c>
      <c r="N62" s="60">
        <v>782.30</v>
      </c>
      <c r="O62" s="60">
        <v>0</v>
      </c>
      <c r="P62" s="60">
        <v>2.80</v>
      </c>
      <c r="Q62" s="60">
        <v>1.89</v>
      </c>
      <c r="R62" s="194"/>
      <c r="S62" s="194"/>
      <c r="T62" s="194"/>
      <c r="U62" s="194"/>
    </row>
    <row r="63" spans="1:21" s="12" customFormat="1" ht="15">
      <c r="A63" s="197" t="s">
        <v>2603</v>
      </c>
      <c r="B63" s="60">
        <v>1.40</v>
      </c>
      <c r="C63" s="60">
        <v>12.35</v>
      </c>
      <c r="D63" s="60">
        <v>13.74</v>
      </c>
      <c r="E63" s="60">
        <v>2.4300000000000002</v>
      </c>
      <c r="F63" s="60">
        <v>1.72</v>
      </c>
      <c r="G63" s="214" t="s">
        <v>36</v>
      </c>
      <c r="H63" s="60">
        <v>9.58</v>
      </c>
      <c r="I63" s="60">
        <v>2.33</v>
      </c>
      <c r="J63" s="60">
        <v>0.57999999999999996</v>
      </c>
      <c r="K63" s="60">
        <v>181.12</v>
      </c>
      <c r="L63" s="9" t="s">
        <v>36</v>
      </c>
      <c r="M63" s="60">
        <v>76.14</v>
      </c>
      <c r="N63" s="60">
        <v>495.40</v>
      </c>
      <c r="O63" s="60">
        <v>0</v>
      </c>
      <c r="P63" s="60">
        <v>2.80</v>
      </c>
      <c r="Q63" s="60">
        <v>1.66</v>
      </c>
      <c r="R63" s="194"/>
      <c r="S63" s="194"/>
      <c r="T63" s="194"/>
      <c r="U63" s="194"/>
    </row>
    <row r="64" spans="1:21" s="12" customFormat="1" ht="15">
      <c r="A64" s="197" t="s">
        <v>2604</v>
      </c>
      <c r="B64" s="60">
        <v>1.1200000000000001</v>
      </c>
      <c r="C64" s="60">
        <v>12.51</v>
      </c>
      <c r="D64" s="60">
        <v>13.63</v>
      </c>
      <c r="E64" s="60">
        <v>2.0499999999999998</v>
      </c>
      <c r="F64" s="60">
        <v>1.62</v>
      </c>
      <c r="G64" s="214" t="s">
        <v>36</v>
      </c>
      <c r="H64" s="60">
        <v>9.58</v>
      </c>
      <c r="I64" s="60">
        <v>2.16</v>
      </c>
      <c r="J64" s="60">
        <v>0.41</v>
      </c>
      <c r="K64" s="60">
        <v>202.35</v>
      </c>
      <c r="L64" s="9" t="s">
        <v>36</v>
      </c>
      <c r="M64" s="60">
        <v>76.47</v>
      </c>
      <c r="N64" s="60">
        <v>399.90</v>
      </c>
      <c r="O64" s="60">
        <v>0</v>
      </c>
      <c r="P64" s="60">
        <v>2.79</v>
      </c>
      <c r="Q64" s="60">
        <v>1.58</v>
      </c>
      <c r="R64" s="194"/>
      <c r="S64" s="194"/>
      <c r="T64" s="194"/>
      <c r="U64" s="194"/>
    </row>
    <row r="65" spans="1:21" s="12" customFormat="1" ht="15">
      <c r="A65" s="197" t="s">
        <v>2605</v>
      </c>
      <c r="B65" s="60">
        <v>0.93</v>
      </c>
      <c r="C65" s="60">
        <v>12.14</v>
      </c>
      <c r="D65" s="60">
        <v>13.07</v>
      </c>
      <c r="E65" s="60">
        <v>1.93</v>
      </c>
      <c r="F65" s="60">
        <v>1.87</v>
      </c>
      <c r="G65" s="214" t="s">
        <v>36</v>
      </c>
      <c r="H65" s="60">
        <v>9.44</v>
      </c>
      <c r="I65" s="60">
        <v>1.98</v>
      </c>
      <c r="J65" s="60">
        <v>0.55000000000000004</v>
      </c>
      <c r="K65" s="60">
        <v>161.97</v>
      </c>
      <c r="L65" s="9" t="s">
        <v>36</v>
      </c>
      <c r="M65" s="60">
        <v>75.17</v>
      </c>
      <c r="N65" s="60">
        <v>779.70</v>
      </c>
      <c r="O65" s="60">
        <v>0</v>
      </c>
      <c r="P65" s="60">
        <v>2.80</v>
      </c>
      <c r="Q65" s="60">
        <v>1.42</v>
      </c>
      <c r="R65" s="194"/>
      <c r="S65" s="194"/>
      <c r="T65" s="194"/>
      <c r="U65" s="194"/>
    </row>
    <row r="66" spans="1:21" s="12" customFormat="1" ht="15">
      <c r="A66" s="197" t="s">
        <v>2606</v>
      </c>
      <c r="B66" s="60">
        <v>1.1000000000000001</v>
      </c>
      <c r="C66" s="60">
        <v>12.49</v>
      </c>
      <c r="D66" s="60">
        <v>13.59</v>
      </c>
      <c r="E66" s="60">
        <v>2.15</v>
      </c>
      <c r="F66" s="60">
        <v>2.10</v>
      </c>
      <c r="G66" s="214" t="s">
        <v>36</v>
      </c>
      <c r="H66" s="60">
        <v>9.11</v>
      </c>
      <c r="I66" s="60">
        <v>1.89</v>
      </c>
      <c r="J66" s="60">
        <v>0.23</v>
      </c>
      <c r="K66" s="60">
        <v>195.71</v>
      </c>
      <c r="L66" s="9" t="s">
        <v>36</v>
      </c>
      <c r="M66" s="60">
        <v>72.03</v>
      </c>
      <c r="N66" s="60">
        <v>696</v>
      </c>
      <c r="O66" s="60">
        <v>0</v>
      </c>
      <c r="P66" s="60">
        <v>2.81</v>
      </c>
      <c r="Q66" s="60">
        <v>1.48</v>
      </c>
      <c r="R66" s="194"/>
      <c r="S66" s="194"/>
      <c r="T66" s="194"/>
      <c r="U66" s="194"/>
    </row>
    <row r="67" spans="1:21" s="12" customFormat="1" ht="15">
      <c r="A67" s="197" t="s">
        <v>2607</v>
      </c>
      <c r="B67" s="60">
        <v>1.17</v>
      </c>
      <c r="C67" s="60">
        <v>12.52</v>
      </c>
      <c r="D67" s="60">
        <v>13.69</v>
      </c>
      <c r="E67" s="60">
        <v>2.0699999999999998</v>
      </c>
      <c r="F67" s="60">
        <v>2.0699999999999998</v>
      </c>
      <c r="G67" s="214" t="s">
        <v>36</v>
      </c>
      <c r="H67" s="60">
        <v>9.11</v>
      </c>
      <c r="I67" s="60">
        <v>1.84</v>
      </c>
      <c r="J67" s="60">
        <v>0.57999999999999996</v>
      </c>
      <c r="K67" s="60">
        <v>192.66</v>
      </c>
      <c r="L67" s="9" t="s">
        <v>36</v>
      </c>
      <c r="M67" s="60">
        <v>75.03</v>
      </c>
      <c r="N67" s="60">
        <v>606.20000000000005</v>
      </c>
      <c r="O67" s="60">
        <v>0</v>
      </c>
      <c r="P67" s="60">
        <v>2.83</v>
      </c>
      <c r="Q67" s="60">
        <v>1.97</v>
      </c>
      <c r="R67" s="194"/>
      <c r="S67" s="194"/>
      <c r="T67" s="194"/>
      <c r="U67" s="194"/>
    </row>
    <row r="68" spans="1:21" s="12" customFormat="1" ht="15">
      <c r="A68" s="197" t="s">
        <v>2608</v>
      </c>
      <c r="B68" s="60">
        <v>1.28</v>
      </c>
      <c r="C68" s="60">
        <v>11.90</v>
      </c>
      <c r="D68" s="60">
        <v>13.18</v>
      </c>
      <c r="E68" s="60">
        <v>2.4700000000000002</v>
      </c>
      <c r="F68" s="60">
        <v>1.04</v>
      </c>
      <c r="G68" s="214" t="s">
        <v>36</v>
      </c>
      <c r="H68" s="60">
        <v>9.11</v>
      </c>
      <c r="I68" s="60">
        <v>1.83</v>
      </c>
      <c r="J68" s="60">
        <v>0.16</v>
      </c>
      <c r="K68" s="60">
        <v>207.25</v>
      </c>
      <c r="L68" s="9" t="s">
        <v>36</v>
      </c>
      <c r="M68" s="60">
        <v>75.56</v>
      </c>
      <c r="N68" s="60">
        <v>414.5</v>
      </c>
      <c r="O68" s="60">
        <v>0</v>
      </c>
      <c r="P68" s="60">
        <v>2.83</v>
      </c>
      <c r="Q68" s="60">
        <v>2.65</v>
      </c>
      <c r="R68" s="194"/>
      <c r="S68" s="194"/>
      <c r="T68" s="194"/>
      <c r="U68" s="194"/>
    </row>
    <row r="69" spans="1:21" s="12" customFormat="1" ht="15">
      <c r="A69" s="197" t="s">
        <v>2609</v>
      </c>
      <c r="B69" s="60">
        <v>1.37</v>
      </c>
      <c r="C69" s="60">
        <v>11.12</v>
      </c>
      <c r="D69" s="60">
        <v>12.48</v>
      </c>
      <c r="E69" s="60">
        <v>2.39</v>
      </c>
      <c r="F69" s="60">
        <v>1.36</v>
      </c>
      <c r="G69" s="214" t="s">
        <v>36</v>
      </c>
      <c r="H69" s="60">
        <v>8.94</v>
      </c>
      <c r="I69" s="60">
        <v>1.91</v>
      </c>
      <c r="J69" s="60">
        <v>0.30</v>
      </c>
      <c r="K69" s="60">
        <v>192.42</v>
      </c>
      <c r="L69" s="9" t="s">
        <v>36</v>
      </c>
      <c r="M69" s="60">
        <v>76.510000000000005</v>
      </c>
      <c r="N69" s="60">
        <v>397.80</v>
      </c>
      <c r="O69" s="60">
        <v>0</v>
      </c>
      <c r="P69" s="60">
        <v>2.83</v>
      </c>
      <c r="Q69" s="60">
        <v>3.43</v>
      </c>
      <c r="R69" s="194"/>
      <c r="S69" s="194"/>
      <c r="T69" s="194"/>
      <c r="U69" s="194"/>
    </row>
    <row r="70" spans="1:21" s="12" customFormat="1" ht="15">
      <c r="A70" s="197" t="s">
        <v>2610</v>
      </c>
      <c r="B70" s="60">
        <v>1.32</v>
      </c>
      <c r="C70" s="60">
        <v>10.88</v>
      </c>
      <c r="D70" s="60">
        <v>12.20</v>
      </c>
      <c r="E70" s="60">
        <v>2.4300000000000002</v>
      </c>
      <c r="F70" s="60">
        <v>1.1599999999999999</v>
      </c>
      <c r="G70" s="214" t="s">
        <v>36</v>
      </c>
      <c r="H70" s="60">
        <v>8.51</v>
      </c>
      <c r="I70" s="60">
        <v>1.99</v>
      </c>
      <c r="J70" s="60">
        <v>0.31</v>
      </c>
      <c r="K70" s="60">
        <v>193.37</v>
      </c>
      <c r="L70" s="9" t="s">
        <v>36</v>
      </c>
      <c r="M70" s="60">
        <v>76.37</v>
      </c>
      <c r="N70" s="60">
        <v>275.70</v>
      </c>
      <c r="O70" s="60">
        <v>0</v>
      </c>
      <c r="P70" s="60">
        <v>2.83</v>
      </c>
      <c r="Q70" s="60">
        <v>2.65</v>
      </c>
      <c r="R70" s="194"/>
      <c r="S70" s="194"/>
      <c r="T70" s="194"/>
      <c r="U70" s="194"/>
    </row>
    <row r="71" spans="1:21" s="12" customFormat="1" ht="15">
      <c r="A71" s="197" t="s">
        <v>2611</v>
      </c>
      <c r="B71" s="60">
        <v>1.75</v>
      </c>
      <c r="C71" s="60">
        <v>10.98</v>
      </c>
      <c r="D71" s="60">
        <v>12.72</v>
      </c>
      <c r="E71" s="60">
        <v>2.14</v>
      </c>
      <c r="F71" s="60">
        <v>0.44</v>
      </c>
      <c r="G71" s="214" t="s">
        <v>36</v>
      </c>
      <c r="H71" s="60">
        <v>8.51</v>
      </c>
      <c r="I71" s="60">
        <v>2.0099999999999998</v>
      </c>
      <c r="J71" s="60">
        <v>0.070000000000000007</v>
      </c>
      <c r="K71" s="60">
        <v>238.38</v>
      </c>
      <c r="L71" s="9" t="s">
        <v>36</v>
      </c>
      <c r="M71" s="60">
        <v>75.89</v>
      </c>
      <c r="N71" s="60">
        <v>309.60000000000002</v>
      </c>
      <c r="O71" s="60">
        <v>0</v>
      </c>
      <c r="P71" s="60">
        <v>2.84</v>
      </c>
      <c r="Q71" s="60">
        <v>2.58</v>
      </c>
      <c r="R71" s="194"/>
      <c r="S71" s="194"/>
      <c r="T71" s="194"/>
      <c r="U71" s="194"/>
    </row>
    <row r="72" spans="1:21" s="12" customFormat="1" ht="15">
      <c r="A72" s="197" t="s">
        <v>2612</v>
      </c>
      <c r="B72" s="60">
        <v>1.61</v>
      </c>
      <c r="C72" s="60">
        <v>11.40</v>
      </c>
      <c r="D72" s="60">
        <v>13.01</v>
      </c>
      <c r="E72" s="60">
        <v>1.60</v>
      </c>
      <c r="F72" s="60">
        <v>0.86</v>
      </c>
      <c r="G72" s="214" t="s">
        <v>36</v>
      </c>
      <c r="H72" s="60">
        <v>8.51</v>
      </c>
      <c r="I72" s="60">
        <v>2.04</v>
      </c>
      <c r="J72" s="60">
        <v>0.31</v>
      </c>
      <c r="K72" s="60">
        <v>201.60</v>
      </c>
      <c r="L72" s="9" t="s">
        <v>36</v>
      </c>
      <c r="M72" s="60">
        <v>75.98</v>
      </c>
      <c r="N72" s="60">
        <v>234.5</v>
      </c>
      <c r="O72" s="60">
        <v>0</v>
      </c>
      <c r="P72" s="60">
        <v>2.84</v>
      </c>
      <c r="Q72" s="60">
        <v>1.85</v>
      </c>
      <c r="R72" s="194"/>
      <c r="S72" s="194"/>
      <c r="T72" s="194"/>
      <c r="U72" s="194"/>
    </row>
    <row r="73" spans="1:21" s="12" customFormat="1" ht="15">
      <c r="A73" s="197" t="s">
        <v>2613</v>
      </c>
      <c r="B73" s="60">
        <v>1.88</v>
      </c>
      <c r="C73" s="60">
        <v>10.85</v>
      </c>
      <c r="D73" s="60">
        <v>12.73</v>
      </c>
      <c r="E73" s="60">
        <v>2.90</v>
      </c>
      <c r="F73" s="60">
        <v>0.53</v>
      </c>
      <c r="G73" s="214" t="s">
        <v>36</v>
      </c>
      <c r="H73" s="60">
        <v>7.93</v>
      </c>
      <c r="I73" s="60">
        <v>2.15</v>
      </c>
      <c r="J73" s="60">
        <v>0.03</v>
      </c>
      <c r="K73" s="60">
        <v>89.67</v>
      </c>
      <c r="L73" s="9" t="s">
        <v>36</v>
      </c>
      <c r="M73" s="60">
        <v>76.34</v>
      </c>
      <c r="N73" s="60">
        <v>199.60</v>
      </c>
      <c r="O73" s="60">
        <v>0</v>
      </c>
      <c r="P73" s="60">
        <v>2.86</v>
      </c>
      <c r="Q73" s="60">
        <v>1.71</v>
      </c>
      <c r="R73" s="194"/>
      <c r="S73" s="194"/>
      <c r="T73" s="194"/>
      <c r="U73" s="194"/>
    </row>
    <row r="74" spans="1:21" s="12" customFormat="1" ht="15">
      <c r="A74" s="197" t="s">
        <v>2614</v>
      </c>
      <c r="B74" s="60">
        <v>2.91</v>
      </c>
      <c r="C74" s="60">
        <v>10.82</v>
      </c>
      <c r="D74" s="60">
        <v>13.74</v>
      </c>
      <c r="E74" s="60">
        <v>3.29</v>
      </c>
      <c r="F74" s="60">
        <v>0.48</v>
      </c>
      <c r="G74" s="214" t="s">
        <v>36</v>
      </c>
      <c r="H74" s="60">
        <v>6.49</v>
      </c>
      <c r="I74" s="60">
        <v>2.13</v>
      </c>
      <c r="J74" s="60">
        <v>0.18</v>
      </c>
      <c r="K74" s="60">
        <v>189.91</v>
      </c>
      <c r="L74" s="9" t="s">
        <v>36</v>
      </c>
      <c r="M74" s="60">
        <v>76.650000000000006</v>
      </c>
      <c r="N74" s="60">
        <v>190.90</v>
      </c>
      <c r="O74" s="60">
        <v>0</v>
      </c>
      <c r="P74" s="60">
        <v>2.87</v>
      </c>
      <c r="Q74" s="60">
        <v>2.02</v>
      </c>
      <c r="R74" s="194"/>
      <c r="S74" s="194"/>
      <c r="T74" s="194"/>
      <c r="U74" s="194"/>
    </row>
    <row r="75" spans="1:21" s="12" customFormat="1" ht="15">
      <c r="A75" s="197" t="s">
        <v>2615</v>
      </c>
      <c r="B75" s="60">
        <v>3.64</v>
      </c>
      <c r="C75" s="60">
        <v>10.69</v>
      </c>
      <c r="D75" s="60">
        <v>14.33</v>
      </c>
      <c r="E75" s="60">
        <v>3.74</v>
      </c>
      <c r="F75" s="60">
        <v>0.12</v>
      </c>
      <c r="G75" s="214" t="s">
        <v>36</v>
      </c>
      <c r="H75" s="60">
        <v>6.49</v>
      </c>
      <c r="I75" s="60">
        <v>2.2400000000000002</v>
      </c>
      <c r="J75" s="60">
        <v>0.13</v>
      </c>
      <c r="K75" s="60">
        <v>236.36</v>
      </c>
      <c r="L75" s="9" t="s">
        <v>36</v>
      </c>
      <c r="M75" s="60">
        <v>77.5</v>
      </c>
      <c r="N75" s="60">
        <v>176.10</v>
      </c>
      <c r="O75" s="60">
        <v>0</v>
      </c>
      <c r="P75" s="60">
        <v>2.87</v>
      </c>
      <c r="Q75" s="60">
        <v>2.52</v>
      </c>
      <c r="R75" s="194"/>
      <c r="S75" s="194"/>
      <c r="T75" s="194"/>
      <c r="U75" s="194"/>
    </row>
    <row r="76" spans="1:21" s="12" customFormat="1" ht="15">
      <c r="A76" s="197" t="s">
        <v>2616</v>
      </c>
      <c r="B76" s="60">
        <v>3.81</v>
      </c>
      <c r="C76" s="60">
        <v>10.33</v>
      </c>
      <c r="D76" s="60">
        <v>14.14</v>
      </c>
      <c r="E76" s="60">
        <v>4.08</v>
      </c>
      <c r="F76" s="60">
        <v>0.35</v>
      </c>
      <c r="G76" s="214" t="s">
        <v>36</v>
      </c>
      <c r="H76" s="60">
        <v>6.49</v>
      </c>
      <c r="I76" s="60">
        <v>2.35</v>
      </c>
      <c r="J76" s="60">
        <v>0.53</v>
      </c>
      <c r="K76" s="60">
        <v>180.59</v>
      </c>
      <c r="L76" s="9" t="s">
        <v>36</v>
      </c>
      <c r="M76" s="60">
        <v>78.13</v>
      </c>
      <c r="N76" s="60">
        <v>131.69999999999999</v>
      </c>
      <c r="O76" s="60">
        <v>0</v>
      </c>
      <c r="P76" s="60">
        <v>2.89</v>
      </c>
      <c r="Q76" s="60">
        <v>2.4500000000000002</v>
      </c>
      <c r="R76" s="194"/>
      <c r="S76" s="194"/>
      <c r="T76" s="194"/>
      <c r="U76" s="194"/>
    </row>
    <row r="77" spans="1:21" s="12" customFormat="1" ht="15">
      <c r="A77" s="197" t="s">
        <v>2617</v>
      </c>
      <c r="B77" s="60">
        <v>3.89</v>
      </c>
      <c r="C77" s="60">
        <v>10.220000000000001</v>
      </c>
      <c r="D77" s="60">
        <v>14.10</v>
      </c>
      <c r="E77" s="60">
        <v>3.95</v>
      </c>
      <c r="F77" s="60">
        <v>0.33</v>
      </c>
      <c r="G77" s="214" t="s">
        <v>36</v>
      </c>
      <c r="H77" s="60">
        <v>7.13</v>
      </c>
      <c r="I77" s="60">
        <v>2.4500000000000002</v>
      </c>
      <c r="J77" s="60">
        <v>0.22</v>
      </c>
      <c r="K77" s="60">
        <v>206.10</v>
      </c>
      <c r="L77" s="9" t="s">
        <v>36</v>
      </c>
      <c r="M77" s="60">
        <v>78.84</v>
      </c>
      <c r="N77" s="60">
        <v>80.400000000000006</v>
      </c>
      <c r="O77" s="60">
        <v>0</v>
      </c>
      <c r="P77" s="60">
        <v>2.88</v>
      </c>
      <c r="Q77" s="60">
        <v>2.5299999999999998</v>
      </c>
      <c r="R77" s="194"/>
      <c r="S77" s="194"/>
      <c r="T77" s="194"/>
      <c r="U77" s="194"/>
    </row>
    <row r="78" spans="1:21" s="12" customFormat="1" ht="15">
      <c r="A78" s="197" t="s">
        <v>2618</v>
      </c>
      <c r="B78" s="60">
        <v>3.21</v>
      </c>
      <c r="C78" s="60">
        <v>10.95</v>
      </c>
      <c r="D78" s="60">
        <v>14.17</v>
      </c>
      <c r="E78" s="60">
        <v>3.76</v>
      </c>
      <c r="F78" s="60">
        <v>0.69</v>
      </c>
      <c r="G78" s="214" t="s">
        <v>36</v>
      </c>
      <c r="H78" s="60">
        <v>8.7100000000000009</v>
      </c>
      <c r="I78" s="60">
        <v>2.5299999999999998</v>
      </c>
      <c r="J78" s="60">
        <v>0.28999999999999998</v>
      </c>
      <c r="K78" s="60">
        <v>190.64</v>
      </c>
      <c r="L78" s="9" t="s">
        <v>36</v>
      </c>
      <c r="M78" s="60">
        <v>79.849999999999994</v>
      </c>
      <c r="N78" s="60">
        <v>59.90</v>
      </c>
      <c r="O78" s="60">
        <v>0</v>
      </c>
      <c r="P78" s="60">
        <v>2.88</v>
      </c>
      <c r="Q78" s="60">
        <v>2.77</v>
      </c>
      <c r="R78" s="194"/>
      <c r="S78" s="194"/>
      <c r="T78" s="194"/>
      <c r="U78" s="194"/>
    </row>
    <row r="79" spans="1:21" s="12" customFormat="1" ht="15">
      <c r="A79" s="197" t="s">
        <v>2619</v>
      </c>
      <c r="B79" s="60">
        <v>2.2599999999999998</v>
      </c>
      <c r="C79" s="60">
        <v>11.37</v>
      </c>
      <c r="D79" s="60">
        <v>13.63</v>
      </c>
      <c r="E79" s="60">
        <v>3.97</v>
      </c>
      <c r="F79" s="60">
        <v>0.70</v>
      </c>
      <c r="G79" s="214" t="s">
        <v>36</v>
      </c>
      <c r="H79" s="60">
        <v>8.7100000000000009</v>
      </c>
      <c r="I79" s="60">
        <v>2.56</v>
      </c>
      <c r="J79" s="60">
        <v>0.15</v>
      </c>
      <c r="K79" s="60">
        <v>189.60</v>
      </c>
      <c r="L79" s="9" t="s">
        <v>36</v>
      </c>
      <c r="M79" s="60">
        <v>80.02</v>
      </c>
      <c r="N79" s="60">
        <v>47.60</v>
      </c>
      <c r="O79" s="60">
        <v>0</v>
      </c>
      <c r="P79" s="60">
        <v>2.87</v>
      </c>
      <c r="Q79" s="60">
        <v>2.5099999999999998</v>
      </c>
      <c r="R79" s="194"/>
      <c r="S79" s="194"/>
      <c r="T79" s="194"/>
      <c r="U79" s="194"/>
    </row>
    <row r="80" spans="1:21" s="12" customFormat="1" ht="15">
      <c r="A80" s="197" t="s">
        <v>2620</v>
      </c>
      <c r="B80" s="60">
        <v>2.08</v>
      </c>
      <c r="C80" s="60">
        <v>11.21</v>
      </c>
      <c r="D80" s="60">
        <v>13.29</v>
      </c>
      <c r="E80" s="60">
        <v>4.08</v>
      </c>
      <c r="F80" s="60">
        <v>0.35</v>
      </c>
      <c r="G80" s="214" t="s">
        <v>36</v>
      </c>
      <c r="H80" s="60">
        <v>8.7100000000000009</v>
      </c>
      <c r="I80" s="60">
        <v>2.41</v>
      </c>
      <c r="J80" s="60">
        <v>0.46</v>
      </c>
      <c r="K80" s="60">
        <v>182.63</v>
      </c>
      <c r="L80" s="9" t="s">
        <v>36</v>
      </c>
      <c r="M80" s="60">
        <v>80.599999999999994</v>
      </c>
      <c r="N80" s="60">
        <v>36.799999999999997</v>
      </c>
      <c r="O80" s="60">
        <v>0</v>
      </c>
      <c r="P80" s="60">
        <v>2.88</v>
      </c>
      <c r="Q80" s="60">
        <v>2.46</v>
      </c>
      <c r="R80" s="194"/>
      <c r="S80" s="194"/>
      <c r="T80" s="194"/>
      <c r="U80" s="194"/>
    </row>
    <row r="81" spans="1:21" s="12" customFormat="1" ht="15">
      <c r="A81" s="197" t="s">
        <v>2621</v>
      </c>
      <c r="B81" s="60">
        <v>2.23</v>
      </c>
      <c r="C81" s="60">
        <v>11</v>
      </c>
      <c r="D81" s="60">
        <v>13.23</v>
      </c>
      <c r="E81" s="60">
        <v>4.3600000000000003</v>
      </c>
      <c r="F81" s="60">
        <v>0.070000000000000007</v>
      </c>
      <c r="G81" s="214" t="s">
        <v>36</v>
      </c>
      <c r="H81" s="60">
        <v>8.58</v>
      </c>
      <c r="I81" s="60">
        <v>2.46</v>
      </c>
      <c r="J81" s="60">
        <v>0.28999999999999998</v>
      </c>
      <c r="K81" s="60">
        <v>203.29</v>
      </c>
      <c r="L81" s="9" t="s">
        <v>36</v>
      </c>
      <c r="M81" s="60">
        <v>81.45</v>
      </c>
      <c r="N81" s="60">
        <v>30.90</v>
      </c>
      <c r="O81" s="60">
        <v>0</v>
      </c>
      <c r="P81" s="60">
        <v>2.90</v>
      </c>
      <c r="Q81" s="60">
        <v>2.62</v>
      </c>
      <c r="R81" s="194"/>
      <c r="S81" s="194"/>
      <c r="T81" s="194"/>
      <c r="U81" s="194"/>
    </row>
    <row r="82" spans="1:21" s="12" customFormat="1" ht="15">
      <c r="A82" s="197" t="s">
        <v>2622</v>
      </c>
      <c r="B82" s="60">
        <v>2.5</v>
      </c>
      <c r="C82" s="60">
        <v>11.13</v>
      </c>
      <c r="D82" s="60">
        <v>13.63</v>
      </c>
      <c r="E82" s="60">
        <v>4.67</v>
      </c>
      <c r="F82" s="60">
        <v>0.08</v>
      </c>
      <c r="G82" s="214" t="s">
        <v>36</v>
      </c>
      <c r="H82" s="60">
        <v>8.2799999999999994</v>
      </c>
      <c r="I82" s="60">
        <v>2.59</v>
      </c>
      <c r="J82" s="60">
        <v>0.26</v>
      </c>
      <c r="K82" s="60">
        <v>205.21</v>
      </c>
      <c r="L82" s="9" t="s">
        <v>36</v>
      </c>
      <c r="M82" s="60">
        <v>82.06</v>
      </c>
      <c r="N82" s="60">
        <v>24.40</v>
      </c>
      <c r="O82" s="60">
        <v>0</v>
      </c>
      <c r="P82" s="60">
        <v>2.90</v>
      </c>
      <c r="Q82" s="60">
        <v>3.69</v>
      </c>
      <c r="R82" s="194"/>
      <c r="S82" s="194"/>
      <c r="T82" s="194"/>
      <c r="U82" s="194"/>
    </row>
    <row r="83" spans="1:21" s="12" customFormat="1" ht="15">
      <c r="A83" s="197" t="s">
        <v>2623</v>
      </c>
      <c r="B83" s="60">
        <v>2.74</v>
      </c>
      <c r="C83" s="60">
        <v>10.14</v>
      </c>
      <c r="D83" s="60">
        <v>12.88</v>
      </c>
      <c r="E83" s="60">
        <v>4.83</v>
      </c>
      <c r="F83" s="60">
        <v>0.12</v>
      </c>
      <c r="G83" s="214" t="s">
        <v>36</v>
      </c>
      <c r="H83" s="60">
        <v>8.2799999999999994</v>
      </c>
      <c r="I83" s="60">
        <v>2.69</v>
      </c>
      <c r="J83" s="60">
        <v>0.070000000000000007</v>
      </c>
      <c r="K83" s="60">
        <v>216.25</v>
      </c>
      <c r="L83" s="9" t="s">
        <v>36</v>
      </c>
      <c r="M83" s="60">
        <v>81.94</v>
      </c>
      <c r="N83" s="60">
        <v>17.30</v>
      </c>
      <c r="O83" s="60">
        <v>0</v>
      </c>
      <c r="P83" s="60">
        <v>2.91</v>
      </c>
      <c r="Q83" s="60">
        <v>3.15</v>
      </c>
      <c r="R83" s="194"/>
      <c r="S83" s="194"/>
      <c r="T83" s="194"/>
      <c r="U83" s="194"/>
    </row>
    <row r="84" spans="1:21" s="12" customFormat="1" ht="15">
      <c r="A84" s="197" t="s">
        <v>2624</v>
      </c>
      <c r="B84" s="60">
        <v>3.01</v>
      </c>
      <c r="C84" s="60">
        <v>10.30</v>
      </c>
      <c r="D84" s="60">
        <v>13.31</v>
      </c>
      <c r="E84" s="60">
        <v>5.23</v>
      </c>
      <c r="F84" s="60">
        <v>0.18</v>
      </c>
      <c r="G84" s="214" t="s">
        <v>36</v>
      </c>
      <c r="H84" s="60">
        <v>8.2799999999999994</v>
      </c>
      <c r="I84" s="60">
        <v>2.77</v>
      </c>
      <c r="J84" s="60">
        <v>0.02</v>
      </c>
      <c r="K84" s="60">
        <v>285.72000000000003</v>
      </c>
      <c r="L84" s="9" t="s">
        <v>36</v>
      </c>
      <c r="M84" s="60">
        <v>83.12</v>
      </c>
      <c r="N84" s="60">
        <v>15.40</v>
      </c>
      <c r="O84" s="60">
        <v>0</v>
      </c>
      <c r="P84" s="60">
        <v>2.93</v>
      </c>
      <c r="Q84" s="60">
        <v>3.24</v>
      </c>
      <c r="R84" s="194"/>
      <c r="S84" s="194"/>
      <c r="T84" s="194"/>
      <c r="U84" s="194"/>
    </row>
    <row r="85" spans="1:21" s="12" customFormat="1" ht="15">
      <c r="A85" s="197" t="s">
        <v>2625</v>
      </c>
      <c r="B85" s="60">
        <v>3.41</v>
      </c>
      <c r="C85" s="60">
        <v>10.81</v>
      </c>
      <c r="D85" s="60">
        <v>14.22</v>
      </c>
      <c r="E85" s="60">
        <v>5.18</v>
      </c>
      <c r="F85" s="60">
        <v>0.28999999999999998</v>
      </c>
      <c r="G85" s="214" t="s">
        <v>36</v>
      </c>
      <c r="H85" s="60">
        <v>8.4499999999999993</v>
      </c>
      <c r="I85" s="60">
        <v>2.90</v>
      </c>
      <c r="J85" s="60">
        <v>0.01</v>
      </c>
      <c r="K85" s="60">
        <v>182.52</v>
      </c>
      <c r="L85" s="9" t="s">
        <v>36</v>
      </c>
      <c r="M85" s="60">
        <v>83.79</v>
      </c>
      <c r="N85" s="60">
        <v>15.20</v>
      </c>
      <c r="O85" s="60">
        <v>0</v>
      </c>
      <c r="P85" s="60">
        <v>2.96</v>
      </c>
      <c r="Q85" s="60">
        <v>3.41</v>
      </c>
      <c r="R85" s="194"/>
      <c r="S85" s="194"/>
      <c r="T85" s="194"/>
      <c r="U85" s="194"/>
    </row>
    <row r="86" spans="1:21" s="12" customFormat="1" ht="15">
      <c r="A86" s="197" t="s">
        <v>2626</v>
      </c>
      <c r="B86" s="60">
        <v>4.03</v>
      </c>
      <c r="C86" s="60">
        <v>11.38</v>
      </c>
      <c r="D86" s="60">
        <v>15.41</v>
      </c>
      <c r="E86" s="60">
        <v>5.07</v>
      </c>
      <c r="F86" s="60">
        <v>0.070000000000000007</v>
      </c>
      <c r="G86" s="214" t="s">
        <v>36</v>
      </c>
      <c r="H86" s="60">
        <v>8.86</v>
      </c>
      <c r="I86" s="60">
        <v>3.09</v>
      </c>
      <c r="J86" s="60">
        <v>0.01</v>
      </c>
      <c r="K86" s="60">
        <v>352.53</v>
      </c>
      <c r="L86" s="9" t="s">
        <v>36</v>
      </c>
      <c r="M86" s="60">
        <v>83.62</v>
      </c>
      <c r="N86" s="60">
        <v>15</v>
      </c>
      <c r="O86" s="60">
        <v>0</v>
      </c>
      <c r="P86" s="60">
        <v>3</v>
      </c>
      <c r="Q86" s="60">
        <v>3.91</v>
      </c>
      <c r="R86" s="194"/>
      <c r="S86" s="194"/>
      <c r="T86" s="194"/>
      <c r="U86" s="194"/>
    </row>
    <row r="87" spans="1:21" s="12" customFormat="1" ht="15">
      <c r="A87" s="197" t="s">
        <v>2627</v>
      </c>
      <c r="B87" s="60">
        <v>4.97</v>
      </c>
      <c r="C87" s="60">
        <v>11.83</v>
      </c>
      <c r="D87" s="60">
        <v>16.80</v>
      </c>
      <c r="E87" s="60">
        <v>5.38</v>
      </c>
      <c r="F87" s="60">
        <v>0.40</v>
      </c>
      <c r="G87" s="214" t="s">
        <v>36</v>
      </c>
      <c r="H87" s="60">
        <v>8.86</v>
      </c>
      <c r="I87" s="60">
        <v>3.24</v>
      </c>
      <c r="J87" s="60">
        <v>0.05</v>
      </c>
      <c r="K87" s="60">
        <v>322.38</v>
      </c>
      <c r="L87" s="9" t="s">
        <v>36</v>
      </c>
      <c r="M87" s="60">
        <v>83.67</v>
      </c>
      <c r="N87" s="60">
        <v>15.30</v>
      </c>
      <c r="O87" s="60">
        <v>0</v>
      </c>
      <c r="P87" s="60">
        <v>3.06</v>
      </c>
      <c r="Q87" s="60">
        <v>5.05</v>
      </c>
      <c r="R87" s="194"/>
      <c r="S87" s="194"/>
      <c r="T87" s="194"/>
      <c r="U87" s="194"/>
    </row>
    <row r="88" spans="1:21" s="12" customFormat="1" ht="15">
      <c r="A88" s="197" t="s">
        <v>2628</v>
      </c>
      <c r="B88" s="60">
        <v>5.41</v>
      </c>
      <c r="C88" s="60">
        <v>12.53</v>
      </c>
      <c r="D88" s="60">
        <v>17.940000000000001</v>
      </c>
      <c r="E88" s="60">
        <v>1.96</v>
      </c>
      <c r="F88" s="60">
        <v>0.10</v>
      </c>
      <c r="G88" s="214" t="s">
        <v>36</v>
      </c>
      <c r="H88" s="60">
        <v>8.86</v>
      </c>
      <c r="I88" s="60">
        <v>3.5</v>
      </c>
      <c r="J88" s="60">
        <v>0.04</v>
      </c>
      <c r="K88" s="60">
        <v>307.52</v>
      </c>
      <c r="L88" s="9" t="s">
        <v>36</v>
      </c>
      <c r="M88" s="60">
        <v>84.12</v>
      </c>
      <c r="N88" s="60">
        <v>15.20</v>
      </c>
      <c r="O88" s="60">
        <v>0</v>
      </c>
      <c r="P88" s="60">
        <v>3.09</v>
      </c>
      <c r="Q88" s="60">
        <v>5.69</v>
      </c>
      <c r="R88" s="194"/>
      <c r="S88" s="194"/>
      <c r="T88" s="194"/>
      <c r="U88" s="194"/>
    </row>
    <row r="89" spans="1:21" s="12" customFormat="1" ht="15">
      <c r="A89" s="197" t="s">
        <v>2629</v>
      </c>
      <c r="B89" s="60">
        <v>5.55</v>
      </c>
      <c r="C89" s="60">
        <v>12.72</v>
      </c>
      <c r="D89" s="60">
        <v>18.27</v>
      </c>
      <c r="E89" s="60">
        <v>3.94</v>
      </c>
      <c r="F89" s="60">
        <v>0.24</v>
      </c>
      <c r="G89" s="214" t="s">
        <v>36</v>
      </c>
      <c r="H89" s="60">
        <v>8.73</v>
      </c>
      <c r="I89" s="60">
        <v>3.76</v>
      </c>
      <c r="J89" s="60">
        <v>0.14000000000000001</v>
      </c>
      <c r="K89" s="60">
        <v>36.950000000000003</v>
      </c>
      <c r="L89" s="9" t="s">
        <v>36</v>
      </c>
      <c r="M89" s="60">
        <v>83.65</v>
      </c>
      <c r="N89" s="60">
        <v>15.10</v>
      </c>
      <c r="O89" s="60">
        <v>0</v>
      </c>
      <c r="P89" s="60">
        <v>3.13</v>
      </c>
      <c r="Q89" s="60">
        <v>6.18</v>
      </c>
      <c r="R89" s="194"/>
      <c r="S89" s="194"/>
      <c r="T89" s="194"/>
      <c r="U89" s="194"/>
    </row>
    <row r="90" spans="1:21" s="12" customFormat="1" ht="15">
      <c r="A90" s="197" t="s">
        <v>2630</v>
      </c>
      <c r="B90" s="60">
        <v>6.24</v>
      </c>
      <c r="C90" s="60">
        <v>13.43</v>
      </c>
      <c r="D90" s="60">
        <v>19.670000000000002</v>
      </c>
      <c r="E90" s="60">
        <v>4.3600000000000003</v>
      </c>
      <c r="F90" s="60">
        <v>0.06</v>
      </c>
      <c r="G90" s="214" t="s">
        <v>36</v>
      </c>
      <c r="H90" s="60">
        <v>8.41</v>
      </c>
      <c r="I90" s="60">
        <v>3.88</v>
      </c>
      <c r="J90" s="60">
        <v>0.10</v>
      </c>
      <c r="K90" s="60">
        <v>59.59</v>
      </c>
      <c r="L90" s="9" t="s">
        <v>36</v>
      </c>
      <c r="M90" s="60">
        <v>83.58</v>
      </c>
      <c r="N90" s="60">
        <v>15.20</v>
      </c>
      <c r="O90" s="60">
        <v>0</v>
      </c>
      <c r="P90" s="60">
        <v>3.16</v>
      </c>
      <c r="Q90" s="60">
        <v>6.40</v>
      </c>
      <c r="R90" s="194"/>
      <c r="S90" s="194"/>
      <c r="T90" s="194"/>
      <c r="U90" s="194"/>
    </row>
    <row r="91" spans="1:21" s="12" customFormat="1" ht="15">
      <c r="A91" s="197" t="s">
        <v>2631</v>
      </c>
      <c r="B91" s="60">
        <v>6.51</v>
      </c>
      <c r="C91" s="60">
        <v>13.83</v>
      </c>
      <c r="D91" s="60">
        <v>20.34</v>
      </c>
      <c r="E91" s="60">
        <v>4.26</v>
      </c>
      <c r="F91" s="60">
        <v>0.09</v>
      </c>
      <c r="G91" s="214" t="s">
        <v>36</v>
      </c>
      <c r="H91" s="60">
        <v>8.41</v>
      </c>
      <c r="I91" s="60">
        <v>4.0199999999999996</v>
      </c>
      <c r="J91" s="60">
        <v>0.03</v>
      </c>
      <c r="K91" s="60">
        <v>289.30</v>
      </c>
      <c r="L91" s="9" t="s">
        <v>36</v>
      </c>
      <c r="M91" s="60">
        <v>86.04</v>
      </c>
      <c r="N91" s="60">
        <v>15.30</v>
      </c>
      <c r="O91" s="60">
        <v>0</v>
      </c>
      <c r="P91" s="60">
        <v>3.19</v>
      </c>
      <c r="Q91" s="60">
        <v>6.42</v>
      </c>
      <c r="R91" s="194"/>
      <c r="S91" s="194"/>
      <c r="T91" s="194"/>
      <c r="U91" s="194"/>
    </row>
    <row r="92" spans="1:21" s="12" customFormat="1" ht="15">
      <c r="A92" s="197" t="s">
        <v>2632</v>
      </c>
      <c r="B92" s="60">
        <v>6.47</v>
      </c>
      <c r="C92" s="60">
        <v>13.89</v>
      </c>
      <c r="D92" s="60">
        <v>20.36</v>
      </c>
      <c r="E92" s="60">
        <v>4.47</v>
      </c>
      <c r="F92" s="60">
        <v>0.06</v>
      </c>
      <c r="G92" s="214" t="s">
        <v>36</v>
      </c>
      <c r="H92" s="60">
        <v>8.41</v>
      </c>
      <c r="I92" s="60">
        <v>4.17</v>
      </c>
      <c r="J92" s="60">
        <v>0.070000000000000007</v>
      </c>
      <c r="K92" s="60">
        <v>333.64</v>
      </c>
      <c r="L92" s="9" t="s">
        <v>36</v>
      </c>
      <c r="M92" s="60">
        <v>87.40</v>
      </c>
      <c r="N92" s="60">
        <v>15</v>
      </c>
      <c r="O92" s="60">
        <v>0</v>
      </c>
      <c r="P92" s="60">
        <v>3.20</v>
      </c>
      <c r="Q92" s="60">
        <v>6.5</v>
      </c>
      <c r="R92" s="194"/>
      <c r="S92" s="194"/>
      <c r="T92" s="194"/>
      <c r="U92" s="194"/>
    </row>
    <row r="93" spans="1:21" s="12" customFormat="1" ht="15">
      <c r="A93" s="197" t="s">
        <v>2633</v>
      </c>
      <c r="B93" s="60">
        <v>6.72</v>
      </c>
      <c r="C93" s="60">
        <v>13.16</v>
      </c>
      <c r="D93" s="60">
        <v>19.88</v>
      </c>
      <c r="E93" s="60">
        <v>4.1100000000000003</v>
      </c>
      <c r="F93" s="60">
        <v>0.06</v>
      </c>
      <c r="G93" s="214" t="s">
        <v>36</v>
      </c>
      <c r="H93" s="60">
        <v>9.0299999999999994</v>
      </c>
      <c r="I93" s="60">
        <v>4.2699999999999996</v>
      </c>
      <c r="J93" s="60">
        <v>0.11</v>
      </c>
      <c r="K93" s="60">
        <v>6.26</v>
      </c>
      <c r="L93" s="9" t="s">
        <v>36</v>
      </c>
      <c r="M93" s="60">
        <v>84.22</v>
      </c>
      <c r="N93" s="60">
        <v>15.20</v>
      </c>
      <c r="O93" s="60">
        <v>0</v>
      </c>
      <c r="P93" s="60">
        <v>3.22</v>
      </c>
      <c r="Q93" s="60">
        <v>5.92</v>
      </c>
      <c r="R93" s="194"/>
      <c r="S93" s="194"/>
      <c r="T93" s="194"/>
      <c r="U93" s="194"/>
    </row>
    <row r="94" spans="1:21" s="12" customFormat="1" ht="15">
      <c r="A94" s="197" t="s">
        <v>2634</v>
      </c>
      <c r="B94" s="60">
        <v>7.48</v>
      </c>
      <c r="C94" s="60">
        <v>13.63</v>
      </c>
      <c r="D94" s="60">
        <v>21.11</v>
      </c>
      <c r="E94" s="60">
        <v>4.26</v>
      </c>
      <c r="F94" s="60">
        <v>0.03</v>
      </c>
      <c r="G94" s="214" t="s">
        <v>36</v>
      </c>
      <c r="H94" s="60">
        <v>10.55</v>
      </c>
      <c r="I94" s="60">
        <v>4.46</v>
      </c>
      <c r="J94" s="60">
        <v>0.04</v>
      </c>
      <c r="K94" s="60">
        <v>339.09</v>
      </c>
      <c r="L94" s="9" t="s">
        <v>36</v>
      </c>
      <c r="M94" s="60">
        <v>85.25</v>
      </c>
      <c r="N94" s="60">
        <v>15.30</v>
      </c>
      <c r="O94" s="60">
        <v>0</v>
      </c>
      <c r="P94" s="60">
        <v>3.24</v>
      </c>
      <c r="Q94" s="60">
        <v>6.31</v>
      </c>
      <c r="R94" s="194"/>
      <c r="S94" s="194"/>
      <c r="T94" s="194"/>
      <c r="U94" s="194"/>
    </row>
    <row r="95" spans="1:21" s="12" customFormat="1" ht="15">
      <c r="A95" s="197" t="s">
        <v>2635</v>
      </c>
      <c r="B95" s="60">
        <v>8.14</v>
      </c>
      <c r="C95" s="60">
        <v>13.24</v>
      </c>
      <c r="D95" s="60">
        <v>21.37</v>
      </c>
      <c r="E95" s="60">
        <v>4.46</v>
      </c>
      <c r="F95" s="60">
        <v>0.02</v>
      </c>
      <c r="G95" s="214" t="s">
        <v>36</v>
      </c>
      <c r="H95" s="60">
        <v>10.55</v>
      </c>
      <c r="I95" s="60">
        <v>4.5199999999999996</v>
      </c>
      <c r="J95" s="60">
        <v>0.05</v>
      </c>
      <c r="K95" s="60">
        <v>229.01</v>
      </c>
      <c r="L95" s="9" t="s">
        <v>36</v>
      </c>
      <c r="M95" s="60">
        <v>87.07</v>
      </c>
      <c r="N95" s="60">
        <v>15.20</v>
      </c>
      <c r="O95" s="60">
        <v>0</v>
      </c>
      <c r="P95" s="60">
        <v>3.26</v>
      </c>
      <c r="Q95" s="60">
        <v>6.22</v>
      </c>
      <c r="R95" s="194"/>
      <c r="S95" s="194"/>
      <c r="T95" s="194"/>
      <c r="U95" s="194"/>
    </row>
    <row r="96" spans="1:26" s="12" customFormat="1" ht="15">
      <c r="A96" s="197" t="s">
        <v>2636</v>
      </c>
      <c r="B96" s="60">
        <v>8.40</v>
      </c>
      <c r="C96" s="60">
        <v>12.44</v>
      </c>
      <c r="D96" s="60">
        <v>20.84</v>
      </c>
      <c r="E96" s="60">
        <v>4.4800000000000004</v>
      </c>
      <c r="F96" s="60">
        <v>0.17</v>
      </c>
      <c r="G96" s="214" t="s">
        <v>36</v>
      </c>
      <c r="H96" s="60">
        <v>10.55</v>
      </c>
      <c r="I96" s="60">
        <v>4.5999999999999996</v>
      </c>
      <c r="J96" s="60">
        <v>0.04</v>
      </c>
      <c r="K96" s="60">
        <v>222.20</v>
      </c>
      <c r="L96" s="9" t="s">
        <v>36</v>
      </c>
      <c r="M96" s="60">
        <v>87.74</v>
      </c>
      <c r="N96" s="60">
        <v>15</v>
      </c>
      <c r="O96" s="60">
        <v>0</v>
      </c>
      <c r="P96" s="60">
        <v>3.26</v>
      </c>
      <c r="Q96" s="60">
        <v>5.78</v>
      </c>
      <c r="R96" s="194"/>
      <c r="S96" s="194"/>
      <c r="T96" s="194"/>
      <c r="U96" s="194"/>
      <c r="Z96" s="105"/>
    </row>
    <row r="97" spans="1:21" s="12" customFormat="1" ht="15">
      <c r="A97" s="197" t="s">
        <v>2637</v>
      </c>
      <c r="B97" s="60">
        <v>8.35</v>
      </c>
      <c r="C97" s="60">
        <v>12.35</v>
      </c>
      <c r="D97" s="60">
        <v>20.70</v>
      </c>
      <c r="E97" s="60">
        <v>4.59</v>
      </c>
      <c r="F97" s="60">
        <v>0.03</v>
      </c>
      <c r="G97" s="214" t="s">
        <v>36</v>
      </c>
      <c r="H97" s="60">
        <v>10.88</v>
      </c>
      <c r="I97" s="60">
        <v>4.5</v>
      </c>
      <c r="J97" s="60">
        <v>0.11</v>
      </c>
      <c r="K97" s="60">
        <v>229.45</v>
      </c>
      <c r="L97" s="9" t="s">
        <v>36</v>
      </c>
      <c r="M97" s="60">
        <v>88.03</v>
      </c>
      <c r="N97" s="60">
        <v>15</v>
      </c>
      <c r="O97" s="60">
        <v>0</v>
      </c>
      <c r="P97" s="60">
        <v>3.24</v>
      </c>
      <c r="Q97" s="60">
        <v>5.97</v>
      </c>
      <c r="R97" s="194"/>
      <c r="S97" s="194"/>
      <c r="T97" s="194"/>
      <c r="U97" s="194"/>
    </row>
    <row r="98" spans="1:21" s="12" customFormat="1" ht="15">
      <c r="A98" s="197" t="s">
        <v>2638</v>
      </c>
      <c r="B98" s="60">
        <v>8.35</v>
      </c>
      <c r="C98" s="60">
        <v>11.82</v>
      </c>
      <c r="D98" s="60">
        <v>20.170000000000002</v>
      </c>
      <c r="E98" s="60">
        <v>4.96</v>
      </c>
      <c r="F98" s="60">
        <v>0.03</v>
      </c>
      <c r="G98" s="214" t="s">
        <v>36</v>
      </c>
      <c r="H98" s="60">
        <v>11.71</v>
      </c>
      <c r="I98" s="60">
        <v>4.49</v>
      </c>
      <c r="J98" s="60">
        <v>0.04</v>
      </c>
      <c r="K98" s="60">
        <v>19.04</v>
      </c>
      <c r="L98" s="9" t="s">
        <v>36</v>
      </c>
      <c r="M98" s="60">
        <v>88.41</v>
      </c>
      <c r="N98" s="60">
        <v>15</v>
      </c>
      <c r="O98" s="60">
        <v>0</v>
      </c>
      <c r="P98" s="60">
        <v>3.24</v>
      </c>
      <c r="Q98" s="60">
        <v>5.78</v>
      </c>
      <c r="R98" s="194"/>
      <c r="S98" s="194"/>
      <c r="T98" s="194"/>
      <c r="U98" s="194"/>
    </row>
    <row r="99" spans="1:21" s="12" customFormat="1" ht="15">
      <c r="A99" s="197" t="s">
        <v>2639</v>
      </c>
      <c r="B99" s="60">
        <v>8.41</v>
      </c>
      <c r="C99" s="60">
        <v>11.08</v>
      </c>
      <c r="D99" s="60">
        <v>19.5</v>
      </c>
      <c r="E99" s="60">
        <v>5.12</v>
      </c>
      <c r="F99" s="60">
        <v>0.24</v>
      </c>
      <c r="G99" s="214" t="s">
        <v>36</v>
      </c>
      <c r="H99" s="60">
        <v>11.71</v>
      </c>
      <c r="I99" s="60">
        <v>4.34</v>
      </c>
      <c r="J99" s="60">
        <v>0.02</v>
      </c>
      <c r="K99" s="60">
        <v>230.66</v>
      </c>
      <c r="L99" s="9" t="s">
        <v>36</v>
      </c>
      <c r="M99" s="60">
        <v>88.81</v>
      </c>
      <c r="N99" s="60">
        <v>15</v>
      </c>
      <c r="O99" s="60">
        <v>0</v>
      </c>
      <c r="P99" s="60">
        <v>3.24</v>
      </c>
      <c r="Q99" s="60">
        <v>5.52</v>
      </c>
      <c r="R99" s="194"/>
      <c r="S99" s="194"/>
      <c r="T99" s="194"/>
      <c r="U99" s="194"/>
    </row>
    <row r="100" spans="1:33" s="12" customFormat="1" ht="15">
      <c r="A100" s="197" t="s">
        <v>2640</v>
      </c>
      <c r="B100" s="60">
        <v>8.39</v>
      </c>
      <c r="C100" s="60">
        <v>11.34</v>
      </c>
      <c r="D100" s="60">
        <v>19.73</v>
      </c>
      <c r="E100" s="60">
        <v>5.54</v>
      </c>
      <c r="F100" s="60">
        <v>0.02</v>
      </c>
      <c r="G100" s="214" t="s">
        <v>36</v>
      </c>
      <c r="H100" s="60">
        <v>11.71</v>
      </c>
      <c r="I100" s="60">
        <v>4.34</v>
      </c>
      <c r="J100" s="60">
        <v>0.17</v>
      </c>
      <c r="K100" s="60">
        <v>204.48</v>
      </c>
      <c r="L100" s="9" t="s">
        <v>36</v>
      </c>
      <c r="M100" s="60">
        <v>88.95</v>
      </c>
      <c r="N100" s="60">
        <v>15</v>
      </c>
      <c r="O100" s="60">
        <v>0</v>
      </c>
      <c r="P100" s="60">
        <v>3.24</v>
      </c>
      <c r="Q100" s="60">
        <v>5.69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2641</v>
      </c>
      <c r="B101" s="60">
        <v>7.97</v>
      </c>
      <c r="C101" s="60">
        <v>10.91</v>
      </c>
      <c r="D101" s="60">
        <v>18.87</v>
      </c>
      <c r="E101" s="60">
        <v>5.41</v>
      </c>
      <c r="F101" s="60">
        <v>0.06</v>
      </c>
      <c r="G101" s="214" t="s">
        <v>36</v>
      </c>
      <c r="H101" s="60">
        <v>10.91</v>
      </c>
      <c r="I101" s="60">
        <v>4.59</v>
      </c>
      <c r="J101" s="60">
        <v>0.15</v>
      </c>
      <c r="K101" s="60">
        <v>210.78</v>
      </c>
      <c r="L101" s="9" t="s">
        <v>36</v>
      </c>
      <c r="M101" s="60">
        <v>88.71</v>
      </c>
      <c r="N101" s="60">
        <v>15.30</v>
      </c>
      <c r="O101" s="60">
        <v>0</v>
      </c>
      <c r="P101" s="60">
        <v>3.21</v>
      </c>
      <c r="Q101" s="60">
        <v>6.47</v>
      </c>
      <c r="R101" s="194"/>
      <c r="S101" s="194"/>
      <c r="T101" s="194"/>
      <c r="U101" s="194"/>
    </row>
    <row r="102" spans="1:21" s="12" customFormat="1" ht="15">
      <c r="A102" s="197" t="s">
        <v>2642</v>
      </c>
      <c r="B102" s="60">
        <v>7.41</v>
      </c>
      <c r="C102" s="60">
        <v>10.83</v>
      </c>
      <c r="D102" s="60">
        <v>18.239999999999998</v>
      </c>
      <c r="E102" s="60">
        <v>5.41</v>
      </c>
      <c r="F102" s="60">
        <v>0.09</v>
      </c>
      <c r="G102" s="214" t="s">
        <v>36</v>
      </c>
      <c r="H102" s="60">
        <v>8.93</v>
      </c>
      <c r="I102" s="60">
        <v>4.6399999999999997</v>
      </c>
      <c r="J102" s="60">
        <v>0.22</v>
      </c>
      <c r="K102" s="60">
        <v>172.68</v>
      </c>
      <c r="L102" s="9" t="s">
        <v>36</v>
      </c>
      <c r="M102" s="60">
        <v>89.15</v>
      </c>
      <c r="N102" s="60">
        <v>15.30</v>
      </c>
      <c r="O102" s="60">
        <v>0</v>
      </c>
      <c r="P102" s="60">
        <v>3.20</v>
      </c>
      <c r="Q102" s="60">
        <v>7.25</v>
      </c>
      <c r="R102" s="194"/>
      <c r="S102" s="194"/>
      <c r="T102" s="194"/>
      <c r="U102" s="194"/>
    </row>
    <row r="103" spans="1:21" s="12" customFormat="1" ht="15">
      <c r="A103" s="197" t="s">
        <v>2643</v>
      </c>
      <c r="B103" s="60">
        <v>6.88</v>
      </c>
      <c r="C103" s="60">
        <v>10.52</v>
      </c>
      <c r="D103" s="60">
        <v>17.399999999999999</v>
      </c>
      <c r="E103" s="60">
        <v>5.43</v>
      </c>
      <c r="F103" s="60">
        <v>0.39</v>
      </c>
      <c r="G103" s="214" t="s">
        <v>36</v>
      </c>
      <c r="H103" s="60">
        <v>8.93</v>
      </c>
      <c r="I103" s="60">
        <v>4.54</v>
      </c>
      <c r="J103" s="60">
        <v>0.24</v>
      </c>
      <c r="K103" s="60">
        <v>202.75</v>
      </c>
      <c r="L103" s="9" t="s">
        <v>36</v>
      </c>
      <c r="M103" s="60">
        <v>89.28</v>
      </c>
      <c r="N103" s="60">
        <v>15.30</v>
      </c>
      <c r="O103" s="60">
        <v>0</v>
      </c>
      <c r="P103" s="60">
        <v>3.17</v>
      </c>
      <c r="Q103" s="60">
        <v>7.61</v>
      </c>
      <c r="R103" s="194"/>
      <c r="S103" s="194"/>
      <c r="T103" s="194"/>
      <c r="U103" s="194"/>
    </row>
    <row r="104" spans="1:21" s="12" customFormat="1" ht="15">
      <c r="A104" s="197" t="s">
        <v>2644</v>
      </c>
      <c r="B104" s="60">
        <v>6.40</v>
      </c>
      <c r="C104" s="60">
        <v>10.53</v>
      </c>
      <c r="D104" s="60">
        <v>16.93</v>
      </c>
      <c r="E104" s="60">
        <v>2.82</v>
      </c>
      <c r="F104" s="60">
        <v>0.03</v>
      </c>
      <c r="G104" s="214" t="s">
        <v>36</v>
      </c>
      <c r="H104" s="60">
        <v>8.93</v>
      </c>
      <c r="I104" s="60">
        <v>4.4400000000000004</v>
      </c>
      <c r="J104" s="60">
        <v>0.20</v>
      </c>
      <c r="K104" s="60">
        <v>189.88</v>
      </c>
      <c r="L104" s="9" t="s">
        <v>36</v>
      </c>
      <c r="M104" s="60">
        <v>89.75</v>
      </c>
      <c r="N104" s="60">
        <v>15.20</v>
      </c>
      <c r="O104" s="60">
        <v>0</v>
      </c>
      <c r="P104" s="60">
        <v>3.15</v>
      </c>
      <c r="Q104" s="60">
        <v>7.47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0.93000000000000005</v>
      </c>
      <c r="C106" s="67">
        <f>MIN(C9:C104)</f>
        <v>7.5599999999999996</v>
      </c>
      <c r="D106" s="67">
        <f t="shared" si="0" ref="D106:Q106">MIN(D9:D104)</f>
        <v>11.01</v>
      </c>
      <c r="E106" s="67">
        <f t="shared" si="0"/>
        <v>1.48</v>
      </c>
      <c r="F106" s="67">
        <f t="shared" si="0"/>
        <v>0.01</v>
      </c>
      <c r="G106" s="67">
        <f t="shared" si="0"/>
        <v>0</v>
      </c>
      <c r="H106" s="67">
        <f t="shared" si="0"/>
        <v>1.54</v>
      </c>
      <c r="I106" s="67">
        <f t="shared" si="0"/>
        <v>1.8300000000000001</v>
      </c>
      <c r="J106" s="67">
        <f t="shared" si="0"/>
        <v>0.01</v>
      </c>
      <c r="K106" s="67">
        <f t="shared" si="0"/>
        <v>6.2599999999999998</v>
      </c>
      <c r="L106" s="67">
        <f t="shared" si="0"/>
        <v>41.030000000000001</v>
      </c>
      <c r="M106" s="67">
        <f t="shared" si="0"/>
        <v>72.030000000000001</v>
      </c>
      <c r="N106" s="67">
        <f t="shared" si="0"/>
        <v>15</v>
      </c>
      <c r="O106" s="67">
        <f t="shared" si="0"/>
        <v>0</v>
      </c>
      <c r="P106" s="67">
        <f t="shared" si="0"/>
        <v>2.79</v>
      </c>
      <c r="Q106" s="67">
        <f t="shared" si="0"/>
        <v>1.4199999999999999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8.4100000000000001</v>
      </c>
      <c r="C107" s="66">
        <f t="shared" si="1" ref="C107:Q107">MAX(C9:C104)</f>
        <v>14.539999999999999</v>
      </c>
      <c r="D107" s="66">
        <f t="shared" si="1"/>
        <v>21.370000000000001</v>
      </c>
      <c r="E107" s="66">
        <f t="shared" si="1"/>
        <v>8.3300000000000001</v>
      </c>
      <c r="F107" s="66">
        <f t="shared" si="1"/>
        <v>2.1000000000000001</v>
      </c>
      <c r="G107" s="66">
        <f t="shared" si="1"/>
        <v>0</v>
      </c>
      <c r="H107" s="66">
        <f t="shared" si="1"/>
        <v>11.710000000000001</v>
      </c>
      <c r="I107" s="66">
        <f t="shared" si="1"/>
        <v>4.6399999999999997</v>
      </c>
      <c r="J107" s="66">
        <f t="shared" si="1"/>
        <v>1.3400000000000001</v>
      </c>
      <c r="K107" s="66">
        <f t="shared" si="1"/>
        <v>352.52999999999997</v>
      </c>
      <c r="L107" s="66">
        <f t="shared" si="1"/>
        <v>89.799999999999997</v>
      </c>
      <c r="M107" s="66">
        <f t="shared" si="1"/>
        <v>98.799999999999997</v>
      </c>
      <c r="N107" s="66">
        <f t="shared" si="1"/>
        <v>782.29999999999995</v>
      </c>
      <c r="O107" s="66">
        <f t="shared" si="1"/>
        <v>0</v>
      </c>
      <c r="P107" s="66">
        <f t="shared" si="1"/>
        <v>3.2599999999999998</v>
      </c>
      <c r="Q107" s="66">
        <f t="shared" si="1"/>
        <v>7.6100000000000003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4.2195833333333352</v>
      </c>
      <c r="C108" s="67">
        <f t="shared" si="2" ref="C108:Q108">AVERAGE(C9:C104)</f>
        <v>10.551250000000003</v>
      </c>
      <c r="D108" s="67">
        <f t="shared" si="2"/>
        <v>14.770208333333338</v>
      </c>
      <c r="E108" s="67">
        <f t="shared" si="2"/>
        <v>5.2437500000000021</v>
      </c>
      <c r="F108" s="67">
        <f t="shared" si="2"/>
        <v>0.44150537634408626</v>
      </c>
      <c r="G108" s="67" t="e">
        <f t="shared" si="2"/>
        <v>#DIV/0!</v>
      </c>
      <c r="H108" s="67">
        <f t="shared" si="2"/>
        <v>6.4449999999999994</v>
      </c>
      <c r="I108" s="67">
        <f t="shared" si="2"/>
        <v>3.3684374999999989</v>
      </c>
      <c r="J108" s="67">
        <f t="shared" si="2"/>
        <v>0.32822916666666663</v>
      </c>
      <c r="K108" s="67">
        <f t="shared" si="2"/>
        <v>195.96489583333332</v>
      </c>
      <c r="L108" s="67">
        <f t="shared" si="2"/>
        <v>50.590961538461542</v>
      </c>
      <c r="M108" s="67">
        <f t="shared" si="2"/>
        <v>87.080312499999991</v>
      </c>
      <c r="N108" s="67">
        <f t="shared" si="2"/>
        <v>166.19270833333331</v>
      </c>
      <c r="O108" s="67">
        <f t="shared" si="2"/>
        <v>0</v>
      </c>
      <c r="P108" s="67">
        <f t="shared" si="2"/>
        <v>2.9433333333333347</v>
      </c>
      <c r="Q108" s="67">
        <f t="shared" si="2"/>
        <v>3.9542708333333345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2.1744380600957514</v>
      </c>
      <c r="C109" s="67">
        <f t="shared" si="3" ref="C109:Q109">STDEV(C9:C104)</f>
        <v>1.9559255448104498</v>
      </c>
      <c r="D109" s="67">
        <f t="shared" si="3"/>
        <v>2.8238417203170862</v>
      </c>
      <c r="E109" s="67">
        <f t="shared" si="3"/>
        <v>2.0631209113226494</v>
      </c>
      <c r="F109" s="67">
        <f t="shared" si="3"/>
        <v>0.54672532296860787</v>
      </c>
      <c r="G109" s="67" t="e">
        <f t="shared" si="3"/>
        <v>#DIV/0!</v>
      </c>
      <c r="H109" s="67">
        <f t="shared" si="3"/>
        <v>3.185233363342058</v>
      </c>
      <c r="I109" s="67">
        <f t="shared" si="3"/>
        <v>0.8463784497865986</v>
      </c>
      <c r="J109" s="67">
        <f t="shared" si="3"/>
        <v>0.28271985312474479</v>
      </c>
      <c r="K109" s="67">
        <f t="shared" si="3"/>
        <v>52.480886405278895</v>
      </c>
      <c r="L109" s="67">
        <f t="shared" si="3"/>
        <v>8.090803605259735</v>
      </c>
      <c r="M109" s="67">
        <f t="shared" si="3"/>
        <v>7.8082854042323113</v>
      </c>
      <c r="N109" s="67">
        <f t="shared" si="3"/>
        <v>208.42187239740542</v>
      </c>
      <c r="O109" s="67">
        <f t="shared" si="3"/>
        <v>0</v>
      </c>
      <c r="P109" s="67">
        <f t="shared" si="3"/>
        <v>0.13299518524460055</v>
      </c>
      <c r="Q109" s="67">
        <f t="shared" si="3"/>
        <v>1.4834587924964675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COUNT(F9:F104)+3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>COUNT(L9:L104)+44</f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83f644-275e-4a5c-9fa3-54863fef4a51}">
  <sheetPr codeName=""/>
  <dimension ref="A1:AG117"/>
  <sheetViews>
    <sheetView workbookViewId="0" topLeftCell="A1">
      <pane xSplit="1" ySplit="8" topLeftCell="B96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26-07-2022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2645</v>
      </c>
      <c r="B9" s="60">
        <v>6</v>
      </c>
      <c r="C9" s="60">
        <v>10.35</v>
      </c>
      <c r="D9" s="60">
        <v>16.36</v>
      </c>
      <c r="E9" s="60">
        <v>5.67</v>
      </c>
      <c r="F9" s="60">
        <v>0.21</v>
      </c>
      <c r="G9" s="214" t="s">
        <v>36</v>
      </c>
      <c r="H9" s="60">
        <v>9.41</v>
      </c>
      <c r="I9" s="60">
        <v>4.29</v>
      </c>
      <c r="J9" s="60">
        <v>0.22</v>
      </c>
      <c r="K9" s="60">
        <v>211.57</v>
      </c>
      <c r="L9" s="60">
        <v>37.799999999999997</v>
      </c>
      <c r="M9" s="60">
        <v>90.12</v>
      </c>
      <c r="N9" s="60">
        <v>15</v>
      </c>
      <c r="O9" s="60">
        <v>0</v>
      </c>
      <c r="P9" s="60">
        <v>3.12</v>
      </c>
      <c r="Q9" s="60">
        <v>7.28</v>
      </c>
      <c r="R9" s="194"/>
      <c r="S9" s="194"/>
      <c r="T9" s="194"/>
      <c r="U9" s="194"/>
    </row>
    <row r="10" spans="1:21" s="12" customFormat="1" ht="15">
      <c r="A10" s="197" t="s">
        <v>2646</v>
      </c>
      <c r="B10" s="60">
        <v>5.60</v>
      </c>
      <c r="C10" s="60">
        <v>10.26</v>
      </c>
      <c r="D10" s="60">
        <v>15.86</v>
      </c>
      <c r="E10" s="60">
        <v>6.10</v>
      </c>
      <c r="F10" s="60">
        <v>0.12</v>
      </c>
      <c r="G10" s="214" t="s">
        <v>36</v>
      </c>
      <c r="H10" s="60">
        <v>10.57</v>
      </c>
      <c r="I10" s="60">
        <v>4.26</v>
      </c>
      <c r="J10" s="60">
        <v>0.11</v>
      </c>
      <c r="K10" s="60">
        <v>220.66</v>
      </c>
      <c r="L10" s="60">
        <v>38.090000000000003</v>
      </c>
      <c r="M10" s="60">
        <v>89.74</v>
      </c>
      <c r="N10" s="60">
        <v>15</v>
      </c>
      <c r="O10" s="60">
        <v>0</v>
      </c>
      <c r="P10" s="60">
        <v>3.12</v>
      </c>
      <c r="Q10" s="60">
        <v>7.10</v>
      </c>
      <c r="R10" s="194"/>
      <c r="S10" s="194"/>
      <c r="T10" s="194"/>
      <c r="U10" s="194"/>
    </row>
    <row r="11" spans="1:21" s="12" customFormat="1" ht="15">
      <c r="A11" s="197" t="s">
        <v>2647</v>
      </c>
      <c r="B11" s="60">
        <v>5.37</v>
      </c>
      <c r="C11" s="60">
        <v>10.14</v>
      </c>
      <c r="D11" s="60">
        <v>15.51</v>
      </c>
      <c r="E11" s="60">
        <v>5.27</v>
      </c>
      <c r="F11" s="60">
        <v>0.35</v>
      </c>
      <c r="G11" s="214" t="s">
        <v>36</v>
      </c>
      <c r="H11" s="60">
        <v>10.57</v>
      </c>
      <c r="I11" s="60">
        <v>4.17</v>
      </c>
      <c r="J11" s="60">
        <v>0.09</v>
      </c>
      <c r="K11" s="60">
        <v>221.81</v>
      </c>
      <c r="L11" s="60">
        <v>38.15</v>
      </c>
      <c r="M11" s="60">
        <v>89.67</v>
      </c>
      <c r="N11" s="60">
        <v>15.10</v>
      </c>
      <c r="O11" s="60">
        <v>0</v>
      </c>
      <c r="P11" s="60">
        <v>3.10</v>
      </c>
      <c r="Q11" s="60">
        <v>6.33</v>
      </c>
      <c r="R11" s="194"/>
      <c r="S11" s="194"/>
      <c r="T11" s="194"/>
      <c r="U11" s="194"/>
    </row>
    <row r="12" spans="1:21" s="12" customFormat="1" ht="15">
      <c r="A12" s="197" t="s">
        <v>2648</v>
      </c>
      <c r="B12" s="60">
        <v>5.25</v>
      </c>
      <c r="C12" s="60">
        <v>10.08</v>
      </c>
      <c r="D12" s="60">
        <v>15.33</v>
      </c>
      <c r="E12" s="60">
        <v>5.65</v>
      </c>
      <c r="F12" s="60">
        <v>0.14000000000000001</v>
      </c>
      <c r="G12" s="214" t="s">
        <v>36</v>
      </c>
      <c r="H12" s="60">
        <v>10.57</v>
      </c>
      <c r="I12" s="60">
        <v>4.12</v>
      </c>
      <c r="J12" s="60">
        <v>0.12</v>
      </c>
      <c r="K12" s="60">
        <v>209.02</v>
      </c>
      <c r="L12" s="60">
        <v>39.36</v>
      </c>
      <c r="M12" s="60">
        <v>89.83</v>
      </c>
      <c r="N12" s="60">
        <v>15.30</v>
      </c>
      <c r="O12" s="60">
        <v>0</v>
      </c>
      <c r="P12" s="60">
        <v>3.09</v>
      </c>
      <c r="Q12" s="60">
        <v>5.96</v>
      </c>
      <c r="R12" s="194"/>
      <c r="S12" s="194"/>
      <c r="T12" s="194"/>
      <c r="U12" s="194"/>
    </row>
    <row r="13" spans="1:21" s="12" customFormat="1" ht="15">
      <c r="A13" s="197" t="s">
        <v>2649</v>
      </c>
      <c r="B13" s="60">
        <v>5.17</v>
      </c>
      <c r="C13" s="60">
        <v>9.32</v>
      </c>
      <c r="D13" s="60">
        <v>14.49</v>
      </c>
      <c r="E13" s="60">
        <v>5.72</v>
      </c>
      <c r="F13" s="60">
        <v>0.32</v>
      </c>
      <c r="G13" s="214" t="s">
        <v>36</v>
      </c>
      <c r="H13" s="60">
        <v>10.130000000000001</v>
      </c>
      <c r="I13" s="60">
        <v>3.99</v>
      </c>
      <c r="J13" s="60">
        <v>0.36</v>
      </c>
      <c r="K13" s="60">
        <v>186.67</v>
      </c>
      <c r="L13" s="60">
        <v>39.57</v>
      </c>
      <c r="M13" s="60">
        <v>91.07</v>
      </c>
      <c r="N13" s="60">
        <v>15.30</v>
      </c>
      <c r="O13" s="60">
        <v>0</v>
      </c>
      <c r="P13" s="60">
        <v>3.07</v>
      </c>
      <c r="Q13" s="60">
        <v>5.09</v>
      </c>
      <c r="R13" s="194"/>
      <c r="S13" s="194"/>
      <c r="T13" s="194"/>
      <c r="U13" s="194"/>
    </row>
    <row r="14" spans="1:21" s="12" customFormat="1" ht="15">
      <c r="A14" s="197" t="s">
        <v>2650</v>
      </c>
      <c r="B14" s="60">
        <v>5.14</v>
      </c>
      <c r="C14" s="60">
        <v>9.52</v>
      </c>
      <c r="D14" s="60">
        <v>14.65</v>
      </c>
      <c r="E14" s="60">
        <v>5.86</v>
      </c>
      <c r="F14" s="60">
        <v>0.04</v>
      </c>
      <c r="G14" s="214" t="s">
        <v>36</v>
      </c>
      <c r="H14" s="60">
        <v>9.0299999999999994</v>
      </c>
      <c r="I14" s="60">
        <v>3.96</v>
      </c>
      <c r="J14" s="60">
        <v>0.27</v>
      </c>
      <c r="K14" s="60">
        <v>215.86</v>
      </c>
      <c r="L14" s="60">
        <v>36.090000000000003</v>
      </c>
      <c r="M14" s="60">
        <v>92.36</v>
      </c>
      <c r="N14" s="60">
        <v>15.40</v>
      </c>
      <c r="O14" s="60">
        <v>0</v>
      </c>
      <c r="P14" s="60">
        <v>3.06</v>
      </c>
      <c r="Q14" s="60">
        <v>5.09</v>
      </c>
      <c r="R14" s="194"/>
      <c r="S14" s="194"/>
      <c r="T14" s="194"/>
      <c r="U14" s="194"/>
    </row>
    <row r="15" spans="1:21" s="12" customFormat="1" ht="15">
      <c r="A15" s="197" t="s">
        <v>2651</v>
      </c>
      <c r="B15" s="60">
        <v>5.15</v>
      </c>
      <c r="C15" s="60">
        <v>8.74</v>
      </c>
      <c r="D15" s="60">
        <v>13.89</v>
      </c>
      <c r="E15" s="60">
        <v>5.67</v>
      </c>
      <c r="F15" s="60">
        <v>0.16</v>
      </c>
      <c r="G15" s="214" t="s">
        <v>36</v>
      </c>
      <c r="H15" s="60">
        <v>9.0299999999999994</v>
      </c>
      <c r="I15" s="60">
        <v>3.89</v>
      </c>
      <c r="J15" s="60">
        <v>0.56000000000000005</v>
      </c>
      <c r="K15" s="60">
        <v>179.08</v>
      </c>
      <c r="L15" s="60">
        <v>39.28</v>
      </c>
      <c r="M15" s="60">
        <v>92.92</v>
      </c>
      <c r="N15" s="60">
        <v>15.40</v>
      </c>
      <c r="O15" s="60">
        <v>0</v>
      </c>
      <c r="P15" s="60">
        <v>3.06</v>
      </c>
      <c r="Q15" s="60">
        <v>4.88</v>
      </c>
      <c r="R15" s="194"/>
      <c r="S15" s="194"/>
      <c r="T15" s="194"/>
      <c r="U15" s="194"/>
    </row>
    <row r="16" spans="1:21" s="12" customFormat="1" ht="15">
      <c r="A16" s="197" t="s">
        <v>2652</v>
      </c>
      <c r="B16" s="60">
        <v>5.45</v>
      </c>
      <c r="C16" s="60">
        <v>8.6300000000000008</v>
      </c>
      <c r="D16" s="60">
        <v>14.08</v>
      </c>
      <c r="E16" s="60">
        <v>5.94</v>
      </c>
      <c r="F16" s="60">
        <v>0.12</v>
      </c>
      <c r="G16" s="214" t="s">
        <v>36</v>
      </c>
      <c r="H16" s="60">
        <v>9.0299999999999994</v>
      </c>
      <c r="I16" s="60">
        <v>3.75</v>
      </c>
      <c r="J16" s="60">
        <v>0.28999999999999998</v>
      </c>
      <c r="K16" s="60">
        <v>190.45</v>
      </c>
      <c r="L16" s="60">
        <v>45.97</v>
      </c>
      <c r="M16" s="60">
        <v>93.48</v>
      </c>
      <c r="N16" s="60">
        <v>15.30</v>
      </c>
      <c r="O16" s="60">
        <v>0</v>
      </c>
      <c r="P16" s="60">
        <v>3.05</v>
      </c>
      <c r="Q16" s="60">
        <v>4.83</v>
      </c>
      <c r="R16" s="194"/>
      <c r="S16" s="194"/>
      <c r="T16" s="194"/>
      <c r="U16" s="194"/>
    </row>
    <row r="17" spans="1:21" s="12" customFormat="1" ht="15">
      <c r="A17" s="197" t="s">
        <v>2653</v>
      </c>
      <c r="B17" s="60">
        <v>5.66</v>
      </c>
      <c r="C17" s="60">
        <v>8.81</v>
      </c>
      <c r="D17" s="60">
        <v>14.46</v>
      </c>
      <c r="E17" s="60">
        <v>6.14</v>
      </c>
      <c r="F17" s="60">
        <v>0.09</v>
      </c>
      <c r="G17" s="214" t="s">
        <v>36</v>
      </c>
      <c r="H17" s="60">
        <v>9.35</v>
      </c>
      <c r="I17" s="60">
        <v>3.94</v>
      </c>
      <c r="J17" s="60">
        <v>0.30</v>
      </c>
      <c r="K17" s="60">
        <v>188.02</v>
      </c>
      <c r="L17" s="60">
        <v>48.11</v>
      </c>
      <c r="M17" s="60">
        <v>93.55</v>
      </c>
      <c r="N17" s="60">
        <v>15.10</v>
      </c>
      <c r="O17" s="60">
        <v>0</v>
      </c>
      <c r="P17" s="60">
        <v>3.05</v>
      </c>
      <c r="Q17" s="60">
        <v>5.0199999999999996</v>
      </c>
      <c r="R17" s="194"/>
      <c r="S17" s="194"/>
      <c r="T17" s="194"/>
      <c r="U17" s="194"/>
    </row>
    <row r="18" spans="1:21" s="12" customFormat="1" ht="15">
      <c r="A18" s="197" t="s">
        <v>2654</v>
      </c>
      <c r="B18" s="60">
        <v>5.75</v>
      </c>
      <c r="C18" s="60">
        <v>8.0399999999999991</v>
      </c>
      <c r="D18" s="60">
        <v>13.79</v>
      </c>
      <c r="E18" s="60">
        <v>6.34</v>
      </c>
      <c r="F18" s="60">
        <v>0.34</v>
      </c>
      <c r="G18" s="214" t="s">
        <v>36</v>
      </c>
      <c r="H18" s="60">
        <v>10.14</v>
      </c>
      <c r="I18" s="60">
        <v>3.91</v>
      </c>
      <c r="J18" s="60">
        <v>0.25</v>
      </c>
      <c r="K18" s="60">
        <v>190.93</v>
      </c>
      <c r="L18" s="60">
        <v>43.15</v>
      </c>
      <c r="M18" s="60">
        <v>93.48</v>
      </c>
      <c r="N18" s="60">
        <v>15.20</v>
      </c>
      <c r="O18" s="60">
        <v>0</v>
      </c>
      <c r="P18" s="60">
        <v>3.04</v>
      </c>
      <c r="Q18" s="60">
        <v>4.80</v>
      </c>
      <c r="R18" s="194"/>
      <c r="S18" s="194"/>
      <c r="T18" s="194"/>
      <c r="U18" s="194"/>
    </row>
    <row r="19" spans="1:21" s="12" customFormat="1" ht="15">
      <c r="A19" s="197" t="s">
        <v>2655</v>
      </c>
      <c r="B19" s="60">
        <v>5.70</v>
      </c>
      <c r="C19" s="60">
        <v>7.96</v>
      </c>
      <c r="D19" s="60">
        <v>13.66</v>
      </c>
      <c r="E19" s="60">
        <v>6.36</v>
      </c>
      <c r="F19" s="60">
        <v>0.17</v>
      </c>
      <c r="G19" s="214" t="s">
        <v>36</v>
      </c>
      <c r="H19" s="60">
        <v>10.14</v>
      </c>
      <c r="I19" s="60">
        <v>3.85</v>
      </c>
      <c r="J19" s="60">
        <v>0.22</v>
      </c>
      <c r="K19" s="60">
        <v>195.49</v>
      </c>
      <c r="L19" s="60">
        <v>42.63</v>
      </c>
      <c r="M19" s="60">
        <v>93.40</v>
      </c>
      <c r="N19" s="60">
        <v>15.10</v>
      </c>
      <c r="O19" s="60">
        <v>0</v>
      </c>
      <c r="P19" s="60">
        <v>3.02</v>
      </c>
      <c r="Q19" s="60">
        <v>5.62</v>
      </c>
      <c r="R19" s="194"/>
      <c r="S19" s="194"/>
      <c r="T19" s="194"/>
      <c r="U19" s="194"/>
    </row>
    <row r="20" spans="1:21" s="12" customFormat="1" ht="15">
      <c r="A20" s="197" t="s">
        <v>2656</v>
      </c>
      <c r="B20" s="60">
        <v>5.43</v>
      </c>
      <c r="C20" s="60">
        <v>8.11</v>
      </c>
      <c r="D20" s="60">
        <v>13.54</v>
      </c>
      <c r="E20" s="60">
        <v>6.40</v>
      </c>
      <c r="F20" s="60">
        <v>0.06</v>
      </c>
      <c r="G20" s="214" t="s">
        <v>36</v>
      </c>
      <c r="H20" s="60">
        <v>10.14</v>
      </c>
      <c r="I20" s="60">
        <v>3.96</v>
      </c>
      <c r="J20" s="60">
        <v>0.15</v>
      </c>
      <c r="K20" s="60">
        <v>201.29</v>
      </c>
      <c r="L20" s="60">
        <v>41.24</v>
      </c>
      <c r="M20" s="60">
        <v>92.86</v>
      </c>
      <c r="N20" s="60">
        <v>15</v>
      </c>
      <c r="O20" s="60">
        <v>0</v>
      </c>
      <c r="P20" s="60">
        <v>3</v>
      </c>
      <c r="Q20" s="60">
        <v>6.73</v>
      </c>
      <c r="R20" s="194"/>
      <c r="S20" s="194"/>
      <c r="T20" s="194"/>
      <c r="U20" s="194"/>
    </row>
    <row r="21" spans="1:21" s="12" customFormat="1" ht="15">
      <c r="A21" s="197" t="s">
        <v>2657</v>
      </c>
      <c r="B21" s="60">
        <v>5.1100000000000003</v>
      </c>
      <c r="C21" s="60">
        <v>7.72</v>
      </c>
      <c r="D21" s="60">
        <v>12.83</v>
      </c>
      <c r="E21" s="60">
        <v>6.63</v>
      </c>
      <c r="F21" s="60">
        <v>0.21</v>
      </c>
      <c r="G21" s="214" t="s">
        <v>36</v>
      </c>
      <c r="H21" s="60">
        <v>9.2899999999999991</v>
      </c>
      <c r="I21" s="60">
        <v>3.90</v>
      </c>
      <c r="J21" s="60">
        <v>0.25</v>
      </c>
      <c r="K21" s="60">
        <v>196.15</v>
      </c>
      <c r="L21" s="60">
        <v>49.77</v>
      </c>
      <c r="M21" s="60">
        <v>92.73</v>
      </c>
      <c r="N21" s="60">
        <v>15</v>
      </c>
      <c r="O21" s="60">
        <v>0</v>
      </c>
      <c r="P21" s="60">
        <v>2.97</v>
      </c>
      <c r="Q21" s="60">
        <v>7.46</v>
      </c>
      <c r="R21" s="194"/>
      <c r="S21" s="194"/>
      <c r="T21" s="194"/>
      <c r="U21" s="194"/>
    </row>
    <row r="22" spans="1:21" s="12" customFormat="1" ht="15">
      <c r="A22" s="197" t="s">
        <v>2658</v>
      </c>
      <c r="B22" s="60">
        <v>4.79</v>
      </c>
      <c r="C22" s="60">
        <v>7.91</v>
      </c>
      <c r="D22" s="60">
        <v>12.70</v>
      </c>
      <c r="E22" s="60">
        <v>6.38</v>
      </c>
      <c r="F22" s="60">
        <v>0.09</v>
      </c>
      <c r="G22" s="214" t="s">
        <v>36</v>
      </c>
      <c r="H22" s="60">
        <v>7.21</v>
      </c>
      <c r="I22" s="60">
        <v>3.83</v>
      </c>
      <c r="J22" s="60">
        <v>0.19</v>
      </c>
      <c r="K22" s="60">
        <v>186.85</v>
      </c>
      <c r="L22" s="60">
        <v>43.82</v>
      </c>
      <c r="M22" s="60">
        <v>93.72</v>
      </c>
      <c r="N22" s="60">
        <v>15.10</v>
      </c>
      <c r="O22" s="60">
        <v>0</v>
      </c>
      <c r="P22" s="60">
        <v>2.97</v>
      </c>
      <c r="Q22" s="60">
        <v>7.14</v>
      </c>
      <c r="R22" s="194"/>
      <c r="S22" s="194"/>
      <c r="T22" s="194"/>
      <c r="U22" s="194"/>
    </row>
    <row r="23" spans="1:21" s="12" customFormat="1" ht="15">
      <c r="A23" s="197" t="s">
        <v>2659</v>
      </c>
      <c r="B23" s="60">
        <v>4.55</v>
      </c>
      <c r="C23" s="60">
        <v>7.92</v>
      </c>
      <c r="D23" s="60">
        <v>12.47</v>
      </c>
      <c r="E23" s="60">
        <v>6.30</v>
      </c>
      <c r="F23" s="60">
        <v>0.02</v>
      </c>
      <c r="G23" s="214" t="s">
        <v>36</v>
      </c>
      <c r="H23" s="60">
        <v>7.21</v>
      </c>
      <c r="I23" s="60">
        <v>3.69</v>
      </c>
      <c r="J23" s="60">
        <v>0.5</v>
      </c>
      <c r="K23" s="60">
        <v>167.04</v>
      </c>
      <c r="L23" s="60">
        <v>38.51</v>
      </c>
      <c r="M23" s="60">
        <v>94.93</v>
      </c>
      <c r="N23" s="60">
        <v>15.10</v>
      </c>
      <c r="O23" s="60">
        <v>0</v>
      </c>
      <c r="P23" s="60">
        <v>2.96</v>
      </c>
      <c r="Q23" s="60">
        <v>6.97</v>
      </c>
      <c r="R23" s="194"/>
      <c r="S23" s="194"/>
      <c r="T23" s="194"/>
      <c r="U23" s="194"/>
    </row>
    <row r="24" spans="1:21" s="12" customFormat="1" ht="15">
      <c r="A24" s="197" t="s">
        <v>2660</v>
      </c>
      <c r="B24" s="60">
        <v>4.4000000000000004</v>
      </c>
      <c r="C24" s="60">
        <v>7.84</v>
      </c>
      <c r="D24" s="60">
        <v>12.24</v>
      </c>
      <c r="E24" s="60">
        <v>3.73</v>
      </c>
      <c r="F24" s="60">
        <v>0.09</v>
      </c>
      <c r="G24" s="214" t="s">
        <v>36</v>
      </c>
      <c r="H24" s="60">
        <v>7.21</v>
      </c>
      <c r="I24" s="60">
        <v>3.67</v>
      </c>
      <c r="J24" s="60">
        <v>0.57999999999999996</v>
      </c>
      <c r="K24" s="60">
        <v>179.89</v>
      </c>
      <c r="L24" s="60">
        <v>37.409999999999997</v>
      </c>
      <c r="M24" s="60">
        <v>95.32</v>
      </c>
      <c r="N24" s="60">
        <v>15.20</v>
      </c>
      <c r="O24" s="60">
        <v>0</v>
      </c>
      <c r="P24" s="60">
        <v>2.95</v>
      </c>
      <c r="Q24" s="60">
        <v>6.86</v>
      </c>
      <c r="R24" s="194"/>
      <c r="S24" s="194"/>
      <c r="T24" s="194"/>
      <c r="U24" s="194"/>
    </row>
    <row r="25" spans="1:21" s="12" customFormat="1" ht="15">
      <c r="A25" s="197" t="s">
        <v>2661</v>
      </c>
      <c r="B25" s="60">
        <v>4.24</v>
      </c>
      <c r="C25" s="60">
        <v>7.89</v>
      </c>
      <c r="D25" s="60">
        <v>12.13</v>
      </c>
      <c r="E25" s="60">
        <v>6.97</v>
      </c>
      <c r="F25" s="60">
        <v>0.09</v>
      </c>
      <c r="G25" s="214" t="s">
        <v>36</v>
      </c>
      <c r="H25" s="60">
        <v>7.04</v>
      </c>
      <c r="I25" s="60">
        <v>3.63</v>
      </c>
      <c r="J25" s="60">
        <v>0.83</v>
      </c>
      <c r="K25" s="60">
        <v>160.53</v>
      </c>
      <c r="L25" s="60">
        <v>41.80</v>
      </c>
      <c r="M25" s="60">
        <v>95.49</v>
      </c>
      <c r="N25" s="60">
        <v>15.30</v>
      </c>
      <c r="O25" s="60">
        <v>0</v>
      </c>
      <c r="P25" s="60">
        <v>2.94</v>
      </c>
      <c r="Q25" s="60">
        <v>6.56</v>
      </c>
      <c r="R25" s="194"/>
      <c r="S25" s="194"/>
      <c r="T25" s="194"/>
      <c r="U25" s="194"/>
    </row>
    <row r="26" spans="1:21" s="12" customFormat="1" ht="15">
      <c r="A26" s="197" t="s">
        <v>2662</v>
      </c>
      <c r="B26" s="60">
        <v>4.2699999999999996</v>
      </c>
      <c r="C26" s="60">
        <v>8.11</v>
      </c>
      <c r="D26" s="60">
        <v>12.38</v>
      </c>
      <c r="E26" s="60">
        <v>7</v>
      </c>
      <c r="F26" s="60">
        <v>0.01</v>
      </c>
      <c r="G26" s="214" t="s">
        <v>36</v>
      </c>
      <c r="H26" s="60">
        <v>6.61</v>
      </c>
      <c r="I26" s="60">
        <v>3.56</v>
      </c>
      <c r="J26" s="60">
        <v>0.52</v>
      </c>
      <c r="K26" s="60">
        <v>161.54</v>
      </c>
      <c r="L26" s="60">
        <v>43.47</v>
      </c>
      <c r="M26" s="60">
        <v>94.90</v>
      </c>
      <c r="N26" s="60">
        <v>15.40</v>
      </c>
      <c r="O26" s="60">
        <v>0</v>
      </c>
      <c r="P26" s="60">
        <v>2.94</v>
      </c>
      <c r="Q26" s="60">
        <v>5.95</v>
      </c>
      <c r="R26" s="194"/>
      <c r="S26" s="194"/>
      <c r="T26" s="194"/>
      <c r="U26" s="194"/>
    </row>
    <row r="27" spans="1:21" s="12" customFormat="1" ht="15">
      <c r="A27" s="197" t="s">
        <v>2663</v>
      </c>
      <c r="B27" s="60">
        <v>4.4800000000000004</v>
      </c>
      <c r="C27" s="60">
        <v>7.57</v>
      </c>
      <c r="D27" s="60">
        <v>12.05</v>
      </c>
      <c r="E27" s="60">
        <v>7.25</v>
      </c>
      <c r="F27" s="60">
        <v>0.16</v>
      </c>
      <c r="G27" s="214" t="s">
        <v>36</v>
      </c>
      <c r="H27" s="60">
        <v>6.61</v>
      </c>
      <c r="I27" s="60">
        <v>3.53</v>
      </c>
      <c r="J27" s="60">
        <v>0.77</v>
      </c>
      <c r="K27" s="60">
        <v>159.87</v>
      </c>
      <c r="L27" s="60">
        <v>41.37</v>
      </c>
      <c r="M27" s="60">
        <v>95.36</v>
      </c>
      <c r="N27" s="60">
        <v>15.30</v>
      </c>
      <c r="O27" s="60">
        <v>0</v>
      </c>
      <c r="P27" s="60">
        <v>2.93</v>
      </c>
      <c r="Q27" s="60">
        <v>5.07</v>
      </c>
      <c r="R27" s="194"/>
      <c r="S27" s="194"/>
      <c r="T27" s="194"/>
      <c r="U27" s="194"/>
    </row>
    <row r="28" spans="1:21" s="12" customFormat="1" ht="15">
      <c r="A28" s="197" t="s">
        <v>2664</v>
      </c>
      <c r="B28" s="60">
        <v>4.66</v>
      </c>
      <c r="C28" s="60">
        <v>7.81</v>
      </c>
      <c r="D28" s="60">
        <v>12.47</v>
      </c>
      <c r="E28" s="60">
        <v>7.23</v>
      </c>
      <c r="F28" s="60">
        <v>0.11</v>
      </c>
      <c r="G28" s="214" t="s">
        <v>36</v>
      </c>
      <c r="H28" s="60">
        <v>6.61</v>
      </c>
      <c r="I28" s="60">
        <v>3.53</v>
      </c>
      <c r="J28" s="60">
        <v>0.63</v>
      </c>
      <c r="K28" s="60">
        <v>175.71</v>
      </c>
      <c r="L28" s="60">
        <v>39.49</v>
      </c>
      <c r="M28" s="60">
        <v>95.08</v>
      </c>
      <c r="N28" s="60">
        <v>15</v>
      </c>
      <c r="O28" s="60">
        <v>0</v>
      </c>
      <c r="P28" s="60">
        <v>2.93</v>
      </c>
      <c r="Q28" s="60">
        <v>4.8899999999999997</v>
      </c>
      <c r="R28" s="194"/>
      <c r="S28" s="194"/>
      <c r="T28" s="194"/>
      <c r="U28" s="194"/>
    </row>
    <row r="29" spans="1:21" s="12" customFormat="1" ht="15">
      <c r="A29" s="197" t="s">
        <v>2665</v>
      </c>
      <c r="B29" s="60">
        <v>4.80</v>
      </c>
      <c r="C29" s="60">
        <v>7.77</v>
      </c>
      <c r="D29" s="60">
        <v>12.56</v>
      </c>
      <c r="E29" s="60">
        <v>7.33</v>
      </c>
      <c r="F29" s="60">
        <v>0.04</v>
      </c>
      <c r="G29" s="214" t="s">
        <v>36</v>
      </c>
      <c r="H29" s="60">
        <v>6.57</v>
      </c>
      <c r="I29" s="60">
        <v>3.56</v>
      </c>
      <c r="J29" s="60">
        <v>0.34</v>
      </c>
      <c r="K29" s="60">
        <v>173.31</v>
      </c>
      <c r="L29" s="60">
        <v>41.15</v>
      </c>
      <c r="M29" s="60">
        <v>95.88</v>
      </c>
      <c r="N29" s="60">
        <v>15.10</v>
      </c>
      <c r="O29" s="60">
        <v>0</v>
      </c>
      <c r="P29" s="60">
        <v>2.93</v>
      </c>
      <c r="Q29" s="60">
        <v>4.8499999999999996</v>
      </c>
      <c r="R29" s="194"/>
      <c r="S29" s="194"/>
      <c r="T29" s="194"/>
      <c r="U29" s="194"/>
    </row>
    <row r="30" spans="1:21" s="12" customFormat="1" ht="15">
      <c r="A30" s="197" t="s">
        <v>2666</v>
      </c>
      <c r="B30" s="60">
        <v>5.03</v>
      </c>
      <c r="C30" s="60">
        <v>7.43</v>
      </c>
      <c r="D30" s="60">
        <v>12.47</v>
      </c>
      <c r="E30" s="60">
        <v>7.46</v>
      </c>
      <c r="F30" s="60">
        <v>0.10</v>
      </c>
      <c r="G30" s="214" t="s">
        <v>36</v>
      </c>
      <c r="H30" s="60">
        <v>6.45</v>
      </c>
      <c r="I30" s="60">
        <v>3.59</v>
      </c>
      <c r="J30" s="60">
        <v>0.36</v>
      </c>
      <c r="K30" s="60">
        <v>182</v>
      </c>
      <c r="L30" s="60">
        <v>41.29</v>
      </c>
      <c r="M30" s="60">
        <v>95.97</v>
      </c>
      <c r="N30" s="60">
        <v>15.40</v>
      </c>
      <c r="O30" s="60">
        <v>0</v>
      </c>
      <c r="P30" s="60">
        <v>2.92</v>
      </c>
      <c r="Q30" s="60">
        <v>4.66</v>
      </c>
      <c r="R30" s="194"/>
      <c r="S30" s="194"/>
      <c r="T30" s="194"/>
      <c r="U30" s="194"/>
    </row>
    <row r="31" spans="1:21" s="12" customFormat="1" ht="15">
      <c r="A31" s="197" t="s">
        <v>2667</v>
      </c>
      <c r="B31" s="60">
        <v>5.28</v>
      </c>
      <c r="C31" s="60">
        <v>7.53</v>
      </c>
      <c r="D31" s="60">
        <v>12.80</v>
      </c>
      <c r="E31" s="60">
        <v>7.57</v>
      </c>
      <c r="F31" s="60">
        <v>0.08</v>
      </c>
      <c r="G31" s="214" t="s">
        <v>36</v>
      </c>
      <c r="H31" s="60">
        <v>6.45</v>
      </c>
      <c r="I31" s="60">
        <v>3.56</v>
      </c>
      <c r="J31" s="60">
        <v>0.28999999999999998</v>
      </c>
      <c r="K31" s="60">
        <v>176.60</v>
      </c>
      <c r="L31" s="60">
        <v>42.34</v>
      </c>
      <c r="M31" s="60">
        <v>95.96</v>
      </c>
      <c r="N31" s="60">
        <v>17.80</v>
      </c>
      <c r="O31" s="60">
        <v>0</v>
      </c>
      <c r="P31" s="60">
        <v>2.92</v>
      </c>
      <c r="Q31" s="60">
        <v>4.7699999999999996</v>
      </c>
      <c r="R31" s="194"/>
      <c r="S31" s="194"/>
      <c r="T31" s="194"/>
      <c r="U31" s="194"/>
    </row>
    <row r="32" spans="1:21" s="12" customFormat="1" ht="15">
      <c r="A32" s="197" t="s">
        <v>2668</v>
      </c>
      <c r="B32" s="60">
        <v>5.5</v>
      </c>
      <c r="C32" s="60">
        <v>7.88</v>
      </c>
      <c r="D32" s="60">
        <v>13.38</v>
      </c>
      <c r="E32" s="60">
        <v>8.0500000000000007</v>
      </c>
      <c r="F32" s="214" t="s">
        <v>36</v>
      </c>
      <c r="G32" s="214" t="s">
        <v>36</v>
      </c>
      <c r="H32" s="60">
        <v>6.45</v>
      </c>
      <c r="I32" s="60">
        <v>3.61</v>
      </c>
      <c r="J32" s="60">
        <v>1.07</v>
      </c>
      <c r="K32" s="60">
        <v>154.53</v>
      </c>
      <c r="L32" s="60">
        <v>43.01</v>
      </c>
      <c r="M32" s="60">
        <v>95.53</v>
      </c>
      <c r="N32" s="60">
        <v>23.60</v>
      </c>
      <c r="O32" s="60">
        <v>0</v>
      </c>
      <c r="P32" s="60">
        <v>2.94</v>
      </c>
      <c r="Q32" s="60">
        <v>4.93</v>
      </c>
      <c r="R32" s="194"/>
      <c r="S32" s="194"/>
      <c r="T32" s="194"/>
      <c r="U32" s="194"/>
    </row>
    <row r="33" spans="1:21" s="12" customFormat="1" ht="15">
      <c r="A33" s="197" t="s">
        <v>2669</v>
      </c>
      <c r="B33" s="60">
        <v>5.93</v>
      </c>
      <c r="C33" s="60">
        <v>7.90</v>
      </c>
      <c r="D33" s="60">
        <v>13.83</v>
      </c>
      <c r="E33" s="60">
        <v>7.82</v>
      </c>
      <c r="F33" s="60">
        <v>0.13</v>
      </c>
      <c r="G33" s="214" t="s">
        <v>36</v>
      </c>
      <c r="H33" s="60">
        <v>6.20</v>
      </c>
      <c r="I33" s="60">
        <v>3.57</v>
      </c>
      <c r="J33" s="60">
        <v>0.76</v>
      </c>
      <c r="K33" s="60">
        <v>160.93</v>
      </c>
      <c r="L33" s="60">
        <v>42.19</v>
      </c>
      <c r="M33" s="60">
        <v>95.38</v>
      </c>
      <c r="N33" s="60">
        <v>32.5</v>
      </c>
      <c r="O33" s="60">
        <v>0</v>
      </c>
      <c r="P33" s="60">
        <v>2.91</v>
      </c>
      <c r="Q33" s="60">
        <v>5.76</v>
      </c>
      <c r="R33" s="194"/>
      <c r="S33" s="194"/>
      <c r="T33" s="194"/>
      <c r="U33" s="194"/>
    </row>
    <row r="34" spans="1:21" s="12" customFormat="1" ht="15">
      <c r="A34" s="197" t="s">
        <v>2670</v>
      </c>
      <c r="B34" s="60">
        <v>6.10</v>
      </c>
      <c r="C34" s="60">
        <v>7.94</v>
      </c>
      <c r="D34" s="60">
        <v>14.04</v>
      </c>
      <c r="E34" s="60">
        <v>7.94</v>
      </c>
      <c r="F34" s="60">
        <v>0.17</v>
      </c>
      <c r="G34" s="214" t="s">
        <v>36</v>
      </c>
      <c r="H34" s="60">
        <v>5.55</v>
      </c>
      <c r="I34" s="60">
        <v>3.65</v>
      </c>
      <c r="J34" s="60">
        <v>0.86</v>
      </c>
      <c r="K34" s="60">
        <v>164.70</v>
      </c>
      <c r="L34" s="60">
        <v>40.47</v>
      </c>
      <c r="M34" s="60">
        <v>95.33</v>
      </c>
      <c r="N34" s="60">
        <v>40</v>
      </c>
      <c r="O34" s="60">
        <v>0</v>
      </c>
      <c r="P34" s="60">
        <v>2.91</v>
      </c>
      <c r="Q34" s="60">
        <v>7.30</v>
      </c>
      <c r="R34" s="194"/>
      <c r="S34" s="194"/>
      <c r="T34" s="194"/>
      <c r="U34" s="194"/>
    </row>
    <row r="35" spans="1:21" s="12" customFormat="1" ht="15">
      <c r="A35" s="197" t="s">
        <v>2671</v>
      </c>
      <c r="B35" s="60">
        <v>6.18</v>
      </c>
      <c r="C35" s="60">
        <v>8.1300000000000008</v>
      </c>
      <c r="D35" s="60">
        <v>14.31</v>
      </c>
      <c r="E35" s="60">
        <v>7.56</v>
      </c>
      <c r="F35" s="60">
        <v>0.24</v>
      </c>
      <c r="G35" s="214" t="s">
        <v>36</v>
      </c>
      <c r="H35" s="60">
        <v>5.55</v>
      </c>
      <c r="I35" s="60">
        <v>3.72</v>
      </c>
      <c r="J35" s="60">
        <v>1.19</v>
      </c>
      <c r="K35" s="60">
        <v>156.18</v>
      </c>
      <c r="L35" s="60">
        <v>39.71</v>
      </c>
      <c r="M35" s="60">
        <v>95.23</v>
      </c>
      <c r="N35" s="60">
        <v>49.30</v>
      </c>
      <c r="O35" s="60">
        <v>0</v>
      </c>
      <c r="P35" s="60">
        <v>2.91</v>
      </c>
      <c r="Q35" s="60">
        <v>8.2899999999999991</v>
      </c>
      <c r="R35" s="194"/>
      <c r="S35" s="194"/>
      <c r="T35" s="194"/>
      <c r="U35" s="194"/>
    </row>
    <row r="36" spans="1:21" s="12" customFormat="1" ht="15">
      <c r="A36" s="197" t="s">
        <v>2672</v>
      </c>
      <c r="B36" s="60">
        <v>6.23</v>
      </c>
      <c r="C36" s="60">
        <v>8.3699999999999992</v>
      </c>
      <c r="D36" s="60">
        <v>14.60</v>
      </c>
      <c r="E36" s="60">
        <v>7.90</v>
      </c>
      <c r="F36" s="60">
        <v>0.14000000000000001</v>
      </c>
      <c r="G36" s="214" t="s">
        <v>36</v>
      </c>
      <c r="H36" s="60">
        <v>5.55</v>
      </c>
      <c r="I36" s="60">
        <v>3.68</v>
      </c>
      <c r="J36" s="60">
        <v>1.39</v>
      </c>
      <c r="K36" s="60">
        <v>155.32</v>
      </c>
      <c r="L36" s="60">
        <v>39.97</v>
      </c>
      <c r="M36" s="60">
        <v>94.08</v>
      </c>
      <c r="N36" s="60">
        <v>63.30</v>
      </c>
      <c r="O36" s="60">
        <v>0</v>
      </c>
      <c r="P36" s="60">
        <v>2.91</v>
      </c>
      <c r="Q36" s="60">
        <v>8.57</v>
      </c>
      <c r="R36" s="194"/>
      <c r="S36" s="194"/>
      <c r="T36" s="194"/>
      <c r="U36" s="194"/>
    </row>
    <row r="37" spans="1:21" s="12" customFormat="1" ht="15">
      <c r="A37" s="197" t="s">
        <v>2673</v>
      </c>
      <c r="B37" s="60">
        <v>6.38</v>
      </c>
      <c r="C37" s="60">
        <v>8.6300000000000008</v>
      </c>
      <c r="D37" s="60">
        <v>15</v>
      </c>
      <c r="E37" s="60">
        <v>7.82</v>
      </c>
      <c r="F37" s="60">
        <v>0.08</v>
      </c>
      <c r="G37" s="214" t="s">
        <v>36</v>
      </c>
      <c r="H37" s="60">
        <v>5.17</v>
      </c>
      <c r="I37" s="60">
        <v>3.64</v>
      </c>
      <c r="J37" s="60">
        <v>0.84</v>
      </c>
      <c r="K37" s="60">
        <v>167.17</v>
      </c>
      <c r="L37" s="60">
        <v>42.30</v>
      </c>
      <c r="M37" s="60">
        <v>93.34</v>
      </c>
      <c r="N37" s="60">
        <v>71.599999999999994</v>
      </c>
      <c r="O37" s="60">
        <v>0</v>
      </c>
      <c r="P37" s="60">
        <v>2.90</v>
      </c>
      <c r="Q37" s="60">
        <v>8.6199999999999992</v>
      </c>
      <c r="R37" s="194"/>
      <c r="S37" s="194"/>
      <c r="T37" s="194"/>
      <c r="U37" s="194"/>
    </row>
    <row r="38" spans="1:21" s="12" customFormat="1" ht="15">
      <c r="A38" s="197" t="s">
        <v>2674</v>
      </c>
      <c r="B38" s="60">
        <v>6.52</v>
      </c>
      <c r="C38" s="60">
        <v>8.86</v>
      </c>
      <c r="D38" s="60">
        <v>15.38</v>
      </c>
      <c r="E38" s="60">
        <v>7.71</v>
      </c>
      <c r="F38" s="60">
        <v>0.06</v>
      </c>
      <c r="G38" s="214" t="s">
        <v>36</v>
      </c>
      <c r="H38" s="60">
        <v>4.22</v>
      </c>
      <c r="I38" s="60">
        <v>3.62</v>
      </c>
      <c r="J38" s="60">
        <v>1.28</v>
      </c>
      <c r="K38" s="60">
        <v>150.81</v>
      </c>
      <c r="L38" s="60">
        <v>42.64</v>
      </c>
      <c r="M38" s="60">
        <v>92.81</v>
      </c>
      <c r="N38" s="60">
        <v>83.5</v>
      </c>
      <c r="O38" s="60">
        <v>0</v>
      </c>
      <c r="P38" s="60">
        <v>2.91</v>
      </c>
      <c r="Q38" s="60">
        <v>8.36</v>
      </c>
      <c r="R38" s="194"/>
      <c r="S38" s="194"/>
      <c r="T38" s="194"/>
      <c r="U38" s="194"/>
    </row>
    <row r="39" spans="1:21" s="12" customFormat="1" ht="15">
      <c r="A39" s="197" t="s">
        <v>2675</v>
      </c>
      <c r="B39" s="60">
        <v>6.59</v>
      </c>
      <c r="C39" s="60">
        <v>9.1199999999999992</v>
      </c>
      <c r="D39" s="60">
        <v>15.70</v>
      </c>
      <c r="E39" s="60">
        <v>7.17</v>
      </c>
      <c r="F39" s="60">
        <v>0.11</v>
      </c>
      <c r="G39" s="214" t="s">
        <v>36</v>
      </c>
      <c r="H39" s="60">
        <v>4.22</v>
      </c>
      <c r="I39" s="60">
        <v>3.64</v>
      </c>
      <c r="J39" s="60">
        <v>0.72</v>
      </c>
      <c r="K39" s="60">
        <v>169.94</v>
      </c>
      <c r="L39" s="60">
        <v>43.28</v>
      </c>
      <c r="M39" s="60">
        <v>91.67</v>
      </c>
      <c r="N39" s="60">
        <v>112.10</v>
      </c>
      <c r="O39" s="60">
        <v>0</v>
      </c>
      <c r="P39" s="60">
        <v>2.91</v>
      </c>
      <c r="Q39" s="60">
        <v>8.27</v>
      </c>
      <c r="R39" s="194"/>
      <c r="S39" s="194"/>
      <c r="T39" s="194"/>
      <c r="U39" s="194"/>
    </row>
    <row r="40" spans="1:21" s="12" customFormat="1" ht="15">
      <c r="A40" s="197" t="s">
        <v>2676</v>
      </c>
      <c r="B40" s="60">
        <v>6.63</v>
      </c>
      <c r="C40" s="60">
        <v>8.7899999999999991</v>
      </c>
      <c r="D40" s="60">
        <v>15.42</v>
      </c>
      <c r="E40" s="60">
        <v>4.04</v>
      </c>
      <c r="F40" s="60">
        <v>0.28000000000000003</v>
      </c>
      <c r="G40" s="214" t="s">
        <v>36</v>
      </c>
      <c r="H40" s="60">
        <v>4.22</v>
      </c>
      <c r="I40" s="60">
        <v>3.60</v>
      </c>
      <c r="J40" s="60">
        <v>1.02</v>
      </c>
      <c r="K40" s="60">
        <v>152.41999999999999</v>
      </c>
      <c r="L40" s="60">
        <v>43.39</v>
      </c>
      <c r="M40" s="60">
        <v>90.66</v>
      </c>
      <c r="N40" s="60">
        <v>137</v>
      </c>
      <c r="O40" s="60">
        <v>0</v>
      </c>
      <c r="P40" s="60">
        <v>2.90</v>
      </c>
      <c r="Q40" s="60">
        <v>7.33</v>
      </c>
      <c r="R40" s="194"/>
      <c r="S40" s="194"/>
      <c r="T40" s="194"/>
      <c r="U40" s="194"/>
    </row>
    <row r="41" spans="1:21" s="12" customFormat="1" ht="15">
      <c r="A41" s="197" t="s">
        <v>2677</v>
      </c>
      <c r="B41" s="60">
        <v>6.92</v>
      </c>
      <c r="C41" s="60">
        <v>9.06</v>
      </c>
      <c r="D41" s="60">
        <v>15.99</v>
      </c>
      <c r="E41" s="60">
        <v>6.97</v>
      </c>
      <c r="F41" s="60">
        <v>0.070000000000000007</v>
      </c>
      <c r="G41" s="214" t="s">
        <v>36</v>
      </c>
      <c r="H41" s="60">
        <v>4.66</v>
      </c>
      <c r="I41" s="60">
        <v>3.58</v>
      </c>
      <c r="J41" s="60">
        <v>0.57999999999999996</v>
      </c>
      <c r="K41" s="60">
        <v>167.23</v>
      </c>
      <c r="L41" s="60">
        <v>41.55</v>
      </c>
      <c r="M41" s="60">
        <v>89.95</v>
      </c>
      <c r="N41" s="60">
        <v>124.90</v>
      </c>
      <c r="O41" s="60">
        <v>0</v>
      </c>
      <c r="P41" s="60">
        <v>2.92</v>
      </c>
      <c r="Q41" s="60">
        <v>6.66</v>
      </c>
      <c r="R41" s="194"/>
      <c r="S41" s="194"/>
      <c r="T41" s="194"/>
      <c r="U41" s="194"/>
    </row>
    <row r="42" spans="1:21" s="12" customFormat="1" ht="15">
      <c r="A42" s="197" t="s">
        <v>2678</v>
      </c>
      <c r="B42" s="60">
        <v>7.17</v>
      </c>
      <c r="C42" s="60">
        <v>8.93</v>
      </c>
      <c r="D42" s="60">
        <v>16.100000000000001</v>
      </c>
      <c r="E42" s="60">
        <v>6.63</v>
      </c>
      <c r="F42" s="60">
        <v>0.06</v>
      </c>
      <c r="G42" s="214" t="s">
        <v>36</v>
      </c>
      <c r="H42" s="60">
        <v>5.76</v>
      </c>
      <c r="I42" s="60">
        <v>3.60</v>
      </c>
      <c r="J42" s="60">
        <v>0.28999999999999998</v>
      </c>
      <c r="K42" s="60">
        <v>203.89</v>
      </c>
      <c r="L42" s="60">
        <v>43.36</v>
      </c>
      <c r="M42" s="60">
        <v>88.57</v>
      </c>
      <c r="N42" s="60">
        <v>166.80</v>
      </c>
      <c r="O42" s="60">
        <v>0</v>
      </c>
      <c r="P42" s="60">
        <v>2.91</v>
      </c>
      <c r="Q42" s="60">
        <v>6.08</v>
      </c>
      <c r="R42" s="194"/>
      <c r="S42" s="194"/>
      <c r="T42" s="194"/>
      <c r="U42" s="194"/>
    </row>
    <row r="43" spans="1:21" s="12" customFormat="1" ht="15">
      <c r="A43" s="197" t="s">
        <v>2679</v>
      </c>
      <c r="B43" s="60">
        <v>7.17</v>
      </c>
      <c r="C43" s="60">
        <v>8.56</v>
      </c>
      <c r="D43" s="60">
        <v>15.73</v>
      </c>
      <c r="E43" s="60">
        <v>6.62</v>
      </c>
      <c r="F43" s="60">
        <v>0.15</v>
      </c>
      <c r="G43" s="214" t="s">
        <v>36</v>
      </c>
      <c r="H43" s="60">
        <v>5.76</v>
      </c>
      <c r="I43" s="60">
        <v>3.68</v>
      </c>
      <c r="J43" s="60">
        <v>0.12</v>
      </c>
      <c r="K43" s="60">
        <v>154.86000000000001</v>
      </c>
      <c r="L43" s="60">
        <v>45.34</v>
      </c>
      <c r="M43" s="60">
        <v>86.91</v>
      </c>
      <c r="N43" s="60">
        <v>249.40</v>
      </c>
      <c r="O43" s="60">
        <v>0</v>
      </c>
      <c r="P43" s="60">
        <v>2.91</v>
      </c>
      <c r="Q43" s="60">
        <v>5.66</v>
      </c>
      <c r="R43" s="194"/>
      <c r="S43" s="194"/>
      <c r="T43" s="194"/>
      <c r="U43" s="194"/>
    </row>
    <row r="44" spans="1:21" s="12" customFormat="1" ht="15">
      <c r="A44" s="197" t="s">
        <v>2680</v>
      </c>
      <c r="B44" s="60">
        <v>7.09</v>
      </c>
      <c r="C44" s="60">
        <v>8.41</v>
      </c>
      <c r="D44" s="60">
        <v>15.5</v>
      </c>
      <c r="E44" s="60">
        <v>6.76</v>
      </c>
      <c r="F44" s="60">
        <v>0.28999999999999998</v>
      </c>
      <c r="G44" s="214" t="s">
        <v>36</v>
      </c>
      <c r="H44" s="60">
        <v>5.76</v>
      </c>
      <c r="I44" s="60">
        <v>3.63</v>
      </c>
      <c r="J44" s="60">
        <v>0.32</v>
      </c>
      <c r="K44" s="60">
        <v>184.10</v>
      </c>
      <c r="L44" s="60">
        <v>42.51</v>
      </c>
      <c r="M44" s="60">
        <v>84.99</v>
      </c>
      <c r="N44" s="60">
        <v>288</v>
      </c>
      <c r="O44" s="60">
        <v>0</v>
      </c>
      <c r="P44" s="60">
        <v>2.90</v>
      </c>
      <c r="Q44" s="60">
        <v>5.35</v>
      </c>
      <c r="R44" s="194"/>
      <c r="S44" s="194"/>
      <c r="T44" s="194"/>
      <c r="U44" s="194"/>
    </row>
    <row r="45" spans="1:21" s="12" customFormat="1" ht="15">
      <c r="A45" s="197" t="s">
        <v>2681</v>
      </c>
      <c r="B45" s="60">
        <v>6.96</v>
      </c>
      <c r="C45" s="60">
        <v>8.9700000000000006</v>
      </c>
      <c r="D45" s="60">
        <v>15.93</v>
      </c>
      <c r="E45" s="60">
        <v>7.11</v>
      </c>
      <c r="F45" s="60">
        <v>0.10</v>
      </c>
      <c r="G45" s="214" t="s">
        <v>36</v>
      </c>
      <c r="H45" s="60">
        <v>6.34</v>
      </c>
      <c r="I45" s="60">
        <v>3.67</v>
      </c>
      <c r="J45" s="60">
        <v>0.28999999999999998</v>
      </c>
      <c r="K45" s="60">
        <v>178.86</v>
      </c>
      <c r="L45" s="60">
        <v>43.43</v>
      </c>
      <c r="M45" s="60">
        <v>83.76</v>
      </c>
      <c r="N45" s="60">
        <v>360.80</v>
      </c>
      <c r="O45" s="60">
        <v>0</v>
      </c>
      <c r="P45" s="60">
        <v>2.90</v>
      </c>
      <c r="Q45" s="60">
        <v>5.41</v>
      </c>
      <c r="R45" s="194"/>
      <c r="S45" s="194"/>
      <c r="T45" s="194"/>
      <c r="U45" s="194"/>
    </row>
    <row r="46" spans="1:21" s="12" customFormat="1" ht="15">
      <c r="A46" s="197" t="s">
        <v>2682</v>
      </c>
      <c r="B46" s="60">
        <v>6.85</v>
      </c>
      <c r="C46" s="60">
        <v>9.06</v>
      </c>
      <c r="D46" s="60">
        <v>15.91</v>
      </c>
      <c r="E46" s="60">
        <v>7</v>
      </c>
      <c r="F46" s="60">
        <v>1.59</v>
      </c>
      <c r="G46" s="214" t="s">
        <v>36</v>
      </c>
      <c r="H46" s="60">
        <v>7.77</v>
      </c>
      <c r="I46" s="60">
        <v>3.66</v>
      </c>
      <c r="J46" s="60">
        <v>0.27</v>
      </c>
      <c r="K46" s="60">
        <v>177.03</v>
      </c>
      <c r="L46" s="60">
        <v>42.99</v>
      </c>
      <c r="M46" s="60">
        <v>81.95</v>
      </c>
      <c r="N46" s="60">
        <v>429.40</v>
      </c>
      <c r="O46" s="60">
        <v>0</v>
      </c>
      <c r="P46" s="60">
        <v>2.92</v>
      </c>
      <c r="Q46" s="60">
        <v>5.39</v>
      </c>
      <c r="R46" s="194"/>
      <c r="S46" s="194"/>
      <c r="T46" s="194"/>
      <c r="U46" s="194"/>
    </row>
    <row r="47" spans="1:21" s="12" customFormat="1" ht="15">
      <c r="A47" s="197" t="s">
        <v>2683</v>
      </c>
      <c r="B47" s="60">
        <v>6.57</v>
      </c>
      <c r="C47" s="60">
        <v>9.6199999999999992</v>
      </c>
      <c r="D47" s="60">
        <v>16.190000000000001</v>
      </c>
      <c r="E47" s="60">
        <v>6.97</v>
      </c>
      <c r="F47" s="60">
        <v>0.06</v>
      </c>
      <c r="G47" s="214" t="s">
        <v>36</v>
      </c>
      <c r="H47" s="60">
        <v>7.77</v>
      </c>
      <c r="I47" s="60">
        <v>3.69</v>
      </c>
      <c r="J47" s="60">
        <v>0.84</v>
      </c>
      <c r="K47" s="60">
        <v>159.35</v>
      </c>
      <c r="L47" s="60">
        <v>44</v>
      </c>
      <c r="M47" s="60">
        <v>82.59</v>
      </c>
      <c r="N47" s="60">
        <v>337.30</v>
      </c>
      <c r="O47" s="60">
        <v>0</v>
      </c>
      <c r="P47" s="60">
        <v>2.91</v>
      </c>
      <c r="Q47" s="60">
        <v>5.48</v>
      </c>
      <c r="R47" s="194"/>
      <c r="S47" s="194"/>
      <c r="T47" s="194"/>
      <c r="U47" s="194"/>
    </row>
    <row r="48" spans="1:21" s="12" customFormat="1" ht="15">
      <c r="A48" s="197" t="s">
        <v>2684</v>
      </c>
      <c r="B48" s="60">
        <v>6.33</v>
      </c>
      <c r="C48" s="60">
        <v>9.5500000000000007</v>
      </c>
      <c r="D48" s="60">
        <v>15.89</v>
      </c>
      <c r="E48" s="60">
        <v>6.78</v>
      </c>
      <c r="F48" s="60">
        <v>0.19</v>
      </c>
      <c r="G48" s="214" t="s">
        <v>36</v>
      </c>
      <c r="H48" s="60">
        <v>7.77</v>
      </c>
      <c r="I48" s="60">
        <v>3.63</v>
      </c>
      <c r="J48" s="60">
        <v>0.59</v>
      </c>
      <c r="K48" s="60">
        <v>168.08</v>
      </c>
      <c r="L48" s="60">
        <v>44.57</v>
      </c>
      <c r="M48" s="60">
        <v>81.97</v>
      </c>
      <c r="N48" s="60">
        <v>410.90</v>
      </c>
      <c r="O48" s="60">
        <v>0</v>
      </c>
      <c r="P48" s="60">
        <v>2.90</v>
      </c>
      <c r="Q48" s="60">
        <v>6.82</v>
      </c>
      <c r="R48" s="194"/>
      <c r="S48" s="194"/>
      <c r="T48" s="194"/>
      <c r="U48" s="194"/>
    </row>
    <row r="49" spans="1:21" s="12" customFormat="1" ht="15">
      <c r="A49" s="197" t="s">
        <v>2685</v>
      </c>
      <c r="B49" s="60">
        <v>5.90</v>
      </c>
      <c r="C49" s="60">
        <v>9.57</v>
      </c>
      <c r="D49" s="60">
        <v>15.47</v>
      </c>
      <c r="E49" s="60">
        <v>6.70</v>
      </c>
      <c r="F49" s="60">
        <v>0.28999999999999998</v>
      </c>
      <c r="G49" s="214" t="s">
        <v>36</v>
      </c>
      <c r="H49" s="60">
        <v>8.09</v>
      </c>
      <c r="I49" s="60">
        <v>3.62</v>
      </c>
      <c r="J49" s="60">
        <v>0.69</v>
      </c>
      <c r="K49" s="60">
        <v>174.67</v>
      </c>
      <c r="L49" s="60">
        <v>38.78</v>
      </c>
      <c r="M49" s="60">
        <v>80.33</v>
      </c>
      <c r="N49" s="60">
        <v>524.90</v>
      </c>
      <c r="O49" s="60">
        <v>0</v>
      </c>
      <c r="P49" s="60">
        <v>2.91</v>
      </c>
      <c r="Q49" s="60">
        <v>7.74</v>
      </c>
      <c r="R49" s="194"/>
      <c r="S49" s="194"/>
      <c r="T49" s="194"/>
      <c r="U49" s="194"/>
    </row>
    <row r="50" spans="1:21" s="12" customFormat="1" ht="15">
      <c r="A50" s="197" t="s">
        <v>2686</v>
      </c>
      <c r="B50" s="60">
        <v>5.31</v>
      </c>
      <c r="C50" s="60">
        <v>9.75</v>
      </c>
      <c r="D50" s="60">
        <v>15.06</v>
      </c>
      <c r="E50" s="60">
        <v>6.29</v>
      </c>
      <c r="F50" s="60">
        <v>0.27</v>
      </c>
      <c r="G50" s="214" t="s">
        <v>36</v>
      </c>
      <c r="H50" s="60">
        <v>8.90</v>
      </c>
      <c r="I50" s="60">
        <v>3.61</v>
      </c>
      <c r="J50" s="60">
        <v>0.68</v>
      </c>
      <c r="K50" s="60">
        <v>169.64</v>
      </c>
      <c r="L50" s="60">
        <v>38.25</v>
      </c>
      <c r="M50" s="60">
        <v>79.099999999999994</v>
      </c>
      <c r="N50" s="60">
        <v>579.20000000000005</v>
      </c>
      <c r="O50" s="60">
        <v>0</v>
      </c>
      <c r="P50" s="60">
        <v>2.90</v>
      </c>
      <c r="Q50" s="60">
        <v>7.74</v>
      </c>
      <c r="R50" s="194"/>
      <c r="S50" s="194"/>
      <c r="T50" s="194"/>
      <c r="U50" s="194"/>
    </row>
    <row r="51" spans="1:21" s="12" customFormat="1" ht="15">
      <c r="A51" s="197" t="s">
        <v>2687</v>
      </c>
      <c r="B51" s="60">
        <v>4.70</v>
      </c>
      <c r="C51" s="60">
        <v>9.90</v>
      </c>
      <c r="D51" s="60">
        <v>14.59</v>
      </c>
      <c r="E51" s="60">
        <v>6.03</v>
      </c>
      <c r="F51" s="60">
        <v>0.16</v>
      </c>
      <c r="G51" s="214" t="s">
        <v>36</v>
      </c>
      <c r="H51" s="60">
        <v>8.90</v>
      </c>
      <c r="I51" s="60">
        <v>3.52</v>
      </c>
      <c r="J51" s="60">
        <v>0.80</v>
      </c>
      <c r="K51" s="60">
        <v>167.42</v>
      </c>
      <c r="L51" s="60">
        <v>38.14</v>
      </c>
      <c r="M51" s="60">
        <v>79.11</v>
      </c>
      <c r="N51" s="60">
        <v>321.10000000000002</v>
      </c>
      <c r="O51" s="60">
        <v>0</v>
      </c>
      <c r="P51" s="60">
        <v>2.89</v>
      </c>
      <c r="Q51" s="60">
        <v>7.54</v>
      </c>
      <c r="R51" s="194"/>
      <c r="S51" s="194"/>
      <c r="T51" s="194"/>
      <c r="U51" s="194"/>
    </row>
    <row r="52" spans="1:21" s="12" customFormat="1" ht="15">
      <c r="A52" s="197" t="s">
        <v>2688</v>
      </c>
      <c r="B52" s="60">
        <v>4.18</v>
      </c>
      <c r="C52" s="60">
        <v>9.93</v>
      </c>
      <c r="D52" s="60">
        <v>14.11</v>
      </c>
      <c r="E52" s="60">
        <v>6.59</v>
      </c>
      <c r="F52" s="60">
        <v>0.33</v>
      </c>
      <c r="G52" s="214" t="s">
        <v>36</v>
      </c>
      <c r="H52" s="60">
        <v>8.90</v>
      </c>
      <c r="I52" s="60">
        <v>3.54</v>
      </c>
      <c r="J52" s="60">
        <v>1.03</v>
      </c>
      <c r="K52" s="60">
        <v>162.19</v>
      </c>
      <c r="L52" s="60">
        <v>37.94</v>
      </c>
      <c r="M52" s="60">
        <v>79.010000000000005</v>
      </c>
      <c r="N52" s="60">
        <v>534.20000000000005</v>
      </c>
      <c r="O52" s="60">
        <v>0</v>
      </c>
      <c r="P52" s="60">
        <v>2.89</v>
      </c>
      <c r="Q52" s="60">
        <v>7.39</v>
      </c>
      <c r="R52" s="194"/>
      <c r="S52" s="194"/>
      <c r="T52" s="194"/>
      <c r="U52" s="194"/>
    </row>
    <row r="53" spans="1:21" s="12" customFormat="1" ht="15">
      <c r="A53" s="197" t="s">
        <v>2689</v>
      </c>
      <c r="B53" s="60">
        <v>3.86</v>
      </c>
      <c r="C53" s="60">
        <v>10.11</v>
      </c>
      <c r="D53" s="60">
        <v>13.97</v>
      </c>
      <c r="E53" s="60">
        <v>6.38</v>
      </c>
      <c r="F53" s="60">
        <v>0.14000000000000001</v>
      </c>
      <c r="G53" s="214" t="s">
        <v>36</v>
      </c>
      <c r="H53" s="60">
        <v>8.26</v>
      </c>
      <c r="I53" s="60">
        <v>3.49</v>
      </c>
      <c r="J53" s="60">
        <v>1.40</v>
      </c>
      <c r="K53" s="60">
        <v>159.5</v>
      </c>
      <c r="L53" s="60">
        <v>38.29</v>
      </c>
      <c r="M53" s="60">
        <v>77.989999999999995</v>
      </c>
      <c r="N53" s="60">
        <v>537</v>
      </c>
      <c r="O53" s="60">
        <v>0</v>
      </c>
      <c r="P53" s="60">
        <v>2.89</v>
      </c>
      <c r="Q53" s="60">
        <v>7.40</v>
      </c>
      <c r="R53" s="194"/>
      <c r="S53" s="194"/>
      <c r="T53" s="194"/>
      <c r="U53" s="194"/>
    </row>
    <row r="54" spans="1:21" s="12" customFormat="1" ht="15">
      <c r="A54" s="197" t="s">
        <v>2690</v>
      </c>
      <c r="B54" s="60">
        <v>3.48</v>
      </c>
      <c r="C54" s="60">
        <v>10.32</v>
      </c>
      <c r="D54" s="60">
        <v>13.80</v>
      </c>
      <c r="E54" s="60">
        <v>6.16</v>
      </c>
      <c r="F54" s="60">
        <v>0.30</v>
      </c>
      <c r="G54" s="214" t="s">
        <v>36</v>
      </c>
      <c r="H54" s="60">
        <v>6.66</v>
      </c>
      <c r="I54" s="60">
        <v>3.43</v>
      </c>
      <c r="J54" s="60">
        <v>1.78</v>
      </c>
      <c r="K54" s="60">
        <v>157.99</v>
      </c>
      <c r="L54" s="60">
        <v>42.84</v>
      </c>
      <c r="M54" s="60">
        <v>77.44</v>
      </c>
      <c r="N54" s="60">
        <v>502.20</v>
      </c>
      <c r="O54" s="60">
        <v>0</v>
      </c>
      <c r="P54" s="60">
        <v>2.88</v>
      </c>
      <c r="Q54" s="60">
        <v>6.48</v>
      </c>
      <c r="R54" s="194"/>
      <c r="S54" s="194"/>
      <c r="T54" s="194"/>
      <c r="U54" s="194"/>
    </row>
    <row r="55" spans="1:21" s="12" customFormat="1" ht="15">
      <c r="A55" s="197" t="s">
        <v>2691</v>
      </c>
      <c r="B55" s="60">
        <v>3.16</v>
      </c>
      <c r="C55" s="60">
        <v>10.26</v>
      </c>
      <c r="D55" s="60">
        <v>13.42</v>
      </c>
      <c r="E55" s="60">
        <v>6.62</v>
      </c>
      <c r="F55" s="60">
        <v>0.18</v>
      </c>
      <c r="G55" s="214" t="s">
        <v>36</v>
      </c>
      <c r="H55" s="60">
        <v>6.66</v>
      </c>
      <c r="I55" s="60">
        <v>3.36</v>
      </c>
      <c r="J55" s="60">
        <v>0.54</v>
      </c>
      <c r="K55" s="60">
        <v>184.03</v>
      </c>
      <c r="L55" s="60">
        <v>55.04</v>
      </c>
      <c r="M55" s="60">
        <v>76.900000000000006</v>
      </c>
      <c r="N55" s="60">
        <v>329.80</v>
      </c>
      <c r="O55" s="60">
        <v>0</v>
      </c>
      <c r="P55" s="60">
        <v>2.89</v>
      </c>
      <c r="Q55" s="60">
        <v>5.62</v>
      </c>
      <c r="R55" s="194"/>
      <c r="S55" s="194"/>
      <c r="T55" s="194"/>
      <c r="U55" s="194"/>
    </row>
    <row r="56" spans="1:21" s="12" customFormat="1" ht="15">
      <c r="A56" s="197" t="s">
        <v>2692</v>
      </c>
      <c r="B56" s="60">
        <v>2.99</v>
      </c>
      <c r="C56" s="60">
        <v>9.8000000000000007</v>
      </c>
      <c r="D56" s="60">
        <v>12.79</v>
      </c>
      <c r="E56" s="60">
        <v>2.76</v>
      </c>
      <c r="F56" s="60">
        <v>0.33</v>
      </c>
      <c r="G56" s="214" t="s">
        <v>36</v>
      </c>
      <c r="H56" s="60">
        <v>6.66</v>
      </c>
      <c r="I56" s="60">
        <v>3.34</v>
      </c>
      <c r="J56" s="60">
        <v>0.67</v>
      </c>
      <c r="K56" s="60">
        <v>172</v>
      </c>
      <c r="L56" s="10" t="s">
        <v>43</v>
      </c>
      <c r="M56" s="60">
        <v>77.25</v>
      </c>
      <c r="N56" s="60">
        <v>499.10</v>
      </c>
      <c r="O56" s="60">
        <v>0</v>
      </c>
      <c r="P56" s="60">
        <v>2.88</v>
      </c>
      <c r="Q56" s="60">
        <v>4.62</v>
      </c>
      <c r="R56" s="194"/>
      <c r="S56" s="194"/>
      <c r="T56" s="194"/>
      <c r="U56" s="194"/>
    </row>
    <row r="57" spans="1:21" s="12" customFormat="1" ht="15">
      <c r="A57" s="197" t="s">
        <v>2693</v>
      </c>
      <c r="B57" s="60">
        <v>2.84</v>
      </c>
      <c r="C57" s="60">
        <v>10.18</v>
      </c>
      <c r="D57" s="60">
        <v>13.02</v>
      </c>
      <c r="E57" s="60">
        <v>6.32</v>
      </c>
      <c r="F57" s="60">
        <v>0.20</v>
      </c>
      <c r="G57" s="214" t="s">
        <v>36</v>
      </c>
      <c r="H57" s="60">
        <v>6.84</v>
      </c>
      <c r="I57" s="60">
        <v>3.34</v>
      </c>
      <c r="J57" s="60">
        <v>0.35</v>
      </c>
      <c r="K57" s="60">
        <v>188.03</v>
      </c>
      <c r="L57" s="10" t="s">
        <v>43</v>
      </c>
      <c r="M57" s="60">
        <v>73.78</v>
      </c>
      <c r="N57" s="60">
        <v>865</v>
      </c>
      <c r="O57" s="60">
        <v>0</v>
      </c>
      <c r="P57" s="60">
        <v>2.88</v>
      </c>
      <c r="Q57" s="60">
        <v>4.33</v>
      </c>
      <c r="R57" s="194"/>
      <c r="S57" s="194"/>
      <c r="T57" s="194"/>
      <c r="U57" s="194"/>
    </row>
    <row r="58" spans="1:21" s="12" customFormat="1" ht="15">
      <c r="A58" s="197" t="s">
        <v>2694</v>
      </c>
      <c r="B58" s="60">
        <v>2.62</v>
      </c>
      <c r="C58" s="60">
        <v>10.130000000000001</v>
      </c>
      <c r="D58" s="60">
        <v>12.76</v>
      </c>
      <c r="E58" s="60">
        <v>6.62</v>
      </c>
      <c r="F58" s="60">
        <v>0.32</v>
      </c>
      <c r="G58" s="214" t="s">
        <v>36</v>
      </c>
      <c r="H58" s="60">
        <v>7.28</v>
      </c>
      <c r="I58" s="60">
        <v>3.39</v>
      </c>
      <c r="J58" s="60">
        <v>0.99</v>
      </c>
      <c r="K58" s="60">
        <v>159.84</v>
      </c>
      <c r="L58" s="10" t="s">
        <v>43</v>
      </c>
      <c r="M58" s="60">
        <v>72.150000000000006</v>
      </c>
      <c r="N58" s="60">
        <v>787.40</v>
      </c>
      <c r="O58" s="60">
        <v>0</v>
      </c>
      <c r="P58" s="60">
        <v>2.89</v>
      </c>
      <c r="Q58" s="60">
        <v>4.01</v>
      </c>
      <c r="R58" s="194"/>
      <c r="S58" s="194"/>
      <c r="T58" s="194"/>
      <c r="U58" s="194"/>
    </row>
    <row r="59" spans="1:21" s="12" customFormat="1" ht="15">
      <c r="A59" s="197" t="s">
        <v>2695</v>
      </c>
      <c r="B59" s="60">
        <v>2.52</v>
      </c>
      <c r="C59" s="60">
        <v>9.57</v>
      </c>
      <c r="D59" s="60">
        <v>12.09</v>
      </c>
      <c r="E59" s="60">
        <v>6.36</v>
      </c>
      <c r="F59" s="60">
        <v>0.55000000000000004</v>
      </c>
      <c r="G59" s="214" t="s">
        <v>36</v>
      </c>
      <c r="H59" s="60">
        <v>7.28</v>
      </c>
      <c r="I59" s="60">
        <v>3.36</v>
      </c>
      <c r="J59" s="60">
        <v>1.1200000000000001</v>
      </c>
      <c r="K59" s="60">
        <v>152.81</v>
      </c>
      <c r="L59" s="10" t="s">
        <v>43</v>
      </c>
      <c r="M59" s="60">
        <v>72.70</v>
      </c>
      <c r="N59" s="60">
        <v>825.5</v>
      </c>
      <c r="O59" s="60">
        <v>0</v>
      </c>
      <c r="P59" s="60">
        <v>2.88</v>
      </c>
      <c r="Q59" s="60">
        <v>3.67</v>
      </c>
      <c r="R59" s="194"/>
      <c r="S59" s="194"/>
      <c r="T59" s="194"/>
      <c r="U59" s="194"/>
    </row>
    <row r="60" spans="1:21" s="12" customFormat="1" ht="15">
      <c r="A60" s="197" t="s">
        <v>2696</v>
      </c>
      <c r="B60" s="60">
        <v>2.42</v>
      </c>
      <c r="C60" s="60">
        <v>9.61</v>
      </c>
      <c r="D60" s="60">
        <v>12.04</v>
      </c>
      <c r="E60" s="60">
        <v>6.14</v>
      </c>
      <c r="F60" s="60">
        <v>0.44</v>
      </c>
      <c r="G60" s="214" t="s">
        <v>36</v>
      </c>
      <c r="H60" s="60">
        <v>7.28</v>
      </c>
      <c r="I60" s="60">
        <v>3.37</v>
      </c>
      <c r="J60" s="60">
        <v>0.51</v>
      </c>
      <c r="K60" s="60">
        <v>172.25</v>
      </c>
      <c r="L60" s="10" t="s">
        <v>43</v>
      </c>
      <c r="M60" s="60">
        <v>73.02</v>
      </c>
      <c r="N60" s="60">
        <v>647.40</v>
      </c>
      <c r="O60" s="60">
        <v>0</v>
      </c>
      <c r="P60" s="60">
        <v>2.88</v>
      </c>
      <c r="Q60" s="60">
        <v>3.5</v>
      </c>
      <c r="R60" s="194"/>
      <c r="S60" s="194"/>
      <c r="T60" s="194"/>
      <c r="U60" s="194"/>
    </row>
    <row r="61" spans="1:21" s="12" customFormat="1" ht="15">
      <c r="A61" s="197" t="s">
        <v>2697</v>
      </c>
      <c r="B61" s="60">
        <v>2.35</v>
      </c>
      <c r="C61" s="60">
        <v>9.57</v>
      </c>
      <c r="D61" s="60">
        <v>11.93</v>
      </c>
      <c r="E61" s="60">
        <v>6.28</v>
      </c>
      <c r="F61" s="60">
        <v>0.31</v>
      </c>
      <c r="G61" s="214" t="s">
        <v>36</v>
      </c>
      <c r="H61" s="60">
        <v>8.3000000000000007</v>
      </c>
      <c r="I61" s="60">
        <v>3.38</v>
      </c>
      <c r="J61" s="60">
        <v>0.90</v>
      </c>
      <c r="K61" s="60">
        <v>152.61000000000001</v>
      </c>
      <c r="L61" s="10" t="s">
        <v>43</v>
      </c>
      <c r="M61" s="60">
        <v>68.599999999999994</v>
      </c>
      <c r="N61" s="60">
        <v>858.70</v>
      </c>
      <c r="O61" s="60">
        <v>0</v>
      </c>
      <c r="P61" s="60">
        <v>2.88</v>
      </c>
      <c r="Q61" s="60">
        <v>3.48</v>
      </c>
      <c r="R61" s="194"/>
      <c r="S61" s="194"/>
      <c r="T61" s="194"/>
      <c r="U61" s="194"/>
    </row>
    <row r="62" spans="1:21" s="12" customFormat="1" ht="15">
      <c r="A62" s="197" t="s">
        <v>2698</v>
      </c>
      <c r="B62" s="60">
        <v>2.2000000000000002</v>
      </c>
      <c r="C62" s="60">
        <v>9.57</v>
      </c>
      <c r="D62" s="60">
        <v>11.77</v>
      </c>
      <c r="E62" s="60">
        <v>6.11</v>
      </c>
      <c r="F62" s="60">
        <v>0.51</v>
      </c>
      <c r="G62" s="214" t="s">
        <v>36</v>
      </c>
      <c r="H62" s="60">
        <v>10.81</v>
      </c>
      <c r="I62" s="60">
        <v>3.41</v>
      </c>
      <c r="J62" s="60">
        <v>0.28999999999999998</v>
      </c>
      <c r="K62" s="60">
        <v>178.67</v>
      </c>
      <c r="L62" s="60">
        <v>52.19</v>
      </c>
      <c r="M62" s="60">
        <v>70.14</v>
      </c>
      <c r="N62" s="60">
        <v>573.29999999999995</v>
      </c>
      <c r="O62" s="60">
        <v>0</v>
      </c>
      <c r="P62" s="60">
        <v>2.87</v>
      </c>
      <c r="Q62" s="60">
        <v>4</v>
      </c>
      <c r="R62" s="194"/>
      <c r="S62" s="194"/>
      <c r="T62" s="194"/>
      <c r="U62" s="194"/>
    </row>
    <row r="63" spans="1:21" s="12" customFormat="1" ht="15">
      <c r="A63" s="197" t="s">
        <v>2699</v>
      </c>
      <c r="B63" s="60">
        <v>1.92</v>
      </c>
      <c r="C63" s="60">
        <v>9.23</v>
      </c>
      <c r="D63" s="60">
        <v>11.15</v>
      </c>
      <c r="E63" s="60">
        <v>6.20</v>
      </c>
      <c r="F63" s="60">
        <v>0.64</v>
      </c>
      <c r="G63" s="214" t="s">
        <v>36</v>
      </c>
      <c r="H63" s="60">
        <v>10.81</v>
      </c>
      <c r="I63" s="60">
        <v>3.43</v>
      </c>
      <c r="J63" s="60">
        <v>0.45</v>
      </c>
      <c r="K63" s="60">
        <v>170.94</v>
      </c>
      <c r="L63" s="60">
        <v>45.37</v>
      </c>
      <c r="M63" s="60">
        <v>69.88</v>
      </c>
      <c r="N63" s="60">
        <v>694.5</v>
      </c>
      <c r="O63" s="60">
        <v>0</v>
      </c>
      <c r="P63" s="60">
        <v>2.88</v>
      </c>
      <c r="Q63" s="60">
        <v>5.38</v>
      </c>
      <c r="R63" s="194"/>
      <c r="S63" s="194"/>
      <c r="T63" s="194"/>
      <c r="U63" s="194"/>
    </row>
    <row r="64" spans="1:21" s="12" customFormat="1" ht="15">
      <c r="A64" s="197" t="s">
        <v>2700</v>
      </c>
      <c r="B64" s="60">
        <v>1.83</v>
      </c>
      <c r="C64" s="60">
        <v>9.39</v>
      </c>
      <c r="D64" s="60">
        <v>11.22</v>
      </c>
      <c r="E64" s="60">
        <v>6.19</v>
      </c>
      <c r="F64" s="60">
        <v>0.56000000000000005</v>
      </c>
      <c r="G64" s="214" t="s">
        <v>36</v>
      </c>
      <c r="H64" s="60">
        <v>10.81</v>
      </c>
      <c r="I64" s="60">
        <v>3.37</v>
      </c>
      <c r="J64" s="60">
        <v>1.1100000000000001</v>
      </c>
      <c r="K64" s="60">
        <v>153.60</v>
      </c>
      <c r="L64" s="60">
        <v>53.22</v>
      </c>
      <c r="M64" s="60">
        <v>68.20</v>
      </c>
      <c r="N64" s="60">
        <v>619.79999999999995</v>
      </c>
      <c r="O64" s="60">
        <v>0</v>
      </c>
      <c r="P64" s="60">
        <v>2.87</v>
      </c>
      <c r="Q64" s="60">
        <v>5.91</v>
      </c>
      <c r="R64" s="194"/>
      <c r="S64" s="194"/>
      <c r="T64" s="194"/>
      <c r="U64" s="194"/>
    </row>
    <row r="65" spans="1:21" s="12" customFormat="1" ht="15">
      <c r="A65" s="197" t="s">
        <v>2701</v>
      </c>
      <c r="B65" s="60">
        <v>1.67</v>
      </c>
      <c r="C65" s="60">
        <v>9.31</v>
      </c>
      <c r="D65" s="60">
        <v>10.98</v>
      </c>
      <c r="E65" s="60">
        <v>6.33</v>
      </c>
      <c r="F65" s="60">
        <v>0.54</v>
      </c>
      <c r="G65" s="214" t="s">
        <v>36</v>
      </c>
      <c r="H65" s="60">
        <v>9.9700000000000006</v>
      </c>
      <c r="I65" s="60">
        <v>3.27</v>
      </c>
      <c r="J65" s="60">
        <v>0.52</v>
      </c>
      <c r="K65" s="60">
        <v>169.28</v>
      </c>
      <c r="L65" s="60">
        <v>49.45</v>
      </c>
      <c r="M65" s="60">
        <v>65.760000000000005</v>
      </c>
      <c r="N65" s="60">
        <v>762.70</v>
      </c>
      <c r="O65" s="60">
        <v>0</v>
      </c>
      <c r="P65" s="60">
        <v>2.88</v>
      </c>
      <c r="Q65" s="60">
        <v>6.35</v>
      </c>
      <c r="R65" s="194"/>
      <c r="S65" s="194"/>
      <c r="T65" s="194"/>
      <c r="U65" s="194"/>
    </row>
    <row r="66" spans="1:21" s="12" customFormat="1" ht="15">
      <c r="A66" s="197" t="s">
        <v>2702</v>
      </c>
      <c r="B66" s="60">
        <v>1.56</v>
      </c>
      <c r="C66" s="60">
        <v>9.0399999999999991</v>
      </c>
      <c r="D66" s="60">
        <v>10.60</v>
      </c>
      <c r="E66" s="60">
        <v>5.98</v>
      </c>
      <c r="F66" s="60">
        <v>0.62</v>
      </c>
      <c r="G66" s="214" t="s">
        <v>36</v>
      </c>
      <c r="H66" s="60">
        <v>7.91</v>
      </c>
      <c r="I66" s="60">
        <v>3.27</v>
      </c>
      <c r="J66" s="60">
        <v>0.54</v>
      </c>
      <c r="K66" s="60">
        <v>153.28</v>
      </c>
      <c r="L66" s="60">
        <v>48.40</v>
      </c>
      <c r="M66" s="60">
        <v>64.81</v>
      </c>
      <c r="N66" s="60">
        <v>656.20</v>
      </c>
      <c r="O66" s="60">
        <v>0</v>
      </c>
      <c r="P66" s="60">
        <v>2.87</v>
      </c>
      <c r="Q66" s="60">
        <v>6.16</v>
      </c>
      <c r="R66" s="194"/>
      <c r="S66" s="194"/>
      <c r="T66" s="194"/>
      <c r="U66" s="194"/>
    </row>
    <row r="67" spans="1:21" s="12" customFormat="1" ht="15">
      <c r="A67" s="197" t="s">
        <v>2703</v>
      </c>
      <c r="B67" s="60">
        <v>1.67</v>
      </c>
      <c r="C67" s="60">
        <v>9.2899999999999991</v>
      </c>
      <c r="D67" s="60">
        <v>10.97</v>
      </c>
      <c r="E67" s="60">
        <v>6.10</v>
      </c>
      <c r="F67" s="60">
        <v>0.43</v>
      </c>
      <c r="G67" s="214" t="s">
        <v>36</v>
      </c>
      <c r="H67" s="60">
        <v>7.91</v>
      </c>
      <c r="I67" s="60">
        <v>3.21</v>
      </c>
      <c r="J67" s="60">
        <v>1.1200000000000001</v>
      </c>
      <c r="K67" s="60">
        <v>168.70</v>
      </c>
      <c r="L67" s="60">
        <v>51.67</v>
      </c>
      <c r="M67" s="60">
        <v>67.760000000000005</v>
      </c>
      <c r="N67" s="60">
        <v>332.80</v>
      </c>
      <c r="O67" s="60">
        <v>0</v>
      </c>
      <c r="P67" s="60">
        <v>2.86</v>
      </c>
      <c r="Q67" s="60">
        <v>6.15</v>
      </c>
      <c r="R67" s="194"/>
      <c r="S67" s="194"/>
      <c r="T67" s="194"/>
      <c r="U67" s="194"/>
    </row>
    <row r="68" spans="1:21" s="12" customFormat="1" ht="15">
      <c r="A68" s="197" t="s">
        <v>2704</v>
      </c>
      <c r="B68" s="60">
        <v>1.73</v>
      </c>
      <c r="C68" s="60">
        <v>9.35</v>
      </c>
      <c r="D68" s="60">
        <v>11.08</v>
      </c>
      <c r="E68" s="60">
        <v>6.04</v>
      </c>
      <c r="F68" s="60">
        <v>0.55000000000000004</v>
      </c>
      <c r="G68" s="214" t="s">
        <v>36</v>
      </c>
      <c r="H68" s="60">
        <v>7.91</v>
      </c>
      <c r="I68" s="60">
        <v>3.21</v>
      </c>
      <c r="J68" s="60">
        <v>1.38</v>
      </c>
      <c r="K68" s="60">
        <v>156.56</v>
      </c>
      <c r="L68" s="10" t="s">
        <v>43</v>
      </c>
      <c r="M68" s="60">
        <v>69.13</v>
      </c>
      <c r="N68" s="60">
        <v>327.30</v>
      </c>
      <c r="O68" s="60">
        <v>0</v>
      </c>
      <c r="P68" s="60">
        <v>2.86</v>
      </c>
      <c r="Q68" s="60">
        <v>6.20</v>
      </c>
      <c r="R68" s="194"/>
      <c r="S68" s="194"/>
      <c r="T68" s="194"/>
      <c r="U68" s="194"/>
    </row>
    <row r="69" spans="1:21" s="12" customFormat="1" ht="15">
      <c r="A69" s="197" t="s">
        <v>2705</v>
      </c>
      <c r="B69" s="60">
        <v>1.88</v>
      </c>
      <c r="C69" s="60">
        <v>9.35</v>
      </c>
      <c r="D69" s="60">
        <v>11.23</v>
      </c>
      <c r="E69" s="60">
        <v>5.91</v>
      </c>
      <c r="F69" s="60">
        <v>0.41</v>
      </c>
      <c r="G69" s="214" t="s">
        <v>36</v>
      </c>
      <c r="H69" s="60">
        <v>8.2799999999999994</v>
      </c>
      <c r="I69" s="60">
        <v>3.14</v>
      </c>
      <c r="J69" s="60">
        <v>1.45</v>
      </c>
      <c r="K69" s="60">
        <v>157.49</v>
      </c>
      <c r="L69" s="60">
        <v>54.70</v>
      </c>
      <c r="M69" s="60">
        <v>67.37</v>
      </c>
      <c r="N69" s="60">
        <v>284.89999999999998</v>
      </c>
      <c r="O69" s="60">
        <v>0</v>
      </c>
      <c r="P69" s="60">
        <v>2.86</v>
      </c>
      <c r="Q69" s="60">
        <v>5.25</v>
      </c>
      <c r="R69" s="194"/>
      <c r="S69" s="194"/>
      <c r="T69" s="194"/>
      <c r="U69" s="194"/>
    </row>
    <row r="70" spans="1:21" s="12" customFormat="1" ht="15">
      <c r="A70" s="197" t="s">
        <v>2706</v>
      </c>
      <c r="B70" s="60">
        <v>2</v>
      </c>
      <c r="C70" s="60">
        <v>9.56</v>
      </c>
      <c r="D70" s="60">
        <v>11.56</v>
      </c>
      <c r="E70" s="60">
        <v>5.56</v>
      </c>
      <c r="F70" s="60">
        <v>0.51</v>
      </c>
      <c r="G70" s="214" t="s">
        <v>36</v>
      </c>
      <c r="H70" s="60">
        <v>9.1999999999999993</v>
      </c>
      <c r="I70" s="60">
        <v>3.14</v>
      </c>
      <c r="J70" s="60">
        <v>0.91</v>
      </c>
      <c r="K70" s="60">
        <v>164.11</v>
      </c>
      <c r="L70" s="60">
        <v>54.15</v>
      </c>
      <c r="M70" s="60">
        <v>64.959999999999994</v>
      </c>
      <c r="N70" s="60">
        <v>620.40</v>
      </c>
      <c r="O70" s="60">
        <v>0</v>
      </c>
      <c r="P70" s="60">
        <v>2.86</v>
      </c>
      <c r="Q70" s="60">
        <v>4.4000000000000004</v>
      </c>
      <c r="R70" s="194"/>
      <c r="S70" s="194"/>
      <c r="T70" s="194"/>
      <c r="U70" s="194"/>
    </row>
    <row r="71" spans="1:21" s="12" customFormat="1" ht="15">
      <c r="A71" s="197" t="s">
        <v>2707</v>
      </c>
      <c r="B71" s="60">
        <v>2.06</v>
      </c>
      <c r="C71" s="60">
        <v>9.73</v>
      </c>
      <c r="D71" s="60">
        <v>11.79</v>
      </c>
      <c r="E71" s="60">
        <v>5.74</v>
      </c>
      <c r="F71" s="60">
        <v>0.22</v>
      </c>
      <c r="G71" s="214" t="s">
        <v>36</v>
      </c>
      <c r="H71" s="60">
        <v>9.1999999999999993</v>
      </c>
      <c r="I71" s="60">
        <v>3.16</v>
      </c>
      <c r="J71" s="60">
        <v>0.83</v>
      </c>
      <c r="K71" s="60">
        <v>168.24</v>
      </c>
      <c r="L71" s="10" t="s">
        <v>43</v>
      </c>
      <c r="M71" s="60">
        <v>62.48</v>
      </c>
      <c r="N71" s="60">
        <v>702.80</v>
      </c>
      <c r="O71" s="60">
        <v>0</v>
      </c>
      <c r="P71" s="60">
        <v>2.87</v>
      </c>
      <c r="Q71" s="60">
        <v>3.99</v>
      </c>
      <c r="R71" s="194"/>
      <c r="S71" s="194"/>
      <c r="T71" s="194"/>
      <c r="U71" s="194"/>
    </row>
    <row r="72" spans="1:21" s="12" customFormat="1" ht="15">
      <c r="A72" s="197" t="s">
        <v>2708</v>
      </c>
      <c r="B72" s="60">
        <v>2.06</v>
      </c>
      <c r="C72" s="60">
        <v>9.27</v>
      </c>
      <c r="D72" s="60">
        <v>11.32</v>
      </c>
      <c r="E72" s="60">
        <v>2.63</v>
      </c>
      <c r="F72" s="60">
        <v>1.1100000000000001</v>
      </c>
      <c r="G72" s="214" t="s">
        <v>36</v>
      </c>
      <c r="H72" s="60">
        <v>9.1999999999999993</v>
      </c>
      <c r="I72" s="60">
        <v>3.17</v>
      </c>
      <c r="J72" s="60">
        <v>0.30</v>
      </c>
      <c r="K72" s="60">
        <v>193.75</v>
      </c>
      <c r="L72" s="10" t="s">
        <v>43</v>
      </c>
      <c r="M72" s="60">
        <v>62.24</v>
      </c>
      <c r="N72" s="60">
        <v>625.70000000000005</v>
      </c>
      <c r="O72" s="60">
        <v>0</v>
      </c>
      <c r="P72" s="60">
        <v>2.86</v>
      </c>
      <c r="Q72" s="60">
        <v>3.52</v>
      </c>
      <c r="R72" s="194"/>
      <c r="S72" s="194"/>
      <c r="T72" s="194"/>
      <c r="U72" s="194"/>
    </row>
    <row r="73" spans="1:21" s="12" customFormat="1" ht="15">
      <c r="A73" s="197" t="s">
        <v>2709</v>
      </c>
      <c r="B73" s="60">
        <v>1.99</v>
      </c>
      <c r="C73" s="60">
        <v>9.27</v>
      </c>
      <c r="D73" s="60">
        <v>11.26</v>
      </c>
      <c r="E73" s="60">
        <v>5.22</v>
      </c>
      <c r="F73" s="60">
        <v>0.76</v>
      </c>
      <c r="G73" s="214" t="s">
        <v>36</v>
      </c>
      <c r="H73" s="60">
        <v>8.5299999999999994</v>
      </c>
      <c r="I73" s="60">
        <v>3.13</v>
      </c>
      <c r="J73" s="60">
        <v>0.42</v>
      </c>
      <c r="K73" s="60">
        <v>224.5</v>
      </c>
      <c r="L73" s="10" t="s">
        <v>43</v>
      </c>
      <c r="M73" s="60">
        <v>65.680000000000007</v>
      </c>
      <c r="N73" s="60">
        <v>232.80</v>
      </c>
      <c r="O73" s="60">
        <v>0</v>
      </c>
      <c r="P73" s="60">
        <v>2.86</v>
      </c>
      <c r="Q73" s="60">
        <v>3.28</v>
      </c>
      <c r="R73" s="194"/>
      <c r="S73" s="194"/>
      <c r="T73" s="194"/>
      <c r="U73" s="194"/>
    </row>
    <row r="74" spans="1:21" s="12" customFormat="1" ht="15">
      <c r="A74" s="197" t="s">
        <v>2710</v>
      </c>
      <c r="B74" s="60">
        <v>1.85</v>
      </c>
      <c r="C74" s="60">
        <v>10.01</v>
      </c>
      <c r="D74" s="60">
        <v>11.86</v>
      </c>
      <c r="E74" s="60">
        <v>5.29</v>
      </c>
      <c r="F74" s="60">
        <v>0.27</v>
      </c>
      <c r="G74" s="214" t="s">
        <v>36</v>
      </c>
      <c r="H74" s="60">
        <v>6.89</v>
      </c>
      <c r="I74" s="60">
        <v>3.23</v>
      </c>
      <c r="J74" s="60">
        <v>0.26</v>
      </c>
      <c r="K74" s="60">
        <v>194.47</v>
      </c>
      <c r="L74" s="10" t="s">
        <v>43</v>
      </c>
      <c r="M74" s="60">
        <v>68.61</v>
      </c>
      <c r="N74" s="60">
        <v>186.70</v>
      </c>
      <c r="O74" s="60">
        <v>0</v>
      </c>
      <c r="P74" s="60">
        <v>2.87</v>
      </c>
      <c r="Q74" s="60">
        <v>3.37</v>
      </c>
      <c r="R74" s="194"/>
      <c r="S74" s="194"/>
      <c r="T74" s="194"/>
      <c r="U74" s="194"/>
    </row>
    <row r="75" spans="1:21" s="12" customFormat="1" ht="15">
      <c r="A75" s="197" t="s">
        <v>2711</v>
      </c>
      <c r="B75" s="60">
        <v>1.78</v>
      </c>
      <c r="C75" s="60">
        <v>9.3800000000000008</v>
      </c>
      <c r="D75" s="60">
        <v>11.16</v>
      </c>
      <c r="E75" s="60">
        <v>5.35</v>
      </c>
      <c r="F75" s="60">
        <v>0.23</v>
      </c>
      <c r="G75" s="214" t="s">
        <v>36</v>
      </c>
      <c r="H75" s="60">
        <v>6.89</v>
      </c>
      <c r="I75" s="60">
        <v>3.23</v>
      </c>
      <c r="J75" s="60">
        <v>0.59</v>
      </c>
      <c r="K75" s="60">
        <v>181.58</v>
      </c>
      <c r="L75" s="10" t="s">
        <v>43</v>
      </c>
      <c r="M75" s="60">
        <v>69.709999999999994</v>
      </c>
      <c r="N75" s="60">
        <v>145.5</v>
      </c>
      <c r="O75" s="60">
        <v>0</v>
      </c>
      <c r="P75" s="60">
        <v>2.86</v>
      </c>
      <c r="Q75" s="60">
        <v>3.13</v>
      </c>
      <c r="R75" s="194"/>
      <c r="S75" s="194"/>
      <c r="T75" s="194"/>
      <c r="U75" s="194"/>
    </row>
    <row r="76" spans="1:21" s="12" customFormat="1" ht="15">
      <c r="A76" s="197" t="s">
        <v>2712</v>
      </c>
      <c r="B76" s="60">
        <v>1.88</v>
      </c>
      <c r="C76" s="60">
        <v>9.8000000000000007</v>
      </c>
      <c r="D76" s="60">
        <v>11.68</v>
      </c>
      <c r="E76" s="60">
        <v>5.49</v>
      </c>
      <c r="F76" s="60">
        <v>0.25</v>
      </c>
      <c r="G76" s="214" t="s">
        <v>36</v>
      </c>
      <c r="H76" s="60">
        <v>6.89</v>
      </c>
      <c r="I76" s="60">
        <v>3.24</v>
      </c>
      <c r="J76" s="60">
        <v>0.51</v>
      </c>
      <c r="K76" s="60">
        <v>186.27</v>
      </c>
      <c r="L76" s="10" t="s">
        <v>43</v>
      </c>
      <c r="M76" s="60">
        <v>72.13</v>
      </c>
      <c r="N76" s="60">
        <v>82.60</v>
      </c>
      <c r="O76" s="60">
        <v>0</v>
      </c>
      <c r="P76" s="60">
        <v>2.87</v>
      </c>
      <c r="Q76" s="60">
        <v>3.51</v>
      </c>
      <c r="R76" s="194"/>
      <c r="S76" s="194"/>
      <c r="T76" s="194"/>
      <c r="U76" s="194"/>
    </row>
    <row r="77" spans="1:21" s="12" customFormat="1" ht="15">
      <c r="A77" s="197" t="s">
        <v>2713</v>
      </c>
      <c r="B77" s="60">
        <v>1.99</v>
      </c>
      <c r="C77" s="60">
        <v>9.61</v>
      </c>
      <c r="D77" s="60">
        <v>11.60</v>
      </c>
      <c r="E77" s="60">
        <v>5.18</v>
      </c>
      <c r="F77" s="60">
        <v>0.60</v>
      </c>
      <c r="G77" s="214" t="s">
        <v>36</v>
      </c>
      <c r="H77" s="60">
        <v>6.53</v>
      </c>
      <c r="I77" s="60">
        <v>3.20</v>
      </c>
      <c r="J77" s="60">
        <v>0.070000000000000007</v>
      </c>
      <c r="K77" s="60">
        <v>73.41</v>
      </c>
      <c r="L77" s="10" t="s">
        <v>43</v>
      </c>
      <c r="M77" s="60">
        <v>75.959999999999994</v>
      </c>
      <c r="N77" s="60">
        <v>92.40</v>
      </c>
      <c r="O77" s="60">
        <v>0</v>
      </c>
      <c r="P77" s="60">
        <v>2.87</v>
      </c>
      <c r="Q77" s="60">
        <v>4.8600000000000003</v>
      </c>
      <c r="R77" s="194"/>
      <c r="S77" s="194"/>
      <c r="T77" s="194"/>
      <c r="U77" s="194"/>
    </row>
    <row r="78" spans="1:21" s="12" customFormat="1" ht="15">
      <c r="A78" s="197" t="s">
        <v>2714</v>
      </c>
      <c r="B78" s="60">
        <v>2.88</v>
      </c>
      <c r="C78" s="60">
        <v>10.57</v>
      </c>
      <c r="D78" s="60">
        <v>13.45</v>
      </c>
      <c r="E78" s="60">
        <v>5.47</v>
      </c>
      <c r="F78" s="60">
        <v>0.38</v>
      </c>
      <c r="G78" s="214" t="s">
        <v>36</v>
      </c>
      <c r="H78" s="60">
        <v>5.63</v>
      </c>
      <c r="I78" s="60">
        <v>3.21</v>
      </c>
      <c r="J78" s="60">
        <v>0.070000000000000007</v>
      </c>
      <c r="K78" s="60">
        <v>357.39</v>
      </c>
      <c r="L78" s="10" t="s">
        <v>43</v>
      </c>
      <c r="M78" s="60">
        <v>76</v>
      </c>
      <c r="N78" s="60">
        <v>78.30</v>
      </c>
      <c r="O78" s="60">
        <v>0</v>
      </c>
      <c r="P78" s="60">
        <v>2.90</v>
      </c>
      <c r="Q78" s="60">
        <v>5.91</v>
      </c>
      <c r="R78" s="194"/>
      <c r="S78" s="194"/>
      <c r="T78" s="194"/>
      <c r="U78" s="194"/>
    </row>
    <row r="79" spans="1:21" s="12" customFormat="1" ht="15">
      <c r="A79" s="197" t="s">
        <v>2715</v>
      </c>
      <c r="B79" s="60">
        <v>3.84</v>
      </c>
      <c r="C79" s="60">
        <v>11.47</v>
      </c>
      <c r="D79" s="60">
        <v>15.31</v>
      </c>
      <c r="E79" s="60">
        <v>4.70</v>
      </c>
      <c r="F79" s="60">
        <v>0.35</v>
      </c>
      <c r="G79" s="214" t="s">
        <v>36</v>
      </c>
      <c r="H79" s="60">
        <v>5.63</v>
      </c>
      <c r="I79" s="60">
        <v>3.17</v>
      </c>
      <c r="J79" s="60">
        <v>0.22</v>
      </c>
      <c r="K79" s="60">
        <v>17.510000000000002</v>
      </c>
      <c r="L79" s="10" t="s">
        <v>43</v>
      </c>
      <c r="M79" s="60">
        <v>75.16</v>
      </c>
      <c r="N79" s="60">
        <v>66.400000000000006</v>
      </c>
      <c r="O79" s="60">
        <v>0</v>
      </c>
      <c r="P79" s="60">
        <v>2.93</v>
      </c>
      <c r="Q79" s="60">
        <v>6.92</v>
      </c>
      <c r="R79" s="194"/>
      <c r="S79" s="194"/>
      <c r="T79" s="194"/>
      <c r="U79" s="194"/>
    </row>
    <row r="80" spans="1:21" s="12" customFormat="1" ht="15">
      <c r="A80" s="197" t="s">
        <v>2716</v>
      </c>
      <c r="B80" s="60">
        <v>3.93</v>
      </c>
      <c r="C80" s="60">
        <v>12.33</v>
      </c>
      <c r="D80" s="60">
        <v>16.260000000000002</v>
      </c>
      <c r="E80" s="60">
        <v>4.67</v>
      </c>
      <c r="F80" s="60">
        <v>0.34</v>
      </c>
      <c r="G80" s="214" t="s">
        <v>36</v>
      </c>
      <c r="H80" s="60">
        <v>5.63</v>
      </c>
      <c r="I80" s="60">
        <v>3.22</v>
      </c>
      <c r="J80" s="60">
        <v>0.08</v>
      </c>
      <c r="K80" s="60">
        <v>232.12</v>
      </c>
      <c r="L80" s="10" t="s">
        <v>43</v>
      </c>
      <c r="M80" s="60">
        <v>77.30</v>
      </c>
      <c r="N80" s="60">
        <v>55.5</v>
      </c>
      <c r="O80" s="60">
        <v>0</v>
      </c>
      <c r="P80" s="60">
        <v>2.95</v>
      </c>
      <c r="Q80" s="60">
        <v>6.80</v>
      </c>
      <c r="R80" s="194"/>
      <c r="S80" s="194"/>
      <c r="T80" s="194"/>
      <c r="U80" s="194"/>
    </row>
    <row r="81" spans="1:21" s="12" customFormat="1" ht="15">
      <c r="A81" s="197" t="s">
        <v>2717</v>
      </c>
      <c r="B81" s="60">
        <v>3.49</v>
      </c>
      <c r="C81" s="60">
        <v>12.58</v>
      </c>
      <c r="D81" s="60">
        <v>16.07</v>
      </c>
      <c r="E81" s="60">
        <v>4.54</v>
      </c>
      <c r="F81" s="60">
        <v>0.25</v>
      </c>
      <c r="G81" s="214" t="s">
        <v>36</v>
      </c>
      <c r="H81" s="60">
        <v>5.26</v>
      </c>
      <c r="I81" s="60">
        <v>3.25</v>
      </c>
      <c r="J81" s="60">
        <v>0.14000000000000001</v>
      </c>
      <c r="K81" s="60">
        <v>205.97</v>
      </c>
      <c r="L81" s="10" t="s">
        <v>43</v>
      </c>
      <c r="M81" s="60">
        <v>78.459999999999994</v>
      </c>
      <c r="N81" s="60">
        <v>44.90</v>
      </c>
      <c r="O81" s="60">
        <v>0</v>
      </c>
      <c r="P81" s="60">
        <v>2.95</v>
      </c>
      <c r="Q81" s="60">
        <v>6.60</v>
      </c>
      <c r="R81" s="194"/>
      <c r="S81" s="194"/>
      <c r="T81" s="194"/>
      <c r="U81" s="194"/>
    </row>
    <row r="82" spans="1:21" s="12" customFormat="1" ht="15">
      <c r="A82" s="197" t="s">
        <v>2718</v>
      </c>
      <c r="B82" s="60">
        <v>3.35</v>
      </c>
      <c r="C82" s="60">
        <v>12.68</v>
      </c>
      <c r="D82" s="60">
        <v>16.03</v>
      </c>
      <c r="E82" s="60">
        <v>4.8499999999999996</v>
      </c>
      <c r="F82" s="60">
        <v>0.070000000000000007</v>
      </c>
      <c r="G82" s="214" t="s">
        <v>36</v>
      </c>
      <c r="H82" s="60">
        <v>4.33</v>
      </c>
      <c r="I82" s="60">
        <v>3.27</v>
      </c>
      <c r="J82" s="60">
        <v>0.10</v>
      </c>
      <c r="K82" s="60">
        <v>195.87</v>
      </c>
      <c r="L82" s="10" t="s">
        <v>43</v>
      </c>
      <c r="M82" s="60">
        <v>78.03</v>
      </c>
      <c r="N82" s="60">
        <v>31.70</v>
      </c>
      <c r="O82" s="60">
        <v>0</v>
      </c>
      <c r="P82" s="60">
        <v>2.97</v>
      </c>
      <c r="Q82" s="60">
        <v>6.51</v>
      </c>
      <c r="R82" s="194"/>
      <c r="S82" s="194"/>
      <c r="T82" s="194"/>
      <c r="U82" s="194"/>
    </row>
    <row r="83" spans="1:21" s="12" customFormat="1" ht="15">
      <c r="A83" s="197" t="s">
        <v>2719</v>
      </c>
      <c r="B83" s="60">
        <v>3.49</v>
      </c>
      <c r="C83" s="60">
        <v>12.37</v>
      </c>
      <c r="D83" s="60">
        <v>15.86</v>
      </c>
      <c r="E83" s="60">
        <v>4.3499999999999996</v>
      </c>
      <c r="F83" s="60">
        <v>0.39</v>
      </c>
      <c r="G83" s="214" t="s">
        <v>36</v>
      </c>
      <c r="H83" s="60">
        <v>4.33</v>
      </c>
      <c r="I83" s="60">
        <v>3.29</v>
      </c>
      <c r="J83" s="60">
        <v>0.04</v>
      </c>
      <c r="K83" s="60">
        <v>246.04</v>
      </c>
      <c r="L83" s="60">
        <v>37.97</v>
      </c>
      <c r="M83" s="60">
        <v>78.48</v>
      </c>
      <c r="N83" s="60">
        <v>19.80</v>
      </c>
      <c r="O83" s="60">
        <v>0</v>
      </c>
      <c r="P83" s="60">
        <v>2.98</v>
      </c>
      <c r="Q83" s="60">
        <v>5.60</v>
      </c>
      <c r="R83" s="194"/>
      <c r="S83" s="194"/>
      <c r="T83" s="194"/>
      <c r="U83" s="194"/>
    </row>
    <row r="84" spans="1:21" s="12" customFormat="1" ht="15">
      <c r="A84" s="197" t="s">
        <v>2720</v>
      </c>
      <c r="B84" s="60">
        <v>4</v>
      </c>
      <c r="C84" s="60">
        <v>12.79</v>
      </c>
      <c r="D84" s="60">
        <v>16.79</v>
      </c>
      <c r="E84" s="60">
        <v>4.18</v>
      </c>
      <c r="F84" s="60">
        <v>0.15</v>
      </c>
      <c r="G84" s="214" t="s">
        <v>36</v>
      </c>
      <c r="H84" s="60">
        <v>4.33</v>
      </c>
      <c r="I84" s="60">
        <v>3.38</v>
      </c>
      <c r="J84" s="60">
        <v>0.04</v>
      </c>
      <c r="K84" s="60">
        <v>49.75</v>
      </c>
      <c r="L84" s="60">
        <v>36.35</v>
      </c>
      <c r="M84" s="60">
        <v>81.92</v>
      </c>
      <c r="N84" s="60">
        <v>15.5</v>
      </c>
      <c r="O84" s="60">
        <v>0</v>
      </c>
      <c r="P84" s="60">
        <v>2.99</v>
      </c>
      <c r="Q84" s="60">
        <v>5.30</v>
      </c>
      <c r="R84" s="194"/>
      <c r="S84" s="194"/>
      <c r="T84" s="194"/>
      <c r="U84" s="194"/>
    </row>
    <row r="85" spans="1:21" s="12" customFormat="1" ht="15">
      <c r="A85" s="197" t="s">
        <v>2721</v>
      </c>
      <c r="B85" s="60">
        <v>4.13</v>
      </c>
      <c r="C85" s="60">
        <v>12.64</v>
      </c>
      <c r="D85" s="60">
        <v>16.77</v>
      </c>
      <c r="E85" s="60">
        <v>4.83</v>
      </c>
      <c r="F85" s="60">
        <v>0.11</v>
      </c>
      <c r="G85" s="214" t="s">
        <v>36</v>
      </c>
      <c r="H85" s="60">
        <v>5.28</v>
      </c>
      <c r="I85" s="60">
        <v>3.43</v>
      </c>
      <c r="J85" s="60">
        <v>0.05</v>
      </c>
      <c r="K85" s="60">
        <v>189.56</v>
      </c>
      <c r="L85" s="60">
        <v>36.270000000000003</v>
      </c>
      <c r="M85" s="60">
        <v>84.20</v>
      </c>
      <c r="N85" s="60">
        <v>14.90</v>
      </c>
      <c r="O85" s="60">
        <v>0</v>
      </c>
      <c r="P85" s="60">
        <v>3.02</v>
      </c>
      <c r="Q85" s="60">
        <v>4.71</v>
      </c>
      <c r="R85" s="194"/>
      <c r="S85" s="194"/>
      <c r="T85" s="194"/>
      <c r="U85" s="194"/>
    </row>
    <row r="86" spans="1:21" s="12" customFormat="1" ht="15">
      <c r="A86" s="197" t="s">
        <v>2722</v>
      </c>
      <c r="B86" s="60">
        <v>4.37</v>
      </c>
      <c r="C86" s="60">
        <v>12.38</v>
      </c>
      <c r="D86" s="60">
        <v>16.760000000000002</v>
      </c>
      <c r="E86" s="60">
        <v>5.24</v>
      </c>
      <c r="F86" s="60">
        <v>0.14000000000000001</v>
      </c>
      <c r="G86" s="214" t="s">
        <v>36</v>
      </c>
      <c r="H86" s="60">
        <v>7.62</v>
      </c>
      <c r="I86" s="60">
        <v>3.57</v>
      </c>
      <c r="J86" s="60">
        <v>0.09</v>
      </c>
      <c r="K86" s="60">
        <v>27.19</v>
      </c>
      <c r="L86" s="60">
        <v>36.40</v>
      </c>
      <c r="M86" s="60">
        <v>84.43</v>
      </c>
      <c r="N86" s="60">
        <v>15</v>
      </c>
      <c r="O86" s="60">
        <v>0</v>
      </c>
      <c r="P86" s="60">
        <v>3.04</v>
      </c>
      <c r="Q86" s="60">
        <v>4.3499999999999996</v>
      </c>
      <c r="R86" s="194"/>
      <c r="S86" s="194"/>
      <c r="T86" s="194"/>
      <c r="U86" s="194"/>
    </row>
    <row r="87" spans="1:21" s="12" customFormat="1" ht="15">
      <c r="A87" s="197" t="s">
        <v>2723</v>
      </c>
      <c r="B87" s="60">
        <v>4.75</v>
      </c>
      <c r="C87" s="60">
        <v>12.84</v>
      </c>
      <c r="D87" s="60">
        <v>17.579999999999998</v>
      </c>
      <c r="E87" s="60">
        <v>4.70</v>
      </c>
      <c r="F87" s="60">
        <v>0.06</v>
      </c>
      <c r="G87" s="214" t="s">
        <v>36</v>
      </c>
      <c r="H87" s="60">
        <v>7.62</v>
      </c>
      <c r="I87" s="60">
        <v>3.67</v>
      </c>
      <c r="J87" s="60">
        <v>0.25</v>
      </c>
      <c r="K87" s="60">
        <v>14.43</v>
      </c>
      <c r="L87" s="60">
        <v>37.590000000000003</v>
      </c>
      <c r="M87" s="60">
        <v>83.44</v>
      </c>
      <c r="N87" s="60">
        <v>15.20</v>
      </c>
      <c r="O87" s="60">
        <v>0</v>
      </c>
      <c r="P87" s="60">
        <v>3.07</v>
      </c>
      <c r="Q87" s="60">
        <v>4.51</v>
      </c>
      <c r="R87" s="194"/>
      <c r="S87" s="194"/>
      <c r="T87" s="194"/>
      <c r="U87" s="194"/>
    </row>
    <row r="88" spans="1:21" s="12" customFormat="1" ht="15">
      <c r="A88" s="197" t="s">
        <v>2724</v>
      </c>
      <c r="B88" s="60">
        <v>5.36</v>
      </c>
      <c r="C88" s="60">
        <v>13.13</v>
      </c>
      <c r="D88" s="60">
        <v>18.489999999999998</v>
      </c>
      <c r="E88" s="60">
        <v>2.31</v>
      </c>
      <c r="F88" s="60">
        <v>0.17</v>
      </c>
      <c r="G88" s="214" t="s">
        <v>36</v>
      </c>
      <c r="H88" s="60">
        <v>7.62</v>
      </c>
      <c r="I88" s="60">
        <v>3.86</v>
      </c>
      <c r="J88" s="60">
        <v>0.09</v>
      </c>
      <c r="K88" s="60">
        <v>359.48</v>
      </c>
      <c r="L88" s="60">
        <v>39.78</v>
      </c>
      <c r="M88" s="60">
        <v>82.49</v>
      </c>
      <c r="N88" s="60">
        <v>15.10</v>
      </c>
      <c r="O88" s="60">
        <v>0</v>
      </c>
      <c r="P88" s="60">
        <v>3.09</v>
      </c>
      <c r="Q88" s="60">
        <v>4.58</v>
      </c>
      <c r="R88" s="194"/>
      <c r="S88" s="194"/>
      <c r="T88" s="194"/>
      <c r="U88" s="194"/>
    </row>
    <row r="89" spans="1:21" s="12" customFormat="1" ht="15">
      <c r="A89" s="197" t="s">
        <v>2725</v>
      </c>
      <c r="B89" s="60">
        <v>5.52</v>
      </c>
      <c r="C89" s="60">
        <v>13.49</v>
      </c>
      <c r="D89" s="60">
        <v>19.010000000000002</v>
      </c>
      <c r="E89" s="60">
        <v>4.5999999999999996</v>
      </c>
      <c r="F89" s="60">
        <v>0.10</v>
      </c>
      <c r="G89" s="214" t="s">
        <v>36</v>
      </c>
      <c r="H89" s="60">
        <v>7.28</v>
      </c>
      <c r="I89" s="60">
        <v>4.01</v>
      </c>
      <c r="J89" s="60">
        <v>0.10</v>
      </c>
      <c r="K89" s="60">
        <v>213.25</v>
      </c>
      <c r="L89" s="60">
        <v>37.76</v>
      </c>
      <c r="M89" s="60">
        <v>82.64</v>
      </c>
      <c r="N89" s="60">
        <v>15</v>
      </c>
      <c r="O89" s="60">
        <v>0</v>
      </c>
      <c r="P89" s="60">
        <v>3.10</v>
      </c>
      <c r="Q89" s="60">
        <v>4.55</v>
      </c>
      <c r="R89" s="194"/>
      <c r="S89" s="194"/>
      <c r="T89" s="194"/>
      <c r="U89" s="194"/>
    </row>
    <row r="90" spans="1:21" s="12" customFormat="1" ht="15">
      <c r="A90" s="197" t="s">
        <v>2726</v>
      </c>
      <c r="B90" s="60">
        <v>5.47</v>
      </c>
      <c r="C90" s="60">
        <v>14.03</v>
      </c>
      <c r="D90" s="60">
        <v>19.5</v>
      </c>
      <c r="E90" s="60">
        <v>5.27</v>
      </c>
      <c r="F90" s="60">
        <v>0.56999999999999995</v>
      </c>
      <c r="G90" s="214" t="s">
        <v>36</v>
      </c>
      <c r="H90" s="60">
        <v>6.44</v>
      </c>
      <c r="I90" s="60">
        <v>4</v>
      </c>
      <c r="J90" s="60">
        <v>0.11</v>
      </c>
      <c r="K90" s="60">
        <v>3.21</v>
      </c>
      <c r="L90" s="60">
        <v>37.96</v>
      </c>
      <c r="M90" s="60">
        <v>82.97</v>
      </c>
      <c r="N90" s="60">
        <v>15</v>
      </c>
      <c r="O90" s="60">
        <v>0</v>
      </c>
      <c r="P90" s="60">
        <v>3.12</v>
      </c>
      <c r="Q90" s="60">
        <v>4.76</v>
      </c>
      <c r="R90" s="194"/>
      <c r="S90" s="194"/>
      <c r="T90" s="194"/>
      <c r="U90" s="194"/>
    </row>
    <row r="91" spans="1:21" s="12" customFormat="1" ht="15">
      <c r="A91" s="197" t="s">
        <v>2727</v>
      </c>
      <c r="B91" s="60">
        <v>5.79</v>
      </c>
      <c r="C91" s="60">
        <v>13.35</v>
      </c>
      <c r="D91" s="60">
        <v>19.14</v>
      </c>
      <c r="E91" s="60">
        <v>5.0999999999999996</v>
      </c>
      <c r="F91" s="60">
        <v>0.89</v>
      </c>
      <c r="G91" s="214" t="s">
        <v>36</v>
      </c>
      <c r="H91" s="60">
        <v>6.44</v>
      </c>
      <c r="I91" s="60">
        <v>4.03</v>
      </c>
      <c r="J91" s="60">
        <v>0.02</v>
      </c>
      <c r="K91" s="60">
        <v>144.01</v>
      </c>
      <c r="L91" s="60">
        <v>38.10</v>
      </c>
      <c r="M91" s="60">
        <v>83.39</v>
      </c>
      <c r="N91" s="60">
        <v>15</v>
      </c>
      <c r="O91" s="60">
        <v>0</v>
      </c>
      <c r="P91" s="60">
        <v>3.13</v>
      </c>
      <c r="Q91" s="60">
        <v>5.65</v>
      </c>
      <c r="R91" s="194"/>
      <c r="S91" s="194"/>
      <c r="T91" s="194"/>
      <c r="U91" s="194"/>
    </row>
    <row r="92" spans="1:21" s="12" customFormat="1" ht="15">
      <c r="A92" s="197" t="s">
        <v>2728</v>
      </c>
      <c r="B92" s="60">
        <v>5.82</v>
      </c>
      <c r="C92" s="60">
        <v>13.20</v>
      </c>
      <c r="D92" s="60">
        <v>19.02</v>
      </c>
      <c r="E92" s="60">
        <v>4.72</v>
      </c>
      <c r="F92" s="60">
        <v>0.44</v>
      </c>
      <c r="G92" s="214" t="s">
        <v>36</v>
      </c>
      <c r="H92" s="60">
        <v>6.44</v>
      </c>
      <c r="I92" s="60">
        <v>4.1399999999999997</v>
      </c>
      <c r="J92" s="60">
        <v>0.02</v>
      </c>
      <c r="K92" s="60">
        <v>16</v>
      </c>
      <c r="L92" s="60">
        <v>39.299999999999997</v>
      </c>
      <c r="M92" s="60">
        <v>84.36</v>
      </c>
      <c r="N92" s="60">
        <v>15</v>
      </c>
      <c r="O92" s="60">
        <v>0</v>
      </c>
      <c r="P92" s="60">
        <v>3.13</v>
      </c>
      <c r="Q92" s="60">
        <v>6.46</v>
      </c>
      <c r="R92" s="194"/>
      <c r="S92" s="194"/>
      <c r="T92" s="194"/>
      <c r="U92" s="194"/>
    </row>
    <row r="93" spans="1:21" s="12" customFormat="1" ht="15">
      <c r="A93" s="197" t="s">
        <v>2729</v>
      </c>
      <c r="B93" s="60">
        <v>6.11</v>
      </c>
      <c r="C93" s="60">
        <v>13.19</v>
      </c>
      <c r="D93" s="60">
        <v>19.30</v>
      </c>
      <c r="E93" s="60">
        <v>4.8899999999999997</v>
      </c>
      <c r="F93" s="60">
        <v>0.09</v>
      </c>
      <c r="G93" s="214" t="s">
        <v>36</v>
      </c>
      <c r="H93" s="60">
        <v>6.84</v>
      </c>
      <c r="I93" s="60">
        <v>4.1100000000000003</v>
      </c>
      <c r="J93" s="60">
        <v>0.08</v>
      </c>
      <c r="K93" s="60">
        <v>176.95</v>
      </c>
      <c r="L93" s="60">
        <v>36.32</v>
      </c>
      <c r="M93" s="60">
        <v>84.66</v>
      </c>
      <c r="N93" s="60">
        <v>15</v>
      </c>
      <c r="O93" s="60">
        <v>0</v>
      </c>
      <c r="P93" s="60">
        <v>3.16</v>
      </c>
      <c r="Q93" s="60">
        <v>6.82</v>
      </c>
      <c r="R93" s="194"/>
      <c r="S93" s="194"/>
      <c r="T93" s="194"/>
      <c r="U93" s="194"/>
    </row>
    <row r="94" spans="1:21" s="12" customFormat="1" ht="15">
      <c r="A94" s="197" t="s">
        <v>2730</v>
      </c>
      <c r="B94" s="60">
        <v>6.29</v>
      </c>
      <c r="C94" s="60">
        <v>12.94</v>
      </c>
      <c r="D94" s="60">
        <v>19.239999999999998</v>
      </c>
      <c r="E94" s="60">
        <v>4.80</v>
      </c>
      <c r="F94" s="60">
        <v>0.070000000000000007</v>
      </c>
      <c r="G94" s="214" t="s">
        <v>36</v>
      </c>
      <c r="H94" s="60">
        <v>7.82</v>
      </c>
      <c r="I94" s="60">
        <v>4.1100000000000003</v>
      </c>
      <c r="J94" s="60">
        <v>0.31</v>
      </c>
      <c r="K94" s="60">
        <v>215.19</v>
      </c>
      <c r="L94" s="60">
        <v>36.17</v>
      </c>
      <c r="M94" s="60">
        <v>85.15</v>
      </c>
      <c r="N94" s="60">
        <v>15</v>
      </c>
      <c r="O94" s="60">
        <v>0</v>
      </c>
      <c r="P94" s="60">
        <v>3.16</v>
      </c>
      <c r="Q94" s="60">
        <v>6.89</v>
      </c>
      <c r="R94" s="194"/>
      <c r="S94" s="194"/>
      <c r="T94" s="194"/>
      <c r="U94" s="194"/>
    </row>
    <row r="95" spans="1:21" s="12" customFormat="1" ht="15">
      <c r="A95" s="197" t="s">
        <v>2731</v>
      </c>
      <c r="B95" s="60">
        <v>5.87</v>
      </c>
      <c r="C95" s="60">
        <v>12.34</v>
      </c>
      <c r="D95" s="60">
        <v>18.22</v>
      </c>
      <c r="E95" s="60">
        <v>4.92</v>
      </c>
      <c r="F95" s="60">
        <v>0.02</v>
      </c>
      <c r="G95" s="214" t="s">
        <v>36</v>
      </c>
      <c r="H95" s="60">
        <v>7.82</v>
      </c>
      <c r="I95" s="60">
        <v>4.1900000000000004</v>
      </c>
      <c r="J95" s="60">
        <v>0.56000000000000005</v>
      </c>
      <c r="K95" s="60">
        <v>194.13</v>
      </c>
      <c r="L95" s="60">
        <v>36.53</v>
      </c>
      <c r="M95" s="60">
        <v>85.31</v>
      </c>
      <c r="N95" s="60">
        <v>15</v>
      </c>
      <c r="O95" s="60">
        <v>0</v>
      </c>
      <c r="P95" s="60">
        <v>3.14</v>
      </c>
      <c r="Q95" s="60">
        <v>6.67</v>
      </c>
      <c r="R95" s="194"/>
      <c r="S95" s="194"/>
      <c r="T95" s="194"/>
      <c r="U95" s="194"/>
    </row>
    <row r="96" spans="1:26" s="12" customFormat="1" ht="15">
      <c r="A96" s="197" t="s">
        <v>2732</v>
      </c>
      <c r="B96" s="60">
        <v>5.45</v>
      </c>
      <c r="C96" s="60">
        <v>11.74</v>
      </c>
      <c r="D96" s="60">
        <v>17.20</v>
      </c>
      <c r="E96" s="60">
        <v>4.49</v>
      </c>
      <c r="F96" s="60">
        <v>0.04</v>
      </c>
      <c r="G96" s="214" t="s">
        <v>36</v>
      </c>
      <c r="H96" s="60">
        <v>7.82</v>
      </c>
      <c r="I96" s="60">
        <v>4.1500000000000004</v>
      </c>
      <c r="J96" s="60">
        <v>0.45</v>
      </c>
      <c r="K96" s="60">
        <v>187.56</v>
      </c>
      <c r="L96" s="60">
        <v>37.49</v>
      </c>
      <c r="M96" s="60">
        <v>85.41</v>
      </c>
      <c r="N96" s="60">
        <v>15</v>
      </c>
      <c r="O96" s="60">
        <v>0</v>
      </c>
      <c r="P96" s="60">
        <v>3.12</v>
      </c>
      <c r="Q96" s="60">
        <v>6.43</v>
      </c>
      <c r="R96" s="194"/>
      <c r="S96" s="194"/>
      <c r="T96" s="194"/>
      <c r="U96" s="194"/>
      <c r="Z96" s="105"/>
    </row>
    <row r="97" spans="1:21" s="12" customFormat="1" ht="15">
      <c r="A97" s="197" t="s">
        <v>2733</v>
      </c>
      <c r="B97" s="60">
        <v>5.05</v>
      </c>
      <c r="C97" s="60">
        <v>11.03</v>
      </c>
      <c r="D97" s="60">
        <v>16.079999999999998</v>
      </c>
      <c r="E97" s="60">
        <v>4.92</v>
      </c>
      <c r="F97" s="60">
        <v>0.05</v>
      </c>
      <c r="G97" s="214" t="s">
        <v>36</v>
      </c>
      <c r="H97" s="60">
        <v>7.78</v>
      </c>
      <c r="I97" s="60">
        <v>4.0599999999999996</v>
      </c>
      <c r="J97" s="60">
        <v>0.33</v>
      </c>
      <c r="K97" s="60">
        <v>204.33</v>
      </c>
      <c r="L97" s="60">
        <v>36.75</v>
      </c>
      <c r="M97" s="60">
        <v>85.90</v>
      </c>
      <c r="N97" s="60">
        <v>15</v>
      </c>
      <c r="O97" s="60">
        <v>0</v>
      </c>
      <c r="P97" s="60">
        <v>3.11</v>
      </c>
      <c r="Q97" s="60">
        <v>6</v>
      </c>
      <c r="R97" s="194"/>
      <c r="S97" s="194"/>
      <c r="T97" s="194"/>
      <c r="U97" s="194"/>
    </row>
    <row r="98" spans="1:21" s="12" customFormat="1" ht="15">
      <c r="A98" s="197" t="s">
        <v>2734</v>
      </c>
      <c r="B98" s="60">
        <v>4.8099999999999996</v>
      </c>
      <c r="C98" s="60">
        <v>10.70</v>
      </c>
      <c r="D98" s="60">
        <v>15.5</v>
      </c>
      <c r="E98" s="60">
        <v>5.18</v>
      </c>
      <c r="F98" s="60">
        <v>0.08</v>
      </c>
      <c r="G98" s="214" t="s">
        <v>36</v>
      </c>
      <c r="H98" s="60">
        <v>7.68</v>
      </c>
      <c r="I98" s="60">
        <v>3.99</v>
      </c>
      <c r="J98" s="60">
        <v>0.28999999999999998</v>
      </c>
      <c r="K98" s="60">
        <v>166.51</v>
      </c>
      <c r="L98" s="60">
        <v>36.57</v>
      </c>
      <c r="M98" s="60">
        <v>86.66</v>
      </c>
      <c r="N98" s="60">
        <v>15.10</v>
      </c>
      <c r="O98" s="60">
        <v>0</v>
      </c>
      <c r="P98" s="60">
        <v>3.10</v>
      </c>
      <c r="Q98" s="60">
        <v>5.19</v>
      </c>
      <c r="R98" s="194"/>
      <c r="S98" s="194"/>
      <c r="T98" s="194"/>
      <c r="U98" s="194"/>
    </row>
    <row r="99" spans="1:21" s="12" customFormat="1" ht="15">
      <c r="A99" s="197" t="s">
        <v>2735</v>
      </c>
      <c r="B99" s="60">
        <v>4.79</v>
      </c>
      <c r="C99" s="60">
        <v>9.9600000000000009</v>
      </c>
      <c r="D99" s="60">
        <v>14.75</v>
      </c>
      <c r="E99" s="60">
        <v>5.58</v>
      </c>
      <c r="F99" s="60">
        <v>0.14000000000000001</v>
      </c>
      <c r="G99" s="214" t="s">
        <v>36</v>
      </c>
      <c r="H99" s="60">
        <v>7.68</v>
      </c>
      <c r="I99" s="60">
        <v>3.92</v>
      </c>
      <c r="J99" s="60">
        <v>0.11</v>
      </c>
      <c r="K99" s="60">
        <v>161.85</v>
      </c>
      <c r="L99" s="60">
        <v>36.49</v>
      </c>
      <c r="M99" s="60">
        <v>88.23</v>
      </c>
      <c r="N99" s="60">
        <v>14.60</v>
      </c>
      <c r="O99" s="60">
        <v>0.20</v>
      </c>
      <c r="P99" s="60">
        <v>3.09</v>
      </c>
      <c r="Q99" s="60">
        <v>4.32</v>
      </c>
      <c r="R99" s="194"/>
      <c r="S99" s="194"/>
      <c r="T99" s="194"/>
      <c r="U99" s="194"/>
    </row>
    <row r="100" spans="1:33" s="12" customFormat="1" ht="15">
      <c r="A100" s="197" t="s">
        <v>2736</v>
      </c>
      <c r="B100" s="60">
        <v>4.92</v>
      </c>
      <c r="C100" s="60">
        <v>9.61</v>
      </c>
      <c r="D100" s="60">
        <v>14.54</v>
      </c>
      <c r="E100" s="60">
        <v>5.57</v>
      </c>
      <c r="F100" s="60">
        <v>0.28000000000000003</v>
      </c>
      <c r="G100" s="214" t="s">
        <v>36</v>
      </c>
      <c r="H100" s="60">
        <v>7.68</v>
      </c>
      <c r="I100" s="60">
        <v>3.76</v>
      </c>
      <c r="J100" s="60">
        <v>0.02</v>
      </c>
      <c r="K100" s="60">
        <v>167.75</v>
      </c>
      <c r="L100" s="60">
        <v>36.19</v>
      </c>
      <c r="M100" s="60">
        <v>93.39</v>
      </c>
      <c r="N100" s="60">
        <v>15.30</v>
      </c>
      <c r="O100" s="60">
        <v>1</v>
      </c>
      <c r="P100" s="60">
        <v>3.08</v>
      </c>
      <c r="Q100" s="60">
        <v>3.93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2737</v>
      </c>
      <c r="B101" s="60">
        <v>5.05</v>
      </c>
      <c r="C101" s="60">
        <v>9.89</v>
      </c>
      <c r="D101" s="60">
        <v>14.94</v>
      </c>
      <c r="E101" s="60">
        <v>5.39</v>
      </c>
      <c r="F101" s="214" t="s">
        <v>36</v>
      </c>
      <c r="G101" s="214" t="s">
        <v>36</v>
      </c>
      <c r="H101" s="60">
        <v>7.20</v>
      </c>
      <c r="I101" s="60">
        <v>3.67</v>
      </c>
      <c r="J101" s="60">
        <v>0.16</v>
      </c>
      <c r="K101" s="60">
        <v>204.42</v>
      </c>
      <c r="L101" s="60">
        <v>35.75</v>
      </c>
      <c r="M101" s="60">
        <v>98.53</v>
      </c>
      <c r="N101" s="60">
        <v>15.60</v>
      </c>
      <c r="O101" s="60">
        <v>1</v>
      </c>
      <c r="P101" s="60">
        <v>3.09</v>
      </c>
      <c r="Q101" s="60">
        <v>3.97</v>
      </c>
      <c r="R101" s="194"/>
      <c r="S101" s="194"/>
      <c r="T101" s="194"/>
      <c r="U101" s="194"/>
    </row>
    <row r="102" spans="1:21" s="12" customFormat="1" ht="15">
      <c r="A102" s="197" t="s">
        <v>2738</v>
      </c>
      <c r="B102" s="60">
        <v>5.20</v>
      </c>
      <c r="C102" s="60">
        <v>9.65</v>
      </c>
      <c r="D102" s="60">
        <v>14.86</v>
      </c>
      <c r="E102" s="60">
        <v>6.05</v>
      </c>
      <c r="F102" s="60">
        <v>0.03</v>
      </c>
      <c r="G102" s="214" t="s">
        <v>36</v>
      </c>
      <c r="H102" s="60">
        <v>6.03</v>
      </c>
      <c r="I102" s="60">
        <v>3.91</v>
      </c>
      <c r="J102" s="60">
        <v>0.21</v>
      </c>
      <c r="K102" s="60">
        <v>305.54000000000002</v>
      </c>
      <c r="L102" s="60">
        <v>35.65</v>
      </c>
      <c r="M102" s="60">
        <v>99.12</v>
      </c>
      <c r="N102" s="60">
        <v>15.20</v>
      </c>
      <c r="O102" s="60">
        <v>1.20</v>
      </c>
      <c r="P102" s="60">
        <v>3.09</v>
      </c>
      <c r="Q102" s="60">
        <v>3.84</v>
      </c>
      <c r="R102" s="194"/>
      <c r="S102" s="194"/>
      <c r="T102" s="194"/>
      <c r="U102" s="194"/>
    </row>
    <row r="103" spans="1:21" s="12" customFormat="1" ht="15">
      <c r="A103" s="197" t="s">
        <v>2739</v>
      </c>
      <c r="B103" s="60">
        <v>5.43</v>
      </c>
      <c r="C103" s="60">
        <v>9.39</v>
      </c>
      <c r="D103" s="60">
        <v>14.82</v>
      </c>
      <c r="E103" s="60">
        <v>5.85</v>
      </c>
      <c r="F103" s="60">
        <v>0.02</v>
      </c>
      <c r="G103" s="214" t="s">
        <v>36</v>
      </c>
      <c r="H103" s="60">
        <v>6.03</v>
      </c>
      <c r="I103" s="60">
        <v>3.92</v>
      </c>
      <c r="J103" s="60">
        <v>0.15</v>
      </c>
      <c r="K103" s="60">
        <v>318.87</v>
      </c>
      <c r="L103" s="60">
        <v>41.28</v>
      </c>
      <c r="M103" s="60">
        <v>99.13</v>
      </c>
      <c r="N103" s="60">
        <v>15.30</v>
      </c>
      <c r="O103" s="60">
        <v>0.60</v>
      </c>
      <c r="P103" s="60">
        <v>3.08</v>
      </c>
      <c r="Q103" s="60">
        <v>3.91</v>
      </c>
      <c r="R103" s="194"/>
      <c r="S103" s="194"/>
      <c r="T103" s="194"/>
      <c r="U103" s="194"/>
    </row>
    <row r="104" spans="1:21" s="12" customFormat="1" ht="15">
      <c r="A104" s="197" t="s">
        <v>2740</v>
      </c>
      <c r="B104" s="60">
        <v>5.62</v>
      </c>
      <c r="C104" s="60">
        <v>8.85</v>
      </c>
      <c r="D104" s="60">
        <v>14.46</v>
      </c>
      <c r="E104" s="60">
        <v>3.43</v>
      </c>
      <c r="F104" s="60">
        <v>0.18</v>
      </c>
      <c r="G104" s="214" t="s">
        <v>36</v>
      </c>
      <c r="H104" s="60">
        <v>6.03</v>
      </c>
      <c r="I104" s="60">
        <v>3.85</v>
      </c>
      <c r="J104" s="60">
        <v>0.20</v>
      </c>
      <c r="K104" s="60">
        <v>325.83</v>
      </c>
      <c r="L104" s="60">
        <v>35.07</v>
      </c>
      <c r="M104" s="60">
        <v>99.12</v>
      </c>
      <c r="N104" s="60">
        <v>15.40</v>
      </c>
      <c r="O104" s="60">
        <v>0.40</v>
      </c>
      <c r="P104" s="60">
        <v>3.08</v>
      </c>
      <c r="Q104" s="60">
        <v>3.87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1.5600000000000001</v>
      </c>
      <c r="C106" s="67">
        <f>MIN(C9:C104)</f>
        <v>7.4299999999999997</v>
      </c>
      <c r="D106" s="67">
        <f t="shared" si="0" ref="D106:Q106">MIN(D9:D104)</f>
        <v>10.6</v>
      </c>
      <c r="E106" s="67">
        <f t="shared" si="0"/>
        <v>2.3100000000000001</v>
      </c>
      <c r="F106" s="67">
        <f t="shared" si="0"/>
        <v>0.01</v>
      </c>
      <c r="G106" s="67">
        <f t="shared" si="0"/>
        <v>0</v>
      </c>
      <c r="H106" s="67">
        <f t="shared" si="0"/>
        <v>4.2199999999999998</v>
      </c>
      <c r="I106" s="67">
        <f t="shared" si="0"/>
        <v>3.1299999999999999</v>
      </c>
      <c r="J106" s="67">
        <f t="shared" si="0"/>
        <v>0.02</v>
      </c>
      <c r="K106" s="67">
        <f t="shared" si="0"/>
        <v>3.21</v>
      </c>
      <c r="L106" s="67">
        <f t="shared" si="0"/>
        <v>35.07</v>
      </c>
      <c r="M106" s="67">
        <f t="shared" si="0"/>
        <v>62.240000000000002</v>
      </c>
      <c r="N106" s="67">
        <f t="shared" si="0"/>
        <v>14.6</v>
      </c>
      <c r="O106" s="67">
        <f t="shared" si="0"/>
        <v>0</v>
      </c>
      <c r="P106" s="67">
        <f t="shared" si="0"/>
        <v>2.8599999999999999</v>
      </c>
      <c r="Q106" s="67">
        <f t="shared" si="0"/>
        <v>3.1299999999999999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7.1699999999999999</v>
      </c>
      <c r="C107" s="66">
        <f t="shared" si="1" ref="C107:Q107">MAX(C9:C104)</f>
        <v>14.029999999999999</v>
      </c>
      <c r="D107" s="66">
        <f t="shared" si="1"/>
        <v>19.5</v>
      </c>
      <c r="E107" s="66">
        <f t="shared" si="1"/>
        <v>8.0500000000000007</v>
      </c>
      <c r="F107" s="66">
        <f t="shared" si="1"/>
        <v>1.5900000000000001</v>
      </c>
      <c r="G107" s="66">
        <f t="shared" si="1"/>
        <v>0</v>
      </c>
      <c r="H107" s="66">
        <f t="shared" si="1"/>
        <v>10.81</v>
      </c>
      <c r="I107" s="66">
        <f t="shared" si="1"/>
        <v>4.29</v>
      </c>
      <c r="J107" s="66">
        <f t="shared" si="1"/>
        <v>1.78</v>
      </c>
      <c r="K107" s="66">
        <f t="shared" si="1"/>
        <v>359.48000000000002</v>
      </c>
      <c r="L107" s="66">
        <f t="shared" si="1"/>
        <v>55.039999999999999</v>
      </c>
      <c r="M107" s="66">
        <f t="shared" si="1"/>
        <v>99.129999999999995</v>
      </c>
      <c r="N107" s="66">
        <f t="shared" si="1"/>
        <v>865</v>
      </c>
      <c r="O107" s="66">
        <f t="shared" si="1"/>
        <v>1.2</v>
      </c>
      <c r="P107" s="66">
        <f t="shared" si="1"/>
        <v>3.1600000000000001</v>
      </c>
      <c r="Q107" s="66">
        <f t="shared" si="1"/>
        <v>8.6199999999999992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4.5372916666666692</v>
      </c>
      <c r="C108" s="67">
        <f t="shared" si="2" ref="C108:Q108">AVERAGE(C9:C104)</f>
        <v>9.8150000000000031</v>
      </c>
      <c r="D108" s="67">
        <f t="shared" si="2"/>
        <v>14.352604166666666</v>
      </c>
      <c r="E108" s="67">
        <f t="shared" si="2"/>
        <v>5.8853125000000013</v>
      </c>
      <c r="F108" s="67">
        <f t="shared" si="2"/>
        <v>0.25829787234042567</v>
      </c>
      <c r="G108" s="67" t="e">
        <f t="shared" si="2"/>
        <v>#DIV/0!</v>
      </c>
      <c r="H108" s="67">
        <f t="shared" si="2"/>
        <v>7.3763541666666663</v>
      </c>
      <c r="I108" s="67">
        <f t="shared" si="2"/>
        <v>3.6219791666666676</v>
      </c>
      <c r="J108" s="67">
        <f t="shared" si="2"/>
        <v>0.49093750000000019</v>
      </c>
      <c r="K108" s="67">
        <f t="shared" si="2"/>
        <v>176.29458333333341</v>
      </c>
      <c r="L108" s="67">
        <f t="shared" si="2"/>
        <v>41.438181818181825</v>
      </c>
      <c r="M108" s="67">
        <f t="shared" si="2"/>
        <v>83.839791666666642</v>
      </c>
      <c r="N108" s="67">
        <f t="shared" si="2"/>
        <v>194.77083333333334</v>
      </c>
      <c r="O108" s="67">
        <f t="shared" si="2"/>
        <v>0.045833333333333337</v>
      </c>
      <c r="P108" s="67">
        <f t="shared" si="2"/>
        <v>2.9655208333333327</v>
      </c>
      <c r="Q108" s="67">
        <f t="shared" si="2"/>
        <v>5.6481250000000012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1.6249861402917676</v>
      </c>
      <c r="C109" s="67">
        <f t="shared" si="3" ref="C109:Q109">STDEV(C9:C104)</f>
        <v>1.6413486110993709</v>
      </c>
      <c r="D109" s="67">
        <f t="shared" si="3"/>
        <v>2.2444412010174331</v>
      </c>
      <c r="E109" s="67">
        <f t="shared" si="3"/>
        <v>1.1693398525618945</v>
      </c>
      <c r="F109" s="67">
        <f t="shared" si="3"/>
        <v>0.24742822701200862</v>
      </c>
      <c r="G109" s="67" t="e">
        <f t="shared" si="3"/>
        <v>#DIV/0!</v>
      </c>
      <c r="H109" s="67">
        <f t="shared" si="3"/>
        <v>1.6921093157368643</v>
      </c>
      <c r="I109" s="67">
        <f t="shared" si="3"/>
        <v>0.30509918936450348</v>
      </c>
      <c r="J109" s="67">
        <f t="shared" si="3"/>
        <v>0.39851851472541011</v>
      </c>
      <c r="K109" s="67">
        <f t="shared" si="3"/>
        <v>58.118757800262685</v>
      </c>
      <c r="L109" s="67">
        <f t="shared" si="3"/>
        <v>4.8997418641115322</v>
      </c>
      <c r="M109" s="67">
        <f t="shared" si="3"/>
        <v>10.14256024764933</v>
      </c>
      <c r="N109" s="67">
        <f t="shared" si="3"/>
        <v>256.09851102823148</v>
      </c>
      <c r="O109" s="67">
        <f t="shared" si="3"/>
        <v>0.1999561355406502</v>
      </c>
      <c r="P109" s="67">
        <f t="shared" si="3"/>
        <v>0.093266678109676635</v>
      </c>
      <c r="Q109" s="67">
        <f t="shared" si="3"/>
        <v>1.3672310184803202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77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5637483-6b43-4980-92a6-12688f903431}">
  <sheetPr codeName=""/>
  <dimension ref="A1:AG117"/>
  <sheetViews>
    <sheetView workbookViewId="0" topLeftCell="A1">
      <pane xSplit="1" ySplit="8" topLeftCell="B9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G111" sqref="G111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27-07-2022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2741</v>
      </c>
      <c r="B9" s="60">
        <v>5.73</v>
      </c>
      <c r="C9" s="60">
        <v>8.57</v>
      </c>
      <c r="D9" s="60">
        <v>14.31</v>
      </c>
      <c r="E9" s="60">
        <v>6.73</v>
      </c>
      <c r="F9" s="60">
        <v>0.14000000000000001</v>
      </c>
      <c r="G9" s="214" t="s">
        <v>36</v>
      </c>
      <c r="H9" s="60">
        <v>5.60</v>
      </c>
      <c r="I9" s="60">
        <v>4.04</v>
      </c>
      <c r="J9" s="60">
        <v>0.23</v>
      </c>
      <c r="K9" s="60">
        <v>341.17</v>
      </c>
      <c r="L9" s="60">
        <v>34.61</v>
      </c>
      <c r="M9" s="60">
        <v>99.10</v>
      </c>
      <c r="N9" s="60">
        <v>15.30</v>
      </c>
      <c r="O9" s="60">
        <v>0</v>
      </c>
      <c r="P9" s="60">
        <v>3.06</v>
      </c>
      <c r="Q9" s="60">
        <v>4.3600000000000003</v>
      </c>
      <c r="R9" s="194"/>
      <c r="S9" s="194"/>
      <c r="T9" s="194"/>
      <c r="U9" s="194"/>
    </row>
    <row r="10" spans="1:21" s="12" customFormat="1" ht="15">
      <c r="A10" s="197" t="s">
        <v>2742</v>
      </c>
      <c r="B10" s="60">
        <v>5.52</v>
      </c>
      <c r="C10" s="60">
        <v>8.6199999999999992</v>
      </c>
      <c r="D10" s="60">
        <v>14.14</v>
      </c>
      <c r="E10" s="60">
        <v>6.65</v>
      </c>
      <c r="F10" s="60">
        <v>0.10</v>
      </c>
      <c r="G10" s="214" t="s">
        <v>36</v>
      </c>
      <c r="H10" s="60">
        <v>4.54</v>
      </c>
      <c r="I10" s="60">
        <v>3.99</v>
      </c>
      <c r="J10" s="60">
        <v>0.98</v>
      </c>
      <c r="K10" s="60">
        <v>331.66</v>
      </c>
      <c r="L10" s="60">
        <v>34.479999999999997</v>
      </c>
      <c r="M10" s="60">
        <v>99.10</v>
      </c>
      <c r="N10" s="60">
        <v>15.30</v>
      </c>
      <c r="O10" s="60">
        <v>0</v>
      </c>
      <c r="P10" s="60">
        <v>3.06</v>
      </c>
      <c r="Q10" s="60">
        <v>5.23</v>
      </c>
      <c r="R10" s="194"/>
      <c r="S10" s="194"/>
      <c r="T10" s="194"/>
      <c r="U10" s="194"/>
    </row>
    <row r="11" spans="1:21" s="12" customFormat="1" ht="15">
      <c r="A11" s="197" t="s">
        <v>2743</v>
      </c>
      <c r="B11" s="60">
        <v>5.15</v>
      </c>
      <c r="C11" s="60">
        <v>8.5399999999999991</v>
      </c>
      <c r="D11" s="60">
        <v>13.68</v>
      </c>
      <c r="E11" s="60">
        <v>6.25</v>
      </c>
      <c r="F11" s="60">
        <v>0.20</v>
      </c>
      <c r="G11" s="214" t="s">
        <v>36</v>
      </c>
      <c r="H11" s="60">
        <v>4.54</v>
      </c>
      <c r="I11" s="60">
        <v>3.96</v>
      </c>
      <c r="J11" s="60">
        <v>0.47</v>
      </c>
      <c r="K11" s="60">
        <v>337.02</v>
      </c>
      <c r="L11" s="60">
        <v>34.31</v>
      </c>
      <c r="M11" s="60">
        <v>99.10</v>
      </c>
      <c r="N11" s="60">
        <v>15.20</v>
      </c>
      <c r="O11" s="60">
        <v>0</v>
      </c>
      <c r="P11" s="60">
        <v>3.05</v>
      </c>
      <c r="Q11" s="60">
        <v>5.88</v>
      </c>
      <c r="R11" s="194"/>
      <c r="S11" s="194"/>
      <c r="T11" s="194"/>
      <c r="U11" s="194"/>
    </row>
    <row r="12" spans="1:21" s="12" customFormat="1" ht="15">
      <c r="A12" s="197" t="s">
        <v>2744</v>
      </c>
      <c r="B12" s="60">
        <v>4.87</v>
      </c>
      <c r="C12" s="60">
        <v>8.8000000000000007</v>
      </c>
      <c r="D12" s="60">
        <v>13.67</v>
      </c>
      <c r="E12" s="60">
        <v>6.64</v>
      </c>
      <c r="F12" s="60">
        <v>0.070000000000000007</v>
      </c>
      <c r="G12" s="214" t="s">
        <v>36</v>
      </c>
      <c r="H12" s="60">
        <v>4.54</v>
      </c>
      <c r="I12" s="60">
        <v>3.90</v>
      </c>
      <c r="J12" s="60">
        <v>0.23</v>
      </c>
      <c r="K12" s="60">
        <v>7.28</v>
      </c>
      <c r="L12" s="60">
        <v>34.26</v>
      </c>
      <c r="M12" s="60">
        <v>99.10</v>
      </c>
      <c r="N12" s="60">
        <v>15.30</v>
      </c>
      <c r="O12" s="60">
        <v>0</v>
      </c>
      <c r="P12" s="60">
        <v>3.04</v>
      </c>
      <c r="Q12" s="60">
        <v>5.85</v>
      </c>
      <c r="R12" s="194"/>
      <c r="S12" s="194"/>
      <c r="T12" s="194"/>
      <c r="U12" s="194"/>
    </row>
    <row r="13" spans="1:21" s="12" customFormat="1" ht="15">
      <c r="A13" s="197" t="s">
        <v>2745</v>
      </c>
      <c r="B13" s="60">
        <v>4.70</v>
      </c>
      <c r="C13" s="60">
        <v>8.99</v>
      </c>
      <c r="D13" s="60">
        <v>13.69</v>
      </c>
      <c r="E13" s="60">
        <v>6.68</v>
      </c>
      <c r="F13" s="60">
        <v>0.01</v>
      </c>
      <c r="G13" s="214" t="s">
        <v>36</v>
      </c>
      <c r="H13" s="60">
        <v>4.57</v>
      </c>
      <c r="I13" s="60">
        <v>3.83</v>
      </c>
      <c r="J13" s="60">
        <v>0.08</v>
      </c>
      <c r="K13" s="60">
        <v>134.32</v>
      </c>
      <c r="L13" s="60">
        <v>34.14</v>
      </c>
      <c r="M13" s="60">
        <v>99.10</v>
      </c>
      <c r="N13" s="60">
        <v>15.40</v>
      </c>
      <c r="O13" s="60">
        <v>0</v>
      </c>
      <c r="P13" s="60">
        <v>3.05</v>
      </c>
      <c r="Q13" s="60">
        <v>5.92</v>
      </c>
      <c r="R13" s="194"/>
      <c r="S13" s="194"/>
      <c r="T13" s="194"/>
      <c r="U13" s="194"/>
    </row>
    <row r="14" spans="1:21" s="12" customFormat="1" ht="15">
      <c r="A14" s="197" t="s">
        <v>2746</v>
      </c>
      <c r="B14" s="60">
        <v>4.5999999999999996</v>
      </c>
      <c r="C14" s="60">
        <v>9.0299999999999994</v>
      </c>
      <c r="D14" s="60">
        <v>13.63</v>
      </c>
      <c r="E14" s="60">
        <v>6.52</v>
      </c>
      <c r="F14" s="60">
        <v>0.05</v>
      </c>
      <c r="G14" s="214" t="s">
        <v>36</v>
      </c>
      <c r="H14" s="60">
        <v>4.6399999999999997</v>
      </c>
      <c r="I14" s="60">
        <v>3.85</v>
      </c>
      <c r="J14" s="60">
        <v>0.11</v>
      </c>
      <c r="K14" s="60">
        <v>237.74</v>
      </c>
      <c r="L14" s="60">
        <v>34.19</v>
      </c>
      <c r="M14" s="60">
        <v>99.10</v>
      </c>
      <c r="N14" s="60">
        <v>15.10</v>
      </c>
      <c r="O14" s="60">
        <v>0</v>
      </c>
      <c r="P14" s="60">
        <v>3.05</v>
      </c>
      <c r="Q14" s="60">
        <v>5.80</v>
      </c>
      <c r="R14" s="194"/>
      <c r="S14" s="194"/>
      <c r="T14" s="194"/>
      <c r="U14" s="194"/>
    </row>
    <row r="15" spans="1:21" s="12" customFormat="1" ht="15">
      <c r="A15" s="197" t="s">
        <v>2747</v>
      </c>
      <c r="B15" s="60">
        <v>4.51</v>
      </c>
      <c r="C15" s="60">
        <v>9.39</v>
      </c>
      <c r="D15" s="60">
        <v>13.90</v>
      </c>
      <c r="E15" s="60">
        <v>6.48</v>
      </c>
      <c r="F15" s="60">
        <v>0.11</v>
      </c>
      <c r="G15" s="214" t="s">
        <v>36</v>
      </c>
      <c r="H15" s="60">
        <v>4.6399999999999997</v>
      </c>
      <c r="I15" s="60">
        <v>3.90</v>
      </c>
      <c r="J15" s="60">
        <v>0.23</v>
      </c>
      <c r="K15" s="60">
        <v>173.10</v>
      </c>
      <c r="L15" s="60">
        <v>34.42</v>
      </c>
      <c r="M15" s="60">
        <v>99.10</v>
      </c>
      <c r="N15" s="60">
        <v>15</v>
      </c>
      <c r="O15" s="60">
        <v>0</v>
      </c>
      <c r="P15" s="60">
        <v>3.04</v>
      </c>
      <c r="Q15" s="60">
        <v>5.68</v>
      </c>
      <c r="R15" s="194"/>
      <c r="S15" s="194"/>
      <c r="T15" s="194"/>
      <c r="U15" s="194"/>
    </row>
    <row r="16" spans="1:21" s="12" customFormat="1" ht="15">
      <c r="A16" s="197" t="s">
        <v>2748</v>
      </c>
      <c r="B16" s="60">
        <v>4.4800000000000004</v>
      </c>
      <c r="C16" s="60">
        <v>9</v>
      </c>
      <c r="D16" s="60">
        <v>13.48</v>
      </c>
      <c r="E16" s="60">
        <v>6.66</v>
      </c>
      <c r="F16" s="60">
        <v>0.11</v>
      </c>
      <c r="G16" s="214" t="s">
        <v>36</v>
      </c>
      <c r="H16" s="60">
        <v>4.6399999999999997</v>
      </c>
      <c r="I16" s="60">
        <v>3.90</v>
      </c>
      <c r="J16" s="60">
        <v>0.78</v>
      </c>
      <c r="K16" s="60">
        <v>164.95</v>
      </c>
      <c r="L16" s="60">
        <v>34.619999999999997</v>
      </c>
      <c r="M16" s="60">
        <v>98.67</v>
      </c>
      <c r="N16" s="60">
        <v>15.80</v>
      </c>
      <c r="O16" s="60">
        <v>0</v>
      </c>
      <c r="P16" s="60">
        <v>3.03</v>
      </c>
      <c r="Q16" s="60">
        <v>5.1100000000000003</v>
      </c>
      <c r="R16" s="194"/>
      <c r="S16" s="194"/>
      <c r="T16" s="194"/>
      <c r="U16" s="194"/>
    </row>
    <row r="17" spans="1:21" s="12" customFormat="1" ht="15">
      <c r="A17" s="197" t="s">
        <v>2749</v>
      </c>
      <c r="B17" s="60">
        <v>4.5199999999999996</v>
      </c>
      <c r="C17" s="60">
        <v>8.4600000000000009</v>
      </c>
      <c r="D17" s="60">
        <v>12.98</v>
      </c>
      <c r="E17" s="60">
        <v>6.51</v>
      </c>
      <c r="F17" s="60">
        <v>0.16</v>
      </c>
      <c r="G17" s="214" t="s">
        <v>36</v>
      </c>
      <c r="H17" s="60">
        <v>4.55</v>
      </c>
      <c r="I17" s="60">
        <v>3.85</v>
      </c>
      <c r="J17" s="60">
        <v>0.43</v>
      </c>
      <c r="K17" s="60">
        <v>124.37</v>
      </c>
      <c r="L17" s="60">
        <v>35.130000000000003</v>
      </c>
      <c r="M17" s="60">
        <v>98.31</v>
      </c>
      <c r="N17" s="60">
        <v>15.5</v>
      </c>
      <c r="O17" s="60">
        <v>0</v>
      </c>
      <c r="P17" s="60">
        <v>3.03</v>
      </c>
      <c r="Q17" s="60">
        <v>4.33</v>
      </c>
      <c r="R17" s="194"/>
      <c r="S17" s="194"/>
      <c r="T17" s="194"/>
      <c r="U17" s="194"/>
    </row>
    <row r="18" spans="1:21" s="12" customFormat="1" ht="15">
      <c r="A18" s="197" t="s">
        <v>2750</v>
      </c>
      <c r="B18" s="60">
        <v>4.57</v>
      </c>
      <c r="C18" s="60">
        <v>8.35</v>
      </c>
      <c r="D18" s="60">
        <v>12.92</v>
      </c>
      <c r="E18" s="60">
        <v>7.29</v>
      </c>
      <c r="F18" s="60">
        <v>0.05</v>
      </c>
      <c r="G18" s="214" t="s">
        <v>36</v>
      </c>
      <c r="H18" s="60">
        <v>4.3499999999999996</v>
      </c>
      <c r="I18" s="60">
        <v>3.81</v>
      </c>
      <c r="J18" s="60">
        <v>0.68</v>
      </c>
      <c r="K18" s="60">
        <v>160.69</v>
      </c>
      <c r="L18" s="60">
        <v>35.409999999999997</v>
      </c>
      <c r="M18" s="60">
        <v>98.92</v>
      </c>
      <c r="N18" s="60">
        <v>15.20</v>
      </c>
      <c r="O18" s="60">
        <v>0</v>
      </c>
      <c r="P18" s="60">
        <v>3.03</v>
      </c>
      <c r="Q18" s="60">
        <v>4.04</v>
      </c>
      <c r="R18" s="194"/>
      <c r="S18" s="194"/>
      <c r="T18" s="194"/>
      <c r="U18" s="194"/>
    </row>
    <row r="19" spans="1:21" s="12" customFormat="1" ht="15">
      <c r="A19" s="197" t="s">
        <v>2751</v>
      </c>
      <c r="B19" s="60">
        <v>4.63</v>
      </c>
      <c r="C19" s="60">
        <v>8.07</v>
      </c>
      <c r="D19" s="60">
        <v>12.70</v>
      </c>
      <c r="E19" s="60">
        <v>7.36</v>
      </c>
      <c r="F19" s="60">
        <v>0.01</v>
      </c>
      <c r="G19" s="214" t="s">
        <v>36</v>
      </c>
      <c r="H19" s="60">
        <v>4.3499999999999996</v>
      </c>
      <c r="I19" s="60">
        <v>3.90</v>
      </c>
      <c r="J19" s="60">
        <v>0.74</v>
      </c>
      <c r="K19" s="60">
        <v>157.15</v>
      </c>
      <c r="L19" s="60">
        <v>35.92</v>
      </c>
      <c r="M19" s="60">
        <v>98.47</v>
      </c>
      <c r="N19" s="60">
        <v>15.30</v>
      </c>
      <c r="O19" s="60">
        <v>0</v>
      </c>
      <c r="P19" s="60">
        <v>3.03</v>
      </c>
      <c r="Q19" s="60">
        <v>3.84</v>
      </c>
      <c r="R19" s="194"/>
      <c r="S19" s="194"/>
      <c r="T19" s="194"/>
      <c r="U19" s="194"/>
    </row>
    <row r="20" spans="1:21" s="12" customFormat="1" ht="15">
      <c r="A20" s="197" t="s">
        <v>2752</v>
      </c>
      <c r="B20" s="60">
        <v>4.6900000000000004</v>
      </c>
      <c r="C20" s="60">
        <v>7.57</v>
      </c>
      <c r="D20" s="60">
        <v>12.26</v>
      </c>
      <c r="E20" s="60">
        <v>7.16</v>
      </c>
      <c r="F20" s="60">
        <v>0.21</v>
      </c>
      <c r="G20" s="214" t="s">
        <v>36</v>
      </c>
      <c r="H20" s="60">
        <v>4.3499999999999996</v>
      </c>
      <c r="I20" s="60">
        <v>3.87</v>
      </c>
      <c r="J20" s="60">
        <v>0.99</v>
      </c>
      <c r="K20" s="60">
        <v>159.78</v>
      </c>
      <c r="L20" s="60">
        <v>50.06</v>
      </c>
      <c r="M20" s="60">
        <v>98.42</v>
      </c>
      <c r="N20" s="60">
        <v>15.5</v>
      </c>
      <c r="O20" s="60">
        <v>0</v>
      </c>
      <c r="P20" s="60">
        <v>3.02</v>
      </c>
      <c r="Q20" s="60">
        <v>3.69</v>
      </c>
      <c r="R20" s="194"/>
      <c r="S20" s="194"/>
      <c r="T20" s="194"/>
      <c r="U20" s="194"/>
    </row>
    <row r="21" spans="1:21" s="12" customFormat="1" ht="15">
      <c r="A21" s="197" t="s">
        <v>2753</v>
      </c>
      <c r="B21" s="60">
        <v>4.71</v>
      </c>
      <c r="C21" s="60">
        <v>7.73</v>
      </c>
      <c r="D21" s="60">
        <v>12.44</v>
      </c>
      <c r="E21" s="60">
        <v>7.30</v>
      </c>
      <c r="F21" s="60">
        <v>0.10</v>
      </c>
      <c r="G21" s="214" t="s">
        <v>36</v>
      </c>
      <c r="H21" s="60">
        <v>4.09</v>
      </c>
      <c r="I21" s="60">
        <v>3.96</v>
      </c>
      <c r="J21" s="60">
        <v>0.88</v>
      </c>
      <c r="K21" s="60">
        <v>158.24</v>
      </c>
      <c r="L21" s="60">
        <v>37.04</v>
      </c>
      <c r="M21" s="60">
        <v>98.84</v>
      </c>
      <c r="N21" s="60">
        <v>15.5</v>
      </c>
      <c r="O21" s="60">
        <v>0</v>
      </c>
      <c r="P21" s="60">
        <v>3.02</v>
      </c>
      <c r="Q21" s="60">
        <v>3.72</v>
      </c>
      <c r="R21" s="194"/>
      <c r="S21" s="194"/>
      <c r="T21" s="194"/>
      <c r="U21" s="194"/>
    </row>
    <row r="22" spans="1:21" s="12" customFormat="1" ht="15">
      <c r="A22" s="197" t="s">
        <v>2754</v>
      </c>
      <c r="B22" s="60">
        <v>4.72</v>
      </c>
      <c r="C22" s="60">
        <v>7.69</v>
      </c>
      <c r="D22" s="60">
        <v>12.40</v>
      </c>
      <c r="E22" s="60">
        <v>7.38</v>
      </c>
      <c r="F22" s="60">
        <v>0.15</v>
      </c>
      <c r="G22" s="214" t="s">
        <v>36</v>
      </c>
      <c r="H22" s="60">
        <v>3.46</v>
      </c>
      <c r="I22" s="60">
        <v>4</v>
      </c>
      <c r="J22" s="60">
        <v>0.86</v>
      </c>
      <c r="K22" s="60">
        <v>163.34</v>
      </c>
      <c r="L22" s="60">
        <v>37.39</v>
      </c>
      <c r="M22" s="60">
        <v>99.07</v>
      </c>
      <c r="N22" s="60">
        <v>15.20</v>
      </c>
      <c r="O22" s="60">
        <v>0</v>
      </c>
      <c r="P22" s="60">
        <v>3.01</v>
      </c>
      <c r="Q22" s="60">
        <v>3.64</v>
      </c>
      <c r="R22" s="194"/>
      <c r="S22" s="194"/>
      <c r="T22" s="194"/>
      <c r="U22" s="194"/>
    </row>
    <row r="23" spans="1:21" s="12" customFormat="1" ht="15">
      <c r="A23" s="197" t="s">
        <v>2755</v>
      </c>
      <c r="B23" s="60">
        <v>4.6900000000000004</v>
      </c>
      <c r="C23" s="60">
        <v>7.38</v>
      </c>
      <c r="D23" s="60">
        <v>12.06</v>
      </c>
      <c r="E23" s="60">
        <v>7.72</v>
      </c>
      <c r="F23" s="60">
        <v>0.08</v>
      </c>
      <c r="G23" s="214" t="s">
        <v>36</v>
      </c>
      <c r="H23" s="60">
        <v>3.46</v>
      </c>
      <c r="I23" s="60">
        <v>3.98</v>
      </c>
      <c r="J23" s="60">
        <v>0.77</v>
      </c>
      <c r="K23" s="60">
        <v>160.13</v>
      </c>
      <c r="L23" s="60">
        <v>37.28</v>
      </c>
      <c r="M23" s="60">
        <v>99.05</v>
      </c>
      <c r="N23" s="60">
        <v>15.20</v>
      </c>
      <c r="O23" s="60">
        <v>0</v>
      </c>
      <c r="P23" s="60">
        <v>3</v>
      </c>
      <c r="Q23" s="60">
        <v>3.93</v>
      </c>
      <c r="R23" s="194"/>
      <c r="S23" s="194"/>
      <c r="T23" s="194"/>
      <c r="U23" s="194"/>
    </row>
    <row r="24" spans="1:21" s="12" customFormat="1" ht="15">
      <c r="A24" s="197" t="s">
        <v>2756</v>
      </c>
      <c r="B24" s="60">
        <v>4.45</v>
      </c>
      <c r="C24" s="60">
        <v>7.53</v>
      </c>
      <c r="D24" s="60">
        <v>11.99</v>
      </c>
      <c r="E24" s="60">
        <v>4.17</v>
      </c>
      <c r="F24" s="60">
        <v>0.19</v>
      </c>
      <c r="G24" s="214" t="s">
        <v>36</v>
      </c>
      <c r="H24" s="60">
        <v>3.46</v>
      </c>
      <c r="I24" s="60">
        <v>4</v>
      </c>
      <c r="J24" s="60">
        <v>0.56999999999999995</v>
      </c>
      <c r="K24" s="60">
        <v>156.78</v>
      </c>
      <c r="L24" s="60">
        <v>37.68</v>
      </c>
      <c r="M24" s="60">
        <v>98.88</v>
      </c>
      <c r="N24" s="60">
        <v>15.40</v>
      </c>
      <c r="O24" s="60">
        <v>0</v>
      </c>
      <c r="P24" s="60">
        <v>2.99</v>
      </c>
      <c r="Q24" s="60">
        <v>5.08</v>
      </c>
      <c r="R24" s="194"/>
      <c r="S24" s="194"/>
      <c r="T24" s="194"/>
      <c r="U24" s="194"/>
    </row>
    <row r="25" spans="1:21" s="12" customFormat="1" ht="15">
      <c r="A25" s="197" t="s">
        <v>2757</v>
      </c>
      <c r="B25" s="60">
        <v>4.1900000000000004</v>
      </c>
      <c r="C25" s="60">
        <v>7.82</v>
      </c>
      <c r="D25" s="60">
        <v>12.01</v>
      </c>
      <c r="E25" s="60">
        <v>7.23</v>
      </c>
      <c r="F25" s="60">
        <v>0.21</v>
      </c>
      <c r="G25" s="214" t="s">
        <v>36</v>
      </c>
      <c r="H25" s="60">
        <v>3.33</v>
      </c>
      <c r="I25" s="60">
        <v>3.97</v>
      </c>
      <c r="J25" s="60">
        <v>0.36</v>
      </c>
      <c r="K25" s="60">
        <v>174.25</v>
      </c>
      <c r="L25" s="60">
        <v>37.630000000000003</v>
      </c>
      <c r="M25" s="60">
        <v>98.93</v>
      </c>
      <c r="N25" s="60">
        <v>15.10</v>
      </c>
      <c r="O25" s="60">
        <v>0</v>
      </c>
      <c r="P25" s="60">
        <v>2.98</v>
      </c>
      <c r="Q25" s="60">
        <v>5.80</v>
      </c>
      <c r="R25" s="194"/>
      <c r="S25" s="194"/>
      <c r="T25" s="194"/>
      <c r="U25" s="194"/>
    </row>
    <row r="26" spans="1:21" s="12" customFormat="1" ht="15">
      <c r="A26" s="197" t="s">
        <v>2758</v>
      </c>
      <c r="B26" s="60">
        <v>3.94</v>
      </c>
      <c r="C26" s="60">
        <v>8.02</v>
      </c>
      <c r="D26" s="60">
        <v>11.96</v>
      </c>
      <c r="E26" s="60">
        <v>7.85</v>
      </c>
      <c r="F26" s="60">
        <v>0.06</v>
      </c>
      <c r="G26" s="214" t="s">
        <v>36</v>
      </c>
      <c r="H26" s="60">
        <v>3.02</v>
      </c>
      <c r="I26" s="60">
        <v>3.83</v>
      </c>
      <c r="J26" s="60">
        <v>0.37</v>
      </c>
      <c r="K26" s="60">
        <v>172.22</v>
      </c>
      <c r="L26" s="60">
        <v>32.18</v>
      </c>
      <c r="M26" s="60">
        <v>99.10</v>
      </c>
      <c r="N26" s="60">
        <v>15</v>
      </c>
      <c r="O26" s="60">
        <v>0</v>
      </c>
      <c r="P26" s="60">
        <v>2.98</v>
      </c>
      <c r="Q26" s="60">
        <v>5.97</v>
      </c>
      <c r="R26" s="194"/>
      <c r="S26" s="194"/>
      <c r="T26" s="194"/>
      <c r="U26" s="194"/>
    </row>
    <row r="27" spans="1:21" s="12" customFormat="1" ht="15">
      <c r="A27" s="197" t="s">
        <v>2759</v>
      </c>
      <c r="B27" s="60">
        <v>3.74</v>
      </c>
      <c r="C27" s="60">
        <v>8.0399999999999991</v>
      </c>
      <c r="D27" s="60">
        <v>11.79</v>
      </c>
      <c r="E27" s="60">
        <v>7.22</v>
      </c>
      <c r="F27" s="60">
        <v>0.070000000000000007</v>
      </c>
      <c r="G27" s="214" t="s">
        <v>36</v>
      </c>
      <c r="H27" s="60">
        <v>3.02</v>
      </c>
      <c r="I27" s="60">
        <v>3.79</v>
      </c>
      <c r="J27" s="60">
        <v>0.51</v>
      </c>
      <c r="K27" s="60">
        <v>168.84</v>
      </c>
      <c r="L27" s="60">
        <v>32.049999999999997</v>
      </c>
      <c r="M27" s="60">
        <v>99.10</v>
      </c>
      <c r="N27" s="60">
        <v>15.10</v>
      </c>
      <c r="O27" s="60">
        <v>0</v>
      </c>
      <c r="P27" s="60">
        <v>2.95</v>
      </c>
      <c r="Q27" s="60">
        <v>5.85</v>
      </c>
      <c r="R27" s="194"/>
      <c r="S27" s="194"/>
      <c r="T27" s="194"/>
      <c r="U27" s="194"/>
    </row>
    <row r="28" spans="1:21" s="12" customFormat="1" ht="15">
      <c r="A28" s="197" t="s">
        <v>2760</v>
      </c>
      <c r="B28" s="60">
        <v>3.59</v>
      </c>
      <c r="C28" s="60">
        <v>7.99</v>
      </c>
      <c r="D28" s="60">
        <v>11.58</v>
      </c>
      <c r="E28" s="60">
        <v>7.40</v>
      </c>
      <c r="F28" s="60">
        <v>0.09</v>
      </c>
      <c r="G28" s="214" t="s">
        <v>36</v>
      </c>
      <c r="H28" s="60">
        <v>3.02</v>
      </c>
      <c r="I28" s="60">
        <v>3.77</v>
      </c>
      <c r="J28" s="60">
        <v>0.65</v>
      </c>
      <c r="K28" s="60">
        <v>166.11</v>
      </c>
      <c r="L28" s="60">
        <v>31.92</v>
      </c>
      <c r="M28" s="60">
        <v>99.07</v>
      </c>
      <c r="N28" s="60">
        <v>15.5</v>
      </c>
      <c r="O28" s="60">
        <v>0</v>
      </c>
      <c r="P28" s="60">
        <v>2.95</v>
      </c>
      <c r="Q28" s="60">
        <v>5.90</v>
      </c>
      <c r="R28" s="194"/>
      <c r="S28" s="194"/>
      <c r="T28" s="194"/>
      <c r="U28" s="194"/>
    </row>
    <row r="29" spans="1:21" s="12" customFormat="1" ht="15">
      <c r="A29" s="197" t="s">
        <v>2761</v>
      </c>
      <c r="B29" s="60">
        <v>3.5</v>
      </c>
      <c r="C29" s="60">
        <v>8.01</v>
      </c>
      <c r="D29" s="60">
        <v>11.51</v>
      </c>
      <c r="E29" s="60">
        <v>7.37</v>
      </c>
      <c r="F29" s="60">
        <v>0.14000000000000001</v>
      </c>
      <c r="G29" s="214" t="s">
        <v>36</v>
      </c>
      <c r="H29" s="60">
        <v>3.02</v>
      </c>
      <c r="I29" s="60">
        <v>3.69</v>
      </c>
      <c r="J29" s="60">
        <v>1.23</v>
      </c>
      <c r="K29" s="60">
        <v>157.91</v>
      </c>
      <c r="L29" s="60">
        <v>31.67</v>
      </c>
      <c r="M29" s="60">
        <v>99.06</v>
      </c>
      <c r="N29" s="60">
        <v>15.80</v>
      </c>
      <c r="O29" s="60">
        <v>0</v>
      </c>
      <c r="P29" s="60">
        <v>2.94</v>
      </c>
      <c r="Q29" s="60">
        <v>5.89</v>
      </c>
      <c r="R29" s="194"/>
      <c r="S29" s="194"/>
      <c r="T29" s="194"/>
      <c r="U29" s="194"/>
    </row>
    <row r="30" spans="1:21" s="12" customFormat="1" ht="15">
      <c r="A30" s="197" t="s">
        <v>2762</v>
      </c>
      <c r="B30" s="60">
        <v>3.42</v>
      </c>
      <c r="C30" s="60">
        <v>8.09</v>
      </c>
      <c r="D30" s="60">
        <v>11.51</v>
      </c>
      <c r="E30" s="60">
        <v>7.69</v>
      </c>
      <c r="F30" s="60">
        <v>0.05</v>
      </c>
      <c r="G30" s="214" t="s">
        <v>36</v>
      </c>
      <c r="H30" s="60">
        <v>3.02</v>
      </c>
      <c r="I30" s="60">
        <v>3.64</v>
      </c>
      <c r="J30" s="60">
        <v>0.92</v>
      </c>
      <c r="K30" s="60">
        <v>163.74</v>
      </c>
      <c r="L30" s="60">
        <v>31.49</v>
      </c>
      <c r="M30" s="60">
        <v>99.08</v>
      </c>
      <c r="N30" s="60">
        <v>17.100000000000001</v>
      </c>
      <c r="O30" s="60">
        <v>0</v>
      </c>
      <c r="P30" s="60">
        <v>2.94</v>
      </c>
      <c r="Q30" s="60">
        <v>5.38</v>
      </c>
      <c r="R30" s="194"/>
      <c r="S30" s="194"/>
      <c r="T30" s="194"/>
      <c r="U30" s="194"/>
    </row>
    <row r="31" spans="1:21" s="12" customFormat="1" ht="15">
      <c r="A31" s="197" t="s">
        <v>2763</v>
      </c>
      <c r="B31" s="60">
        <v>3.47</v>
      </c>
      <c r="C31" s="60">
        <v>7.91</v>
      </c>
      <c r="D31" s="60">
        <v>11.38</v>
      </c>
      <c r="E31" s="60">
        <v>7.32</v>
      </c>
      <c r="F31" s="60">
        <v>0.070000000000000007</v>
      </c>
      <c r="G31" s="214" t="s">
        <v>36</v>
      </c>
      <c r="H31" s="60">
        <v>3.02</v>
      </c>
      <c r="I31" s="60">
        <v>3.63</v>
      </c>
      <c r="J31" s="60">
        <v>0.91</v>
      </c>
      <c r="K31" s="60">
        <v>164.73</v>
      </c>
      <c r="L31" s="60">
        <v>31.41</v>
      </c>
      <c r="M31" s="60">
        <v>99.07</v>
      </c>
      <c r="N31" s="60">
        <v>22.5</v>
      </c>
      <c r="O31" s="60">
        <v>0</v>
      </c>
      <c r="P31" s="60">
        <v>2.94</v>
      </c>
      <c r="Q31" s="60">
        <v>4.38</v>
      </c>
      <c r="R31" s="194"/>
      <c r="S31" s="194"/>
      <c r="T31" s="194"/>
      <c r="U31" s="194"/>
    </row>
    <row r="32" spans="1:21" s="12" customFormat="1" ht="15">
      <c r="A32" s="197" t="s">
        <v>2764</v>
      </c>
      <c r="B32" s="60">
        <v>3.62</v>
      </c>
      <c r="C32" s="60">
        <v>7.81</v>
      </c>
      <c r="D32" s="60">
        <v>11.43</v>
      </c>
      <c r="E32" s="60">
        <v>7.74</v>
      </c>
      <c r="F32" s="60">
        <v>0.15</v>
      </c>
      <c r="G32" s="214" t="s">
        <v>36</v>
      </c>
      <c r="H32" s="60">
        <v>3.02</v>
      </c>
      <c r="I32" s="60">
        <v>3.62</v>
      </c>
      <c r="J32" s="60">
        <v>1.08</v>
      </c>
      <c r="K32" s="60">
        <v>160.43</v>
      </c>
      <c r="L32" s="60">
        <v>31.43</v>
      </c>
      <c r="M32" s="60">
        <v>98.94</v>
      </c>
      <c r="N32" s="60">
        <v>31</v>
      </c>
      <c r="O32" s="60">
        <v>0</v>
      </c>
      <c r="P32" s="60">
        <v>2.93</v>
      </c>
      <c r="Q32" s="60">
        <v>3.75</v>
      </c>
      <c r="R32" s="194"/>
      <c r="S32" s="194"/>
      <c r="T32" s="194"/>
      <c r="U32" s="194"/>
    </row>
    <row r="33" spans="1:21" s="12" customFormat="1" ht="15">
      <c r="A33" s="197" t="s">
        <v>2765</v>
      </c>
      <c r="B33" s="60">
        <v>3.83</v>
      </c>
      <c r="C33" s="60">
        <v>8.07</v>
      </c>
      <c r="D33" s="60">
        <v>11.90</v>
      </c>
      <c r="E33" s="60">
        <v>7.81</v>
      </c>
      <c r="F33" s="60">
        <v>0.09</v>
      </c>
      <c r="G33" s="214" t="s">
        <v>36</v>
      </c>
      <c r="H33" s="60">
        <v>3.22</v>
      </c>
      <c r="I33" s="60">
        <v>3.59</v>
      </c>
      <c r="J33" s="60">
        <v>0.92</v>
      </c>
      <c r="K33" s="60">
        <v>156.88</v>
      </c>
      <c r="L33" s="60">
        <v>31.52</v>
      </c>
      <c r="M33" s="60">
        <v>98.67</v>
      </c>
      <c r="N33" s="60">
        <v>44.70</v>
      </c>
      <c r="O33" s="60">
        <v>0</v>
      </c>
      <c r="P33" s="60">
        <v>2.94</v>
      </c>
      <c r="Q33" s="60">
        <v>3.65</v>
      </c>
      <c r="R33" s="194"/>
      <c r="S33" s="194"/>
      <c r="T33" s="194"/>
      <c r="U33" s="194"/>
    </row>
    <row r="34" spans="1:21" s="12" customFormat="1" ht="15">
      <c r="A34" s="197" t="s">
        <v>2766</v>
      </c>
      <c r="B34" s="60">
        <v>4.07</v>
      </c>
      <c r="C34" s="60">
        <v>8.0500000000000007</v>
      </c>
      <c r="D34" s="60">
        <v>12.13</v>
      </c>
      <c r="E34" s="60">
        <v>7.99</v>
      </c>
      <c r="F34" s="60">
        <v>0.070000000000000007</v>
      </c>
      <c r="G34" s="214" t="s">
        <v>36</v>
      </c>
      <c r="H34" s="60">
        <v>3.71</v>
      </c>
      <c r="I34" s="60">
        <v>3.62</v>
      </c>
      <c r="J34" s="60">
        <v>0.51</v>
      </c>
      <c r="K34" s="60">
        <v>106.91</v>
      </c>
      <c r="L34" s="60">
        <v>31.65</v>
      </c>
      <c r="M34" s="60">
        <v>98.25</v>
      </c>
      <c r="N34" s="60">
        <v>76.099999999999994</v>
      </c>
      <c r="O34" s="60">
        <v>0</v>
      </c>
      <c r="P34" s="60">
        <v>2.94</v>
      </c>
      <c r="Q34" s="60">
        <v>3.55</v>
      </c>
      <c r="R34" s="194"/>
      <c r="S34" s="194"/>
      <c r="T34" s="194"/>
      <c r="U34" s="194"/>
    </row>
    <row r="35" spans="1:21" s="12" customFormat="1" ht="15">
      <c r="A35" s="197" t="s">
        <v>2767</v>
      </c>
      <c r="B35" s="60">
        <v>4.43</v>
      </c>
      <c r="C35" s="60">
        <v>8.0299999999999994</v>
      </c>
      <c r="D35" s="60">
        <v>12.46</v>
      </c>
      <c r="E35" s="60">
        <v>8.2200000000000006</v>
      </c>
      <c r="F35" s="60">
        <v>0.06</v>
      </c>
      <c r="G35" s="214" t="s">
        <v>36</v>
      </c>
      <c r="H35" s="60">
        <v>3.71</v>
      </c>
      <c r="I35" s="60">
        <v>3.68</v>
      </c>
      <c r="J35" s="60">
        <v>0.34</v>
      </c>
      <c r="K35" s="60">
        <v>126.48</v>
      </c>
      <c r="L35" s="60">
        <v>31.81</v>
      </c>
      <c r="M35" s="60">
        <v>97.66</v>
      </c>
      <c r="N35" s="60">
        <v>96.40</v>
      </c>
      <c r="O35" s="60">
        <v>0</v>
      </c>
      <c r="P35" s="60">
        <v>2.93</v>
      </c>
      <c r="Q35" s="60">
        <v>3.67</v>
      </c>
      <c r="R35" s="194"/>
      <c r="S35" s="194"/>
      <c r="T35" s="194"/>
      <c r="U35" s="194"/>
    </row>
    <row r="36" spans="1:21" s="12" customFormat="1" ht="15">
      <c r="A36" s="197" t="s">
        <v>2768</v>
      </c>
      <c r="B36" s="60">
        <v>4.7699999999999996</v>
      </c>
      <c r="C36" s="60">
        <v>7.78</v>
      </c>
      <c r="D36" s="60">
        <v>12.55</v>
      </c>
      <c r="E36" s="60">
        <v>8.31</v>
      </c>
      <c r="F36" s="60">
        <v>0.21</v>
      </c>
      <c r="G36" s="214" t="s">
        <v>36</v>
      </c>
      <c r="H36" s="60">
        <v>3.71</v>
      </c>
      <c r="I36" s="60">
        <v>3.73</v>
      </c>
      <c r="J36" s="60">
        <v>0.52</v>
      </c>
      <c r="K36" s="60">
        <v>171.32</v>
      </c>
      <c r="L36" s="60">
        <v>32.090000000000003</v>
      </c>
      <c r="M36" s="60">
        <v>96.89</v>
      </c>
      <c r="N36" s="60">
        <v>97.20</v>
      </c>
      <c r="O36" s="60">
        <v>0</v>
      </c>
      <c r="P36" s="60">
        <v>2.93</v>
      </c>
      <c r="Q36" s="60">
        <v>3.67</v>
      </c>
      <c r="R36" s="194"/>
      <c r="S36" s="194"/>
      <c r="T36" s="194"/>
      <c r="U36" s="194"/>
    </row>
    <row r="37" spans="1:21" s="12" customFormat="1" ht="15">
      <c r="A37" s="197" t="s">
        <v>2769</v>
      </c>
      <c r="B37" s="60">
        <v>5.09</v>
      </c>
      <c r="C37" s="60">
        <v>8.2100000000000009</v>
      </c>
      <c r="D37" s="60">
        <v>13.30</v>
      </c>
      <c r="E37" s="60">
        <v>8.3800000000000008</v>
      </c>
      <c r="F37" s="60">
        <v>0.14000000000000001</v>
      </c>
      <c r="G37" s="214" t="s">
        <v>36</v>
      </c>
      <c r="H37" s="60">
        <v>3.56</v>
      </c>
      <c r="I37" s="60">
        <v>3.73</v>
      </c>
      <c r="J37" s="60">
        <v>0.77</v>
      </c>
      <c r="K37" s="60">
        <v>162.68</v>
      </c>
      <c r="L37" s="60">
        <v>32.26</v>
      </c>
      <c r="M37" s="60">
        <v>96.11</v>
      </c>
      <c r="N37" s="60">
        <v>91.60</v>
      </c>
      <c r="O37" s="60">
        <v>0</v>
      </c>
      <c r="P37" s="60">
        <v>2.94</v>
      </c>
      <c r="Q37" s="60">
        <v>3.88</v>
      </c>
      <c r="R37" s="194"/>
      <c r="S37" s="194"/>
      <c r="T37" s="194"/>
      <c r="U37" s="194"/>
    </row>
    <row r="38" spans="1:21" s="12" customFormat="1" ht="15">
      <c r="A38" s="197" t="s">
        <v>2770</v>
      </c>
      <c r="B38" s="60">
        <v>5.25</v>
      </c>
      <c r="C38" s="60">
        <v>8.3000000000000007</v>
      </c>
      <c r="D38" s="60">
        <v>13.55</v>
      </c>
      <c r="E38" s="60">
        <v>8.3800000000000008</v>
      </c>
      <c r="F38" s="60">
        <v>0.34</v>
      </c>
      <c r="G38" s="214" t="s">
        <v>36</v>
      </c>
      <c r="H38" s="60">
        <v>3.21</v>
      </c>
      <c r="I38" s="60">
        <v>3.79</v>
      </c>
      <c r="J38" s="60">
        <v>0.86</v>
      </c>
      <c r="K38" s="60">
        <v>155.09</v>
      </c>
      <c r="L38" s="60">
        <v>32.35</v>
      </c>
      <c r="M38" s="60">
        <v>95.86</v>
      </c>
      <c r="N38" s="60">
        <v>99.10</v>
      </c>
      <c r="O38" s="60">
        <v>0</v>
      </c>
      <c r="P38" s="60">
        <v>2.93</v>
      </c>
      <c r="Q38" s="60">
        <v>4.9000000000000004</v>
      </c>
      <c r="R38" s="194"/>
      <c r="S38" s="194"/>
      <c r="T38" s="194"/>
      <c r="U38" s="194"/>
    </row>
    <row r="39" spans="1:21" s="12" customFormat="1" ht="15">
      <c r="A39" s="197" t="s">
        <v>2771</v>
      </c>
      <c r="B39" s="60">
        <v>5.42</v>
      </c>
      <c r="C39" s="60">
        <v>8.68</v>
      </c>
      <c r="D39" s="60">
        <v>14.10</v>
      </c>
      <c r="E39" s="60">
        <v>8.4499999999999993</v>
      </c>
      <c r="F39" s="60">
        <v>0.30</v>
      </c>
      <c r="G39" s="214" t="s">
        <v>36</v>
      </c>
      <c r="H39" s="60">
        <v>3.21</v>
      </c>
      <c r="I39" s="60">
        <v>3.86</v>
      </c>
      <c r="J39" s="60">
        <v>1.28</v>
      </c>
      <c r="K39" s="60">
        <v>159.78</v>
      </c>
      <c r="L39" s="60">
        <v>32.39</v>
      </c>
      <c r="M39" s="60">
        <v>94.87</v>
      </c>
      <c r="N39" s="60">
        <v>117.60</v>
      </c>
      <c r="O39" s="60">
        <v>0</v>
      </c>
      <c r="P39" s="60">
        <v>2.94</v>
      </c>
      <c r="Q39" s="60">
        <v>6.20</v>
      </c>
      <c r="R39" s="194"/>
      <c r="S39" s="194"/>
      <c r="T39" s="194"/>
      <c r="U39" s="194"/>
    </row>
    <row r="40" spans="1:21" s="12" customFormat="1" ht="15">
      <c r="A40" s="197" t="s">
        <v>2772</v>
      </c>
      <c r="B40" s="60">
        <v>5.58</v>
      </c>
      <c r="C40" s="60">
        <v>9.18</v>
      </c>
      <c r="D40" s="60">
        <v>14.76</v>
      </c>
      <c r="E40" s="60">
        <v>4.4400000000000004</v>
      </c>
      <c r="F40" s="60">
        <v>0.34</v>
      </c>
      <c r="G40" s="214" t="s">
        <v>36</v>
      </c>
      <c r="H40" s="60">
        <v>3.21</v>
      </c>
      <c r="I40" s="60">
        <v>3.85</v>
      </c>
      <c r="J40" s="60">
        <v>1.07</v>
      </c>
      <c r="K40" s="60">
        <v>161.49</v>
      </c>
      <c r="L40" s="60">
        <v>32.43</v>
      </c>
      <c r="M40" s="60">
        <v>94.44</v>
      </c>
      <c r="N40" s="60">
        <v>132.5</v>
      </c>
      <c r="O40" s="60">
        <v>0</v>
      </c>
      <c r="P40" s="60">
        <v>2.94</v>
      </c>
      <c r="Q40" s="60">
        <v>6.77</v>
      </c>
      <c r="R40" s="194"/>
      <c r="S40" s="194"/>
      <c r="T40" s="194"/>
      <c r="U40" s="194"/>
    </row>
    <row r="41" spans="1:21" s="12" customFormat="1" ht="15">
      <c r="A41" s="197" t="s">
        <v>2773</v>
      </c>
      <c r="B41" s="60">
        <v>5.68</v>
      </c>
      <c r="C41" s="60">
        <v>9.51</v>
      </c>
      <c r="D41" s="60">
        <v>15.19</v>
      </c>
      <c r="E41" s="60">
        <v>7.85</v>
      </c>
      <c r="F41" s="60">
        <v>0.17</v>
      </c>
      <c r="G41" s="214" t="s">
        <v>36</v>
      </c>
      <c r="H41" s="60">
        <v>4.63</v>
      </c>
      <c r="I41" s="60">
        <v>3.84</v>
      </c>
      <c r="J41" s="60">
        <v>0.83</v>
      </c>
      <c r="K41" s="60">
        <v>168.97</v>
      </c>
      <c r="L41" s="60">
        <v>32.61</v>
      </c>
      <c r="M41" s="60">
        <v>93.5</v>
      </c>
      <c r="N41" s="60">
        <v>176.60</v>
      </c>
      <c r="O41" s="60">
        <v>0</v>
      </c>
      <c r="P41" s="60">
        <v>2.94</v>
      </c>
      <c r="Q41" s="60">
        <v>6.87</v>
      </c>
      <c r="R41" s="194"/>
      <c r="S41" s="194"/>
      <c r="T41" s="194"/>
      <c r="U41" s="194"/>
    </row>
    <row r="42" spans="1:21" s="12" customFormat="1" ht="15">
      <c r="A42" s="197" t="s">
        <v>2774</v>
      </c>
      <c r="B42" s="60">
        <v>5.79</v>
      </c>
      <c r="C42" s="60">
        <v>9.60</v>
      </c>
      <c r="D42" s="60">
        <v>15.40</v>
      </c>
      <c r="E42" s="60">
        <v>8.5299999999999994</v>
      </c>
      <c r="F42" s="214" t="s">
        <v>36</v>
      </c>
      <c r="G42" s="214" t="s">
        <v>36</v>
      </c>
      <c r="H42" s="60">
        <v>8.1300000000000008</v>
      </c>
      <c r="I42" s="60">
        <v>3.86</v>
      </c>
      <c r="J42" s="60">
        <v>0.97</v>
      </c>
      <c r="K42" s="60">
        <v>151.66</v>
      </c>
      <c r="L42" s="60">
        <v>32.880000000000003</v>
      </c>
      <c r="M42" s="60">
        <v>91.91</v>
      </c>
      <c r="N42" s="60">
        <v>244.30</v>
      </c>
      <c r="O42" s="60">
        <v>0</v>
      </c>
      <c r="P42" s="60">
        <v>2.94</v>
      </c>
      <c r="Q42" s="60">
        <v>6.78</v>
      </c>
      <c r="R42" s="194"/>
      <c r="S42" s="194"/>
      <c r="T42" s="194"/>
      <c r="U42" s="194"/>
    </row>
    <row r="43" spans="1:21" s="12" customFormat="1" ht="15">
      <c r="A43" s="197" t="s">
        <v>2775</v>
      </c>
      <c r="B43" s="60">
        <v>5.77</v>
      </c>
      <c r="C43" s="60">
        <v>9.49</v>
      </c>
      <c r="D43" s="60">
        <v>15.27</v>
      </c>
      <c r="E43" s="60">
        <v>8.1300000000000008</v>
      </c>
      <c r="F43" s="60">
        <v>0.20</v>
      </c>
      <c r="G43" s="214" t="s">
        <v>36</v>
      </c>
      <c r="H43" s="60">
        <v>8.1300000000000008</v>
      </c>
      <c r="I43" s="60">
        <v>3.88</v>
      </c>
      <c r="J43" s="60">
        <v>1.01</v>
      </c>
      <c r="K43" s="60">
        <v>164.16</v>
      </c>
      <c r="L43" s="60">
        <v>33.11</v>
      </c>
      <c r="M43" s="60">
        <v>90.39</v>
      </c>
      <c r="N43" s="60">
        <v>248.80</v>
      </c>
      <c r="O43" s="60">
        <v>0</v>
      </c>
      <c r="P43" s="60">
        <v>2.93</v>
      </c>
      <c r="Q43" s="60">
        <v>6.75</v>
      </c>
      <c r="R43" s="194"/>
      <c r="S43" s="194"/>
      <c r="T43" s="194"/>
      <c r="U43" s="194"/>
    </row>
    <row r="44" spans="1:21" s="12" customFormat="1" ht="15">
      <c r="A44" s="197" t="s">
        <v>2776</v>
      </c>
      <c r="B44" s="60">
        <v>5.52</v>
      </c>
      <c r="C44" s="60">
        <v>9.84</v>
      </c>
      <c r="D44" s="60">
        <v>15.36</v>
      </c>
      <c r="E44" s="60">
        <v>7.87</v>
      </c>
      <c r="F44" s="60">
        <v>0.05</v>
      </c>
      <c r="G44" s="214" t="s">
        <v>36</v>
      </c>
      <c r="H44" s="60">
        <v>8.1300000000000008</v>
      </c>
      <c r="I44" s="60">
        <v>3.90</v>
      </c>
      <c r="J44" s="60">
        <v>1.53</v>
      </c>
      <c r="K44" s="60">
        <v>153.58000000000001</v>
      </c>
      <c r="L44" s="60">
        <v>33.47</v>
      </c>
      <c r="M44" s="60">
        <v>88.09</v>
      </c>
      <c r="N44" s="60">
        <v>375.10</v>
      </c>
      <c r="O44" s="60">
        <v>0</v>
      </c>
      <c r="P44" s="60">
        <v>2.94</v>
      </c>
      <c r="Q44" s="60">
        <v>6.39</v>
      </c>
      <c r="R44" s="194"/>
      <c r="S44" s="194"/>
      <c r="T44" s="194"/>
      <c r="U44" s="194"/>
    </row>
    <row r="45" spans="1:21" s="12" customFormat="1" ht="15">
      <c r="A45" s="197" t="s">
        <v>2777</v>
      </c>
      <c r="B45" s="60">
        <v>5.34</v>
      </c>
      <c r="C45" s="60">
        <v>9.58</v>
      </c>
      <c r="D45" s="60">
        <v>14.93</v>
      </c>
      <c r="E45" s="60">
        <v>7.93</v>
      </c>
      <c r="F45" s="60">
        <v>0.17</v>
      </c>
      <c r="G45" s="214" t="s">
        <v>36</v>
      </c>
      <c r="H45" s="60">
        <v>7.88</v>
      </c>
      <c r="I45" s="60">
        <v>3.82</v>
      </c>
      <c r="J45" s="60">
        <v>0.77</v>
      </c>
      <c r="K45" s="60">
        <v>171.39</v>
      </c>
      <c r="L45" s="60">
        <v>33.94</v>
      </c>
      <c r="M45" s="60">
        <v>86.03</v>
      </c>
      <c r="N45" s="60">
        <v>419.20</v>
      </c>
      <c r="O45" s="60">
        <v>0</v>
      </c>
      <c r="P45" s="60">
        <v>2.94</v>
      </c>
      <c r="Q45" s="60">
        <v>5.36</v>
      </c>
      <c r="R45" s="194"/>
      <c r="S45" s="194"/>
      <c r="T45" s="194"/>
      <c r="U45" s="194"/>
    </row>
    <row r="46" spans="1:21" s="12" customFormat="1" ht="15">
      <c r="A46" s="197" t="s">
        <v>2778</v>
      </c>
      <c r="B46" s="60">
        <v>5.03</v>
      </c>
      <c r="C46" s="60">
        <v>9.7899999999999991</v>
      </c>
      <c r="D46" s="60">
        <v>14.81</v>
      </c>
      <c r="E46" s="60">
        <v>8.16</v>
      </c>
      <c r="F46" s="60">
        <v>0.13</v>
      </c>
      <c r="G46" s="214" t="s">
        <v>36</v>
      </c>
      <c r="H46" s="60">
        <v>7.27</v>
      </c>
      <c r="I46" s="60">
        <v>3.81</v>
      </c>
      <c r="J46" s="60">
        <v>0.57999999999999996</v>
      </c>
      <c r="K46" s="60">
        <v>187.16</v>
      </c>
      <c r="L46" s="60">
        <v>34.340000000000003</v>
      </c>
      <c r="M46" s="60">
        <v>83.51</v>
      </c>
      <c r="N46" s="60">
        <v>448.40</v>
      </c>
      <c r="O46" s="60">
        <v>0</v>
      </c>
      <c r="P46" s="60">
        <v>2.93</v>
      </c>
      <c r="Q46" s="60">
        <v>4.58</v>
      </c>
      <c r="R46" s="194"/>
      <c r="S46" s="194"/>
      <c r="T46" s="194"/>
      <c r="U46" s="194"/>
    </row>
    <row r="47" spans="1:21" s="12" customFormat="1" ht="15">
      <c r="A47" s="197" t="s">
        <v>2779</v>
      </c>
      <c r="B47" s="60">
        <v>4.67</v>
      </c>
      <c r="C47" s="60">
        <v>10.11</v>
      </c>
      <c r="D47" s="60">
        <v>14.78</v>
      </c>
      <c r="E47" s="60">
        <v>7.67</v>
      </c>
      <c r="F47" s="60">
        <v>0.10</v>
      </c>
      <c r="G47" s="214" t="s">
        <v>36</v>
      </c>
      <c r="H47" s="60">
        <v>7.27</v>
      </c>
      <c r="I47" s="60">
        <v>3.81</v>
      </c>
      <c r="J47" s="60">
        <v>0.84</v>
      </c>
      <c r="K47" s="60">
        <v>170</v>
      </c>
      <c r="L47" s="60">
        <v>34.78</v>
      </c>
      <c r="M47" s="60">
        <v>81.86</v>
      </c>
      <c r="N47" s="60">
        <v>441.40</v>
      </c>
      <c r="O47" s="60">
        <v>0</v>
      </c>
      <c r="P47" s="60">
        <v>2.93</v>
      </c>
      <c r="Q47" s="60">
        <v>4.21</v>
      </c>
      <c r="R47" s="194"/>
      <c r="S47" s="194"/>
      <c r="T47" s="194"/>
      <c r="U47" s="194"/>
    </row>
    <row r="48" spans="1:21" s="12" customFormat="1" ht="15">
      <c r="A48" s="197" t="s">
        <v>2780</v>
      </c>
      <c r="B48" s="60">
        <v>4.38</v>
      </c>
      <c r="C48" s="60">
        <v>9.93</v>
      </c>
      <c r="D48" s="60">
        <v>14.32</v>
      </c>
      <c r="E48" s="60">
        <v>7.84</v>
      </c>
      <c r="F48" s="60">
        <v>0.20</v>
      </c>
      <c r="G48" s="214" t="s">
        <v>36</v>
      </c>
      <c r="H48" s="60">
        <v>7.27</v>
      </c>
      <c r="I48" s="60">
        <v>3.73</v>
      </c>
      <c r="J48" s="60">
        <v>0.34</v>
      </c>
      <c r="K48" s="60">
        <v>206.47</v>
      </c>
      <c r="L48" s="60">
        <v>34.53</v>
      </c>
      <c r="M48" s="60">
        <v>82.75</v>
      </c>
      <c r="N48" s="60">
        <v>187.90</v>
      </c>
      <c r="O48" s="60">
        <v>0</v>
      </c>
      <c r="P48" s="60">
        <v>2.93</v>
      </c>
      <c r="Q48" s="60">
        <v>3.84</v>
      </c>
      <c r="R48" s="194"/>
      <c r="S48" s="194"/>
      <c r="T48" s="194"/>
      <c r="U48" s="194"/>
    </row>
    <row r="49" spans="1:21" s="12" customFormat="1" ht="15">
      <c r="A49" s="197" t="s">
        <v>2781</v>
      </c>
      <c r="B49" s="60">
        <v>4.1900000000000004</v>
      </c>
      <c r="C49" s="60">
        <v>9.81</v>
      </c>
      <c r="D49" s="60">
        <v>14</v>
      </c>
      <c r="E49" s="60">
        <v>7.78</v>
      </c>
      <c r="F49" s="60">
        <v>0.28000000000000003</v>
      </c>
      <c r="G49" s="214" t="s">
        <v>36</v>
      </c>
      <c r="H49" s="60">
        <v>6.64</v>
      </c>
      <c r="I49" s="60">
        <v>3.74</v>
      </c>
      <c r="J49" s="60">
        <v>1.04</v>
      </c>
      <c r="K49" s="60">
        <v>157.96</v>
      </c>
      <c r="L49" s="60">
        <v>34.40</v>
      </c>
      <c r="M49" s="60">
        <v>82.68</v>
      </c>
      <c r="N49" s="60">
        <v>408.20</v>
      </c>
      <c r="O49" s="60">
        <v>0</v>
      </c>
      <c r="P49" s="60">
        <v>2.93</v>
      </c>
      <c r="Q49" s="60">
        <v>3.62</v>
      </c>
      <c r="R49" s="194"/>
      <c r="S49" s="194"/>
      <c r="T49" s="194"/>
      <c r="U49" s="194"/>
    </row>
    <row r="50" spans="1:21" s="12" customFormat="1" ht="15">
      <c r="A50" s="197" t="s">
        <v>2782</v>
      </c>
      <c r="B50" s="60">
        <v>4.09</v>
      </c>
      <c r="C50" s="60">
        <v>10.14</v>
      </c>
      <c r="D50" s="60">
        <v>14.23</v>
      </c>
      <c r="E50" s="60">
        <v>8.0500000000000007</v>
      </c>
      <c r="F50" s="60">
        <v>0.17</v>
      </c>
      <c r="G50" s="214" t="s">
        <v>36</v>
      </c>
      <c r="H50" s="60">
        <v>5.09</v>
      </c>
      <c r="I50" s="60">
        <v>3.76</v>
      </c>
      <c r="J50" s="60">
        <v>1.05</v>
      </c>
      <c r="K50" s="60">
        <v>163.30000000000001</v>
      </c>
      <c r="L50" s="60">
        <v>35.81</v>
      </c>
      <c r="M50" s="60">
        <v>77.400000000000006</v>
      </c>
      <c r="N50" s="60">
        <v>917.40</v>
      </c>
      <c r="O50" s="60">
        <v>0</v>
      </c>
      <c r="P50" s="60">
        <v>2.94</v>
      </c>
      <c r="Q50" s="60">
        <v>3.63</v>
      </c>
      <c r="R50" s="194"/>
      <c r="S50" s="194"/>
      <c r="T50" s="194"/>
      <c r="U50" s="194"/>
    </row>
    <row r="51" spans="1:21" s="12" customFormat="1" ht="15">
      <c r="A51" s="197" t="s">
        <v>2783</v>
      </c>
      <c r="B51" s="60">
        <v>3.84</v>
      </c>
      <c r="C51" s="60">
        <v>9.82</v>
      </c>
      <c r="D51" s="60">
        <v>13.66</v>
      </c>
      <c r="E51" s="60">
        <v>7.94</v>
      </c>
      <c r="F51" s="60">
        <v>0.23</v>
      </c>
      <c r="G51" s="214" t="s">
        <v>36</v>
      </c>
      <c r="H51" s="60">
        <v>5.09</v>
      </c>
      <c r="I51" s="60">
        <v>3.74</v>
      </c>
      <c r="J51" s="60">
        <v>1.24</v>
      </c>
      <c r="K51" s="60">
        <v>151.91999999999999</v>
      </c>
      <c r="L51" s="60">
        <v>36.24</v>
      </c>
      <c r="M51" s="60">
        <v>75.239999999999995</v>
      </c>
      <c r="N51" s="60">
        <v>855.20</v>
      </c>
      <c r="O51" s="60">
        <v>0</v>
      </c>
      <c r="P51" s="60">
        <v>2.93</v>
      </c>
      <c r="Q51" s="60">
        <v>3.49</v>
      </c>
      <c r="R51" s="194"/>
      <c r="S51" s="194"/>
      <c r="T51" s="194"/>
      <c r="U51" s="194"/>
    </row>
    <row r="52" spans="1:21" s="12" customFormat="1" ht="15">
      <c r="A52" s="197" t="s">
        <v>2784</v>
      </c>
      <c r="B52" s="60">
        <v>3.55</v>
      </c>
      <c r="C52" s="60">
        <v>10.37</v>
      </c>
      <c r="D52" s="60">
        <v>13.93</v>
      </c>
      <c r="E52" s="60">
        <v>7.62</v>
      </c>
      <c r="F52" s="60">
        <v>0.17</v>
      </c>
      <c r="G52" s="214" t="s">
        <v>36</v>
      </c>
      <c r="H52" s="60">
        <v>5.09</v>
      </c>
      <c r="I52" s="60">
        <v>3.76</v>
      </c>
      <c r="J52" s="60">
        <v>0.76</v>
      </c>
      <c r="K52" s="60">
        <v>175.74</v>
      </c>
      <c r="L52" s="60">
        <v>36.74</v>
      </c>
      <c r="M52" s="60">
        <v>73.400000000000006</v>
      </c>
      <c r="N52" s="60">
        <v>929.30</v>
      </c>
      <c r="O52" s="60">
        <v>0</v>
      </c>
      <c r="P52" s="60">
        <v>2.92</v>
      </c>
      <c r="Q52" s="60">
        <v>3.92</v>
      </c>
      <c r="R52" s="194"/>
      <c r="S52" s="194"/>
      <c r="T52" s="194"/>
      <c r="U52" s="194"/>
    </row>
    <row r="53" spans="1:21" s="12" customFormat="1" ht="15">
      <c r="A53" s="197" t="s">
        <v>2785</v>
      </c>
      <c r="B53" s="60">
        <v>3.17</v>
      </c>
      <c r="C53" s="60">
        <v>9.84</v>
      </c>
      <c r="D53" s="60">
        <v>13.01</v>
      </c>
      <c r="E53" s="60">
        <v>7.63</v>
      </c>
      <c r="F53" s="60">
        <v>0.77</v>
      </c>
      <c r="G53" s="214" t="s">
        <v>36</v>
      </c>
      <c r="H53" s="60">
        <v>5.30</v>
      </c>
      <c r="I53" s="60">
        <v>3.75</v>
      </c>
      <c r="J53" s="60">
        <v>0.69</v>
      </c>
      <c r="K53" s="60">
        <v>173.26</v>
      </c>
      <c r="L53" s="60">
        <v>36.659999999999997</v>
      </c>
      <c r="M53" s="60">
        <v>74.03</v>
      </c>
      <c r="N53" s="60">
        <v>586.10</v>
      </c>
      <c r="O53" s="60">
        <v>0</v>
      </c>
      <c r="P53" s="60">
        <v>2.92</v>
      </c>
      <c r="Q53" s="60">
        <v>5.13</v>
      </c>
      <c r="R53" s="194"/>
      <c r="S53" s="194"/>
      <c r="T53" s="194"/>
      <c r="U53" s="194"/>
    </row>
    <row r="54" spans="1:21" s="12" customFormat="1" ht="15">
      <c r="A54" s="197" t="s">
        <v>2786</v>
      </c>
      <c r="B54" s="60">
        <v>2.77</v>
      </c>
      <c r="C54" s="60">
        <v>10.11</v>
      </c>
      <c r="D54" s="60">
        <v>12.88</v>
      </c>
      <c r="E54" s="60">
        <v>7.07</v>
      </c>
      <c r="F54" s="60">
        <v>0.18</v>
      </c>
      <c r="G54" s="214" t="s">
        <v>36</v>
      </c>
      <c r="H54" s="60">
        <v>5.82</v>
      </c>
      <c r="I54" s="60">
        <v>3.67</v>
      </c>
      <c r="J54" s="60">
        <v>1.17</v>
      </c>
      <c r="K54" s="60">
        <v>160.07</v>
      </c>
      <c r="L54" s="60">
        <v>36.47</v>
      </c>
      <c r="M54" s="60">
        <v>74.28</v>
      </c>
      <c r="N54" s="60">
        <v>721.90</v>
      </c>
      <c r="O54" s="60">
        <v>0</v>
      </c>
      <c r="P54" s="60">
        <v>2.92</v>
      </c>
      <c r="Q54" s="60">
        <v>5.37</v>
      </c>
      <c r="R54" s="194"/>
      <c r="S54" s="194"/>
      <c r="T54" s="194"/>
      <c r="U54" s="194"/>
    </row>
    <row r="55" spans="1:21" s="12" customFormat="1" ht="15">
      <c r="A55" s="197" t="s">
        <v>2787</v>
      </c>
      <c r="B55" s="60">
        <v>2.4500000000000002</v>
      </c>
      <c r="C55" s="60">
        <v>9.91</v>
      </c>
      <c r="D55" s="60">
        <v>12.35</v>
      </c>
      <c r="E55" s="60">
        <v>6.91</v>
      </c>
      <c r="F55" s="60">
        <v>0.33</v>
      </c>
      <c r="G55" s="214" t="s">
        <v>36</v>
      </c>
      <c r="H55" s="60">
        <v>5.82</v>
      </c>
      <c r="I55" s="60">
        <v>3.55</v>
      </c>
      <c r="J55" s="60">
        <v>0.91</v>
      </c>
      <c r="K55" s="60">
        <v>173.55</v>
      </c>
      <c r="L55" s="60">
        <v>36.94</v>
      </c>
      <c r="M55" s="60">
        <v>71.69</v>
      </c>
      <c r="N55" s="60">
        <v>985.60</v>
      </c>
      <c r="O55" s="60">
        <v>0</v>
      </c>
      <c r="P55" s="60">
        <v>2.90</v>
      </c>
      <c r="Q55" s="60">
        <v>5.35</v>
      </c>
      <c r="R55" s="194"/>
      <c r="S55" s="194"/>
      <c r="T55" s="194"/>
      <c r="U55" s="194"/>
    </row>
    <row r="56" spans="1:21" s="12" customFormat="1" ht="15">
      <c r="A56" s="197" t="s">
        <v>2788</v>
      </c>
      <c r="B56" s="60">
        <v>2.14</v>
      </c>
      <c r="C56" s="60">
        <v>9.77</v>
      </c>
      <c r="D56" s="60">
        <v>11.91</v>
      </c>
      <c r="E56" s="60">
        <v>3.04</v>
      </c>
      <c r="F56" s="60">
        <v>0.54</v>
      </c>
      <c r="G56" s="214" t="s">
        <v>36</v>
      </c>
      <c r="H56" s="60">
        <v>5.82</v>
      </c>
      <c r="I56" s="60">
        <v>3.54</v>
      </c>
      <c r="J56" s="60">
        <v>0.73</v>
      </c>
      <c r="K56" s="60">
        <v>161.19</v>
      </c>
      <c r="L56" s="60">
        <v>37.89</v>
      </c>
      <c r="M56" s="60">
        <v>68.45</v>
      </c>
      <c r="N56" s="60">
        <v>1026</v>
      </c>
      <c r="O56" s="60">
        <v>0</v>
      </c>
      <c r="P56" s="60">
        <v>2.91</v>
      </c>
      <c r="Q56" s="60">
        <v>5.18</v>
      </c>
      <c r="R56" s="194"/>
      <c r="S56" s="194"/>
      <c r="T56" s="194"/>
      <c r="U56" s="194"/>
    </row>
    <row r="57" spans="1:21" s="12" customFormat="1" ht="15">
      <c r="A57" s="197" t="s">
        <v>2789</v>
      </c>
      <c r="B57" s="60">
        <v>1.89</v>
      </c>
      <c r="C57" s="60">
        <v>9.61</v>
      </c>
      <c r="D57" s="60">
        <v>11.51</v>
      </c>
      <c r="E57" s="60">
        <v>6.18</v>
      </c>
      <c r="F57" s="60">
        <v>0.89</v>
      </c>
      <c r="G57" s="214" t="s">
        <v>36</v>
      </c>
      <c r="H57" s="60">
        <v>5.43</v>
      </c>
      <c r="I57" s="60">
        <v>3.42</v>
      </c>
      <c r="J57" s="60">
        <v>1.68</v>
      </c>
      <c r="K57" s="60">
        <v>154.78</v>
      </c>
      <c r="L57" s="60">
        <v>37.5</v>
      </c>
      <c r="M57" s="60">
        <v>68.70</v>
      </c>
      <c r="N57" s="60">
        <v>850.80</v>
      </c>
      <c r="O57" s="60">
        <v>0</v>
      </c>
      <c r="P57" s="60">
        <v>2.89</v>
      </c>
      <c r="Q57" s="60">
        <v>4.97</v>
      </c>
      <c r="R57" s="194"/>
      <c r="S57" s="194"/>
      <c r="T57" s="194"/>
      <c r="U57" s="194"/>
    </row>
    <row r="58" spans="1:21" s="12" customFormat="1" ht="15">
      <c r="A58" s="197" t="s">
        <v>2790</v>
      </c>
      <c r="B58" s="60">
        <v>1.77</v>
      </c>
      <c r="C58" s="60">
        <v>9.66</v>
      </c>
      <c r="D58" s="60">
        <v>11.43</v>
      </c>
      <c r="E58" s="60">
        <v>6.41</v>
      </c>
      <c r="F58" s="60">
        <v>0.85</v>
      </c>
      <c r="G58" s="214" t="s">
        <v>36</v>
      </c>
      <c r="H58" s="60">
        <v>4.4800000000000004</v>
      </c>
      <c r="I58" s="60">
        <v>3.34</v>
      </c>
      <c r="J58" s="60">
        <v>1.25</v>
      </c>
      <c r="K58" s="60">
        <v>159.88999999999999</v>
      </c>
      <c r="L58" s="60">
        <v>36.96</v>
      </c>
      <c r="M58" s="60">
        <v>70.319999999999993</v>
      </c>
      <c r="N58" s="60">
        <v>570.29999999999995</v>
      </c>
      <c r="O58" s="60">
        <v>0</v>
      </c>
      <c r="P58" s="60">
        <v>2.90</v>
      </c>
      <c r="Q58" s="60">
        <v>4.87</v>
      </c>
      <c r="R58" s="194"/>
      <c r="S58" s="194"/>
      <c r="T58" s="194"/>
      <c r="U58" s="194"/>
    </row>
    <row r="59" spans="1:21" s="12" customFormat="1" ht="15">
      <c r="A59" s="197" t="s">
        <v>2791</v>
      </c>
      <c r="B59" s="60">
        <v>1.66</v>
      </c>
      <c r="C59" s="60">
        <v>9.18</v>
      </c>
      <c r="D59" s="60">
        <v>10.85</v>
      </c>
      <c r="E59" s="60">
        <v>6.23</v>
      </c>
      <c r="F59" s="60">
        <v>0.76</v>
      </c>
      <c r="G59" s="214" t="s">
        <v>36</v>
      </c>
      <c r="H59" s="60">
        <v>4.4800000000000004</v>
      </c>
      <c r="I59" s="60">
        <v>3.31</v>
      </c>
      <c r="J59" s="60">
        <v>1.19</v>
      </c>
      <c r="K59" s="60">
        <v>154.63999999999999</v>
      </c>
      <c r="L59" s="60">
        <v>37.659999999999997</v>
      </c>
      <c r="M59" s="60">
        <v>68.180000000000007</v>
      </c>
      <c r="N59" s="60">
        <v>954.5</v>
      </c>
      <c r="O59" s="60">
        <v>0</v>
      </c>
      <c r="P59" s="60">
        <v>2.89</v>
      </c>
      <c r="Q59" s="60">
        <v>4.1100000000000003</v>
      </c>
      <c r="R59" s="194"/>
      <c r="S59" s="194"/>
      <c r="T59" s="194"/>
      <c r="U59" s="194"/>
    </row>
    <row r="60" spans="1:21" s="12" customFormat="1" ht="15">
      <c r="A60" s="197" t="s">
        <v>2792</v>
      </c>
      <c r="B60" s="60">
        <v>1.67</v>
      </c>
      <c r="C60" s="60">
        <v>9.18</v>
      </c>
      <c r="D60" s="60">
        <v>10.86</v>
      </c>
      <c r="E60" s="60">
        <v>6.31</v>
      </c>
      <c r="F60" s="60">
        <v>0.59</v>
      </c>
      <c r="G60" s="214" t="s">
        <v>36</v>
      </c>
      <c r="H60" s="60">
        <v>4.4800000000000004</v>
      </c>
      <c r="I60" s="60">
        <v>3.28</v>
      </c>
      <c r="J60" s="60">
        <v>1.27</v>
      </c>
      <c r="K60" s="60">
        <v>157.99</v>
      </c>
      <c r="L60" s="60">
        <v>38.340000000000003</v>
      </c>
      <c r="M60" s="60">
        <v>64.92</v>
      </c>
      <c r="N60" s="60">
        <v>1060.20</v>
      </c>
      <c r="O60" s="60">
        <v>0</v>
      </c>
      <c r="P60" s="60">
        <v>2.88</v>
      </c>
      <c r="Q60" s="60">
        <v>3.41</v>
      </c>
      <c r="R60" s="194"/>
      <c r="S60" s="194"/>
      <c r="T60" s="194"/>
      <c r="U60" s="194"/>
    </row>
    <row r="61" spans="1:21" s="12" customFormat="1" ht="15">
      <c r="A61" s="197" t="s">
        <v>2793</v>
      </c>
      <c r="B61" s="60">
        <v>1.69</v>
      </c>
      <c r="C61" s="60">
        <v>9.19</v>
      </c>
      <c r="D61" s="60">
        <v>10.88</v>
      </c>
      <c r="E61" s="60">
        <v>6.15</v>
      </c>
      <c r="F61" s="60">
        <v>0.28000000000000003</v>
      </c>
      <c r="G61" s="214" t="s">
        <v>36</v>
      </c>
      <c r="H61" s="60">
        <v>5.0999999999999996</v>
      </c>
      <c r="I61" s="60">
        <v>3.27</v>
      </c>
      <c r="J61" s="60">
        <v>1.1499999999999999</v>
      </c>
      <c r="K61" s="60">
        <v>158.33000000000001</v>
      </c>
      <c r="L61" s="60">
        <v>38.5</v>
      </c>
      <c r="M61" s="60">
        <v>64.510000000000005</v>
      </c>
      <c r="N61" s="60">
        <v>991.80</v>
      </c>
      <c r="O61" s="60">
        <v>0</v>
      </c>
      <c r="P61" s="60">
        <v>2.89</v>
      </c>
      <c r="Q61" s="60">
        <v>2.96</v>
      </c>
      <c r="R61" s="194"/>
      <c r="S61" s="194"/>
      <c r="T61" s="194"/>
      <c r="U61" s="194"/>
    </row>
    <row r="62" spans="1:21" s="12" customFormat="1" ht="15">
      <c r="A62" s="197" t="s">
        <v>2794</v>
      </c>
      <c r="B62" s="60">
        <v>1.61</v>
      </c>
      <c r="C62" s="60">
        <v>8.73</v>
      </c>
      <c r="D62" s="60">
        <v>10.34</v>
      </c>
      <c r="E62" s="60">
        <v>6.26</v>
      </c>
      <c r="F62" s="60">
        <v>0.59</v>
      </c>
      <c r="G62" s="214" t="s">
        <v>36</v>
      </c>
      <c r="H62" s="60">
        <v>6.63</v>
      </c>
      <c r="I62" s="60">
        <v>3.26</v>
      </c>
      <c r="J62" s="60">
        <v>0.46</v>
      </c>
      <c r="K62" s="60">
        <v>186.06</v>
      </c>
      <c r="L62" s="60">
        <v>38.93</v>
      </c>
      <c r="M62" s="60">
        <v>63.29</v>
      </c>
      <c r="N62" s="60">
        <v>787.20</v>
      </c>
      <c r="O62" s="60">
        <v>0</v>
      </c>
      <c r="P62" s="60">
        <v>2.88</v>
      </c>
      <c r="Q62" s="60">
        <v>2.44</v>
      </c>
      <c r="R62" s="194"/>
      <c r="S62" s="194"/>
      <c r="T62" s="194"/>
      <c r="U62" s="194"/>
    </row>
    <row r="63" spans="1:21" s="12" customFormat="1" ht="15">
      <c r="A63" s="197" t="s">
        <v>2795</v>
      </c>
      <c r="B63" s="60">
        <v>1.45</v>
      </c>
      <c r="C63" s="60">
        <v>8.7799999999999994</v>
      </c>
      <c r="D63" s="60">
        <v>10.23</v>
      </c>
      <c r="E63" s="60">
        <v>5.97</v>
      </c>
      <c r="F63" s="60">
        <v>0.55000000000000004</v>
      </c>
      <c r="G63" s="214" t="s">
        <v>36</v>
      </c>
      <c r="H63" s="60">
        <v>6.63</v>
      </c>
      <c r="I63" s="60">
        <v>3.29</v>
      </c>
      <c r="J63" s="60">
        <v>0.70</v>
      </c>
      <c r="K63" s="60">
        <v>169.56</v>
      </c>
      <c r="L63" s="60">
        <v>38.380000000000003</v>
      </c>
      <c r="M63" s="60">
        <v>65.31</v>
      </c>
      <c r="N63" s="60">
        <v>724.60</v>
      </c>
      <c r="O63" s="60">
        <v>0</v>
      </c>
      <c r="P63" s="60">
        <v>2.88</v>
      </c>
      <c r="Q63" s="60">
        <v>2.14</v>
      </c>
      <c r="R63" s="194"/>
      <c r="S63" s="194"/>
      <c r="T63" s="194"/>
      <c r="U63" s="194"/>
    </row>
    <row r="64" spans="1:21" s="12" customFormat="1" ht="15">
      <c r="A64" s="197" t="s">
        <v>2796</v>
      </c>
      <c r="B64" s="60">
        <v>1.36</v>
      </c>
      <c r="C64" s="60">
        <v>8.91</v>
      </c>
      <c r="D64" s="60">
        <v>10.27</v>
      </c>
      <c r="E64" s="60">
        <v>5.90</v>
      </c>
      <c r="F64" s="60">
        <v>0.79</v>
      </c>
      <c r="G64" s="214" t="s">
        <v>36</v>
      </c>
      <c r="H64" s="60">
        <v>6.63</v>
      </c>
      <c r="I64" s="60">
        <v>3.22</v>
      </c>
      <c r="J64" s="60">
        <v>1.20</v>
      </c>
      <c r="K64" s="60">
        <v>153.01</v>
      </c>
      <c r="L64" s="60">
        <v>38.22</v>
      </c>
      <c r="M64" s="60">
        <v>66.30</v>
      </c>
      <c r="N64" s="60">
        <v>359.70</v>
      </c>
      <c r="O64" s="60">
        <v>0</v>
      </c>
      <c r="P64" s="60">
        <v>2.87</v>
      </c>
      <c r="Q64" s="60">
        <v>1.93</v>
      </c>
      <c r="R64" s="194"/>
      <c r="S64" s="194"/>
      <c r="T64" s="194"/>
      <c r="U64" s="194"/>
    </row>
    <row r="65" spans="1:21" s="12" customFormat="1" ht="15">
      <c r="A65" s="197" t="s">
        <v>2797</v>
      </c>
      <c r="B65" s="60">
        <v>1.40</v>
      </c>
      <c r="C65" s="60">
        <v>9.2200000000000006</v>
      </c>
      <c r="D65" s="60">
        <v>10.62</v>
      </c>
      <c r="E65" s="60">
        <v>5.61</v>
      </c>
      <c r="F65" s="60">
        <v>0.41</v>
      </c>
      <c r="G65" s="214" t="s">
        <v>36</v>
      </c>
      <c r="H65" s="60">
        <v>6.08</v>
      </c>
      <c r="I65" s="60">
        <v>3.17</v>
      </c>
      <c r="J65" s="60">
        <v>0.41</v>
      </c>
      <c r="K65" s="60">
        <v>199.98</v>
      </c>
      <c r="L65" s="60">
        <v>38.159999999999997</v>
      </c>
      <c r="M65" s="60">
        <v>67.08</v>
      </c>
      <c r="N65" s="60">
        <v>564.40</v>
      </c>
      <c r="O65" s="60">
        <v>0</v>
      </c>
      <c r="P65" s="60">
        <v>2.88</v>
      </c>
      <c r="Q65" s="60">
        <v>2.0699999999999998</v>
      </c>
      <c r="R65" s="194"/>
      <c r="S65" s="194"/>
      <c r="T65" s="194"/>
      <c r="U65" s="194"/>
    </row>
    <row r="66" spans="1:21" s="12" customFormat="1" ht="15">
      <c r="A66" s="197" t="s">
        <v>2798</v>
      </c>
      <c r="B66" s="60">
        <v>1.51</v>
      </c>
      <c r="C66" s="60">
        <v>9.5299999999999994</v>
      </c>
      <c r="D66" s="60">
        <v>11.04</v>
      </c>
      <c r="E66" s="60">
        <v>6.42</v>
      </c>
      <c r="F66" s="60">
        <v>0.04</v>
      </c>
      <c r="G66" s="214" t="s">
        <v>36</v>
      </c>
      <c r="H66" s="60">
        <v>4.7300000000000004</v>
      </c>
      <c r="I66" s="60">
        <v>3.15</v>
      </c>
      <c r="J66" s="60">
        <v>0.54</v>
      </c>
      <c r="K66" s="60">
        <v>183.34</v>
      </c>
      <c r="L66" s="60">
        <v>38.14</v>
      </c>
      <c r="M66" s="60">
        <v>66.97</v>
      </c>
      <c r="N66" s="60">
        <v>402.80</v>
      </c>
      <c r="O66" s="60">
        <v>0</v>
      </c>
      <c r="P66" s="60">
        <v>2.88</v>
      </c>
      <c r="Q66" s="60">
        <v>2.35</v>
      </c>
      <c r="R66" s="194"/>
      <c r="S66" s="194"/>
      <c r="T66" s="194"/>
      <c r="U66" s="194"/>
    </row>
    <row r="67" spans="1:21" s="12" customFormat="1" ht="15">
      <c r="A67" s="197" t="s">
        <v>2799</v>
      </c>
      <c r="B67" s="60">
        <v>1.55</v>
      </c>
      <c r="C67" s="60">
        <v>8.86</v>
      </c>
      <c r="D67" s="60">
        <v>10.41</v>
      </c>
      <c r="E67" s="60">
        <v>5.97</v>
      </c>
      <c r="F67" s="60">
        <v>0.72</v>
      </c>
      <c r="G67" s="214" t="s">
        <v>36</v>
      </c>
      <c r="H67" s="60">
        <v>4.7300000000000004</v>
      </c>
      <c r="I67" s="60">
        <v>3.21</v>
      </c>
      <c r="J67" s="60">
        <v>1.26</v>
      </c>
      <c r="K67" s="60">
        <v>159.02000000000001</v>
      </c>
      <c r="L67" s="60">
        <v>37.770000000000003</v>
      </c>
      <c r="M67" s="60">
        <v>67.67</v>
      </c>
      <c r="N67" s="60">
        <v>374.30</v>
      </c>
      <c r="O67" s="60">
        <v>0</v>
      </c>
      <c r="P67" s="60">
        <v>2.87</v>
      </c>
      <c r="Q67" s="60">
        <v>3.15</v>
      </c>
      <c r="R67" s="194"/>
      <c r="S67" s="194"/>
      <c r="T67" s="194"/>
      <c r="U67" s="194"/>
    </row>
    <row r="68" spans="1:21" s="12" customFormat="1" ht="15">
      <c r="A68" s="197" t="s">
        <v>2800</v>
      </c>
      <c r="B68" s="60">
        <v>1.5</v>
      </c>
      <c r="C68" s="60">
        <v>8.49</v>
      </c>
      <c r="D68" s="60">
        <v>9.98</v>
      </c>
      <c r="E68" s="60">
        <v>6.13</v>
      </c>
      <c r="F68" s="60">
        <v>0.87</v>
      </c>
      <c r="G68" s="214" t="s">
        <v>36</v>
      </c>
      <c r="H68" s="60">
        <v>4.7300000000000004</v>
      </c>
      <c r="I68" s="60">
        <v>3.22</v>
      </c>
      <c r="J68" s="60">
        <v>0.57999999999999996</v>
      </c>
      <c r="K68" s="60">
        <v>170.12</v>
      </c>
      <c r="L68" s="60">
        <v>38.33</v>
      </c>
      <c r="M68" s="60">
        <v>66.98</v>
      </c>
      <c r="N68" s="60">
        <v>578</v>
      </c>
      <c r="O68" s="60">
        <v>0</v>
      </c>
      <c r="P68" s="60">
        <v>2.88</v>
      </c>
      <c r="Q68" s="60">
        <v>4.04</v>
      </c>
      <c r="R68" s="194"/>
      <c r="S68" s="194"/>
      <c r="T68" s="194"/>
      <c r="U68" s="194"/>
    </row>
    <row r="69" spans="1:21" s="12" customFormat="1" ht="15">
      <c r="A69" s="197" t="s">
        <v>2801</v>
      </c>
      <c r="B69" s="60">
        <v>1.55</v>
      </c>
      <c r="C69" s="60">
        <v>8.8000000000000007</v>
      </c>
      <c r="D69" s="60">
        <v>10.35</v>
      </c>
      <c r="E69" s="60">
        <v>5.82</v>
      </c>
      <c r="F69" s="60">
        <v>0.48</v>
      </c>
      <c r="G69" s="214" t="s">
        <v>36</v>
      </c>
      <c r="H69" s="60">
        <v>4.4400000000000004</v>
      </c>
      <c r="I69" s="60">
        <v>3.14</v>
      </c>
      <c r="J69" s="60">
        <v>0.55000000000000004</v>
      </c>
      <c r="K69" s="60">
        <v>170.08</v>
      </c>
      <c r="L69" s="60">
        <v>38.69</v>
      </c>
      <c r="M69" s="60">
        <v>65.77</v>
      </c>
      <c r="N69" s="60">
        <v>466.10</v>
      </c>
      <c r="O69" s="60">
        <v>0</v>
      </c>
      <c r="P69" s="60">
        <v>2.88</v>
      </c>
      <c r="Q69" s="60">
        <v>4.34</v>
      </c>
      <c r="R69" s="194"/>
      <c r="S69" s="194"/>
      <c r="T69" s="194"/>
      <c r="U69" s="194"/>
    </row>
    <row r="70" spans="1:21" s="12" customFormat="1" ht="15">
      <c r="A70" s="197" t="s">
        <v>2802</v>
      </c>
      <c r="B70" s="60">
        <v>1.61</v>
      </c>
      <c r="C70" s="60">
        <v>8.9600000000000009</v>
      </c>
      <c r="D70" s="60">
        <v>10.57</v>
      </c>
      <c r="E70" s="60">
        <v>6.19</v>
      </c>
      <c r="F70" s="60">
        <v>0.46</v>
      </c>
      <c r="G70" s="214" t="s">
        <v>36</v>
      </c>
      <c r="H70" s="60">
        <v>3.73</v>
      </c>
      <c r="I70" s="60">
        <v>3.08</v>
      </c>
      <c r="J70" s="60">
        <v>0.21</v>
      </c>
      <c r="K70" s="60">
        <v>205.59</v>
      </c>
      <c r="L70" s="60">
        <v>38.36</v>
      </c>
      <c r="M70" s="60">
        <v>65.89</v>
      </c>
      <c r="N70" s="60">
        <v>414.40</v>
      </c>
      <c r="O70" s="60">
        <v>0</v>
      </c>
      <c r="P70" s="60">
        <v>2.88</v>
      </c>
      <c r="Q70" s="60">
        <v>4.1399999999999997</v>
      </c>
      <c r="R70" s="194"/>
      <c r="S70" s="194"/>
      <c r="T70" s="194"/>
      <c r="U70" s="194"/>
    </row>
    <row r="71" spans="1:21" s="12" customFormat="1" ht="15">
      <c r="A71" s="197" t="s">
        <v>2803</v>
      </c>
      <c r="B71" s="60">
        <v>1.54</v>
      </c>
      <c r="C71" s="60">
        <v>8.8000000000000007</v>
      </c>
      <c r="D71" s="60">
        <v>10.35</v>
      </c>
      <c r="E71" s="60">
        <v>5.99</v>
      </c>
      <c r="F71" s="60">
        <v>0.66</v>
      </c>
      <c r="G71" s="214" t="s">
        <v>36</v>
      </c>
      <c r="H71" s="60">
        <v>3.73</v>
      </c>
      <c r="I71" s="60">
        <v>3.14</v>
      </c>
      <c r="J71" s="60">
        <v>1.41</v>
      </c>
      <c r="K71" s="60">
        <v>157.66999999999999</v>
      </c>
      <c r="L71" s="60">
        <v>38.90</v>
      </c>
      <c r="M71" s="60">
        <v>63.55</v>
      </c>
      <c r="N71" s="60">
        <v>616.79999999999995</v>
      </c>
      <c r="O71" s="60">
        <v>0</v>
      </c>
      <c r="P71" s="60">
        <v>2.89</v>
      </c>
      <c r="Q71" s="60">
        <v>4.0199999999999996</v>
      </c>
      <c r="R71" s="194"/>
      <c r="S71" s="194"/>
      <c r="T71" s="194"/>
      <c r="U71" s="194"/>
    </row>
    <row r="72" spans="1:21" s="12" customFormat="1" ht="15">
      <c r="A72" s="197" t="s">
        <v>2804</v>
      </c>
      <c r="B72" s="60">
        <v>1.47</v>
      </c>
      <c r="C72" s="60">
        <v>8.6999999999999993</v>
      </c>
      <c r="D72" s="60">
        <v>10.17</v>
      </c>
      <c r="E72" s="60">
        <v>1.81</v>
      </c>
      <c r="F72" s="60">
        <v>0.83</v>
      </c>
      <c r="G72" s="214" t="s">
        <v>36</v>
      </c>
      <c r="H72" s="60">
        <v>3.73</v>
      </c>
      <c r="I72" s="60">
        <v>3.11</v>
      </c>
      <c r="J72" s="60">
        <v>0.85</v>
      </c>
      <c r="K72" s="60">
        <v>162.35</v>
      </c>
      <c r="L72" s="60">
        <v>38.25</v>
      </c>
      <c r="M72" s="60">
        <v>65.290000000000006</v>
      </c>
      <c r="N72" s="60">
        <v>263.60000000000002</v>
      </c>
      <c r="O72" s="60">
        <v>0</v>
      </c>
      <c r="P72" s="60">
        <v>2.87</v>
      </c>
      <c r="Q72" s="60">
        <v>3.93</v>
      </c>
      <c r="R72" s="194"/>
      <c r="S72" s="194"/>
      <c r="T72" s="194"/>
      <c r="U72" s="194"/>
    </row>
    <row r="73" spans="1:21" s="12" customFormat="1" ht="15">
      <c r="A73" s="197" t="s">
        <v>2805</v>
      </c>
      <c r="B73" s="60">
        <v>1.37</v>
      </c>
      <c r="C73" s="60">
        <v>8.60</v>
      </c>
      <c r="D73" s="60">
        <v>9.9700000000000006</v>
      </c>
      <c r="E73" s="60">
        <v>4.5199999999999996</v>
      </c>
      <c r="F73" s="60">
        <v>0.49</v>
      </c>
      <c r="G73" s="214" t="s">
        <v>36</v>
      </c>
      <c r="H73" s="60">
        <v>3.73</v>
      </c>
      <c r="I73" s="60">
        <v>3.05</v>
      </c>
      <c r="J73" s="60">
        <v>0.45</v>
      </c>
      <c r="K73" s="60">
        <v>185.47</v>
      </c>
      <c r="L73" s="60">
        <v>38.04</v>
      </c>
      <c r="M73" s="60">
        <v>66.41</v>
      </c>
      <c r="N73" s="60">
        <v>362</v>
      </c>
      <c r="O73" s="60">
        <v>0</v>
      </c>
      <c r="P73" s="60">
        <v>2.87</v>
      </c>
      <c r="Q73" s="60">
        <v>3.69</v>
      </c>
      <c r="R73" s="194"/>
      <c r="S73" s="194"/>
      <c r="T73" s="194"/>
      <c r="U73" s="194"/>
    </row>
    <row r="74" spans="1:21" s="12" customFormat="1" ht="15">
      <c r="A74" s="197" t="s">
        <v>2806</v>
      </c>
      <c r="B74" s="60">
        <v>1.38</v>
      </c>
      <c r="C74" s="60">
        <v>8.6999999999999993</v>
      </c>
      <c r="D74" s="60">
        <v>10.09</v>
      </c>
      <c r="E74" s="60">
        <v>4.57</v>
      </c>
      <c r="F74" s="60">
        <v>0.34</v>
      </c>
      <c r="G74" s="214" t="s">
        <v>36</v>
      </c>
      <c r="H74" s="60">
        <v>3.73</v>
      </c>
      <c r="I74" s="60">
        <v>3.06</v>
      </c>
      <c r="J74" s="60">
        <v>0.72</v>
      </c>
      <c r="K74" s="60">
        <v>164.25</v>
      </c>
      <c r="L74" s="60">
        <v>38.130000000000003</v>
      </c>
      <c r="M74" s="60">
        <v>65.98</v>
      </c>
      <c r="N74" s="60">
        <v>297.10000000000002</v>
      </c>
      <c r="O74" s="60">
        <v>0</v>
      </c>
      <c r="P74" s="60">
        <v>2.87</v>
      </c>
      <c r="Q74" s="60">
        <v>3.10</v>
      </c>
      <c r="R74" s="194"/>
      <c r="S74" s="194"/>
      <c r="T74" s="194"/>
      <c r="U74" s="194"/>
    </row>
    <row r="75" spans="1:21" s="12" customFormat="1" ht="15">
      <c r="A75" s="197" t="s">
        <v>2807</v>
      </c>
      <c r="B75" s="60">
        <v>1.49</v>
      </c>
      <c r="C75" s="60">
        <v>8.4700000000000006</v>
      </c>
      <c r="D75" s="60">
        <v>9.9600000000000009</v>
      </c>
      <c r="E75" s="60">
        <v>4.91</v>
      </c>
      <c r="F75" s="60">
        <v>0.28999999999999998</v>
      </c>
      <c r="G75" s="214" t="s">
        <v>36</v>
      </c>
      <c r="H75" s="60">
        <v>3.73</v>
      </c>
      <c r="I75" s="60">
        <v>3.05</v>
      </c>
      <c r="J75" s="60">
        <v>0.64</v>
      </c>
      <c r="K75" s="60">
        <v>183.77</v>
      </c>
      <c r="L75" s="60">
        <v>38.26</v>
      </c>
      <c r="M75" s="60">
        <v>65.290000000000006</v>
      </c>
      <c r="N75" s="60">
        <v>242.40</v>
      </c>
      <c r="O75" s="60">
        <v>0</v>
      </c>
      <c r="P75" s="60">
        <v>2.88</v>
      </c>
      <c r="Q75" s="60">
        <v>2.42</v>
      </c>
      <c r="R75" s="194"/>
      <c r="S75" s="194"/>
      <c r="T75" s="194"/>
      <c r="U75" s="194"/>
    </row>
    <row r="76" spans="1:21" s="12" customFormat="1" ht="15">
      <c r="A76" s="197" t="s">
        <v>2808</v>
      </c>
      <c r="B76" s="60">
        <v>1.57</v>
      </c>
      <c r="C76" s="60">
        <v>8.2100000000000009</v>
      </c>
      <c r="D76" s="60">
        <v>9.7799999999999994</v>
      </c>
      <c r="E76" s="60">
        <v>4.74</v>
      </c>
      <c r="F76" s="60">
        <v>0.47</v>
      </c>
      <c r="G76" s="214" t="s">
        <v>36</v>
      </c>
      <c r="H76" s="60">
        <v>3.73</v>
      </c>
      <c r="I76" s="60">
        <v>3.08</v>
      </c>
      <c r="J76" s="60">
        <v>0.33</v>
      </c>
      <c r="K76" s="60">
        <v>202.24</v>
      </c>
      <c r="L76" s="60">
        <v>38.19</v>
      </c>
      <c r="M76" s="60">
        <v>63.96</v>
      </c>
      <c r="N76" s="60">
        <v>96.80</v>
      </c>
      <c r="O76" s="60">
        <v>0</v>
      </c>
      <c r="P76" s="60">
        <v>2.87</v>
      </c>
      <c r="Q76" s="60">
        <v>2.0099999999999998</v>
      </c>
      <c r="R76" s="194"/>
      <c r="S76" s="194"/>
      <c r="T76" s="194"/>
      <c r="U76" s="194"/>
    </row>
    <row r="77" spans="1:21" s="12" customFormat="1" ht="15">
      <c r="A77" s="197" t="s">
        <v>2809</v>
      </c>
      <c r="B77" s="60">
        <v>1.62</v>
      </c>
      <c r="C77" s="60">
        <v>8.67</v>
      </c>
      <c r="D77" s="60">
        <v>10.30</v>
      </c>
      <c r="E77" s="60">
        <v>4.3499999999999996</v>
      </c>
      <c r="F77" s="60">
        <v>0.20</v>
      </c>
      <c r="G77" s="214" t="s">
        <v>36</v>
      </c>
      <c r="H77" s="60">
        <v>3.61</v>
      </c>
      <c r="I77" s="60">
        <v>3.13</v>
      </c>
      <c r="J77" s="60">
        <v>0.67</v>
      </c>
      <c r="K77" s="60">
        <v>168.91</v>
      </c>
      <c r="L77" s="60">
        <v>38.31</v>
      </c>
      <c r="M77" s="60">
        <v>63.04</v>
      </c>
      <c r="N77" s="60">
        <v>101.5</v>
      </c>
      <c r="O77" s="60">
        <v>0</v>
      </c>
      <c r="P77" s="60">
        <v>2.88</v>
      </c>
      <c r="Q77" s="60">
        <v>2.08</v>
      </c>
      <c r="R77" s="194"/>
      <c r="S77" s="194"/>
      <c r="T77" s="194"/>
      <c r="U77" s="194"/>
    </row>
    <row r="78" spans="1:21" s="12" customFormat="1" ht="15">
      <c r="A78" s="197" t="s">
        <v>2810</v>
      </c>
      <c r="B78" s="60">
        <v>1.69</v>
      </c>
      <c r="C78" s="60">
        <v>8.7799999999999994</v>
      </c>
      <c r="D78" s="60">
        <v>10.47</v>
      </c>
      <c r="E78" s="60">
        <v>4.93</v>
      </c>
      <c r="F78" s="60">
        <v>0.17</v>
      </c>
      <c r="G78" s="214" t="s">
        <v>36</v>
      </c>
      <c r="H78" s="60">
        <v>3.30</v>
      </c>
      <c r="I78" s="60">
        <v>3.12</v>
      </c>
      <c r="J78" s="60">
        <v>0.48</v>
      </c>
      <c r="K78" s="60">
        <v>192.27</v>
      </c>
      <c r="L78" s="60">
        <v>38.28</v>
      </c>
      <c r="M78" s="60">
        <v>63.65</v>
      </c>
      <c r="N78" s="60">
        <v>98.5</v>
      </c>
      <c r="O78" s="60">
        <v>0</v>
      </c>
      <c r="P78" s="60">
        <v>2.89</v>
      </c>
      <c r="Q78" s="60">
        <v>2</v>
      </c>
      <c r="R78" s="194"/>
      <c r="S78" s="194"/>
      <c r="T78" s="194"/>
      <c r="U78" s="194"/>
    </row>
    <row r="79" spans="1:21" s="12" customFormat="1" ht="15">
      <c r="A79" s="197" t="s">
        <v>2811</v>
      </c>
      <c r="B79" s="60">
        <v>1.76</v>
      </c>
      <c r="C79" s="60">
        <v>8.4499999999999993</v>
      </c>
      <c r="D79" s="60">
        <v>10.210000000000001</v>
      </c>
      <c r="E79" s="60">
        <v>4.8499999999999996</v>
      </c>
      <c r="F79" s="60">
        <v>0.54</v>
      </c>
      <c r="G79" s="214" t="s">
        <v>36</v>
      </c>
      <c r="H79" s="60">
        <v>3.30</v>
      </c>
      <c r="I79" s="60">
        <v>3.11</v>
      </c>
      <c r="J79" s="60">
        <v>0.46</v>
      </c>
      <c r="K79" s="60">
        <v>183.42</v>
      </c>
      <c r="L79" s="60">
        <v>38.33</v>
      </c>
      <c r="M79" s="60">
        <v>63.78</v>
      </c>
      <c r="N79" s="60">
        <v>96</v>
      </c>
      <c r="O79" s="60">
        <v>0</v>
      </c>
      <c r="P79" s="60">
        <v>2.88</v>
      </c>
      <c r="Q79" s="60">
        <v>1.90</v>
      </c>
      <c r="R79" s="194"/>
      <c r="S79" s="194"/>
      <c r="T79" s="194"/>
      <c r="U79" s="194"/>
    </row>
    <row r="80" spans="1:21" s="12" customFormat="1" ht="15">
      <c r="A80" s="197" t="s">
        <v>2812</v>
      </c>
      <c r="B80" s="60">
        <v>1.82</v>
      </c>
      <c r="C80" s="60">
        <v>8.7799999999999994</v>
      </c>
      <c r="D80" s="60">
        <v>10.60</v>
      </c>
      <c r="E80" s="60">
        <v>4.9400000000000004</v>
      </c>
      <c r="F80" s="60">
        <v>0.33</v>
      </c>
      <c r="G80" s="214" t="s">
        <v>36</v>
      </c>
      <c r="H80" s="60">
        <v>3.30</v>
      </c>
      <c r="I80" s="60">
        <v>3.26</v>
      </c>
      <c r="J80" s="60">
        <v>0.22</v>
      </c>
      <c r="K80" s="60">
        <v>196.69</v>
      </c>
      <c r="L80" s="60">
        <v>38.270000000000003</v>
      </c>
      <c r="M80" s="60">
        <v>65.30</v>
      </c>
      <c r="N80" s="60">
        <v>74.80</v>
      </c>
      <c r="O80" s="60">
        <v>0</v>
      </c>
      <c r="P80" s="60">
        <v>2.88</v>
      </c>
      <c r="Q80" s="60">
        <v>2.02</v>
      </c>
      <c r="R80" s="194"/>
      <c r="S80" s="194"/>
      <c r="T80" s="194"/>
      <c r="U80" s="194"/>
    </row>
    <row r="81" spans="1:21" s="12" customFormat="1" ht="15">
      <c r="A81" s="197" t="s">
        <v>2813</v>
      </c>
      <c r="B81" s="60">
        <v>1.98</v>
      </c>
      <c r="C81" s="60">
        <v>8.76</v>
      </c>
      <c r="D81" s="60">
        <v>10.74</v>
      </c>
      <c r="E81" s="60">
        <v>4.58</v>
      </c>
      <c r="F81" s="60">
        <v>0.5</v>
      </c>
      <c r="G81" s="214" t="s">
        <v>36</v>
      </c>
      <c r="H81" s="60">
        <v>3.25</v>
      </c>
      <c r="I81" s="60">
        <v>3.24</v>
      </c>
      <c r="J81" s="60">
        <v>0.13</v>
      </c>
      <c r="K81" s="60">
        <v>181.31</v>
      </c>
      <c r="L81" s="60">
        <v>38.01</v>
      </c>
      <c r="M81" s="60">
        <v>66.02</v>
      </c>
      <c r="N81" s="60">
        <v>54.90</v>
      </c>
      <c r="O81" s="60">
        <v>0</v>
      </c>
      <c r="P81" s="60">
        <v>2.90</v>
      </c>
      <c r="Q81" s="60">
        <v>2.64</v>
      </c>
      <c r="R81" s="194"/>
      <c r="S81" s="194"/>
      <c r="T81" s="194"/>
      <c r="U81" s="194"/>
    </row>
    <row r="82" spans="1:21" s="12" customFormat="1" ht="15">
      <c r="A82" s="197" t="s">
        <v>2814</v>
      </c>
      <c r="B82" s="60">
        <v>2.27</v>
      </c>
      <c r="C82" s="60">
        <v>9.2799999999999994</v>
      </c>
      <c r="D82" s="60">
        <v>11.54</v>
      </c>
      <c r="E82" s="60">
        <v>4.0999999999999996</v>
      </c>
      <c r="F82" s="60">
        <v>0.38</v>
      </c>
      <c r="G82" s="214" t="s">
        <v>36</v>
      </c>
      <c r="H82" s="60">
        <v>3.13</v>
      </c>
      <c r="I82" s="60">
        <v>3.24</v>
      </c>
      <c r="J82" s="60">
        <v>0.20</v>
      </c>
      <c r="K82" s="60">
        <v>194.35</v>
      </c>
      <c r="L82" s="60">
        <v>37.64</v>
      </c>
      <c r="M82" s="60">
        <v>67.23</v>
      </c>
      <c r="N82" s="60">
        <v>32.90</v>
      </c>
      <c r="O82" s="60">
        <v>0</v>
      </c>
      <c r="P82" s="60">
        <v>2.92</v>
      </c>
      <c r="Q82" s="60">
        <v>3.83</v>
      </c>
      <c r="R82" s="194"/>
      <c r="S82" s="194"/>
      <c r="T82" s="194"/>
      <c r="U82" s="194"/>
    </row>
    <row r="83" spans="1:21" s="12" customFormat="1" ht="15">
      <c r="A83" s="197" t="s">
        <v>2815</v>
      </c>
      <c r="B83" s="60">
        <v>2.34</v>
      </c>
      <c r="C83" s="60">
        <v>9.7799999999999994</v>
      </c>
      <c r="D83" s="60">
        <v>12.12</v>
      </c>
      <c r="E83" s="60">
        <v>4.5199999999999996</v>
      </c>
      <c r="F83" s="60">
        <v>0.46</v>
      </c>
      <c r="G83" s="214" t="s">
        <v>36</v>
      </c>
      <c r="H83" s="60">
        <v>3.13</v>
      </c>
      <c r="I83" s="60">
        <v>3.23</v>
      </c>
      <c r="J83" s="60">
        <v>0.16</v>
      </c>
      <c r="K83" s="60">
        <v>214.38</v>
      </c>
      <c r="L83" s="60">
        <v>37.299999999999997</v>
      </c>
      <c r="M83" s="60">
        <v>68.709999999999994</v>
      </c>
      <c r="N83" s="60">
        <v>19.5</v>
      </c>
      <c r="O83" s="60">
        <v>0</v>
      </c>
      <c r="P83" s="60">
        <v>2.92</v>
      </c>
      <c r="Q83" s="60">
        <v>4.4400000000000004</v>
      </c>
      <c r="R83" s="194"/>
      <c r="S83" s="194"/>
      <c r="T83" s="194"/>
      <c r="U83" s="194"/>
    </row>
    <row r="84" spans="1:21" s="12" customFormat="1" ht="15">
      <c r="A84" s="197" t="s">
        <v>2816</v>
      </c>
      <c r="B84" s="60">
        <v>2.39</v>
      </c>
      <c r="C84" s="60">
        <v>10.19</v>
      </c>
      <c r="D84" s="60">
        <v>12.58</v>
      </c>
      <c r="E84" s="60">
        <v>4.4000000000000004</v>
      </c>
      <c r="F84" s="60">
        <v>0.31</v>
      </c>
      <c r="G84" s="214" t="s">
        <v>36</v>
      </c>
      <c r="H84" s="60">
        <v>3.13</v>
      </c>
      <c r="I84" s="60">
        <v>3.29</v>
      </c>
      <c r="J84" s="60">
        <v>0.11</v>
      </c>
      <c r="K84" s="60">
        <v>224.11</v>
      </c>
      <c r="L84" s="60">
        <v>37.119999999999997</v>
      </c>
      <c r="M84" s="60">
        <v>69.489999999999995</v>
      </c>
      <c r="N84" s="60">
        <v>15.60</v>
      </c>
      <c r="O84" s="60">
        <v>0</v>
      </c>
      <c r="P84" s="60">
        <v>2.95</v>
      </c>
      <c r="Q84" s="60">
        <v>4.83</v>
      </c>
      <c r="R84" s="194"/>
      <c r="S84" s="194"/>
      <c r="T84" s="194"/>
      <c r="U84" s="194"/>
    </row>
    <row r="85" spans="1:21" s="12" customFormat="1" ht="15">
      <c r="A85" s="197" t="s">
        <v>2817</v>
      </c>
      <c r="B85" s="60">
        <v>2.5099999999999998</v>
      </c>
      <c r="C85" s="60">
        <v>10.93</v>
      </c>
      <c r="D85" s="60">
        <v>13.44</v>
      </c>
      <c r="E85" s="60">
        <v>4.75</v>
      </c>
      <c r="F85" s="60">
        <v>0.04</v>
      </c>
      <c r="G85" s="214" t="s">
        <v>36</v>
      </c>
      <c r="H85" s="60">
        <v>4.43</v>
      </c>
      <c r="I85" s="60">
        <v>3.36</v>
      </c>
      <c r="J85" s="60">
        <v>0.17</v>
      </c>
      <c r="K85" s="60">
        <v>230.5</v>
      </c>
      <c r="L85" s="60">
        <v>36.97</v>
      </c>
      <c r="M85" s="60">
        <v>70.16</v>
      </c>
      <c r="N85" s="60">
        <v>15</v>
      </c>
      <c r="O85" s="60">
        <v>0</v>
      </c>
      <c r="P85" s="60">
        <v>2.99</v>
      </c>
      <c r="Q85" s="60">
        <v>5.03</v>
      </c>
      <c r="R85" s="194"/>
      <c r="S85" s="194"/>
      <c r="T85" s="194"/>
      <c r="U85" s="194"/>
    </row>
    <row r="86" spans="1:21" s="12" customFormat="1" ht="15">
      <c r="A86" s="197" t="s">
        <v>2818</v>
      </c>
      <c r="B86" s="60">
        <v>2.99</v>
      </c>
      <c r="C86" s="60">
        <v>11.59</v>
      </c>
      <c r="D86" s="60">
        <v>14.58</v>
      </c>
      <c r="E86" s="60">
        <v>4.54</v>
      </c>
      <c r="F86" s="60">
        <v>0.10</v>
      </c>
      <c r="G86" s="214" t="s">
        <v>36</v>
      </c>
      <c r="H86" s="60">
        <v>7.61</v>
      </c>
      <c r="I86" s="60">
        <v>3.46</v>
      </c>
      <c r="J86" s="60">
        <v>0.01</v>
      </c>
      <c r="K86" s="60">
        <v>170.21</v>
      </c>
      <c r="L86" s="60">
        <v>36.92</v>
      </c>
      <c r="M86" s="60">
        <v>71.58</v>
      </c>
      <c r="N86" s="60">
        <v>14.80</v>
      </c>
      <c r="O86" s="60">
        <v>0</v>
      </c>
      <c r="P86" s="60">
        <v>3.04</v>
      </c>
      <c r="Q86" s="60">
        <v>5.19</v>
      </c>
      <c r="R86" s="194"/>
      <c r="S86" s="194"/>
      <c r="T86" s="194"/>
      <c r="U86" s="194"/>
    </row>
    <row r="87" spans="1:21" s="12" customFormat="1" ht="15">
      <c r="A87" s="197" t="s">
        <v>2819</v>
      </c>
      <c r="B87" s="60">
        <v>3.97</v>
      </c>
      <c r="C87" s="60">
        <v>12.21</v>
      </c>
      <c r="D87" s="60">
        <v>16.18</v>
      </c>
      <c r="E87" s="60">
        <v>4.16</v>
      </c>
      <c r="F87" s="60">
        <v>0.13</v>
      </c>
      <c r="G87" s="214" t="s">
        <v>36</v>
      </c>
      <c r="H87" s="60">
        <v>7.61</v>
      </c>
      <c r="I87" s="60">
        <v>3.62</v>
      </c>
      <c r="J87" s="60">
        <v>0.08</v>
      </c>
      <c r="K87" s="60">
        <v>357.62</v>
      </c>
      <c r="L87" s="60">
        <v>36.76</v>
      </c>
      <c r="M87" s="60">
        <v>73.53</v>
      </c>
      <c r="N87" s="60">
        <v>15</v>
      </c>
      <c r="O87" s="60">
        <v>0</v>
      </c>
      <c r="P87" s="60">
        <v>3.13</v>
      </c>
      <c r="Q87" s="60">
        <v>5.59</v>
      </c>
      <c r="R87" s="194"/>
      <c r="S87" s="194"/>
      <c r="T87" s="194"/>
      <c r="U87" s="194"/>
    </row>
    <row r="88" spans="1:21" s="12" customFormat="1" ht="15">
      <c r="A88" s="197" t="s">
        <v>2820</v>
      </c>
      <c r="B88" s="60">
        <v>5.04</v>
      </c>
      <c r="C88" s="60">
        <v>12.22</v>
      </c>
      <c r="D88" s="60">
        <v>17.27</v>
      </c>
      <c r="E88" s="60">
        <v>3.70</v>
      </c>
      <c r="F88" s="60">
        <v>0.32</v>
      </c>
      <c r="G88" s="214" t="s">
        <v>36</v>
      </c>
      <c r="H88" s="60">
        <v>7.61</v>
      </c>
      <c r="I88" s="60">
        <v>3.93</v>
      </c>
      <c r="J88" s="60">
        <v>0.11</v>
      </c>
      <c r="K88" s="60">
        <v>241.20</v>
      </c>
      <c r="L88" s="60">
        <v>36.65</v>
      </c>
      <c r="M88" s="60">
        <v>74.73</v>
      </c>
      <c r="N88" s="60">
        <v>14.80</v>
      </c>
      <c r="O88" s="60">
        <v>0</v>
      </c>
      <c r="P88" s="60">
        <v>3.17</v>
      </c>
      <c r="Q88" s="60">
        <v>4.99</v>
      </c>
      <c r="R88" s="194"/>
      <c r="S88" s="194"/>
      <c r="T88" s="194"/>
      <c r="U88" s="194"/>
    </row>
    <row r="89" spans="1:21" s="12" customFormat="1" ht="15">
      <c r="A89" s="197" t="s">
        <v>2821</v>
      </c>
      <c r="B89" s="60">
        <v>5.51</v>
      </c>
      <c r="C89" s="60">
        <v>12.69</v>
      </c>
      <c r="D89" s="60">
        <v>18.190000000000001</v>
      </c>
      <c r="E89" s="60">
        <v>5.64</v>
      </c>
      <c r="F89" s="60">
        <v>0.06</v>
      </c>
      <c r="G89" s="214" t="s">
        <v>36</v>
      </c>
      <c r="H89" s="60">
        <v>8.3699999999999992</v>
      </c>
      <c r="I89" s="60">
        <v>4.3099999999999996</v>
      </c>
      <c r="J89" s="60">
        <v>0.26</v>
      </c>
      <c r="K89" s="60">
        <v>204.44</v>
      </c>
      <c r="L89" s="60">
        <v>36.5</v>
      </c>
      <c r="M89" s="60">
        <v>75.56</v>
      </c>
      <c r="N89" s="60">
        <v>14.90</v>
      </c>
      <c r="O89" s="60">
        <v>0</v>
      </c>
      <c r="P89" s="60">
        <v>3.22</v>
      </c>
      <c r="Q89" s="60">
        <v>4.78</v>
      </c>
      <c r="R89" s="194"/>
      <c r="S89" s="194"/>
      <c r="T89" s="194"/>
      <c r="U89" s="194"/>
    </row>
    <row r="90" spans="1:21" s="12" customFormat="1" ht="15">
      <c r="A90" s="197" t="s">
        <v>2822</v>
      </c>
      <c r="B90" s="60">
        <v>5.63</v>
      </c>
      <c r="C90" s="60">
        <v>12.33</v>
      </c>
      <c r="D90" s="60">
        <v>17.96</v>
      </c>
      <c r="E90" s="60">
        <v>6.40</v>
      </c>
      <c r="F90" s="60">
        <v>0.09</v>
      </c>
      <c r="G90" s="214" t="s">
        <v>36</v>
      </c>
      <c r="H90" s="60">
        <v>10.25</v>
      </c>
      <c r="I90" s="60">
        <v>4.59</v>
      </c>
      <c r="J90" s="60">
        <v>0.28999999999999998</v>
      </c>
      <c r="K90" s="60">
        <v>200.84</v>
      </c>
      <c r="L90" s="60">
        <v>35.78</v>
      </c>
      <c r="M90" s="60">
        <v>75.41</v>
      </c>
      <c r="N90" s="60">
        <v>15.60</v>
      </c>
      <c r="O90" s="60">
        <v>0</v>
      </c>
      <c r="P90" s="60">
        <v>3.21</v>
      </c>
      <c r="Q90" s="60">
        <v>4.32</v>
      </c>
      <c r="R90" s="194"/>
      <c r="S90" s="194"/>
      <c r="T90" s="194"/>
      <c r="U90" s="194"/>
    </row>
    <row r="91" spans="1:21" s="12" customFormat="1" ht="15">
      <c r="A91" s="197" t="s">
        <v>2823</v>
      </c>
      <c r="B91" s="60">
        <v>5.55</v>
      </c>
      <c r="C91" s="60">
        <v>11.78</v>
      </c>
      <c r="D91" s="60">
        <v>17.329999999999998</v>
      </c>
      <c r="E91" s="60">
        <v>6.37</v>
      </c>
      <c r="F91" s="60">
        <v>0.30</v>
      </c>
      <c r="G91" s="214" t="s">
        <v>36</v>
      </c>
      <c r="H91" s="60">
        <v>10.25</v>
      </c>
      <c r="I91" s="60">
        <v>5.1100000000000003</v>
      </c>
      <c r="J91" s="60">
        <v>0.31</v>
      </c>
      <c r="K91" s="60">
        <v>190.26</v>
      </c>
      <c r="L91" s="60">
        <v>35.409999999999997</v>
      </c>
      <c r="M91" s="60">
        <v>76.77</v>
      </c>
      <c r="N91" s="60">
        <v>15.30</v>
      </c>
      <c r="O91" s="60">
        <v>0</v>
      </c>
      <c r="P91" s="60">
        <v>3.20</v>
      </c>
      <c r="Q91" s="60">
        <v>3.96</v>
      </c>
      <c r="R91" s="194"/>
      <c r="S91" s="194"/>
      <c r="T91" s="194"/>
      <c r="U91" s="194"/>
    </row>
    <row r="92" spans="1:21" s="12" customFormat="1" ht="15">
      <c r="A92" s="197" t="s">
        <v>2824</v>
      </c>
      <c r="B92" s="60">
        <v>5.57</v>
      </c>
      <c r="C92" s="60">
        <v>11.73</v>
      </c>
      <c r="D92" s="60">
        <v>17.309999999999999</v>
      </c>
      <c r="E92" s="60">
        <v>6.26</v>
      </c>
      <c r="F92" s="60">
        <v>0.10</v>
      </c>
      <c r="G92" s="214" t="s">
        <v>36</v>
      </c>
      <c r="H92" s="60">
        <v>10.25</v>
      </c>
      <c r="I92" s="60">
        <v>4.75</v>
      </c>
      <c r="J92" s="60">
        <v>0.13</v>
      </c>
      <c r="K92" s="60">
        <v>229.90</v>
      </c>
      <c r="L92" s="60">
        <v>35.229999999999997</v>
      </c>
      <c r="M92" s="60">
        <v>77.53</v>
      </c>
      <c r="N92" s="60">
        <v>15.20</v>
      </c>
      <c r="O92" s="60">
        <v>0</v>
      </c>
      <c r="P92" s="60">
        <v>3.21</v>
      </c>
      <c r="Q92" s="60">
        <v>3.90</v>
      </c>
      <c r="R92" s="194"/>
      <c r="S92" s="194"/>
      <c r="T92" s="194"/>
      <c r="U92" s="194"/>
    </row>
    <row r="93" spans="1:21" s="12" customFormat="1" ht="15">
      <c r="A93" s="197" t="s">
        <v>2825</v>
      </c>
      <c r="B93" s="60">
        <v>5.81</v>
      </c>
      <c r="C93" s="60">
        <v>11.5</v>
      </c>
      <c r="D93" s="60">
        <v>17.309999999999999</v>
      </c>
      <c r="E93" s="60">
        <v>6.42</v>
      </c>
      <c r="F93" s="60">
        <v>0.08</v>
      </c>
      <c r="G93" s="214" t="s">
        <v>36</v>
      </c>
      <c r="H93" s="60">
        <v>9.36</v>
      </c>
      <c r="I93" s="60">
        <v>4.63</v>
      </c>
      <c r="J93" s="60">
        <v>0.10</v>
      </c>
      <c r="K93" s="60">
        <v>212.12</v>
      </c>
      <c r="L93" s="60">
        <v>35.18</v>
      </c>
      <c r="M93" s="60">
        <v>77.930000000000007</v>
      </c>
      <c r="N93" s="60">
        <v>14.90</v>
      </c>
      <c r="O93" s="60">
        <v>0</v>
      </c>
      <c r="P93" s="60">
        <v>3.21</v>
      </c>
      <c r="Q93" s="60">
        <v>3.95</v>
      </c>
      <c r="R93" s="194"/>
      <c r="S93" s="194"/>
      <c r="T93" s="194"/>
      <c r="U93" s="194"/>
    </row>
    <row r="94" spans="1:21" s="12" customFormat="1" ht="15">
      <c r="A94" s="197" t="s">
        <v>2826</v>
      </c>
      <c r="B94" s="60">
        <v>6.01</v>
      </c>
      <c r="C94" s="60">
        <v>11</v>
      </c>
      <c r="D94" s="60">
        <v>17.010000000000002</v>
      </c>
      <c r="E94" s="60">
        <v>6.35</v>
      </c>
      <c r="F94" s="60">
        <v>0.16</v>
      </c>
      <c r="G94" s="214" t="s">
        <v>36</v>
      </c>
      <c r="H94" s="60">
        <v>7.17</v>
      </c>
      <c r="I94" s="60">
        <v>4.26</v>
      </c>
      <c r="J94" s="60">
        <v>0.09</v>
      </c>
      <c r="K94" s="60">
        <v>237.15</v>
      </c>
      <c r="L94" s="60">
        <v>35.04</v>
      </c>
      <c r="M94" s="60">
        <v>78.569999999999993</v>
      </c>
      <c r="N94" s="60">
        <v>15</v>
      </c>
      <c r="O94" s="60">
        <v>0</v>
      </c>
      <c r="P94" s="60">
        <v>3.20</v>
      </c>
      <c r="Q94" s="60">
        <v>3.90</v>
      </c>
      <c r="R94" s="194"/>
      <c r="S94" s="194"/>
      <c r="T94" s="194"/>
      <c r="U94" s="194"/>
    </row>
    <row r="95" spans="1:21" s="12" customFormat="1" ht="15">
      <c r="A95" s="197" t="s">
        <v>2827</v>
      </c>
      <c r="B95" s="60">
        <v>6.24</v>
      </c>
      <c r="C95" s="60">
        <v>10.93</v>
      </c>
      <c r="D95" s="60">
        <v>17.170000000000002</v>
      </c>
      <c r="E95" s="60">
        <v>6.69</v>
      </c>
      <c r="F95" s="60">
        <v>0.09</v>
      </c>
      <c r="G95" s="214" t="s">
        <v>36</v>
      </c>
      <c r="H95" s="60">
        <v>7.17</v>
      </c>
      <c r="I95" s="60">
        <v>4.4000000000000004</v>
      </c>
      <c r="J95" s="60">
        <v>0.13</v>
      </c>
      <c r="K95" s="60">
        <v>189.21</v>
      </c>
      <c r="L95" s="60">
        <v>35.01</v>
      </c>
      <c r="M95" s="60">
        <v>79.400000000000006</v>
      </c>
      <c r="N95" s="60">
        <v>14.80</v>
      </c>
      <c r="O95" s="60">
        <v>0</v>
      </c>
      <c r="P95" s="60">
        <v>3.23</v>
      </c>
      <c r="Q95" s="60">
        <v>4.21</v>
      </c>
      <c r="R95" s="194"/>
      <c r="S95" s="194"/>
      <c r="T95" s="194"/>
      <c r="U95" s="194"/>
    </row>
    <row r="96" spans="1:26" s="12" customFormat="1" ht="15">
      <c r="A96" s="197" t="s">
        <v>2828</v>
      </c>
      <c r="B96" s="60">
        <v>6.24</v>
      </c>
      <c r="C96" s="60">
        <v>10.94</v>
      </c>
      <c r="D96" s="60">
        <v>17.170000000000002</v>
      </c>
      <c r="E96" s="60">
        <v>6.73</v>
      </c>
      <c r="F96" s="60">
        <v>0.08</v>
      </c>
      <c r="G96" s="214" t="s">
        <v>36</v>
      </c>
      <c r="H96" s="60">
        <v>7.17</v>
      </c>
      <c r="I96" s="60">
        <v>4.55</v>
      </c>
      <c r="J96" s="60">
        <v>0.20</v>
      </c>
      <c r="K96" s="60">
        <v>209.97</v>
      </c>
      <c r="L96" s="60">
        <v>34.99</v>
      </c>
      <c r="M96" s="60">
        <v>79.89</v>
      </c>
      <c r="N96" s="60">
        <v>14.80</v>
      </c>
      <c r="O96" s="60">
        <v>0</v>
      </c>
      <c r="P96" s="60">
        <v>3.23</v>
      </c>
      <c r="Q96" s="60">
        <v>5.19</v>
      </c>
      <c r="R96" s="194"/>
      <c r="S96" s="194"/>
      <c r="T96" s="194"/>
      <c r="U96" s="194"/>
      <c r="Z96" s="105"/>
    </row>
    <row r="97" spans="1:21" s="12" customFormat="1" ht="15">
      <c r="A97" s="197" t="s">
        <v>2829</v>
      </c>
      <c r="B97" s="60">
        <v>6.03</v>
      </c>
      <c r="C97" s="60">
        <v>11.07</v>
      </c>
      <c r="D97" s="60">
        <v>17.100000000000001</v>
      </c>
      <c r="E97" s="60">
        <v>6.80</v>
      </c>
      <c r="F97" s="60">
        <v>0.09</v>
      </c>
      <c r="G97" s="214" t="s">
        <v>36</v>
      </c>
      <c r="H97" s="60">
        <v>7.20</v>
      </c>
      <c r="I97" s="60">
        <v>4.83</v>
      </c>
      <c r="J97" s="60">
        <v>0.10</v>
      </c>
      <c r="K97" s="60">
        <v>258.69</v>
      </c>
      <c r="L97" s="60">
        <v>34.75</v>
      </c>
      <c r="M97" s="60">
        <v>81.239999999999995</v>
      </c>
      <c r="N97" s="60">
        <v>15</v>
      </c>
      <c r="O97" s="60">
        <v>0</v>
      </c>
      <c r="P97" s="60">
        <v>3.22</v>
      </c>
      <c r="Q97" s="60">
        <v>5.85</v>
      </c>
      <c r="R97" s="194"/>
      <c r="S97" s="194"/>
      <c r="T97" s="194"/>
      <c r="U97" s="194"/>
    </row>
    <row r="98" spans="1:21" s="12" customFormat="1" ht="15">
      <c r="A98" s="197" t="s">
        <v>2830</v>
      </c>
      <c r="B98" s="60">
        <v>5.99</v>
      </c>
      <c r="C98" s="60">
        <v>11.23</v>
      </c>
      <c r="D98" s="60">
        <v>17.22</v>
      </c>
      <c r="E98" s="60">
        <v>6.53</v>
      </c>
      <c r="F98" s="60">
        <v>0.13</v>
      </c>
      <c r="G98" s="214" t="s">
        <v>36</v>
      </c>
      <c r="H98" s="60">
        <v>7.27</v>
      </c>
      <c r="I98" s="60">
        <v>4.8600000000000003</v>
      </c>
      <c r="J98" s="60">
        <v>0.08</v>
      </c>
      <c r="K98" s="60">
        <v>229.88</v>
      </c>
      <c r="L98" s="60">
        <v>34.75</v>
      </c>
      <c r="M98" s="60">
        <v>81.19</v>
      </c>
      <c r="N98" s="60">
        <v>14.90</v>
      </c>
      <c r="O98" s="60">
        <v>0</v>
      </c>
      <c r="P98" s="60">
        <v>3.21</v>
      </c>
      <c r="Q98" s="60">
        <v>6.04</v>
      </c>
      <c r="R98" s="194"/>
      <c r="S98" s="194"/>
      <c r="T98" s="194"/>
      <c r="U98" s="194"/>
    </row>
    <row r="99" spans="1:21" s="12" customFormat="1" ht="15">
      <c r="A99" s="197" t="s">
        <v>2831</v>
      </c>
      <c r="B99" s="60">
        <v>5.78</v>
      </c>
      <c r="C99" s="60">
        <v>11.21</v>
      </c>
      <c r="D99" s="60">
        <v>16.989999999999998</v>
      </c>
      <c r="E99" s="60">
        <v>6.65</v>
      </c>
      <c r="F99" s="60">
        <v>0.03</v>
      </c>
      <c r="G99" s="214" t="s">
        <v>36</v>
      </c>
      <c r="H99" s="60">
        <v>7.27</v>
      </c>
      <c r="I99" s="60">
        <v>4.7699999999999996</v>
      </c>
      <c r="J99" s="60">
        <v>0.11</v>
      </c>
      <c r="K99" s="60">
        <v>258.33999999999997</v>
      </c>
      <c r="L99" s="60">
        <v>34.619999999999997</v>
      </c>
      <c r="M99" s="60">
        <v>82.65</v>
      </c>
      <c r="N99" s="60">
        <v>14.90</v>
      </c>
      <c r="O99" s="60">
        <v>0</v>
      </c>
      <c r="P99" s="60">
        <v>3.21</v>
      </c>
      <c r="Q99" s="60">
        <v>6.05</v>
      </c>
      <c r="R99" s="194"/>
      <c r="S99" s="194"/>
      <c r="T99" s="194"/>
      <c r="U99" s="194"/>
    </row>
    <row r="100" spans="1:33" s="12" customFormat="1" ht="15">
      <c r="A100" s="197" t="s">
        <v>2832</v>
      </c>
      <c r="B100" s="60">
        <v>5.88</v>
      </c>
      <c r="C100" s="60">
        <v>11.31</v>
      </c>
      <c r="D100" s="60">
        <v>17.190000000000001</v>
      </c>
      <c r="E100" s="60">
        <v>6.72</v>
      </c>
      <c r="F100" s="60">
        <v>0.05</v>
      </c>
      <c r="G100" s="214" t="s">
        <v>36</v>
      </c>
      <c r="H100" s="60">
        <v>7.27</v>
      </c>
      <c r="I100" s="60">
        <v>4.76</v>
      </c>
      <c r="J100" s="60">
        <v>0.05</v>
      </c>
      <c r="K100" s="60">
        <v>239.84</v>
      </c>
      <c r="L100" s="60">
        <v>34.60</v>
      </c>
      <c r="M100" s="60">
        <v>83.22</v>
      </c>
      <c r="N100" s="60">
        <v>14.80</v>
      </c>
      <c r="O100" s="60">
        <v>0</v>
      </c>
      <c r="P100" s="60">
        <v>3.20</v>
      </c>
      <c r="Q100" s="60">
        <v>6.10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2833</v>
      </c>
      <c r="B101" s="60">
        <v>5.89</v>
      </c>
      <c r="C101" s="60">
        <v>11.26</v>
      </c>
      <c r="D101" s="60">
        <v>17.149999999999999</v>
      </c>
      <c r="E101" s="60">
        <v>6.60</v>
      </c>
      <c r="F101" s="214" t="s">
        <v>36</v>
      </c>
      <c r="G101" s="214" t="s">
        <v>36</v>
      </c>
      <c r="H101" s="60">
        <v>6.67</v>
      </c>
      <c r="I101" s="60">
        <v>4.70</v>
      </c>
      <c r="J101" s="60">
        <v>0.06</v>
      </c>
      <c r="K101" s="60">
        <v>209.20</v>
      </c>
      <c r="L101" s="60">
        <v>34.60</v>
      </c>
      <c r="M101" s="60">
        <v>83.5</v>
      </c>
      <c r="N101" s="60">
        <v>14.70</v>
      </c>
      <c r="O101" s="60">
        <v>0</v>
      </c>
      <c r="P101" s="60">
        <v>3.19</v>
      </c>
      <c r="Q101" s="60">
        <v>5.97</v>
      </c>
      <c r="R101" s="194"/>
      <c r="S101" s="194"/>
      <c r="T101" s="194"/>
      <c r="U101" s="194"/>
    </row>
    <row r="102" spans="1:21" s="12" customFormat="1" ht="15">
      <c r="A102" s="197" t="s">
        <v>2834</v>
      </c>
      <c r="B102" s="60">
        <v>5.66</v>
      </c>
      <c r="C102" s="60">
        <v>10.87</v>
      </c>
      <c r="D102" s="60">
        <v>16.53</v>
      </c>
      <c r="E102" s="60">
        <v>6.67</v>
      </c>
      <c r="F102" s="60">
        <v>0.16</v>
      </c>
      <c r="G102" s="214" t="s">
        <v>36</v>
      </c>
      <c r="H102" s="60">
        <v>5.19</v>
      </c>
      <c r="I102" s="60">
        <v>4.67</v>
      </c>
      <c r="J102" s="60">
        <v>0.06</v>
      </c>
      <c r="K102" s="60">
        <v>285.29000000000002</v>
      </c>
      <c r="L102" s="60">
        <v>34.61</v>
      </c>
      <c r="M102" s="60">
        <v>84.45</v>
      </c>
      <c r="N102" s="60">
        <v>14.70</v>
      </c>
      <c r="O102" s="60">
        <v>0</v>
      </c>
      <c r="P102" s="60">
        <v>3.18</v>
      </c>
      <c r="Q102" s="60">
        <v>5.28</v>
      </c>
      <c r="R102" s="194"/>
      <c r="S102" s="194"/>
      <c r="T102" s="194"/>
      <c r="U102" s="194"/>
    </row>
    <row r="103" spans="1:21" s="12" customFormat="1" ht="15">
      <c r="A103" s="197" t="s">
        <v>2835</v>
      </c>
      <c r="B103" s="60">
        <v>5.63</v>
      </c>
      <c r="C103" s="60">
        <v>10.83</v>
      </c>
      <c r="D103" s="60">
        <v>16.46</v>
      </c>
      <c r="E103" s="60">
        <v>6.41</v>
      </c>
      <c r="F103" s="60">
        <v>0.05</v>
      </c>
      <c r="G103" s="214" t="s">
        <v>36</v>
      </c>
      <c r="H103" s="60">
        <v>5.19</v>
      </c>
      <c r="I103" s="60">
        <v>4.59</v>
      </c>
      <c r="J103" s="60">
        <v>0</v>
      </c>
      <c r="K103" s="60">
        <v>160.30000000000001</v>
      </c>
      <c r="L103" s="60">
        <v>34.58</v>
      </c>
      <c r="M103" s="60">
        <v>85.36</v>
      </c>
      <c r="N103" s="60">
        <v>14.70</v>
      </c>
      <c r="O103" s="60">
        <v>0</v>
      </c>
      <c r="P103" s="60">
        <v>3.17</v>
      </c>
      <c r="Q103" s="60">
        <v>4.80</v>
      </c>
      <c r="R103" s="194"/>
      <c r="S103" s="194"/>
      <c r="T103" s="194"/>
      <c r="U103" s="194"/>
    </row>
    <row r="104" spans="1:21" s="12" customFormat="1" ht="15">
      <c r="A104" s="197" t="s">
        <v>2836</v>
      </c>
      <c r="B104" s="60">
        <v>5.70</v>
      </c>
      <c r="C104" s="60">
        <v>10.38</v>
      </c>
      <c r="D104" s="60">
        <v>16.079999999999998</v>
      </c>
      <c r="E104" s="60">
        <v>3.73</v>
      </c>
      <c r="F104" s="60">
        <v>0.06</v>
      </c>
      <c r="G104" s="214" t="s">
        <v>36</v>
      </c>
      <c r="H104" s="60">
        <v>5.19</v>
      </c>
      <c r="I104" s="60">
        <v>4.38</v>
      </c>
      <c r="J104" s="60">
        <v>0.03</v>
      </c>
      <c r="K104" s="60">
        <v>137.86000000000001</v>
      </c>
      <c r="L104" s="60">
        <v>34.5</v>
      </c>
      <c r="M104" s="60">
        <v>86.13</v>
      </c>
      <c r="N104" s="60">
        <v>14.90</v>
      </c>
      <c r="O104" s="60">
        <v>0</v>
      </c>
      <c r="P104" s="60">
        <v>3.17</v>
      </c>
      <c r="Q104" s="60">
        <v>4.21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1.3600000000000001</v>
      </c>
      <c r="C106" s="67">
        <f>MIN(C9:C104)</f>
        <v>7.3799999999999999</v>
      </c>
      <c r="D106" s="67">
        <f t="shared" si="0" ref="D106:Q106">MIN(D9:D104)</f>
        <v>9.7799999999999994</v>
      </c>
      <c r="E106" s="67">
        <f t="shared" si="0"/>
        <v>1.8100000000000001</v>
      </c>
      <c r="F106" s="67">
        <f t="shared" si="0"/>
        <v>0.01</v>
      </c>
      <c r="G106" s="67">
        <f t="shared" si="0"/>
        <v>0</v>
      </c>
      <c r="H106" s="67">
        <f t="shared" si="0"/>
        <v>3.02</v>
      </c>
      <c r="I106" s="67">
        <f t="shared" si="0"/>
        <v>3.0499999999999998</v>
      </c>
      <c r="J106" s="67">
        <f t="shared" si="0"/>
        <v>0</v>
      </c>
      <c r="K106" s="67">
        <f t="shared" si="0"/>
        <v>7.2800000000000002</v>
      </c>
      <c r="L106" s="67">
        <f t="shared" si="0"/>
        <v>31.41</v>
      </c>
      <c r="M106" s="67">
        <f t="shared" si="0"/>
        <v>63.039999999999999</v>
      </c>
      <c r="N106" s="67">
        <f t="shared" si="0"/>
        <v>14.699999999999999</v>
      </c>
      <c r="O106" s="67">
        <f t="shared" si="0"/>
        <v>0</v>
      </c>
      <c r="P106" s="67">
        <f t="shared" si="0"/>
        <v>2.8700000000000001</v>
      </c>
      <c r="Q106" s="67">
        <f t="shared" si="0"/>
        <v>1.8999999999999999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6.2400000000000002</v>
      </c>
      <c r="C107" s="66">
        <f t="shared" si="1" ref="C107:Q107">MAX(C9:C104)</f>
        <v>12.69</v>
      </c>
      <c r="D107" s="66">
        <f t="shared" si="1"/>
        <v>18.190000000000001</v>
      </c>
      <c r="E107" s="66">
        <f t="shared" si="1"/>
        <v>8.5299999999999994</v>
      </c>
      <c r="F107" s="66">
        <f t="shared" si="1"/>
        <v>0.89000000000000001</v>
      </c>
      <c r="G107" s="66">
        <f t="shared" si="1"/>
        <v>0</v>
      </c>
      <c r="H107" s="66">
        <f t="shared" si="1"/>
        <v>10.25</v>
      </c>
      <c r="I107" s="66">
        <f t="shared" si="1"/>
        <v>5.1100000000000003</v>
      </c>
      <c r="J107" s="66">
        <f t="shared" si="1"/>
        <v>1.6799999999999999</v>
      </c>
      <c r="K107" s="66">
        <f t="shared" si="1"/>
        <v>357.62</v>
      </c>
      <c r="L107" s="66">
        <f t="shared" si="1"/>
        <v>50.060000000000002</v>
      </c>
      <c r="M107" s="66">
        <f t="shared" si="1"/>
        <v>99.099999999999994</v>
      </c>
      <c r="N107" s="66">
        <f t="shared" si="1"/>
        <v>1060.2</v>
      </c>
      <c r="O107" s="66">
        <f t="shared" si="1"/>
        <v>0</v>
      </c>
      <c r="P107" s="66">
        <f t="shared" si="1"/>
        <v>3.23</v>
      </c>
      <c r="Q107" s="66">
        <f t="shared" si="1"/>
        <v>6.8700000000000001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3.8267708333333328</v>
      </c>
      <c r="C108" s="67">
        <f t="shared" si="2" ref="C108:Q108">AVERAGE(C9:C104)</f>
        <v>9.3813541666666698</v>
      </c>
      <c r="D108" s="67">
        <f t="shared" si="2"/>
        <v>13.208958333333335</v>
      </c>
      <c r="E108" s="67">
        <f t="shared" si="2"/>
        <v>6.4187500000000002</v>
      </c>
      <c r="F108" s="67">
        <f t="shared" si="2"/>
        <v>0.25734042553191477</v>
      </c>
      <c r="G108" s="67" t="e">
        <f t="shared" si="2"/>
        <v>#DIV/0!</v>
      </c>
      <c r="H108" s="67">
        <f t="shared" si="2"/>
        <v>5.1510416666666687</v>
      </c>
      <c r="I108" s="67">
        <f t="shared" si="2"/>
        <v>3.7571875000000001</v>
      </c>
      <c r="J108" s="67">
        <f t="shared" si="2"/>
        <v>0.59833333333333327</v>
      </c>
      <c r="K108" s="67">
        <f t="shared" si="2"/>
        <v>183.68083333333334</v>
      </c>
      <c r="L108" s="67">
        <f t="shared" si="2"/>
        <v>35.75468750000001</v>
      </c>
      <c r="M108" s="67">
        <f t="shared" si="2"/>
        <v>81.989895833333307</v>
      </c>
      <c r="N108" s="67">
        <f t="shared" si="2"/>
        <v>228.01145833333337</v>
      </c>
      <c r="O108" s="67">
        <f t="shared" si="2"/>
        <v>0</v>
      </c>
      <c r="P108" s="67">
        <f t="shared" si="2"/>
        <v>2.9882291666666663</v>
      </c>
      <c r="Q108" s="67">
        <f t="shared" si="2"/>
        <v>4.4262499999999978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1.6324792219467039</v>
      </c>
      <c r="C109" s="67">
        <f t="shared" si="3" ref="C109:Q109">STDEV(C9:C104)</f>
        <v>1.2684790891304887</v>
      </c>
      <c r="D109" s="67">
        <f t="shared" si="3"/>
        <v>2.3860566363625435</v>
      </c>
      <c r="E109" s="67">
        <f t="shared" si="3"/>
        <v>1.3765894162939887</v>
      </c>
      <c r="F109" s="67">
        <f t="shared" si="3"/>
        <v>0.2296241694779084</v>
      </c>
      <c r="G109" s="67" t="e">
        <f t="shared" si="3"/>
        <v>#DIV/0!</v>
      </c>
      <c r="H109" s="67">
        <f t="shared" si="3"/>
        <v>1.8756901770683916</v>
      </c>
      <c r="I109" s="67">
        <f t="shared" si="3"/>
        <v>0.49526112862440663</v>
      </c>
      <c r="J109" s="67">
        <f t="shared" si="3"/>
        <v>0.41525811039113242</v>
      </c>
      <c r="K109" s="67">
        <f t="shared" si="3"/>
        <v>48.283886091949334</v>
      </c>
      <c r="L109" s="67">
        <f t="shared" si="3"/>
        <v>2.6857091401576447</v>
      </c>
      <c r="M109" s="67">
        <f t="shared" si="3"/>
        <v>13.504894200158047</v>
      </c>
      <c r="N109" s="67">
        <f t="shared" si="3"/>
        <v>306.96312580530997</v>
      </c>
      <c r="O109" s="67">
        <f t="shared" si="3"/>
        <v>0</v>
      </c>
      <c r="P109" s="67">
        <f t="shared" si="3"/>
        <v>0.11401749442558244</v>
      </c>
      <c r="Q109" s="67">
        <f t="shared" si="3"/>
        <v>1.2700147118915832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887d62-9c53-463a-b3cc-16f4fa8c50e7}">
  <sheetPr codeName=""/>
  <dimension ref="A1:AG117"/>
  <sheetViews>
    <sheetView workbookViewId="0" topLeftCell="A1">
      <pane xSplit="1" ySplit="8" topLeftCell="B102" activePane="bottomRight" state="frozen"/>
      <selection pane="topLeft" activeCell="N106" sqref="N106:P109"/>
      <selection pane="topRight" activeCell="N106" sqref="N106:P109"/>
      <selection pane="bottomLeft" activeCell="N106" sqref="N106:P109"/>
      <selection pane="bottomRight" activeCell="O110" sqref="O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28-07-2022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93" t="s">
        <v>51</v>
      </c>
      <c r="C8" s="193" t="s">
        <v>51</v>
      </c>
      <c r="D8" s="193" t="s">
        <v>51</v>
      </c>
      <c r="E8" s="193" t="s">
        <v>51</v>
      </c>
      <c r="F8" s="193" t="s">
        <v>51</v>
      </c>
      <c r="G8" s="193" t="s">
        <v>51</v>
      </c>
      <c r="H8" s="193" t="s">
        <v>51</v>
      </c>
      <c r="I8" s="193" t="s">
        <v>51</v>
      </c>
      <c r="J8" s="193" t="s">
        <v>53</v>
      </c>
      <c r="K8" s="193" t="s">
        <v>54</v>
      </c>
      <c r="L8" s="192" t="s">
        <v>56</v>
      </c>
      <c r="M8" s="193" t="s">
        <v>55</v>
      </c>
      <c r="N8" s="193" t="s">
        <v>57</v>
      </c>
      <c r="O8" s="192" t="s">
        <v>58</v>
      </c>
      <c r="P8" s="193" t="s">
        <v>52</v>
      </c>
      <c r="Q8" s="193" t="s">
        <v>51</v>
      </c>
      <c r="R8" s="192"/>
      <c r="S8" s="193"/>
      <c r="T8" s="192"/>
      <c r="U8" s="192"/>
    </row>
    <row r="9" spans="1:21" s="12" customFormat="1" ht="15">
      <c r="A9" s="197" t="s">
        <v>2837</v>
      </c>
      <c r="B9" s="60">
        <v>5.83</v>
      </c>
      <c r="C9" s="60">
        <v>9.9600000000000009</v>
      </c>
      <c r="D9" s="60">
        <v>15.80</v>
      </c>
      <c r="E9" s="60">
        <v>6.61</v>
      </c>
      <c r="F9" s="60">
        <v>0.09</v>
      </c>
      <c r="G9" s="214" t="s">
        <v>36</v>
      </c>
      <c r="H9" s="60">
        <v>5.91</v>
      </c>
      <c r="I9" s="60">
        <v>4.34</v>
      </c>
      <c r="J9" s="60">
        <v>0.09</v>
      </c>
      <c r="K9" s="60">
        <v>312.70999999999998</v>
      </c>
      <c r="L9" s="60">
        <v>34.32</v>
      </c>
      <c r="M9" s="60">
        <v>87.82</v>
      </c>
      <c r="N9" s="60">
        <v>15</v>
      </c>
      <c r="O9" s="60">
        <v>0</v>
      </c>
      <c r="P9" s="60">
        <v>3.16</v>
      </c>
      <c r="Q9" s="60">
        <v>3.96</v>
      </c>
      <c r="R9" s="194"/>
      <c r="S9" s="194"/>
      <c r="T9" s="194"/>
      <c r="U9" s="194"/>
    </row>
    <row r="10" spans="1:21" s="12" customFormat="1" ht="15">
      <c r="A10" s="197" t="s">
        <v>2838</v>
      </c>
      <c r="B10" s="60">
        <v>6.05</v>
      </c>
      <c r="C10" s="60">
        <v>9.82</v>
      </c>
      <c r="D10" s="60">
        <v>15.87</v>
      </c>
      <c r="E10" s="60">
        <v>6.69</v>
      </c>
      <c r="F10" s="60">
        <v>0.070000000000000007</v>
      </c>
      <c r="G10" s="214" t="s">
        <v>36</v>
      </c>
      <c r="H10" s="60">
        <v>7.69</v>
      </c>
      <c r="I10" s="60">
        <v>4.41</v>
      </c>
      <c r="J10" s="60">
        <v>0.06</v>
      </c>
      <c r="K10" s="60">
        <v>328.05</v>
      </c>
      <c r="L10" s="60">
        <v>34.26</v>
      </c>
      <c r="M10" s="60">
        <v>88.77</v>
      </c>
      <c r="N10" s="60">
        <v>14.90</v>
      </c>
      <c r="O10" s="60">
        <v>0</v>
      </c>
      <c r="P10" s="60">
        <v>3.16</v>
      </c>
      <c r="Q10" s="60">
        <v>3.87</v>
      </c>
      <c r="R10" s="194"/>
      <c r="S10" s="194"/>
      <c r="T10" s="194"/>
      <c r="U10" s="194"/>
    </row>
    <row r="11" spans="1:21" s="12" customFormat="1" ht="15">
      <c r="A11" s="197" t="s">
        <v>2839</v>
      </c>
      <c r="B11" s="60">
        <v>6.09</v>
      </c>
      <c r="C11" s="60">
        <v>9.69</v>
      </c>
      <c r="D11" s="60">
        <v>15.78</v>
      </c>
      <c r="E11" s="60">
        <v>6.72</v>
      </c>
      <c r="F11" s="60">
        <v>0.03</v>
      </c>
      <c r="G11" s="214" t="s">
        <v>36</v>
      </c>
      <c r="H11" s="60">
        <v>7.69</v>
      </c>
      <c r="I11" s="60">
        <v>4.1900000000000004</v>
      </c>
      <c r="J11" s="60">
        <v>0.34</v>
      </c>
      <c r="K11" s="60">
        <v>316.63</v>
      </c>
      <c r="L11" s="60">
        <v>34.39</v>
      </c>
      <c r="M11" s="60">
        <v>89.37</v>
      </c>
      <c r="N11" s="60">
        <v>14.60</v>
      </c>
      <c r="O11" s="60">
        <v>0</v>
      </c>
      <c r="P11" s="60">
        <v>3.15</v>
      </c>
      <c r="Q11" s="60">
        <v>3.83</v>
      </c>
      <c r="R11" s="194"/>
      <c r="S11" s="194"/>
      <c r="T11" s="194"/>
      <c r="U11" s="194"/>
    </row>
    <row r="12" spans="1:21" s="12" customFormat="1" ht="15">
      <c r="A12" s="197" t="s">
        <v>2840</v>
      </c>
      <c r="B12" s="60">
        <v>6.15</v>
      </c>
      <c r="C12" s="60">
        <v>9.35</v>
      </c>
      <c r="D12" s="60">
        <v>15.5</v>
      </c>
      <c r="E12" s="60">
        <v>6.86</v>
      </c>
      <c r="F12" s="60">
        <v>0.14000000000000001</v>
      </c>
      <c r="G12" s="214" t="s">
        <v>36</v>
      </c>
      <c r="H12" s="60">
        <v>7.69</v>
      </c>
      <c r="I12" s="60">
        <v>4.1500000000000004</v>
      </c>
      <c r="J12" s="60">
        <v>0.53</v>
      </c>
      <c r="K12" s="60">
        <v>317.77</v>
      </c>
      <c r="L12" s="60">
        <v>34.78</v>
      </c>
      <c r="M12" s="60">
        <v>88.23</v>
      </c>
      <c r="N12" s="60">
        <v>14.80</v>
      </c>
      <c r="O12" s="60">
        <v>0</v>
      </c>
      <c r="P12" s="60">
        <v>3.15</v>
      </c>
      <c r="Q12" s="60">
        <v>3.71</v>
      </c>
      <c r="R12" s="194"/>
      <c r="S12" s="194"/>
      <c r="T12" s="194"/>
      <c r="U12" s="194"/>
    </row>
    <row r="13" spans="1:21" s="12" customFormat="1" ht="15">
      <c r="A13" s="197" t="s">
        <v>2841</v>
      </c>
      <c r="B13" s="60">
        <v>6.13</v>
      </c>
      <c r="C13" s="60">
        <v>9.68</v>
      </c>
      <c r="D13" s="60">
        <v>15.81</v>
      </c>
      <c r="E13" s="60">
        <v>7.15</v>
      </c>
      <c r="F13" s="60">
        <v>0.02</v>
      </c>
      <c r="G13" s="214" t="s">
        <v>36</v>
      </c>
      <c r="H13" s="60">
        <v>7.05</v>
      </c>
      <c r="I13" s="60">
        <v>4.3499999999999996</v>
      </c>
      <c r="J13" s="60">
        <v>0.44</v>
      </c>
      <c r="K13" s="60">
        <v>324.79000000000002</v>
      </c>
      <c r="L13" s="60">
        <v>38.10</v>
      </c>
      <c r="M13" s="60">
        <v>88.59</v>
      </c>
      <c r="N13" s="60">
        <v>15</v>
      </c>
      <c r="O13" s="60">
        <v>0</v>
      </c>
      <c r="P13" s="60">
        <v>3.15</v>
      </c>
      <c r="Q13" s="60">
        <v>3.82</v>
      </c>
      <c r="R13" s="194"/>
      <c r="S13" s="194"/>
      <c r="T13" s="194"/>
      <c r="U13" s="194"/>
    </row>
    <row r="14" spans="1:21" s="12" customFormat="1" ht="15">
      <c r="A14" s="197" t="s">
        <v>2842</v>
      </c>
      <c r="B14" s="60">
        <v>6.01</v>
      </c>
      <c r="C14" s="60">
        <v>9.5</v>
      </c>
      <c r="D14" s="60">
        <v>15.51</v>
      </c>
      <c r="E14" s="60">
        <v>6.77</v>
      </c>
      <c r="F14" s="60">
        <v>0.30</v>
      </c>
      <c r="G14" s="214" t="s">
        <v>36</v>
      </c>
      <c r="H14" s="60">
        <v>5.46</v>
      </c>
      <c r="I14" s="60">
        <v>4.51</v>
      </c>
      <c r="J14" s="60">
        <v>0.61</v>
      </c>
      <c r="K14" s="60">
        <v>314.92</v>
      </c>
      <c r="L14" s="60">
        <v>40.31</v>
      </c>
      <c r="M14" s="60">
        <v>89.86</v>
      </c>
      <c r="N14" s="60">
        <v>14.80</v>
      </c>
      <c r="O14" s="60">
        <v>0</v>
      </c>
      <c r="P14" s="60">
        <v>3.14</v>
      </c>
      <c r="Q14" s="60">
        <v>4.46</v>
      </c>
      <c r="R14" s="194"/>
      <c r="S14" s="194"/>
      <c r="T14" s="194"/>
      <c r="U14" s="194"/>
    </row>
    <row r="15" spans="1:21" s="12" customFormat="1" ht="15">
      <c r="A15" s="197" t="s">
        <v>2843</v>
      </c>
      <c r="B15" s="60">
        <v>5.67</v>
      </c>
      <c r="C15" s="60">
        <v>9.9499999999999993</v>
      </c>
      <c r="D15" s="60">
        <v>15.62</v>
      </c>
      <c r="E15" s="60">
        <v>7.15</v>
      </c>
      <c r="F15" s="60">
        <v>0.10</v>
      </c>
      <c r="G15" s="214" t="s">
        <v>36</v>
      </c>
      <c r="H15" s="60">
        <v>5.46</v>
      </c>
      <c r="I15" s="60">
        <v>4.42</v>
      </c>
      <c r="J15" s="60">
        <v>0.79</v>
      </c>
      <c r="K15" s="60">
        <v>326.24</v>
      </c>
      <c r="L15" s="60">
        <v>40.18</v>
      </c>
      <c r="M15" s="60">
        <v>90.25</v>
      </c>
      <c r="N15" s="60">
        <v>14.70</v>
      </c>
      <c r="O15" s="60">
        <v>0</v>
      </c>
      <c r="P15" s="60">
        <v>3.14</v>
      </c>
      <c r="Q15" s="60">
        <v>5.27</v>
      </c>
      <c r="R15" s="194"/>
      <c r="S15" s="194"/>
      <c r="T15" s="194"/>
      <c r="U15" s="194"/>
    </row>
    <row r="16" spans="1:21" s="12" customFormat="1" ht="15">
      <c r="A16" s="197" t="s">
        <v>2844</v>
      </c>
      <c r="B16" s="60">
        <v>5.32</v>
      </c>
      <c r="C16" s="60">
        <v>10.15</v>
      </c>
      <c r="D16" s="60">
        <v>15.47</v>
      </c>
      <c r="E16" s="60">
        <v>6.69</v>
      </c>
      <c r="F16" s="60">
        <v>0.17</v>
      </c>
      <c r="G16" s="214" t="s">
        <v>36</v>
      </c>
      <c r="H16" s="60">
        <v>5.46</v>
      </c>
      <c r="I16" s="60">
        <v>4.5199999999999996</v>
      </c>
      <c r="J16" s="60">
        <v>0.63</v>
      </c>
      <c r="K16" s="60">
        <v>325.58999999999997</v>
      </c>
      <c r="L16" s="60">
        <v>40.67</v>
      </c>
      <c r="M16" s="60">
        <v>90.45</v>
      </c>
      <c r="N16" s="60">
        <v>14.90</v>
      </c>
      <c r="O16" s="60">
        <v>0</v>
      </c>
      <c r="P16" s="60">
        <v>3.14</v>
      </c>
      <c r="Q16" s="60">
        <v>5.64</v>
      </c>
      <c r="R16" s="194"/>
      <c r="S16" s="194"/>
      <c r="T16" s="194"/>
      <c r="U16" s="194"/>
    </row>
    <row r="17" spans="1:21" s="12" customFormat="1" ht="15">
      <c r="A17" s="197" t="s">
        <v>2845</v>
      </c>
      <c r="B17" s="60">
        <v>5.03</v>
      </c>
      <c r="C17" s="60">
        <v>10.15</v>
      </c>
      <c r="D17" s="60">
        <v>15.18</v>
      </c>
      <c r="E17" s="60">
        <v>6.99</v>
      </c>
      <c r="F17" s="60">
        <v>0.11</v>
      </c>
      <c r="G17" s="214" t="s">
        <v>36</v>
      </c>
      <c r="H17" s="60">
        <v>6.47</v>
      </c>
      <c r="I17" s="60">
        <v>4.46</v>
      </c>
      <c r="J17" s="214" t="s">
        <v>36</v>
      </c>
      <c r="K17" s="60">
        <v>301.64999999999998</v>
      </c>
      <c r="L17" s="60">
        <v>40.299999999999997</v>
      </c>
      <c r="M17" s="60">
        <v>91</v>
      </c>
      <c r="N17" s="60">
        <v>15.10</v>
      </c>
      <c r="O17" s="60">
        <v>0</v>
      </c>
      <c r="P17" s="60">
        <v>3.13</v>
      </c>
      <c r="Q17" s="60">
        <v>5.68</v>
      </c>
      <c r="R17" s="194"/>
      <c r="S17" s="194"/>
      <c r="T17" s="194"/>
      <c r="U17" s="194"/>
    </row>
    <row r="18" spans="1:21" s="12" customFormat="1" ht="15">
      <c r="A18" s="197" t="s">
        <v>2846</v>
      </c>
      <c r="B18" s="60">
        <v>4.83</v>
      </c>
      <c r="C18" s="60">
        <v>10.35</v>
      </c>
      <c r="D18" s="60">
        <v>15.18</v>
      </c>
      <c r="E18" s="60">
        <v>7.26</v>
      </c>
      <c r="F18" s="214" t="s">
        <v>36</v>
      </c>
      <c r="G18" s="214" t="s">
        <v>36</v>
      </c>
      <c r="H18" s="60">
        <v>8.98</v>
      </c>
      <c r="I18" s="60">
        <v>4.45</v>
      </c>
      <c r="J18" s="60">
        <v>0.14000000000000001</v>
      </c>
      <c r="K18" s="60">
        <v>238.13</v>
      </c>
      <c r="L18" s="60">
        <v>39.85</v>
      </c>
      <c r="M18" s="60">
        <v>92.25</v>
      </c>
      <c r="N18" s="60">
        <v>15</v>
      </c>
      <c r="O18" s="60">
        <v>0</v>
      </c>
      <c r="P18" s="60">
        <v>3.13</v>
      </c>
      <c r="Q18" s="60">
        <v>5.60</v>
      </c>
      <c r="R18" s="194"/>
      <c r="S18" s="194"/>
      <c r="T18" s="194"/>
      <c r="U18" s="194"/>
    </row>
    <row r="19" spans="1:21" s="12" customFormat="1" ht="15">
      <c r="A19" s="197" t="s">
        <v>2847</v>
      </c>
      <c r="B19" s="60">
        <v>4.7699999999999996</v>
      </c>
      <c r="C19" s="60">
        <v>10.31</v>
      </c>
      <c r="D19" s="60">
        <v>15.08</v>
      </c>
      <c r="E19" s="60">
        <v>6.90</v>
      </c>
      <c r="F19" s="60">
        <v>0.04</v>
      </c>
      <c r="G19" s="214" t="s">
        <v>36</v>
      </c>
      <c r="H19" s="60">
        <v>8.98</v>
      </c>
      <c r="I19" s="60">
        <v>4.38</v>
      </c>
      <c r="J19" s="60">
        <v>0.09</v>
      </c>
      <c r="K19" s="60">
        <v>297.16000000000003</v>
      </c>
      <c r="L19" s="60">
        <v>40.020000000000003</v>
      </c>
      <c r="M19" s="60">
        <v>94.79</v>
      </c>
      <c r="N19" s="60">
        <v>15</v>
      </c>
      <c r="O19" s="60">
        <v>0</v>
      </c>
      <c r="P19" s="60">
        <v>3.13</v>
      </c>
      <c r="Q19" s="60">
        <v>5.48</v>
      </c>
      <c r="R19" s="194"/>
      <c r="S19" s="194"/>
      <c r="T19" s="194"/>
      <c r="U19" s="194"/>
    </row>
    <row r="20" spans="1:21" s="12" customFormat="1" ht="15">
      <c r="A20" s="197" t="s">
        <v>2848</v>
      </c>
      <c r="B20" s="60">
        <v>4.70</v>
      </c>
      <c r="C20" s="60">
        <v>10</v>
      </c>
      <c r="D20" s="60">
        <v>14.70</v>
      </c>
      <c r="E20" s="60">
        <v>6.33</v>
      </c>
      <c r="F20" s="60">
        <v>0.03</v>
      </c>
      <c r="G20" s="214" t="s">
        <v>36</v>
      </c>
      <c r="H20" s="60">
        <v>8.98</v>
      </c>
      <c r="I20" s="60">
        <v>4.3499999999999996</v>
      </c>
      <c r="J20" s="60">
        <v>0.08</v>
      </c>
      <c r="K20" s="60">
        <v>336.80</v>
      </c>
      <c r="L20" s="60">
        <v>40.32</v>
      </c>
      <c r="M20" s="60">
        <v>95.39</v>
      </c>
      <c r="N20" s="60">
        <v>14.90</v>
      </c>
      <c r="O20" s="60">
        <v>0</v>
      </c>
      <c r="P20" s="60">
        <v>3.12</v>
      </c>
      <c r="Q20" s="60">
        <v>5.27</v>
      </c>
      <c r="R20" s="194"/>
      <c r="S20" s="194"/>
      <c r="T20" s="194"/>
      <c r="U20" s="194"/>
    </row>
    <row r="21" spans="1:21" s="12" customFormat="1" ht="15">
      <c r="A21" s="197" t="s">
        <v>2849</v>
      </c>
      <c r="B21" s="60">
        <v>4.74</v>
      </c>
      <c r="C21" s="60">
        <v>9.69</v>
      </c>
      <c r="D21" s="60">
        <v>14.43</v>
      </c>
      <c r="E21" s="60">
        <v>7.03</v>
      </c>
      <c r="F21" s="60">
        <v>0.08</v>
      </c>
      <c r="G21" s="214" t="s">
        <v>36</v>
      </c>
      <c r="H21" s="60">
        <v>12.78</v>
      </c>
      <c r="I21" s="60">
        <v>4.3499999999999996</v>
      </c>
      <c r="J21" s="60">
        <v>0.15</v>
      </c>
      <c r="K21" s="60">
        <v>135.02000000000001</v>
      </c>
      <c r="L21" s="60">
        <v>40.83</v>
      </c>
      <c r="M21" s="60">
        <v>93.25</v>
      </c>
      <c r="N21" s="60">
        <v>14.80</v>
      </c>
      <c r="O21" s="60">
        <v>0</v>
      </c>
      <c r="P21" s="60">
        <v>3.12</v>
      </c>
      <c r="Q21" s="60">
        <v>4.68</v>
      </c>
      <c r="R21" s="194"/>
      <c r="S21" s="194"/>
      <c r="T21" s="194"/>
      <c r="U21" s="194"/>
    </row>
    <row r="22" spans="1:21" s="12" customFormat="1" ht="15">
      <c r="A22" s="197" t="s">
        <v>2850</v>
      </c>
      <c r="B22" s="60">
        <v>4.9400000000000004</v>
      </c>
      <c r="C22" s="60">
        <v>9.44</v>
      </c>
      <c r="D22" s="60">
        <v>14.38</v>
      </c>
      <c r="E22" s="60">
        <v>6.98</v>
      </c>
      <c r="F22" s="60">
        <v>0.10</v>
      </c>
      <c r="G22" s="214" t="s">
        <v>36</v>
      </c>
      <c r="H22" s="60">
        <v>22.15</v>
      </c>
      <c r="I22" s="60">
        <v>4.1100000000000003</v>
      </c>
      <c r="J22" s="60">
        <v>0.06</v>
      </c>
      <c r="K22" s="60">
        <v>222.25</v>
      </c>
      <c r="L22" s="60">
        <v>40.56</v>
      </c>
      <c r="M22" s="60">
        <v>94.35</v>
      </c>
      <c r="N22" s="60">
        <v>15</v>
      </c>
      <c r="O22" s="60">
        <v>0</v>
      </c>
      <c r="P22" s="60">
        <v>3.11</v>
      </c>
      <c r="Q22" s="60">
        <v>4.05</v>
      </c>
      <c r="R22" s="194"/>
      <c r="S22" s="194"/>
      <c r="T22" s="194"/>
      <c r="U22" s="194"/>
    </row>
    <row r="23" spans="1:21" s="12" customFormat="1" ht="15">
      <c r="A23" s="197" t="s">
        <v>2851</v>
      </c>
      <c r="B23" s="60">
        <v>5.19</v>
      </c>
      <c r="C23" s="60">
        <v>9.4499999999999993</v>
      </c>
      <c r="D23" s="60">
        <v>14.63</v>
      </c>
      <c r="E23" s="60">
        <v>7.14</v>
      </c>
      <c r="F23" s="60">
        <v>0.26</v>
      </c>
      <c r="G23" s="214" t="s">
        <v>36</v>
      </c>
      <c r="H23" s="60">
        <v>22.15</v>
      </c>
      <c r="I23" s="60">
        <v>3.90</v>
      </c>
      <c r="J23" s="60">
        <v>0.070000000000000007</v>
      </c>
      <c r="K23" s="60">
        <v>287.20999999999998</v>
      </c>
      <c r="L23" s="60">
        <v>40.5</v>
      </c>
      <c r="M23" s="60">
        <v>95.17</v>
      </c>
      <c r="N23" s="60">
        <v>15</v>
      </c>
      <c r="O23" s="60">
        <v>0</v>
      </c>
      <c r="P23" s="60">
        <v>3.12</v>
      </c>
      <c r="Q23" s="60">
        <v>3.91</v>
      </c>
      <c r="R23" s="194"/>
      <c r="S23" s="194"/>
      <c r="T23" s="194"/>
      <c r="U23" s="194"/>
    </row>
    <row r="24" spans="1:21" s="12" customFormat="1" ht="15">
      <c r="A24" s="197" t="s">
        <v>2852</v>
      </c>
      <c r="B24" s="60">
        <v>5.52</v>
      </c>
      <c r="C24" s="60">
        <v>9.0500000000000007</v>
      </c>
      <c r="D24" s="60">
        <v>14.57</v>
      </c>
      <c r="E24" s="60">
        <v>3.18</v>
      </c>
      <c r="F24" s="60">
        <v>0.03</v>
      </c>
      <c r="G24" s="214" t="s">
        <v>36</v>
      </c>
      <c r="H24" s="60">
        <v>22.15</v>
      </c>
      <c r="I24" s="60">
        <v>4.0199999999999996</v>
      </c>
      <c r="J24" s="60">
        <v>0.17</v>
      </c>
      <c r="K24" s="60">
        <v>181.20</v>
      </c>
      <c r="L24" s="60">
        <v>40.15</v>
      </c>
      <c r="M24" s="60">
        <v>97.44</v>
      </c>
      <c r="N24" s="60">
        <v>14.80</v>
      </c>
      <c r="O24" s="60">
        <v>0</v>
      </c>
      <c r="P24" s="60">
        <v>3.14</v>
      </c>
      <c r="Q24" s="60">
        <v>3.79</v>
      </c>
      <c r="R24" s="194"/>
      <c r="S24" s="194"/>
      <c r="T24" s="194"/>
      <c r="U24" s="194"/>
    </row>
    <row r="25" spans="1:21" s="12" customFormat="1" ht="15">
      <c r="A25" s="197" t="s">
        <v>2853</v>
      </c>
      <c r="B25" s="60">
        <v>6.02</v>
      </c>
      <c r="C25" s="60">
        <v>8.94</v>
      </c>
      <c r="D25" s="60">
        <v>14.96</v>
      </c>
      <c r="E25" s="60">
        <v>6.40</v>
      </c>
      <c r="F25" s="60">
        <v>0.51</v>
      </c>
      <c r="G25" s="214" t="s">
        <v>36</v>
      </c>
      <c r="H25" s="60">
        <v>22.90</v>
      </c>
      <c r="I25" s="60">
        <v>3.95</v>
      </c>
      <c r="J25" s="60">
        <v>0.37</v>
      </c>
      <c r="K25" s="60">
        <v>168.62</v>
      </c>
      <c r="L25" s="60">
        <v>39.799999999999997</v>
      </c>
      <c r="M25" s="60">
        <v>97.13</v>
      </c>
      <c r="N25" s="60">
        <v>14.60</v>
      </c>
      <c r="O25" s="60">
        <v>0</v>
      </c>
      <c r="P25" s="60">
        <v>3.13</v>
      </c>
      <c r="Q25" s="60">
        <v>3.79</v>
      </c>
      <c r="R25" s="194"/>
      <c r="S25" s="194"/>
      <c r="T25" s="194"/>
      <c r="U25" s="194"/>
    </row>
    <row r="26" spans="1:21" s="12" customFormat="1" ht="15">
      <c r="A26" s="197" t="s">
        <v>2854</v>
      </c>
      <c r="B26" s="60">
        <v>6.49</v>
      </c>
      <c r="C26" s="60">
        <v>9.15</v>
      </c>
      <c r="D26" s="60">
        <v>15.64</v>
      </c>
      <c r="E26" s="60">
        <v>6.75</v>
      </c>
      <c r="F26" s="60">
        <v>0.06</v>
      </c>
      <c r="G26" s="214" t="s">
        <v>36</v>
      </c>
      <c r="H26" s="60">
        <v>24.73</v>
      </c>
      <c r="I26" s="60">
        <v>4.3499999999999996</v>
      </c>
      <c r="J26" s="60">
        <v>0.14000000000000001</v>
      </c>
      <c r="K26" s="60">
        <v>169.5</v>
      </c>
      <c r="L26" s="60">
        <v>39.04</v>
      </c>
      <c r="M26" s="60">
        <v>98.05</v>
      </c>
      <c r="N26" s="60">
        <v>14.90</v>
      </c>
      <c r="O26" s="60">
        <v>0</v>
      </c>
      <c r="P26" s="60">
        <v>3.13</v>
      </c>
      <c r="Q26" s="60">
        <v>3.95</v>
      </c>
      <c r="R26" s="194"/>
      <c r="S26" s="194"/>
      <c r="T26" s="194"/>
      <c r="U26" s="194"/>
    </row>
    <row r="27" spans="1:21" s="12" customFormat="1" ht="15">
      <c r="A27" s="197" t="s">
        <v>2855</v>
      </c>
      <c r="B27" s="60">
        <v>6.72</v>
      </c>
      <c r="C27" s="60">
        <v>8.83</v>
      </c>
      <c r="D27" s="60">
        <v>15.55</v>
      </c>
      <c r="E27" s="60">
        <v>6.25</v>
      </c>
      <c r="F27" s="60">
        <v>0.10</v>
      </c>
      <c r="G27" s="214" t="s">
        <v>36</v>
      </c>
      <c r="H27" s="60">
        <v>24.73</v>
      </c>
      <c r="I27" s="60">
        <v>4.41</v>
      </c>
      <c r="J27" s="60">
        <v>0.10</v>
      </c>
      <c r="K27" s="60">
        <v>213.37</v>
      </c>
      <c r="L27" s="60">
        <v>39.36</v>
      </c>
      <c r="M27" s="60">
        <v>99</v>
      </c>
      <c r="N27" s="60">
        <v>14.90</v>
      </c>
      <c r="O27" s="60">
        <v>0</v>
      </c>
      <c r="P27" s="60">
        <v>3.13</v>
      </c>
      <c r="Q27" s="60">
        <v>4.0599999999999996</v>
      </c>
      <c r="R27" s="194"/>
      <c r="S27" s="194"/>
      <c r="T27" s="194"/>
      <c r="U27" s="194"/>
    </row>
    <row r="28" spans="1:21" s="12" customFormat="1" ht="15">
      <c r="A28" s="197" t="s">
        <v>2856</v>
      </c>
      <c r="B28" s="60">
        <v>7.19</v>
      </c>
      <c r="C28" s="60">
        <v>8.86</v>
      </c>
      <c r="D28" s="60">
        <v>16.05</v>
      </c>
      <c r="E28" s="60">
        <v>6.92</v>
      </c>
      <c r="F28" s="60">
        <v>0.68</v>
      </c>
      <c r="G28" s="214" t="s">
        <v>36</v>
      </c>
      <c r="H28" s="60">
        <v>24.73</v>
      </c>
      <c r="I28" s="60">
        <v>4.2300000000000004</v>
      </c>
      <c r="J28" s="60">
        <v>0.10</v>
      </c>
      <c r="K28" s="60">
        <v>257.30</v>
      </c>
      <c r="L28" s="60">
        <v>39.69</v>
      </c>
      <c r="M28" s="60">
        <v>99.02</v>
      </c>
      <c r="N28" s="60">
        <v>15</v>
      </c>
      <c r="O28" s="60">
        <v>0</v>
      </c>
      <c r="P28" s="60">
        <v>3.12</v>
      </c>
      <c r="Q28" s="60">
        <v>4.67</v>
      </c>
      <c r="R28" s="194"/>
      <c r="S28" s="194"/>
      <c r="T28" s="194"/>
      <c r="U28" s="194"/>
    </row>
    <row r="29" spans="1:21" s="12" customFormat="1" ht="15">
      <c r="A29" s="197" t="s">
        <v>2857</v>
      </c>
      <c r="B29" s="60">
        <v>8.15</v>
      </c>
      <c r="C29" s="60">
        <v>8.75</v>
      </c>
      <c r="D29" s="60">
        <v>16.899999999999999</v>
      </c>
      <c r="E29" s="60">
        <v>6.86</v>
      </c>
      <c r="F29" s="60">
        <v>0.24</v>
      </c>
      <c r="G29" s="214" t="s">
        <v>36</v>
      </c>
      <c r="H29" s="60">
        <v>23.99</v>
      </c>
      <c r="I29" s="60">
        <v>4.1500000000000004</v>
      </c>
      <c r="J29" s="60">
        <v>0.10</v>
      </c>
      <c r="K29" s="60">
        <v>243.75</v>
      </c>
      <c r="L29" s="60">
        <v>39.729999999999997</v>
      </c>
      <c r="M29" s="60">
        <v>98.97</v>
      </c>
      <c r="N29" s="60">
        <v>14.90</v>
      </c>
      <c r="O29" s="60">
        <v>0</v>
      </c>
      <c r="P29" s="60">
        <v>3.13</v>
      </c>
      <c r="Q29" s="60">
        <v>6.14</v>
      </c>
      <c r="R29" s="194"/>
      <c r="S29" s="194"/>
      <c r="T29" s="194"/>
      <c r="U29" s="194"/>
    </row>
    <row r="30" spans="1:21" s="12" customFormat="1" ht="15">
      <c r="A30" s="197" t="s">
        <v>2858</v>
      </c>
      <c r="B30" s="60">
        <v>8.49</v>
      </c>
      <c r="C30" s="60">
        <v>9.15</v>
      </c>
      <c r="D30" s="60">
        <v>17.64</v>
      </c>
      <c r="E30" s="60">
        <v>6.87</v>
      </c>
      <c r="F30" s="60">
        <v>0.02</v>
      </c>
      <c r="G30" s="214" t="s">
        <v>36</v>
      </c>
      <c r="H30" s="60">
        <v>22.17</v>
      </c>
      <c r="I30" s="60">
        <v>4.54</v>
      </c>
      <c r="J30" s="60">
        <v>0.18</v>
      </c>
      <c r="K30" s="60">
        <v>225.26</v>
      </c>
      <c r="L30" s="60">
        <v>39.74</v>
      </c>
      <c r="M30" s="60">
        <v>98.43</v>
      </c>
      <c r="N30" s="60">
        <v>15.40</v>
      </c>
      <c r="O30" s="60">
        <v>0</v>
      </c>
      <c r="P30" s="60">
        <v>3.12</v>
      </c>
      <c r="Q30" s="60">
        <v>6.63</v>
      </c>
      <c r="R30" s="194"/>
      <c r="S30" s="194"/>
      <c r="T30" s="194"/>
      <c r="U30" s="194"/>
    </row>
    <row r="31" spans="1:21" s="12" customFormat="1" ht="15">
      <c r="A31" s="197" t="s">
        <v>2859</v>
      </c>
      <c r="B31" s="60">
        <v>8.48</v>
      </c>
      <c r="C31" s="60">
        <v>9.39</v>
      </c>
      <c r="D31" s="60">
        <v>17.87</v>
      </c>
      <c r="E31" s="60">
        <v>6.94</v>
      </c>
      <c r="F31" s="60">
        <v>0.02</v>
      </c>
      <c r="G31" s="214" t="s">
        <v>36</v>
      </c>
      <c r="H31" s="60">
        <v>22.17</v>
      </c>
      <c r="I31" s="60">
        <v>4.5199999999999996</v>
      </c>
      <c r="J31" s="60">
        <v>0.10</v>
      </c>
      <c r="K31" s="60">
        <v>220.70</v>
      </c>
      <c r="L31" s="60">
        <v>39.53</v>
      </c>
      <c r="M31" s="60">
        <v>97.94</v>
      </c>
      <c r="N31" s="60">
        <v>21.30</v>
      </c>
      <c r="O31" s="60">
        <v>0</v>
      </c>
      <c r="P31" s="60">
        <v>3.11</v>
      </c>
      <c r="Q31" s="60">
        <v>6.84</v>
      </c>
      <c r="R31" s="194"/>
      <c r="S31" s="194"/>
      <c r="T31" s="194"/>
      <c r="U31" s="194"/>
    </row>
    <row r="32" spans="1:21" s="12" customFormat="1" ht="15">
      <c r="A32" s="197" t="s">
        <v>2860</v>
      </c>
      <c r="B32" s="60">
        <v>8.4700000000000006</v>
      </c>
      <c r="C32" s="60">
        <v>9.6999999999999993</v>
      </c>
      <c r="D32" s="60">
        <v>18.170000000000002</v>
      </c>
      <c r="E32" s="60">
        <v>7.08</v>
      </c>
      <c r="F32" s="214" t="s">
        <v>36</v>
      </c>
      <c r="G32" s="214" t="s">
        <v>36</v>
      </c>
      <c r="H32" s="60">
        <v>22.17</v>
      </c>
      <c r="I32" s="60">
        <v>4.4800000000000004</v>
      </c>
      <c r="J32" s="60">
        <v>0.17</v>
      </c>
      <c r="K32" s="60">
        <v>219.25</v>
      </c>
      <c r="L32" s="60">
        <v>39.21</v>
      </c>
      <c r="M32" s="60">
        <v>98.03</v>
      </c>
      <c r="N32" s="60">
        <v>36.5</v>
      </c>
      <c r="O32" s="60">
        <v>0</v>
      </c>
      <c r="P32" s="60">
        <v>3.11</v>
      </c>
      <c r="Q32" s="60">
        <v>6.91</v>
      </c>
      <c r="R32" s="194"/>
      <c r="S32" s="194"/>
      <c r="T32" s="194"/>
      <c r="U32" s="194"/>
    </row>
    <row r="33" spans="1:21" s="12" customFormat="1" ht="15">
      <c r="A33" s="197" t="s">
        <v>2861</v>
      </c>
      <c r="B33" s="60">
        <v>8.6199999999999992</v>
      </c>
      <c r="C33" s="60">
        <v>9.7799999999999994</v>
      </c>
      <c r="D33" s="60">
        <v>18.39</v>
      </c>
      <c r="E33" s="60">
        <v>6.60</v>
      </c>
      <c r="F33" s="60">
        <v>0.03</v>
      </c>
      <c r="G33" s="214" t="s">
        <v>36</v>
      </c>
      <c r="H33" s="60">
        <v>20.92</v>
      </c>
      <c r="I33" s="60">
        <v>4.4800000000000004</v>
      </c>
      <c r="J33" s="60">
        <v>0.17</v>
      </c>
      <c r="K33" s="60">
        <v>198.92</v>
      </c>
      <c r="L33" s="60">
        <v>39.82</v>
      </c>
      <c r="M33" s="60">
        <v>96.28</v>
      </c>
      <c r="N33" s="60">
        <v>61.40</v>
      </c>
      <c r="O33" s="60">
        <v>0</v>
      </c>
      <c r="P33" s="60">
        <v>3.10</v>
      </c>
      <c r="Q33" s="60">
        <v>6.90</v>
      </c>
      <c r="R33" s="194"/>
      <c r="S33" s="194"/>
      <c r="T33" s="194"/>
      <c r="U33" s="194"/>
    </row>
    <row r="34" spans="1:21" s="12" customFormat="1" ht="15">
      <c r="A34" s="197" t="s">
        <v>2862</v>
      </c>
      <c r="B34" s="60">
        <v>8.82</v>
      </c>
      <c r="C34" s="60">
        <v>10.07</v>
      </c>
      <c r="D34" s="60">
        <v>18.89</v>
      </c>
      <c r="E34" s="60">
        <v>6.77</v>
      </c>
      <c r="F34" s="60">
        <v>0.02</v>
      </c>
      <c r="G34" s="214" t="s">
        <v>36</v>
      </c>
      <c r="H34" s="60">
        <v>17.84</v>
      </c>
      <c r="I34" s="60">
        <v>4.4400000000000004</v>
      </c>
      <c r="J34" s="60">
        <v>0.30</v>
      </c>
      <c r="K34" s="60">
        <v>180.11</v>
      </c>
      <c r="L34" s="60">
        <v>40.25</v>
      </c>
      <c r="M34" s="60">
        <v>92.36</v>
      </c>
      <c r="N34" s="60">
        <v>100.70</v>
      </c>
      <c r="O34" s="60">
        <v>0</v>
      </c>
      <c r="P34" s="60">
        <v>3.10</v>
      </c>
      <c r="Q34" s="60">
        <v>6.90</v>
      </c>
      <c r="R34" s="194"/>
      <c r="S34" s="194"/>
      <c r="T34" s="194"/>
      <c r="U34" s="194"/>
    </row>
    <row r="35" spans="1:21" s="12" customFormat="1" ht="15">
      <c r="A35" s="197" t="s">
        <v>2863</v>
      </c>
      <c r="B35" s="60">
        <v>9.02</v>
      </c>
      <c r="C35" s="60">
        <v>9.6999999999999993</v>
      </c>
      <c r="D35" s="60">
        <v>18.71</v>
      </c>
      <c r="E35" s="60">
        <v>6.25</v>
      </c>
      <c r="F35" s="60">
        <v>0.05</v>
      </c>
      <c r="G35" s="214" t="s">
        <v>36</v>
      </c>
      <c r="H35" s="60">
        <v>17.84</v>
      </c>
      <c r="I35" s="60">
        <v>4.3899999999999997</v>
      </c>
      <c r="J35" s="60">
        <v>0.33</v>
      </c>
      <c r="K35" s="60">
        <v>169</v>
      </c>
      <c r="L35" s="60">
        <v>40.729999999999997</v>
      </c>
      <c r="M35" s="60">
        <v>88.47</v>
      </c>
      <c r="N35" s="60">
        <v>144.80000000000001</v>
      </c>
      <c r="O35" s="60">
        <v>0</v>
      </c>
      <c r="P35" s="60">
        <v>3.08</v>
      </c>
      <c r="Q35" s="60">
        <v>6.12</v>
      </c>
      <c r="R35" s="194"/>
      <c r="S35" s="194"/>
      <c r="T35" s="194"/>
      <c r="U35" s="194"/>
    </row>
    <row r="36" spans="1:21" s="12" customFormat="1" ht="15">
      <c r="A36" s="197" t="s">
        <v>2864</v>
      </c>
      <c r="B36" s="60">
        <v>9.18</v>
      </c>
      <c r="C36" s="60">
        <v>9.90</v>
      </c>
      <c r="D36" s="60">
        <v>19.07</v>
      </c>
      <c r="E36" s="60">
        <v>6.35</v>
      </c>
      <c r="F36" s="60">
        <v>0.01</v>
      </c>
      <c r="G36" s="214" t="s">
        <v>36</v>
      </c>
      <c r="H36" s="60">
        <v>17.84</v>
      </c>
      <c r="I36" s="60">
        <v>4.29</v>
      </c>
      <c r="J36" s="60">
        <v>0.34</v>
      </c>
      <c r="K36" s="60">
        <v>161.61000000000001</v>
      </c>
      <c r="L36" s="60">
        <v>42.13</v>
      </c>
      <c r="M36" s="60">
        <v>85.74</v>
      </c>
      <c r="N36" s="60">
        <v>189.70</v>
      </c>
      <c r="O36" s="60">
        <v>0</v>
      </c>
      <c r="P36" s="60">
        <v>3.09</v>
      </c>
      <c r="Q36" s="60">
        <v>5.80</v>
      </c>
      <c r="R36" s="194"/>
      <c r="S36" s="194"/>
      <c r="T36" s="194"/>
      <c r="U36" s="194"/>
    </row>
    <row r="37" spans="1:21" s="12" customFormat="1" ht="15">
      <c r="A37" s="197" t="s">
        <v>2865</v>
      </c>
      <c r="B37" s="60">
        <v>9.24</v>
      </c>
      <c r="C37" s="60">
        <v>9.57</v>
      </c>
      <c r="D37" s="60">
        <v>18.809999999999999</v>
      </c>
      <c r="E37" s="60">
        <v>6.88</v>
      </c>
      <c r="F37" s="60">
        <v>0.08</v>
      </c>
      <c r="G37" s="214" t="s">
        <v>36</v>
      </c>
      <c r="H37" s="60">
        <v>17.37</v>
      </c>
      <c r="I37" s="60">
        <v>4.13</v>
      </c>
      <c r="J37" s="60">
        <v>0.23</v>
      </c>
      <c r="K37" s="60">
        <v>155.82</v>
      </c>
      <c r="L37" s="60">
        <v>42.71</v>
      </c>
      <c r="M37" s="60">
        <v>82.57</v>
      </c>
      <c r="N37" s="60">
        <v>234.20</v>
      </c>
      <c r="O37" s="60">
        <v>0</v>
      </c>
      <c r="P37" s="60">
        <v>3.09</v>
      </c>
      <c r="Q37" s="60">
        <v>5.34</v>
      </c>
      <c r="R37" s="194"/>
      <c r="S37" s="194"/>
      <c r="T37" s="194"/>
      <c r="U37" s="194"/>
    </row>
    <row r="38" spans="1:21" s="12" customFormat="1" ht="15">
      <c r="A38" s="197" t="s">
        <v>2866</v>
      </c>
      <c r="B38" s="60">
        <v>9.4600000000000009</v>
      </c>
      <c r="C38" s="60">
        <v>9.27</v>
      </c>
      <c r="D38" s="60">
        <v>18.73</v>
      </c>
      <c r="E38" s="60">
        <v>6.80</v>
      </c>
      <c r="F38" s="60">
        <v>0.13</v>
      </c>
      <c r="G38" s="214" t="s">
        <v>36</v>
      </c>
      <c r="H38" s="60">
        <v>16.20</v>
      </c>
      <c r="I38" s="60">
        <v>4.26</v>
      </c>
      <c r="J38" s="60">
        <v>0.16</v>
      </c>
      <c r="K38" s="60">
        <v>180.16</v>
      </c>
      <c r="L38" s="60">
        <v>42.70</v>
      </c>
      <c r="M38" s="60">
        <v>81.17</v>
      </c>
      <c r="N38" s="60">
        <v>283.80</v>
      </c>
      <c r="O38" s="60">
        <v>0</v>
      </c>
      <c r="P38" s="60">
        <v>3.08</v>
      </c>
      <c r="Q38" s="60">
        <v>5.08</v>
      </c>
      <c r="R38" s="194"/>
      <c r="S38" s="194"/>
      <c r="T38" s="194"/>
      <c r="U38" s="194"/>
    </row>
    <row r="39" spans="1:21" s="12" customFormat="1" ht="15">
      <c r="A39" s="197" t="s">
        <v>2867</v>
      </c>
      <c r="B39" s="60">
        <v>9.3800000000000008</v>
      </c>
      <c r="C39" s="60">
        <v>9.6300000000000008</v>
      </c>
      <c r="D39" s="60">
        <v>19.010000000000002</v>
      </c>
      <c r="E39" s="60">
        <v>6.95</v>
      </c>
      <c r="F39" s="60">
        <v>0.01</v>
      </c>
      <c r="G39" s="214" t="s">
        <v>36</v>
      </c>
      <c r="H39" s="60">
        <v>16.20</v>
      </c>
      <c r="I39" s="60">
        <v>4.28</v>
      </c>
      <c r="J39" s="60">
        <v>0.55000000000000004</v>
      </c>
      <c r="K39" s="60">
        <v>154.25</v>
      </c>
      <c r="L39" s="60">
        <v>42.51</v>
      </c>
      <c r="M39" s="60">
        <v>82.90</v>
      </c>
      <c r="N39" s="60">
        <v>334.20</v>
      </c>
      <c r="O39" s="60">
        <v>0</v>
      </c>
      <c r="P39" s="60">
        <v>3.08</v>
      </c>
      <c r="Q39" s="60">
        <v>5.13</v>
      </c>
      <c r="R39" s="194"/>
      <c r="S39" s="194"/>
      <c r="T39" s="194"/>
      <c r="U39" s="194"/>
    </row>
    <row r="40" spans="1:21" s="12" customFormat="1" ht="15">
      <c r="A40" s="197" t="s">
        <v>2868</v>
      </c>
      <c r="B40" s="60">
        <v>9.2899999999999991</v>
      </c>
      <c r="C40" s="60">
        <v>9.3800000000000008</v>
      </c>
      <c r="D40" s="60">
        <v>18.670000000000002</v>
      </c>
      <c r="E40" s="60">
        <v>3.72</v>
      </c>
      <c r="F40" s="60">
        <v>0.13</v>
      </c>
      <c r="G40" s="214" t="s">
        <v>36</v>
      </c>
      <c r="H40" s="60">
        <v>16.20</v>
      </c>
      <c r="I40" s="60">
        <v>4.4400000000000004</v>
      </c>
      <c r="J40" s="60">
        <v>0.08</v>
      </c>
      <c r="K40" s="60">
        <v>242.75</v>
      </c>
      <c r="L40" s="60">
        <v>43.09</v>
      </c>
      <c r="M40" s="60">
        <v>81.70</v>
      </c>
      <c r="N40" s="60">
        <v>314.20</v>
      </c>
      <c r="O40" s="60">
        <v>0</v>
      </c>
      <c r="P40" s="60">
        <v>3.08</v>
      </c>
      <c r="Q40" s="60">
        <v>4.95</v>
      </c>
      <c r="R40" s="194"/>
      <c r="S40" s="194"/>
      <c r="T40" s="194"/>
      <c r="U40" s="194"/>
    </row>
    <row r="41" spans="1:21" s="12" customFormat="1" ht="15">
      <c r="A41" s="197" t="s">
        <v>2869</v>
      </c>
      <c r="B41" s="60">
        <v>9.14</v>
      </c>
      <c r="C41" s="60">
        <v>9.49</v>
      </c>
      <c r="D41" s="60">
        <v>18.63</v>
      </c>
      <c r="E41" s="60">
        <v>6.47</v>
      </c>
      <c r="F41" s="60">
        <v>0.13</v>
      </c>
      <c r="G41" s="214" t="s">
        <v>36</v>
      </c>
      <c r="H41" s="60">
        <v>15.91</v>
      </c>
      <c r="I41" s="60">
        <v>4.5199999999999996</v>
      </c>
      <c r="J41" s="60">
        <v>0.39</v>
      </c>
      <c r="K41" s="60">
        <v>160.87</v>
      </c>
      <c r="L41" s="60">
        <v>43.17</v>
      </c>
      <c r="M41" s="60">
        <v>80.459999999999994</v>
      </c>
      <c r="N41" s="60">
        <v>355.70</v>
      </c>
      <c r="O41" s="60">
        <v>0</v>
      </c>
      <c r="P41" s="60">
        <v>3.07</v>
      </c>
      <c r="Q41" s="60">
        <v>4.92</v>
      </c>
      <c r="R41" s="194"/>
      <c r="S41" s="194"/>
      <c r="T41" s="194"/>
      <c r="U41" s="194"/>
    </row>
    <row r="42" spans="1:21" s="12" customFormat="1" ht="15">
      <c r="A42" s="197" t="s">
        <v>2870</v>
      </c>
      <c r="B42" s="60">
        <v>8.82</v>
      </c>
      <c r="C42" s="60">
        <v>10.210000000000001</v>
      </c>
      <c r="D42" s="60">
        <v>19.03</v>
      </c>
      <c r="E42" s="60">
        <v>6.75</v>
      </c>
      <c r="F42" s="60">
        <v>0.04</v>
      </c>
      <c r="G42" s="214" t="s">
        <v>36</v>
      </c>
      <c r="H42" s="60">
        <v>15.21</v>
      </c>
      <c r="I42" s="60">
        <v>4.49</v>
      </c>
      <c r="J42" s="60">
        <v>0.09</v>
      </c>
      <c r="K42" s="60">
        <v>210.09</v>
      </c>
      <c r="L42" s="60">
        <v>43.18</v>
      </c>
      <c r="M42" s="60">
        <v>78.819999999999993</v>
      </c>
      <c r="N42" s="60">
        <v>348</v>
      </c>
      <c r="O42" s="60">
        <v>0</v>
      </c>
      <c r="P42" s="60">
        <v>3.07</v>
      </c>
      <c r="Q42" s="60">
        <v>5.08</v>
      </c>
      <c r="R42" s="194"/>
      <c r="S42" s="194"/>
      <c r="T42" s="194"/>
      <c r="U42" s="194"/>
    </row>
    <row r="43" spans="1:21" s="12" customFormat="1" ht="15">
      <c r="A43" s="197" t="s">
        <v>2871</v>
      </c>
      <c r="B43" s="60">
        <v>8.33</v>
      </c>
      <c r="C43" s="60">
        <v>10.40</v>
      </c>
      <c r="D43" s="60">
        <v>18.73</v>
      </c>
      <c r="E43" s="60">
        <v>6.52</v>
      </c>
      <c r="F43" s="60">
        <v>0.22</v>
      </c>
      <c r="G43" s="214" t="s">
        <v>36</v>
      </c>
      <c r="H43" s="60">
        <v>15.21</v>
      </c>
      <c r="I43" s="60">
        <v>4.46</v>
      </c>
      <c r="J43" s="60">
        <v>0.15</v>
      </c>
      <c r="K43" s="60">
        <v>312.86</v>
      </c>
      <c r="L43" s="60">
        <v>42.57</v>
      </c>
      <c r="M43" s="60">
        <v>75.83</v>
      </c>
      <c r="N43" s="60">
        <v>566.70000000000005</v>
      </c>
      <c r="O43" s="60">
        <v>0</v>
      </c>
      <c r="P43" s="60">
        <v>3.08</v>
      </c>
      <c r="Q43" s="60">
        <v>5.98</v>
      </c>
      <c r="R43" s="194"/>
      <c r="S43" s="194"/>
      <c r="T43" s="194"/>
      <c r="U43" s="194"/>
    </row>
    <row r="44" spans="1:21" s="12" customFormat="1" ht="15">
      <c r="A44" s="197" t="s">
        <v>2872</v>
      </c>
      <c r="B44" s="60">
        <v>7.54</v>
      </c>
      <c r="C44" s="60">
        <v>11.13</v>
      </c>
      <c r="D44" s="60">
        <v>18.670000000000002</v>
      </c>
      <c r="E44" s="60">
        <v>6.30</v>
      </c>
      <c r="F44" s="60">
        <v>0.41</v>
      </c>
      <c r="G44" s="214" t="s">
        <v>36</v>
      </c>
      <c r="H44" s="60">
        <v>15.21</v>
      </c>
      <c r="I44" s="60">
        <v>4.5599999999999996</v>
      </c>
      <c r="J44" s="60">
        <v>0.22</v>
      </c>
      <c r="K44" s="60">
        <v>154.13999999999999</v>
      </c>
      <c r="L44" s="60">
        <v>41.81</v>
      </c>
      <c r="M44" s="60">
        <v>73.430000000000007</v>
      </c>
      <c r="N44" s="60">
        <v>643.5</v>
      </c>
      <c r="O44" s="60">
        <v>0</v>
      </c>
      <c r="P44" s="60">
        <v>3.09</v>
      </c>
      <c r="Q44" s="60">
        <v>6.76</v>
      </c>
      <c r="R44" s="194"/>
      <c r="S44" s="194"/>
      <c r="T44" s="194"/>
      <c r="U44" s="194"/>
    </row>
    <row r="45" spans="1:21" s="12" customFormat="1" ht="15">
      <c r="A45" s="197" t="s">
        <v>2873</v>
      </c>
      <c r="B45" s="60">
        <v>6.66</v>
      </c>
      <c r="C45" s="60">
        <v>11.89</v>
      </c>
      <c r="D45" s="60">
        <v>18.55</v>
      </c>
      <c r="E45" s="60">
        <v>6.35</v>
      </c>
      <c r="F45" s="60">
        <v>0.25</v>
      </c>
      <c r="G45" s="214" t="s">
        <v>36</v>
      </c>
      <c r="H45" s="60">
        <v>15.99</v>
      </c>
      <c r="I45" s="60">
        <v>4.55</v>
      </c>
      <c r="J45" s="60">
        <v>0.06</v>
      </c>
      <c r="K45" s="60">
        <v>264.91000000000003</v>
      </c>
      <c r="L45" s="60">
        <v>42.53</v>
      </c>
      <c r="M45" s="60">
        <v>70.849999999999994</v>
      </c>
      <c r="N45" s="60">
        <v>601.29999999999995</v>
      </c>
      <c r="O45" s="60">
        <v>0</v>
      </c>
      <c r="P45" s="60">
        <v>3.11</v>
      </c>
      <c r="Q45" s="60">
        <v>6.94</v>
      </c>
      <c r="R45" s="194"/>
      <c r="S45" s="194"/>
      <c r="T45" s="194"/>
      <c r="U45" s="194"/>
    </row>
    <row r="46" spans="1:21" s="12" customFormat="1" ht="15">
      <c r="A46" s="197" t="s">
        <v>2874</v>
      </c>
      <c r="B46" s="60">
        <v>5.99</v>
      </c>
      <c r="C46" s="60">
        <v>12.43</v>
      </c>
      <c r="D46" s="60">
        <v>18.420000000000002</v>
      </c>
      <c r="E46" s="60">
        <v>5.99</v>
      </c>
      <c r="F46" s="60">
        <v>0.60</v>
      </c>
      <c r="G46" s="214" t="s">
        <v>36</v>
      </c>
      <c r="H46" s="60">
        <v>17.920000000000002</v>
      </c>
      <c r="I46" s="60">
        <v>4.71</v>
      </c>
      <c r="J46" s="60">
        <v>0.14000000000000001</v>
      </c>
      <c r="K46" s="60">
        <v>329.48</v>
      </c>
      <c r="L46" s="60">
        <v>45.69</v>
      </c>
      <c r="M46" s="60">
        <v>67.11</v>
      </c>
      <c r="N46" s="60">
        <v>510.20</v>
      </c>
      <c r="O46" s="60">
        <v>0</v>
      </c>
      <c r="P46" s="60">
        <v>3.13</v>
      </c>
      <c r="Q46" s="60">
        <v>6.82</v>
      </c>
      <c r="R46" s="194"/>
      <c r="S46" s="194"/>
      <c r="T46" s="194"/>
      <c r="U46" s="194"/>
    </row>
    <row r="47" spans="1:21" s="12" customFormat="1" ht="15">
      <c r="A47" s="197" t="s">
        <v>2875</v>
      </c>
      <c r="B47" s="60">
        <v>5.53</v>
      </c>
      <c r="C47" s="60">
        <v>13.39</v>
      </c>
      <c r="D47" s="60">
        <v>18.91</v>
      </c>
      <c r="E47" s="60">
        <v>6.29</v>
      </c>
      <c r="F47" s="60">
        <v>0.33</v>
      </c>
      <c r="G47" s="214" t="s">
        <v>36</v>
      </c>
      <c r="H47" s="60">
        <v>17.920000000000002</v>
      </c>
      <c r="I47" s="60">
        <v>5.0199999999999996</v>
      </c>
      <c r="J47" s="60">
        <v>0.09</v>
      </c>
      <c r="K47" s="60">
        <v>216.89</v>
      </c>
      <c r="L47" s="60">
        <v>45.65</v>
      </c>
      <c r="M47" s="60">
        <v>69.510000000000005</v>
      </c>
      <c r="N47" s="60">
        <v>492.10</v>
      </c>
      <c r="O47" s="60">
        <v>0</v>
      </c>
      <c r="P47" s="60">
        <v>3.15</v>
      </c>
      <c r="Q47" s="60">
        <v>6.66</v>
      </c>
      <c r="R47" s="194"/>
      <c r="S47" s="194"/>
      <c r="T47" s="194"/>
      <c r="U47" s="194"/>
    </row>
    <row r="48" spans="1:21" s="12" customFormat="1" ht="15">
      <c r="A48" s="197" t="s">
        <v>2876</v>
      </c>
      <c r="B48" s="60">
        <v>5.09</v>
      </c>
      <c r="C48" s="60">
        <v>14.09</v>
      </c>
      <c r="D48" s="60">
        <v>19.18</v>
      </c>
      <c r="E48" s="60">
        <v>5.79</v>
      </c>
      <c r="F48" s="60">
        <v>0.35</v>
      </c>
      <c r="G48" s="214" t="s">
        <v>36</v>
      </c>
      <c r="H48" s="60">
        <v>17.920000000000002</v>
      </c>
      <c r="I48" s="60">
        <v>5.51</v>
      </c>
      <c r="J48" s="60">
        <v>0.12</v>
      </c>
      <c r="K48" s="60">
        <v>234.29</v>
      </c>
      <c r="L48" s="60">
        <v>45.63</v>
      </c>
      <c r="M48" s="60">
        <v>69.510000000000005</v>
      </c>
      <c r="N48" s="60">
        <v>717.90</v>
      </c>
      <c r="O48" s="60">
        <v>0</v>
      </c>
      <c r="P48" s="60">
        <v>3.18</v>
      </c>
      <c r="Q48" s="60">
        <v>6.63</v>
      </c>
      <c r="R48" s="194"/>
      <c r="S48" s="194"/>
      <c r="T48" s="194"/>
      <c r="U48" s="194"/>
    </row>
    <row r="49" spans="1:21" s="12" customFormat="1" ht="15">
      <c r="A49" s="197" t="s">
        <v>2877</v>
      </c>
      <c r="B49" s="60">
        <v>4.67</v>
      </c>
      <c r="C49" s="60">
        <v>14.26</v>
      </c>
      <c r="D49" s="60">
        <v>18.93</v>
      </c>
      <c r="E49" s="60">
        <v>5.80</v>
      </c>
      <c r="F49" s="60">
        <v>0.62</v>
      </c>
      <c r="G49" s="214" t="s">
        <v>36</v>
      </c>
      <c r="H49" s="60">
        <v>18.68</v>
      </c>
      <c r="I49" s="60">
        <v>6.04</v>
      </c>
      <c r="J49" s="60">
        <v>0.36</v>
      </c>
      <c r="K49" s="60">
        <v>166.75</v>
      </c>
      <c r="L49" s="60">
        <v>45.16</v>
      </c>
      <c r="M49" s="60">
        <v>66.97</v>
      </c>
      <c r="N49" s="60">
        <v>693.80</v>
      </c>
      <c r="O49" s="60">
        <v>0</v>
      </c>
      <c r="P49" s="60">
        <v>3.16</v>
      </c>
      <c r="Q49" s="60">
        <v>6.04</v>
      </c>
      <c r="R49" s="194"/>
      <c r="S49" s="194"/>
      <c r="T49" s="194"/>
      <c r="U49" s="194"/>
    </row>
    <row r="50" spans="1:21" s="12" customFormat="1" ht="15">
      <c r="A50" s="197" t="s">
        <v>2878</v>
      </c>
      <c r="B50" s="60">
        <v>4.0999999999999996</v>
      </c>
      <c r="C50" s="60">
        <v>13.99</v>
      </c>
      <c r="D50" s="60">
        <v>18.079999999999998</v>
      </c>
      <c r="E50" s="60">
        <v>5.59</v>
      </c>
      <c r="F50" s="60">
        <v>0.5</v>
      </c>
      <c r="G50" s="214" t="s">
        <v>36</v>
      </c>
      <c r="H50" s="60">
        <v>20.55</v>
      </c>
      <c r="I50" s="60">
        <v>6.37</v>
      </c>
      <c r="J50" s="60">
        <v>0.55000000000000004</v>
      </c>
      <c r="K50" s="60">
        <v>165.51</v>
      </c>
      <c r="L50" s="60">
        <v>43.79</v>
      </c>
      <c r="M50" s="60">
        <v>65.099999999999994</v>
      </c>
      <c r="N50" s="60">
        <v>690.30</v>
      </c>
      <c r="O50" s="60">
        <v>0</v>
      </c>
      <c r="P50" s="60">
        <v>3.17</v>
      </c>
      <c r="Q50" s="60">
        <v>5.24</v>
      </c>
      <c r="R50" s="194"/>
      <c r="S50" s="194"/>
      <c r="T50" s="194"/>
      <c r="U50" s="194"/>
    </row>
    <row r="51" spans="1:21" s="12" customFormat="1" ht="15">
      <c r="A51" s="197" t="s">
        <v>2879</v>
      </c>
      <c r="B51" s="60">
        <v>3.52</v>
      </c>
      <c r="C51" s="60">
        <v>13.22</v>
      </c>
      <c r="D51" s="60">
        <v>16.739999999999998</v>
      </c>
      <c r="E51" s="60">
        <v>5.74</v>
      </c>
      <c r="F51" s="60">
        <v>0.34</v>
      </c>
      <c r="G51" s="214" t="s">
        <v>36</v>
      </c>
      <c r="H51" s="60">
        <v>20.55</v>
      </c>
      <c r="I51" s="60">
        <v>6.39</v>
      </c>
      <c r="J51" s="60">
        <v>0.47</v>
      </c>
      <c r="K51" s="60">
        <v>179.19</v>
      </c>
      <c r="L51" s="60">
        <v>45.07</v>
      </c>
      <c r="M51" s="60">
        <v>64.150000000000006</v>
      </c>
      <c r="N51" s="60">
        <v>843.70</v>
      </c>
      <c r="O51" s="60">
        <v>0</v>
      </c>
      <c r="P51" s="60">
        <v>3.15</v>
      </c>
      <c r="Q51" s="60">
        <v>4.3600000000000003</v>
      </c>
      <c r="R51" s="194"/>
      <c r="S51" s="194"/>
      <c r="T51" s="194"/>
      <c r="U51" s="194"/>
    </row>
    <row r="52" spans="1:21" s="12" customFormat="1" ht="15">
      <c r="A52" s="197" t="s">
        <v>2880</v>
      </c>
      <c r="B52" s="60">
        <v>3</v>
      </c>
      <c r="C52" s="60">
        <v>12.78</v>
      </c>
      <c r="D52" s="60">
        <v>15.78</v>
      </c>
      <c r="E52" s="60">
        <v>5.68</v>
      </c>
      <c r="F52" s="60">
        <v>0.65</v>
      </c>
      <c r="G52" s="214" t="s">
        <v>36</v>
      </c>
      <c r="H52" s="60">
        <v>20.55</v>
      </c>
      <c r="I52" s="60">
        <v>6.25</v>
      </c>
      <c r="J52" s="60">
        <v>0.41</v>
      </c>
      <c r="K52" s="60">
        <v>159.88</v>
      </c>
      <c r="L52" s="60">
        <v>45.29</v>
      </c>
      <c r="M52" s="60">
        <v>61.57</v>
      </c>
      <c r="N52" s="60">
        <v>995.20</v>
      </c>
      <c r="O52" s="60">
        <v>0</v>
      </c>
      <c r="P52" s="60">
        <v>3.15</v>
      </c>
      <c r="Q52" s="60">
        <v>3.72</v>
      </c>
      <c r="R52" s="194"/>
      <c r="S52" s="194"/>
      <c r="T52" s="194"/>
      <c r="U52" s="194"/>
    </row>
    <row r="53" spans="1:21" s="12" customFormat="1" ht="15">
      <c r="A53" s="197" t="s">
        <v>2881</v>
      </c>
      <c r="B53" s="60">
        <v>2.54</v>
      </c>
      <c r="C53" s="60">
        <v>12.59</v>
      </c>
      <c r="D53" s="60">
        <v>15.14</v>
      </c>
      <c r="E53" s="60">
        <v>5.64</v>
      </c>
      <c r="F53" s="60">
        <v>0.56000000000000005</v>
      </c>
      <c r="G53" s="214" t="s">
        <v>36</v>
      </c>
      <c r="H53" s="60">
        <v>18.98</v>
      </c>
      <c r="I53" s="60">
        <v>6.10</v>
      </c>
      <c r="J53" s="60">
        <v>0.81</v>
      </c>
      <c r="K53" s="60">
        <v>167.48</v>
      </c>
      <c r="L53" s="60">
        <v>44.12</v>
      </c>
      <c r="M53" s="60">
        <v>64.209999999999994</v>
      </c>
      <c r="N53" s="60">
        <v>962.20</v>
      </c>
      <c r="O53" s="60">
        <v>0</v>
      </c>
      <c r="P53" s="60">
        <v>3.14</v>
      </c>
      <c r="Q53" s="60">
        <v>3.39</v>
      </c>
      <c r="R53" s="194"/>
      <c r="S53" s="194"/>
      <c r="T53" s="194"/>
      <c r="U53" s="194"/>
    </row>
    <row r="54" spans="1:21" s="12" customFormat="1" ht="15">
      <c r="A54" s="197" t="s">
        <v>2882</v>
      </c>
      <c r="B54" s="60">
        <v>2.19</v>
      </c>
      <c r="C54" s="60">
        <v>12.34</v>
      </c>
      <c r="D54" s="60">
        <v>14.53</v>
      </c>
      <c r="E54" s="60">
        <v>5.27</v>
      </c>
      <c r="F54" s="60">
        <v>0.61</v>
      </c>
      <c r="G54" s="214" t="s">
        <v>36</v>
      </c>
      <c r="H54" s="60">
        <v>15.11</v>
      </c>
      <c r="I54" s="60">
        <v>5.93</v>
      </c>
      <c r="J54" s="60">
        <v>0.34</v>
      </c>
      <c r="K54" s="60">
        <v>187.09</v>
      </c>
      <c r="L54" s="60">
        <v>45.84</v>
      </c>
      <c r="M54" s="60">
        <v>64.45</v>
      </c>
      <c r="N54" s="60">
        <v>546.10</v>
      </c>
      <c r="O54" s="60">
        <v>0</v>
      </c>
      <c r="P54" s="60">
        <v>3.11</v>
      </c>
      <c r="Q54" s="60">
        <v>3.07</v>
      </c>
      <c r="R54" s="194"/>
      <c r="S54" s="194"/>
      <c r="T54" s="194"/>
      <c r="U54" s="194"/>
    </row>
    <row r="55" spans="1:21" s="12" customFormat="1" ht="15">
      <c r="A55" s="197" t="s">
        <v>2883</v>
      </c>
      <c r="B55" s="60">
        <v>2.19</v>
      </c>
      <c r="C55" s="60">
        <v>11.94</v>
      </c>
      <c r="D55" s="60">
        <v>14.12</v>
      </c>
      <c r="E55" s="60">
        <v>5.30</v>
      </c>
      <c r="F55" s="60">
        <v>0.65</v>
      </c>
      <c r="G55" s="214" t="s">
        <v>36</v>
      </c>
      <c r="H55" s="60">
        <v>15.11</v>
      </c>
      <c r="I55" s="60">
        <v>5.78</v>
      </c>
      <c r="J55" s="60">
        <v>1.22</v>
      </c>
      <c r="K55" s="60">
        <v>316.69</v>
      </c>
      <c r="L55" s="60">
        <v>45.30</v>
      </c>
      <c r="M55" s="60">
        <v>62.92</v>
      </c>
      <c r="N55" s="60">
        <v>420.5</v>
      </c>
      <c r="O55" s="60">
        <v>0</v>
      </c>
      <c r="P55" s="60">
        <v>3.12</v>
      </c>
      <c r="Q55" s="60">
        <v>2.96</v>
      </c>
      <c r="R55" s="194"/>
      <c r="S55" s="194"/>
      <c r="T55" s="194"/>
      <c r="U55" s="194"/>
    </row>
    <row r="56" spans="1:21" s="12" customFormat="1" ht="15">
      <c r="A56" s="197" t="s">
        <v>2884</v>
      </c>
      <c r="B56" s="60">
        <v>2.2799999999999998</v>
      </c>
      <c r="C56" s="60">
        <v>12.36</v>
      </c>
      <c r="D56" s="60">
        <v>14.63</v>
      </c>
      <c r="E56" s="60">
        <v>3.31</v>
      </c>
      <c r="F56" s="60">
        <v>0.97</v>
      </c>
      <c r="G56" s="214" t="s">
        <v>36</v>
      </c>
      <c r="H56" s="60">
        <v>15.11</v>
      </c>
      <c r="I56" s="60">
        <v>5.61</v>
      </c>
      <c r="J56" s="60">
        <v>1.17</v>
      </c>
      <c r="K56" s="60">
        <v>317.82</v>
      </c>
      <c r="L56" s="60">
        <v>42.52</v>
      </c>
      <c r="M56" s="60">
        <v>64.680000000000007</v>
      </c>
      <c r="N56" s="60">
        <v>207.70</v>
      </c>
      <c r="O56" s="60">
        <v>0</v>
      </c>
      <c r="P56" s="60">
        <v>3.13</v>
      </c>
      <c r="Q56" s="60">
        <v>2.81</v>
      </c>
      <c r="R56" s="194"/>
      <c r="S56" s="194"/>
      <c r="T56" s="194"/>
      <c r="U56" s="194"/>
    </row>
    <row r="57" spans="1:21" s="12" customFormat="1" ht="15">
      <c r="A57" s="197" t="s">
        <v>2885</v>
      </c>
      <c r="B57" s="60">
        <v>2.54</v>
      </c>
      <c r="C57" s="60">
        <v>13.01</v>
      </c>
      <c r="D57" s="60">
        <v>15.55</v>
      </c>
      <c r="E57" s="60">
        <v>5.71</v>
      </c>
      <c r="F57" s="60">
        <v>0.83</v>
      </c>
      <c r="G57" s="214" t="s">
        <v>36</v>
      </c>
      <c r="H57" s="60">
        <v>14.94</v>
      </c>
      <c r="I57" s="60">
        <v>5.57</v>
      </c>
      <c r="J57" s="60">
        <v>1.30</v>
      </c>
      <c r="K57" s="60">
        <v>325.68</v>
      </c>
      <c r="L57" s="60">
        <v>42.79</v>
      </c>
      <c r="M57" s="60">
        <v>68.95</v>
      </c>
      <c r="N57" s="60">
        <v>581.90</v>
      </c>
      <c r="O57" s="60">
        <v>0</v>
      </c>
      <c r="P57" s="60">
        <v>3.14</v>
      </c>
      <c r="Q57" s="60">
        <v>3.43</v>
      </c>
      <c r="R57" s="194"/>
      <c r="S57" s="194"/>
      <c r="T57" s="194"/>
      <c r="U57" s="194"/>
    </row>
    <row r="58" spans="1:21" s="12" customFormat="1" ht="15">
      <c r="A58" s="197" t="s">
        <v>2886</v>
      </c>
      <c r="B58" s="60">
        <v>2.89</v>
      </c>
      <c r="C58" s="60">
        <v>13.43</v>
      </c>
      <c r="D58" s="60">
        <v>16.32</v>
      </c>
      <c r="E58" s="60">
        <v>6.02</v>
      </c>
      <c r="F58" s="60">
        <v>0.98</v>
      </c>
      <c r="G58" s="214" t="s">
        <v>36</v>
      </c>
      <c r="H58" s="60">
        <v>14.53</v>
      </c>
      <c r="I58" s="60">
        <v>5.42</v>
      </c>
      <c r="J58" s="60">
        <v>1.5</v>
      </c>
      <c r="K58" s="60">
        <v>334.75</v>
      </c>
      <c r="L58" s="60">
        <v>47.01</v>
      </c>
      <c r="M58" s="60">
        <v>61.62</v>
      </c>
      <c r="N58" s="60">
        <v>764.30</v>
      </c>
      <c r="O58" s="60">
        <v>0</v>
      </c>
      <c r="P58" s="60">
        <v>3.16</v>
      </c>
      <c r="Q58" s="60">
        <v>4.34</v>
      </c>
      <c r="R58" s="194"/>
      <c r="S58" s="194"/>
      <c r="T58" s="194"/>
      <c r="U58" s="194"/>
    </row>
    <row r="59" spans="1:21" s="12" customFormat="1" ht="15">
      <c r="A59" s="197" t="s">
        <v>2887</v>
      </c>
      <c r="B59" s="60">
        <v>2.98</v>
      </c>
      <c r="C59" s="60">
        <v>14.03</v>
      </c>
      <c r="D59" s="60">
        <v>17.010000000000002</v>
      </c>
      <c r="E59" s="60">
        <v>5.83</v>
      </c>
      <c r="F59" s="60">
        <v>0.95</v>
      </c>
      <c r="G59" s="214" t="s">
        <v>36</v>
      </c>
      <c r="H59" s="60">
        <v>14.53</v>
      </c>
      <c r="I59" s="60">
        <v>5.32</v>
      </c>
      <c r="J59" s="60">
        <v>1.23</v>
      </c>
      <c r="K59" s="60">
        <v>315.88</v>
      </c>
      <c r="L59" s="60">
        <v>44.57</v>
      </c>
      <c r="M59" s="60">
        <v>60.36</v>
      </c>
      <c r="N59" s="60">
        <v>500.10</v>
      </c>
      <c r="O59" s="60">
        <v>0</v>
      </c>
      <c r="P59" s="60">
        <v>3.18</v>
      </c>
      <c r="Q59" s="60">
        <v>4.88</v>
      </c>
      <c r="R59" s="194"/>
      <c r="S59" s="194"/>
      <c r="T59" s="194"/>
      <c r="U59" s="194"/>
    </row>
    <row r="60" spans="1:21" s="12" customFormat="1" ht="15">
      <c r="A60" s="197" t="s">
        <v>2888</v>
      </c>
      <c r="B60" s="60">
        <v>2.79</v>
      </c>
      <c r="C60" s="60">
        <v>14.58</v>
      </c>
      <c r="D60" s="60">
        <v>17.37</v>
      </c>
      <c r="E60" s="60">
        <v>5.83</v>
      </c>
      <c r="F60" s="60">
        <v>0.84</v>
      </c>
      <c r="G60" s="214" t="s">
        <v>36</v>
      </c>
      <c r="H60" s="60">
        <v>14.53</v>
      </c>
      <c r="I60" s="60">
        <v>5.26</v>
      </c>
      <c r="J60" s="60">
        <v>0.67</v>
      </c>
      <c r="K60" s="60">
        <v>315.77999999999997</v>
      </c>
      <c r="L60" s="60">
        <v>45.84</v>
      </c>
      <c r="M60" s="60">
        <v>58.77</v>
      </c>
      <c r="N60" s="60">
        <v>485.60</v>
      </c>
      <c r="O60" s="60">
        <v>0</v>
      </c>
      <c r="P60" s="60">
        <v>3.19</v>
      </c>
      <c r="Q60" s="60">
        <v>5.12</v>
      </c>
      <c r="R60" s="194"/>
      <c r="S60" s="194"/>
      <c r="T60" s="194"/>
      <c r="U60" s="194"/>
    </row>
    <row r="61" spans="1:21" s="12" customFormat="1" ht="15">
      <c r="A61" s="197" t="s">
        <v>2889</v>
      </c>
      <c r="B61" s="60">
        <v>2.75</v>
      </c>
      <c r="C61" s="60">
        <v>15.01</v>
      </c>
      <c r="D61" s="60">
        <v>17.760000000000002</v>
      </c>
      <c r="E61" s="60">
        <v>5.52</v>
      </c>
      <c r="F61" s="60">
        <v>0.71</v>
      </c>
      <c r="G61" s="214" t="s">
        <v>36</v>
      </c>
      <c r="H61" s="60">
        <v>15.66</v>
      </c>
      <c r="I61" s="60">
        <v>5.24</v>
      </c>
      <c r="J61" s="60">
        <v>0.32</v>
      </c>
      <c r="K61" s="60">
        <v>326.52999999999997</v>
      </c>
      <c r="L61" s="60">
        <v>46.13</v>
      </c>
      <c r="M61" s="60">
        <v>56.91</v>
      </c>
      <c r="N61" s="60">
        <v>478.20</v>
      </c>
      <c r="O61" s="60">
        <v>0</v>
      </c>
      <c r="P61" s="60">
        <v>3.19</v>
      </c>
      <c r="Q61" s="60">
        <v>5.25</v>
      </c>
      <c r="R61" s="194"/>
      <c r="S61" s="194"/>
      <c r="T61" s="194"/>
      <c r="U61" s="194"/>
    </row>
    <row r="62" spans="1:21" s="12" customFormat="1" ht="15">
      <c r="A62" s="197" t="s">
        <v>2890</v>
      </c>
      <c r="B62" s="60">
        <v>2.80</v>
      </c>
      <c r="C62" s="60">
        <v>15.28</v>
      </c>
      <c r="D62" s="60">
        <v>18.079999999999998</v>
      </c>
      <c r="E62" s="60">
        <v>5.43</v>
      </c>
      <c r="F62" s="60">
        <v>0.57999999999999996</v>
      </c>
      <c r="G62" s="214" t="s">
        <v>36</v>
      </c>
      <c r="H62" s="60">
        <v>18.45</v>
      </c>
      <c r="I62" s="60">
        <v>5.24</v>
      </c>
      <c r="J62" s="60">
        <v>0.21</v>
      </c>
      <c r="K62" s="60">
        <v>323.14</v>
      </c>
      <c r="L62" s="60">
        <v>45.85</v>
      </c>
      <c r="M62" s="60">
        <v>60.14</v>
      </c>
      <c r="N62" s="60">
        <v>366.10</v>
      </c>
      <c r="O62" s="60">
        <v>0</v>
      </c>
      <c r="P62" s="60">
        <v>3.20</v>
      </c>
      <c r="Q62" s="60">
        <v>5.26</v>
      </c>
      <c r="R62" s="194"/>
      <c r="S62" s="194"/>
      <c r="T62" s="194"/>
      <c r="U62" s="194"/>
    </row>
    <row r="63" spans="1:21" s="12" customFormat="1" ht="15">
      <c r="A63" s="197" t="s">
        <v>2891</v>
      </c>
      <c r="B63" s="60">
        <v>2.62</v>
      </c>
      <c r="C63" s="60">
        <v>15.14</v>
      </c>
      <c r="D63" s="60">
        <v>17.760000000000002</v>
      </c>
      <c r="E63" s="60">
        <v>5.69</v>
      </c>
      <c r="F63" s="60">
        <v>0.98</v>
      </c>
      <c r="G63" s="214" t="s">
        <v>36</v>
      </c>
      <c r="H63" s="60">
        <v>18.45</v>
      </c>
      <c r="I63" s="60">
        <v>5.20</v>
      </c>
      <c r="J63" s="60">
        <v>0.23</v>
      </c>
      <c r="K63" s="60">
        <v>324.19</v>
      </c>
      <c r="L63" s="60">
        <v>45.53</v>
      </c>
      <c r="M63" s="60">
        <v>60.42</v>
      </c>
      <c r="N63" s="60">
        <v>404.40</v>
      </c>
      <c r="O63" s="60">
        <v>0</v>
      </c>
      <c r="P63" s="60">
        <v>3.21</v>
      </c>
      <c r="Q63" s="60">
        <v>5.22</v>
      </c>
      <c r="R63" s="194"/>
      <c r="S63" s="194"/>
      <c r="T63" s="194"/>
      <c r="U63" s="194"/>
    </row>
    <row r="64" spans="1:21" s="12" customFormat="1" ht="15">
      <c r="A64" s="197" t="s">
        <v>2892</v>
      </c>
      <c r="B64" s="60">
        <v>2.31</v>
      </c>
      <c r="C64" s="60">
        <v>15.26</v>
      </c>
      <c r="D64" s="60">
        <v>17.57</v>
      </c>
      <c r="E64" s="60">
        <v>5.82</v>
      </c>
      <c r="F64" s="60">
        <v>0.74</v>
      </c>
      <c r="G64" s="214" t="s">
        <v>36</v>
      </c>
      <c r="H64" s="60">
        <v>18.45</v>
      </c>
      <c r="I64" s="60">
        <v>5.16</v>
      </c>
      <c r="J64" s="60">
        <v>0.28000000000000003</v>
      </c>
      <c r="K64" s="60">
        <v>308</v>
      </c>
      <c r="L64" s="60">
        <v>45.01</v>
      </c>
      <c r="M64" s="60">
        <v>61.56</v>
      </c>
      <c r="N64" s="60">
        <v>344.10</v>
      </c>
      <c r="O64" s="60">
        <v>0</v>
      </c>
      <c r="P64" s="60">
        <v>3.21</v>
      </c>
      <c r="Q64" s="60">
        <v>4.5199999999999996</v>
      </c>
      <c r="R64" s="194"/>
      <c r="S64" s="194"/>
      <c r="T64" s="194"/>
      <c r="U64" s="194"/>
    </row>
    <row r="65" spans="1:21" s="12" customFormat="1" ht="15">
      <c r="A65" s="197" t="s">
        <v>2893</v>
      </c>
      <c r="B65" s="60">
        <v>2.36</v>
      </c>
      <c r="C65" s="60">
        <v>15.09</v>
      </c>
      <c r="D65" s="60">
        <v>17.45</v>
      </c>
      <c r="E65" s="60">
        <v>5.48</v>
      </c>
      <c r="F65" s="60">
        <v>0.49</v>
      </c>
      <c r="G65" s="214" t="s">
        <v>36</v>
      </c>
      <c r="H65" s="60">
        <v>17.87</v>
      </c>
      <c r="I65" s="60">
        <v>5.07</v>
      </c>
      <c r="J65" s="60">
        <v>0.15</v>
      </c>
      <c r="K65" s="60">
        <v>305.16000000000003</v>
      </c>
      <c r="L65" s="60">
        <v>44.57</v>
      </c>
      <c r="M65" s="60">
        <v>62.94</v>
      </c>
      <c r="N65" s="60">
        <v>319.70</v>
      </c>
      <c r="O65" s="60">
        <v>0</v>
      </c>
      <c r="P65" s="60">
        <v>3.22</v>
      </c>
      <c r="Q65" s="60">
        <v>4.01</v>
      </c>
      <c r="R65" s="194"/>
      <c r="S65" s="194"/>
      <c r="T65" s="194"/>
      <c r="U65" s="194"/>
    </row>
    <row r="66" spans="1:21" s="12" customFormat="1" ht="15">
      <c r="A66" s="197" t="s">
        <v>2894</v>
      </c>
      <c r="B66" s="60">
        <v>2.75</v>
      </c>
      <c r="C66" s="60">
        <v>14.49</v>
      </c>
      <c r="D66" s="60">
        <v>17.239999999999998</v>
      </c>
      <c r="E66" s="60">
        <v>5.34</v>
      </c>
      <c r="F66" s="60">
        <v>0.49</v>
      </c>
      <c r="G66" s="214" t="s">
        <v>36</v>
      </c>
      <c r="H66" s="60">
        <v>16.440000000000001</v>
      </c>
      <c r="I66" s="60">
        <v>4.96</v>
      </c>
      <c r="J66" s="60">
        <v>0.22</v>
      </c>
      <c r="K66" s="60">
        <v>320.58</v>
      </c>
      <c r="L66" s="60">
        <v>45.68</v>
      </c>
      <c r="M66" s="60">
        <v>62.11</v>
      </c>
      <c r="N66" s="60">
        <v>386.30</v>
      </c>
      <c r="O66" s="60">
        <v>0</v>
      </c>
      <c r="P66" s="60">
        <v>3.23</v>
      </c>
      <c r="Q66" s="60">
        <v>3.53</v>
      </c>
      <c r="R66" s="194"/>
      <c r="S66" s="194"/>
      <c r="T66" s="194"/>
      <c r="U66" s="194"/>
    </row>
    <row r="67" spans="1:21" s="12" customFormat="1" ht="15">
      <c r="A67" s="197" t="s">
        <v>2895</v>
      </c>
      <c r="B67" s="60">
        <v>2.93</v>
      </c>
      <c r="C67" s="60">
        <v>14.68</v>
      </c>
      <c r="D67" s="60">
        <v>17.61</v>
      </c>
      <c r="E67" s="60">
        <v>5.33</v>
      </c>
      <c r="F67" s="60">
        <v>0.39</v>
      </c>
      <c r="G67" s="214" t="s">
        <v>36</v>
      </c>
      <c r="H67" s="60">
        <v>16.440000000000001</v>
      </c>
      <c r="I67" s="60">
        <v>4.82</v>
      </c>
      <c r="J67" s="60">
        <v>0.36</v>
      </c>
      <c r="K67" s="60">
        <v>306.08</v>
      </c>
      <c r="L67" s="60">
        <v>45.14</v>
      </c>
      <c r="M67" s="60">
        <v>62.78</v>
      </c>
      <c r="N67" s="60">
        <v>421.40</v>
      </c>
      <c r="O67" s="60">
        <v>0</v>
      </c>
      <c r="P67" s="60">
        <v>3.23</v>
      </c>
      <c r="Q67" s="60">
        <v>3.39</v>
      </c>
      <c r="R67" s="194"/>
      <c r="S67" s="194"/>
      <c r="T67" s="194"/>
      <c r="U67" s="194"/>
    </row>
    <row r="68" spans="1:21" s="12" customFormat="1" ht="15">
      <c r="A68" s="197" t="s">
        <v>2896</v>
      </c>
      <c r="B68" s="60">
        <v>2.96</v>
      </c>
      <c r="C68" s="60">
        <v>14.26</v>
      </c>
      <c r="D68" s="60">
        <v>17.23</v>
      </c>
      <c r="E68" s="60">
        <v>5.86</v>
      </c>
      <c r="F68" s="60">
        <v>0.53</v>
      </c>
      <c r="G68" s="214" t="s">
        <v>36</v>
      </c>
      <c r="H68" s="60">
        <v>16.440000000000001</v>
      </c>
      <c r="I68" s="60">
        <v>5.04</v>
      </c>
      <c r="J68" s="60">
        <v>0.34</v>
      </c>
      <c r="K68" s="60">
        <v>312.74</v>
      </c>
      <c r="L68" s="60">
        <v>45.5</v>
      </c>
      <c r="M68" s="60">
        <v>62.43</v>
      </c>
      <c r="N68" s="60">
        <v>418.40</v>
      </c>
      <c r="O68" s="60">
        <v>0</v>
      </c>
      <c r="P68" s="60">
        <v>3.24</v>
      </c>
      <c r="Q68" s="60">
        <v>3.22</v>
      </c>
      <c r="R68" s="194"/>
      <c r="S68" s="194"/>
      <c r="T68" s="194"/>
      <c r="U68" s="194"/>
    </row>
    <row r="69" spans="1:21" s="12" customFormat="1" ht="15">
      <c r="A69" s="197" t="s">
        <v>2897</v>
      </c>
      <c r="B69" s="60">
        <v>2.98</v>
      </c>
      <c r="C69" s="60">
        <v>14.01</v>
      </c>
      <c r="D69" s="60">
        <v>16.989999999999998</v>
      </c>
      <c r="E69" s="60">
        <v>5.63</v>
      </c>
      <c r="F69" s="60">
        <v>0.65</v>
      </c>
      <c r="G69" s="214" t="s">
        <v>36</v>
      </c>
      <c r="H69" s="60">
        <v>17.649999999999999</v>
      </c>
      <c r="I69" s="60">
        <v>5.0599999999999996</v>
      </c>
      <c r="J69" s="60">
        <v>0.13</v>
      </c>
      <c r="K69" s="60">
        <v>291.16000000000003</v>
      </c>
      <c r="L69" s="60">
        <v>44.96</v>
      </c>
      <c r="M69" s="60">
        <v>60.92</v>
      </c>
      <c r="N69" s="60">
        <v>458.30</v>
      </c>
      <c r="O69" s="60">
        <v>0</v>
      </c>
      <c r="P69" s="60">
        <v>3.24</v>
      </c>
      <c r="Q69" s="60">
        <v>3.04</v>
      </c>
      <c r="R69" s="194"/>
      <c r="S69" s="194"/>
      <c r="T69" s="194"/>
      <c r="U69" s="194"/>
    </row>
    <row r="70" spans="1:21" s="12" customFormat="1" ht="15">
      <c r="A70" s="197" t="s">
        <v>2898</v>
      </c>
      <c r="B70" s="60">
        <v>2.87</v>
      </c>
      <c r="C70" s="60">
        <v>14.52</v>
      </c>
      <c r="D70" s="60">
        <v>17.38</v>
      </c>
      <c r="E70" s="60">
        <v>5.94</v>
      </c>
      <c r="F70" s="60">
        <v>0.36</v>
      </c>
      <c r="G70" s="214" t="s">
        <v>36</v>
      </c>
      <c r="H70" s="60">
        <v>20.60</v>
      </c>
      <c r="I70" s="60">
        <v>5.1100000000000003</v>
      </c>
      <c r="J70" s="60">
        <v>0.16</v>
      </c>
      <c r="K70" s="60">
        <v>324.11</v>
      </c>
      <c r="L70" s="60">
        <v>43.08</v>
      </c>
      <c r="M70" s="60">
        <v>62.66</v>
      </c>
      <c r="N70" s="60">
        <v>370</v>
      </c>
      <c r="O70" s="60">
        <v>0</v>
      </c>
      <c r="P70" s="60">
        <v>3.24</v>
      </c>
      <c r="Q70" s="60">
        <v>3.14</v>
      </c>
      <c r="R70" s="194"/>
      <c r="S70" s="194"/>
      <c r="T70" s="194"/>
      <c r="U70" s="194"/>
    </row>
    <row r="71" spans="1:21" s="12" customFormat="1" ht="15">
      <c r="A71" s="197" t="s">
        <v>2899</v>
      </c>
      <c r="B71" s="60">
        <v>2.84</v>
      </c>
      <c r="C71" s="60">
        <v>14.38</v>
      </c>
      <c r="D71" s="60">
        <v>17.21</v>
      </c>
      <c r="E71" s="60">
        <v>5.27</v>
      </c>
      <c r="F71" s="60">
        <v>0.80</v>
      </c>
      <c r="G71" s="214" t="s">
        <v>36</v>
      </c>
      <c r="H71" s="60">
        <v>20.60</v>
      </c>
      <c r="I71" s="60">
        <v>5.0999999999999996</v>
      </c>
      <c r="J71" s="60">
        <v>0.15</v>
      </c>
      <c r="K71" s="60">
        <v>308.91000000000003</v>
      </c>
      <c r="L71" s="60">
        <v>43.19</v>
      </c>
      <c r="M71" s="60">
        <v>62.18</v>
      </c>
      <c r="N71" s="60">
        <v>313.5</v>
      </c>
      <c r="O71" s="60">
        <v>0</v>
      </c>
      <c r="P71" s="60">
        <v>3.24</v>
      </c>
      <c r="Q71" s="60">
        <v>3.06</v>
      </c>
      <c r="R71" s="194"/>
      <c r="S71" s="194"/>
      <c r="T71" s="194"/>
      <c r="U71" s="194"/>
    </row>
    <row r="72" spans="1:21" s="12" customFormat="1" ht="15">
      <c r="A72" s="197" t="s">
        <v>2900</v>
      </c>
      <c r="B72" s="60">
        <v>2.84</v>
      </c>
      <c r="C72" s="60">
        <v>14.48</v>
      </c>
      <c r="D72" s="60">
        <v>17.329999999999998</v>
      </c>
      <c r="E72" s="60">
        <v>2.87</v>
      </c>
      <c r="F72" s="60">
        <v>0.85</v>
      </c>
      <c r="G72" s="214" t="s">
        <v>36</v>
      </c>
      <c r="H72" s="60">
        <v>20.60</v>
      </c>
      <c r="I72" s="60">
        <v>5.08</v>
      </c>
      <c r="J72" s="60">
        <v>0.11</v>
      </c>
      <c r="K72" s="60">
        <v>250.91</v>
      </c>
      <c r="L72" s="60">
        <v>42.60</v>
      </c>
      <c r="M72" s="60">
        <v>62.45</v>
      </c>
      <c r="N72" s="60">
        <v>344.80</v>
      </c>
      <c r="O72" s="60">
        <v>0</v>
      </c>
      <c r="P72" s="60">
        <v>3.25</v>
      </c>
      <c r="Q72" s="60">
        <v>3.60</v>
      </c>
      <c r="R72" s="194"/>
      <c r="S72" s="194"/>
      <c r="T72" s="194"/>
      <c r="U72" s="194"/>
    </row>
    <row r="73" spans="1:21" s="12" customFormat="1" ht="15">
      <c r="A73" s="197" t="s">
        <v>2901</v>
      </c>
      <c r="B73" s="60">
        <v>2.4300000000000002</v>
      </c>
      <c r="C73" s="60">
        <v>14.56</v>
      </c>
      <c r="D73" s="60">
        <v>17</v>
      </c>
      <c r="E73" s="60">
        <v>5.0999999999999996</v>
      </c>
      <c r="F73" s="60">
        <v>0.71</v>
      </c>
      <c r="G73" s="214" t="s">
        <v>36</v>
      </c>
      <c r="H73" s="60">
        <v>20.78</v>
      </c>
      <c r="I73" s="60">
        <v>5.1100000000000003</v>
      </c>
      <c r="J73" s="60">
        <v>0.11</v>
      </c>
      <c r="K73" s="60">
        <v>204.78</v>
      </c>
      <c r="L73" s="60">
        <v>42.34</v>
      </c>
      <c r="M73" s="60">
        <v>63.98</v>
      </c>
      <c r="N73" s="60">
        <v>364.30</v>
      </c>
      <c r="O73" s="60">
        <v>0</v>
      </c>
      <c r="P73" s="60">
        <v>3.24</v>
      </c>
      <c r="Q73" s="60">
        <v>4.18</v>
      </c>
      <c r="R73" s="194"/>
      <c r="S73" s="194"/>
      <c r="T73" s="194"/>
      <c r="U73" s="194"/>
    </row>
    <row r="74" spans="1:21" s="12" customFormat="1" ht="15">
      <c r="A74" s="197" t="s">
        <v>2902</v>
      </c>
      <c r="B74" s="60">
        <v>2.11</v>
      </c>
      <c r="C74" s="60">
        <v>14.24</v>
      </c>
      <c r="D74" s="60">
        <v>16.350000000000001</v>
      </c>
      <c r="E74" s="60">
        <v>4.9000000000000004</v>
      </c>
      <c r="F74" s="60">
        <v>0.80</v>
      </c>
      <c r="G74" s="214" t="s">
        <v>36</v>
      </c>
      <c r="H74" s="60">
        <v>21.22</v>
      </c>
      <c r="I74" s="60">
        <v>5.20</v>
      </c>
      <c r="J74" s="60">
        <v>0.41</v>
      </c>
      <c r="K74" s="60">
        <v>189.59</v>
      </c>
      <c r="L74" s="60">
        <v>41.87</v>
      </c>
      <c r="M74" s="60">
        <v>65.41</v>
      </c>
      <c r="N74" s="60">
        <v>283</v>
      </c>
      <c r="O74" s="60">
        <v>0</v>
      </c>
      <c r="P74" s="60">
        <v>3.25</v>
      </c>
      <c r="Q74" s="60">
        <v>4.41</v>
      </c>
      <c r="R74" s="194"/>
      <c r="S74" s="194"/>
      <c r="T74" s="194"/>
      <c r="U74" s="194"/>
    </row>
    <row r="75" spans="1:21" s="12" customFormat="1" ht="15">
      <c r="A75" s="197" t="s">
        <v>2903</v>
      </c>
      <c r="B75" s="60">
        <v>1.80</v>
      </c>
      <c r="C75" s="60">
        <v>13.54</v>
      </c>
      <c r="D75" s="60">
        <v>15.34</v>
      </c>
      <c r="E75" s="60">
        <v>4.78</v>
      </c>
      <c r="F75" s="60">
        <v>0.97</v>
      </c>
      <c r="G75" s="214" t="s">
        <v>36</v>
      </c>
      <c r="H75" s="60">
        <v>21.22</v>
      </c>
      <c r="I75" s="60">
        <v>5.19</v>
      </c>
      <c r="J75" s="60">
        <v>0.08</v>
      </c>
      <c r="K75" s="60">
        <v>144.02000000000001</v>
      </c>
      <c r="L75" s="60">
        <v>41.89</v>
      </c>
      <c r="M75" s="60">
        <v>65.45</v>
      </c>
      <c r="N75" s="60">
        <v>221.60</v>
      </c>
      <c r="O75" s="60">
        <v>0</v>
      </c>
      <c r="P75" s="60">
        <v>3.23</v>
      </c>
      <c r="Q75" s="60">
        <v>4.22</v>
      </c>
      <c r="R75" s="194"/>
      <c r="S75" s="194"/>
      <c r="T75" s="194"/>
      <c r="U75" s="194"/>
    </row>
    <row r="76" spans="1:21" s="12" customFormat="1" ht="15">
      <c r="A76" s="197" t="s">
        <v>2904</v>
      </c>
      <c r="B76" s="60">
        <v>1.64</v>
      </c>
      <c r="C76" s="60">
        <v>13.11</v>
      </c>
      <c r="D76" s="60">
        <v>14.74</v>
      </c>
      <c r="E76" s="60">
        <v>4.92</v>
      </c>
      <c r="F76" s="60">
        <v>0.90</v>
      </c>
      <c r="G76" s="214" t="s">
        <v>36</v>
      </c>
      <c r="H76" s="60">
        <v>21.22</v>
      </c>
      <c r="I76" s="60">
        <v>5.23</v>
      </c>
      <c r="J76" s="60">
        <v>0.11</v>
      </c>
      <c r="K76" s="60">
        <v>202.08</v>
      </c>
      <c r="L76" s="60">
        <v>42.27</v>
      </c>
      <c r="M76" s="60">
        <v>65.23</v>
      </c>
      <c r="N76" s="60">
        <v>167.20</v>
      </c>
      <c r="O76" s="60">
        <v>0</v>
      </c>
      <c r="P76" s="60">
        <v>3.23</v>
      </c>
      <c r="Q76" s="60">
        <v>4.28</v>
      </c>
      <c r="R76" s="194"/>
      <c r="S76" s="194"/>
      <c r="T76" s="194"/>
      <c r="U76" s="194"/>
    </row>
    <row r="77" spans="1:21" s="12" customFormat="1" ht="15">
      <c r="A77" s="197" t="s">
        <v>2905</v>
      </c>
      <c r="B77" s="60">
        <v>1.42</v>
      </c>
      <c r="C77" s="60">
        <v>12.58</v>
      </c>
      <c r="D77" s="60">
        <v>14</v>
      </c>
      <c r="E77" s="60">
        <v>5.09</v>
      </c>
      <c r="F77" s="60">
        <v>0.90</v>
      </c>
      <c r="G77" s="214" t="s">
        <v>36</v>
      </c>
      <c r="H77" s="60">
        <v>21.91</v>
      </c>
      <c r="I77" s="60">
        <v>5.05</v>
      </c>
      <c r="J77" s="60">
        <v>0.13</v>
      </c>
      <c r="K77" s="60">
        <v>213.78</v>
      </c>
      <c r="L77" s="60">
        <v>42.67</v>
      </c>
      <c r="M77" s="60">
        <v>65.27</v>
      </c>
      <c r="N77" s="60">
        <v>136.80000000000001</v>
      </c>
      <c r="O77" s="60">
        <v>0</v>
      </c>
      <c r="P77" s="60">
        <v>3.20</v>
      </c>
      <c r="Q77" s="60">
        <v>3.99</v>
      </c>
      <c r="R77" s="194"/>
      <c r="S77" s="194"/>
      <c r="T77" s="194"/>
      <c r="U77" s="194"/>
    </row>
    <row r="78" spans="1:21" s="12" customFormat="1" ht="15">
      <c r="A78" s="197" t="s">
        <v>2906</v>
      </c>
      <c r="B78" s="60">
        <v>1.35</v>
      </c>
      <c r="C78" s="60">
        <v>12.70</v>
      </c>
      <c r="D78" s="60">
        <v>14.04</v>
      </c>
      <c r="E78" s="60">
        <v>4.97</v>
      </c>
      <c r="F78" s="60">
        <v>0.49</v>
      </c>
      <c r="G78" s="214" t="s">
        <v>36</v>
      </c>
      <c r="H78" s="60">
        <v>23.62</v>
      </c>
      <c r="I78" s="60">
        <v>4.9400000000000004</v>
      </c>
      <c r="J78" s="60">
        <v>0.13</v>
      </c>
      <c r="K78" s="60">
        <v>227.71</v>
      </c>
      <c r="L78" s="60">
        <v>44.05</v>
      </c>
      <c r="M78" s="60">
        <v>68.23</v>
      </c>
      <c r="N78" s="60">
        <v>100.30</v>
      </c>
      <c r="O78" s="60">
        <v>0</v>
      </c>
      <c r="P78" s="60">
        <v>3.21</v>
      </c>
      <c r="Q78" s="60">
        <v>3.70</v>
      </c>
      <c r="R78" s="194"/>
      <c r="S78" s="194"/>
      <c r="T78" s="194"/>
      <c r="U78" s="194"/>
    </row>
    <row r="79" spans="1:21" s="12" customFormat="1" ht="15">
      <c r="A79" s="197" t="s">
        <v>2907</v>
      </c>
      <c r="B79" s="60">
        <v>1.63</v>
      </c>
      <c r="C79" s="60">
        <v>12.34</v>
      </c>
      <c r="D79" s="60">
        <v>13.97</v>
      </c>
      <c r="E79" s="60">
        <v>4.9000000000000004</v>
      </c>
      <c r="F79" s="60">
        <v>0.54</v>
      </c>
      <c r="G79" s="214" t="s">
        <v>36</v>
      </c>
      <c r="H79" s="60">
        <v>23.62</v>
      </c>
      <c r="I79" s="60">
        <v>4.82</v>
      </c>
      <c r="J79" s="60">
        <v>0.05</v>
      </c>
      <c r="K79" s="60">
        <v>266.29000000000002</v>
      </c>
      <c r="L79" s="60">
        <v>43.94</v>
      </c>
      <c r="M79" s="60">
        <v>68.05</v>
      </c>
      <c r="N79" s="60">
        <v>91.20</v>
      </c>
      <c r="O79" s="60">
        <v>0</v>
      </c>
      <c r="P79" s="60">
        <v>3.22</v>
      </c>
      <c r="Q79" s="60">
        <v>3.16</v>
      </c>
      <c r="R79" s="194"/>
      <c r="S79" s="194"/>
      <c r="T79" s="194"/>
      <c r="U79" s="194"/>
    </row>
    <row r="80" spans="1:21" s="12" customFormat="1" ht="15">
      <c r="A80" s="197" t="s">
        <v>2908</v>
      </c>
      <c r="B80" s="60">
        <v>1.94</v>
      </c>
      <c r="C80" s="60">
        <v>13.05</v>
      </c>
      <c r="D80" s="60">
        <v>14.99</v>
      </c>
      <c r="E80" s="60">
        <v>4.80</v>
      </c>
      <c r="F80" s="60">
        <v>0.42</v>
      </c>
      <c r="G80" s="214" t="s">
        <v>36</v>
      </c>
      <c r="H80" s="60">
        <v>23.62</v>
      </c>
      <c r="I80" s="60">
        <v>4.7300000000000004</v>
      </c>
      <c r="J80" s="60">
        <v>0.01</v>
      </c>
      <c r="K80" s="60">
        <v>265.33999999999997</v>
      </c>
      <c r="L80" s="60">
        <v>43.52</v>
      </c>
      <c r="M80" s="60">
        <v>68.930000000000007</v>
      </c>
      <c r="N80" s="60">
        <v>78.20</v>
      </c>
      <c r="O80" s="60">
        <v>0</v>
      </c>
      <c r="P80" s="60">
        <v>3.21</v>
      </c>
      <c r="Q80" s="60">
        <v>3.05</v>
      </c>
      <c r="R80" s="194"/>
      <c r="S80" s="194"/>
      <c r="T80" s="194"/>
      <c r="U80" s="194"/>
    </row>
    <row r="81" spans="1:21" s="12" customFormat="1" ht="15">
      <c r="A81" s="197" t="s">
        <v>2909</v>
      </c>
      <c r="B81" s="60">
        <v>2.17</v>
      </c>
      <c r="C81" s="60">
        <v>13.48</v>
      </c>
      <c r="D81" s="60">
        <v>15.66</v>
      </c>
      <c r="E81" s="60">
        <v>4.88</v>
      </c>
      <c r="F81" s="60">
        <v>0.45</v>
      </c>
      <c r="G81" s="214" t="s">
        <v>36</v>
      </c>
      <c r="H81" s="60">
        <v>23.97</v>
      </c>
      <c r="I81" s="60">
        <v>4.7699999999999996</v>
      </c>
      <c r="J81" s="60">
        <v>0.09</v>
      </c>
      <c r="K81" s="60">
        <v>10.09</v>
      </c>
      <c r="L81" s="60">
        <v>43.32</v>
      </c>
      <c r="M81" s="60">
        <v>70.87</v>
      </c>
      <c r="N81" s="60">
        <v>49.90</v>
      </c>
      <c r="O81" s="60">
        <v>0</v>
      </c>
      <c r="P81" s="60">
        <v>3.24</v>
      </c>
      <c r="Q81" s="60">
        <v>2.94</v>
      </c>
      <c r="R81" s="194"/>
      <c r="S81" s="194"/>
      <c r="T81" s="194"/>
      <c r="U81" s="194"/>
    </row>
    <row r="82" spans="1:21" s="12" customFormat="1" ht="15">
      <c r="A82" s="197" t="s">
        <v>2910</v>
      </c>
      <c r="B82" s="60">
        <v>2.74</v>
      </c>
      <c r="C82" s="60">
        <v>13.56</v>
      </c>
      <c r="D82" s="60">
        <v>16.30</v>
      </c>
      <c r="E82" s="60">
        <v>5.18</v>
      </c>
      <c r="F82" s="60">
        <v>0.59</v>
      </c>
      <c r="G82" s="214" t="s">
        <v>36</v>
      </c>
      <c r="H82" s="60">
        <v>24.83</v>
      </c>
      <c r="I82" s="60">
        <v>4.7699999999999996</v>
      </c>
      <c r="J82" s="60">
        <v>0.01</v>
      </c>
      <c r="K82" s="60">
        <v>254.13</v>
      </c>
      <c r="L82" s="60">
        <v>43.12</v>
      </c>
      <c r="M82" s="60">
        <v>69.760000000000005</v>
      </c>
      <c r="N82" s="60">
        <v>27.5</v>
      </c>
      <c r="O82" s="60">
        <v>0</v>
      </c>
      <c r="P82" s="60">
        <v>3.26</v>
      </c>
      <c r="Q82" s="60">
        <v>2.91</v>
      </c>
      <c r="R82" s="194"/>
      <c r="S82" s="194"/>
      <c r="T82" s="194"/>
      <c r="U82" s="194"/>
    </row>
    <row r="83" spans="1:21" s="12" customFormat="1" ht="15">
      <c r="A83" s="197" t="s">
        <v>2911</v>
      </c>
      <c r="B83" s="60">
        <v>2.99</v>
      </c>
      <c r="C83" s="60">
        <v>13.42</v>
      </c>
      <c r="D83" s="60">
        <v>16.41</v>
      </c>
      <c r="E83" s="60">
        <v>5.14</v>
      </c>
      <c r="F83" s="60">
        <v>0.35</v>
      </c>
      <c r="G83" s="214" t="s">
        <v>36</v>
      </c>
      <c r="H83" s="60">
        <v>24.83</v>
      </c>
      <c r="I83" s="60">
        <v>4.87</v>
      </c>
      <c r="J83" s="60">
        <v>0.28999999999999998</v>
      </c>
      <c r="K83" s="60">
        <v>219.49</v>
      </c>
      <c r="L83" s="60">
        <v>42.26</v>
      </c>
      <c r="M83" s="60">
        <v>70.5</v>
      </c>
      <c r="N83" s="60">
        <v>17.899999999999999</v>
      </c>
      <c r="O83" s="60">
        <v>0</v>
      </c>
      <c r="P83" s="60">
        <v>3.26</v>
      </c>
      <c r="Q83" s="60">
        <v>2.87</v>
      </c>
      <c r="R83" s="194"/>
      <c r="S83" s="194"/>
      <c r="T83" s="194"/>
      <c r="U83" s="194"/>
    </row>
    <row r="84" spans="1:21" s="12" customFormat="1" ht="15">
      <c r="A84" s="197" t="s">
        <v>2912</v>
      </c>
      <c r="B84" s="60">
        <v>3.04</v>
      </c>
      <c r="C84" s="60">
        <v>13.33</v>
      </c>
      <c r="D84" s="60">
        <v>16.37</v>
      </c>
      <c r="E84" s="60">
        <v>5.21</v>
      </c>
      <c r="F84" s="60">
        <v>0.10</v>
      </c>
      <c r="G84" s="214" t="s">
        <v>36</v>
      </c>
      <c r="H84" s="60">
        <v>24.83</v>
      </c>
      <c r="I84" s="60">
        <v>4.9000000000000004</v>
      </c>
      <c r="J84" s="60">
        <v>0.09</v>
      </c>
      <c r="K84" s="60">
        <v>223.56</v>
      </c>
      <c r="L84" s="60">
        <v>42.12</v>
      </c>
      <c r="M84" s="60">
        <v>74.09</v>
      </c>
      <c r="N84" s="60">
        <v>15.60</v>
      </c>
      <c r="O84" s="60">
        <v>0</v>
      </c>
      <c r="P84" s="60">
        <v>3.26</v>
      </c>
      <c r="Q84" s="60">
        <v>2.88</v>
      </c>
      <c r="R84" s="194"/>
      <c r="S84" s="194"/>
      <c r="T84" s="194"/>
      <c r="U84" s="194"/>
    </row>
    <row r="85" spans="1:21" s="12" customFormat="1" ht="15">
      <c r="A85" s="197" t="s">
        <v>2913</v>
      </c>
      <c r="B85" s="60">
        <v>3.17</v>
      </c>
      <c r="C85" s="60">
        <v>12.82</v>
      </c>
      <c r="D85" s="60">
        <v>15.99</v>
      </c>
      <c r="E85" s="60">
        <v>5.64</v>
      </c>
      <c r="F85" s="60">
        <v>0.16</v>
      </c>
      <c r="G85" s="214" t="s">
        <v>36</v>
      </c>
      <c r="H85" s="60">
        <v>26.08</v>
      </c>
      <c r="I85" s="60">
        <v>4.9400000000000004</v>
      </c>
      <c r="J85" s="60">
        <v>0.03</v>
      </c>
      <c r="K85" s="60">
        <v>291.08</v>
      </c>
      <c r="L85" s="60">
        <v>41.28</v>
      </c>
      <c r="M85" s="60">
        <v>76.040000000000006</v>
      </c>
      <c r="N85" s="60">
        <v>15</v>
      </c>
      <c r="O85" s="60">
        <v>0</v>
      </c>
      <c r="P85" s="60">
        <v>3.27</v>
      </c>
      <c r="Q85" s="60">
        <v>2.83</v>
      </c>
      <c r="R85" s="194"/>
      <c r="S85" s="194"/>
      <c r="T85" s="194"/>
      <c r="U85" s="194"/>
    </row>
    <row r="86" spans="1:21" s="12" customFormat="1" ht="15">
      <c r="A86" s="197" t="s">
        <v>2914</v>
      </c>
      <c r="B86" s="60">
        <v>3.63</v>
      </c>
      <c r="C86" s="60">
        <v>13.16</v>
      </c>
      <c r="D86" s="60">
        <v>16.79</v>
      </c>
      <c r="E86" s="60">
        <v>5.55</v>
      </c>
      <c r="F86" s="60">
        <v>0.28999999999999998</v>
      </c>
      <c r="G86" s="214" t="s">
        <v>36</v>
      </c>
      <c r="H86" s="60">
        <v>29.16</v>
      </c>
      <c r="I86" s="60">
        <v>4.92</v>
      </c>
      <c r="J86" s="60">
        <v>0.11</v>
      </c>
      <c r="K86" s="60">
        <v>200.12</v>
      </c>
      <c r="L86" s="60">
        <v>40.909999999999997</v>
      </c>
      <c r="M86" s="60">
        <v>77.22</v>
      </c>
      <c r="N86" s="60">
        <v>14.90</v>
      </c>
      <c r="O86" s="60">
        <v>0</v>
      </c>
      <c r="P86" s="60">
        <v>3.31</v>
      </c>
      <c r="Q86" s="60">
        <v>3.33</v>
      </c>
      <c r="R86" s="194"/>
      <c r="S86" s="194"/>
      <c r="T86" s="194"/>
      <c r="U86" s="194"/>
    </row>
    <row r="87" spans="1:21" s="12" customFormat="1" ht="15">
      <c r="A87" s="197" t="s">
        <v>2915</v>
      </c>
      <c r="B87" s="60">
        <v>4.08</v>
      </c>
      <c r="C87" s="60">
        <v>13.20</v>
      </c>
      <c r="D87" s="60">
        <v>17.27</v>
      </c>
      <c r="E87" s="60">
        <v>5.21</v>
      </c>
      <c r="F87" s="60">
        <v>0.61</v>
      </c>
      <c r="G87" s="214" t="s">
        <v>36</v>
      </c>
      <c r="H87" s="60">
        <v>29.16</v>
      </c>
      <c r="I87" s="60">
        <v>5.08</v>
      </c>
      <c r="J87" s="60">
        <v>0.08</v>
      </c>
      <c r="K87" s="60">
        <v>221.57</v>
      </c>
      <c r="L87" s="60">
        <v>40.700000000000003</v>
      </c>
      <c r="M87" s="60">
        <v>78.09</v>
      </c>
      <c r="N87" s="60">
        <v>15</v>
      </c>
      <c r="O87" s="60">
        <v>0</v>
      </c>
      <c r="P87" s="60">
        <v>3.33</v>
      </c>
      <c r="Q87" s="60">
        <v>4.29</v>
      </c>
      <c r="R87" s="194"/>
      <c r="S87" s="194"/>
      <c r="T87" s="194"/>
      <c r="U87" s="194"/>
    </row>
    <row r="88" spans="1:21" s="12" customFormat="1" ht="15">
      <c r="A88" s="197" t="s">
        <v>2916</v>
      </c>
      <c r="B88" s="60">
        <v>4.07</v>
      </c>
      <c r="C88" s="60">
        <v>13.60</v>
      </c>
      <c r="D88" s="60">
        <v>17.670000000000002</v>
      </c>
      <c r="E88" s="60">
        <v>2.76</v>
      </c>
      <c r="F88" s="60">
        <v>0.39</v>
      </c>
      <c r="G88" s="214" t="s">
        <v>36</v>
      </c>
      <c r="H88" s="60">
        <v>29.16</v>
      </c>
      <c r="I88" s="60">
        <v>5.24</v>
      </c>
      <c r="J88" s="60">
        <v>0.070000000000000007</v>
      </c>
      <c r="K88" s="60">
        <v>190.75</v>
      </c>
      <c r="L88" s="60">
        <v>40.630000000000003</v>
      </c>
      <c r="M88" s="60">
        <v>78.34</v>
      </c>
      <c r="N88" s="60">
        <v>14.90</v>
      </c>
      <c r="O88" s="60">
        <v>0</v>
      </c>
      <c r="P88" s="60">
        <v>3.34</v>
      </c>
      <c r="Q88" s="60">
        <v>4.74</v>
      </c>
      <c r="R88" s="194"/>
      <c r="S88" s="194"/>
      <c r="T88" s="194"/>
      <c r="U88" s="194"/>
    </row>
    <row r="89" spans="1:21" s="12" customFormat="1" ht="15">
      <c r="A89" s="197" t="s">
        <v>2917</v>
      </c>
      <c r="B89" s="60">
        <v>3.79</v>
      </c>
      <c r="C89" s="60">
        <v>13.68</v>
      </c>
      <c r="D89" s="60">
        <v>17.46</v>
      </c>
      <c r="E89" s="60">
        <v>4.68</v>
      </c>
      <c r="F89" s="60">
        <v>0.83</v>
      </c>
      <c r="G89" s="214" t="s">
        <v>36</v>
      </c>
      <c r="H89" s="60">
        <v>28.16</v>
      </c>
      <c r="I89" s="60">
        <v>5.30</v>
      </c>
      <c r="J89" s="60">
        <v>0.24</v>
      </c>
      <c r="K89" s="60">
        <v>219.44</v>
      </c>
      <c r="L89" s="60">
        <v>40.60</v>
      </c>
      <c r="M89" s="60">
        <v>79.849999999999994</v>
      </c>
      <c r="N89" s="60">
        <v>14.90</v>
      </c>
      <c r="O89" s="60">
        <v>0</v>
      </c>
      <c r="P89" s="60">
        <v>3.35</v>
      </c>
      <c r="Q89" s="60">
        <v>4.8899999999999997</v>
      </c>
      <c r="R89" s="194"/>
      <c r="S89" s="194"/>
      <c r="T89" s="194"/>
      <c r="U89" s="194"/>
    </row>
    <row r="90" spans="1:21" s="12" customFormat="1" ht="15">
      <c r="A90" s="197" t="s">
        <v>2918</v>
      </c>
      <c r="B90" s="60">
        <v>3.44</v>
      </c>
      <c r="C90" s="60">
        <v>13.16</v>
      </c>
      <c r="D90" s="60">
        <v>16.600000000000001</v>
      </c>
      <c r="E90" s="60">
        <v>5.03</v>
      </c>
      <c r="F90" s="60">
        <v>0.44</v>
      </c>
      <c r="G90" s="214" t="s">
        <v>36</v>
      </c>
      <c r="H90" s="60">
        <v>25.69</v>
      </c>
      <c r="I90" s="60">
        <v>5.35</v>
      </c>
      <c r="J90" s="60">
        <v>0.31</v>
      </c>
      <c r="K90" s="60">
        <v>172.05</v>
      </c>
      <c r="L90" s="60">
        <v>40.51</v>
      </c>
      <c r="M90" s="60">
        <v>80.87</v>
      </c>
      <c r="N90" s="60">
        <v>14.90</v>
      </c>
      <c r="O90" s="60">
        <v>0</v>
      </c>
      <c r="P90" s="60">
        <v>3.33</v>
      </c>
      <c r="Q90" s="60">
        <v>4.75</v>
      </c>
      <c r="R90" s="194"/>
      <c r="S90" s="194"/>
      <c r="T90" s="194"/>
      <c r="U90" s="194"/>
    </row>
    <row r="91" spans="1:21" s="12" customFormat="1" ht="15">
      <c r="A91" s="197" t="s">
        <v>2919</v>
      </c>
      <c r="B91" s="60">
        <v>3.21</v>
      </c>
      <c r="C91" s="60">
        <v>12.83</v>
      </c>
      <c r="D91" s="60">
        <v>16.03</v>
      </c>
      <c r="E91" s="60">
        <v>4.9000000000000004</v>
      </c>
      <c r="F91" s="60">
        <v>0.26</v>
      </c>
      <c r="G91" s="214" t="s">
        <v>36</v>
      </c>
      <c r="H91" s="60">
        <v>25.69</v>
      </c>
      <c r="I91" s="60">
        <v>5.30</v>
      </c>
      <c r="J91" s="60">
        <v>0.20</v>
      </c>
      <c r="K91" s="60">
        <v>188.21</v>
      </c>
      <c r="L91" s="60">
        <v>39.549999999999997</v>
      </c>
      <c r="M91" s="60">
        <v>80.38</v>
      </c>
      <c r="N91" s="60">
        <v>14.90</v>
      </c>
      <c r="O91" s="60">
        <v>0</v>
      </c>
      <c r="P91" s="60">
        <v>3.31</v>
      </c>
      <c r="Q91" s="60">
        <v>4.6100000000000003</v>
      </c>
      <c r="R91" s="194"/>
      <c r="S91" s="194"/>
      <c r="T91" s="194"/>
      <c r="U91" s="194"/>
    </row>
    <row r="92" spans="1:21" s="12" customFormat="1" ht="15">
      <c r="A92" s="197" t="s">
        <v>2920</v>
      </c>
      <c r="B92" s="60">
        <v>3.01</v>
      </c>
      <c r="C92" s="60">
        <v>12.61</v>
      </c>
      <c r="D92" s="60">
        <v>15.62</v>
      </c>
      <c r="E92" s="60">
        <v>5.18</v>
      </c>
      <c r="F92" s="60">
        <v>0.24</v>
      </c>
      <c r="G92" s="214" t="s">
        <v>36</v>
      </c>
      <c r="H92" s="60">
        <v>25.69</v>
      </c>
      <c r="I92" s="60">
        <v>5.22</v>
      </c>
      <c r="J92" s="60">
        <v>0.06</v>
      </c>
      <c r="K92" s="60">
        <v>241.35</v>
      </c>
      <c r="L92" s="60">
        <v>38.93</v>
      </c>
      <c r="M92" s="60">
        <v>80.650000000000006</v>
      </c>
      <c r="N92" s="60">
        <v>15.10</v>
      </c>
      <c r="O92" s="60">
        <v>0</v>
      </c>
      <c r="P92" s="60">
        <v>3.30</v>
      </c>
      <c r="Q92" s="60">
        <v>4.45</v>
      </c>
      <c r="R92" s="194"/>
      <c r="S92" s="194"/>
      <c r="T92" s="194"/>
      <c r="U92" s="194"/>
    </row>
    <row r="93" spans="1:21" s="12" customFormat="1" ht="15">
      <c r="A93" s="197" t="s">
        <v>2921</v>
      </c>
      <c r="B93" s="60">
        <v>3.24</v>
      </c>
      <c r="C93" s="60">
        <v>12.55</v>
      </c>
      <c r="D93" s="60">
        <v>15.79</v>
      </c>
      <c r="E93" s="60">
        <v>5.33</v>
      </c>
      <c r="F93" s="60">
        <v>0.24</v>
      </c>
      <c r="G93" s="214" t="s">
        <v>36</v>
      </c>
      <c r="H93" s="60">
        <v>25.49</v>
      </c>
      <c r="I93" s="60">
        <v>5.14</v>
      </c>
      <c r="J93" s="60">
        <v>0.01</v>
      </c>
      <c r="K93" s="60">
        <v>243.19</v>
      </c>
      <c r="L93" s="60">
        <v>39.25</v>
      </c>
      <c r="M93" s="60">
        <v>81.73</v>
      </c>
      <c r="N93" s="60">
        <v>15.10</v>
      </c>
      <c r="O93" s="60">
        <v>0</v>
      </c>
      <c r="P93" s="60">
        <v>3.32</v>
      </c>
      <c r="Q93" s="60">
        <v>4.1399999999999997</v>
      </c>
      <c r="R93" s="194"/>
      <c r="S93" s="194"/>
      <c r="T93" s="194"/>
      <c r="U93" s="194"/>
    </row>
    <row r="94" spans="1:21" s="12" customFormat="1" ht="15">
      <c r="A94" s="197" t="s">
        <v>2922</v>
      </c>
      <c r="B94" s="60">
        <v>3.75</v>
      </c>
      <c r="C94" s="60">
        <v>12.39</v>
      </c>
      <c r="D94" s="60">
        <v>16.14</v>
      </c>
      <c r="E94" s="60">
        <v>5.53</v>
      </c>
      <c r="F94" s="60">
        <v>0.05</v>
      </c>
      <c r="G94" s="214" t="s">
        <v>36</v>
      </c>
      <c r="H94" s="60">
        <v>24.98</v>
      </c>
      <c r="I94" s="60">
        <v>5.01</v>
      </c>
      <c r="J94" s="60">
        <v>0.09</v>
      </c>
      <c r="K94" s="60">
        <v>258.64999999999998</v>
      </c>
      <c r="L94" s="60">
        <v>39.270000000000003</v>
      </c>
      <c r="M94" s="60">
        <v>82.06</v>
      </c>
      <c r="N94" s="60">
        <v>15.10</v>
      </c>
      <c r="O94" s="60">
        <v>0</v>
      </c>
      <c r="P94" s="60">
        <v>3.32</v>
      </c>
      <c r="Q94" s="60">
        <v>3.95</v>
      </c>
      <c r="R94" s="194"/>
      <c r="S94" s="194"/>
      <c r="T94" s="194"/>
      <c r="U94" s="194"/>
    </row>
    <row r="95" spans="1:21" s="12" customFormat="1" ht="15">
      <c r="A95" s="197" t="s">
        <v>2923</v>
      </c>
      <c r="B95" s="60">
        <v>3.91</v>
      </c>
      <c r="C95" s="60">
        <v>11.81</v>
      </c>
      <c r="D95" s="60">
        <v>15.72</v>
      </c>
      <c r="E95" s="60">
        <v>5.37</v>
      </c>
      <c r="F95" s="60">
        <v>0.14000000000000001</v>
      </c>
      <c r="G95" s="214" t="s">
        <v>36</v>
      </c>
      <c r="H95" s="60">
        <v>24.98</v>
      </c>
      <c r="I95" s="60">
        <v>4.74</v>
      </c>
      <c r="J95" s="60">
        <v>0.11</v>
      </c>
      <c r="K95" s="60">
        <v>224.88</v>
      </c>
      <c r="L95" s="60">
        <v>39.29</v>
      </c>
      <c r="M95" s="60">
        <v>82.33</v>
      </c>
      <c r="N95" s="60">
        <v>14.90</v>
      </c>
      <c r="O95" s="60">
        <v>0</v>
      </c>
      <c r="P95" s="60">
        <v>3.32</v>
      </c>
      <c r="Q95" s="60">
        <v>3.60</v>
      </c>
      <c r="R95" s="194"/>
      <c r="S95" s="194"/>
      <c r="T95" s="194"/>
      <c r="U95" s="194"/>
    </row>
    <row r="96" spans="1:26" s="12" customFormat="1" ht="15">
      <c r="A96" s="197" t="s">
        <v>2924</v>
      </c>
      <c r="B96" s="60">
        <v>3.99</v>
      </c>
      <c r="C96" s="60">
        <v>11.27</v>
      </c>
      <c r="D96" s="60">
        <v>15.26</v>
      </c>
      <c r="E96" s="60">
        <v>5.34</v>
      </c>
      <c r="F96" s="60">
        <v>0.23</v>
      </c>
      <c r="G96" s="214" t="s">
        <v>36</v>
      </c>
      <c r="H96" s="60">
        <v>24.98</v>
      </c>
      <c r="I96" s="60">
        <v>4.4800000000000004</v>
      </c>
      <c r="J96" s="60">
        <v>0.32</v>
      </c>
      <c r="K96" s="60">
        <v>188.49</v>
      </c>
      <c r="L96" s="60">
        <v>39.28</v>
      </c>
      <c r="M96" s="60">
        <v>81.66</v>
      </c>
      <c r="N96" s="60">
        <v>14.60</v>
      </c>
      <c r="O96" s="60">
        <v>0</v>
      </c>
      <c r="P96" s="60">
        <v>3.32</v>
      </c>
      <c r="Q96" s="60">
        <v>3.26</v>
      </c>
      <c r="R96" s="194"/>
      <c r="S96" s="194"/>
      <c r="T96" s="194"/>
      <c r="U96" s="194"/>
      <c r="Z96" s="105"/>
    </row>
    <row r="97" spans="1:21" s="12" customFormat="1" ht="15">
      <c r="A97" s="197" t="s">
        <v>2925</v>
      </c>
      <c r="B97" s="60">
        <v>4.03</v>
      </c>
      <c r="C97" s="60">
        <v>11.28</v>
      </c>
      <c r="D97" s="60">
        <v>15.30</v>
      </c>
      <c r="E97" s="60">
        <v>5.72</v>
      </c>
      <c r="F97" s="60">
        <v>0.20</v>
      </c>
      <c r="G97" s="214" t="s">
        <v>36</v>
      </c>
      <c r="H97" s="60">
        <v>24.04</v>
      </c>
      <c r="I97" s="60">
        <v>4.6399999999999997</v>
      </c>
      <c r="J97" s="60">
        <v>0.30</v>
      </c>
      <c r="K97" s="60">
        <v>179.24</v>
      </c>
      <c r="L97" s="60">
        <v>39.159999999999997</v>
      </c>
      <c r="M97" s="60">
        <v>82.16</v>
      </c>
      <c r="N97" s="60">
        <v>14.80</v>
      </c>
      <c r="O97" s="60">
        <v>0</v>
      </c>
      <c r="P97" s="60">
        <v>3.30</v>
      </c>
      <c r="Q97" s="60">
        <v>3.23</v>
      </c>
      <c r="R97" s="194"/>
      <c r="S97" s="194"/>
      <c r="T97" s="194"/>
      <c r="U97" s="194"/>
    </row>
    <row r="98" spans="1:21" s="12" customFormat="1" ht="15">
      <c r="A98" s="197" t="s">
        <v>2926</v>
      </c>
      <c r="B98" s="60">
        <v>4.1100000000000003</v>
      </c>
      <c r="C98" s="60">
        <v>11.25</v>
      </c>
      <c r="D98" s="60">
        <v>15.36</v>
      </c>
      <c r="E98" s="60">
        <v>5.61</v>
      </c>
      <c r="F98" s="60">
        <v>0.02</v>
      </c>
      <c r="G98" s="214" t="s">
        <v>36</v>
      </c>
      <c r="H98" s="60">
        <v>21.74</v>
      </c>
      <c r="I98" s="60">
        <v>5.09</v>
      </c>
      <c r="J98" s="60">
        <v>0.64</v>
      </c>
      <c r="K98" s="60">
        <v>162.11000000000001</v>
      </c>
      <c r="L98" s="60">
        <v>39.049999999999997</v>
      </c>
      <c r="M98" s="60">
        <v>82.25</v>
      </c>
      <c r="N98" s="60">
        <v>14.60</v>
      </c>
      <c r="O98" s="60">
        <v>0</v>
      </c>
      <c r="P98" s="60">
        <v>3.29</v>
      </c>
      <c r="Q98" s="60">
        <v>3.21</v>
      </c>
      <c r="R98" s="194"/>
      <c r="S98" s="194"/>
      <c r="T98" s="194"/>
      <c r="U98" s="194"/>
    </row>
    <row r="99" spans="1:21" s="12" customFormat="1" ht="15">
      <c r="A99" s="197" t="s">
        <v>2927</v>
      </c>
      <c r="B99" s="60">
        <v>4.18</v>
      </c>
      <c r="C99" s="60">
        <v>10.85</v>
      </c>
      <c r="D99" s="60">
        <v>15.03</v>
      </c>
      <c r="E99" s="60">
        <v>5.98</v>
      </c>
      <c r="F99" s="60">
        <v>0.03</v>
      </c>
      <c r="G99" s="214" t="s">
        <v>36</v>
      </c>
      <c r="H99" s="60">
        <v>21.74</v>
      </c>
      <c r="I99" s="60">
        <v>4.5999999999999996</v>
      </c>
      <c r="J99" s="60">
        <v>0.12</v>
      </c>
      <c r="K99" s="60">
        <v>223.27</v>
      </c>
      <c r="L99" s="60">
        <v>38.90</v>
      </c>
      <c r="M99" s="60">
        <v>83.29</v>
      </c>
      <c r="N99" s="60">
        <v>15.10</v>
      </c>
      <c r="O99" s="60">
        <v>0</v>
      </c>
      <c r="P99" s="60">
        <v>3.29</v>
      </c>
      <c r="Q99" s="60">
        <v>3.13</v>
      </c>
      <c r="R99" s="194"/>
      <c r="S99" s="194"/>
      <c r="T99" s="194"/>
      <c r="U99" s="194"/>
    </row>
    <row r="100" spans="1:33" s="12" customFormat="1" ht="15">
      <c r="A100" s="197" t="s">
        <v>2928</v>
      </c>
      <c r="B100" s="60">
        <v>4.46</v>
      </c>
      <c r="C100" s="60">
        <v>10.89</v>
      </c>
      <c r="D100" s="60">
        <v>15.35</v>
      </c>
      <c r="E100" s="60">
        <v>6.19</v>
      </c>
      <c r="F100" s="60">
        <v>0.06</v>
      </c>
      <c r="G100" s="214" t="s">
        <v>36</v>
      </c>
      <c r="H100" s="60">
        <v>21.74</v>
      </c>
      <c r="I100" s="60">
        <v>4.55</v>
      </c>
      <c r="J100" s="60">
        <v>0.12</v>
      </c>
      <c r="K100" s="60">
        <v>222.87</v>
      </c>
      <c r="L100" s="60">
        <v>38.67</v>
      </c>
      <c r="M100" s="60">
        <v>84.37</v>
      </c>
      <c r="N100" s="60">
        <v>15</v>
      </c>
      <c r="O100" s="60">
        <v>0</v>
      </c>
      <c r="P100" s="60">
        <v>3.28</v>
      </c>
      <c r="Q100" s="60">
        <v>3.29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2929</v>
      </c>
      <c r="B101" s="60">
        <v>4.9000000000000004</v>
      </c>
      <c r="C101" s="60">
        <v>11.21</v>
      </c>
      <c r="D101" s="60">
        <v>16.11</v>
      </c>
      <c r="E101" s="60">
        <v>6.09</v>
      </c>
      <c r="F101" s="60">
        <v>0.21</v>
      </c>
      <c r="G101" s="214" t="s">
        <v>36</v>
      </c>
      <c r="H101" s="60">
        <v>20.37</v>
      </c>
      <c r="I101" s="60">
        <v>4.75</v>
      </c>
      <c r="J101" s="60">
        <v>0.32</v>
      </c>
      <c r="K101" s="60">
        <v>181.17</v>
      </c>
      <c r="L101" s="60">
        <v>38.5</v>
      </c>
      <c r="M101" s="60">
        <v>85.92</v>
      </c>
      <c r="N101" s="60">
        <v>14.90</v>
      </c>
      <c r="O101" s="60">
        <v>0</v>
      </c>
      <c r="P101" s="60">
        <v>3.25</v>
      </c>
      <c r="Q101" s="60">
        <v>4.0999999999999996</v>
      </c>
      <c r="R101" s="194"/>
      <c r="S101" s="194"/>
      <c r="T101" s="194"/>
      <c r="U101" s="194"/>
    </row>
    <row r="102" spans="1:21" s="12" customFormat="1" ht="15">
      <c r="A102" s="197" t="s">
        <v>2930</v>
      </c>
      <c r="B102" s="60">
        <v>4.87</v>
      </c>
      <c r="C102" s="60">
        <v>11.46</v>
      </c>
      <c r="D102" s="60">
        <v>16.34</v>
      </c>
      <c r="E102" s="60">
        <v>5.71</v>
      </c>
      <c r="F102" s="60">
        <v>0.14000000000000001</v>
      </c>
      <c r="G102" s="214" t="s">
        <v>36</v>
      </c>
      <c r="H102" s="60">
        <v>17.02</v>
      </c>
      <c r="I102" s="60">
        <v>4.95</v>
      </c>
      <c r="J102" s="60">
        <v>0.33</v>
      </c>
      <c r="K102" s="60">
        <v>165.86</v>
      </c>
      <c r="L102" s="60">
        <v>38.36</v>
      </c>
      <c r="M102" s="60">
        <v>86.67</v>
      </c>
      <c r="N102" s="60">
        <v>15</v>
      </c>
      <c r="O102" s="60">
        <v>0</v>
      </c>
      <c r="P102" s="60">
        <v>3.24</v>
      </c>
      <c r="Q102" s="60">
        <v>4.7699999999999996</v>
      </c>
      <c r="R102" s="194"/>
      <c r="S102" s="194"/>
      <c r="T102" s="194"/>
      <c r="U102" s="194"/>
    </row>
    <row r="103" spans="1:21" s="12" customFormat="1" ht="15">
      <c r="A103" s="197" t="s">
        <v>2931</v>
      </c>
      <c r="B103" s="60">
        <v>4.5</v>
      </c>
      <c r="C103" s="60">
        <v>10.98</v>
      </c>
      <c r="D103" s="60">
        <v>15.48</v>
      </c>
      <c r="E103" s="60">
        <v>6.44</v>
      </c>
      <c r="F103" s="60">
        <v>0.27</v>
      </c>
      <c r="G103" s="214" t="s">
        <v>36</v>
      </c>
      <c r="H103" s="60">
        <v>17.02</v>
      </c>
      <c r="I103" s="60">
        <v>4.95</v>
      </c>
      <c r="J103" s="60">
        <v>0.27</v>
      </c>
      <c r="K103" s="60">
        <v>196.85</v>
      </c>
      <c r="L103" s="60">
        <v>38.36</v>
      </c>
      <c r="M103" s="60">
        <v>85.91</v>
      </c>
      <c r="N103" s="60">
        <v>14.80</v>
      </c>
      <c r="O103" s="60">
        <v>0</v>
      </c>
      <c r="P103" s="60">
        <v>3.23</v>
      </c>
      <c r="Q103" s="60">
        <v>4.9800000000000004</v>
      </c>
      <c r="R103" s="194"/>
      <c r="S103" s="194"/>
      <c r="T103" s="194"/>
      <c r="U103" s="194"/>
    </row>
    <row r="104" spans="1:21" s="12" customFormat="1" ht="15">
      <c r="A104" s="197" t="s">
        <v>2932</v>
      </c>
      <c r="B104" s="60">
        <v>4.12</v>
      </c>
      <c r="C104" s="60">
        <v>10.77</v>
      </c>
      <c r="D104" s="60">
        <v>14.89</v>
      </c>
      <c r="E104" s="60">
        <v>2.66</v>
      </c>
      <c r="F104" s="60">
        <v>0.23</v>
      </c>
      <c r="G104" s="214" t="s">
        <v>36</v>
      </c>
      <c r="H104" s="60">
        <v>17.02</v>
      </c>
      <c r="I104" s="60">
        <v>4.84</v>
      </c>
      <c r="J104" s="60">
        <v>0.34</v>
      </c>
      <c r="K104" s="60">
        <v>189.04</v>
      </c>
      <c r="L104" s="60">
        <v>38.39</v>
      </c>
      <c r="M104" s="60">
        <v>85.59</v>
      </c>
      <c r="N104" s="60">
        <v>14.70</v>
      </c>
      <c r="O104" s="60">
        <v>0</v>
      </c>
      <c r="P104" s="60">
        <v>3.20</v>
      </c>
      <c r="Q104" s="60">
        <v>4.84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1.3500000000000001</v>
      </c>
      <c r="C106" s="67">
        <f>MIN(C9:C104)</f>
        <v>8.75</v>
      </c>
      <c r="D106" s="67">
        <f t="shared" si="0" ref="D106:Q106">MIN(D9:D104)</f>
        <v>13.970000000000001</v>
      </c>
      <c r="E106" s="67">
        <f t="shared" si="0"/>
        <v>2.6600000000000001</v>
      </c>
      <c r="F106" s="67">
        <f t="shared" si="0"/>
        <v>0.01</v>
      </c>
      <c r="G106" s="67">
        <f t="shared" si="0"/>
        <v>0</v>
      </c>
      <c r="H106" s="67">
        <f t="shared" si="0"/>
        <v>5.46</v>
      </c>
      <c r="I106" s="67">
        <f t="shared" si="0"/>
        <v>3.8999999999999999</v>
      </c>
      <c r="J106" s="67">
        <f t="shared" si="0"/>
        <v>0.01</v>
      </c>
      <c r="K106" s="67">
        <f t="shared" si="0"/>
        <v>10.09</v>
      </c>
      <c r="L106" s="67">
        <f t="shared" si="0"/>
        <v>34.259999999999998</v>
      </c>
      <c r="M106" s="67">
        <f t="shared" si="0"/>
        <v>56.909999999999997</v>
      </c>
      <c r="N106" s="67">
        <f t="shared" si="0"/>
        <v>14.6</v>
      </c>
      <c r="O106" s="67">
        <f t="shared" si="0"/>
        <v>0</v>
      </c>
      <c r="P106" s="67">
        <f t="shared" si="0"/>
        <v>3.0699999999999998</v>
      </c>
      <c r="Q106" s="67">
        <f t="shared" si="0"/>
        <v>2.8100000000000001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9.4600000000000009</v>
      </c>
      <c r="C107" s="66">
        <f t="shared" si="1" ref="C107:Q107">MAX(C9:C104)</f>
        <v>15.279999999999999</v>
      </c>
      <c r="D107" s="66">
        <f t="shared" si="1"/>
        <v>19.18</v>
      </c>
      <c r="E107" s="66">
        <f t="shared" si="1"/>
        <v>7.2599999999999998</v>
      </c>
      <c r="F107" s="66">
        <f t="shared" si="1"/>
        <v>0.97999999999999998</v>
      </c>
      <c r="G107" s="66">
        <f t="shared" si="1"/>
        <v>0</v>
      </c>
      <c r="H107" s="66">
        <f t="shared" si="1"/>
        <v>29.16</v>
      </c>
      <c r="I107" s="66">
        <f t="shared" si="1"/>
        <v>6.3899999999999997</v>
      </c>
      <c r="J107" s="66">
        <f t="shared" si="1"/>
        <v>1.5</v>
      </c>
      <c r="K107" s="66">
        <f t="shared" si="1"/>
        <v>336.80000000000001</v>
      </c>
      <c r="L107" s="66">
        <f t="shared" si="1"/>
        <v>47.009999999999998</v>
      </c>
      <c r="M107" s="66">
        <f t="shared" si="1"/>
        <v>99.019999999999996</v>
      </c>
      <c r="N107" s="66">
        <f t="shared" si="1"/>
        <v>995.20000000000005</v>
      </c>
      <c r="O107" s="66">
        <f t="shared" si="1"/>
        <v>0</v>
      </c>
      <c r="P107" s="66">
        <f t="shared" si="1"/>
        <v>3.3500000000000001</v>
      </c>
      <c r="Q107" s="66">
        <f t="shared" si="1"/>
        <v>6.9400000000000004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4.6823958333333344</v>
      </c>
      <c r="C108" s="67">
        <f t="shared" si="2" ref="C108:Q108">AVERAGE(C9:C104)</f>
        <v>11.838020833333331</v>
      </c>
      <c r="D108" s="67">
        <f t="shared" si="2"/>
        <v>16.51947916666666</v>
      </c>
      <c r="E108" s="67">
        <f t="shared" si="2"/>
        <v>5.7915624999999986</v>
      </c>
      <c r="F108" s="67">
        <f t="shared" si="2"/>
        <v>0.36510638297872339</v>
      </c>
      <c r="G108" s="67" t="e">
        <f t="shared" si="2"/>
        <v>#DIV/0!</v>
      </c>
      <c r="H108" s="67">
        <f t="shared" si="2"/>
        <v>18.75770833333333</v>
      </c>
      <c r="I108" s="67">
        <f t="shared" si="2"/>
        <v>4.8527083333333341</v>
      </c>
      <c r="J108" s="67">
        <f t="shared" si="2"/>
        <v>0.28631578947368419</v>
      </c>
      <c r="K108" s="67">
        <f t="shared" si="2"/>
        <v>237.96958333333336</v>
      </c>
      <c r="L108" s="67">
        <f t="shared" si="2"/>
        <v>41.638645833333349</v>
      </c>
      <c r="M108" s="67">
        <f t="shared" si="2"/>
        <v>77.944374999999994</v>
      </c>
      <c r="N108" s="67">
        <f t="shared" si="2"/>
        <v>213.04687500000003</v>
      </c>
      <c r="O108" s="67">
        <f t="shared" si="2"/>
        <v>0</v>
      </c>
      <c r="P108" s="67">
        <f t="shared" si="2"/>
        <v>3.1870833333333337</v>
      </c>
      <c r="Q108" s="67">
        <f t="shared" si="2"/>
        <v>4.4958333333333345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2.2835336166802436</v>
      </c>
      <c r="C109" s="67">
        <f t="shared" si="3" ref="C109:Q109">STDEV(C9:C104)</f>
        <v>1.9760570095077297</v>
      </c>
      <c r="D109" s="67">
        <f t="shared" si="3"/>
        <v>1.4722316535337321</v>
      </c>
      <c r="E109" s="67">
        <f t="shared" si="3"/>
        <v>0.99792978143967304</v>
      </c>
      <c r="F109" s="67">
        <f t="shared" si="3"/>
        <v>0.29729151791715519</v>
      </c>
      <c r="G109" s="67" t="e">
        <f t="shared" si="3"/>
        <v>#DIV/0!</v>
      </c>
      <c r="H109" s="67">
        <f t="shared" si="3"/>
        <v>5.8169180624806867</v>
      </c>
      <c r="I109" s="67">
        <f t="shared" si="3"/>
        <v>0.53616273878005372</v>
      </c>
      <c r="J109" s="67">
        <f t="shared" si="3"/>
        <v>0.29530745835621269</v>
      </c>
      <c r="K109" s="67">
        <f t="shared" si="3"/>
        <v>65.144698599456092</v>
      </c>
      <c r="L109" s="67">
        <f t="shared" si="3"/>
        <v>2.7995400448501004</v>
      </c>
      <c r="M109" s="67">
        <f t="shared" si="3"/>
        <v>12.64815691274708</v>
      </c>
      <c r="N109" s="67">
        <f t="shared" si="3"/>
        <v>253.29919066221183</v>
      </c>
      <c r="O109" s="67">
        <f t="shared" si="3"/>
        <v>0</v>
      </c>
      <c r="P109" s="67">
        <f t="shared" si="3"/>
        <v>0.076391190821244015</v>
      </c>
      <c r="Q109" s="67">
        <f t="shared" si="3"/>
        <v>1.1733610443298648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v>96</v>
      </c>
      <c r="H110" s="66">
        <f t="shared" si="4"/>
        <v>96</v>
      </c>
      <c r="I110" s="66">
        <f t="shared" si="4"/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e8efefd-7f5f-4d3b-a0b4-165ab5811df8}">
  <sheetPr codeName=""/>
  <dimension ref="A1:AG117"/>
  <sheetViews>
    <sheetView workbookViewId="0" topLeftCell="A1">
      <selection pane="topLeft" activeCell="G110" sqref="G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29-07-2022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5" t="s">
        <v>51</v>
      </c>
      <c r="R8" s="192"/>
      <c r="S8" s="193"/>
      <c r="T8" s="192"/>
      <c r="U8" s="192"/>
    </row>
    <row r="9" spans="1:21" s="12" customFormat="1" ht="15">
      <c r="A9" s="197" t="s">
        <v>2933</v>
      </c>
      <c r="B9" s="60">
        <v>3.76</v>
      </c>
      <c r="C9" s="60">
        <v>10.67</v>
      </c>
      <c r="D9" s="60">
        <v>14.43</v>
      </c>
      <c r="E9" s="60">
        <v>5.82</v>
      </c>
      <c r="F9" s="60">
        <v>0.04</v>
      </c>
      <c r="G9" s="214" t="s">
        <v>36</v>
      </c>
      <c r="H9" s="60">
        <v>16.71</v>
      </c>
      <c r="I9" s="60">
        <v>4.71</v>
      </c>
      <c r="J9" s="60">
        <v>0.16</v>
      </c>
      <c r="K9" s="60">
        <v>191.99</v>
      </c>
      <c r="L9" s="60">
        <v>38.29</v>
      </c>
      <c r="M9" s="60">
        <v>86.70</v>
      </c>
      <c r="N9" s="60">
        <v>15</v>
      </c>
      <c r="O9" s="60">
        <v>0</v>
      </c>
      <c r="P9" s="60">
        <v>3.18</v>
      </c>
      <c r="Q9" s="60">
        <v>4.70</v>
      </c>
      <c r="R9" s="194"/>
      <c r="S9" s="194"/>
      <c r="T9" s="194"/>
      <c r="U9" s="194"/>
    </row>
    <row r="10" spans="1:21" s="12" customFormat="1" ht="15">
      <c r="A10" s="197" t="s">
        <v>2934</v>
      </c>
      <c r="B10" s="60">
        <v>3.42</v>
      </c>
      <c r="C10" s="60">
        <v>10.050000000000001</v>
      </c>
      <c r="D10" s="60">
        <v>13.46</v>
      </c>
      <c r="E10" s="60">
        <v>6.08</v>
      </c>
      <c r="F10" s="60">
        <v>0.17</v>
      </c>
      <c r="G10" s="214" t="s">
        <v>36</v>
      </c>
      <c r="H10" s="60">
        <v>15.94</v>
      </c>
      <c r="I10" s="60">
        <v>4.59</v>
      </c>
      <c r="J10" s="60">
        <v>0.54</v>
      </c>
      <c r="K10" s="60">
        <v>160.26</v>
      </c>
      <c r="L10" s="60">
        <v>38.130000000000003</v>
      </c>
      <c r="M10" s="60">
        <v>87.56</v>
      </c>
      <c r="N10" s="60">
        <v>14.90</v>
      </c>
      <c r="O10" s="60">
        <v>0</v>
      </c>
      <c r="P10" s="60">
        <v>3.16</v>
      </c>
      <c r="Q10" s="60">
        <v>4.5</v>
      </c>
      <c r="R10" s="194"/>
      <c r="S10" s="194"/>
      <c r="T10" s="194"/>
      <c r="U10" s="194"/>
    </row>
    <row r="11" spans="1:21" s="12" customFormat="1" ht="15">
      <c r="A11" s="197" t="s">
        <v>2935</v>
      </c>
      <c r="B11" s="60">
        <v>3.13</v>
      </c>
      <c r="C11" s="60">
        <v>10.33</v>
      </c>
      <c r="D11" s="60">
        <v>13.46</v>
      </c>
      <c r="E11" s="60">
        <v>5.86</v>
      </c>
      <c r="F11" s="60">
        <v>0.08</v>
      </c>
      <c r="G11" s="214" t="s">
        <v>36</v>
      </c>
      <c r="H11" s="60">
        <v>15.94</v>
      </c>
      <c r="I11" s="60">
        <v>4.57</v>
      </c>
      <c r="J11" s="60">
        <v>0.46</v>
      </c>
      <c r="K11" s="60">
        <v>344.34</v>
      </c>
      <c r="L11" s="60">
        <v>38.28</v>
      </c>
      <c r="M11" s="60">
        <v>88.84</v>
      </c>
      <c r="N11" s="60">
        <v>14.90</v>
      </c>
      <c r="O11" s="60">
        <v>0</v>
      </c>
      <c r="P11" s="60">
        <v>3.16</v>
      </c>
      <c r="Q11" s="60">
        <v>4.22</v>
      </c>
      <c r="R11" s="194"/>
      <c r="S11" s="194"/>
      <c r="T11" s="194"/>
      <c r="U11" s="194"/>
    </row>
    <row r="12" spans="1:21" s="12" customFormat="1" ht="15">
      <c r="A12" s="197" t="s">
        <v>2936</v>
      </c>
      <c r="B12" s="60">
        <v>3.14</v>
      </c>
      <c r="C12" s="60">
        <v>9.7899999999999991</v>
      </c>
      <c r="D12" s="60">
        <v>12.93</v>
      </c>
      <c r="E12" s="60">
        <v>5.99</v>
      </c>
      <c r="F12" s="60">
        <v>0.21</v>
      </c>
      <c r="G12" s="214" t="s">
        <v>36</v>
      </c>
      <c r="H12" s="60">
        <v>15.94</v>
      </c>
      <c r="I12" s="60">
        <v>4.42</v>
      </c>
      <c r="J12" s="60">
        <v>0.15</v>
      </c>
      <c r="K12" s="60">
        <v>139.16</v>
      </c>
      <c r="L12" s="60">
        <v>38.590000000000003</v>
      </c>
      <c r="M12" s="60">
        <v>88.05</v>
      </c>
      <c r="N12" s="60">
        <v>15.10</v>
      </c>
      <c r="O12" s="60">
        <v>0</v>
      </c>
      <c r="P12" s="60">
        <v>3.14</v>
      </c>
      <c r="Q12" s="60">
        <v>3.54</v>
      </c>
      <c r="R12" s="194"/>
      <c r="S12" s="194"/>
      <c r="T12" s="194"/>
      <c r="U12" s="194"/>
    </row>
    <row r="13" spans="1:21" s="12" customFormat="1" ht="15">
      <c r="A13" s="197" t="s">
        <v>2937</v>
      </c>
      <c r="B13" s="60">
        <v>3.27</v>
      </c>
      <c r="C13" s="60">
        <v>9.66</v>
      </c>
      <c r="D13" s="60">
        <v>12.93</v>
      </c>
      <c r="E13" s="60">
        <v>6.44</v>
      </c>
      <c r="F13" s="60">
        <v>0.09</v>
      </c>
      <c r="G13" s="214" t="s">
        <v>36</v>
      </c>
      <c r="H13" s="60">
        <v>17.05</v>
      </c>
      <c r="I13" s="60">
        <v>4.2300000000000004</v>
      </c>
      <c r="J13" s="60">
        <v>0.32</v>
      </c>
      <c r="K13" s="60">
        <v>149.03</v>
      </c>
      <c r="L13" s="60">
        <v>38.61</v>
      </c>
      <c r="M13" s="60">
        <v>87.37</v>
      </c>
      <c r="N13" s="60">
        <v>15.10</v>
      </c>
      <c r="O13" s="60">
        <v>0</v>
      </c>
      <c r="P13" s="60">
        <v>3.14</v>
      </c>
      <c r="Q13" s="60">
        <v>3.20</v>
      </c>
      <c r="R13" s="194"/>
      <c r="S13" s="194"/>
      <c r="T13" s="194"/>
      <c r="U13" s="194"/>
    </row>
    <row r="14" spans="1:21" s="12" customFormat="1" ht="15">
      <c r="A14" s="197" t="s">
        <v>2938</v>
      </c>
      <c r="B14" s="60">
        <v>3.35</v>
      </c>
      <c r="C14" s="60">
        <v>9.49</v>
      </c>
      <c r="D14" s="60">
        <v>12.83</v>
      </c>
      <c r="E14" s="60">
        <v>6.32</v>
      </c>
      <c r="F14" s="60">
        <v>0.18</v>
      </c>
      <c r="G14" s="214" t="s">
        <v>36</v>
      </c>
      <c r="H14" s="60">
        <v>19.77</v>
      </c>
      <c r="I14" s="60">
        <v>3.83</v>
      </c>
      <c r="J14" s="60">
        <v>0.08</v>
      </c>
      <c r="K14" s="60">
        <v>219.47</v>
      </c>
      <c r="L14" s="60">
        <v>38.630000000000003</v>
      </c>
      <c r="M14" s="60">
        <v>87.48</v>
      </c>
      <c r="N14" s="60">
        <v>15.20</v>
      </c>
      <c r="O14" s="60">
        <v>0</v>
      </c>
      <c r="P14" s="60">
        <v>3.13</v>
      </c>
      <c r="Q14" s="60">
        <v>2.95</v>
      </c>
      <c r="R14" s="194"/>
      <c r="S14" s="194"/>
      <c r="T14" s="194"/>
      <c r="U14" s="194"/>
    </row>
    <row r="15" spans="1:21" s="12" customFormat="1" ht="15">
      <c r="A15" s="197" t="s">
        <v>2939</v>
      </c>
      <c r="B15" s="60">
        <v>3.36</v>
      </c>
      <c r="C15" s="60">
        <v>9.16</v>
      </c>
      <c r="D15" s="60">
        <v>12.52</v>
      </c>
      <c r="E15" s="60">
        <v>6.32</v>
      </c>
      <c r="F15" s="60">
        <v>0.11</v>
      </c>
      <c r="G15" s="214" t="s">
        <v>36</v>
      </c>
      <c r="H15" s="60">
        <v>19.77</v>
      </c>
      <c r="I15" s="60">
        <v>3.86</v>
      </c>
      <c r="J15" s="60">
        <v>0.15</v>
      </c>
      <c r="K15" s="60">
        <v>217.10</v>
      </c>
      <c r="L15" s="60">
        <v>38.72</v>
      </c>
      <c r="M15" s="60">
        <v>89.37</v>
      </c>
      <c r="N15" s="60">
        <v>15.30</v>
      </c>
      <c r="O15" s="60">
        <v>0</v>
      </c>
      <c r="P15" s="60">
        <v>3.13</v>
      </c>
      <c r="Q15" s="60">
        <v>2.77</v>
      </c>
      <c r="R15" s="194"/>
      <c r="S15" s="194"/>
      <c r="T15" s="194"/>
      <c r="U15" s="194"/>
    </row>
    <row r="16" spans="1:21" s="12" customFormat="1" ht="15">
      <c r="A16" s="197" t="s">
        <v>2940</v>
      </c>
      <c r="B16" s="60">
        <v>3.35</v>
      </c>
      <c r="C16" s="60">
        <v>8.68</v>
      </c>
      <c r="D16" s="60">
        <v>12.03</v>
      </c>
      <c r="E16" s="60">
        <v>6.58</v>
      </c>
      <c r="F16" s="60">
        <v>0.59</v>
      </c>
      <c r="G16" s="214" t="s">
        <v>36</v>
      </c>
      <c r="H16" s="60">
        <v>19.77</v>
      </c>
      <c r="I16" s="60">
        <v>3.83</v>
      </c>
      <c r="J16" s="60">
        <v>0.42</v>
      </c>
      <c r="K16" s="60">
        <v>166.46</v>
      </c>
      <c r="L16" s="60">
        <v>38.82</v>
      </c>
      <c r="M16" s="60">
        <v>90.21</v>
      </c>
      <c r="N16" s="60">
        <v>15.20</v>
      </c>
      <c r="O16" s="60">
        <v>0</v>
      </c>
      <c r="P16" s="60">
        <v>3.12</v>
      </c>
      <c r="Q16" s="60">
        <v>2.5499999999999998</v>
      </c>
      <c r="R16" s="194"/>
      <c r="S16" s="194"/>
      <c r="T16" s="194"/>
      <c r="U16" s="194"/>
    </row>
    <row r="17" spans="1:21" s="12" customFormat="1" ht="15">
      <c r="A17" s="197" t="s">
        <v>2941</v>
      </c>
      <c r="B17" s="60">
        <v>3.34</v>
      </c>
      <c r="C17" s="60">
        <v>8.98</v>
      </c>
      <c r="D17" s="60">
        <v>12.33</v>
      </c>
      <c r="E17" s="60">
        <v>6.78</v>
      </c>
      <c r="F17" s="60">
        <v>0.16</v>
      </c>
      <c r="G17" s="214" t="s">
        <v>36</v>
      </c>
      <c r="H17" s="60">
        <v>18.36</v>
      </c>
      <c r="I17" s="60">
        <v>4.2300000000000004</v>
      </c>
      <c r="J17" s="60">
        <v>0.52</v>
      </c>
      <c r="K17" s="60">
        <v>162.93</v>
      </c>
      <c r="L17" s="60">
        <v>39.340000000000003</v>
      </c>
      <c r="M17" s="60">
        <v>92.42</v>
      </c>
      <c r="N17" s="60">
        <v>15</v>
      </c>
      <c r="O17" s="60">
        <v>0</v>
      </c>
      <c r="P17" s="60">
        <v>3.12</v>
      </c>
      <c r="Q17" s="60">
        <v>2.61</v>
      </c>
      <c r="R17" s="194"/>
      <c r="S17" s="194"/>
      <c r="T17" s="194"/>
      <c r="U17" s="194"/>
    </row>
    <row r="18" spans="1:21" s="12" customFormat="1" ht="15">
      <c r="A18" s="197" t="s">
        <v>2942</v>
      </c>
      <c r="B18" s="60">
        <v>3.40</v>
      </c>
      <c r="C18" s="60">
        <v>8.89</v>
      </c>
      <c r="D18" s="60">
        <v>12.28</v>
      </c>
      <c r="E18" s="60">
        <v>6.85</v>
      </c>
      <c r="F18" s="60">
        <v>0.11</v>
      </c>
      <c r="G18" s="214" t="s">
        <v>36</v>
      </c>
      <c r="H18" s="60">
        <v>14.88</v>
      </c>
      <c r="I18" s="60">
        <v>4.24</v>
      </c>
      <c r="J18" s="60">
        <v>0.20</v>
      </c>
      <c r="K18" s="60">
        <v>205.01</v>
      </c>
      <c r="L18" s="60">
        <v>40.28</v>
      </c>
      <c r="M18" s="60">
        <v>94.19</v>
      </c>
      <c r="N18" s="60">
        <v>14.80</v>
      </c>
      <c r="O18" s="60">
        <v>0</v>
      </c>
      <c r="P18" s="60">
        <v>3.11</v>
      </c>
      <c r="Q18" s="60">
        <v>2.61</v>
      </c>
      <c r="R18" s="194"/>
      <c r="S18" s="194"/>
      <c r="T18" s="194"/>
      <c r="U18" s="194"/>
    </row>
    <row r="19" spans="1:21" s="12" customFormat="1" ht="15">
      <c r="A19" s="197" t="s">
        <v>2943</v>
      </c>
      <c r="B19" s="60">
        <v>3.38</v>
      </c>
      <c r="C19" s="60">
        <v>8.57</v>
      </c>
      <c r="D19" s="60">
        <v>11.96</v>
      </c>
      <c r="E19" s="60">
        <v>6.77</v>
      </c>
      <c r="F19" s="60">
        <v>0.16</v>
      </c>
      <c r="G19" s="214" t="s">
        <v>36</v>
      </c>
      <c r="H19" s="60">
        <v>14.88</v>
      </c>
      <c r="I19" s="60">
        <v>4.1100000000000003</v>
      </c>
      <c r="J19" s="60">
        <v>0.74</v>
      </c>
      <c r="K19" s="60">
        <v>159.47</v>
      </c>
      <c r="L19" s="60">
        <v>40.29</v>
      </c>
      <c r="M19" s="60">
        <v>94.28</v>
      </c>
      <c r="N19" s="60">
        <v>14.60</v>
      </c>
      <c r="O19" s="60">
        <v>0</v>
      </c>
      <c r="P19" s="60">
        <v>3.09</v>
      </c>
      <c r="Q19" s="60">
        <v>2.91</v>
      </c>
      <c r="R19" s="194"/>
      <c r="S19" s="194"/>
      <c r="T19" s="194"/>
      <c r="U19" s="194"/>
    </row>
    <row r="20" spans="1:21" s="12" customFormat="1" ht="15">
      <c r="A20" s="197" t="s">
        <v>2944</v>
      </c>
      <c r="B20" s="60">
        <v>3.16</v>
      </c>
      <c r="C20" s="60">
        <v>8.39</v>
      </c>
      <c r="D20" s="60">
        <v>11.55</v>
      </c>
      <c r="E20" s="60">
        <v>6.55</v>
      </c>
      <c r="F20" s="60">
        <v>0.14000000000000001</v>
      </c>
      <c r="G20" s="214" t="s">
        <v>36</v>
      </c>
      <c r="H20" s="60">
        <v>14.88</v>
      </c>
      <c r="I20" s="60">
        <v>4.1500000000000004</v>
      </c>
      <c r="J20" s="60">
        <v>0.23</v>
      </c>
      <c r="K20" s="60">
        <v>210.26</v>
      </c>
      <c r="L20" s="60">
        <v>40.020000000000003</v>
      </c>
      <c r="M20" s="60">
        <v>93.64</v>
      </c>
      <c r="N20" s="60">
        <v>14.60</v>
      </c>
      <c r="O20" s="60">
        <v>0</v>
      </c>
      <c r="P20" s="60">
        <v>3.09</v>
      </c>
      <c r="Q20" s="60">
        <v>3.54</v>
      </c>
      <c r="R20" s="194"/>
      <c r="S20" s="194"/>
      <c r="T20" s="194"/>
      <c r="U20" s="194"/>
    </row>
    <row r="21" spans="1:21" s="12" customFormat="1" ht="15">
      <c r="A21" s="197" t="s">
        <v>2945</v>
      </c>
      <c r="B21" s="60">
        <v>2.91</v>
      </c>
      <c r="C21" s="60">
        <v>8.3699999999999992</v>
      </c>
      <c r="D21" s="60">
        <v>11.27</v>
      </c>
      <c r="E21" s="60">
        <v>6.36</v>
      </c>
      <c r="F21" s="60">
        <v>0.21</v>
      </c>
      <c r="G21" s="214" t="s">
        <v>36</v>
      </c>
      <c r="H21" s="60">
        <v>14.33</v>
      </c>
      <c r="I21" s="60">
        <v>4.25</v>
      </c>
      <c r="J21" s="60">
        <v>0.10</v>
      </c>
      <c r="K21" s="60">
        <v>233.98</v>
      </c>
      <c r="L21" s="60">
        <v>39.40</v>
      </c>
      <c r="M21" s="60">
        <v>93.08</v>
      </c>
      <c r="N21" s="60">
        <v>14.70</v>
      </c>
      <c r="O21" s="60">
        <v>0</v>
      </c>
      <c r="P21" s="60">
        <v>3.08</v>
      </c>
      <c r="Q21" s="60">
        <v>4.01</v>
      </c>
      <c r="R21" s="194"/>
      <c r="S21" s="194"/>
      <c r="T21" s="194"/>
      <c r="U21" s="194"/>
    </row>
    <row r="22" spans="1:21" s="12" customFormat="1" ht="15">
      <c r="A22" s="197" t="s">
        <v>2946</v>
      </c>
      <c r="B22" s="60">
        <v>2.74</v>
      </c>
      <c r="C22" s="60">
        <v>8.3000000000000007</v>
      </c>
      <c r="D22" s="60">
        <v>11.04</v>
      </c>
      <c r="E22" s="60">
        <v>6.62</v>
      </c>
      <c r="F22" s="60">
        <v>0.27</v>
      </c>
      <c r="G22" s="214" t="s">
        <v>36</v>
      </c>
      <c r="H22" s="60">
        <v>12.99</v>
      </c>
      <c r="I22" s="60">
        <v>4.17</v>
      </c>
      <c r="J22" s="60">
        <v>0</v>
      </c>
      <c r="K22" s="60">
        <v>73.30</v>
      </c>
      <c r="L22" s="60">
        <v>39.42</v>
      </c>
      <c r="M22" s="60">
        <v>90.69</v>
      </c>
      <c r="N22" s="60">
        <v>14.90</v>
      </c>
      <c r="O22" s="60">
        <v>0</v>
      </c>
      <c r="P22" s="60">
        <v>3.06</v>
      </c>
      <c r="Q22" s="60">
        <v>4.0599999999999996</v>
      </c>
      <c r="R22" s="194"/>
      <c r="S22" s="194"/>
      <c r="T22" s="194"/>
      <c r="U22" s="194"/>
    </row>
    <row r="23" spans="1:21" s="12" customFormat="1" ht="15">
      <c r="A23" s="197" t="s">
        <v>2947</v>
      </c>
      <c r="B23" s="60">
        <v>2.5499999999999998</v>
      </c>
      <c r="C23" s="60">
        <v>8.2799999999999994</v>
      </c>
      <c r="D23" s="60">
        <v>10.83</v>
      </c>
      <c r="E23" s="60">
        <v>6.69</v>
      </c>
      <c r="F23" s="60">
        <v>0.14000000000000001</v>
      </c>
      <c r="G23" s="214" t="s">
        <v>36</v>
      </c>
      <c r="H23" s="60">
        <v>12.99</v>
      </c>
      <c r="I23" s="60">
        <v>4.07</v>
      </c>
      <c r="J23" s="60">
        <v>0.070000000000000007</v>
      </c>
      <c r="K23" s="60">
        <v>346.47</v>
      </c>
      <c r="L23" s="60">
        <v>39.369999999999997</v>
      </c>
      <c r="M23" s="60">
        <v>86.32</v>
      </c>
      <c r="N23" s="60">
        <v>15.20</v>
      </c>
      <c r="O23" s="60">
        <v>0</v>
      </c>
      <c r="P23" s="60">
        <v>3.05</v>
      </c>
      <c r="Q23" s="60">
        <v>4.01</v>
      </c>
      <c r="R23" s="194"/>
      <c r="S23" s="194"/>
      <c r="T23" s="194"/>
      <c r="U23" s="194"/>
    </row>
    <row r="24" spans="1:21" s="12" customFormat="1" ht="15">
      <c r="A24" s="197" t="s">
        <v>2948</v>
      </c>
      <c r="B24" s="60">
        <v>2.38</v>
      </c>
      <c r="C24" s="60">
        <v>8.34</v>
      </c>
      <c r="D24" s="60">
        <v>10.71</v>
      </c>
      <c r="E24" s="60">
        <v>2.68</v>
      </c>
      <c r="F24" s="60">
        <v>0.15</v>
      </c>
      <c r="G24" s="214" t="s">
        <v>36</v>
      </c>
      <c r="H24" s="60">
        <v>12.99</v>
      </c>
      <c r="I24" s="60">
        <v>3.98</v>
      </c>
      <c r="J24" s="60">
        <v>0.11</v>
      </c>
      <c r="K24" s="60">
        <v>316.93</v>
      </c>
      <c r="L24" s="60">
        <v>38.99</v>
      </c>
      <c r="M24" s="60">
        <v>84.25</v>
      </c>
      <c r="N24" s="60">
        <v>15.30</v>
      </c>
      <c r="O24" s="60">
        <v>0</v>
      </c>
      <c r="P24" s="60">
        <v>3.04</v>
      </c>
      <c r="Q24" s="60">
        <v>3.92</v>
      </c>
      <c r="R24" s="194"/>
      <c r="S24" s="194"/>
      <c r="T24" s="194"/>
      <c r="U24" s="194"/>
    </row>
    <row r="25" spans="1:21" s="12" customFormat="1" ht="15">
      <c r="A25" s="197" t="s">
        <v>2949</v>
      </c>
      <c r="B25" s="60">
        <v>2.29</v>
      </c>
      <c r="C25" s="60">
        <v>8.17</v>
      </c>
      <c r="D25" s="60">
        <v>10.47</v>
      </c>
      <c r="E25" s="60">
        <v>5.63</v>
      </c>
      <c r="F25" s="60">
        <v>0.36</v>
      </c>
      <c r="G25" s="214" t="s">
        <v>36</v>
      </c>
      <c r="H25" s="60">
        <v>13.23</v>
      </c>
      <c r="I25" s="60">
        <v>3.85</v>
      </c>
      <c r="J25" s="60">
        <v>0.38</v>
      </c>
      <c r="K25" s="60">
        <v>332.09</v>
      </c>
      <c r="L25" s="60">
        <v>38.93</v>
      </c>
      <c r="M25" s="60">
        <v>82.93</v>
      </c>
      <c r="N25" s="60">
        <v>15</v>
      </c>
      <c r="O25" s="60">
        <v>0</v>
      </c>
      <c r="P25" s="60">
        <v>3.03</v>
      </c>
      <c r="Q25" s="60">
        <v>3.88</v>
      </c>
      <c r="R25" s="194"/>
      <c r="S25" s="194"/>
      <c r="T25" s="194"/>
      <c r="U25" s="194"/>
    </row>
    <row r="26" spans="1:21" s="12" customFormat="1" ht="15">
      <c r="A26" s="197" t="s">
        <v>2950</v>
      </c>
      <c r="B26" s="60">
        <v>2.40</v>
      </c>
      <c r="C26" s="60">
        <v>8.5299999999999994</v>
      </c>
      <c r="D26" s="60">
        <v>10.92</v>
      </c>
      <c r="E26" s="60">
        <v>6.32</v>
      </c>
      <c r="F26" s="60">
        <v>0.05</v>
      </c>
      <c r="G26" s="214" t="s">
        <v>36</v>
      </c>
      <c r="H26" s="60">
        <v>13.81</v>
      </c>
      <c r="I26" s="60">
        <v>3.77</v>
      </c>
      <c r="J26" s="60">
        <v>0.19</v>
      </c>
      <c r="K26" s="60">
        <v>317.83999999999997</v>
      </c>
      <c r="L26" s="60">
        <v>39.04</v>
      </c>
      <c r="M26" s="60">
        <v>83.24</v>
      </c>
      <c r="N26" s="60">
        <v>15.40</v>
      </c>
      <c r="O26" s="60">
        <v>0</v>
      </c>
      <c r="P26" s="60">
        <v>3.03</v>
      </c>
      <c r="Q26" s="60">
        <v>3.33</v>
      </c>
      <c r="R26" s="194"/>
      <c r="S26" s="194"/>
      <c r="T26" s="194"/>
      <c r="U26" s="194"/>
    </row>
    <row r="27" spans="1:21" s="12" customFormat="1" ht="15">
      <c r="A27" s="197" t="s">
        <v>2951</v>
      </c>
      <c r="B27" s="60">
        <v>2.63</v>
      </c>
      <c r="C27" s="60">
        <v>8.9499999999999993</v>
      </c>
      <c r="D27" s="60">
        <v>11.57</v>
      </c>
      <c r="E27" s="60">
        <v>6.45</v>
      </c>
      <c r="F27" s="60">
        <v>0.02</v>
      </c>
      <c r="G27" s="214" t="s">
        <v>36</v>
      </c>
      <c r="H27" s="60">
        <v>13.81</v>
      </c>
      <c r="I27" s="60">
        <v>3.74</v>
      </c>
      <c r="J27" s="60">
        <v>0.10</v>
      </c>
      <c r="K27" s="60">
        <v>191.19</v>
      </c>
      <c r="L27" s="60">
        <v>38.83</v>
      </c>
      <c r="M27" s="60">
        <v>83.56</v>
      </c>
      <c r="N27" s="60">
        <v>15.30</v>
      </c>
      <c r="O27" s="60">
        <v>0</v>
      </c>
      <c r="P27" s="60">
        <v>3.04</v>
      </c>
      <c r="Q27" s="60">
        <v>3.05</v>
      </c>
      <c r="R27" s="194"/>
      <c r="S27" s="194"/>
      <c r="T27" s="194"/>
      <c r="U27" s="194"/>
    </row>
    <row r="28" spans="1:21" s="12" customFormat="1" ht="15">
      <c r="A28" s="197" t="s">
        <v>2952</v>
      </c>
      <c r="B28" s="60">
        <v>2.87</v>
      </c>
      <c r="C28" s="60">
        <v>8.89</v>
      </c>
      <c r="D28" s="60">
        <v>11.77</v>
      </c>
      <c r="E28" s="60">
        <v>6.23</v>
      </c>
      <c r="F28" s="60">
        <v>0.01</v>
      </c>
      <c r="G28" s="214" t="s">
        <v>36</v>
      </c>
      <c r="H28" s="60">
        <v>13.81</v>
      </c>
      <c r="I28" s="60">
        <v>3.61</v>
      </c>
      <c r="J28" s="60">
        <v>0.36</v>
      </c>
      <c r="K28" s="60">
        <v>185.23</v>
      </c>
      <c r="L28" s="60">
        <v>38.880000000000003</v>
      </c>
      <c r="M28" s="60">
        <v>84.07</v>
      </c>
      <c r="N28" s="60">
        <v>15</v>
      </c>
      <c r="O28" s="60">
        <v>0</v>
      </c>
      <c r="P28" s="60">
        <v>3.04</v>
      </c>
      <c r="Q28" s="60">
        <v>2.72</v>
      </c>
      <c r="R28" s="194"/>
      <c r="S28" s="194"/>
      <c r="T28" s="194"/>
      <c r="U28" s="194"/>
    </row>
    <row r="29" spans="1:21" s="12" customFormat="1" ht="15">
      <c r="A29" s="197" t="s">
        <v>2953</v>
      </c>
      <c r="B29" s="60">
        <v>3.11</v>
      </c>
      <c r="C29" s="60">
        <v>8.7100000000000009</v>
      </c>
      <c r="D29" s="60">
        <v>11.81</v>
      </c>
      <c r="E29" s="60">
        <v>6.39</v>
      </c>
      <c r="F29" s="60">
        <v>0.03</v>
      </c>
      <c r="G29" s="214" t="s">
        <v>36</v>
      </c>
      <c r="H29" s="60">
        <v>13.12</v>
      </c>
      <c r="I29" s="60">
        <v>3.53</v>
      </c>
      <c r="J29" s="60">
        <v>0.28000000000000003</v>
      </c>
      <c r="K29" s="60">
        <v>209.60</v>
      </c>
      <c r="L29" s="60">
        <v>39.06</v>
      </c>
      <c r="M29" s="60">
        <v>84.70</v>
      </c>
      <c r="N29" s="60">
        <v>15.30</v>
      </c>
      <c r="O29" s="60">
        <v>0</v>
      </c>
      <c r="P29" s="60">
        <v>3.04</v>
      </c>
      <c r="Q29" s="60">
        <v>2.58</v>
      </c>
      <c r="R29" s="194"/>
      <c r="S29" s="194"/>
      <c r="T29" s="194"/>
      <c r="U29" s="194"/>
    </row>
    <row r="30" spans="1:21" s="12" customFormat="1" ht="15">
      <c r="A30" s="197" t="s">
        <v>2954</v>
      </c>
      <c r="B30" s="60">
        <v>3.21</v>
      </c>
      <c r="C30" s="60">
        <v>8.9700000000000006</v>
      </c>
      <c r="D30" s="60">
        <v>12.18</v>
      </c>
      <c r="E30" s="60">
        <v>6.72</v>
      </c>
      <c r="F30" s="60">
        <v>0.17</v>
      </c>
      <c r="G30" s="214" t="s">
        <v>36</v>
      </c>
      <c r="H30" s="60">
        <v>11.42</v>
      </c>
      <c r="I30" s="60">
        <v>3.65</v>
      </c>
      <c r="J30" s="60">
        <v>0.08</v>
      </c>
      <c r="K30" s="60">
        <v>245.74</v>
      </c>
      <c r="L30" s="60">
        <v>38.85</v>
      </c>
      <c r="M30" s="60">
        <v>84.63</v>
      </c>
      <c r="N30" s="60">
        <v>15.80</v>
      </c>
      <c r="O30" s="60">
        <v>0</v>
      </c>
      <c r="P30" s="60">
        <v>3.04</v>
      </c>
      <c r="Q30" s="60">
        <v>2.56</v>
      </c>
      <c r="R30" s="194"/>
      <c r="S30" s="194"/>
      <c r="T30" s="194"/>
      <c r="U30" s="194"/>
    </row>
    <row r="31" spans="1:21" s="12" customFormat="1" ht="15">
      <c r="A31" s="197" t="s">
        <v>2955</v>
      </c>
      <c r="B31" s="60">
        <v>3.26</v>
      </c>
      <c r="C31" s="60">
        <v>9.2899999999999991</v>
      </c>
      <c r="D31" s="60">
        <v>12.54</v>
      </c>
      <c r="E31" s="60">
        <v>6.54</v>
      </c>
      <c r="F31" s="60">
        <v>0.09</v>
      </c>
      <c r="G31" s="214" t="s">
        <v>36</v>
      </c>
      <c r="H31" s="60">
        <v>11.42</v>
      </c>
      <c r="I31" s="60">
        <v>3.91</v>
      </c>
      <c r="J31" s="60">
        <v>0.070000000000000007</v>
      </c>
      <c r="K31" s="60">
        <v>23.30</v>
      </c>
      <c r="L31" s="60">
        <v>38.76</v>
      </c>
      <c r="M31" s="60">
        <v>85.03</v>
      </c>
      <c r="N31" s="60">
        <v>19.20</v>
      </c>
      <c r="O31" s="60">
        <v>0</v>
      </c>
      <c r="P31" s="60">
        <v>3.05</v>
      </c>
      <c r="Q31" s="60">
        <v>2.5499999999999998</v>
      </c>
      <c r="R31" s="194"/>
      <c r="S31" s="194"/>
      <c r="T31" s="194"/>
      <c r="U31" s="194"/>
    </row>
    <row r="32" spans="1:21" s="12" customFormat="1" ht="15">
      <c r="A32" s="197" t="s">
        <v>2956</v>
      </c>
      <c r="B32" s="60">
        <v>3.37</v>
      </c>
      <c r="C32" s="60">
        <v>9.6199999999999992</v>
      </c>
      <c r="D32" s="60">
        <v>13</v>
      </c>
      <c r="E32" s="60">
        <v>5.92</v>
      </c>
      <c r="F32" s="60">
        <v>0.15</v>
      </c>
      <c r="G32" s="214" t="s">
        <v>36</v>
      </c>
      <c r="H32" s="60">
        <v>11.42</v>
      </c>
      <c r="I32" s="60">
        <v>3.92</v>
      </c>
      <c r="J32" s="60">
        <v>0.02</v>
      </c>
      <c r="K32" s="60">
        <v>329.64</v>
      </c>
      <c r="L32" s="60">
        <v>38.979999999999997</v>
      </c>
      <c r="M32" s="60">
        <v>86.17</v>
      </c>
      <c r="N32" s="60">
        <v>28.10</v>
      </c>
      <c r="O32" s="60">
        <v>0</v>
      </c>
      <c r="P32" s="60">
        <v>3.05</v>
      </c>
      <c r="Q32" s="60">
        <v>2.60</v>
      </c>
      <c r="R32" s="194"/>
      <c r="S32" s="194"/>
      <c r="T32" s="194"/>
      <c r="U32" s="194"/>
    </row>
    <row r="33" spans="1:21" s="12" customFormat="1" ht="15">
      <c r="A33" s="197" t="s">
        <v>2957</v>
      </c>
      <c r="B33" s="60">
        <v>3.52</v>
      </c>
      <c r="C33" s="60">
        <v>9.68</v>
      </c>
      <c r="D33" s="60">
        <v>13.20</v>
      </c>
      <c r="E33" s="60">
        <v>5.98</v>
      </c>
      <c r="F33" s="60">
        <v>0.32</v>
      </c>
      <c r="G33" s="214" t="s">
        <v>36</v>
      </c>
      <c r="H33" s="60">
        <v>12.20</v>
      </c>
      <c r="I33" s="60">
        <v>3.95</v>
      </c>
      <c r="J33" s="60">
        <v>0.070000000000000007</v>
      </c>
      <c r="K33" s="60">
        <v>350.67</v>
      </c>
      <c r="L33" s="60">
        <v>39.17</v>
      </c>
      <c r="M33" s="60">
        <v>86.62</v>
      </c>
      <c r="N33" s="60">
        <v>38.60</v>
      </c>
      <c r="O33" s="60">
        <v>0</v>
      </c>
      <c r="P33" s="60">
        <v>3.05</v>
      </c>
      <c r="Q33" s="60">
        <v>2.66</v>
      </c>
      <c r="R33" s="194"/>
      <c r="S33" s="194"/>
      <c r="T33" s="194"/>
      <c r="U33" s="194"/>
    </row>
    <row r="34" spans="1:21" s="12" customFormat="1" ht="15">
      <c r="A34" s="197" t="s">
        <v>2958</v>
      </c>
      <c r="B34" s="60">
        <v>4.07</v>
      </c>
      <c r="C34" s="60">
        <v>9.6199999999999992</v>
      </c>
      <c r="D34" s="60">
        <v>13.69</v>
      </c>
      <c r="E34" s="60">
        <v>6.23</v>
      </c>
      <c r="F34" s="60">
        <v>0.17</v>
      </c>
      <c r="G34" s="214" t="s">
        <v>36</v>
      </c>
      <c r="H34" s="60">
        <v>14.12</v>
      </c>
      <c r="I34" s="60">
        <v>3.97</v>
      </c>
      <c r="J34" s="60">
        <v>0.05</v>
      </c>
      <c r="K34" s="60">
        <v>13.41</v>
      </c>
      <c r="L34" s="60">
        <v>39.68</v>
      </c>
      <c r="M34" s="60">
        <v>85.97</v>
      </c>
      <c r="N34" s="60">
        <v>59.10</v>
      </c>
      <c r="O34" s="60">
        <v>0</v>
      </c>
      <c r="P34" s="60">
        <v>3.06</v>
      </c>
      <c r="Q34" s="60">
        <v>3.41</v>
      </c>
      <c r="R34" s="194"/>
      <c r="S34" s="194"/>
      <c r="T34" s="194"/>
      <c r="U34" s="194"/>
    </row>
    <row r="35" spans="1:21" s="12" customFormat="1" ht="15">
      <c r="A35" s="197" t="s">
        <v>2959</v>
      </c>
      <c r="B35" s="60">
        <v>4.57</v>
      </c>
      <c r="C35" s="60">
        <v>9.94</v>
      </c>
      <c r="D35" s="60">
        <v>14.52</v>
      </c>
      <c r="E35" s="60">
        <v>6.35</v>
      </c>
      <c r="F35" s="60">
        <v>0.02</v>
      </c>
      <c r="G35" s="214" t="s">
        <v>36</v>
      </c>
      <c r="H35" s="60">
        <v>14.12</v>
      </c>
      <c r="I35" s="60">
        <v>3.93</v>
      </c>
      <c r="J35" s="60">
        <v>0.06</v>
      </c>
      <c r="K35" s="60">
        <v>320.75</v>
      </c>
      <c r="L35" s="60">
        <v>39.17</v>
      </c>
      <c r="M35" s="60">
        <v>86.52</v>
      </c>
      <c r="N35" s="60">
        <v>71.5</v>
      </c>
      <c r="O35" s="60">
        <v>0</v>
      </c>
      <c r="P35" s="60">
        <v>3.06</v>
      </c>
      <c r="Q35" s="60">
        <v>4.1900000000000004</v>
      </c>
      <c r="R35" s="194"/>
      <c r="S35" s="194"/>
      <c r="T35" s="194"/>
      <c r="U35" s="194"/>
    </row>
    <row r="36" spans="1:21" s="12" customFormat="1" ht="15">
      <c r="A36" s="197" t="s">
        <v>2960</v>
      </c>
      <c r="B36" s="60">
        <v>5.16</v>
      </c>
      <c r="C36" s="60">
        <v>10.27</v>
      </c>
      <c r="D36" s="60">
        <v>15.44</v>
      </c>
      <c r="E36" s="60">
        <v>6.25</v>
      </c>
      <c r="F36" s="60">
        <v>0.01</v>
      </c>
      <c r="G36" s="214" t="s">
        <v>36</v>
      </c>
      <c r="H36" s="60">
        <v>14.12</v>
      </c>
      <c r="I36" s="60">
        <v>4.03</v>
      </c>
      <c r="J36" s="60">
        <v>0.05</v>
      </c>
      <c r="K36" s="60">
        <v>243.10</v>
      </c>
      <c r="L36" s="60">
        <v>39.44</v>
      </c>
      <c r="M36" s="60">
        <v>86.10</v>
      </c>
      <c r="N36" s="60">
        <v>89.30</v>
      </c>
      <c r="O36" s="60">
        <v>0</v>
      </c>
      <c r="P36" s="60">
        <v>3.07</v>
      </c>
      <c r="Q36" s="60">
        <v>4.8099999999999996</v>
      </c>
      <c r="R36" s="194"/>
      <c r="S36" s="194"/>
      <c r="T36" s="194"/>
      <c r="U36" s="194"/>
    </row>
    <row r="37" spans="1:21" s="12" customFormat="1" ht="15">
      <c r="A37" s="197" t="s">
        <v>2961</v>
      </c>
      <c r="B37" s="60">
        <v>5.46</v>
      </c>
      <c r="C37" s="60">
        <v>10.40</v>
      </c>
      <c r="D37" s="60">
        <v>15.86</v>
      </c>
      <c r="E37" s="60">
        <v>6.41</v>
      </c>
      <c r="F37" s="60">
        <v>0.02</v>
      </c>
      <c r="G37" s="214" t="s">
        <v>36</v>
      </c>
      <c r="H37" s="60">
        <v>13.10</v>
      </c>
      <c r="I37" s="60">
        <v>4.0599999999999996</v>
      </c>
      <c r="J37" s="60">
        <v>0.10</v>
      </c>
      <c r="K37" s="60">
        <v>215.53</v>
      </c>
      <c r="L37" s="60">
        <v>39.54</v>
      </c>
      <c r="M37" s="60">
        <v>86.54</v>
      </c>
      <c r="N37" s="60">
        <v>114.40</v>
      </c>
      <c r="O37" s="60">
        <v>0</v>
      </c>
      <c r="P37" s="60">
        <v>3.09</v>
      </c>
      <c r="Q37" s="60">
        <v>5.07</v>
      </c>
      <c r="R37" s="194"/>
      <c r="S37" s="194"/>
      <c r="T37" s="194"/>
      <c r="U37" s="194"/>
    </row>
    <row r="38" spans="1:21" s="12" customFormat="1" ht="15">
      <c r="A38" s="197" t="s">
        <v>2962</v>
      </c>
      <c r="B38" s="60">
        <v>5.81</v>
      </c>
      <c r="C38" s="60">
        <v>10.56</v>
      </c>
      <c r="D38" s="60">
        <v>16.37</v>
      </c>
      <c r="E38" s="60">
        <v>5.52</v>
      </c>
      <c r="F38" s="60">
        <v>0.08</v>
      </c>
      <c r="G38" s="214" t="s">
        <v>36</v>
      </c>
      <c r="H38" s="60">
        <v>10.58</v>
      </c>
      <c r="I38" s="60">
        <v>4.12</v>
      </c>
      <c r="J38" s="60">
        <v>0.05</v>
      </c>
      <c r="K38" s="60">
        <v>246.61</v>
      </c>
      <c r="L38" s="60">
        <v>38.06</v>
      </c>
      <c r="M38" s="60">
        <v>84.45</v>
      </c>
      <c r="N38" s="60">
        <v>166.20</v>
      </c>
      <c r="O38" s="60">
        <v>0</v>
      </c>
      <c r="P38" s="60">
        <v>3.11</v>
      </c>
      <c r="Q38" s="60">
        <v>5.13</v>
      </c>
      <c r="R38" s="194"/>
      <c r="S38" s="194"/>
      <c r="T38" s="194"/>
      <c r="U38" s="194"/>
    </row>
    <row r="39" spans="1:21" s="12" customFormat="1" ht="15">
      <c r="A39" s="197" t="s">
        <v>2963</v>
      </c>
      <c r="B39" s="60">
        <v>6.05</v>
      </c>
      <c r="C39" s="60">
        <v>10.78</v>
      </c>
      <c r="D39" s="60">
        <v>16.82</v>
      </c>
      <c r="E39" s="60">
        <v>5.83</v>
      </c>
      <c r="F39" s="60">
        <v>0.05</v>
      </c>
      <c r="G39" s="214" t="s">
        <v>36</v>
      </c>
      <c r="H39" s="60">
        <v>10.58</v>
      </c>
      <c r="I39" s="60">
        <v>4.20</v>
      </c>
      <c r="J39" s="60">
        <v>0.17</v>
      </c>
      <c r="K39" s="60">
        <v>322.16000000000003</v>
      </c>
      <c r="L39" s="60">
        <v>36.950000000000003</v>
      </c>
      <c r="M39" s="60">
        <v>83.48</v>
      </c>
      <c r="N39" s="60">
        <v>213.60</v>
      </c>
      <c r="O39" s="60">
        <v>0</v>
      </c>
      <c r="P39" s="60">
        <v>3.11</v>
      </c>
      <c r="Q39" s="60">
        <v>5.21</v>
      </c>
      <c r="R39" s="194"/>
      <c r="S39" s="194"/>
      <c r="T39" s="194"/>
      <c r="U39" s="194"/>
    </row>
    <row r="40" spans="1:21" s="12" customFormat="1" ht="15">
      <c r="A40" s="197" t="s">
        <v>2964</v>
      </c>
      <c r="B40" s="60">
        <v>6.54</v>
      </c>
      <c r="C40" s="60">
        <v>11.19</v>
      </c>
      <c r="D40" s="60">
        <v>17.73</v>
      </c>
      <c r="E40" s="60">
        <v>3.41</v>
      </c>
      <c r="F40" s="60">
        <v>0.02</v>
      </c>
      <c r="G40" s="214" t="s">
        <v>36</v>
      </c>
      <c r="H40" s="60">
        <v>10.58</v>
      </c>
      <c r="I40" s="60">
        <v>4.38</v>
      </c>
      <c r="J40" s="60">
        <v>0.32</v>
      </c>
      <c r="K40" s="60">
        <v>324.57</v>
      </c>
      <c r="L40" s="60">
        <v>39.26</v>
      </c>
      <c r="M40" s="60">
        <v>77.06</v>
      </c>
      <c r="N40" s="60">
        <v>273.80</v>
      </c>
      <c r="O40" s="60">
        <v>0</v>
      </c>
      <c r="P40" s="60">
        <v>3.14</v>
      </c>
      <c r="Q40" s="60">
        <v>5.27</v>
      </c>
      <c r="R40" s="194"/>
      <c r="S40" s="194"/>
      <c r="T40" s="194"/>
      <c r="U40" s="194"/>
    </row>
    <row r="41" spans="1:21" s="12" customFormat="1" ht="15">
      <c r="A41" s="197" t="s">
        <v>2965</v>
      </c>
      <c r="B41" s="60">
        <v>7.22</v>
      </c>
      <c r="C41" s="60">
        <v>11.34</v>
      </c>
      <c r="D41" s="60">
        <v>18.559999999999999</v>
      </c>
      <c r="E41" s="60">
        <v>6.18</v>
      </c>
      <c r="F41" s="60">
        <v>0.08</v>
      </c>
      <c r="G41" s="214" t="s">
        <v>36</v>
      </c>
      <c r="H41" s="60">
        <v>13.18</v>
      </c>
      <c r="I41" s="60">
        <v>4.49</v>
      </c>
      <c r="J41" s="60">
        <v>0.22</v>
      </c>
      <c r="K41" s="60">
        <v>302.77</v>
      </c>
      <c r="L41" s="60">
        <v>40.31</v>
      </c>
      <c r="M41" s="60">
        <v>74.06</v>
      </c>
      <c r="N41" s="60">
        <v>312.20</v>
      </c>
      <c r="O41" s="60">
        <v>0</v>
      </c>
      <c r="P41" s="60">
        <v>3.15</v>
      </c>
      <c r="Q41" s="60">
        <v>4.99</v>
      </c>
      <c r="R41" s="194"/>
      <c r="S41" s="194"/>
      <c r="T41" s="194"/>
      <c r="U41" s="194"/>
    </row>
    <row r="42" spans="1:21" s="12" customFormat="1" ht="15">
      <c r="A42" s="197" t="s">
        <v>2966</v>
      </c>
      <c r="B42" s="60">
        <v>7.59</v>
      </c>
      <c r="C42" s="60">
        <v>11.73</v>
      </c>
      <c r="D42" s="60">
        <v>19.32</v>
      </c>
      <c r="E42" s="60">
        <v>6.51</v>
      </c>
      <c r="F42" s="60">
        <v>0.17</v>
      </c>
      <c r="G42" s="214" t="s">
        <v>36</v>
      </c>
      <c r="H42" s="60">
        <v>19.579999999999998</v>
      </c>
      <c r="I42" s="60">
        <v>4.67</v>
      </c>
      <c r="J42" s="60">
        <v>0.10</v>
      </c>
      <c r="K42" s="60">
        <v>233.05</v>
      </c>
      <c r="L42" s="60">
        <v>38.520000000000003</v>
      </c>
      <c r="M42" s="60">
        <v>79.38</v>
      </c>
      <c r="N42" s="60">
        <v>271.39999999999998</v>
      </c>
      <c r="O42" s="60">
        <v>0</v>
      </c>
      <c r="P42" s="60">
        <v>3.15</v>
      </c>
      <c r="Q42" s="60">
        <v>4.74</v>
      </c>
      <c r="R42" s="194"/>
      <c r="S42" s="194"/>
      <c r="T42" s="194"/>
      <c r="U42" s="194"/>
    </row>
    <row r="43" spans="1:21" s="12" customFormat="1" ht="15">
      <c r="A43" s="197" t="s">
        <v>2967</v>
      </c>
      <c r="B43" s="60">
        <v>7.46</v>
      </c>
      <c r="C43" s="60">
        <v>12.11</v>
      </c>
      <c r="D43" s="60">
        <v>19.57</v>
      </c>
      <c r="E43" s="60">
        <v>6.43</v>
      </c>
      <c r="F43" s="60">
        <v>0.04</v>
      </c>
      <c r="G43" s="214" t="s">
        <v>36</v>
      </c>
      <c r="H43" s="60">
        <v>19.579999999999998</v>
      </c>
      <c r="I43" s="60">
        <v>4.83</v>
      </c>
      <c r="J43" s="60">
        <v>0.39</v>
      </c>
      <c r="K43" s="60">
        <v>183.48</v>
      </c>
      <c r="L43" s="60">
        <v>38.49</v>
      </c>
      <c r="M43" s="60">
        <v>79.680000000000007</v>
      </c>
      <c r="N43" s="60">
        <v>339.10</v>
      </c>
      <c r="O43" s="60">
        <v>0</v>
      </c>
      <c r="P43" s="60">
        <v>3.18</v>
      </c>
      <c r="Q43" s="60">
        <v>4.57</v>
      </c>
      <c r="R43" s="194"/>
      <c r="S43" s="194"/>
      <c r="T43" s="194"/>
      <c r="U43" s="194"/>
    </row>
    <row r="44" spans="1:21" s="12" customFormat="1" ht="15">
      <c r="A44" s="197" t="s">
        <v>2968</v>
      </c>
      <c r="B44" s="60">
        <v>7.18</v>
      </c>
      <c r="C44" s="60">
        <v>11.75</v>
      </c>
      <c r="D44" s="60">
        <v>18.920000000000002</v>
      </c>
      <c r="E44" s="60">
        <v>6.62</v>
      </c>
      <c r="F44" s="60">
        <v>0.12</v>
      </c>
      <c r="G44" s="214" t="s">
        <v>36</v>
      </c>
      <c r="H44" s="60">
        <v>19.579999999999998</v>
      </c>
      <c r="I44" s="60">
        <v>5.05</v>
      </c>
      <c r="J44" s="60">
        <v>0.48</v>
      </c>
      <c r="K44" s="60">
        <v>177.16</v>
      </c>
      <c r="L44" s="60">
        <v>38.08</v>
      </c>
      <c r="M44" s="60">
        <v>81.23</v>
      </c>
      <c r="N44" s="60">
        <v>308.30</v>
      </c>
      <c r="O44" s="60">
        <v>0</v>
      </c>
      <c r="P44" s="60">
        <v>3.19</v>
      </c>
      <c r="Q44" s="60">
        <v>4.2300000000000004</v>
      </c>
      <c r="R44" s="194"/>
      <c r="S44" s="194"/>
      <c r="T44" s="194"/>
      <c r="U44" s="194"/>
    </row>
    <row r="45" spans="1:21" s="12" customFormat="1" ht="15">
      <c r="A45" s="197" t="s">
        <v>2969</v>
      </c>
      <c r="B45" s="60">
        <v>6.71</v>
      </c>
      <c r="C45" s="60">
        <v>11.99</v>
      </c>
      <c r="D45" s="60">
        <v>18.71</v>
      </c>
      <c r="E45" s="60">
        <v>6.64</v>
      </c>
      <c r="F45" s="60">
        <v>0.31</v>
      </c>
      <c r="G45" s="214" t="s">
        <v>36</v>
      </c>
      <c r="H45" s="60">
        <v>20.66</v>
      </c>
      <c r="I45" s="60">
        <v>5.32</v>
      </c>
      <c r="J45" s="60">
        <v>0.71</v>
      </c>
      <c r="K45" s="60">
        <v>164.43</v>
      </c>
      <c r="L45" s="60">
        <v>37.82</v>
      </c>
      <c r="M45" s="60">
        <v>82</v>
      </c>
      <c r="N45" s="60">
        <v>347.60</v>
      </c>
      <c r="O45" s="60">
        <v>0</v>
      </c>
      <c r="P45" s="60">
        <v>3.23</v>
      </c>
      <c r="Q45" s="60">
        <v>4.05</v>
      </c>
      <c r="R45" s="194"/>
      <c r="S45" s="194"/>
      <c r="T45" s="194"/>
      <c r="U45" s="194"/>
    </row>
    <row r="46" spans="1:21" s="12" customFormat="1" ht="15">
      <c r="A46" s="197" t="s">
        <v>2970</v>
      </c>
      <c r="B46" s="60">
        <v>6.19</v>
      </c>
      <c r="C46" s="60">
        <v>12.42</v>
      </c>
      <c r="D46" s="60">
        <v>18.61</v>
      </c>
      <c r="E46" s="60">
        <v>6.52</v>
      </c>
      <c r="F46" s="60">
        <v>0.28000000000000003</v>
      </c>
      <c r="G46" s="214" t="s">
        <v>36</v>
      </c>
      <c r="H46" s="60">
        <v>23.33</v>
      </c>
      <c r="I46" s="60">
        <v>5.53</v>
      </c>
      <c r="J46" s="60">
        <v>0.92</v>
      </c>
      <c r="K46" s="60">
        <v>156.41</v>
      </c>
      <c r="L46" s="60">
        <v>37.93</v>
      </c>
      <c r="M46" s="60">
        <v>81.20</v>
      </c>
      <c r="N46" s="60">
        <v>366.60</v>
      </c>
      <c r="O46" s="60">
        <v>0</v>
      </c>
      <c r="P46" s="60">
        <v>3.27</v>
      </c>
      <c r="Q46" s="60">
        <v>4.03</v>
      </c>
      <c r="R46" s="194"/>
      <c r="S46" s="194"/>
      <c r="T46" s="194"/>
      <c r="U46" s="194"/>
    </row>
    <row r="47" spans="1:21" s="12" customFormat="1" ht="15">
      <c r="A47" s="197" t="s">
        <v>2971</v>
      </c>
      <c r="B47" s="60">
        <v>5.89</v>
      </c>
      <c r="C47" s="60">
        <v>12.52</v>
      </c>
      <c r="D47" s="60">
        <v>18.41</v>
      </c>
      <c r="E47" s="60">
        <v>6.38</v>
      </c>
      <c r="F47" s="60">
        <v>0.23</v>
      </c>
      <c r="G47" s="214" t="s">
        <v>36</v>
      </c>
      <c r="H47" s="60">
        <v>23.33</v>
      </c>
      <c r="I47" s="60">
        <v>5.99</v>
      </c>
      <c r="J47" s="60">
        <v>1.02</v>
      </c>
      <c r="K47" s="60">
        <v>153.55000000000001</v>
      </c>
      <c r="L47" s="60">
        <v>38.22</v>
      </c>
      <c r="M47" s="60">
        <v>80.19</v>
      </c>
      <c r="N47" s="60">
        <v>370.30</v>
      </c>
      <c r="O47" s="60">
        <v>0</v>
      </c>
      <c r="P47" s="60">
        <v>3.29</v>
      </c>
      <c r="Q47" s="60">
        <v>4</v>
      </c>
      <c r="R47" s="194"/>
      <c r="S47" s="194"/>
      <c r="T47" s="194"/>
      <c r="U47" s="194"/>
    </row>
    <row r="48" spans="1:21" s="12" customFormat="1" ht="15">
      <c r="A48" s="197" t="s">
        <v>2972</v>
      </c>
      <c r="B48" s="60">
        <v>5.67</v>
      </c>
      <c r="C48" s="60">
        <v>12.23</v>
      </c>
      <c r="D48" s="60">
        <v>17.899999999999999</v>
      </c>
      <c r="E48" s="60">
        <v>6.32</v>
      </c>
      <c r="F48" s="60">
        <v>0.59</v>
      </c>
      <c r="G48" s="214" t="s">
        <v>36</v>
      </c>
      <c r="H48" s="60">
        <v>23.33</v>
      </c>
      <c r="I48" s="60">
        <v>6.47</v>
      </c>
      <c r="J48" s="60">
        <v>0.23</v>
      </c>
      <c r="K48" s="60">
        <v>198.62</v>
      </c>
      <c r="L48" s="60">
        <v>38.47</v>
      </c>
      <c r="M48" s="60">
        <v>79.37</v>
      </c>
      <c r="N48" s="60">
        <v>461.40</v>
      </c>
      <c r="O48" s="60">
        <v>0</v>
      </c>
      <c r="P48" s="60">
        <v>3.29</v>
      </c>
      <c r="Q48" s="60">
        <v>4.2300000000000004</v>
      </c>
      <c r="R48" s="194"/>
      <c r="S48" s="194"/>
      <c r="T48" s="194"/>
      <c r="U48" s="194"/>
    </row>
    <row r="49" spans="1:21" s="12" customFormat="1" ht="15">
      <c r="A49" s="197" t="s">
        <v>2973</v>
      </c>
      <c r="B49" s="60">
        <v>5.23</v>
      </c>
      <c r="C49" s="60">
        <v>12.20</v>
      </c>
      <c r="D49" s="60">
        <v>17.420000000000002</v>
      </c>
      <c r="E49" s="60">
        <v>6.56</v>
      </c>
      <c r="F49" s="60">
        <v>0.85</v>
      </c>
      <c r="G49" s="214" t="s">
        <v>36</v>
      </c>
      <c r="H49" s="60">
        <v>25.41</v>
      </c>
      <c r="I49" s="60">
        <v>6.82</v>
      </c>
      <c r="J49" s="60">
        <v>0.73</v>
      </c>
      <c r="K49" s="60">
        <v>166.97</v>
      </c>
      <c r="L49" s="60">
        <v>39.94</v>
      </c>
      <c r="M49" s="60">
        <v>74.28</v>
      </c>
      <c r="N49" s="60">
        <v>904.70</v>
      </c>
      <c r="O49" s="60">
        <v>0</v>
      </c>
      <c r="P49" s="60">
        <v>3.32</v>
      </c>
      <c r="Q49" s="60">
        <v>4.93</v>
      </c>
      <c r="R49" s="194"/>
      <c r="S49" s="194"/>
      <c r="T49" s="194"/>
      <c r="U49" s="194"/>
    </row>
    <row r="50" spans="1:21" s="12" customFormat="1" ht="15">
      <c r="A50" s="197" t="s">
        <v>2974</v>
      </c>
      <c r="B50" s="60">
        <v>4.6399999999999997</v>
      </c>
      <c r="C50" s="60">
        <v>12.74</v>
      </c>
      <c r="D50" s="60">
        <v>17.37</v>
      </c>
      <c r="E50" s="60">
        <v>6.34</v>
      </c>
      <c r="F50" s="60">
        <v>0.17</v>
      </c>
      <c r="G50" s="214" t="s">
        <v>36</v>
      </c>
      <c r="H50" s="60">
        <v>30.52</v>
      </c>
      <c r="I50" s="60">
        <v>6.94</v>
      </c>
      <c r="J50" s="60">
        <v>0.37</v>
      </c>
      <c r="K50" s="60">
        <v>176.60</v>
      </c>
      <c r="L50" s="60">
        <v>40.24</v>
      </c>
      <c r="M50" s="60">
        <v>72.86</v>
      </c>
      <c r="N50" s="60">
        <v>856.60</v>
      </c>
      <c r="O50" s="60">
        <v>0</v>
      </c>
      <c r="P50" s="60">
        <v>3.33</v>
      </c>
      <c r="Q50" s="60">
        <v>5.17</v>
      </c>
      <c r="R50" s="194"/>
      <c r="S50" s="194"/>
      <c r="T50" s="194"/>
      <c r="U50" s="194"/>
    </row>
    <row r="51" spans="1:21" s="12" customFormat="1" ht="15">
      <c r="A51" s="197" t="s">
        <v>2975</v>
      </c>
      <c r="B51" s="60">
        <v>3.99</v>
      </c>
      <c r="C51" s="60">
        <v>12.92</v>
      </c>
      <c r="D51" s="60">
        <v>16.91</v>
      </c>
      <c r="E51" s="60">
        <v>6.63</v>
      </c>
      <c r="F51" s="60">
        <v>0.62</v>
      </c>
      <c r="G51" s="214" t="s">
        <v>36</v>
      </c>
      <c r="H51" s="60">
        <v>30.52</v>
      </c>
      <c r="I51" s="60">
        <v>6.98</v>
      </c>
      <c r="J51" s="60">
        <v>0.28000000000000003</v>
      </c>
      <c r="K51" s="60">
        <v>176.62</v>
      </c>
      <c r="L51" s="60">
        <v>41.63</v>
      </c>
      <c r="M51" s="60">
        <v>69.02</v>
      </c>
      <c r="N51" s="60">
        <v>813.40</v>
      </c>
      <c r="O51" s="60">
        <v>0</v>
      </c>
      <c r="P51" s="60">
        <v>3.34</v>
      </c>
      <c r="Q51" s="60">
        <v>5.13</v>
      </c>
      <c r="R51" s="194"/>
      <c r="S51" s="194"/>
      <c r="T51" s="194"/>
      <c r="U51" s="194"/>
    </row>
    <row r="52" spans="1:21" s="12" customFormat="1" ht="15">
      <c r="A52" s="197" t="s">
        <v>2976</v>
      </c>
      <c r="B52" s="60">
        <v>3.43</v>
      </c>
      <c r="C52" s="60">
        <v>13.51</v>
      </c>
      <c r="D52" s="60">
        <v>16.940000000000001</v>
      </c>
      <c r="E52" s="60">
        <v>6.16</v>
      </c>
      <c r="F52" s="60">
        <v>0.77</v>
      </c>
      <c r="G52" s="214" t="s">
        <v>36</v>
      </c>
      <c r="H52" s="60">
        <v>30.52</v>
      </c>
      <c r="I52" s="60">
        <v>6.91</v>
      </c>
      <c r="J52" s="60">
        <v>0.15</v>
      </c>
      <c r="K52" s="60">
        <v>164.55</v>
      </c>
      <c r="L52" s="60">
        <v>42.13</v>
      </c>
      <c r="M52" s="60">
        <v>66.55</v>
      </c>
      <c r="N52" s="60">
        <v>794</v>
      </c>
      <c r="O52" s="60">
        <v>0</v>
      </c>
      <c r="P52" s="60">
        <v>3.36</v>
      </c>
      <c r="Q52" s="60">
        <v>5.19</v>
      </c>
      <c r="R52" s="194"/>
      <c r="S52" s="194"/>
      <c r="T52" s="194"/>
      <c r="U52" s="194"/>
    </row>
    <row r="53" spans="1:21" s="12" customFormat="1" ht="15">
      <c r="A53" s="197" t="s">
        <v>2977</v>
      </c>
      <c r="B53" s="60">
        <v>2.81</v>
      </c>
      <c r="C53" s="60">
        <v>14.14</v>
      </c>
      <c r="D53" s="60">
        <v>16.95</v>
      </c>
      <c r="E53" s="60">
        <v>6.13</v>
      </c>
      <c r="F53" s="60">
        <v>0.93</v>
      </c>
      <c r="G53" s="214" t="s">
        <v>36</v>
      </c>
      <c r="H53" s="60">
        <v>31.21</v>
      </c>
      <c r="I53" s="60">
        <v>6.80</v>
      </c>
      <c r="J53" s="60">
        <v>0.06</v>
      </c>
      <c r="K53" s="60">
        <v>339.68</v>
      </c>
      <c r="L53" s="60">
        <v>42.90</v>
      </c>
      <c r="M53" s="60">
        <v>63.45</v>
      </c>
      <c r="N53" s="60">
        <v>963</v>
      </c>
      <c r="O53" s="60">
        <v>0</v>
      </c>
      <c r="P53" s="60">
        <v>3.38</v>
      </c>
      <c r="Q53" s="60">
        <v>5.14</v>
      </c>
      <c r="R53" s="194"/>
      <c r="S53" s="194"/>
      <c r="T53" s="194"/>
      <c r="U53" s="194"/>
    </row>
    <row r="54" spans="1:21" s="12" customFormat="1" ht="15">
      <c r="A54" s="197" t="s">
        <v>2978</v>
      </c>
      <c r="B54" s="60">
        <v>2.2799999999999998</v>
      </c>
      <c r="C54" s="60">
        <v>15.13</v>
      </c>
      <c r="D54" s="60">
        <v>17.399999999999999</v>
      </c>
      <c r="E54" s="60">
        <v>5.57</v>
      </c>
      <c r="F54" s="60">
        <v>1.1299999999999999</v>
      </c>
      <c r="G54" s="214" t="s">
        <v>36</v>
      </c>
      <c r="H54" s="60">
        <v>32.92</v>
      </c>
      <c r="I54" s="60">
        <v>6.77</v>
      </c>
      <c r="J54" s="60">
        <v>0.11</v>
      </c>
      <c r="K54" s="60">
        <v>313.04000000000002</v>
      </c>
      <c r="L54" s="60">
        <v>43.19</v>
      </c>
      <c r="M54" s="60">
        <v>62.53</v>
      </c>
      <c r="N54" s="60">
        <v>853.60</v>
      </c>
      <c r="O54" s="60">
        <v>0</v>
      </c>
      <c r="P54" s="60">
        <v>3.41</v>
      </c>
      <c r="Q54" s="60">
        <v>5.01</v>
      </c>
      <c r="R54" s="194"/>
      <c r="S54" s="194"/>
      <c r="T54" s="194"/>
      <c r="U54" s="194"/>
    </row>
    <row r="55" spans="1:21" s="12" customFormat="1" ht="15">
      <c r="A55" s="197" t="s">
        <v>2979</v>
      </c>
      <c r="B55" s="60">
        <v>1.77</v>
      </c>
      <c r="C55" s="60">
        <v>15.52</v>
      </c>
      <c r="D55" s="60">
        <v>17.29</v>
      </c>
      <c r="E55" s="60">
        <v>5.72</v>
      </c>
      <c r="F55" s="60">
        <v>1.20</v>
      </c>
      <c r="G55" s="214" t="s">
        <v>36</v>
      </c>
      <c r="H55" s="60">
        <v>32.92</v>
      </c>
      <c r="I55" s="60">
        <v>6.81</v>
      </c>
      <c r="J55" s="60">
        <v>0.08</v>
      </c>
      <c r="K55" s="60">
        <v>161.21</v>
      </c>
      <c r="L55" s="60">
        <v>43.12</v>
      </c>
      <c r="M55" s="60">
        <v>61.57</v>
      </c>
      <c r="N55" s="60">
        <v>956.20</v>
      </c>
      <c r="O55" s="60">
        <v>0</v>
      </c>
      <c r="P55" s="60">
        <v>3.42</v>
      </c>
      <c r="Q55" s="60">
        <v>4.47</v>
      </c>
      <c r="R55" s="194"/>
      <c r="S55" s="194"/>
      <c r="T55" s="194"/>
      <c r="U55" s="194"/>
    </row>
    <row r="56" spans="1:21" s="12" customFormat="1" ht="15">
      <c r="A56" s="197" t="s">
        <v>2980</v>
      </c>
      <c r="B56" s="60">
        <v>1.27</v>
      </c>
      <c r="C56" s="60">
        <v>15.35</v>
      </c>
      <c r="D56" s="60">
        <v>16.62</v>
      </c>
      <c r="E56" s="60">
        <v>2.98</v>
      </c>
      <c r="F56" s="60">
        <v>1.33</v>
      </c>
      <c r="G56" s="214" t="s">
        <v>36</v>
      </c>
      <c r="H56" s="60">
        <v>32.92</v>
      </c>
      <c r="I56" s="60">
        <v>6.79</v>
      </c>
      <c r="J56" s="60">
        <v>0.28999999999999998</v>
      </c>
      <c r="K56" s="60">
        <v>188</v>
      </c>
      <c r="L56" s="60">
        <v>42.60</v>
      </c>
      <c r="M56" s="60">
        <v>62.82</v>
      </c>
      <c r="N56" s="60">
        <v>882.80</v>
      </c>
      <c r="O56" s="60">
        <v>0</v>
      </c>
      <c r="P56" s="60">
        <v>3.40</v>
      </c>
      <c r="Q56" s="60">
        <v>3.71</v>
      </c>
      <c r="R56" s="194"/>
      <c r="S56" s="194"/>
      <c r="T56" s="194"/>
      <c r="U56" s="194"/>
    </row>
    <row r="57" spans="1:21" s="12" customFormat="1" ht="15">
      <c r="A57" s="197" t="s">
        <v>2981</v>
      </c>
      <c r="B57" s="60">
        <v>0.89</v>
      </c>
      <c r="C57" s="60">
        <v>15.36</v>
      </c>
      <c r="D57" s="60">
        <v>16.25</v>
      </c>
      <c r="E57" s="60">
        <v>5.44</v>
      </c>
      <c r="F57" s="60">
        <v>1.36</v>
      </c>
      <c r="G57" s="214" t="s">
        <v>36</v>
      </c>
      <c r="H57" s="60">
        <v>31.08</v>
      </c>
      <c r="I57" s="60">
        <v>6.73</v>
      </c>
      <c r="J57" s="60">
        <v>0.06</v>
      </c>
      <c r="K57" s="60">
        <v>320.45</v>
      </c>
      <c r="L57" s="60">
        <v>43.77</v>
      </c>
      <c r="M57" s="60">
        <v>61.08</v>
      </c>
      <c r="N57" s="60">
        <v>1013.90</v>
      </c>
      <c r="O57" s="60">
        <v>0</v>
      </c>
      <c r="P57" s="60">
        <v>3.40</v>
      </c>
      <c r="Q57" s="60">
        <v>3.25</v>
      </c>
      <c r="R57" s="194"/>
      <c r="S57" s="194"/>
      <c r="T57" s="194"/>
      <c r="U57" s="194"/>
    </row>
    <row r="58" spans="1:21" s="12" customFormat="1" ht="15">
      <c r="A58" s="197" t="s">
        <v>2982</v>
      </c>
      <c r="B58" s="60">
        <v>0.89</v>
      </c>
      <c r="C58" s="60">
        <v>15.20</v>
      </c>
      <c r="D58" s="60">
        <v>16.09</v>
      </c>
      <c r="E58" s="60">
        <v>5.52</v>
      </c>
      <c r="F58" s="60">
        <v>1.26</v>
      </c>
      <c r="G58" s="214" t="s">
        <v>36</v>
      </c>
      <c r="H58" s="60">
        <v>26.54</v>
      </c>
      <c r="I58" s="60">
        <v>6.69</v>
      </c>
      <c r="J58" s="60">
        <v>0.03</v>
      </c>
      <c r="K58" s="60">
        <v>27.05</v>
      </c>
      <c r="L58" s="60">
        <v>44.36</v>
      </c>
      <c r="M58" s="60">
        <v>58.92</v>
      </c>
      <c r="N58" s="60">
        <v>976.30</v>
      </c>
      <c r="O58" s="60">
        <v>0</v>
      </c>
      <c r="P58" s="60">
        <v>3.41</v>
      </c>
      <c r="Q58" s="60">
        <v>2.97</v>
      </c>
      <c r="R58" s="194"/>
      <c r="S58" s="194"/>
      <c r="T58" s="194"/>
      <c r="U58" s="194"/>
    </row>
    <row r="59" spans="1:21" s="12" customFormat="1" ht="15">
      <c r="A59" s="197" t="s">
        <v>2983</v>
      </c>
      <c r="B59" s="60">
        <v>0.88</v>
      </c>
      <c r="C59" s="60">
        <v>15.20</v>
      </c>
      <c r="D59" s="60">
        <v>16.07</v>
      </c>
      <c r="E59" s="60">
        <v>5.29</v>
      </c>
      <c r="F59" s="60">
        <v>1.48</v>
      </c>
      <c r="G59" s="214" t="s">
        <v>36</v>
      </c>
      <c r="H59" s="60">
        <v>26.54</v>
      </c>
      <c r="I59" s="60">
        <v>6.61</v>
      </c>
      <c r="J59" s="60">
        <v>0.16</v>
      </c>
      <c r="K59" s="60">
        <v>284.38</v>
      </c>
      <c r="L59" s="60">
        <v>44.13</v>
      </c>
      <c r="M59" s="60">
        <v>56.83</v>
      </c>
      <c r="N59" s="60">
        <v>942.90</v>
      </c>
      <c r="O59" s="60">
        <v>0</v>
      </c>
      <c r="P59" s="60">
        <v>3.39</v>
      </c>
      <c r="Q59" s="60">
        <v>2.81</v>
      </c>
      <c r="R59" s="194"/>
      <c r="S59" s="194"/>
      <c r="T59" s="194"/>
      <c r="U59" s="194"/>
    </row>
    <row r="60" spans="1:21" s="12" customFormat="1" ht="15">
      <c r="A60" s="197" t="s">
        <v>2984</v>
      </c>
      <c r="B60" s="60">
        <v>0.88</v>
      </c>
      <c r="C60" s="60">
        <v>14.90</v>
      </c>
      <c r="D60" s="60">
        <v>15.78</v>
      </c>
      <c r="E60" s="60">
        <v>5.32</v>
      </c>
      <c r="F60" s="60">
        <v>1.39</v>
      </c>
      <c r="G60" s="214" t="s">
        <v>36</v>
      </c>
      <c r="H60" s="60">
        <v>26.54</v>
      </c>
      <c r="I60" s="60">
        <v>6.61</v>
      </c>
      <c r="J60" s="60">
        <v>0.17</v>
      </c>
      <c r="K60" s="60">
        <v>193.78</v>
      </c>
      <c r="L60" s="60">
        <v>43.70</v>
      </c>
      <c r="M60" s="60">
        <v>58.33</v>
      </c>
      <c r="N60" s="60">
        <v>927.80</v>
      </c>
      <c r="O60" s="60">
        <v>0</v>
      </c>
      <c r="P60" s="60">
        <v>3.38</v>
      </c>
      <c r="Q60" s="60">
        <v>2.65</v>
      </c>
      <c r="R60" s="194"/>
      <c r="S60" s="194"/>
      <c r="T60" s="194"/>
      <c r="U60" s="194"/>
    </row>
    <row r="61" spans="1:21" s="12" customFormat="1" ht="15">
      <c r="A61" s="197" t="s">
        <v>2985</v>
      </c>
      <c r="B61" s="60">
        <v>0.81</v>
      </c>
      <c r="C61" s="60">
        <v>14.75</v>
      </c>
      <c r="D61" s="60">
        <v>15.55</v>
      </c>
      <c r="E61" s="60">
        <v>5.38</v>
      </c>
      <c r="F61" s="60">
        <v>1.37</v>
      </c>
      <c r="G61" s="214" t="s">
        <v>36</v>
      </c>
      <c r="H61" s="60">
        <v>27.85</v>
      </c>
      <c r="I61" s="60">
        <v>6.46</v>
      </c>
      <c r="J61" s="60">
        <v>0.28999999999999998</v>
      </c>
      <c r="K61" s="60">
        <v>298.56</v>
      </c>
      <c r="L61" s="60">
        <v>44.12</v>
      </c>
      <c r="M61" s="60">
        <v>58.53</v>
      </c>
      <c r="N61" s="60">
        <v>492.90</v>
      </c>
      <c r="O61" s="60">
        <v>0</v>
      </c>
      <c r="P61" s="60">
        <v>3.36</v>
      </c>
      <c r="Q61" s="60">
        <v>2.5299999999999998</v>
      </c>
      <c r="R61" s="194"/>
      <c r="S61" s="194"/>
      <c r="T61" s="194"/>
      <c r="U61" s="194"/>
    </row>
    <row r="62" spans="1:21" s="12" customFormat="1" ht="15">
      <c r="A62" s="197" t="s">
        <v>2986</v>
      </c>
      <c r="B62" s="60">
        <v>1.18</v>
      </c>
      <c r="C62" s="60">
        <v>14.55</v>
      </c>
      <c r="D62" s="60">
        <v>15.73</v>
      </c>
      <c r="E62" s="60">
        <v>4.95</v>
      </c>
      <c r="F62" s="60">
        <v>1.05</v>
      </c>
      <c r="G62" s="214" t="s">
        <v>36</v>
      </c>
      <c r="H62" s="60">
        <v>31.05</v>
      </c>
      <c r="I62" s="60">
        <v>6.28</v>
      </c>
      <c r="J62" s="60">
        <v>0.13</v>
      </c>
      <c r="K62" s="60">
        <v>275.02</v>
      </c>
      <c r="L62" s="60">
        <v>44.16</v>
      </c>
      <c r="M62" s="60">
        <v>56.65</v>
      </c>
      <c r="N62" s="60">
        <v>397.10</v>
      </c>
      <c r="O62" s="60">
        <v>0</v>
      </c>
      <c r="P62" s="60">
        <v>3.36</v>
      </c>
      <c r="Q62" s="60">
        <v>2.56</v>
      </c>
      <c r="R62" s="194"/>
      <c r="S62" s="194"/>
      <c r="T62" s="194"/>
      <c r="U62" s="194"/>
    </row>
    <row r="63" spans="1:21" s="12" customFormat="1" ht="15">
      <c r="A63" s="197" t="s">
        <v>2987</v>
      </c>
      <c r="B63" s="60">
        <v>1.48</v>
      </c>
      <c r="C63" s="60">
        <v>14.46</v>
      </c>
      <c r="D63" s="60">
        <v>15.94</v>
      </c>
      <c r="E63" s="60">
        <v>4.87</v>
      </c>
      <c r="F63" s="60">
        <v>1.04</v>
      </c>
      <c r="G63" s="214" t="s">
        <v>36</v>
      </c>
      <c r="H63" s="60">
        <v>31.05</v>
      </c>
      <c r="I63" s="60">
        <v>6.21</v>
      </c>
      <c r="J63" s="60">
        <v>0.24</v>
      </c>
      <c r="K63" s="60">
        <v>304.52</v>
      </c>
      <c r="L63" s="60">
        <v>43.57</v>
      </c>
      <c r="M63" s="60">
        <v>58.13</v>
      </c>
      <c r="N63" s="60">
        <v>366.40</v>
      </c>
      <c r="O63" s="60">
        <v>0</v>
      </c>
      <c r="P63" s="60">
        <v>3.34</v>
      </c>
      <c r="Q63" s="60">
        <v>2.98</v>
      </c>
      <c r="R63" s="194"/>
      <c r="S63" s="194"/>
      <c r="T63" s="194"/>
      <c r="U63" s="194"/>
    </row>
    <row r="64" spans="1:21" s="12" customFormat="1" ht="15">
      <c r="A64" s="197" t="s">
        <v>2988</v>
      </c>
      <c r="B64" s="60">
        <v>1.91</v>
      </c>
      <c r="C64" s="60">
        <v>14.39</v>
      </c>
      <c r="D64" s="60">
        <v>16.29</v>
      </c>
      <c r="E64" s="60">
        <v>5.03</v>
      </c>
      <c r="F64" s="60">
        <v>1.25</v>
      </c>
      <c r="G64" s="214" t="s">
        <v>36</v>
      </c>
      <c r="H64" s="60">
        <v>31.05</v>
      </c>
      <c r="I64" s="60">
        <v>6.15</v>
      </c>
      <c r="J64" s="60">
        <v>0.21</v>
      </c>
      <c r="K64" s="60">
        <v>331.27</v>
      </c>
      <c r="L64" s="60">
        <v>43.24</v>
      </c>
      <c r="M64" s="60">
        <v>59.09</v>
      </c>
      <c r="N64" s="60">
        <v>258.80</v>
      </c>
      <c r="O64" s="60">
        <v>0</v>
      </c>
      <c r="P64" s="60">
        <v>3.34</v>
      </c>
      <c r="Q64" s="60">
        <v>3.84</v>
      </c>
      <c r="R64" s="194"/>
      <c r="S64" s="194"/>
      <c r="T64" s="194"/>
      <c r="U64" s="194"/>
    </row>
    <row r="65" spans="1:21" s="12" customFormat="1" ht="15">
      <c r="A65" s="197" t="s">
        <v>2989</v>
      </c>
      <c r="B65" s="60">
        <v>2.65</v>
      </c>
      <c r="C65" s="60">
        <v>15.54</v>
      </c>
      <c r="D65" s="60">
        <v>18.190000000000001</v>
      </c>
      <c r="E65" s="60">
        <v>4.79</v>
      </c>
      <c r="F65" s="60">
        <v>0.96</v>
      </c>
      <c r="G65" s="214" t="s">
        <v>36</v>
      </c>
      <c r="H65" s="60">
        <v>30.02</v>
      </c>
      <c r="I65" s="60">
        <v>5.98</v>
      </c>
      <c r="J65" s="60">
        <v>0.21</v>
      </c>
      <c r="K65" s="60">
        <v>337.96</v>
      </c>
      <c r="L65" s="60">
        <v>42.52</v>
      </c>
      <c r="M65" s="60">
        <v>60.24</v>
      </c>
      <c r="N65" s="60">
        <v>236.20</v>
      </c>
      <c r="O65" s="60">
        <v>0</v>
      </c>
      <c r="P65" s="60">
        <v>3.34</v>
      </c>
      <c r="Q65" s="60">
        <v>4.6100000000000003</v>
      </c>
      <c r="R65" s="194"/>
      <c r="S65" s="194"/>
      <c r="T65" s="194"/>
      <c r="U65" s="194"/>
    </row>
    <row r="66" spans="1:21" s="12" customFormat="1" ht="15">
      <c r="A66" s="197" t="s">
        <v>2990</v>
      </c>
      <c r="B66" s="60">
        <v>2.91</v>
      </c>
      <c r="C66" s="60">
        <v>16.010000000000002</v>
      </c>
      <c r="D66" s="60">
        <v>18.920000000000002</v>
      </c>
      <c r="E66" s="60">
        <v>4.76</v>
      </c>
      <c r="F66" s="60">
        <v>1.18</v>
      </c>
      <c r="G66" s="214" t="s">
        <v>36</v>
      </c>
      <c r="H66" s="60">
        <v>27.47</v>
      </c>
      <c r="I66" s="60">
        <v>5.80</v>
      </c>
      <c r="J66" s="60">
        <v>0.48</v>
      </c>
      <c r="K66" s="60">
        <v>310.93</v>
      </c>
      <c r="L66" s="60">
        <v>42.25</v>
      </c>
      <c r="M66" s="60">
        <v>59.41</v>
      </c>
      <c r="N66" s="60">
        <v>228.90</v>
      </c>
      <c r="O66" s="60">
        <v>0</v>
      </c>
      <c r="P66" s="60">
        <v>3.34</v>
      </c>
      <c r="Q66" s="60">
        <v>4.96</v>
      </c>
      <c r="R66" s="194"/>
      <c r="S66" s="194"/>
      <c r="T66" s="194"/>
      <c r="U66" s="194"/>
    </row>
    <row r="67" spans="1:21" s="12" customFormat="1" ht="15">
      <c r="A67" s="197" t="s">
        <v>2991</v>
      </c>
      <c r="B67" s="60">
        <v>3.21</v>
      </c>
      <c r="C67" s="60">
        <v>16.100000000000001</v>
      </c>
      <c r="D67" s="60">
        <v>19.32</v>
      </c>
      <c r="E67" s="60">
        <v>4.91</v>
      </c>
      <c r="F67" s="60">
        <v>0.92</v>
      </c>
      <c r="G67" s="214" t="s">
        <v>36</v>
      </c>
      <c r="H67" s="60">
        <v>27.47</v>
      </c>
      <c r="I67" s="60">
        <v>5.77</v>
      </c>
      <c r="J67" s="60">
        <v>0.53</v>
      </c>
      <c r="K67" s="60">
        <v>309.83</v>
      </c>
      <c r="L67" s="60">
        <v>42.74</v>
      </c>
      <c r="M67" s="60">
        <v>57.64</v>
      </c>
      <c r="N67" s="60">
        <v>252.60</v>
      </c>
      <c r="O67" s="60">
        <v>0</v>
      </c>
      <c r="P67" s="60">
        <v>3.34</v>
      </c>
      <c r="Q67" s="60">
        <v>5.0199999999999996</v>
      </c>
      <c r="R67" s="194"/>
      <c r="S67" s="194"/>
      <c r="T67" s="194"/>
      <c r="U67" s="194"/>
    </row>
    <row r="68" spans="1:21" s="12" customFormat="1" ht="15">
      <c r="A68" s="197" t="s">
        <v>2992</v>
      </c>
      <c r="B68" s="60">
        <v>3.87</v>
      </c>
      <c r="C68" s="60">
        <v>16.28</v>
      </c>
      <c r="D68" s="60">
        <v>20.14</v>
      </c>
      <c r="E68" s="60">
        <v>4.58</v>
      </c>
      <c r="F68" s="60">
        <v>0.93</v>
      </c>
      <c r="G68" s="214" t="s">
        <v>36</v>
      </c>
      <c r="H68" s="60">
        <v>27.47</v>
      </c>
      <c r="I68" s="60">
        <v>5.72</v>
      </c>
      <c r="J68" s="60">
        <v>0.41</v>
      </c>
      <c r="K68" s="60">
        <v>317.68</v>
      </c>
      <c r="L68" s="60">
        <v>42.71</v>
      </c>
      <c r="M68" s="60">
        <v>60.37</v>
      </c>
      <c r="N68" s="60">
        <v>209.80</v>
      </c>
      <c r="O68" s="60">
        <v>0</v>
      </c>
      <c r="P68" s="60">
        <v>3.35</v>
      </c>
      <c r="Q68" s="60">
        <v>5.21</v>
      </c>
      <c r="R68" s="194"/>
      <c r="S68" s="194"/>
      <c r="T68" s="194"/>
      <c r="U68" s="194"/>
    </row>
    <row r="69" spans="1:21" s="12" customFormat="1" ht="15">
      <c r="A69" s="197" t="s">
        <v>2993</v>
      </c>
      <c r="B69" s="60">
        <v>4.0199999999999996</v>
      </c>
      <c r="C69" s="60">
        <v>16.670000000000002</v>
      </c>
      <c r="D69" s="60">
        <v>20.70</v>
      </c>
      <c r="E69" s="60">
        <v>5.22</v>
      </c>
      <c r="F69" s="60">
        <v>0.28999999999999998</v>
      </c>
      <c r="G69" s="214" t="s">
        <v>36</v>
      </c>
      <c r="H69" s="60">
        <v>26.04</v>
      </c>
      <c r="I69" s="60">
        <v>5.61</v>
      </c>
      <c r="J69" s="60">
        <v>2.2200000000000002</v>
      </c>
      <c r="K69" s="60">
        <v>317.25</v>
      </c>
      <c r="L69" s="60">
        <v>40.78</v>
      </c>
      <c r="M69" s="60">
        <v>65.430000000000007</v>
      </c>
      <c r="N69" s="60">
        <v>264.70</v>
      </c>
      <c r="O69" s="60">
        <v>0</v>
      </c>
      <c r="P69" s="60">
        <v>3.33</v>
      </c>
      <c r="Q69" s="60">
        <v>5.30</v>
      </c>
      <c r="R69" s="194"/>
      <c r="S69" s="194"/>
      <c r="T69" s="194"/>
      <c r="U69" s="194"/>
    </row>
    <row r="70" spans="1:21" s="12" customFormat="1" ht="15">
      <c r="A70" s="197" t="s">
        <v>2994</v>
      </c>
      <c r="B70" s="60">
        <v>3.85</v>
      </c>
      <c r="C70" s="60">
        <v>16.690000000000001</v>
      </c>
      <c r="D70" s="60">
        <v>20.54</v>
      </c>
      <c r="E70" s="60">
        <v>4.7699999999999996</v>
      </c>
      <c r="F70" s="60">
        <v>0.85</v>
      </c>
      <c r="G70" s="214" t="s">
        <v>36</v>
      </c>
      <c r="H70" s="60">
        <v>22.52</v>
      </c>
      <c r="I70" s="60">
        <v>5.53</v>
      </c>
      <c r="J70" s="60">
        <v>2.71</v>
      </c>
      <c r="K70" s="60">
        <v>321.20</v>
      </c>
      <c r="L70" s="60">
        <v>40.630000000000003</v>
      </c>
      <c r="M70" s="60">
        <v>65.75</v>
      </c>
      <c r="N70" s="60">
        <v>582.90</v>
      </c>
      <c r="O70" s="60">
        <v>0</v>
      </c>
      <c r="P70" s="60">
        <v>3.28</v>
      </c>
      <c r="Q70" s="60">
        <v>4.6100000000000003</v>
      </c>
      <c r="R70" s="194"/>
      <c r="S70" s="194"/>
      <c r="T70" s="194"/>
      <c r="U70" s="194"/>
    </row>
    <row r="71" spans="1:21" s="12" customFormat="1" ht="15">
      <c r="A71" s="197" t="s">
        <v>2995</v>
      </c>
      <c r="B71" s="60">
        <v>3.68</v>
      </c>
      <c r="C71" s="60">
        <v>16.93</v>
      </c>
      <c r="D71" s="60">
        <v>20.60</v>
      </c>
      <c r="E71" s="60">
        <v>5.17</v>
      </c>
      <c r="F71" s="60">
        <v>0.51</v>
      </c>
      <c r="G71" s="214" t="s">
        <v>36</v>
      </c>
      <c r="H71" s="60">
        <v>22.52</v>
      </c>
      <c r="I71" s="60">
        <v>5.33</v>
      </c>
      <c r="J71" s="60">
        <v>2.08</v>
      </c>
      <c r="K71" s="60">
        <v>324.37</v>
      </c>
      <c r="L71" s="60">
        <v>40.43</v>
      </c>
      <c r="M71" s="60">
        <v>67.45</v>
      </c>
      <c r="N71" s="60">
        <v>450.70</v>
      </c>
      <c r="O71" s="60">
        <v>0</v>
      </c>
      <c r="P71" s="60">
        <v>3.25</v>
      </c>
      <c r="Q71" s="60">
        <v>4.1100000000000003</v>
      </c>
      <c r="R71" s="194"/>
      <c r="S71" s="194"/>
      <c r="T71" s="194"/>
      <c r="U71" s="194"/>
    </row>
    <row r="72" spans="1:21" s="12" customFormat="1" ht="15">
      <c r="A72" s="197" t="s">
        <v>2996</v>
      </c>
      <c r="B72" s="60">
        <v>3.94</v>
      </c>
      <c r="C72" s="60">
        <v>17.260000000000002</v>
      </c>
      <c r="D72" s="60">
        <v>21.20</v>
      </c>
      <c r="E72" s="60">
        <v>3.08</v>
      </c>
      <c r="F72" s="60">
        <v>0.30</v>
      </c>
      <c r="G72" s="214" t="s">
        <v>36</v>
      </c>
      <c r="H72" s="60">
        <v>22.52</v>
      </c>
      <c r="I72" s="60">
        <v>4.8600000000000003</v>
      </c>
      <c r="J72" s="60">
        <v>2.14</v>
      </c>
      <c r="K72" s="60">
        <v>327.94</v>
      </c>
      <c r="L72" s="60">
        <v>39.94</v>
      </c>
      <c r="M72" s="60">
        <v>69.540000000000006</v>
      </c>
      <c r="N72" s="60">
        <v>397.5</v>
      </c>
      <c r="O72" s="60">
        <v>0</v>
      </c>
      <c r="P72" s="60">
        <v>3.23</v>
      </c>
      <c r="Q72" s="60">
        <v>3.90</v>
      </c>
      <c r="R72" s="194"/>
      <c r="S72" s="194"/>
      <c r="T72" s="194"/>
      <c r="U72" s="194"/>
    </row>
    <row r="73" spans="1:21" s="12" customFormat="1" ht="15">
      <c r="A73" s="197" t="s">
        <v>2997</v>
      </c>
      <c r="B73" s="60">
        <v>4.18</v>
      </c>
      <c r="C73" s="60">
        <v>17.22</v>
      </c>
      <c r="D73" s="60">
        <v>21.40</v>
      </c>
      <c r="E73" s="60">
        <v>4.70</v>
      </c>
      <c r="F73" s="60">
        <v>0.31</v>
      </c>
      <c r="G73" s="214" t="s">
        <v>36</v>
      </c>
      <c r="H73" s="60">
        <v>21.05</v>
      </c>
      <c r="I73" s="60">
        <v>4.5999999999999996</v>
      </c>
      <c r="J73" s="60">
        <v>1.98</v>
      </c>
      <c r="K73" s="60">
        <v>324.5</v>
      </c>
      <c r="L73" s="60">
        <v>39.479999999999997</v>
      </c>
      <c r="M73" s="60">
        <v>71.900000000000006</v>
      </c>
      <c r="N73" s="60">
        <v>274.10000000000002</v>
      </c>
      <c r="O73" s="60">
        <v>0</v>
      </c>
      <c r="P73" s="60">
        <v>3.24</v>
      </c>
      <c r="Q73" s="60">
        <v>3.75</v>
      </c>
      <c r="R73" s="194"/>
      <c r="S73" s="194"/>
      <c r="T73" s="194"/>
      <c r="U73" s="194"/>
    </row>
    <row r="74" spans="1:21" s="12" customFormat="1" ht="15">
      <c r="A74" s="197" t="s">
        <v>2998</v>
      </c>
      <c r="B74" s="60">
        <v>4.4400000000000004</v>
      </c>
      <c r="C74" s="60">
        <v>17.05</v>
      </c>
      <c r="D74" s="60">
        <v>21.5</v>
      </c>
      <c r="E74" s="60">
        <v>5.0199999999999996</v>
      </c>
      <c r="F74" s="60">
        <v>0.36</v>
      </c>
      <c r="G74" s="214" t="s">
        <v>36</v>
      </c>
      <c r="H74" s="60">
        <v>17.43</v>
      </c>
      <c r="I74" s="60">
        <v>4.49</v>
      </c>
      <c r="J74" s="60">
        <v>1.88</v>
      </c>
      <c r="K74" s="60">
        <v>338.70</v>
      </c>
      <c r="L74" s="60">
        <v>39.08</v>
      </c>
      <c r="M74" s="60">
        <v>73.42</v>
      </c>
      <c r="N74" s="60">
        <v>244.80</v>
      </c>
      <c r="O74" s="60">
        <v>0</v>
      </c>
      <c r="P74" s="60">
        <v>3.25</v>
      </c>
      <c r="Q74" s="60">
        <v>3.61</v>
      </c>
      <c r="R74" s="194"/>
      <c r="S74" s="194"/>
      <c r="T74" s="194"/>
      <c r="U74" s="194"/>
    </row>
    <row r="75" spans="1:21" s="12" customFormat="1" ht="15">
      <c r="A75" s="197" t="s">
        <v>2999</v>
      </c>
      <c r="B75" s="60">
        <v>5.04</v>
      </c>
      <c r="C75" s="60">
        <v>16.899999999999999</v>
      </c>
      <c r="D75" s="60">
        <v>21.94</v>
      </c>
      <c r="E75" s="60">
        <v>5</v>
      </c>
      <c r="F75" s="60">
        <v>0.41</v>
      </c>
      <c r="G75" s="214" t="s">
        <v>36</v>
      </c>
      <c r="H75" s="60">
        <v>17.43</v>
      </c>
      <c r="I75" s="60">
        <v>4.4000000000000004</v>
      </c>
      <c r="J75" s="60">
        <v>2.0299999999999998</v>
      </c>
      <c r="K75" s="60">
        <v>322.44</v>
      </c>
      <c r="L75" s="60">
        <v>38.68</v>
      </c>
      <c r="M75" s="60">
        <v>73.81</v>
      </c>
      <c r="N75" s="60">
        <v>152.60</v>
      </c>
      <c r="O75" s="60">
        <v>0</v>
      </c>
      <c r="P75" s="60">
        <v>3.24</v>
      </c>
      <c r="Q75" s="60">
        <v>3.64</v>
      </c>
      <c r="R75" s="194"/>
      <c r="S75" s="194"/>
      <c r="T75" s="194"/>
      <c r="U75" s="194"/>
    </row>
    <row r="76" spans="1:21" s="12" customFormat="1" ht="15">
      <c r="A76" s="197" t="s">
        <v>3000</v>
      </c>
      <c r="B76" s="60">
        <v>5.38</v>
      </c>
      <c r="C76" s="60">
        <v>17</v>
      </c>
      <c r="D76" s="60">
        <v>22.38</v>
      </c>
      <c r="E76" s="60">
        <v>5.28</v>
      </c>
      <c r="F76" s="60">
        <v>0.35</v>
      </c>
      <c r="G76" s="214" t="s">
        <v>36</v>
      </c>
      <c r="H76" s="60">
        <v>17.43</v>
      </c>
      <c r="I76" s="60">
        <v>4.38</v>
      </c>
      <c r="J76" s="60">
        <v>1.56</v>
      </c>
      <c r="K76" s="60">
        <v>332.18</v>
      </c>
      <c r="L76" s="60">
        <v>38.57</v>
      </c>
      <c r="M76" s="60">
        <v>72.72</v>
      </c>
      <c r="N76" s="60">
        <v>114.5</v>
      </c>
      <c r="O76" s="60">
        <v>0</v>
      </c>
      <c r="P76" s="60">
        <v>3.25</v>
      </c>
      <c r="Q76" s="60">
        <v>3.70</v>
      </c>
      <c r="R76" s="194"/>
      <c r="S76" s="194"/>
      <c r="T76" s="194"/>
      <c r="U76" s="194"/>
    </row>
    <row r="77" spans="1:21" s="12" customFormat="1" ht="15">
      <c r="A77" s="197" t="s">
        <v>3001</v>
      </c>
      <c r="B77" s="60">
        <v>6.17</v>
      </c>
      <c r="C77" s="60">
        <v>16.66</v>
      </c>
      <c r="D77" s="60">
        <v>22.83</v>
      </c>
      <c r="E77" s="60">
        <v>4.99</v>
      </c>
      <c r="F77" s="60">
        <v>0.20</v>
      </c>
      <c r="G77" s="214" t="s">
        <v>36</v>
      </c>
      <c r="H77" s="60">
        <v>17.96</v>
      </c>
      <c r="I77" s="60">
        <v>4.3600000000000003</v>
      </c>
      <c r="J77" s="60">
        <v>1.39</v>
      </c>
      <c r="K77" s="60">
        <v>338.56</v>
      </c>
      <c r="L77" s="60">
        <v>38.69</v>
      </c>
      <c r="M77" s="60">
        <v>70.22</v>
      </c>
      <c r="N77" s="60">
        <v>99.30</v>
      </c>
      <c r="O77" s="60">
        <v>0</v>
      </c>
      <c r="P77" s="60">
        <v>3.26</v>
      </c>
      <c r="Q77" s="60">
        <v>3.97</v>
      </c>
      <c r="R77" s="194"/>
      <c r="S77" s="194"/>
      <c r="T77" s="194"/>
      <c r="U77" s="194"/>
    </row>
    <row r="78" spans="1:21" s="12" customFormat="1" ht="15">
      <c r="A78" s="197" t="s">
        <v>3002</v>
      </c>
      <c r="B78" s="60">
        <v>7.14</v>
      </c>
      <c r="C78" s="60">
        <v>16</v>
      </c>
      <c r="D78" s="60">
        <v>23.14</v>
      </c>
      <c r="E78" s="60">
        <v>5.05</v>
      </c>
      <c r="F78" s="60">
        <v>0.42</v>
      </c>
      <c r="G78" s="214" t="s">
        <v>36</v>
      </c>
      <c r="H78" s="60">
        <v>19.27</v>
      </c>
      <c r="I78" s="60">
        <v>4.4400000000000004</v>
      </c>
      <c r="J78" s="60">
        <v>0.96</v>
      </c>
      <c r="K78" s="60">
        <v>323.31</v>
      </c>
      <c r="L78" s="60">
        <v>38.799999999999997</v>
      </c>
      <c r="M78" s="60">
        <v>68.760000000000005</v>
      </c>
      <c r="N78" s="60">
        <v>83.20</v>
      </c>
      <c r="O78" s="60">
        <v>0</v>
      </c>
      <c r="P78" s="60">
        <v>3.29</v>
      </c>
      <c r="Q78" s="60">
        <v>4.59</v>
      </c>
      <c r="R78" s="194"/>
      <c r="S78" s="194"/>
      <c r="T78" s="194"/>
      <c r="U78" s="194"/>
    </row>
    <row r="79" spans="1:21" s="12" customFormat="1" ht="15">
      <c r="A79" s="197" t="s">
        <v>3003</v>
      </c>
      <c r="B79" s="60">
        <v>7.68</v>
      </c>
      <c r="C79" s="60">
        <v>16.13</v>
      </c>
      <c r="D79" s="60">
        <v>23.81</v>
      </c>
      <c r="E79" s="60">
        <v>5.68</v>
      </c>
      <c r="F79" s="60">
        <v>0.15</v>
      </c>
      <c r="G79" s="214" t="s">
        <v>36</v>
      </c>
      <c r="H79" s="60">
        <v>19.27</v>
      </c>
      <c r="I79" s="60">
        <v>4.5</v>
      </c>
      <c r="J79" s="60">
        <v>0.77</v>
      </c>
      <c r="K79" s="60">
        <v>310.83</v>
      </c>
      <c r="L79" s="60">
        <v>38.770000000000003</v>
      </c>
      <c r="M79" s="60">
        <v>68.09</v>
      </c>
      <c r="N79" s="60">
        <v>78.099999999999994</v>
      </c>
      <c r="O79" s="60">
        <v>0</v>
      </c>
      <c r="P79" s="60">
        <v>3.30</v>
      </c>
      <c r="Q79" s="60">
        <v>5.26</v>
      </c>
      <c r="R79" s="194"/>
      <c r="S79" s="194"/>
      <c r="T79" s="194"/>
      <c r="U79" s="194"/>
    </row>
    <row r="80" spans="1:21" s="12" customFormat="1" ht="15">
      <c r="A80" s="197" t="s">
        <v>3004</v>
      </c>
      <c r="B80" s="60">
        <v>8.16</v>
      </c>
      <c r="C80" s="60">
        <v>15.89</v>
      </c>
      <c r="D80" s="60">
        <v>24.05</v>
      </c>
      <c r="E80" s="60">
        <v>5.29</v>
      </c>
      <c r="F80" s="60">
        <v>0.31</v>
      </c>
      <c r="G80" s="214" t="s">
        <v>36</v>
      </c>
      <c r="H80" s="60">
        <v>19.27</v>
      </c>
      <c r="I80" s="60">
        <v>4.4800000000000004</v>
      </c>
      <c r="J80" s="60">
        <v>0.60</v>
      </c>
      <c r="K80" s="60">
        <v>315.5</v>
      </c>
      <c r="L80" s="60">
        <v>38.72</v>
      </c>
      <c r="M80" s="60">
        <v>67.91</v>
      </c>
      <c r="N80" s="60">
        <v>63.80</v>
      </c>
      <c r="O80" s="60">
        <v>0</v>
      </c>
      <c r="P80" s="60">
        <v>3.31</v>
      </c>
      <c r="Q80" s="60">
        <v>5.67</v>
      </c>
      <c r="R80" s="194"/>
      <c r="S80" s="194"/>
      <c r="T80" s="194"/>
      <c r="U80" s="194"/>
    </row>
    <row r="81" spans="1:21" s="12" customFormat="1" ht="15">
      <c r="A81" s="197" t="s">
        <v>3005</v>
      </c>
      <c r="B81" s="60">
        <v>8.49</v>
      </c>
      <c r="C81" s="60">
        <v>16.03</v>
      </c>
      <c r="D81" s="60">
        <v>24.52</v>
      </c>
      <c r="E81" s="60">
        <v>4.96</v>
      </c>
      <c r="F81" s="60">
        <v>0.25</v>
      </c>
      <c r="G81" s="214" t="s">
        <v>36</v>
      </c>
      <c r="H81" s="60">
        <v>18.71</v>
      </c>
      <c r="I81" s="60">
        <v>4.53</v>
      </c>
      <c r="J81" s="60">
        <v>1</v>
      </c>
      <c r="K81" s="60">
        <v>312.82</v>
      </c>
      <c r="L81" s="60">
        <v>38.270000000000003</v>
      </c>
      <c r="M81" s="60">
        <v>69.930000000000007</v>
      </c>
      <c r="N81" s="60">
        <v>44.10</v>
      </c>
      <c r="O81" s="60">
        <v>0</v>
      </c>
      <c r="P81" s="60">
        <v>3.34</v>
      </c>
      <c r="Q81" s="60">
        <v>5.86</v>
      </c>
      <c r="R81" s="194"/>
      <c r="S81" s="194"/>
      <c r="T81" s="194"/>
      <c r="U81" s="194"/>
    </row>
    <row r="82" spans="1:21" s="12" customFormat="1" ht="15">
      <c r="A82" s="197" t="s">
        <v>3006</v>
      </c>
      <c r="B82" s="60">
        <v>8.84</v>
      </c>
      <c r="C82" s="60">
        <v>16.260000000000002</v>
      </c>
      <c r="D82" s="60">
        <v>25.10</v>
      </c>
      <c r="E82" s="60">
        <v>5.04</v>
      </c>
      <c r="F82" s="60">
        <v>0.11</v>
      </c>
      <c r="G82" s="214" t="s">
        <v>36</v>
      </c>
      <c r="H82" s="60">
        <v>17.329999999999998</v>
      </c>
      <c r="I82" s="60">
        <v>4.59</v>
      </c>
      <c r="J82" s="60">
        <v>0.56000000000000005</v>
      </c>
      <c r="K82" s="60">
        <v>318.22000000000003</v>
      </c>
      <c r="L82" s="60">
        <v>37.79</v>
      </c>
      <c r="M82" s="60">
        <v>72.069999999999993</v>
      </c>
      <c r="N82" s="60">
        <v>28.5</v>
      </c>
      <c r="O82" s="60">
        <v>0</v>
      </c>
      <c r="P82" s="60">
        <v>3.35</v>
      </c>
      <c r="Q82" s="60">
        <v>5.94</v>
      </c>
      <c r="R82" s="194"/>
      <c r="S82" s="194"/>
      <c r="T82" s="194"/>
      <c r="U82" s="194"/>
    </row>
    <row r="83" spans="1:21" s="12" customFormat="1" ht="15">
      <c r="A83" s="197" t="s">
        <v>3007</v>
      </c>
      <c r="B83" s="60">
        <v>9.27</v>
      </c>
      <c r="C83" s="60">
        <v>16.36</v>
      </c>
      <c r="D83" s="60">
        <v>25.63</v>
      </c>
      <c r="E83" s="60">
        <v>4.70</v>
      </c>
      <c r="F83" s="60">
        <v>0.070000000000000007</v>
      </c>
      <c r="G83" s="214" t="s">
        <v>36</v>
      </c>
      <c r="H83" s="60">
        <v>17.329999999999998</v>
      </c>
      <c r="I83" s="60">
        <v>4.59</v>
      </c>
      <c r="J83" s="60">
        <v>0.74</v>
      </c>
      <c r="K83" s="60">
        <v>321.39999999999998</v>
      </c>
      <c r="L83" s="60">
        <v>37.479999999999997</v>
      </c>
      <c r="M83" s="60">
        <v>74.09</v>
      </c>
      <c r="N83" s="60">
        <v>18</v>
      </c>
      <c r="O83" s="60">
        <v>0</v>
      </c>
      <c r="P83" s="60">
        <v>3.36</v>
      </c>
      <c r="Q83" s="60">
        <v>6.15</v>
      </c>
      <c r="R83" s="194"/>
      <c r="S83" s="194"/>
      <c r="T83" s="194"/>
      <c r="U83" s="194"/>
    </row>
    <row r="84" spans="1:21" s="12" customFormat="1" ht="15">
      <c r="A84" s="197" t="s">
        <v>3008</v>
      </c>
      <c r="B84" s="60">
        <v>9.81</v>
      </c>
      <c r="C84" s="60">
        <v>16.48</v>
      </c>
      <c r="D84" s="60">
        <v>26.30</v>
      </c>
      <c r="E84" s="60">
        <v>5.37</v>
      </c>
      <c r="F84" s="60">
        <v>0.070000000000000007</v>
      </c>
      <c r="G84" s="214" t="s">
        <v>36</v>
      </c>
      <c r="H84" s="60">
        <v>17.329999999999998</v>
      </c>
      <c r="I84" s="60">
        <v>4.6100000000000003</v>
      </c>
      <c r="J84" s="60">
        <v>0.52</v>
      </c>
      <c r="K84" s="60">
        <v>315.77999999999997</v>
      </c>
      <c r="L84" s="60">
        <v>37.31</v>
      </c>
      <c r="M84" s="60">
        <v>75.260000000000005</v>
      </c>
      <c r="N84" s="60">
        <v>15.20</v>
      </c>
      <c r="O84" s="60">
        <v>0</v>
      </c>
      <c r="P84" s="60">
        <v>3.37</v>
      </c>
      <c r="Q84" s="60">
        <v>6.20</v>
      </c>
      <c r="R84" s="194"/>
      <c r="S84" s="194"/>
      <c r="T84" s="194"/>
      <c r="U84" s="194"/>
    </row>
    <row r="85" spans="1:21" s="12" customFormat="1" ht="15">
      <c r="A85" s="197" t="s">
        <v>3009</v>
      </c>
      <c r="B85" s="60">
        <v>10.68</v>
      </c>
      <c r="C85" s="60">
        <v>16</v>
      </c>
      <c r="D85" s="60">
        <v>26.69</v>
      </c>
      <c r="E85" s="60">
        <v>4.91</v>
      </c>
      <c r="F85" s="60">
        <v>0.12</v>
      </c>
      <c r="G85" s="214" t="s">
        <v>36</v>
      </c>
      <c r="H85" s="60">
        <v>17.25</v>
      </c>
      <c r="I85" s="60">
        <v>4.67</v>
      </c>
      <c r="J85" s="60">
        <v>0.23</v>
      </c>
      <c r="K85" s="60">
        <v>341.65</v>
      </c>
      <c r="L85" s="60">
        <v>37.24</v>
      </c>
      <c r="M85" s="60">
        <v>76.23</v>
      </c>
      <c r="N85" s="60">
        <v>15</v>
      </c>
      <c r="O85" s="60">
        <v>0</v>
      </c>
      <c r="P85" s="60">
        <v>3.39</v>
      </c>
      <c r="Q85" s="60">
        <v>6.01</v>
      </c>
      <c r="R85" s="194"/>
      <c r="S85" s="194"/>
      <c r="T85" s="194"/>
      <c r="U85" s="194"/>
    </row>
    <row r="86" spans="1:21" s="12" customFormat="1" ht="15">
      <c r="A86" s="197" t="s">
        <v>3010</v>
      </c>
      <c r="B86" s="60">
        <v>11.32</v>
      </c>
      <c r="C86" s="60">
        <v>15.29</v>
      </c>
      <c r="D86" s="60">
        <v>26.61</v>
      </c>
      <c r="E86" s="60">
        <v>4.92</v>
      </c>
      <c r="F86" s="60">
        <v>0.10</v>
      </c>
      <c r="G86" s="214" t="s">
        <v>36</v>
      </c>
      <c r="H86" s="60">
        <v>17.03</v>
      </c>
      <c r="I86" s="60">
        <v>4.68</v>
      </c>
      <c r="J86" s="60">
        <v>0.34</v>
      </c>
      <c r="K86" s="60">
        <v>319.44</v>
      </c>
      <c r="L86" s="60">
        <v>37.06</v>
      </c>
      <c r="M86" s="60">
        <v>77.44</v>
      </c>
      <c r="N86" s="60">
        <v>14.70</v>
      </c>
      <c r="O86" s="60">
        <v>0</v>
      </c>
      <c r="P86" s="60">
        <v>3.40</v>
      </c>
      <c r="Q86" s="60">
        <v>5.70</v>
      </c>
      <c r="R86" s="194"/>
      <c r="S86" s="194"/>
      <c r="T86" s="194"/>
      <c r="U86" s="194"/>
    </row>
    <row r="87" spans="1:21" s="12" customFormat="1" ht="15">
      <c r="A87" s="197" t="s">
        <v>3011</v>
      </c>
      <c r="B87" s="60">
        <v>12.16</v>
      </c>
      <c r="C87" s="60">
        <v>15.27</v>
      </c>
      <c r="D87" s="60">
        <v>27.43</v>
      </c>
      <c r="E87" s="60">
        <v>5.39</v>
      </c>
      <c r="F87" s="60">
        <v>0.03</v>
      </c>
      <c r="G87" s="214" t="s">
        <v>36</v>
      </c>
      <c r="H87" s="60">
        <v>17.03</v>
      </c>
      <c r="I87" s="60">
        <v>4.8099999999999996</v>
      </c>
      <c r="J87" s="60">
        <v>0.070000000000000007</v>
      </c>
      <c r="K87" s="60">
        <v>274.69</v>
      </c>
      <c r="L87" s="60">
        <v>37.049999999999997</v>
      </c>
      <c r="M87" s="60">
        <v>77.790000000000006</v>
      </c>
      <c r="N87" s="60">
        <v>14.70</v>
      </c>
      <c r="O87" s="60">
        <v>0</v>
      </c>
      <c r="P87" s="60">
        <v>3.41</v>
      </c>
      <c r="Q87" s="60">
        <v>5.83</v>
      </c>
      <c r="R87" s="194"/>
      <c r="S87" s="194"/>
      <c r="T87" s="194"/>
      <c r="U87" s="194"/>
    </row>
    <row r="88" spans="1:21" s="12" customFormat="1" ht="15">
      <c r="A88" s="197" t="s">
        <v>3012</v>
      </c>
      <c r="B88" s="60">
        <v>12.46</v>
      </c>
      <c r="C88" s="60">
        <v>15.14</v>
      </c>
      <c r="D88" s="60">
        <v>27.61</v>
      </c>
      <c r="E88" s="60">
        <v>2.87</v>
      </c>
      <c r="F88" s="60">
        <v>0.02</v>
      </c>
      <c r="G88" s="214" t="s">
        <v>36</v>
      </c>
      <c r="H88" s="60">
        <v>17.03</v>
      </c>
      <c r="I88" s="60">
        <v>4.91</v>
      </c>
      <c r="J88" s="60">
        <v>0.15</v>
      </c>
      <c r="K88" s="60">
        <v>342.54</v>
      </c>
      <c r="L88" s="60">
        <v>36.89</v>
      </c>
      <c r="M88" s="60">
        <v>79.63</v>
      </c>
      <c r="N88" s="60">
        <v>14.90</v>
      </c>
      <c r="O88" s="60">
        <v>0</v>
      </c>
      <c r="P88" s="60">
        <v>3.45</v>
      </c>
      <c r="Q88" s="60">
        <v>5.80</v>
      </c>
      <c r="R88" s="194"/>
      <c r="S88" s="194"/>
      <c r="T88" s="194"/>
      <c r="U88" s="194"/>
    </row>
    <row r="89" spans="1:21" s="12" customFormat="1" ht="15">
      <c r="A89" s="197" t="s">
        <v>3013</v>
      </c>
      <c r="B89" s="60">
        <v>13.29</v>
      </c>
      <c r="C89" s="60">
        <v>14.85</v>
      </c>
      <c r="D89" s="60">
        <v>28.14</v>
      </c>
      <c r="E89" s="60">
        <v>5.05</v>
      </c>
      <c r="F89" s="60">
        <v>0.05</v>
      </c>
      <c r="G89" s="214" t="s">
        <v>36</v>
      </c>
      <c r="H89" s="60">
        <v>16.73</v>
      </c>
      <c r="I89" s="60">
        <v>5.0199999999999996</v>
      </c>
      <c r="J89" s="60">
        <v>0.04</v>
      </c>
      <c r="K89" s="60">
        <v>323.51</v>
      </c>
      <c r="L89" s="60">
        <v>36.76</v>
      </c>
      <c r="M89" s="60">
        <v>80.569999999999993</v>
      </c>
      <c r="N89" s="60">
        <v>14.80</v>
      </c>
      <c r="O89" s="60">
        <v>0</v>
      </c>
      <c r="P89" s="60">
        <v>3.45</v>
      </c>
      <c r="Q89" s="60">
        <v>5.78</v>
      </c>
      <c r="R89" s="194"/>
      <c r="S89" s="194"/>
      <c r="T89" s="194"/>
      <c r="U89" s="194"/>
    </row>
    <row r="90" spans="1:21" s="12" customFormat="1" ht="15">
      <c r="A90" s="197" t="s">
        <v>3014</v>
      </c>
      <c r="B90" s="60">
        <v>14.01</v>
      </c>
      <c r="C90" s="60">
        <v>14.83</v>
      </c>
      <c r="D90" s="60">
        <v>28.84</v>
      </c>
      <c r="E90" s="60">
        <v>5.65</v>
      </c>
      <c r="F90" s="60">
        <v>0.03</v>
      </c>
      <c r="G90" s="214" t="s">
        <v>36</v>
      </c>
      <c r="H90" s="60">
        <v>15.99</v>
      </c>
      <c r="I90" s="60">
        <v>5.12</v>
      </c>
      <c r="J90" s="60">
        <v>0.17</v>
      </c>
      <c r="K90" s="60">
        <v>213.44</v>
      </c>
      <c r="L90" s="60">
        <v>36.64</v>
      </c>
      <c r="M90" s="60">
        <v>81.510000000000005</v>
      </c>
      <c r="N90" s="60">
        <v>14.60</v>
      </c>
      <c r="O90" s="60">
        <v>0</v>
      </c>
      <c r="P90" s="60">
        <v>3.47</v>
      </c>
      <c r="Q90" s="60">
        <v>5.98</v>
      </c>
      <c r="R90" s="194"/>
      <c r="S90" s="194"/>
      <c r="T90" s="194"/>
      <c r="U90" s="194"/>
    </row>
    <row r="91" spans="1:21" s="12" customFormat="1" ht="15">
      <c r="A91" s="197" t="s">
        <v>3015</v>
      </c>
      <c r="B91" s="60">
        <v>14.24</v>
      </c>
      <c r="C91" s="60">
        <v>14.28</v>
      </c>
      <c r="D91" s="60">
        <v>28.52</v>
      </c>
      <c r="E91" s="60">
        <v>5.41</v>
      </c>
      <c r="F91" s="60">
        <v>0.01</v>
      </c>
      <c r="G91" s="214" t="s">
        <v>36</v>
      </c>
      <c r="H91" s="60">
        <v>15.99</v>
      </c>
      <c r="I91" s="60">
        <v>5.26</v>
      </c>
      <c r="J91" s="60">
        <v>0.28000000000000003</v>
      </c>
      <c r="K91" s="60">
        <v>181.56</v>
      </c>
      <c r="L91" s="60">
        <v>36.450000000000003</v>
      </c>
      <c r="M91" s="60">
        <v>83.47</v>
      </c>
      <c r="N91" s="60">
        <v>14.70</v>
      </c>
      <c r="O91" s="60">
        <v>0</v>
      </c>
      <c r="P91" s="60">
        <v>3.47</v>
      </c>
      <c r="Q91" s="60">
        <v>6.03</v>
      </c>
      <c r="R91" s="194"/>
      <c r="S91" s="194"/>
      <c r="T91" s="194"/>
      <c r="U91" s="194"/>
    </row>
    <row r="92" spans="1:21" s="12" customFormat="1" ht="15">
      <c r="A92" s="197" t="s">
        <v>3016</v>
      </c>
      <c r="B92" s="60">
        <v>13.99</v>
      </c>
      <c r="C92" s="60">
        <v>13.54</v>
      </c>
      <c r="D92" s="60">
        <v>27.52</v>
      </c>
      <c r="E92" s="60">
        <v>5.13</v>
      </c>
      <c r="F92" s="60">
        <v>0.21</v>
      </c>
      <c r="G92" s="214" t="s">
        <v>36</v>
      </c>
      <c r="H92" s="60">
        <v>15.99</v>
      </c>
      <c r="I92" s="60">
        <v>5.32</v>
      </c>
      <c r="J92" s="60">
        <v>0.73</v>
      </c>
      <c r="K92" s="60">
        <v>175.54</v>
      </c>
      <c r="L92" s="60">
        <v>36.28</v>
      </c>
      <c r="M92" s="60">
        <v>84.89</v>
      </c>
      <c r="N92" s="60">
        <v>14.60</v>
      </c>
      <c r="O92" s="60">
        <v>0</v>
      </c>
      <c r="P92" s="60">
        <v>3.45</v>
      </c>
      <c r="Q92" s="60">
        <v>6.14</v>
      </c>
      <c r="R92" s="194"/>
      <c r="S92" s="194"/>
      <c r="T92" s="194"/>
      <c r="U92" s="194"/>
    </row>
    <row r="93" spans="1:21" s="12" customFormat="1" ht="15">
      <c r="A93" s="197" t="s">
        <v>3017</v>
      </c>
      <c r="B93" s="60">
        <v>13.22</v>
      </c>
      <c r="C93" s="60">
        <v>13.33</v>
      </c>
      <c r="D93" s="60">
        <v>26.55</v>
      </c>
      <c r="E93" s="60">
        <v>4.96</v>
      </c>
      <c r="F93" s="60">
        <v>0.22</v>
      </c>
      <c r="G93" s="214" t="s">
        <v>36</v>
      </c>
      <c r="H93" s="60">
        <v>16.61</v>
      </c>
      <c r="I93" s="60">
        <v>5.39</v>
      </c>
      <c r="J93" s="60">
        <v>0.53</v>
      </c>
      <c r="K93" s="60">
        <v>183.73</v>
      </c>
      <c r="L93" s="60">
        <v>36.200000000000003</v>
      </c>
      <c r="M93" s="60">
        <v>85.99</v>
      </c>
      <c r="N93" s="60">
        <v>14.70</v>
      </c>
      <c r="O93" s="60">
        <v>0</v>
      </c>
      <c r="P93" s="60">
        <v>3.44</v>
      </c>
      <c r="Q93" s="60">
        <v>6.57</v>
      </c>
      <c r="R93" s="194"/>
      <c r="S93" s="194"/>
      <c r="T93" s="194"/>
      <c r="U93" s="194"/>
    </row>
    <row r="94" spans="1:21" s="12" customFormat="1" ht="15">
      <c r="A94" s="197" t="s">
        <v>3018</v>
      </c>
      <c r="B94" s="60">
        <v>12.22</v>
      </c>
      <c r="C94" s="60">
        <v>13.53</v>
      </c>
      <c r="D94" s="60">
        <v>25.75</v>
      </c>
      <c r="E94" s="60">
        <v>5.46</v>
      </c>
      <c r="F94" s="60">
        <v>0.10</v>
      </c>
      <c r="G94" s="214" t="s">
        <v>36</v>
      </c>
      <c r="H94" s="60">
        <v>18.12</v>
      </c>
      <c r="I94" s="60">
        <v>5.41</v>
      </c>
      <c r="J94" s="60">
        <v>0.32</v>
      </c>
      <c r="K94" s="60">
        <v>183.74</v>
      </c>
      <c r="L94" s="60">
        <v>36.14</v>
      </c>
      <c r="M94" s="60">
        <v>85.84</v>
      </c>
      <c r="N94" s="60">
        <v>14.80</v>
      </c>
      <c r="O94" s="60">
        <v>0</v>
      </c>
      <c r="P94" s="60">
        <v>3.41</v>
      </c>
      <c r="Q94" s="60">
        <v>6.51</v>
      </c>
      <c r="R94" s="194"/>
      <c r="S94" s="194"/>
      <c r="T94" s="194"/>
      <c r="U94" s="194"/>
    </row>
    <row r="95" spans="1:21" s="12" customFormat="1" ht="15">
      <c r="A95" s="197" t="s">
        <v>3019</v>
      </c>
      <c r="B95" s="60">
        <v>11.21</v>
      </c>
      <c r="C95" s="60">
        <v>13.28</v>
      </c>
      <c r="D95" s="60">
        <v>24.5</v>
      </c>
      <c r="E95" s="60">
        <v>5.17</v>
      </c>
      <c r="F95" s="60">
        <v>0.22</v>
      </c>
      <c r="G95" s="214" t="s">
        <v>36</v>
      </c>
      <c r="H95" s="60">
        <v>18.12</v>
      </c>
      <c r="I95" s="60">
        <v>5.35</v>
      </c>
      <c r="J95" s="60">
        <v>0.21</v>
      </c>
      <c r="K95" s="60">
        <v>197.51</v>
      </c>
      <c r="L95" s="60">
        <v>36.130000000000003</v>
      </c>
      <c r="M95" s="60">
        <v>85.67</v>
      </c>
      <c r="N95" s="60">
        <v>14.80</v>
      </c>
      <c r="O95" s="60">
        <v>0</v>
      </c>
      <c r="P95" s="60">
        <v>3.38</v>
      </c>
      <c r="Q95" s="60">
        <v>6.42</v>
      </c>
      <c r="R95" s="194"/>
      <c r="S95" s="194"/>
      <c r="T95" s="194"/>
      <c r="U95" s="194"/>
    </row>
    <row r="96" spans="1:26" s="12" customFormat="1" ht="15">
      <c r="A96" s="197" t="s">
        <v>3020</v>
      </c>
      <c r="B96" s="60">
        <v>10.46</v>
      </c>
      <c r="C96" s="60">
        <v>13.21</v>
      </c>
      <c r="D96" s="60">
        <v>23.67</v>
      </c>
      <c r="E96" s="60">
        <v>5.34</v>
      </c>
      <c r="F96" s="60">
        <v>0.10</v>
      </c>
      <c r="G96" s="214" t="s">
        <v>36</v>
      </c>
      <c r="H96" s="60">
        <v>18.12</v>
      </c>
      <c r="I96" s="60">
        <v>5.21</v>
      </c>
      <c r="J96" s="60">
        <v>0.43</v>
      </c>
      <c r="K96" s="60">
        <v>198.68</v>
      </c>
      <c r="L96" s="60">
        <v>36.11</v>
      </c>
      <c r="M96" s="60">
        <v>85.16</v>
      </c>
      <c r="N96" s="60">
        <v>14.60</v>
      </c>
      <c r="O96" s="60">
        <v>0</v>
      </c>
      <c r="P96" s="60">
        <v>3.37</v>
      </c>
      <c r="Q96" s="60">
        <v>6.35</v>
      </c>
      <c r="R96" s="194"/>
      <c r="S96" s="194"/>
      <c r="T96" s="194"/>
      <c r="U96" s="194"/>
      <c r="Z96" s="105"/>
    </row>
    <row r="97" spans="1:21" s="12" customFormat="1" ht="15">
      <c r="A97" s="197" t="s">
        <v>3021</v>
      </c>
      <c r="B97" s="60">
        <v>9.44</v>
      </c>
      <c r="C97" s="60">
        <v>13.09</v>
      </c>
      <c r="D97" s="60">
        <v>22.53</v>
      </c>
      <c r="E97" s="60">
        <v>5.05</v>
      </c>
      <c r="F97" s="60">
        <v>0.08</v>
      </c>
      <c r="G97" s="214" t="s">
        <v>36</v>
      </c>
      <c r="H97" s="60">
        <v>17.43</v>
      </c>
      <c r="I97" s="60">
        <v>5.04</v>
      </c>
      <c r="J97" s="60">
        <v>0.71</v>
      </c>
      <c r="K97" s="60">
        <v>193.90</v>
      </c>
      <c r="L97" s="60">
        <v>35.840000000000003</v>
      </c>
      <c r="M97" s="60">
        <v>83.62</v>
      </c>
      <c r="N97" s="60">
        <v>15.40</v>
      </c>
      <c r="O97" s="60">
        <v>0</v>
      </c>
      <c r="P97" s="60">
        <v>3.34</v>
      </c>
      <c r="Q97" s="60">
        <v>6.03</v>
      </c>
      <c r="R97" s="194"/>
      <c r="S97" s="194"/>
      <c r="T97" s="194"/>
      <c r="U97" s="194"/>
    </row>
    <row r="98" spans="1:21" s="12" customFormat="1" ht="15">
      <c r="A98" s="197" t="s">
        <v>3022</v>
      </c>
      <c r="B98" s="60">
        <v>8.2200000000000006</v>
      </c>
      <c r="C98" s="60">
        <v>13.48</v>
      </c>
      <c r="D98" s="60">
        <v>21.70</v>
      </c>
      <c r="E98" s="60">
        <v>5.03</v>
      </c>
      <c r="F98" s="60">
        <v>0.10</v>
      </c>
      <c r="G98" s="214" t="s">
        <v>36</v>
      </c>
      <c r="H98" s="60">
        <v>15.74</v>
      </c>
      <c r="I98" s="60">
        <v>4.97</v>
      </c>
      <c r="J98" s="60">
        <v>0.72</v>
      </c>
      <c r="K98" s="60">
        <v>179.20</v>
      </c>
      <c r="L98" s="60">
        <v>35.31</v>
      </c>
      <c r="M98" s="60">
        <v>84.98</v>
      </c>
      <c r="N98" s="60">
        <v>15.30</v>
      </c>
      <c r="O98" s="60">
        <v>0</v>
      </c>
      <c r="P98" s="60">
        <v>3.30</v>
      </c>
      <c r="Q98" s="60">
        <v>5.49</v>
      </c>
      <c r="R98" s="194"/>
      <c r="S98" s="194"/>
      <c r="T98" s="194"/>
      <c r="U98" s="194"/>
    </row>
    <row r="99" spans="1:21" s="12" customFormat="1" ht="15">
      <c r="A99" s="197" t="s">
        <v>3023</v>
      </c>
      <c r="B99" s="60">
        <v>7.41</v>
      </c>
      <c r="C99" s="60">
        <v>13.31</v>
      </c>
      <c r="D99" s="60">
        <v>20.73</v>
      </c>
      <c r="E99" s="60">
        <v>5.46</v>
      </c>
      <c r="F99" s="60">
        <v>0.13</v>
      </c>
      <c r="G99" s="214" t="s">
        <v>36</v>
      </c>
      <c r="H99" s="60">
        <v>15.74</v>
      </c>
      <c r="I99" s="60">
        <v>4.84</v>
      </c>
      <c r="J99" s="60">
        <v>0.74</v>
      </c>
      <c r="K99" s="60">
        <v>180.42</v>
      </c>
      <c r="L99" s="60">
        <v>35.08</v>
      </c>
      <c r="M99" s="60">
        <v>85.24</v>
      </c>
      <c r="N99" s="60">
        <v>15</v>
      </c>
      <c r="O99" s="60">
        <v>0</v>
      </c>
      <c r="P99" s="60">
        <v>3.27</v>
      </c>
      <c r="Q99" s="60">
        <v>4.9000000000000004</v>
      </c>
      <c r="R99" s="194"/>
      <c r="S99" s="194"/>
      <c r="T99" s="194"/>
      <c r="U99" s="194"/>
    </row>
    <row r="100" spans="1:33" s="12" customFormat="1" ht="15">
      <c r="A100" s="197" t="s">
        <v>3024</v>
      </c>
      <c r="B100" s="60">
        <v>6.84</v>
      </c>
      <c r="C100" s="60">
        <v>12.75</v>
      </c>
      <c r="D100" s="60">
        <v>19.59</v>
      </c>
      <c r="E100" s="60">
        <v>5.64</v>
      </c>
      <c r="F100" s="60">
        <v>0.17</v>
      </c>
      <c r="G100" s="214" t="s">
        <v>36</v>
      </c>
      <c r="H100" s="60">
        <v>15.74</v>
      </c>
      <c r="I100" s="60">
        <v>4.6399999999999997</v>
      </c>
      <c r="J100" s="60">
        <v>0.66</v>
      </c>
      <c r="K100" s="60">
        <v>171.41</v>
      </c>
      <c r="L100" s="60">
        <v>34.82</v>
      </c>
      <c r="M100" s="60">
        <v>84.32</v>
      </c>
      <c r="N100" s="60">
        <v>15</v>
      </c>
      <c r="O100" s="60">
        <v>0</v>
      </c>
      <c r="P100" s="60">
        <v>3.26</v>
      </c>
      <c r="Q100" s="60">
        <v>4.2699999999999996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3025</v>
      </c>
      <c r="B101" s="60">
        <v>6.37</v>
      </c>
      <c r="C101" s="60">
        <v>12.28</v>
      </c>
      <c r="D101" s="60">
        <v>18.64</v>
      </c>
      <c r="E101" s="60">
        <v>5.24</v>
      </c>
      <c r="F101" s="60">
        <v>0.12</v>
      </c>
      <c r="G101" s="214" t="s">
        <v>36</v>
      </c>
      <c r="H101" s="60">
        <v>14.55</v>
      </c>
      <c r="I101" s="60">
        <v>4.5599999999999996</v>
      </c>
      <c r="J101" s="60">
        <v>0.76</v>
      </c>
      <c r="K101" s="60">
        <v>168.21</v>
      </c>
      <c r="L101" s="60">
        <v>34.67</v>
      </c>
      <c r="M101" s="60">
        <v>84.97</v>
      </c>
      <c r="N101" s="60">
        <v>15</v>
      </c>
      <c r="O101" s="60">
        <v>0</v>
      </c>
      <c r="P101" s="60">
        <v>3.24</v>
      </c>
      <c r="Q101" s="60">
        <v>3.89</v>
      </c>
      <c r="R101" s="194"/>
      <c r="S101" s="194"/>
      <c r="T101" s="194"/>
      <c r="U101" s="194"/>
    </row>
    <row r="102" spans="1:21" s="12" customFormat="1" ht="15">
      <c r="A102" s="197" t="s">
        <v>3026</v>
      </c>
      <c r="B102" s="60">
        <v>5.97</v>
      </c>
      <c r="C102" s="60">
        <v>12.10</v>
      </c>
      <c r="D102" s="60">
        <v>18.07</v>
      </c>
      <c r="E102" s="60">
        <v>5.88</v>
      </c>
      <c r="F102" s="60">
        <v>0.15</v>
      </c>
      <c r="G102" s="214" t="s">
        <v>36</v>
      </c>
      <c r="H102" s="60">
        <v>11.63</v>
      </c>
      <c r="I102" s="60">
        <v>4.47</v>
      </c>
      <c r="J102" s="60">
        <v>0.56000000000000005</v>
      </c>
      <c r="K102" s="60">
        <v>184.26</v>
      </c>
      <c r="L102" s="60">
        <v>34.56</v>
      </c>
      <c r="M102" s="60">
        <v>84.08</v>
      </c>
      <c r="N102" s="60">
        <v>14.90</v>
      </c>
      <c r="O102" s="60">
        <v>0</v>
      </c>
      <c r="P102" s="60">
        <v>3.23</v>
      </c>
      <c r="Q102" s="60">
        <v>3.66</v>
      </c>
      <c r="R102" s="194"/>
      <c r="S102" s="194"/>
      <c r="T102" s="194"/>
      <c r="U102" s="194"/>
    </row>
    <row r="103" spans="1:21" s="12" customFormat="1" ht="15">
      <c r="A103" s="197" t="s">
        <v>3027</v>
      </c>
      <c r="B103" s="60">
        <v>5.62</v>
      </c>
      <c r="C103" s="60">
        <v>11.76</v>
      </c>
      <c r="D103" s="60">
        <v>17.38</v>
      </c>
      <c r="E103" s="60">
        <v>5.12</v>
      </c>
      <c r="F103" s="60">
        <v>0.03</v>
      </c>
      <c r="G103" s="214" t="s">
        <v>36</v>
      </c>
      <c r="H103" s="60">
        <v>11.63</v>
      </c>
      <c r="I103" s="60">
        <v>4.42</v>
      </c>
      <c r="J103" s="60">
        <v>0.34</v>
      </c>
      <c r="K103" s="60">
        <v>171.95</v>
      </c>
      <c r="L103" s="60">
        <v>34.40</v>
      </c>
      <c r="M103" s="60">
        <v>83.69</v>
      </c>
      <c r="N103" s="60">
        <v>15</v>
      </c>
      <c r="O103" s="60">
        <v>0</v>
      </c>
      <c r="P103" s="60">
        <v>3.22</v>
      </c>
      <c r="Q103" s="60">
        <v>3.40</v>
      </c>
      <c r="R103" s="194"/>
      <c r="S103" s="194"/>
      <c r="T103" s="194"/>
      <c r="U103" s="194"/>
    </row>
    <row r="104" spans="1:21" s="12" customFormat="1" ht="15">
      <c r="A104" s="197" t="s">
        <v>3028</v>
      </c>
      <c r="B104" s="60">
        <v>5.41</v>
      </c>
      <c r="C104" s="60">
        <v>11.18</v>
      </c>
      <c r="D104" s="60">
        <v>16.59</v>
      </c>
      <c r="E104" s="60">
        <v>3.84</v>
      </c>
      <c r="F104" s="214" t="s">
        <v>36</v>
      </c>
      <c r="G104" s="214" t="s">
        <v>36</v>
      </c>
      <c r="H104" s="60">
        <v>11.63</v>
      </c>
      <c r="I104" s="60">
        <v>4.38</v>
      </c>
      <c r="J104" s="60">
        <v>0.11</v>
      </c>
      <c r="K104" s="60">
        <v>181.45</v>
      </c>
      <c r="L104" s="60">
        <v>34.35</v>
      </c>
      <c r="M104" s="60">
        <v>83.14</v>
      </c>
      <c r="N104" s="60">
        <v>14.90</v>
      </c>
      <c r="O104" s="60">
        <v>0</v>
      </c>
      <c r="P104" s="60">
        <v>3.21</v>
      </c>
      <c r="Q104" s="60">
        <v>3.18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0.81000000000000005</v>
      </c>
      <c r="C106" s="67">
        <f>MIN(C9:C104)</f>
        <v>8.1699999999999999</v>
      </c>
      <c r="D106" s="67">
        <f t="shared" si="0" ref="D106:Q106">MIN(D9:D104)</f>
        <v>10.470000000000001</v>
      </c>
      <c r="E106" s="67">
        <f t="shared" si="0"/>
        <v>2.6800000000000002</v>
      </c>
      <c r="F106" s="67">
        <f t="shared" si="0"/>
        <v>0.01</v>
      </c>
      <c r="G106" s="67">
        <f t="shared" si="0"/>
        <v>0</v>
      </c>
      <c r="H106" s="67">
        <f t="shared" si="0"/>
        <v>10.58</v>
      </c>
      <c r="I106" s="67">
        <f t="shared" si="0"/>
        <v>3.5299999999999998</v>
      </c>
      <c r="J106" s="67">
        <f t="shared" si="0"/>
        <v>0</v>
      </c>
      <c r="K106" s="67">
        <f t="shared" si="0"/>
        <v>13.41</v>
      </c>
      <c r="L106" s="67">
        <f t="shared" si="0"/>
        <v>34.350000000000001</v>
      </c>
      <c r="M106" s="67">
        <f t="shared" si="0"/>
        <v>56.649999999999999</v>
      </c>
      <c r="N106" s="67">
        <f t="shared" si="0"/>
        <v>14.6</v>
      </c>
      <c r="O106" s="67">
        <f t="shared" si="0"/>
        <v>0</v>
      </c>
      <c r="P106" s="67">
        <f t="shared" si="0"/>
        <v>3.0299999999999998</v>
      </c>
      <c r="Q106" s="67">
        <f t="shared" si="0"/>
        <v>2.5299999999999998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14.24</v>
      </c>
      <c r="C107" s="66">
        <f t="shared" si="1" ref="C107:Q107">MAX(C9:C104)</f>
        <v>17.260000000000002</v>
      </c>
      <c r="D107" s="66">
        <f t="shared" si="1"/>
        <v>28.84</v>
      </c>
      <c r="E107" s="66">
        <f t="shared" si="1"/>
        <v>6.8499999999999996</v>
      </c>
      <c r="F107" s="66">
        <f t="shared" si="1"/>
        <v>1.48</v>
      </c>
      <c r="G107" s="66">
        <f t="shared" si="1"/>
        <v>0</v>
      </c>
      <c r="H107" s="66">
        <f t="shared" si="1"/>
        <v>32.920000000000002</v>
      </c>
      <c r="I107" s="66">
        <f t="shared" si="1"/>
        <v>6.9800000000000004</v>
      </c>
      <c r="J107" s="66">
        <f t="shared" si="1"/>
        <v>2.71</v>
      </c>
      <c r="K107" s="66">
        <f t="shared" si="1"/>
        <v>350.67000000000002</v>
      </c>
      <c r="L107" s="66">
        <f t="shared" si="1"/>
        <v>44.359999999999999</v>
      </c>
      <c r="M107" s="66">
        <f t="shared" si="1"/>
        <v>94.280000000000001</v>
      </c>
      <c r="N107" s="66">
        <f t="shared" si="1"/>
        <v>1013.9</v>
      </c>
      <c r="O107" s="66">
        <f t="shared" si="1"/>
        <v>0</v>
      </c>
      <c r="P107" s="66">
        <f t="shared" si="1"/>
        <v>3.4700000000000002</v>
      </c>
      <c r="Q107" s="66">
        <f t="shared" si="1"/>
        <v>6.5700000000000003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5.4216666666666669</v>
      </c>
      <c r="C108" s="67">
        <f t="shared" si="2" ref="C108:Q108">AVERAGE(C9:C104)</f>
        <v>12.790520833333327</v>
      </c>
      <c r="D108" s="67">
        <f t="shared" si="2"/>
        <v>18.211666666666666</v>
      </c>
      <c r="E108" s="67">
        <f t="shared" si="2"/>
        <v>5.5652083333333335</v>
      </c>
      <c r="F108" s="67">
        <f t="shared" si="2"/>
        <v>0.36147368421052634</v>
      </c>
      <c r="G108" s="67" t="e">
        <f t="shared" si="2"/>
        <v>#DIV/0!</v>
      </c>
      <c r="H108" s="67">
        <f t="shared" si="2"/>
        <v>19.206041666666664</v>
      </c>
      <c r="I108" s="67">
        <f t="shared" si="2"/>
        <v>4.9563541666666673</v>
      </c>
      <c r="J108" s="67">
        <f t="shared" si="2"/>
        <v>0.48854166666666687</v>
      </c>
      <c r="K108" s="67">
        <f t="shared" si="2"/>
        <v>242.36447916666671</v>
      </c>
      <c r="L108" s="67">
        <f t="shared" si="2"/>
        <v>39.104583333333331</v>
      </c>
      <c r="M108" s="67">
        <f t="shared" si="2"/>
        <v>77.557395833333331</v>
      </c>
      <c r="N108" s="67">
        <f t="shared" si="2"/>
        <v>215.82916666666662</v>
      </c>
      <c r="O108" s="67">
        <f t="shared" si="2"/>
        <v>0</v>
      </c>
      <c r="P108" s="67">
        <f t="shared" si="2"/>
        <v>3.2466666666666679</v>
      </c>
      <c r="Q108" s="67">
        <f t="shared" si="2"/>
        <v>4.336458333333332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3.4199090990279308</v>
      </c>
      <c r="C109" s="67">
        <f t="shared" si="3" ref="C109:Q109">STDEV(C9:C104)</f>
        <v>2.8723312995367349</v>
      </c>
      <c r="D109" s="67">
        <f t="shared" si="3"/>
        <v>5.0350352879475544</v>
      </c>
      <c r="E109" s="67">
        <f t="shared" si="3"/>
        <v>0.89886241458349803</v>
      </c>
      <c r="F109" s="67">
        <f t="shared" si="3"/>
        <v>0.41182512406451149</v>
      </c>
      <c r="G109" s="67" t="e">
        <f t="shared" si="3"/>
        <v>#DIV/0!</v>
      </c>
      <c r="H109" s="67">
        <f t="shared" si="3"/>
        <v>6.2520618037768827</v>
      </c>
      <c r="I109" s="67">
        <f t="shared" si="3"/>
        <v>0.96567415207327945</v>
      </c>
      <c r="J109" s="67">
        <f t="shared" si="3"/>
        <v>0.56006762592925774</v>
      </c>
      <c r="K109" s="67">
        <f t="shared" si="3"/>
        <v>81.656390188846999</v>
      </c>
      <c r="L109" s="67">
        <f t="shared" si="3"/>
        <v>2.4489322771864503</v>
      </c>
      <c r="M109" s="67">
        <f t="shared" si="3"/>
        <v>10.508024927824039</v>
      </c>
      <c r="N109" s="67">
        <f t="shared" si="3"/>
        <v>297.71074089729109</v>
      </c>
      <c r="O109" s="67">
        <f t="shared" si="3"/>
        <v>0</v>
      </c>
      <c r="P109" s="67">
        <f t="shared" si="3"/>
        <v>0.13260679244861021</v>
      </c>
      <c r="Q109" s="67">
        <f t="shared" si="3"/>
        <v>1.1681546213144325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1433e0-ba7a-474a-99a0-456049a988fd}">
  <sheetPr codeName=""/>
  <dimension ref="A1:AG117"/>
  <sheetViews>
    <sheetView workbookViewId="0" topLeftCell="A1">
      <pane ySplit="8" topLeftCell="A66" activePane="bottomLeft" state="frozen"/>
      <selection pane="topLeft" activeCell="N106" sqref="N106:P109"/>
      <selection pane="bottomLeft" activeCell="Q110" sqref="Q110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30-07-2022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5" t="s">
        <v>51</v>
      </c>
      <c r="R8" s="192"/>
      <c r="S8" s="193"/>
      <c r="T8" s="192"/>
      <c r="U8" s="192"/>
    </row>
    <row r="9" spans="1:21" s="12" customFormat="1" ht="15">
      <c r="A9" s="197" t="s">
        <v>3029</v>
      </c>
      <c r="B9" s="60">
        <v>5.27</v>
      </c>
      <c r="C9" s="60">
        <v>10.94</v>
      </c>
      <c r="D9" s="60">
        <v>16.21</v>
      </c>
      <c r="E9" s="60">
        <v>5.92</v>
      </c>
      <c r="F9" s="60">
        <v>0.070000000000000007</v>
      </c>
      <c r="G9" s="214" t="s">
        <v>36</v>
      </c>
      <c r="H9" s="60">
        <v>10.86</v>
      </c>
      <c r="I9" s="60">
        <v>4.3099999999999996</v>
      </c>
      <c r="J9" s="60">
        <v>0.04</v>
      </c>
      <c r="K9" s="60">
        <v>208.32</v>
      </c>
      <c r="L9" s="60">
        <v>34.26</v>
      </c>
      <c r="M9" s="60">
        <v>83.35</v>
      </c>
      <c r="N9" s="60">
        <v>15</v>
      </c>
      <c r="O9" s="60">
        <v>0</v>
      </c>
      <c r="P9" s="60">
        <v>3.20</v>
      </c>
      <c r="Q9" s="60">
        <v>3.11</v>
      </c>
      <c r="R9" s="194"/>
      <c r="S9" s="194"/>
      <c r="T9" s="194"/>
      <c r="U9" s="194"/>
    </row>
    <row r="10" spans="1:21" s="12" customFormat="1" ht="15">
      <c r="A10" s="197" t="s">
        <v>3030</v>
      </c>
      <c r="B10" s="60">
        <v>5.16</v>
      </c>
      <c r="C10" s="60">
        <v>10.42</v>
      </c>
      <c r="D10" s="60">
        <v>15.58</v>
      </c>
      <c r="E10" s="60">
        <v>6.44</v>
      </c>
      <c r="F10" s="60">
        <v>0.10</v>
      </c>
      <c r="G10" s="214" t="s">
        <v>36</v>
      </c>
      <c r="H10" s="60">
        <v>8.9700000000000006</v>
      </c>
      <c r="I10" s="60">
        <v>4.28</v>
      </c>
      <c r="J10" s="60">
        <v>0.22</v>
      </c>
      <c r="K10" s="60">
        <v>314.38</v>
      </c>
      <c r="L10" s="60">
        <v>34.15</v>
      </c>
      <c r="M10" s="60">
        <v>84.83</v>
      </c>
      <c r="N10" s="60">
        <v>14.80</v>
      </c>
      <c r="O10" s="60">
        <v>0</v>
      </c>
      <c r="P10" s="60">
        <v>3.19</v>
      </c>
      <c r="Q10" s="60">
        <v>3.16</v>
      </c>
      <c r="R10" s="194"/>
      <c r="S10" s="194"/>
      <c r="T10" s="194"/>
      <c r="U10" s="194"/>
    </row>
    <row r="11" spans="1:21" s="12" customFormat="1" ht="15">
      <c r="A11" s="197" t="s">
        <v>3031</v>
      </c>
      <c r="B11" s="60">
        <v>4.75</v>
      </c>
      <c r="C11" s="60">
        <v>10.49</v>
      </c>
      <c r="D11" s="60">
        <v>15.25</v>
      </c>
      <c r="E11" s="60">
        <v>6.51</v>
      </c>
      <c r="F11" s="60">
        <v>0.12</v>
      </c>
      <c r="G11" s="214" t="s">
        <v>36</v>
      </c>
      <c r="H11" s="60">
        <v>8.9700000000000006</v>
      </c>
      <c r="I11" s="60">
        <v>4.24</v>
      </c>
      <c r="J11" s="60">
        <v>0.69</v>
      </c>
      <c r="K11" s="60">
        <v>315.93</v>
      </c>
      <c r="L11" s="60">
        <v>34.08</v>
      </c>
      <c r="M11" s="60">
        <v>85.02</v>
      </c>
      <c r="N11" s="60">
        <v>14.40</v>
      </c>
      <c r="O11" s="60">
        <v>0</v>
      </c>
      <c r="P11" s="60">
        <v>3.18</v>
      </c>
      <c r="Q11" s="60">
        <v>3.62</v>
      </c>
      <c r="R11" s="194"/>
      <c r="S11" s="194"/>
      <c r="T11" s="194"/>
      <c r="U11" s="194"/>
    </row>
    <row r="12" spans="1:21" s="12" customFormat="1" ht="15">
      <c r="A12" s="197" t="s">
        <v>3032</v>
      </c>
      <c r="B12" s="60">
        <v>4.1900000000000004</v>
      </c>
      <c r="C12" s="60">
        <v>10.73</v>
      </c>
      <c r="D12" s="60">
        <v>14.93</v>
      </c>
      <c r="E12" s="60">
        <v>6.22</v>
      </c>
      <c r="F12" s="60">
        <v>0.31</v>
      </c>
      <c r="G12" s="214" t="s">
        <v>36</v>
      </c>
      <c r="H12" s="60">
        <v>8.9700000000000006</v>
      </c>
      <c r="I12" s="60">
        <v>4.29</v>
      </c>
      <c r="J12" s="60">
        <v>0.65</v>
      </c>
      <c r="K12" s="60">
        <v>328.86</v>
      </c>
      <c r="L12" s="60">
        <v>34.24</v>
      </c>
      <c r="M12" s="60">
        <v>83.59</v>
      </c>
      <c r="N12" s="60">
        <v>14.60</v>
      </c>
      <c r="O12" s="60">
        <v>0</v>
      </c>
      <c r="P12" s="60">
        <v>3.16</v>
      </c>
      <c r="Q12" s="60">
        <v>3.98</v>
      </c>
      <c r="R12" s="194"/>
      <c r="S12" s="194"/>
      <c r="T12" s="194"/>
      <c r="U12" s="194"/>
    </row>
    <row r="13" spans="1:21" s="12" customFormat="1" ht="15">
      <c r="A13" s="197" t="s">
        <v>3033</v>
      </c>
      <c r="B13" s="60">
        <v>3.61</v>
      </c>
      <c r="C13" s="60">
        <v>10.87</v>
      </c>
      <c r="D13" s="60">
        <v>14.48</v>
      </c>
      <c r="E13" s="60">
        <v>6.51</v>
      </c>
      <c r="F13" s="60">
        <v>0.36</v>
      </c>
      <c r="G13" s="214" t="s">
        <v>36</v>
      </c>
      <c r="H13" s="60">
        <v>8.34</v>
      </c>
      <c r="I13" s="60">
        <v>4.25</v>
      </c>
      <c r="J13" s="60">
        <v>0.85</v>
      </c>
      <c r="K13" s="60">
        <v>329.23</v>
      </c>
      <c r="L13" s="60">
        <v>34.26</v>
      </c>
      <c r="M13" s="60">
        <v>85.31</v>
      </c>
      <c r="N13" s="60">
        <v>14.90</v>
      </c>
      <c r="O13" s="60">
        <v>0</v>
      </c>
      <c r="P13" s="60">
        <v>3.15</v>
      </c>
      <c r="Q13" s="60">
        <v>4.1100000000000003</v>
      </c>
      <c r="R13" s="194"/>
      <c r="S13" s="194"/>
      <c r="T13" s="194"/>
      <c r="U13" s="194"/>
    </row>
    <row r="14" spans="1:21" s="12" customFormat="1" ht="15">
      <c r="A14" s="197" t="s">
        <v>3034</v>
      </c>
      <c r="B14" s="60">
        <v>3.10</v>
      </c>
      <c r="C14" s="60">
        <v>10.62</v>
      </c>
      <c r="D14" s="60">
        <v>13.72</v>
      </c>
      <c r="E14" s="60">
        <v>6.35</v>
      </c>
      <c r="F14" s="60">
        <v>0.49</v>
      </c>
      <c r="G14" s="214" t="s">
        <v>36</v>
      </c>
      <c r="H14" s="60">
        <v>6.77</v>
      </c>
      <c r="I14" s="60">
        <v>4.0999999999999996</v>
      </c>
      <c r="J14" s="60">
        <v>0.11</v>
      </c>
      <c r="K14" s="60">
        <v>298.93</v>
      </c>
      <c r="L14" s="60">
        <v>34.32</v>
      </c>
      <c r="M14" s="60">
        <v>84.69</v>
      </c>
      <c r="N14" s="60">
        <v>14.90</v>
      </c>
      <c r="O14" s="60">
        <v>0</v>
      </c>
      <c r="P14" s="60">
        <v>3.13</v>
      </c>
      <c r="Q14" s="60">
        <v>3.95</v>
      </c>
      <c r="R14" s="194"/>
      <c r="S14" s="194"/>
      <c r="T14" s="194"/>
      <c r="U14" s="194"/>
    </row>
    <row r="15" spans="1:21" s="12" customFormat="1" ht="15">
      <c r="A15" s="197" t="s">
        <v>3035</v>
      </c>
      <c r="B15" s="60">
        <v>2.81</v>
      </c>
      <c r="C15" s="60">
        <v>10.57</v>
      </c>
      <c r="D15" s="60">
        <v>13.38</v>
      </c>
      <c r="E15" s="60">
        <v>5.71</v>
      </c>
      <c r="F15" s="60">
        <v>0.27</v>
      </c>
      <c r="G15" s="214" t="s">
        <v>36</v>
      </c>
      <c r="H15" s="60">
        <v>6.77</v>
      </c>
      <c r="I15" s="60">
        <v>3.95</v>
      </c>
      <c r="J15" s="60">
        <v>0.10</v>
      </c>
      <c r="K15" s="60">
        <v>34.43</v>
      </c>
      <c r="L15" s="60">
        <v>34.380000000000003</v>
      </c>
      <c r="M15" s="60">
        <v>85.46</v>
      </c>
      <c r="N15" s="60">
        <v>14.90</v>
      </c>
      <c r="O15" s="60">
        <v>0</v>
      </c>
      <c r="P15" s="60">
        <v>3.12</v>
      </c>
      <c r="Q15" s="60">
        <v>3.81</v>
      </c>
      <c r="R15" s="194"/>
      <c r="S15" s="194"/>
      <c r="T15" s="194"/>
      <c r="U15" s="194"/>
    </row>
    <row r="16" spans="1:21" s="12" customFormat="1" ht="15">
      <c r="A16" s="197" t="s">
        <v>3036</v>
      </c>
      <c r="B16" s="60">
        <v>2.69</v>
      </c>
      <c r="C16" s="60">
        <v>10.65</v>
      </c>
      <c r="D16" s="60">
        <v>13.34</v>
      </c>
      <c r="E16" s="60">
        <v>5.99</v>
      </c>
      <c r="F16" s="60">
        <v>0.02</v>
      </c>
      <c r="G16" s="214" t="s">
        <v>36</v>
      </c>
      <c r="H16" s="60">
        <v>6.77</v>
      </c>
      <c r="I16" s="60">
        <v>3.84</v>
      </c>
      <c r="J16" s="60">
        <v>0.33</v>
      </c>
      <c r="K16" s="60">
        <v>190.61</v>
      </c>
      <c r="L16" s="60">
        <v>34.33</v>
      </c>
      <c r="M16" s="60">
        <v>86.5</v>
      </c>
      <c r="N16" s="60">
        <v>14.60</v>
      </c>
      <c r="O16" s="60">
        <v>0</v>
      </c>
      <c r="P16" s="60">
        <v>3.11</v>
      </c>
      <c r="Q16" s="60">
        <v>3.82</v>
      </c>
      <c r="R16" s="194"/>
      <c r="S16" s="194"/>
      <c r="T16" s="194"/>
      <c r="U16" s="194"/>
    </row>
    <row r="17" spans="1:21" s="12" customFormat="1" ht="15">
      <c r="A17" s="197" t="s">
        <v>3037</v>
      </c>
      <c r="B17" s="60">
        <v>2.52</v>
      </c>
      <c r="C17" s="60">
        <v>10.34</v>
      </c>
      <c r="D17" s="60">
        <v>12.86</v>
      </c>
      <c r="E17" s="60">
        <v>6.37</v>
      </c>
      <c r="F17" s="60">
        <v>0.17</v>
      </c>
      <c r="G17" s="214" t="s">
        <v>36</v>
      </c>
      <c r="H17" s="60">
        <v>7.13</v>
      </c>
      <c r="I17" s="60">
        <v>3.83</v>
      </c>
      <c r="J17" s="60">
        <v>0.54</v>
      </c>
      <c r="K17" s="60">
        <v>170.83</v>
      </c>
      <c r="L17" s="60">
        <v>34.01</v>
      </c>
      <c r="M17" s="60">
        <v>89.5</v>
      </c>
      <c r="N17" s="60">
        <v>15</v>
      </c>
      <c r="O17" s="60">
        <v>0</v>
      </c>
      <c r="P17" s="60">
        <v>3.09</v>
      </c>
      <c r="Q17" s="60">
        <v>3.33</v>
      </c>
      <c r="R17" s="194"/>
      <c r="S17" s="194"/>
      <c r="T17" s="194"/>
      <c r="U17" s="194"/>
    </row>
    <row r="18" spans="1:21" s="12" customFormat="1" ht="15">
      <c r="A18" s="197" t="s">
        <v>3038</v>
      </c>
      <c r="B18" s="60">
        <v>2.48</v>
      </c>
      <c r="C18" s="60">
        <v>10.40</v>
      </c>
      <c r="D18" s="60">
        <v>12.88</v>
      </c>
      <c r="E18" s="60">
        <v>6.16</v>
      </c>
      <c r="F18" s="60">
        <v>0.09</v>
      </c>
      <c r="G18" s="214" t="s">
        <v>36</v>
      </c>
      <c r="H18" s="60">
        <v>8.0299999999999994</v>
      </c>
      <c r="I18" s="60">
        <v>3.77</v>
      </c>
      <c r="J18" s="60">
        <v>0.45</v>
      </c>
      <c r="K18" s="60">
        <v>182.65</v>
      </c>
      <c r="L18" s="60">
        <v>33.950000000000003</v>
      </c>
      <c r="M18" s="60">
        <v>88.94</v>
      </c>
      <c r="N18" s="60">
        <v>14.80</v>
      </c>
      <c r="O18" s="60">
        <v>0</v>
      </c>
      <c r="P18" s="60">
        <v>3.08</v>
      </c>
      <c r="Q18" s="60">
        <v>3.03</v>
      </c>
      <c r="R18" s="194"/>
      <c r="S18" s="194"/>
      <c r="T18" s="194"/>
      <c r="U18" s="194"/>
    </row>
    <row r="19" spans="1:21" s="12" customFormat="1" ht="15">
      <c r="A19" s="197" t="s">
        <v>3039</v>
      </c>
      <c r="B19" s="60">
        <v>2.44</v>
      </c>
      <c r="C19" s="60">
        <v>10.10</v>
      </c>
      <c r="D19" s="60">
        <v>12.54</v>
      </c>
      <c r="E19" s="60">
        <v>6.06</v>
      </c>
      <c r="F19" s="60">
        <v>0.070000000000000007</v>
      </c>
      <c r="G19" s="214" t="s">
        <v>36</v>
      </c>
      <c r="H19" s="60">
        <v>8.0299999999999994</v>
      </c>
      <c r="I19" s="60">
        <v>3.70</v>
      </c>
      <c r="J19" s="60">
        <v>0.59</v>
      </c>
      <c r="K19" s="60">
        <v>179.08</v>
      </c>
      <c r="L19" s="60">
        <v>33.840000000000003</v>
      </c>
      <c r="M19" s="60">
        <v>88.36</v>
      </c>
      <c r="N19" s="60">
        <v>14.90</v>
      </c>
      <c r="O19" s="60">
        <v>0</v>
      </c>
      <c r="P19" s="60">
        <v>3.08</v>
      </c>
      <c r="Q19" s="60">
        <v>2.64</v>
      </c>
      <c r="R19" s="194"/>
      <c r="S19" s="194"/>
      <c r="T19" s="194"/>
      <c r="U19" s="194"/>
    </row>
    <row r="20" spans="1:21" s="12" customFormat="1" ht="15">
      <c r="A20" s="197" t="s">
        <v>3040</v>
      </c>
      <c r="B20" s="60">
        <v>2.37</v>
      </c>
      <c r="C20" s="60">
        <v>9.6300000000000008</v>
      </c>
      <c r="D20" s="60">
        <v>12</v>
      </c>
      <c r="E20" s="60">
        <v>6.16</v>
      </c>
      <c r="F20" s="60">
        <v>0.11</v>
      </c>
      <c r="G20" s="214" t="s">
        <v>36</v>
      </c>
      <c r="H20" s="60">
        <v>8.0299999999999994</v>
      </c>
      <c r="I20" s="60">
        <v>3.71</v>
      </c>
      <c r="J20" s="60">
        <v>0.80</v>
      </c>
      <c r="K20" s="60">
        <v>169.38</v>
      </c>
      <c r="L20" s="60">
        <v>33.619999999999997</v>
      </c>
      <c r="M20" s="60">
        <v>89.54</v>
      </c>
      <c r="N20" s="60">
        <v>15.10</v>
      </c>
      <c r="O20" s="60">
        <v>0</v>
      </c>
      <c r="P20" s="60">
        <v>3.06</v>
      </c>
      <c r="Q20" s="60">
        <v>2.27</v>
      </c>
      <c r="R20" s="194"/>
      <c r="S20" s="194"/>
      <c r="T20" s="194"/>
      <c r="U20" s="194"/>
    </row>
    <row r="21" spans="1:21" s="12" customFormat="1" ht="15">
      <c r="A21" s="197" t="s">
        <v>3041</v>
      </c>
      <c r="B21" s="60">
        <v>2.2200000000000002</v>
      </c>
      <c r="C21" s="60">
        <v>9.64</v>
      </c>
      <c r="D21" s="60">
        <v>11.87</v>
      </c>
      <c r="E21" s="60">
        <v>6.30</v>
      </c>
      <c r="F21" s="60">
        <v>0.34</v>
      </c>
      <c r="G21" s="214" t="s">
        <v>36</v>
      </c>
      <c r="H21" s="60">
        <v>7.33</v>
      </c>
      <c r="I21" s="60">
        <v>3.68</v>
      </c>
      <c r="J21" s="60">
        <v>0.45</v>
      </c>
      <c r="K21" s="60">
        <v>198.5</v>
      </c>
      <c r="L21" s="60">
        <v>33.39</v>
      </c>
      <c r="M21" s="60">
        <v>89.73</v>
      </c>
      <c r="N21" s="60">
        <v>15.10</v>
      </c>
      <c r="O21" s="60">
        <v>0</v>
      </c>
      <c r="P21" s="60">
        <v>3.06</v>
      </c>
      <c r="Q21" s="60">
        <v>2.12</v>
      </c>
      <c r="R21" s="194"/>
      <c r="S21" s="194"/>
      <c r="T21" s="194"/>
      <c r="U21" s="194"/>
    </row>
    <row r="22" spans="1:21" s="12" customFormat="1" ht="15">
      <c r="A22" s="197" t="s">
        <v>3042</v>
      </c>
      <c r="B22" s="60">
        <v>2.0699999999999998</v>
      </c>
      <c r="C22" s="60">
        <v>9.9600000000000009</v>
      </c>
      <c r="D22" s="60">
        <v>12.03</v>
      </c>
      <c r="E22" s="60">
        <v>6.71</v>
      </c>
      <c r="F22" s="60">
        <v>0.12</v>
      </c>
      <c r="G22" s="214" t="s">
        <v>36</v>
      </c>
      <c r="H22" s="60">
        <v>5.62</v>
      </c>
      <c r="I22" s="60">
        <v>3.64</v>
      </c>
      <c r="J22" s="60">
        <v>0.40</v>
      </c>
      <c r="K22" s="60">
        <v>196.14</v>
      </c>
      <c r="L22" s="60">
        <v>33.29</v>
      </c>
      <c r="M22" s="60">
        <v>90</v>
      </c>
      <c r="N22" s="60">
        <v>15</v>
      </c>
      <c r="O22" s="60">
        <v>0</v>
      </c>
      <c r="P22" s="60">
        <v>3.05</v>
      </c>
      <c r="Q22" s="60">
        <v>2.11</v>
      </c>
      <c r="R22" s="194"/>
      <c r="S22" s="194"/>
      <c r="T22" s="194"/>
      <c r="U22" s="194"/>
    </row>
    <row r="23" spans="1:21" s="12" customFormat="1" ht="15">
      <c r="A23" s="197" t="s">
        <v>3043</v>
      </c>
      <c r="B23" s="60">
        <v>1.99</v>
      </c>
      <c r="C23" s="60">
        <v>9.94</v>
      </c>
      <c r="D23" s="60">
        <v>11.92</v>
      </c>
      <c r="E23" s="60">
        <v>6.39</v>
      </c>
      <c r="F23" s="60">
        <v>0.13</v>
      </c>
      <c r="G23" s="214" t="s">
        <v>36</v>
      </c>
      <c r="H23" s="60">
        <v>5.62</v>
      </c>
      <c r="I23" s="60">
        <v>3.57</v>
      </c>
      <c r="J23" s="60">
        <v>0.22</v>
      </c>
      <c r="K23" s="60">
        <v>215.89</v>
      </c>
      <c r="L23" s="60">
        <v>33.32</v>
      </c>
      <c r="M23" s="60">
        <v>89.40</v>
      </c>
      <c r="N23" s="60">
        <v>14.70</v>
      </c>
      <c r="O23" s="60">
        <v>0</v>
      </c>
      <c r="P23" s="60">
        <v>3.04</v>
      </c>
      <c r="Q23" s="60">
        <v>2.08</v>
      </c>
      <c r="R23" s="194"/>
      <c r="S23" s="194"/>
      <c r="T23" s="194"/>
      <c r="U23" s="194"/>
    </row>
    <row r="24" spans="1:21" s="12" customFormat="1" ht="15">
      <c r="A24" s="197" t="s">
        <v>3044</v>
      </c>
      <c r="B24" s="60">
        <v>1.80</v>
      </c>
      <c r="C24" s="60">
        <v>9.6300000000000008</v>
      </c>
      <c r="D24" s="60">
        <v>11.43</v>
      </c>
      <c r="E24" s="60">
        <v>2.61</v>
      </c>
      <c r="F24" s="60">
        <v>0.37</v>
      </c>
      <c r="G24" s="214" t="s">
        <v>36</v>
      </c>
      <c r="H24" s="60">
        <v>5.62</v>
      </c>
      <c r="I24" s="60">
        <v>3.54</v>
      </c>
      <c r="J24" s="60">
        <v>0.070000000000000007</v>
      </c>
      <c r="K24" s="60">
        <v>239.47</v>
      </c>
      <c r="L24" s="60">
        <v>33.43</v>
      </c>
      <c r="M24" s="60">
        <v>87.90</v>
      </c>
      <c r="N24" s="60">
        <v>14.70</v>
      </c>
      <c r="O24" s="60">
        <v>0</v>
      </c>
      <c r="P24" s="60">
        <v>3.03</v>
      </c>
      <c r="Q24" s="60">
        <v>1.94</v>
      </c>
      <c r="R24" s="194"/>
      <c r="S24" s="194"/>
      <c r="T24" s="194"/>
      <c r="U24" s="194"/>
    </row>
    <row r="25" spans="1:21" s="12" customFormat="1" ht="15">
      <c r="A25" s="197" t="s">
        <v>3045</v>
      </c>
      <c r="B25" s="60">
        <v>1.60</v>
      </c>
      <c r="C25" s="60">
        <v>9.14</v>
      </c>
      <c r="D25" s="60">
        <v>10.74</v>
      </c>
      <c r="E25" s="60">
        <v>5.69</v>
      </c>
      <c r="F25" s="60">
        <v>0.56999999999999995</v>
      </c>
      <c r="G25" s="214" t="s">
        <v>36</v>
      </c>
      <c r="H25" s="60">
        <v>6.94</v>
      </c>
      <c r="I25" s="60">
        <v>3.5</v>
      </c>
      <c r="J25" s="60">
        <v>0.10</v>
      </c>
      <c r="K25" s="60">
        <v>248.78</v>
      </c>
      <c r="L25" s="60">
        <v>33.49</v>
      </c>
      <c r="M25" s="60">
        <v>86.52</v>
      </c>
      <c r="N25" s="60">
        <v>14.70</v>
      </c>
      <c r="O25" s="60">
        <v>0</v>
      </c>
      <c r="P25" s="60">
        <v>3.01</v>
      </c>
      <c r="Q25" s="60">
        <v>2.16</v>
      </c>
      <c r="R25" s="194"/>
      <c r="S25" s="194"/>
      <c r="T25" s="194"/>
      <c r="U25" s="194"/>
    </row>
    <row r="26" spans="1:21" s="12" customFormat="1" ht="15">
      <c r="A26" s="197" t="s">
        <v>3046</v>
      </c>
      <c r="B26" s="60">
        <v>1.40</v>
      </c>
      <c r="C26" s="60">
        <v>9.25</v>
      </c>
      <c r="D26" s="60">
        <v>10.66</v>
      </c>
      <c r="E26" s="60">
        <v>5.62</v>
      </c>
      <c r="F26" s="60">
        <v>0.35</v>
      </c>
      <c r="G26" s="214" t="s">
        <v>36</v>
      </c>
      <c r="H26" s="60">
        <v>10.19</v>
      </c>
      <c r="I26" s="60">
        <v>3.41</v>
      </c>
      <c r="J26" s="60">
        <v>0.03</v>
      </c>
      <c r="K26" s="60">
        <v>212.10</v>
      </c>
      <c r="L26" s="60">
        <v>33.450000000000003</v>
      </c>
      <c r="M26" s="60">
        <v>86.96</v>
      </c>
      <c r="N26" s="60">
        <v>14.70</v>
      </c>
      <c r="O26" s="60">
        <v>0</v>
      </c>
      <c r="P26" s="60">
        <v>2.99</v>
      </c>
      <c r="Q26" s="60">
        <v>2.48</v>
      </c>
      <c r="R26" s="194"/>
      <c r="S26" s="194"/>
      <c r="T26" s="194"/>
      <c r="U26" s="194"/>
    </row>
    <row r="27" spans="1:21" s="12" customFormat="1" ht="15">
      <c r="A27" s="197" t="s">
        <v>3047</v>
      </c>
      <c r="B27" s="60">
        <v>1.26</v>
      </c>
      <c r="C27" s="60">
        <v>9.25</v>
      </c>
      <c r="D27" s="60">
        <v>10.51</v>
      </c>
      <c r="E27" s="60">
        <v>5.45</v>
      </c>
      <c r="F27" s="60">
        <v>0.42</v>
      </c>
      <c r="G27" s="214" t="s">
        <v>36</v>
      </c>
      <c r="H27" s="60">
        <v>10.19</v>
      </c>
      <c r="I27" s="60">
        <v>3.26</v>
      </c>
      <c r="J27" s="60">
        <v>0.08</v>
      </c>
      <c r="K27" s="60">
        <v>21.64</v>
      </c>
      <c r="L27" s="60">
        <v>33.43</v>
      </c>
      <c r="M27" s="60">
        <v>87.56</v>
      </c>
      <c r="N27" s="60">
        <v>14.70</v>
      </c>
      <c r="O27" s="60">
        <v>0</v>
      </c>
      <c r="P27" s="60">
        <v>3</v>
      </c>
      <c r="Q27" s="60">
        <v>2.62</v>
      </c>
      <c r="R27" s="194"/>
      <c r="S27" s="194"/>
      <c r="T27" s="194"/>
      <c r="U27" s="194"/>
    </row>
    <row r="28" spans="1:21" s="12" customFormat="1" ht="15">
      <c r="A28" s="197" t="s">
        <v>3048</v>
      </c>
      <c r="B28" s="60">
        <v>1.26</v>
      </c>
      <c r="C28" s="60">
        <v>9.27</v>
      </c>
      <c r="D28" s="60">
        <v>10.53</v>
      </c>
      <c r="E28" s="60">
        <v>5.43</v>
      </c>
      <c r="F28" s="60">
        <v>0.34</v>
      </c>
      <c r="G28" s="214" t="s">
        <v>36</v>
      </c>
      <c r="H28" s="60">
        <v>10.19</v>
      </c>
      <c r="I28" s="60">
        <v>3.13</v>
      </c>
      <c r="J28" s="60">
        <v>0</v>
      </c>
      <c r="K28" s="60">
        <v>171.35</v>
      </c>
      <c r="L28" s="60">
        <v>33.44</v>
      </c>
      <c r="M28" s="60">
        <v>88.02</v>
      </c>
      <c r="N28" s="60">
        <v>14.70</v>
      </c>
      <c r="O28" s="60">
        <v>0</v>
      </c>
      <c r="P28" s="60">
        <v>2.99</v>
      </c>
      <c r="Q28" s="60">
        <v>2.77</v>
      </c>
      <c r="R28" s="194"/>
      <c r="S28" s="194"/>
      <c r="T28" s="194"/>
      <c r="U28" s="194"/>
    </row>
    <row r="29" spans="1:21" s="12" customFormat="1" ht="15">
      <c r="A29" s="197" t="s">
        <v>3049</v>
      </c>
      <c r="B29" s="60">
        <v>1.51</v>
      </c>
      <c r="C29" s="60">
        <v>9.42</v>
      </c>
      <c r="D29" s="60">
        <v>10.94</v>
      </c>
      <c r="E29" s="60">
        <v>5.67</v>
      </c>
      <c r="F29" s="60">
        <v>0.15</v>
      </c>
      <c r="G29" s="214" t="s">
        <v>36</v>
      </c>
      <c r="H29" s="60">
        <v>10.210000000000001</v>
      </c>
      <c r="I29" s="60">
        <v>3.07</v>
      </c>
      <c r="J29" s="60">
        <v>0.04</v>
      </c>
      <c r="K29" s="60">
        <v>33.51</v>
      </c>
      <c r="L29" s="60">
        <v>33.46</v>
      </c>
      <c r="M29" s="60">
        <v>88.38</v>
      </c>
      <c r="N29" s="60">
        <v>14.70</v>
      </c>
      <c r="O29" s="60">
        <v>0</v>
      </c>
      <c r="P29" s="60">
        <v>2.99</v>
      </c>
      <c r="Q29" s="60">
        <v>2.95</v>
      </c>
      <c r="R29" s="194"/>
      <c r="S29" s="194"/>
      <c r="T29" s="194"/>
      <c r="U29" s="194"/>
    </row>
    <row r="30" spans="1:21" s="12" customFormat="1" ht="15">
      <c r="A30" s="197" t="s">
        <v>3050</v>
      </c>
      <c r="B30" s="60">
        <v>1.77</v>
      </c>
      <c r="C30" s="60">
        <v>9.5399999999999991</v>
      </c>
      <c r="D30" s="60">
        <v>11.31</v>
      </c>
      <c r="E30" s="60">
        <v>5.64</v>
      </c>
      <c r="F30" s="60">
        <v>0.09</v>
      </c>
      <c r="G30" s="214" t="s">
        <v>36</v>
      </c>
      <c r="H30" s="60">
        <v>10.27</v>
      </c>
      <c r="I30" s="60">
        <v>3.03</v>
      </c>
      <c r="J30" s="60">
        <v>0.02</v>
      </c>
      <c r="K30" s="60">
        <v>281.89999999999998</v>
      </c>
      <c r="L30" s="60">
        <v>33.42</v>
      </c>
      <c r="M30" s="60">
        <v>89.17</v>
      </c>
      <c r="N30" s="60">
        <v>15.30</v>
      </c>
      <c r="O30" s="60">
        <v>0</v>
      </c>
      <c r="P30" s="60">
        <v>2.98</v>
      </c>
      <c r="Q30" s="60">
        <v>3.04</v>
      </c>
      <c r="R30" s="194"/>
      <c r="S30" s="194"/>
      <c r="T30" s="194"/>
      <c r="U30" s="194"/>
    </row>
    <row r="31" spans="1:21" s="12" customFormat="1" ht="15">
      <c r="A31" s="197" t="s">
        <v>3051</v>
      </c>
      <c r="B31" s="60">
        <v>2.02</v>
      </c>
      <c r="C31" s="60">
        <v>9.99</v>
      </c>
      <c r="D31" s="60">
        <v>12.01</v>
      </c>
      <c r="E31" s="60">
        <v>5.84</v>
      </c>
      <c r="F31" s="60">
        <v>0.08</v>
      </c>
      <c r="G31" s="214" t="s">
        <v>36</v>
      </c>
      <c r="H31" s="60">
        <v>10.27</v>
      </c>
      <c r="I31" s="60">
        <v>2.97</v>
      </c>
      <c r="J31" s="60">
        <v>0.070000000000000007</v>
      </c>
      <c r="K31" s="60">
        <v>327.02</v>
      </c>
      <c r="L31" s="60">
        <v>33.380000000000003</v>
      </c>
      <c r="M31" s="60">
        <v>90.07</v>
      </c>
      <c r="N31" s="60">
        <v>19.70</v>
      </c>
      <c r="O31" s="60">
        <v>0</v>
      </c>
      <c r="P31" s="60">
        <v>2.98</v>
      </c>
      <c r="Q31" s="60">
        <v>3.13</v>
      </c>
      <c r="R31" s="194"/>
      <c r="S31" s="194"/>
      <c r="T31" s="194"/>
      <c r="U31" s="194"/>
    </row>
    <row r="32" spans="1:21" s="12" customFormat="1" ht="15">
      <c r="A32" s="197" t="s">
        <v>3052</v>
      </c>
      <c r="B32" s="60">
        <v>2.2999999999999998</v>
      </c>
      <c r="C32" s="60">
        <v>9.9600000000000009</v>
      </c>
      <c r="D32" s="60">
        <v>12.26</v>
      </c>
      <c r="E32" s="60">
        <v>5.45</v>
      </c>
      <c r="F32" s="60">
        <v>0.070000000000000007</v>
      </c>
      <c r="G32" s="214" t="s">
        <v>36</v>
      </c>
      <c r="H32" s="60">
        <v>10.27</v>
      </c>
      <c r="I32" s="60">
        <v>2.95</v>
      </c>
      <c r="J32" s="60">
        <v>0.16</v>
      </c>
      <c r="K32" s="60">
        <v>333.56</v>
      </c>
      <c r="L32" s="60">
        <v>33.42</v>
      </c>
      <c r="M32" s="60">
        <v>90.89</v>
      </c>
      <c r="N32" s="60">
        <v>29.30</v>
      </c>
      <c r="O32" s="60">
        <v>0</v>
      </c>
      <c r="P32" s="60">
        <v>2.99</v>
      </c>
      <c r="Q32" s="60">
        <v>2.87</v>
      </c>
      <c r="R32" s="194"/>
      <c r="S32" s="194"/>
      <c r="T32" s="194"/>
      <c r="U32" s="194"/>
    </row>
    <row r="33" spans="1:21" s="12" customFormat="1" ht="15">
      <c r="A33" s="197" t="s">
        <v>3053</v>
      </c>
      <c r="B33" s="60">
        <v>2.80</v>
      </c>
      <c r="C33" s="60">
        <v>9.86</v>
      </c>
      <c r="D33" s="60">
        <v>12.66</v>
      </c>
      <c r="E33" s="60">
        <v>5.71</v>
      </c>
      <c r="F33" s="60">
        <v>0.06</v>
      </c>
      <c r="G33" s="214" t="s">
        <v>36</v>
      </c>
      <c r="H33" s="60">
        <v>9.83</v>
      </c>
      <c r="I33" s="60">
        <v>2.97</v>
      </c>
      <c r="J33" s="60">
        <v>0.17</v>
      </c>
      <c r="K33" s="60">
        <v>318.39</v>
      </c>
      <c r="L33" s="60">
        <v>33.69</v>
      </c>
      <c r="M33" s="60">
        <v>89.48</v>
      </c>
      <c r="N33" s="60">
        <v>46.40</v>
      </c>
      <c r="O33" s="60">
        <v>0</v>
      </c>
      <c r="P33" s="60">
        <v>3</v>
      </c>
      <c r="Q33" s="60">
        <v>2.63</v>
      </c>
      <c r="R33" s="194"/>
      <c r="S33" s="194"/>
      <c r="T33" s="194"/>
      <c r="U33" s="194"/>
    </row>
    <row r="34" spans="1:21" s="12" customFormat="1" ht="15">
      <c r="A34" s="197" t="s">
        <v>3054</v>
      </c>
      <c r="B34" s="60">
        <v>3.38</v>
      </c>
      <c r="C34" s="60">
        <v>10</v>
      </c>
      <c r="D34" s="60">
        <v>13.38</v>
      </c>
      <c r="E34" s="60">
        <v>5.63</v>
      </c>
      <c r="F34" s="60">
        <v>0.09</v>
      </c>
      <c r="G34" s="214" t="s">
        <v>36</v>
      </c>
      <c r="H34" s="60">
        <v>8.74</v>
      </c>
      <c r="I34" s="60">
        <v>3.01</v>
      </c>
      <c r="J34" s="60">
        <v>0.08</v>
      </c>
      <c r="K34" s="60">
        <v>342.85</v>
      </c>
      <c r="L34" s="60">
        <v>34.53</v>
      </c>
      <c r="M34" s="60">
        <v>86.87</v>
      </c>
      <c r="N34" s="60">
        <v>87.5</v>
      </c>
      <c r="O34" s="60">
        <v>0</v>
      </c>
      <c r="P34" s="60">
        <v>3.01</v>
      </c>
      <c r="Q34" s="60">
        <v>2.61</v>
      </c>
      <c r="R34" s="194"/>
      <c r="S34" s="194"/>
      <c r="T34" s="194"/>
      <c r="U34" s="194"/>
    </row>
    <row r="35" spans="1:21" s="12" customFormat="1" ht="15">
      <c r="A35" s="197" t="s">
        <v>3055</v>
      </c>
      <c r="B35" s="60">
        <v>3.95</v>
      </c>
      <c r="C35" s="60">
        <v>10.199999999999999</v>
      </c>
      <c r="D35" s="60">
        <v>14.15</v>
      </c>
      <c r="E35" s="60">
        <v>5.80</v>
      </c>
      <c r="F35" s="60">
        <v>0.02</v>
      </c>
      <c r="G35" s="214" t="s">
        <v>36</v>
      </c>
      <c r="H35" s="60">
        <v>8.74</v>
      </c>
      <c r="I35" s="60">
        <v>3.13</v>
      </c>
      <c r="J35" s="60">
        <v>0.36</v>
      </c>
      <c r="K35" s="60">
        <v>317.95</v>
      </c>
      <c r="L35" s="60">
        <v>36.14</v>
      </c>
      <c r="M35" s="60">
        <v>81.22</v>
      </c>
      <c r="N35" s="60">
        <v>139.19999999999999</v>
      </c>
      <c r="O35" s="60">
        <v>0</v>
      </c>
      <c r="P35" s="60">
        <v>3.02</v>
      </c>
      <c r="Q35" s="60">
        <v>2.70</v>
      </c>
      <c r="R35" s="194"/>
      <c r="S35" s="194"/>
      <c r="T35" s="194"/>
      <c r="U35" s="194"/>
    </row>
    <row r="36" spans="1:21" s="12" customFormat="1" ht="15">
      <c r="A36" s="197" t="s">
        <v>3056</v>
      </c>
      <c r="B36" s="60">
        <v>4.78</v>
      </c>
      <c r="C36" s="60">
        <v>10.19</v>
      </c>
      <c r="D36" s="60">
        <v>14.96</v>
      </c>
      <c r="E36" s="60">
        <v>6.05</v>
      </c>
      <c r="F36" s="60">
        <v>0.02</v>
      </c>
      <c r="G36" s="214" t="s">
        <v>36</v>
      </c>
      <c r="H36" s="60">
        <v>8.74</v>
      </c>
      <c r="I36" s="60">
        <v>3.26</v>
      </c>
      <c r="J36" s="60">
        <v>0.51</v>
      </c>
      <c r="K36" s="60">
        <v>318.14</v>
      </c>
      <c r="L36" s="60">
        <v>37.71</v>
      </c>
      <c r="M36" s="60">
        <v>76.72</v>
      </c>
      <c r="N36" s="60">
        <v>176.70</v>
      </c>
      <c r="O36" s="60">
        <v>0</v>
      </c>
      <c r="P36" s="60">
        <v>3.04</v>
      </c>
      <c r="Q36" s="60">
        <v>2.83</v>
      </c>
      <c r="R36" s="194"/>
      <c r="S36" s="194"/>
      <c r="T36" s="194"/>
      <c r="U36" s="194"/>
    </row>
    <row r="37" spans="1:21" s="12" customFormat="1" ht="15">
      <c r="A37" s="197" t="s">
        <v>3057</v>
      </c>
      <c r="B37" s="60">
        <v>5.49</v>
      </c>
      <c r="C37" s="60">
        <v>10.16</v>
      </c>
      <c r="D37" s="60">
        <v>15.65</v>
      </c>
      <c r="E37" s="60">
        <v>6.55</v>
      </c>
      <c r="F37" s="60">
        <v>0.06</v>
      </c>
      <c r="G37" s="214" t="s">
        <v>36</v>
      </c>
      <c r="H37" s="60">
        <v>9.14</v>
      </c>
      <c r="I37" s="60">
        <v>3.38</v>
      </c>
      <c r="J37" s="60">
        <v>0.87</v>
      </c>
      <c r="K37" s="60">
        <v>320.33999999999997</v>
      </c>
      <c r="L37" s="60">
        <v>38.61</v>
      </c>
      <c r="M37" s="60">
        <v>73.849999999999994</v>
      </c>
      <c r="N37" s="60">
        <v>217.90</v>
      </c>
      <c r="O37" s="60">
        <v>0</v>
      </c>
      <c r="P37" s="60">
        <v>3.04</v>
      </c>
      <c r="Q37" s="60">
        <v>2.93</v>
      </c>
      <c r="R37" s="194"/>
      <c r="S37" s="194"/>
      <c r="T37" s="194"/>
      <c r="U37" s="194"/>
    </row>
    <row r="38" spans="1:21" s="12" customFormat="1" ht="15">
      <c r="A38" s="197" t="s">
        <v>3058</v>
      </c>
      <c r="B38" s="60">
        <v>6.20</v>
      </c>
      <c r="C38" s="60">
        <v>10.80</v>
      </c>
      <c r="D38" s="60">
        <v>17</v>
      </c>
      <c r="E38" s="60">
        <v>6.32</v>
      </c>
      <c r="F38" s="60">
        <v>0.08</v>
      </c>
      <c r="G38" s="214" t="s">
        <v>36</v>
      </c>
      <c r="H38" s="60">
        <v>10.119999999999999</v>
      </c>
      <c r="I38" s="60">
        <v>3.55</v>
      </c>
      <c r="J38" s="60">
        <v>0.74</v>
      </c>
      <c r="K38" s="60">
        <v>313.11</v>
      </c>
      <c r="L38" s="60">
        <v>39.46</v>
      </c>
      <c r="M38" s="60">
        <v>72.06</v>
      </c>
      <c r="N38" s="60">
        <v>249.90</v>
      </c>
      <c r="O38" s="60">
        <v>0</v>
      </c>
      <c r="P38" s="60">
        <v>3.05</v>
      </c>
      <c r="Q38" s="60">
        <v>3.29</v>
      </c>
      <c r="R38" s="194"/>
      <c r="S38" s="194"/>
      <c r="T38" s="194"/>
      <c r="U38" s="194"/>
    </row>
    <row r="39" spans="1:21" s="12" customFormat="1" ht="15">
      <c r="A39" s="197" t="s">
        <v>3059</v>
      </c>
      <c r="B39" s="60">
        <v>6.90</v>
      </c>
      <c r="C39" s="60">
        <v>10.87</v>
      </c>
      <c r="D39" s="60">
        <v>17.77</v>
      </c>
      <c r="E39" s="60">
        <v>6.59</v>
      </c>
      <c r="F39" s="60">
        <v>0.01</v>
      </c>
      <c r="G39" s="214" t="s">
        <v>36</v>
      </c>
      <c r="H39" s="60">
        <v>10.119999999999999</v>
      </c>
      <c r="I39" s="60">
        <v>3.63</v>
      </c>
      <c r="J39" s="60">
        <v>0.26</v>
      </c>
      <c r="K39" s="60">
        <v>330.07</v>
      </c>
      <c r="L39" s="60">
        <v>39.83</v>
      </c>
      <c r="M39" s="60">
        <v>71.14</v>
      </c>
      <c r="N39" s="60">
        <v>295</v>
      </c>
      <c r="O39" s="60">
        <v>0</v>
      </c>
      <c r="P39" s="60">
        <v>3.07</v>
      </c>
      <c r="Q39" s="60">
        <v>3.55</v>
      </c>
      <c r="R39" s="194"/>
      <c r="S39" s="194"/>
      <c r="T39" s="194"/>
      <c r="U39" s="194"/>
    </row>
    <row r="40" spans="1:21" s="12" customFormat="1" ht="15">
      <c r="A40" s="197" t="s">
        <v>3060</v>
      </c>
      <c r="B40" s="60">
        <v>7.75</v>
      </c>
      <c r="C40" s="60">
        <v>11.71</v>
      </c>
      <c r="D40" s="60">
        <v>19.46</v>
      </c>
      <c r="E40" s="60">
        <v>4.01</v>
      </c>
      <c r="F40" s="60">
        <v>0.09</v>
      </c>
      <c r="G40" s="214" t="s">
        <v>36</v>
      </c>
      <c r="H40" s="60">
        <v>10.119999999999999</v>
      </c>
      <c r="I40" s="60">
        <v>3.68</v>
      </c>
      <c r="J40" s="60">
        <v>0.30</v>
      </c>
      <c r="K40" s="60">
        <v>308.70999999999998</v>
      </c>
      <c r="L40" s="60">
        <v>40.340000000000003</v>
      </c>
      <c r="M40" s="60">
        <v>69.83</v>
      </c>
      <c r="N40" s="60">
        <v>341.5</v>
      </c>
      <c r="O40" s="60">
        <v>0</v>
      </c>
      <c r="P40" s="60">
        <v>3.09</v>
      </c>
      <c r="Q40" s="60">
        <v>4.34</v>
      </c>
      <c r="R40" s="194"/>
      <c r="S40" s="194"/>
      <c r="T40" s="194"/>
      <c r="U40" s="194"/>
    </row>
    <row r="41" spans="1:21" s="12" customFormat="1" ht="15">
      <c r="A41" s="197" t="s">
        <v>3061</v>
      </c>
      <c r="B41" s="60">
        <v>8.18</v>
      </c>
      <c r="C41" s="60">
        <v>12.37</v>
      </c>
      <c r="D41" s="60">
        <v>20.55</v>
      </c>
      <c r="E41" s="60">
        <v>6.33</v>
      </c>
      <c r="F41" s="60">
        <v>0.18</v>
      </c>
      <c r="G41" s="214" t="s">
        <v>36</v>
      </c>
      <c r="H41" s="60">
        <v>13.49</v>
      </c>
      <c r="I41" s="60">
        <v>3.74</v>
      </c>
      <c r="J41" s="60">
        <v>0.070000000000000007</v>
      </c>
      <c r="K41" s="60">
        <v>193.30</v>
      </c>
      <c r="L41" s="60">
        <v>38.40</v>
      </c>
      <c r="M41" s="60">
        <v>75.69</v>
      </c>
      <c r="N41" s="60">
        <v>453.10</v>
      </c>
      <c r="O41" s="60">
        <v>0</v>
      </c>
      <c r="P41" s="60">
        <v>3.10</v>
      </c>
      <c r="Q41" s="60">
        <v>4.93</v>
      </c>
      <c r="R41" s="194"/>
      <c r="S41" s="194"/>
      <c r="T41" s="194"/>
      <c r="U41" s="194"/>
    </row>
    <row r="42" spans="1:21" s="12" customFormat="1" ht="15">
      <c r="A42" s="197" t="s">
        <v>3062</v>
      </c>
      <c r="B42" s="60">
        <v>7.62</v>
      </c>
      <c r="C42" s="60">
        <v>12.86</v>
      </c>
      <c r="D42" s="60">
        <v>20.48</v>
      </c>
      <c r="E42" s="60">
        <v>6.30</v>
      </c>
      <c r="F42" s="60">
        <v>0.18</v>
      </c>
      <c r="G42" s="214" t="s">
        <v>36</v>
      </c>
      <c r="H42" s="60">
        <v>21.78</v>
      </c>
      <c r="I42" s="60">
        <v>3.82</v>
      </c>
      <c r="J42" s="60">
        <v>0.14000000000000001</v>
      </c>
      <c r="K42" s="60">
        <v>188.05</v>
      </c>
      <c r="L42" s="60">
        <v>38.85</v>
      </c>
      <c r="M42" s="60">
        <v>75.069999999999993</v>
      </c>
      <c r="N42" s="60">
        <v>520.90</v>
      </c>
      <c r="O42" s="60">
        <v>0</v>
      </c>
      <c r="P42" s="60">
        <v>3.10</v>
      </c>
      <c r="Q42" s="60">
        <v>5.0999999999999996</v>
      </c>
      <c r="R42" s="194"/>
      <c r="S42" s="194"/>
      <c r="T42" s="194"/>
      <c r="U42" s="194"/>
    </row>
    <row r="43" spans="1:21" s="12" customFormat="1" ht="15">
      <c r="A43" s="197" t="s">
        <v>3063</v>
      </c>
      <c r="B43" s="60">
        <v>6.63</v>
      </c>
      <c r="C43" s="60">
        <v>13.40</v>
      </c>
      <c r="D43" s="60">
        <v>20.03</v>
      </c>
      <c r="E43" s="60">
        <v>6.22</v>
      </c>
      <c r="F43" s="60">
        <v>0.30</v>
      </c>
      <c r="G43" s="214" t="s">
        <v>36</v>
      </c>
      <c r="H43" s="60">
        <v>21.78</v>
      </c>
      <c r="I43" s="60">
        <v>3.91</v>
      </c>
      <c r="J43" s="60">
        <v>0.02</v>
      </c>
      <c r="K43" s="60">
        <v>313.95999999999998</v>
      </c>
      <c r="L43" s="60">
        <v>39.26</v>
      </c>
      <c r="M43" s="60">
        <v>74.069999999999993</v>
      </c>
      <c r="N43" s="60">
        <v>443.20</v>
      </c>
      <c r="O43" s="60">
        <v>0</v>
      </c>
      <c r="P43" s="60">
        <v>3.10</v>
      </c>
      <c r="Q43" s="60">
        <v>5.04</v>
      </c>
      <c r="R43" s="194"/>
      <c r="S43" s="194"/>
      <c r="T43" s="194"/>
      <c r="U43" s="194"/>
    </row>
    <row r="44" spans="1:21" s="12" customFormat="1" ht="15">
      <c r="A44" s="197" t="s">
        <v>3064</v>
      </c>
      <c r="B44" s="60">
        <v>5.75</v>
      </c>
      <c r="C44" s="60">
        <v>13.77</v>
      </c>
      <c r="D44" s="60">
        <v>19.52</v>
      </c>
      <c r="E44" s="60">
        <v>5.88</v>
      </c>
      <c r="F44" s="60">
        <v>0.32</v>
      </c>
      <c r="G44" s="214" t="s">
        <v>36</v>
      </c>
      <c r="H44" s="60">
        <v>21.78</v>
      </c>
      <c r="I44" s="60">
        <v>3.91</v>
      </c>
      <c r="J44" s="60">
        <v>0.05</v>
      </c>
      <c r="K44" s="60">
        <v>349.61</v>
      </c>
      <c r="L44" s="60">
        <v>39.770000000000003</v>
      </c>
      <c r="M44" s="60">
        <v>72.56</v>
      </c>
      <c r="N44" s="60">
        <v>502.30</v>
      </c>
      <c r="O44" s="60">
        <v>0</v>
      </c>
      <c r="P44" s="60">
        <v>3.11</v>
      </c>
      <c r="Q44" s="60">
        <v>4.87</v>
      </c>
      <c r="R44" s="194"/>
      <c r="S44" s="194"/>
      <c r="T44" s="194"/>
      <c r="U44" s="194"/>
    </row>
    <row r="45" spans="1:21" s="12" customFormat="1" ht="15">
      <c r="A45" s="197" t="s">
        <v>3065</v>
      </c>
      <c r="B45" s="60">
        <v>5.12</v>
      </c>
      <c r="C45" s="60">
        <v>14.12</v>
      </c>
      <c r="D45" s="60">
        <v>19.239999999999998</v>
      </c>
      <c r="E45" s="60">
        <v>5.83</v>
      </c>
      <c r="F45" s="60">
        <v>0.55000000000000004</v>
      </c>
      <c r="G45" s="214" t="s">
        <v>36</v>
      </c>
      <c r="H45" s="60">
        <v>22.75</v>
      </c>
      <c r="I45" s="60">
        <v>3.89</v>
      </c>
      <c r="J45" s="60">
        <v>0.25</v>
      </c>
      <c r="K45" s="60">
        <v>327.74</v>
      </c>
      <c r="L45" s="60">
        <v>41.28</v>
      </c>
      <c r="M45" s="60">
        <v>68.92</v>
      </c>
      <c r="N45" s="60">
        <v>626.79999999999995</v>
      </c>
      <c r="O45" s="60">
        <v>0</v>
      </c>
      <c r="P45" s="60">
        <v>3.11</v>
      </c>
      <c r="Q45" s="60">
        <v>4.66</v>
      </c>
      <c r="R45" s="194"/>
      <c r="S45" s="194"/>
      <c r="T45" s="194"/>
      <c r="U45" s="194"/>
    </row>
    <row r="46" spans="1:21" s="12" customFormat="1" ht="15">
      <c r="A46" s="197" t="s">
        <v>3066</v>
      </c>
      <c r="B46" s="60">
        <v>4.78</v>
      </c>
      <c r="C46" s="60">
        <v>14.60</v>
      </c>
      <c r="D46" s="60">
        <v>19.38</v>
      </c>
      <c r="E46" s="60">
        <v>5.91</v>
      </c>
      <c r="F46" s="60">
        <v>0.22</v>
      </c>
      <c r="G46" s="214" t="s">
        <v>36</v>
      </c>
      <c r="H46" s="60">
        <v>25.15</v>
      </c>
      <c r="I46" s="60">
        <v>3.90</v>
      </c>
      <c r="J46" s="60">
        <v>0.35</v>
      </c>
      <c r="K46" s="60">
        <v>329.63</v>
      </c>
      <c r="L46" s="60">
        <v>42.43</v>
      </c>
      <c r="M46" s="60">
        <v>66.02</v>
      </c>
      <c r="N46" s="60">
        <v>533.90</v>
      </c>
      <c r="O46" s="60">
        <v>0</v>
      </c>
      <c r="P46" s="60">
        <v>3.12</v>
      </c>
      <c r="Q46" s="60">
        <v>4.43</v>
      </c>
      <c r="R46" s="194"/>
      <c r="S46" s="194"/>
      <c r="T46" s="194"/>
      <c r="U46" s="194"/>
    </row>
    <row r="47" spans="1:21" s="12" customFormat="1" ht="15">
      <c r="A47" s="197" t="s">
        <v>3067</v>
      </c>
      <c r="B47" s="60">
        <v>4.55</v>
      </c>
      <c r="C47" s="60">
        <v>14.94</v>
      </c>
      <c r="D47" s="60">
        <v>19.489999999999998</v>
      </c>
      <c r="E47" s="60">
        <v>5.77</v>
      </c>
      <c r="F47" s="60">
        <v>0.24</v>
      </c>
      <c r="G47" s="214" t="s">
        <v>36</v>
      </c>
      <c r="H47" s="60">
        <v>25.15</v>
      </c>
      <c r="I47" s="60">
        <v>3.96</v>
      </c>
      <c r="J47" s="60">
        <v>0.04</v>
      </c>
      <c r="K47" s="60">
        <v>21.84</v>
      </c>
      <c r="L47" s="60">
        <v>42.02</v>
      </c>
      <c r="M47" s="60">
        <v>67.349999999999994</v>
      </c>
      <c r="N47" s="60">
        <v>666.40</v>
      </c>
      <c r="O47" s="60">
        <v>0</v>
      </c>
      <c r="P47" s="60">
        <v>3.14</v>
      </c>
      <c r="Q47" s="60">
        <v>4.13</v>
      </c>
      <c r="R47" s="194"/>
      <c r="S47" s="194"/>
      <c r="T47" s="194"/>
      <c r="U47" s="194"/>
    </row>
    <row r="48" spans="1:21" s="12" customFormat="1" ht="15">
      <c r="A48" s="197" t="s">
        <v>3068</v>
      </c>
      <c r="B48" s="60">
        <v>3.85</v>
      </c>
      <c r="C48" s="60">
        <v>15.36</v>
      </c>
      <c r="D48" s="60">
        <v>19.21</v>
      </c>
      <c r="E48" s="60">
        <v>6.05</v>
      </c>
      <c r="F48" s="60">
        <v>0.73</v>
      </c>
      <c r="G48" s="214" t="s">
        <v>36</v>
      </c>
      <c r="H48" s="60">
        <v>25.15</v>
      </c>
      <c r="I48" s="60">
        <v>4</v>
      </c>
      <c r="J48" s="60">
        <v>0.21</v>
      </c>
      <c r="K48" s="60">
        <v>331.30</v>
      </c>
      <c r="L48" s="60">
        <v>40.99</v>
      </c>
      <c r="M48" s="60">
        <v>70.64</v>
      </c>
      <c r="N48" s="60">
        <v>393.5</v>
      </c>
      <c r="O48" s="60">
        <v>0</v>
      </c>
      <c r="P48" s="60">
        <v>3.15</v>
      </c>
      <c r="Q48" s="60">
        <v>3.60</v>
      </c>
      <c r="R48" s="194"/>
      <c r="S48" s="194"/>
      <c r="T48" s="194"/>
      <c r="U48" s="194"/>
    </row>
    <row r="49" spans="1:21" s="12" customFormat="1" ht="15">
      <c r="A49" s="197" t="s">
        <v>3069</v>
      </c>
      <c r="B49" s="60">
        <v>3.38</v>
      </c>
      <c r="C49" s="60">
        <v>16.02</v>
      </c>
      <c r="D49" s="60">
        <v>19.399999999999999</v>
      </c>
      <c r="E49" s="60">
        <v>5.52</v>
      </c>
      <c r="F49" s="60">
        <v>0.32</v>
      </c>
      <c r="G49" s="214" t="s">
        <v>36</v>
      </c>
      <c r="H49" s="60">
        <v>24.51</v>
      </c>
      <c r="I49" s="60">
        <v>4.05</v>
      </c>
      <c r="J49" s="60">
        <v>0.46</v>
      </c>
      <c r="K49" s="60">
        <v>332.36</v>
      </c>
      <c r="L49" s="60">
        <v>42.45</v>
      </c>
      <c r="M49" s="60">
        <v>66.33</v>
      </c>
      <c r="N49" s="60">
        <v>714.5</v>
      </c>
      <c r="O49" s="60">
        <v>0</v>
      </c>
      <c r="P49" s="60">
        <v>3.17</v>
      </c>
      <c r="Q49" s="60">
        <v>3.53</v>
      </c>
      <c r="R49" s="194"/>
      <c r="S49" s="194"/>
      <c r="T49" s="194"/>
      <c r="U49" s="194"/>
    </row>
    <row r="50" spans="1:21" s="12" customFormat="1" ht="15">
      <c r="A50" s="197" t="s">
        <v>3070</v>
      </c>
      <c r="B50" s="60">
        <v>3.52</v>
      </c>
      <c r="C50" s="60">
        <v>16.190000000000001</v>
      </c>
      <c r="D50" s="60">
        <v>19.71</v>
      </c>
      <c r="E50" s="60">
        <v>5.57</v>
      </c>
      <c r="F50" s="60">
        <v>0.49</v>
      </c>
      <c r="G50" s="214" t="s">
        <v>36</v>
      </c>
      <c r="H50" s="60">
        <v>22.96</v>
      </c>
      <c r="I50" s="60">
        <v>4.1500000000000004</v>
      </c>
      <c r="J50" s="60">
        <v>0.28999999999999998</v>
      </c>
      <c r="K50" s="60">
        <v>328.96</v>
      </c>
      <c r="L50" s="60">
        <v>43.68</v>
      </c>
      <c r="M50" s="60">
        <v>63.43</v>
      </c>
      <c r="N50" s="60">
        <v>659.80</v>
      </c>
      <c r="O50" s="60">
        <v>0</v>
      </c>
      <c r="P50" s="60">
        <v>3.20</v>
      </c>
      <c r="Q50" s="60">
        <v>3.40</v>
      </c>
      <c r="R50" s="194"/>
      <c r="S50" s="194"/>
      <c r="T50" s="194"/>
      <c r="U50" s="194"/>
    </row>
    <row r="51" spans="1:21" s="12" customFormat="1" ht="15">
      <c r="A51" s="197" t="s">
        <v>3071</v>
      </c>
      <c r="B51" s="60">
        <v>3.42</v>
      </c>
      <c r="C51" s="60">
        <v>16.46</v>
      </c>
      <c r="D51" s="60">
        <v>19.88</v>
      </c>
      <c r="E51" s="60">
        <v>5.63</v>
      </c>
      <c r="F51" s="60">
        <v>0.71</v>
      </c>
      <c r="G51" s="214" t="s">
        <v>36</v>
      </c>
      <c r="H51" s="60">
        <v>22.96</v>
      </c>
      <c r="I51" s="60">
        <v>4.28</v>
      </c>
      <c r="J51" s="60">
        <v>0.18</v>
      </c>
      <c r="K51" s="60">
        <v>333.84</v>
      </c>
      <c r="L51" s="60">
        <v>42.56</v>
      </c>
      <c r="M51" s="60">
        <v>65.92</v>
      </c>
      <c r="N51" s="60">
        <v>764.70</v>
      </c>
      <c r="O51" s="60">
        <v>0</v>
      </c>
      <c r="P51" s="60">
        <v>3.21</v>
      </c>
      <c r="Q51" s="60">
        <v>3.35</v>
      </c>
      <c r="R51" s="194"/>
      <c r="S51" s="194"/>
      <c r="T51" s="194"/>
      <c r="U51" s="194"/>
    </row>
    <row r="52" spans="1:21" s="12" customFormat="1" ht="15">
      <c r="A52" s="197" t="s">
        <v>3072</v>
      </c>
      <c r="B52" s="60">
        <v>2.94</v>
      </c>
      <c r="C52" s="60">
        <v>16.899999999999999</v>
      </c>
      <c r="D52" s="60">
        <v>19.84</v>
      </c>
      <c r="E52" s="60">
        <v>5.72</v>
      </c>
      <c r="F52" s="60">
        <v>0.70</v>
      </c>
      <c r="G52" s="214" t="s">
        <v>36</v>
      </c>
      <c r="H52" s="60">
        <v>22.96</v>
      </c>
      <c r="I52" s="60">
        <v>4.41</v>
      </c>
      <c r="J52" s="60">
        <v>0.28999999999999998</v>
      </c>
      <c r="K52" s="60">
        <v>318.83999999999997</v>
      </c>
      <c r="L52" s="60">
        <v>44.23</v>
      </c>
      <c r="M52" s="60">
        <v>61.44</v>
      </c>
      <c r="N52" s="60">
        <v>847.5</v>
      </c>
      <c r="O52" s="60">
        <v>0</v>
      </c>
      <c r="P52" s="60">
        <v>3.23</v>
      </c>
      <c r="Q52" s="60">
        <v>3.22</v>
      </c>
      <c r="R52" s="194"/>
      <c r="S52" s="194"/>
      <c r="T52" s="194"/>
      <c r="U52" s="194"/>
    </row>
    <row r="53" spans="1:21" s="12" customFormat="1" ht="15">
      <c r="A53" s="197" t="s">
        <v>3073</v>
      </c>
      <c r="B53" s="60">
        <v>2.90</v>
      </c>
      <c r="C53" s="60">
        <v>16.97</v>
      </c>
      <c r="D53" s="60">
        <v>19.88</v>
      </c>
      <c r="E53" s="60">
        <v>5.89</v>
      </c>
      <c r="F53" s="60">
        <v>0.83</v>
      </c>
      <c r="G53" s="214" t="s">
        <v>36</v>
      </c>
      <c r="H53" s="60">
        <v>21.09</v>
      </c>
      <c r="I53" s="60">
        <v>4.54</v>
      </c>
      <c r="J53" s="60">
        <v>0.14000000000000001</v>
      </c>
      <c r="K53" s="60">
        <v>282.44</v>
      </c>
      <c r="L53" s="60">
        <v>42.83</v>
      </c>
      <c r="M53" s="60">
        <v>63.49</v>
      </c>
      <c r="N53" s="60">
        <v>592.40</v>
      </c>
      <c r="O53" s="60">
        <v>0</v>
      </c>
      <c r="P53" s="60">
        <v>3.23</v>
      </c>
      <c r="Q53" s="60">
        <v>3.17</v>
      </c>
      <c r="R53" s="194"/>
      <c r="S53" s="194"/>
      <c r="T53" s="194"/>
      <c r="U53" s="194"/>
    </row>
    <row r="54" spans="1:21" s="12" customFormat="1" ht="15">
      <c r="A54" s="197" t="s">
        <v>3074</v>
      </c>
      <c r="B54" s="60">
        <v>2.69</v>
      </c>
      <c r="C54" s="60">
        <v>16.59</v>
      </c>
      <c r="D54" s="60">
        <v>19.28</v>
      </c>
      <c r="E54" s="60">
        <v>5.48</v>
      </c>
      <c r="F54" s="60">
        <v>1.01</v>
      </c>
      <c r="G54" s="214" t="s">
        <v>36</v>
      </c>
      <c r="H54" s="60">
        <v>16.489999999999998</v>
      </c>
      <c r="I54" s="60">
        <v>4.6100000000000003</v>
      </c>
      <c r="J54" s="60">
        <v>0.20</v>
      </c>
      <c r="K54" s="60">
        <v>200.13</v>
      </c>
      <c r="L54" s="60">
        <v>41.98</v>
      </c>
      <c r="M54" s="60">
        <v>65.099999999999994</v>
      </c>
      <c r="N54" s="60">
        <v>627.40</v>
      </c>
      <c r="O54" s="60">
        <v>0</v>
      </c>
      <c r="P54" s="60">
        <v>3.23</v>
      </c>
      <c r="Q54" s="60">
        <v>3.26</v>
      </c>
      <c r="R54" s="194"/>
      <c r="S54" s="194"/>
      <c r="T54" s="194"/>
      <c r="U54" s="194"/>
    </row>
    <row r="55" spans="1:21" s="12" customFormat="1" ht="15">
      <c r="A55" s="197" t="s">
        <v>3075</v>
      </c>
      <c r="B55" s="60">
        <v>2.2400000000000002</v>
      </c>
      <c r="C55" s="60">
        <v>15.89</v>
      </c>
      <c r="D55" s="60">
        <v>18.13</v>
      </c>
      <c r="E55" s="60">
        <v>5.83</v>
      </c>
      <c r="F55" s="60">
        <v>1.24</v>
      </c>
      <c r="G55" s="214" t="s">
        <v>36</v>
      </c>
      <c r="H55" s="60">
        <v>16.489999999999998</v>
      </c>
      <c r="I55" s="60">
        <v>4.57</v>
      </c>
      <c r="J55" s="60">
        <v>0.71</v>
      </c>
      <c r="K55" s="60">
        <v>329.92</v>
      </c>
      <c r="L55" s="60">
        <v>42.87</v>
      </c>
      <c r="M55" s="60">
        <v>61.76</v>
      </c>
      <c r="N55" s="60">
        <v>459</v>
      </c>
      <c r="O55" s="60">
        <v>0</v>
      </c>
      <c r="P55" s="60">
        <v>3.23</v>
      </c>
      <c r="Q55" s="60">
        <v>3.58</v>
      </c>
      <c r="R55" s="194"/>
      <c r="S55" s="194"/>
      <c r="T55" s="194"/>
      <c r="U55" s="194"/>
    </row>
    <row r="56" spans="1:21" s="12" customFormat="1" ht="15">
      <c r="A56" s="197" t="s">
        <v>3076</v>
      </c>
      <c r="B56" s="60">
        <v>2.57</v>
      </c>
      <c r="C56" s="60">
        <v>15.90</v>
      </c>
      <c r="D56" s="60">
        <v>18.47</v>
      </c>
      <c r="E56" s="60">
        <v>2.2799999999999998</v>
      </c>
      <c r="F56" s="60">
        <v>0.81</v>
      </c>
      <c r="G56" s="214" t="s">
        <v>36</v>
      </c>
      <c r="H56" s="60">
        <v>16.489999999999998</v>
      </c>
      <c r="I56" s="60">
        <v>4.5199999999999996</v>
      </c>
      <c r="J56" s="60">
        <v>0.28999999999999998</v>
      </c>
      <c r="K56" s="60">
        <v>324.75</v>
      </c>
      <c r="L56" s="60">
        <v>49.59</v>
      </c>
      <c r="M56" s="60">
        <v>58.03</v>
      </c>
      <c r="N56" s="60">
        <v>875.40</v>
      </c>
      <c r="O56" s="60">
        <v>0</v>
      </c>
      <c r="P56" s="60">
        <v>3.24</v>
      </c>
      <c r="Q56" s="60">
        <v>4.04</v>
      </c>
      <c r="R56" s="194"/>
      <c r="S56" s="194"/>
      <c r="T56" s="194"/>
      <c r="U56" s="194"/>
    </row>
    <row r="57" spans="1:21" s="12" customFormat="1" ht="15">
      <c r="A57" s="197" t="s">
        <v>3077</v>
      </c>
      <c r="B57" s="60">
        <v>2.80</v>
      </c>
      <c r="C57" s="60">
        <v>15.75</v>
      </c>
      <c r="D57" s="60">
        <v>18.55</v>
      </c>
      <c r="E57" s="60">
        <v>5.05</v>
      </c>
      <c r="F57" s="60">
        <v>0.99</v>
      </c>
      <c r="G57" s="214" t="s">
        <v>36</v>
      </c>
      <c r="H57" s="60">
        <v>18.23</v>
      </c>
      <c r="I57" s="60">
        <v>4.47</v>
      </c>
      <c r="J57" s="60">
        <v>0.25</v>
      </c>
      <c r="K57" s="60">
        <v>157.72999999999999</v>
      </c>
      <c r="L57" s="60">
        <v>49.04</v>
      </c>
      <c r="M57" s="60">
        <v>57.40</v>
      </c>
      <c r="N57" s="60">
        <v>665.40</v>
      </c>
      <c r="O57" s="60">
        <v>0</v>
      </c>
      <c r="P57" s="60">
        <v>3.24</v>
      </c>
      <c r="Q57" s="60">
        <v>4.3600000000000003</v>
      </c>
      <c r="R57" s="194"/>
      <c r="S57" s="194"/>
      <c r="T57" s="194"/>
      <c r="U57" s="194"/>
    </row>
    <row r="58" spans="1:21" s="12" customFormat="1" ht="15">
      <c r="A58" s="197" t="s">
        <v>3078</v>
      </c>
      <c r="B58" s="60">
        <v>2.77</v>
      </c>
      <c r="C58" s="60">
        <v>15.91</v>
      </c>
      <c r="D58" s="60">
        <v>18.670000000000002</v>
      </c>
      <c r="E58" s="60">
        <v>5.24</v>
      </c>
      <c r="F58" s="60">
        <v>0.84</v>
      </c>
      <c r="G58" s="214" t="s">
        <v>36</v>
      </c>
      <c r="H58" s="60">
        <v>22.5</v>
      </c>
      <c r="I58" s="60">
        <v>4.54</v>
      </c>
      <c r="J58" s="60">
        <v>0.28000000000000003</v>
      </c>
      <c r="K58" s="60">
        <v>323.20999999999998</v>
      </c>
      <c r="L58" s="60">
        <v>49.02</v>
      </c>
      <c r="M58" s="60">
        <v>57.89</v>
      </c>
      <c r="N58" s="60">
        <v>425.10</v>
      </c>
      <c r="O58" s="60">
        <v>0</v>
      </c>
      <c r="P58" s="60">
        <v>3.24</v>
      </c>
      <c r="Q58" s="60">
        <v>4.34</v>
      </c>
      <c r="R58" s="194"/>
      <c r="S58" s="194"/>
      <c r="T58" s="194"/>
      <c r="U58" s="194"/>
    </row>
    <row r="59" spans="1:21" s="12" customFormat="1" ht="15">
      <c r="A59" s="197" t="s">
        <v>3079</v>
      </c>
      <c r="B59" s="60">
        <v>3.03</v>
      </c>
      <c r="C59" s="60">
        <v>16.07</v>
      </c>
      <c r="D59" s="60">
        <v>19.100000000000001</v>
      </c>
      <c r="E59" s="60">
        <v>5.52</v>
      </c>
      <c r="F59" s="60">
        <v>0.89</v>
      </c>
      <c r="G59" s="214" t="s">
        <v>36</v>
      </c>
      <c r="H59" s="60">
        <v>22.5</v>
      </c>
      <c r="I59" s="60">
        <v>4.4800000000000004</v>
      </c>
      <c r="J59" s="60">
        <v>0.12</v>
      </c>
      <c r="K59" s="60">
        <v>308.26</v>
      </c>
      <c r="L59" s="60">
        <v>49.57</v>
      </c>
      <c r="M59" s="60">
        <v>54.85</v>
      </c>
      <c r="N59" s="60">
        <v>1033</v>
      </c>
      <c r="O59" s="60">
        <v>0</v>
      </c>
      <c r="P59" s="60">
        <v>3.25</v>
      </c>
      <c r="Q59" s="60">
        <v>4.54</v>
      </c>
      <c r="R59" s="194"/>
      <c r="S59" s="194"/>
      <c r="T59" s="194"/>
      <c r="U59" s="194"/>
    </row>
    <row r="60" spans="1:21" s="12" customFormat="1" ht="15">
      <c r="A60" s="197" t="s">
        <v>3080</v>
      </c>
      <c r="B60" s="60">
        <v>2.93</v>
      </c>
      <c r="C60" s="60">
        <v>16.559999999999999</v>
      </c>
      <c r="D60" s="60">
        <v>19.48</v>
      </c>
      <c r="E60" s="60">
        <v>4.96</v>
      </c>
      <c r="F60" s="60">
        <v>0.64</v>
      </c>
      <c r="G60" s="214" t="s">
        <v>36</v>
      </c>
      <c r="H60" s="60">
        <v>22.5</v>
      </c>
      <c r="I60" s="60">
        <v>4.45</v>
      </c>
      <c r="J60" s="60">
        <v>0.05</v>
      </c>
      <c r="K60" s="60">
        <v>293.23</v>
      </c>
      <c r="L60" s="60">
        <v>48.77</v>
      </c>
      <c r="M60" s="60">
        <v>56.81</v>
      </c>
      <c r="N60" s="60">
        <v>504.30</v>
      </c>
      <c r="O60" s="60">
        <v>0</v>
      </c>
      <c r="P60" s="60">
        <v>3.24</v>
      </c>
      <c r="Q60" s="60">
        <v>4.57</v>
      </c>
      <c r="R60" s="194"/>
      <c r="S60" s="194"/>
      <c r="T60" s="194"/>
      <c r="U60" s="194"/>
    </row>
    <row r="61" spans="1:21" s="12" customFormat="1" ht="15">
      <c r="A61" s="197" t="s">
        <v>3081</v>
      </c>
      <c r="B61" s="60">
        <v>2.84</v>
      </c>
      <c r="C61" s="60">
        <v>16.38</v>
      </c>
      <c r="D61" s="60">
        <v>19.22</v>
      </c>
      <c r="E61" s="60">
        <v>5.0199999999999996</v>
      </c>
      <c r="F61" s="60">
        <v>0.98</v>
      </c>
      <c r="G61" s="214" t="s">
        <v>36</v>
      </c>
      <c r="H61" s="60">
        <v>22.70</v>
      </c>
      <c r="I61" s="60">
        <v>4.4800000000000004</v>
      </c>
      <c r="J61" s="60">
        <v>0.05</v>
      </c>
      <c r="K61" s="60">
        <v>315.56</v>
      </c>
      <c r="L61" s="10" t="s">
        <v>43</v>
      </c>
      <c r="M61" s="60">
        <v>55.91</v>
      </c>
      <c r="N61" s="60">
        <v>402.90</v>
      </c>
      <c r="O61" s="60">
        <v>0</v>
      </c>
      <c r="P61" s="60">
        <v>3.23</v>
      </c>
      <c r="Q61" s="60">
        <v>4.01</v>
      </c>
      <c r="R61" s="194"/>
      <c r="S61" s="194"/>
      <c r="T61" s="194"/>
      <c r="U61" s="194"/>
    </row>
    <row r="62" spans="1:21" s="12" customFormat="1" ht="15">
      <c r="A62" s="197" t="s">
        <v>3082</v>
      </c>
      <c r="B62" s="60">
        <v>2.76</v>
      </c>
      <c r="C62" s="60">
        <v>16.91</v>
      </c>
      <c r="D62" s="60">
        <v>19.68</v>
      </c>
      <c r="E62" s="60">
        <v>5.14</v>
      </c>
      <c r="F62" s="60">
        <v>0.79</v>
      </c>
      <c r="G62" s="214" t="s">
        <v>36</v>
      </c>
      <c r="H62" s="60">
        <v>23.18</v>
      </c>
      <c r="I62" s="60">
        <v>4.30</v>
      </c>
      <c r="J62" s="60">
        <v>0.11</v>
      </c>
      <c r="K62" s="60">
        <v>200.02</v>
      </c>
      <c r="L62" s="10" t="s">
        <v>43</v>
      </c>
      <c r="M62" s="60">
        <v>57.47</v>
      </c>
      <c r="N62" s="60">
        <v>929.70</v>
      </c>
      <c r="O62" s="60">
        <v>0</v>
      </c>
      <c r="P62" s="60">
        <v>3.24</v>
      </c>
      <c r="Q62" s="60">
        <v>4</v>
      </c>
      <c r="R62" s="194"/>
      <c r="S62" s="194"/>
      <c r="T62" s="194"/>
      <c r="U62" s="194"/>
    </row>
    <row r="63" spans="1:21" s="12" customFormat="1" ht="15">
      <c r="A63" s="197" t="s">
        <v>3083</v>
      </c>
      <c r="B63" s="60">
        <v>2.06</v>
      </c>
      <c r="C63" s="60">
        <v>15.97</v>
      </c>
      <c r="D63" s="60">
        <v>18.03</v>
      </c>
      <c r="E63" s="60">
        <v>4.82</v>
      </c>
      <c r="F63" s="60">
        <v>1.37</v>
      </c>
      <c r="G63" s="214" t="s">
        <v>36</v>
      </c>
      <c r="H63" s="60">
        <v>23.18</v>
      </c>
      <c r="I63" s="60">
        <v>4.47</v>
      </c>
      <c r="J63" s="60">
        <v>0.32</v>
      </c>
      <c r="K63" s="60">
        <v>184.38</v>
      </c>
      <c r="L63" s="10" t="s">
        <v>43</v>
      </c>
      <c r="M63" s="60">
        <v>56.54</v>
      </c>
      <c r="N63" s="60">
        <v>904.30</v>
      </c>
      <c r="O63" s="60">
        <v>0</v>
      </c>
      <c r="P63" s="60">
        <v>3.22</v>
      </c>
      <c r="Q63" s="60">
        <v>3</v>
      </c>
      <c r="R63" s="194"/>
      <c r="S63" s="194"/>
      <c r="T63" s="194"/>
      <c r="U63" s="194"/>
    </row>
    <row r="64" spans="1:21" s="12" customFormat="1" ht="15">
      <c r="A64" s="197" t="s">
        <v>3084</v>
      </c>
      <c r="B64" s="60">
        <v>1.45</v>
      </c>
      <c r="C64" s="60">
        <v>16.5</v>
      </c>
      <c r="D64" s="60">
        <v>17.95</v>
      </c>
      <c r="E64" s="60">
        <v>5.01</v>
      </c>
      <c r="F64" s="60">
        <v>1.1299999999999999</v>
      </c>
      <c r="G64" s="214" t="s">
        <v>36</v>
      </c>
      <c r="H64" s="60">
        <v>23.18</v>
      </c>
      <c r="I64" s="60">
        <v>4.46</v>
      </c>
      <c r="J64" s="60">
        <v>0.09</v>
      </c>
      <c r="K64" s="60">
        <v>1.08</v>
      </c>
      <c r="L64" s="10" t="s">
        <v>43</v>
      </c>
      <c r="M64" s="60">
        <v>55.89</v>
      </c>
      <c r="N64" s="60">
        <v>767.10</v>
      </c>
      <c r="O64" s="60">
        <v>0</v>
      </c>
      <c r="P64" s="60">
        <v>3.22</v>
      </c>
      <c r="Q64" s="60">
        <v>3.05</v>
      </c>
      <c r="R64" s="194"/>
      <c r="S64" s="194"/>
      <c r="T64" s="194"/>
      <c r="U64" s="194"/>
    </row>
    <row r="65" spans="1:21" s="12" customFormat="1" ht="15">
      <c r="A65" s="197" t="s">
        <v>3085</v>
      </c>
      <c r="B65" s="60">
        <v>1.24</v>
      </c>
      <c r="C65" s="60">
        <v>16.399999999999999</v>
      </c>
      <c r="D65" s="60">
        <v>17.64</v>
      </c>
      <c r="E65" s="60">
        <v>5.05</v>
      </c>
      <c r="F65" s="60">
        <v>2.06</v>
      </c>
      <c r="G65" s="214" t="s">
        <v>36</v>
      </c>
      <c r="H65" s="60">
        <v>23.07</v>
      </c>
      <c r="I65" s="60">
        <v>4.3899999999999997</v>
      </c>
      <c r="J65" s="60">
        <v>0.13</v>
      </c>
      <c r="K65" s="60">
        <v>30.11</v>
      </c>
      <c r="L65" s="10" t="s">
        <v>43</v>
      </c>
      <c r="M65" s="60">
        <v>59.42</v>
      </c>
      <c r="N65" s="60">
        <v>865</v>
      </c>
      <c r="O65" s="60">
        <v>0</v>
      </c>
      <c r="P65" s="60">
        <v>3.22</v>
      </c>
      <c r="Q65" s="60">
        <v>2.58</v>
      </c>
      <c r="R65" s="194"/>
      <c r="S65" s="194"/>
      <c r="T65" s="194"/>
      <c r="U65" s="194"/>
    </row>
    <row r="66" spans="1:21" s="12" customFormat="1" ht="15">
      <c r="A66" s="197" t="s">
        <v>3086</v>
      </c>
      <c r="B66" s="60">
        <v>1.06</v>
      </c>
      <c r="C66" s="60">
        <v>17.78</v>
      </c>
      <c r="D66" s="60">
        <v>18.850000000000001</v>
      </c>
      <c r="E66" s="60">
        <v>4.95</v>
      </c>
      <c r="F66" s="60">
        <v>2.0499999999999998</v>
      </c>
      <c r="G66" s="214" t="s">
        <v>36</v>
      </c>
      <c r="H66" s="60">
        <v>22.82</v>
      </c>
      <c r="I66" s="60">
        <v>4.4000000000000004</v>
      </c>
      <c r="J66" s="60">
        <v>0.09</v>
      </c>
      <c r="K66" s="60">
        <v>23.93</v>
      </c>
      <c r="L66" s="10" t="s">
        <v>43</v>
      </c>
      <c r="M66" s="60">
        <v>57.70</v>
      </c>
      <c r="N66" s="60">
        <v>865.70</v>
      </c>
      <c r="O66" s="60">
        <v>0</v>
      </c>
      <c r="P66" s="60">
        <v>3.21</v>
      </c>
      <c r="Q66" s="60">
        <v>2.86</v>
      </c>
      <c r="R66" s="194"/>
      <c r="S66" s="194"/>
      <c r="T66" s="194"/>
      <c r="U66" s="194"/>
    </row>
    <row r="67" spans="1:21" s="12" customFormat="1" ht="15">
      <c r="A67" s="197" t="s">
        <v>3087</v>
      </c>
      <c r="B67" s="60">
        <v>1</v>
      </c>
      <c r="C67" s="60">
        <v>17.920000000000002</v>
      </c>
      <c r="D67" s="60">
        <v>18.920000000000002</v>
      </c>
      <c r="E67" s="60">
        <v>4.33</v>
      </c>
      <c r="F67" s="60">
        <v>2.3199999999999998</v>
      </c>
      <c r="G67" s="214" t="s">
        <v>36</v>
      </c>
      <c r="H67" s="60">
        <v>22.82</v>
      </c>
      <c r="I67" s="60">
        <v>4.2699999999999996</v>
      </c>
      <c r="J67" s="60">
        <v>0.02</v>
      </c>
      <c r="K67" s="60">
        <v>23.73</v>
      </c>
      <c r="L67" s="10" t="s">
        <v>43</v>
      </c>
      <c r="M67" s="60">
        <v>58.09</v>
      </c>
      <c r="N67" s="60">
        <v>721.40</v>
      </c>
      <c r="O67" s="60">
        <v>0</v>
      </c>
      <c r="P67" s="60">
        <v>3.21</v>
      </c>
      <c r="Q67" s="60">
        <v>2.54</v>
      </c>
      <c r="R67" s="194"/>
      <c r="S67" s="194"/>
      <c r="T67" s="194"/>
      <c r="U67" s="194"/>
    </row>
    <row r="68" spans="1:21" s="12" customFormat="1" ht="15">
      <c r="A68" s="197" t="s">
        <v>3088</v>
      </c>
      <c r="B68" s="60">
        <v>1.01</v>
      </c>
      <c r="C68" s="60">
        <v>18.61</v>
      </c>
      <c r="D68" s="60">
        <v>19.62</v>
      </c>
      <c r="E68" s="60">
        <v>4.6900000000000004</v>
      </c>
      <c r="F68" s="60">
        <v>1.5</v>
      </c>
      <c r="G68" s="214" t="s">
        <v>36</v>
      </c>
      <c r="H68" s="60">
        <v>22.82</v>
      </c>
      <c r="I68" s="60">
        <v>4.20</v>
      </c>
      <c r="J68" s="60">
        <v>0.15</v>
      </c>
      <c r="K68" s="60">
        <v>4.16</v>
      </c>
      <c r="L68" s="10" t="s">
        <v>43</v>
      </c>
      <c r="M68" s="60">
        <v>58.80</v>
      </c>
      <c r="N68" s="60">
        <v>259.20</v>
      </c>
      <c r="O68" s="60">
        <v>0</v>
      </c>
      <c r="P68" s="60">
        <v>3.18</v>
      </c>
      <c r="Q68" s="60">
        <v>2.93</v>
      </c>
      <c r="R68" s="194"/>
      <c r="S68" s="194"/>
      <c r="T68" s="194"/>
      <c r="U68" s="194"/>
    </row>
    <row r="69" spans="1:21" s="12" customFormat="1" ht="15">
      <c r="A69" s="197" t="s">
        <v>3089</v>
      </c>
      <c r="B69" s="60">
        <v>1.1499999999999999</v>
      </c>
      <c r="C69" s="60">
        <v>17.34</v>
      </c>
      <c r="D69" s="60">
        <v>18.5</v>
      </c>
      <c r="E69" s="60">
        <v>4.57</v>
      </c>
      <c r="F69" s="60">
        <v>1.88</v>
      </c>
      <c r="G69" s="214" t="s">
        <v>36</v>
      </c>
      <c r="H69" s="60">
        <v>26.79</v>
      </c>
      <c r="I69" s="60">
        <v>4.03</v>
      </c>
      <c r="J69" s="60">
        <v>0.10</v>
      </c>
      <c r="K69" s="60">
        <v>255.91</v>
      </c>
      <c r="L69" s="10" t="s">
        <v>43</v>
      </c>
      <c r="M69" s="60">
        <v>62.25</v>
      </c>
      <c r="N69" s="60">
        <v>183.60</v>
      </c>
      <c r="O69" s="60">
        <v>0</v>
      </c>
      <c r="P69" s="60">
        <v>3.18</v>
      </c>
      <c r="Q69" s="60">
        <v>3.08</v>
      </c>
      <c r="R69" s="194"/>
      <c r="S69" s="194"/>
      <c r="T69" s="194"/>
      <c r="U69" s="194"/>
    </row>
    <row r="70" spans="1:21" s="12" customFormat="1" ht="15">
      <c r="A70" s="197" t="s">
        <v>3090</v>
      </c>
      <c r="B70" s="60">
        <v>1.98</v>
      </c>
      <c r="C70" s="60">
        <v>17.61</v>
      </c>
      <c r="D70" s="60">
        <v>19.600000000000001</v>
      </c>
      <c r="E70" s="60">
        <v>4.42</v>
      </c>
      <c r="F70" s="60">
        <v>1.66</v>
      </c>
      <c r="G70" s="214" t="s">
        <v>36</v>
      </c>
      <c r="H70" s="60">
        <v>36.56</v>
      </c>
      <c r="I70" s="60">
        <v>3.98</v>
      </c>
      <c r="J70" s="60">
        <v>0.18</v>
      </c>
      <c r="K70" s="60">
        <v>349.56</v>
      </c>
      <c r="L70" s="10" t="s">
        <v>43</v>
      </c>
      <c r="M70" s="60">
        <v>62.20</v>
      </c>
      <c r="N70" s="60">
        <v>190</v>
      </c>
      <c r="O70" s="60">
        <v>0</v>
      </c>
      <c r="P70" s="60">
        <v>3.19</v>
      </c>
      <c r="Q70" s="60">
        <v>3.89</v>
      </c>
      <c r="R70" s="194"/>
      <c r="S70" s="194"/>
      <c r="T70" s="194"/>
      <c r="U70" s="194"/>
    </row>
    <row r="71" spans="1:21" s="12" customFormat="1" ht="15">
      <c r="A71" s="197" t="s">
        <v>3091</v>
      </c>
      <c r="B71" s="60">
        <v>3.02</v>
      </c>
      <c r="C71" s="60">
        <v>19.16</v>
      </c>
      <c r="D71" s="60">
        <v>22.18</v>
      </c>
      <c r="E71" s="60">
        <v>4.26</v>
      </c>
      <c r="F71" s="60">
        <v>0.87</v>
      </c>
      <c r="G71" s="214" t="s">
        <v>36</v>
      </c>
      <c r="H71" s="60">
        <v>36.56</v>
      </c>
      <c r="I71" s="60">
        <v>3.81</v>
      </c>
      <c r="J71" s="60">
        <v>0.19</v>
      </c>
      <c r="K71" s="60">
        <v>303.06</v>
      </c>
      <c r="L71" s="10" t="s">
        <v>43</v>
      </c>
      <c r="M71" s="60">
        <v>61.02</v>
      </c>
      <c r="N71" s="60">
        <v>124.20</v>
      </c>
      <c r="O71" s="60">
        <v>0</v>
      </c>
      <c r="P71" s="60">
        <v>3.27</v>
      </c>
      <c r="Q71" s="60">
        <v>4.6500000000000004</v>
      </c>
      <c r="R71" s="194"/>
      <c r="S71" s="194"/>
      <c r="T71" s="194"/>
      <c r="U71" s="194"/>
    </row>
    <row r="72" spans="1:21" s="12" customFormat="1" ht="15">
      <c r="A72" s="197" t="s">
        <v>3092</v>
      </c>
      <c r="B72" s="60">
        <v>3.56</v>
      </c>
      <c r="C72" s="60">
        <v>19.87</v>
      </c>
      <c r="D72" s="60">
        <v>23.43</v>
      </c>
      <c r="E72" s="60">
        <v>2.54</v>
      </c>
      <c r="F72" s="60">
        <v>0.72</v>
      </c>
      <c r="G72" s="214" t="s">
        <v>36</v>
      </c>
      <c r="H72" s="60">
        <v>36.56</v>
      </c>
      <c r="I72" s="60">
        <v>3.85</v>
      </c>
      <c r="J72" s="60">
        <v>0.20</v>
      </c>
      <c r="K72" s="60">
        <v>176.65</v>
      </c>
      <c r="L72" s="10" t="s">
        <v>43</v>
      </c>
      <c r="M72" s="60">
        <v>62.82</v>
      </c>
      <c r="N72" s="60">
        <v>98.20</v>
      </c>
      <c r="O72" s="60">
        <v>0</v>
      </c>
      <c r="P72" s="60">
        <v>3.36</v>
      </c>
      <c r="Q72" s="60">
        <v>5.07</v>
      </c>
      <c r="R72" s="194"/>
      <c r="S72" s="194"/>
      <c r="T72" s="194"/>
      <c r="U72" s="194"/>
    </row>
    <row r="73" spans="1:21" s="12" customFormat="1" ht="15">
      <c r="A73" s="197" t="s">
        <v>3093</v>
      </c>
      <c r="B73" s="60">
        <v>3.31</v>
      </c>
      <c r="C73" s="60">
        <v>19.059999999999999</v>
      </c>
      <c r="D73" s="60">
        <v>22.37</v>
      </c>
      <c r="E73" s="60">
        <v>4.43</v>
      </c>
      <c r="F73" s="60">
        <v>0.83</v>
      </c>
      <c r="G73" s="214" t="s">
        <v>36</v>
      </c>
      <c r="H73" s="60">
        <v>34.67</v>
      </c>
      <c r="I73" s="60">
        <v>4.13</v>
      </c>
      <c r="J73" s="60">
        <v>0.53</v>
      </c>
      <c r="K73" s="60">
        <v>155.26</v>
      </c>
      <c r="L73" s="10" t="s">
        <v>43</v>
      </c>
      <c r="M73" s="60">
        <v>70.53</v>
      </c>
      <c r="N73" s="60">
        <v>107.60</v>
      </c>
      <c r="O73" s="60">
        <v>0</v>
      </c>
      <c r="P73" s="60">
        <v>3.38</v>
      </c>
      <c r="Q73" s="60">
        <v>4.83</v>
      </c>
      <c r="R73" s="194"/>
      <c r="S73" s="194"/>
      <c r="T73" s="194"/>
      <c r="U73" s="194"/>
    </row>
    <row r="74" spans="1:21" s="12" customFormat="1" ht="15">
      <c r="A74" s="197" t="s">
        <v>3094</v>
      </c>
      <c r="B74" s="60">
        <v>3.07</v>
      </c>
      <c r="C74" s="60">
        <v>18.55</v>
      </c>
      <c r="D74" s="60">
        <v>21.61</v>
      </c>
      <c r="E74" s="60">
        <v>4.25</v>
      </c>
      <c r="F74" s="60">
        <v>0.36</v>
      </c>
      <c r="G74" s="214" t="s">
        <v>36</v>
      </c>
      <c r="H74" s="60">
        <v>30.04</v>
      </c>
      <c r="I74" s="60">
        <v>4.58</v>
      </c>
      <c r="J74" s="60">
        <v>0.80</v>
      </c>
      <c r="K74" s="60">
        <v>111.02</v>
      </c>
      <c r="L74" s="10" t="s">
        <v>43</v>
      </c>
      <c r="M74" s="60">
        <v>73.83</v>
      </c>
      <c r="N74" s="60">
        <v>129</v>
      </c>
      <c r="O74" s="60">
        <v>0</v>
      </c>
      <c r="P74" s="60">
        <v>3.39</v>
      </c>
      <c r="Q74" s="60">
        <v>4.7699999999999996</v>
      </c>
      <c r="R74" s="194"/>
      <c r="S74" s="194"/>
      <c r="T74" s="194"/>
      <c r="U74" s="194"/>
    </row>
    <row r="75" spans="1:21" s="12" customFormat="1" ht="15">
      <c r="A75" s="197" t="s">
        <v>3095</v>
      </c>
      <c r="B75" s="60">
        <v>2.78</v>
      </c>
      <c r="C75" s="60">
        <v>17.52</v>
      </c>
      <c r="D75" s="60">
        <v>20.309999999999999</v>
      </c>
      <c r="E75" s="60">
        <v>4.32</v>
      </c>
      <c r="F75" s="60">
        <v>0.37</v>
      </c>
      <c r="G75" s="214" t="s">
        <v>36</v>
      </c>
      <c r="H75" s="60">
        <v>30.04</v>
      </c>
      <c r="I75" s="60">
        <v>4.7699999999999996</v>
      </c>
      <c r="J75" s="60">
        <v>1.86</v>
      </c>
      <c r="K75" s="60">
        <v>93.47</v>
      </c>
      <c r="L75" s="10" t="s">
        <v>43</v>
      </c>
      <c r="M75" s="60">
        <v>75.55</v>
      </c>
      <c r="N75" s="60">
        <v>142.10</v>
      </c>
      <c r="O75" s="60">
        <v>0</v>
      </c>
      <c r="P75" s="60">
        <v>3.38</v>
      </c>
      <c r="Q75" s="60">
        <v>4.3099999999999996</v>
      </c>
      <c r="R75" s="194"/>
      <c r="S75" s="194"/>
      <c r="T75" s="194"/>
      <c r="U75" s="194"/>
    </row>
    <row r="76" spans="1:21" s="12" customFormat="1" ht="15">
      <c r="A76" s="197" t="s">
        <v>3096</v>
      </c>
      <c r="B76" s="60">
        <v>2.59</v>
      </c>
      <c r="C76" s="60">
        <v>16.48</v>
      </c>
      <c r="D76" s="60">
        <v>19.07</v>
      </c>
      <c r="E76" s="60">
        <v>4.84</v>
      </c>
      <c r="F76" s="60">
        <v>0.23</v>
      </c>
      <c r="G76" s="214" t="s">
        <v>36</v>
      </c>
      <c r="H76" s="60">
        <v>30.04</v>
      </c>
      <c r="I76" s="60">
        <v>4.84</v>
      </c>
      <c r="J76" s="60">
        <v>1.47</v>
      </c>
      <c r="K76" s="60">
        <v>96.61</v>
      </c>
      <c r="L76" s="10" t="s">
        <v>43</v>
      </c>
      <c r="M76" s="60">
        <v>76.39</v>
      </c>
      <c r="N76" s="60">
        <v>152.80000000000001</v>
      </c>
      <c r="O76" s="60">
        <v>0</v>
      </c>
      <c r="P76" s="60">
        <v>3.36</v>
      </c>
      <c r="Q76" s="60">
        <v>4.03</v>
      </c>
      <c r="R76" s="194"/>
      <c r="S76" s="194"/>
      <c r="T76" s="194"/>
      <c r="U76" s="194"/>
    </row>
    <row r="77" spans="1:21" s="12" customFormat="1" ht="15">
      <c r="A77" s="197" t="s">
        <v>3097</v>
      </c>
      <c r="B77" s="60">
        <v>2.42</v>
      </c>
      <c r="C77" s="60">
        <v>15.41</v>
      </c>
      <c r="D77" s="60">
        <v>17.829999999999998</v>
      </c>
      <c r="E77" s="60">
        <v>4.78</v>
      </c>
      <c r="F77" s="60">
        <v>0.27</v>
      </c>
      <c r="G77" s="214" t="s">
        <v>36</v>
      </c>
      <c r="H77" s="60">
        <v>29.97</v>
      </c>
      <c r="I77" s="60">
        <v>4.9400000000000004</v>
      </c>
      <c r="J77" s="60">
        <v>0.28000000000000003</v>
      </c>
      <c r="K77" s="60">
        <v>153.56</v>
      </c>
      <c r="L77" s="10" t="s">
        <v>43</v>
      </c>
      <c r="M77" s="60">
        <v>73.06</v>
      </c>
      <c r="N77" s="60">
        <v>115.20</v>
      </c>
      <c r="O77" s="60">
        <v>0</v>
      </c>
      <c r="P77" s="60">
        <v>3.34</v>
      </c>
      <c r="Q77" s="60">
        <v>3.65</v>
      </c>
      <c r="R77" s="194"/>
      <c r="S77" s="194"/>
      <c r="T77" s="194"/>
      <c r="U77" s="194"/>
    </row>
    <row r="78" spans="1:21" s="12" customFormat="1" ht="15">
      <c r="A78" s="197" t="s">
        <v>3098</v>
      </c>
      <c r="B78" s="60">
        <v>2.37</v>
      </c>
      <c r="C78" s="60">
        <v>14.77</v>
      </c>
      <c r="D78" s="60">
        <v>17.149999999999999</v>
      </c>
      <c r="E78" s="60">
        <v>5.08</v>
      </c>
      <c r="F78" s="60">
        <v>0.5</v>
      </c>
      <c r="G78" s="214" t="s">
        <v>36</v>
      </c>
      <c r="H78" s="60">
        <v>29.80</v>
      </c>
      <c r="I78" s="60">
        <v>4.99</v>
      </c>
      <c r="J78" s="60">
        <v>0.10</v>
      </c>
      <c r="K78" s="60">
        <v>184.25</v>
      </c>
      <c r="L78" s="10" t="s">
        <v>43</v>
      </c>
      <c r="M78" s="60">
        <v>71.78</v>
      </c>
      <c r="N78" s="60">
        <v>97.70</v>
      </c>
      <c r="O78" s="60">
        <v>0</v>
      </c>
      <c r="P78" s="60">
        <v>3.34</v>
      </c>
      <c r="Q78" s="60">
        <v>3.36</v>
      </c>
      <c r="R78" s="194"/>
      <c r="S78" s="194"/>
      <c r="T78" s="194"/>
      <c r="U78" s="194"/>
    </row>
    <row r="79" spans="1:21" s="12" customFormat="1" ht="15">
      <c r="A79" s="197" t="s">
        <v>3099</v>
      </c>
      <c r="B79" s="60">
        <v>2.68</v>
      </c>
      <c r="C79" s="60">
        <v>14.95</v>
      </c>
      <c r="D79" s="60">
        <v>17.63</v>
      </c>
      <c r="E79" s="60">
        <v>5.01</v>
      </c>
      <c r="F79" s="60">
        <v>0.34</v>
      </c>
      <c r="G79" s="214" t="s">
        <v>36</v>
      </c>
      <c r="H79" s="60">
        <v>29.80</v>
      </c>
      <c r="I79" s="60">
        <v>4.68</v>
      </c>
      <c r="J79" s="60">
        <v>0.57999999999999996</v>
      </c>
      <c r="K79" s="60">
        <v>340.97</v>
      </c>
      <c r="L79" s="10" t="s">
        <v>43</v>
      </c>
      <c r="M79" s="60">
        <v>76.739999999999995</v>
      </c>
      <c r="N79" s="60">
        <v>81.70</v>
      </c>
      <c r="O79" s="60">
        <v>0</v>
      </c>
      <c r="P79" s="60">
        <v>3.37</v>
      </c>
      <c r="Q79" s="60">
        <v>3.45</v>
      </c>
      <c r="R79" s="194"/>
      <c r="S79" s="194"/>
      <c r="T79" s="194"/>
      <c r="U79" s="194"/>
    </row>
    <row r="80" spans="1:21" s="12" customFormat="1" ht="15">
      <c r="A80" s="197" t="s">
        <v>3100</v>
      </c>
      <c r="B80" s="60">
        <v>3.30</v>
      </c>
      <c r="C80" s="60">
        <v>14.96</v>
      </c>
      <c r="D80" s="60">
        <v>18.260000000000002</v>
      </c>
      <c r="E80" s="60">
        <v>5.09</v>
      </c>
      <c r="F80" s="60">
        <v>1.06</v>
      </c>
      <c r="G80" s="214" t="s">
        <v>36</v>
      </c>
      <c r="H80" s="60">
        <v>29.80</v>
      </c>
      <c r="I80" s="60">
        <v>4.78</v>
      </c>
      <c r="J80" s="60">
        <v>0.32</v>
      </c>
      <c r="K80" s="60">
        <v>337.93</v>
      </c>
      <c r="L80" s="10" t="s">
        <v>43</v>
      </c>
      <c r="M80" s="60">
        <v>77.319999999999993</v>
      </c>
      <c r="N80" s="60">
        <v>66.80</v>
      </c>
      <c r="O80" s="60">
        <v>0</v>
      </c>
      <c r="P80" s="60">
        <v>3.40</v>
      </c>
      <c r="Q80" s="60">
        <v>3.5</v>
      </c>
      <c r="R80" s="194"/>
      <c r="S80" s="194"/>
      <c r="T80" s="194"/>
      <c r="U80" s="194"/>
    </row>
    <row r="81" spans="1:21" s="12" customFormat="1" ht="15">
      <c r="A81" s="197" t="s">
        <v>3101</v>
      </c>
      <c r="B81" s="60">
        <v>3.81</v>
      </c>
      <c r="C81" s="60">
        <v>15.55</v>
      </c>
      <c r="D81" s="60">
        <v>19.37</v>
      </c>
      <c r="E81" s="60">
        <v>5.48</v>
      </c>
      <c r="F81" s="60">
        <v>1.1000000000000001</v>
      </c>
      <c r="G81" s="214" t="s">
        <v>36</v>
      </c>
      <c r="H81" s="60">
        <v>29.68</v>
      </c>
      <c r="I81" s="60">
        <v>5.24</v>
      </c>
      <c r="J81" s="60">
        <v>0.40</v>
      </c>
      <c r="K81" s="60">
        <v>324.81</v>
      </c>
      <c r="L81" s="10" t="s">
        <v>43</v>
      </c>
      <c r="M81" s="60">
        <v>77.97</v>
      </c>
      <c r="N81" s="60">
        <v>47.40</v>
      </c>
      <c r="O81" s="60">
        <v>0</v>
      </c>
      <c r="P81" s="60">
        <v>3.41</v>
      </c>
      <c r="Q81" s="60">
        <v>3.69</v>
      </c>
      <c r="R81" s="194"/>
      <c r="S81" s="194"/>
      <c r="T81" s="194"/>
      <c r="U81" s="194"/>
    </row>
    <row r="82" spans="1:21" s="12" customFormat="1" ht="15">
      <c r="A82" s="197" t="s">
        <v>3102</v>
      </c>
      <c r="B82" s="60">
        <v>4.25</v>
      </c>
      <c r="C82" s="60">
        <v>16.059999999999999</v>
      </c>
      <c r="D82" s="60">
        <v>20.309999999999999</v>
      </c>
      <c r="E82" s="60">
        <v>5.58</v>
      </c>
      <c r="F82" s="60">
        <v>0.36</v>
      </c>
      <c r="G82" s="214" t="s">
        <v>36</v>
      </c>
      <c r="H82" s="60">
        <v>29.37</v>
      </c>
      <c r="I82" s="60">
        <v>5.44</v>
      </c>
      <c r="J82" s="60">
        <v>0.31</v>
      </c>
      <c r="K82" s="60">
        <v>321.49</v>
      </c>
      <c r="L82" s="10" t="s">
        <v>43</v>
      </c>
      <c r="M82" s="60">
        <v>80.45</v>
      </c>
      <c r="N82" s="60">
        <v>31.40</v>
      </c>
      <c r="O82" s="60">
        <v>0</v>
      </c>
      <c r="P82" s="60">
        <v>3.43</v>
      </c>
      <c r="Q82" s="60">
        <v>3.88</v>
      </c>
      <c r="R82" s="194"/>
      <c r="S82" s="194"/>
      <c r="T82" s="194"/>
      <c r="U82" s="194"/>
    </row>
    <row r="83" spans="1:21" s="12" customFormat="1" ht="15">
      <c r="A83" s="197" t="s">
        <v>3103</v>
      </c>
      <c r="B83" s="60">
        <v>5.53</v>
      </c>
      <c r="C83" s="60">
        <v>15.83</v>
      </c>
      <c r="D83" s="60">
        <v>21.36</v>
      </c>
      <c r="E83" s="60">
        <v>6.03</v>
      </c>
      <c r="F83" s="60">
        <v>0.59</v>
      </c>
      <c r="G83" s="214" t="s">
        <v>36</v>
      </c>
      <c r="H83" s="60">
        <v>29.37</v>
      </c>
      <c r="I83" s="60">
        <v>5.55</v>
      </c>
      <c r="J83" s="60">
        <v>0.24</v>
      </c>
      <c r="K83" s="60">
        <v>335.36</v>
      </c>
      <c r="L83" s="10" t="s">
        <v>43</v>
      </c>
      <c r="M83" s="60">
        <v>81.150000000000006</v>
      </c>
      <c r="N83" s="60">
        <v>19</v>
      </c>
      <c r="O83" s="60">
        <v>0</v>
      </c>
      <c r="P83" s="60">
        <v>3.46</v>
      </c>
      <c r="Q83" s="60">
        <v>4.6100000000000003</v>
      </c>
      <c r="R83" s="194"/>
      <c r="S83" s="194"/>
      <c r="T83" s="194"/>
      <c r="U83" s="194"/>
    </row>
    <row r="84" spans="1:21" s="12" customFormat="1" ht="15">
      <c r="A84" s="197" t="s">
        <v>3104</v>
      </c>
      <c r="B84" s="60">
        <v>7.10</v>
      </c>
      <c r="C84" s="60">
        <v>15.90</v>
      </c>
      <c r="D84" s="60">
        <v>23.01</v>
      </c>
      <c r="E84" s="60">
        <v>5.45</v>
      </c>
      <c r="F84" s="60">
        <v>0.49</v>
      </c>
      <c r="G84" s="214" t="s">
        <v>36</v>
      </c>
      <c r="H84" s="60">
        <v>29.37</v>
      </c>
      <c r="I84" s="60">
        <v>5.61</v>
      </c>
      <c r="J84" s="60">
        <v>0.14000000000000001</v>
      </c>
      <c r="K84" s="60">
        <v>198.36</v>
      </c>
      <c r="L84" s="10" t="s">
        <v>43</v>
      </c>
      <c r="M84" s="60">
        <v>77.67</v>
      </c>
      <c r="N84" s="60">
        <v>15.5</v>
      </c>
      <c r="O84" s="60">
        <v>0</v>
      </c>
      <c r="P84" s="60">
        <v>3.48</v>
      </c>
      <c r="Q84" s="60">
        <v>5.77</v>
      </c>
      <c r="R84" s="194"/>
      <c r="S84" s="194"/>
      <c r="T84" s="194"/>
      <c r="U84" s="194"/>
    </row>
    <row r="85" spans="1:21" s="12" customFormat="1" ht="15">
      <c r="A85" s="197" t="s">
        <v>3105</v>
      </c>
      <c r="B85" s="60">
        <v>6.84</v>
      </c>
      <c r="C85" s="60">
        <v>15.92</v>
      </c>
      <c r="D85" s="60">
        <v>22.76</v>
      </c>
      <c r="E85" s="60">
        <v>5.56</v>
      </c>
      <c r="F85" s="60">
        <v>0.30</v>
      </c>
      <c r="G85" s="214" t="s">
        <v>36</v>
      </c>
      <c r="H85" s="60">
        <v>26.99</v>
      </c>
      <c r="I85" s="60">
        <v>5.61</v>
      </c>
      <c r="J85" s="60">
        <v>0.91</v>
      </c>
      <c r="K85" s="60">
        <v>162.79</v>
      </c>
      <c r="L85" s="10" t="s">
        <v>43</v>
      </c>
      <c r="M85" s="60">
        <v>76.28</v>
      </c>
      <c r="N85" s="60">
        <v>15.30</v>
      </c>
      <c r="O85" s="60">
        <v>0</v>
      </c>
      <c r="P85" s="60">
        <v>3.47</v>
      </c>
      <c r="Q85" s="60">
        <v>5.97</v>
      </c>
      <c r="R85" s="194"/>
      <c r="S85" s="194"/>
      <c r="T85" s="194"/>
      <c r="U85" s="194"/>
    </row>
    <row r="86" spans="1:21" s="12" customFormat="1" ht="15">
      <c r="A86" s="197" t="s">
        <v>3106</v>
      </c>
      <c r="B86" s="60">
        <v>6.01</v>
      </c>
      <c r="C86" s="60">
        <v>15.59</v>
      </c>
      <c r="D86" s="60">
        <v>21.59</v>
      </c>
      <c r="E86" s="60">
        <v>5.32</v>
      </c>
      <c r="F86" s="60">
        <v>0.25</v>
      </c>
      <c r="G86" s="214" t="s">
        <v>36</v>
      </c>
      <c r="H86" s="60">
        <v>21.14</v>
      </c>
      <c r="I86" s="60">
        <v>5.58</v>
      </c>
      <c r="J86" s="60">
        <v>0.48</v>
      </c>
      <c r="K86" s="60">
        <v>189.67</v>
      </c>
      <c r="L86" s="10" t="s">
        <v>43</v>
      </c>
      <c r="M86" s="60">
        <v>77.45</v>
      </c>
      <c r="N86" s="60">
        <v>14.90</v>
      </c>
      <c r="O86" s="60">
        <v>0</v>
      </c>
      <c r="P86" s="60">
        <v>3.44</v>
      </c>
      <c r="Q86" s="60">
        <v>5.85</v>
      </c>
      <c r="R86" s="194"/>
      <c r="S86" s="194"/>
      <c r="T86" s="194"/>
      <c r="U86" s="194"/>
    </row>
    <row r="87" spans="1:21" s="12" customFormat="1" ht="15">
      <c r="A87" s="197" t="s">
        <v>3107</v>
      </c>
      <c r="B87" s="60">
        <v>5.18</v>
      </c>
      <c r="C87" s="60">
        <v>15.37</v>
      </c>
      <c r="D87" s="60">
        <v>20.54</v>
      </c>
      <c r="E87" s="60">
        <v>5.39</v>
      </c>
      <c r="F87" s="60">
        <v>0.34</v>
      </c>
      <c r="G87" s="214" t="s">
        <v>36</v>
      </c>
      <c r="H87" s="60">
        <v>21.14</v>
      </c>
      <c r="I87" s="60">
        <v>5.56</v>
      </c>
      <c r="J87" s="60">
        <v>0.43</v>
      </c>
      <c r="K87" s="60">
        <v>181.66</v>
      </c>
      <c r="L87" s="10" t="s">
        <v>43</v>
      </c>
      <c r="M87" s="60">
        <v>78.510000000000005</v>
      </c>
      <c r="N87" s="60">
        <v>14.80</v>
      </c>
      <c r="O87" s="60">
        <v>0</v>
      </c>
      <c r="P87" s="60">
        <v>3.42</v>
      </c>
      <c r="Q87" s="60">
        <v>5.64</v>
      </c>
      <c r="R87" s="194"/>
      <c r="S87" s="194"/>
      <c r="T87" s="194"/>
      <c r="U87" s="194"/>
    </row>
    <row r="88" spans="1:21" s="12" customFormat="1" ht="15">
      <c r="A88" s="197" t="s">
        <v>3108</v>
      </c>
      <c r="B88" s="60">
        <v>4.67</v>
      </c>
      <c r="C88" s="60">
        <v>14.94</v>
      </c>
      <c r="D88" s="60">
        <v>19.61</v>
      </c>
      <c r="E88" s="60">
        <v>2.5</v>
      </c>
      <c r="F88" s="60">
        <v>0.38</v>
      </c>
      <c r="G88" s="214" t="s">
        <v>36</v>
      </c>
      <c r="H88" s="60">
        <v>21.14</v>
      </c>
      <c r="I88" s="60">
        <v>5.38</v>
      </c>
      <c r="J88" s="60">
        <v>0.42</v>
      </c>
      <c r="K88" s="60">
        <v>190.91</v>
      </c>
      <c r="L88" s="10" t="s">
        <v>43</v>
      </c>
      <c r="M88" s="60">
        <v>79.040000000000006</v>
      </c>
      <c r="N88" s="60">
        <v>14.70</v>
      </c>
      <c r="O88" s="60">
        <v>0</v>
      </c>
      <c r="P88" s="60">
        <v>3.41</v>
      </c>
      <c r="Q88" s="60">
        <v>5.37</v>
      </c>
      <c r="R88" s="194"/>
      <c r="S88" s="194"/>
      <c r="T88" s="194"/>
      <c r="U88" s="194"/>
    </row>
    <row r="89" spans="1:21" s="12" customFormat="1" ht="15">
      <c r="A89" s="197" t="s">
        <v>3109</v>
      </c>
      <c r="B89" s="60">
        <v>4.25</v>
      </c>
      <c r="C89" s="60">
        <v>14.92</v>
      </c>
      <c r="D89" s="60">
        <v>19.170000000000002</v>
      </c>
      <c r="E89" s="60">
        <v>4.29</v>
      </c>
      <c r="F89" s="60">
        <v>0.26</v>
      </c>
      <c r="G89" s="214" t="s">
        <v>36</v>
      </c>
      <c r="H89" s="60">
        <v>23.69</v>
      </c>
      <c r="I89" s="60">
        <v>5.30</v>
      </c>
      <c r="J89" s="60">
        <v>0.25</v>
      </c>
      <c r="K89" s="60">
        <v>200.64</v>
      </c>
      <c r="L89" s="10" t="s">
        <v>43</v>
      </c>
      <c r="M89" s="60">
        <v>80.010000000000005</v>
      </c>
      <c r="N89" s="60">
        <v>15</v>
      </c>
      <c r="O89" s="60">
        <v>0</v>
      </c>
      <c r="P89" s="60">
        <v>3.40</v>
      </c>
      <c r="Q89" s="60">
        <v>5.18</v>
      </c>
      <c r="R89" s="194"/>
      <c r="S89" s="194"/>
      <c r="T89" s="194"/>
      <c r="U89" s="194"/>
    </row>
    <row r="90" spans="1:21" s="12" customFormat="1" ht="15">
      <c r="A90" s="197" t="s">
        <v>3110</v>
      </c>
      <c r="B90" s="60">
        <v>3.91</v>
      </c>
      <c r="C90" s="60">
        <v>14.54</v>
      </c>
      <c r="D90" s="60">
        <v>18.46</v>
      </c>
      <c r="E90" s="60">
        <v>5.18</v>
      </c>
      <c r="F90" s="60">
        <v>0.16</v>
      </c>
      <c r="G90" s="214" t="s">
        <v>36</v>
      </c>
      <c r="H90" s="60">
        <v>29.97</v>
      </c>
      <c r="I90" s="60">
        <v>5.24</v>
      </c>
      <c r="J90" s="60">
        <v>0.44</v>
      </c>
      <c r="K90" s="60">
        <v>161.79</v>
      </c>
      <c r="L90" s="10" t="s">
        <v>43</v>
      </c>
      <c r="M90" s="60">
        <v>79.86</v>
      </c>
      <c r="N90" s="60">
        <v>14.70</v>
      </c>
      <c r="O90" s="60">
        <v>0</v>
      </c>
      <c r="P90" s="60">
        <v>3.38</v>
      </c>
      <c r="Q90" s="60">
        <v>4.47</v>
      </c>
      <c r="R90" s="194"/>
      <c r="S90" s="194"/>
      <c r="T90" s="194"/>
      <c r="U90" s="194"/>
    </row>
    <row r="91" spans="1:21" s="12" customFormat="1" ht="15">
      <c r="A91" s="197" t="s">
        <v>3111</v>
      </c>
      <c r="B91" s="60">
        <v>4.0199999999999996</v>
      </c>
      <c r="C91" s="60">
        <v>14.29</v>
      </c>
      <c r="D91" s="60">
        <v>18.32</v>
      </c>
      <c r="E91" s="60">
        <v>5.15</v>
      </c>
      <c r="F91" s="60">
        <v>0.05</v>
      </c>
      <c r="G91" s="214" t="s">
        <v>36</v>
      </c>
      <c r="H91" s="60">
        <v>29.97</v>
      </c>
      <c r="I91" s="60">
        <v>5.1100000000000003</v>
      </c>
      <c r="J91" s="60">
        <v>0.13</v>
      </c>
      <c r="K91" s="60">
        <v>215.35</v>
      </c>
      <c r="L91" s="10" t="s">
        <v>43</v>
      </c>
      <c r="M91" s="60">
        <v>81.400000000000006</v>
      </c>
      <c r="N91" s="60">
        <v>15</v>
      </c>
      <c r="O91" s="60">
        <v>0</v>
      </c>
      <c r="P91" s="60">
        <v>3.39</v>
      </c>
      <c r="Q91" s="60">
        <v>4.26</v>
      </c>
      <c r="R91" s="194"/>
      <c r="S91" s="194"/>
      <c r="T91" s="194"/>
      <c r="U91" s="194"/>
    </row>
    <row r="92" spans="1:21" s="12" customFormat="1" ht="15">
      <c r="A92" s="197" t="s">
        <v>3112</v>
      </c>
      <c r="B92" s="60">
        <v>4.32</v>
      </c>
      <c r="C92" s="60">
        <v>13.92</v>
      </c>
      <c r="D92" s="60">
        <v>18.25</v>
      </c>
      <c r="E92" s="60">
        <v>4.71</v>
      </c>
      <c r="F92" s="214" t="s">
        <v>36</v>
      </c>
      <c r="G92" s="214" t="s">
        <v>36</v>
      </c>
      <c r="H92" s="60">
        <v>29.97</v>
      </c>
      <c r="I92" s="60">
        <v>4.8899999999999997</v>
      </c>
      <c r="J92" s="60">
        <v>0.06</v>
      </c>
      <c r="K92" s="60">
        <v>188.54</v>
      </c>
      <c r="L92" s="10" t="s">
        <v>43</v>
      </c>
      <c r="M92" s="60">
        <v>81.63</v>
      </c>
      <c r="N92" s="60">
        <v>14.80</v>
      </c>
      <c r="O92" s="60">
        <v>0</v>
      </c>
      <c r="P92" s="60">
        <v>3.42</v>
      </c>
      <c r="Q92" s="60">
        <v>4.0199999999999996</v>
      </c>
      <c r="R92" s="194"/>
      <c r="S92" s="194"/>
      <c r="T92" s="194"/>
      <c r="U92" s="194"/>
    </row>
    <row r="93" spans="1:21" s="12" customFormat="1" ht="15">
      <c r="A93" s="197" t="s">
        <v>3113</v>
      </c>
      <c r="B93" s="60">
        <v>4.47</v>
      </c>
      <c r="C93" s="60">
        <v>13.38</v>
      </c>
      <c r="D93" s="60">
        <v>17.86</v>
      </c>
      <c r="E93" s="60">
        <v>5.38</v>
      </c>
      <c r="F93" s="60">
        <v>0.13</v>
      </c>
      <c r="G93" s="214" t="s">
        <v>36</v>
      </c>
      <c r="H93" s="60">
        <v>28.75</v>
      </c>
      <c r="I93" s="60">
        <v>4.80</v>
      </c>
      <c r="J93" s="60">
        <v>0.19</v>
      </c>
      <c r="K93" s="60">
        <v>209.14</v>
      </c>
      <c r="L93" s="10" t="s">
        <v>43</v>
      </c>
      <c r="M93" s="60">
        <v>82.46</v>
      </c>
      <c r="N93" s="60">
        <v>14.60</v>
      </c>
      <c r="O93" s="60">
        <v>0</v>
      </c>
      <c r="P93" s="60">
        <v>3.43</v>
      </c>
      <c r="Q93" s="60">
        <v>3.70</v>
      </c>
      <c r="R93" s="194"/>
      <c r="S93" s="194"/>
      <c r="T93" s="194"/>
      <c r="U93" s="194"/>
    </row>
    <row r="94" spans="1:21" s="12" customFormat="1" ht="15">
      <c r="A94" s="197" t="s">
        <v>3114</v>
      </c>
      <c r="B94" s="60">
        <v>5.1100000000000003</v>
      </c>
      <c r="C94" s="60">
        <v>13.67</v>
      </c>
      <c r="D94" s="60">
        <v>18.78</v>
      </c>
      <c r="E94" s="60">
        <v>5.63</v>
      </c>
      <c r="F94" s="60">
        <v>0.14000000000000001</v>
      </c>
      <c r="G94" s="214" t="s">
        <v>36</v>
      </c>
      <c r="H94" s="60">
        <v>25.76</v>
      </c>
      <c r="I94" s="60">
        <v>5.24</v>
      </c>
      <c r="J94" s="60">
        <v>0.22</v>
      </c>
      <c r="K94" s="60">
        <v>343.91</v>
      </c>
      <c r="L94" s="10" t="s">
        <v>43</v>
      </c>
      <c r="M94" s="60">
        <v>84.39</v>
      </c>
      <c r="N94" s="60">
        <v>14.80</v>
      </c>
      <c r="O94" s="60">
        <v>0</v>
      </c>
      <c r="P94" s="60">
        <v>3.46</v>
      </c>
      <c r="Q94" s="60">
        <v>3.94</v>
      </c>
      <c r="R94" s="194"/>
      <c r="S94" s="194"/>
      <c r="T94" s="194"/>
      <c r="U94" s="194"/>
    </row>
    <row r="95" spans="1:21" s="12" customFormat="1" ht="15">
      <c r="A95" s="197" t="s">
        <v>3115</v>
      </c>
      <c r="B95" s="60">
        <v>7.21</v>
      </c>
      <c r="C95" s="60">
        <v>13.98</v>
      </c>
      <c r="D95" s="60">
        <v>21.19</v>
      </c>
      <c r="E95" s="60">
        <v>5.56</v>
      </c>
      <c r="F95" s="214" t="s">
        <v>36</v>
      </c>
      <c r="G95" s="214" t="s">
        <v>36</v>
      </c>
      <c r="H95" s="60">
        <v>25.76</v>
      </c>
      <c r="I95" s="60">
        <v>5.51</v>
      </c>
      <c r="J95" s="60">
        <v>0.08</v>
      </c>
      <c r="K95" s="60">
        <v>248.83</v>
      </c>
      <c r="L95" s="10" t="s">
        <v>43</v>
      </c>
      <c r="M95" s="60">
        <v>83.28</v>
      </c>
      <c r="N95" s="60">
        <v>14.70</v>
      </c>
      <c r="O95" s="60">
        <v>0</v>
      </c>
      <c r="P95" s="60">
        <v>3.52</v>
      </c>
      <c r="Q95" s="60">
        <v>4.58</v>
      </c>
      <c r="R95" s="194"/>
      <c r="S95" s="194"/>
      <c r="T95" s="194"/>
      <c r="U95" s="194"/>
    </row>
    <row r="96" spans="1:26" s="12" customFormat="1" ht="15">
      <c r="A96" s="197" t="s">
        <v>3116</v>
      </c>
      <c r="B96" s="60">
        <v>8.93</v>
      </c>
      <c r="C96" s="60">
        <v>13.96</v>
      </c>
      <c r="D96" s="60">
        <v>22.90</v>
      </c>
      <c r="E96" s="60">
        <v>5.32</v>
      </c>
      <c r="F96" s="60">
        <v>0.08</v>
      </c>
      <c r="G96" s="214" t="s">
        <v>36</v>
      </c>
      <c r="H96" s="60">
        <v>25.76</v>
      </c>
      <c r="I96" s="60">
        <v>5.81</v>
      </c>
      <c r="J96" s="60">
        <v>0.06</v>
      </c>
      <c r="K96" s="60">
        <v>251.51</v>
      </c>
      <c r="L96" s="10" t="s">
        <v>43</v>
      </c>
      <c r="M96" s="60">
        <v>80.98</v>
      </c>
      <c r="N96" s="60">
        <v>14.70</v>
      </c>
      <c r="O96" s="60">
        <v>0</v>
      </c>
      <c r="P96" s="60">
        <v>3.56</v>
      </c>
      <c r="Q96" s="60">
        <v>5.04</v>
      </c>
      <c r="R96" s="194"/>
      <c r="S96" s="194"/>
      <c r="T96" s="194"/>
      <c r="U96" s="194"/>
      <c r="Z96" s="105"/>
    </row>
    <row r="97" spans="1:21" s="12" customFormat="1" ht="15">
      <c r="A97" s="197" t="s">
        <v>3117</v>
      </c>
      <c r="B97" s="60">
        <v>10.14</v>
      </c>
      <c r="C97" s="60">
        <v>14.44</v>
      </c>
      <c r="D97" s="60">
        <v>24.58</v>
      </c>
      <c r="E97" s="60">
        <v>5.39</v>
      </c>
      <c r="F97" s="60">
        <v>0.01</v>
      </c>
      <c r="G97" s="214" t="s">
        <v>36</v>
      </c>
      <c r="H97" s="60">
        <v>26.48</v>
      </c>
      <c r="I97" s="60">
        <v>6.21</v>
      </c>
      <c r="J97" s="60">
        <v>0.11</v>
      </c>
      <c r="K97" s="60">
        <v>312.91000000000003</v>
      </c>
      <c r="L97" s="10" t="s">
        <v>43</v>
      </c>
      <c r="M97" s="60">
        <v>81.64</v>
      </c>
      <c r="N97" s="60">
        <v>14.90</v>
      </c>
      <c r="O97" s="60">
        <v>0</v>
      </c>
      <c r="P97" s="60">
        <v>3.57</v>
      </c>
      <c r="Q97" s="60">
        <v>5.63</v>
      </c>
      <c r="R97" s="194"/>
      <c r="S97" s="194"/>
      <c r="T97" s="194"/>
      <c r="U97" s="194"/>
    </row>
    <row r="98" spans="1:21" s="12" customFormat="1" ht="15">
      <c r="A98" s="197" t="s">
        <v>3118</v>
      </c>
      <c r="B98" s="60">
        <v>11.63</v>
      </c>
      <c r="C98" s="60">
        <v>14.23</v>
      </c>
      <c r="D98" s="60">
        <v>25.86</v>
      </c>
      <c r="E98" s="60">
        <v>5.61</v>
      </c>
      <c r="F98" s="60">
        <v>0.26</v>
      </c>
      <c r="G98" s="214" t="s">
        <v>36</v>
      </c>
      <c r="H98" s="60">
        <v>28.24</v>
      </c>
      <c r="I98" s="60">
        <v>6.05</v>
      </c>
      <c r="J98" s="60">
        <v>0.21</v>
      </c>
      <c r="K98" s="60">
        <v>216.14</v>
      </c>
      <c r="L98" s="10" t="s">
        <v>43</v>
      </c>
      <c r="M98" s="60">
        <v>82.69</v>
      </c>
      <c r="N98" s="60">
        <v>14.80</v>
      </c>
      <c r="O98" s="60">
        <v>0</v>
      </c>
      <c r="P98" s="60">
        <v>3.60</v>
      </c>
      <c r="Q98" s="60">
        <v>6.62</v>
      </c>
      <c r="R98" s="194"/>
      <c r="S98" s="194"/>
      <c r="T98" s="194"/>
      <c r="U98" s="194"/>
    </row>
    <row r="99" spans="1:21" s="12" customFormat="1" ht="15">
      <c r="A99" s="197" t="s">
        <v>3119</v>
      </c>
      <c r="B99" s="60">
        <v>11.76</v>
      </c>
      <c r="C99" s="60">
        <v>14.74</v>
      </c>
      <c r="D99" s="60">
        <v>26.51</v>
      </c>
      <c r="E99" s="60">
        <v>6.02</v>
      </c>
      <c r="F99" s="60">
        <v>0.12</v>
      </c>
      <c r="G99" s="214" t="s">
        <v>36</v>
      </c>
      <c r="H99" s="60">
        <v>28.24</v>
      </c>
      <c r="I99" s="60">
        <v>6.01</v>
      </c>
      <c r="J99" s="60">
        <v>0.38</v>
      </c>
      <c r="K99" s="60">
        <v>194.24</v>
      </c>
      <c r="L99" s="10" t="s">
        <v>43</v>
      </c>
      <c r="M99" s="60">
        <v>85.76</v>
      </c>
      <c r="N99" s="60">
        <v>14.80</v>
      </c>
      <c r="O99" s="60">
        <v>0</v>
      </c>
      <c r="P99" s="60">
        <v>3.59</v>
      </c>
      <c r="Q99" s="60">
        <v>7.23</v>
      </c>
      <c r="R99" s="194"/>
      <c r="S99" s="194"/>
      <c r="T99" s="194"/>
      <c r="U99" s="194"/>
    </row>
    <row r="100" spans="1:33" s="12" customFormat="1" ht="15">
      <c r="A100" s="197" t="s">
        <v>3120</v>
      </c>
      <c r="B100" s="60">
        <v>11.30</v>
      </c>
      <c r="C100" s="60">
        <v>14.58</v>
      </c>
      <c r="D100" s="60">
        <v>25.88</v>
      </c>
      <c r="E100" s="60">
        <v>6.16</v>
      </c>
      <c r="F100" s="60">
        <v>0.06</v>
      </c>
      <c r="G100" s="214" t="s">
        <v>36</v>
      </c>
      <c r="H100" s="60">
        <v>28.24</v>
      </c>
      <c r="I100" s="60">
        <v>6.22</v>
      </c>
      <c r="J100" s="60">
        <v>0.31</v>
      </c>
      <c r="K100" s="60">
        <v>200.79</v>
      </c>
      <c r="L100" s="10" t="s">
        <v>43</v>
      </c>
      <c r="M100" s="60">
        <v>86.93</v>
      </c>
      <c r="N100" s="60">
        <v>15</v>
      </c>
      <c r="O100" s="60">
        <v>0</v>
      </c>
      <c r="P100" s="60">
        <v>3.57</v>
      </c>
      <c r="Q100" s="60">
        <v>7.41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3121</v>
      </c>
      <c r="B101" s="60">
        <v>10.42</v>
      </c>
      <c r="C101" s="60">
        <v>13.96</v>
      </c>
      <c r="D101" s="60">
        <v>24.38</v>
      </c>
      <c r="E101" s="60">
        <v>5.49</v>
      </c>
      <c r="F101" s="60">
        <v>0.24</v>
      </c>
      <c r="G101" s="214" t="s">
        <v>36</v>
      </c>
      <c r="H101" s="60">
        <v>26.79</v>
      </c>
      <c r="I101" s="60">
        <v>6.23</v>
      </c>
      <c r="J101" s="60">
        <v>0.17</v>
      </c>
      <c r="K101" s="60">
        <v>204.42</v>
      </c>
      <c r="L101" s="10" t="s">
        <v>43</v>
      </c>
      <c r="M101" s="60">
        <v>87.19</v>
      </c>
      <c r="N101" s="60">
        <v>14.90</v>
      </c>
      <c r="O101" s="60">
        <v>0</v>
      </c>
      <c r="P101" s="60">
        <v>3.54</v>
      </c>
      <c r="Q101" s="60">
        <v>7.20</v>
      </c>
      <c r="R101" s="194"/>
      <c r="S101" s="194"/>
      <c r="T101" s="194"/>
      <c r="U101" s="194"/>
    </row>
    <row r="102" spans="1:21" s="12" customFormat="1" ht="15">
      <c r="A102" s="197" t="s">
        <v>3122</v>
      </c>
      <c r="B102" s="60">
        <v>9.76</v>
      </c>
      <c r="C102" s="60">
        <v>13.79</v>
      </c>
      <c r="D102" s="60">
        <v>23.56</v>
      </c>
      <c r="E102" s="60">
        <v>5.57</v>
      </c>
      <c r="F102" s="60">
        <v>0.03</v>
      </c>
      <c r="G102" s="214" t="s">
        <v>36</v>
      </c>
      <c r="H102" s="60">
        <v>23.23</v>
      </c>
      <c r="I102" s="60">
        <v>6.08</v>
      </c>
      <c r="J102" s="60">
        <v>0.09</v>
      </c>
      <c r="K102" s="60">
        <v>229.59</v>
      </c>
      <c r="L102" s="10" t="s">
        <v>43</v>
      </c>
      <c r="M102" s="60">
        <v>87.66</v>
      </c>
      <c r="N102" s="60">
        <v>15</v>
      </c>
      <c r="O102" s="60">
        <v>0</v>
      </c>
      <c r="P102" s="60">
        <v>3.51</v>
      </c>
      <c r="Q102" s="60">
        <v>6.87</v>
      </c>
      <c r="R102" s="194"/>
      <c r="S102" s="194"/>
      <c r="T102" s="194"/>
      <c r="U102" s="194"/>
    </row>
    <row r="103" spans="1:21" s="12" customFormat="1" ht="15">
      <c r="A103" s="197" t="s">
        <v>3123</v>
      </c>
      <c r="B103" s="60">
        <v>9.34</v>
      </c>
      <c r="C103" s="60">
        <v>13.58</v>
      </c>
      <c r="D103" s="60">
        <v>22.92</v>
      </c>
      <c r="E103" s="60">
        <v>5.74</v>
      </c>
      <c r="F103" s="60">
        <v>0.03</v>
      </c>
      <c r="G103" s="214" t="s">
        <v>36</v>
      </c>
      <c r="H103" s="60">
        <v>23.23</v>
      </c>
      <c r="I103" s="60">
        <v>5.91</v>
      </c>
      <c r="J103" s="60">
        <v>0.09</v>
      </c>
      <c r="K103" s="60">
        <v>221.18</v>
      </c>
      <c r="L103" s="10" t="s">
        <v>43</v>
      </c>
      <c r="M103" s="60">
        <v>87.13</v>
      </c>
      <c r="N103" s="60">
        <v>14.70</v>
      </c>
      <c r="O103" s="60">
        <v>0</v>
      </c>
      <c r="P103" s="60">
        <v>3.5</v>
      </c>
      <c r="Q103" s="60">
        <v>6.66</v>
      </c>
      <c r="R103" s="194"/>
      <c r="S103" s="194"/>
      <c r="T103" s="194"/>
      <c r="U103" s="194"/>
    </row>
    <row r="104" spans="1:21" s="12" customFormat="1" ht="15">
      <c r="A104" s="197" t="s">
        <v>3124</v>
      </c>
      <c r="B104" s="60">
        <v>8.99</v>
      </c>
      <c r="C104" s="60">
        <v>13.66</v>
      </c>
      <c r="D104" s="60">
        <v>22.65</v>
      </c>
      <c r="E104" s="60">
        <v>3.04</v>
      </c>
      <c r="F104" s="60">
        <v>0.03</v>
      </c>
      <c r="G104" s="214" t="s">
        <v>36</v>
      </c>
      <c r="H104" s="60">
        <v>23.23</v>
      </c>
      <c r="I104" s="60">
        <v>5.83</v>
      </c>
      <c r="J104" s="60">
        <v>0.09</v>
      </c>
      <c r="K104" s="60">
        <v>214.43</v>
      </c>
      <c r="L104" s="10" t="s">
        <v>43</v>
      </c>
      <c r="M104" s="60">
        <v>87.53</v>
      </c>
      <c r="N104" s="60">
        <v>14.70</v>
      </c>
      <c r="O104" s="60">
        <v>0</v>
      </c>
      <c r="P104" s="60">
        <v>3.48</v>
      </c>
      <c r="Q104" s="60">
        <v>6.28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1</v>
      </c>
      <c r="C106" s="67">
        <f>MIN(C9:C104)</f>
        <v>9.1400000000000006</v>
      </c>
      <c r="D106" s="67">
        <f t="shared" si="0" ref="D106:Q106">MIN(D9:D104)</f>
        <v>10.51</v>
      </c>
      <c r="E106" s="67">
        <f t="shared" si="0"/>
        <v>2.2799999999999998</v>
      </c>
      <c r="F106" s="67">
        <f t="shared" si="0"/>
        <v>0.01</v>
      </c>
      <c r="G106" s="67">
        <f t="shared" si="0"/>
        <v>0</v>
      </c>
      <c r="H106" s="67">
        <f t="shared" si="0"/>
        <v>5.6200000000000001</v>
      </c>
      <c r="I106" s="67">
        <f t="shared" si="0"/>
        <v>2.9500000000000002</v>
      </c>
      <c r="J106" s="67">
        <f t="shared" si="0"/>
        <v>0</v>
      </c>
      <c r="K106" s="67">
        <f t="shared" si="0"/>
        <v>1.0800000000000001</v>
      </c>
      <c r="L106" s="67">
        <f t="shared" si="0"/>
        <v>33.289999999999999</v>
      </c>
      <c r="M106" s="67">
        <f t="shared" si="0"/>
        <v>54.850000000000001</v>
      </c>
      <c r="N106" s="67">
        <f t="shared" si="0"/>
        <v>14.4</v>
      </c>
      <c r="O106" s="67">
        <f t="shared" si="0"/>
        <v>0</v>
      </c>
      <c r="P106" s="67">
        <f t="shared" si="0"/>
        <v>2.98</v>
      </c>
      <c r="Q106" s="67">
        <f t="shared" si="0"/>
        <v>1.9399999999999999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11.76</v>
      </c>
      <c r="C107" s="66">
        <f t="shared" si="1" ref="C107:Q107">MAX(C9:C104)</f>
        <v>19.870000000000001</v>
      </c>
      <c r="D107" s="66">
        <f t="shared" si="1"/>
        <v>26.510000000000002</v>
      </c>
      <c r="E107" s="66">
        <f t="shared" si="1"/>
        <v>6.71</v>
      </c>
      <c r="F107" s="66">
        <f t="shared" si="1"/>
        <v>2.3199999999999998</v>
      </c>
      <c r="G107" s="66">
        <f t="shared" si="1"/>
        <v>0</v>
      </c>
      <c r="H107" s="66">
        <f t="shared" si="1"/>
        <v>36.560000000000002</v>
      </c>
      <c r="I107" s="66">
        <f t="shared" si="1"/>
        <v>6.2300000000000004</v>
      </c>
      <c r="J107" s="66">
        <f t="shared" si="1"/>
        <v>1.8600000000000001</v>
      </c>
      <c r="K107" s="66">
        <f t="shared" si="1"/>
        <v>349.61000000000001</v>
      </c>
      <c r="L107" s="66">
        <f t="shared" si="1"/>
        <v>49.590000000000003</v>
      </c>
      <c r="M107" s="66">
        <f t="shared" si="1"/>
        <v>90.890000000000001</v>
      </c>
      <c r="N107" s="66">
        <f t="shared" si="1"/>
        <v>1033</v>
      </c>
      <c r="O107" s="66">
        <f t="shared" si="1"/>
        <v>0</v>
      </c>
      <c r="P107" s="66">
        <f t="shared" si="1"/>
        <v>3.6000000000000001</v>
      </c>
      <c r="Q107" s="66">
        <f t="shared" si="1"/>
        <v>7.4100000000000001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4.1678125000000001</v>
      </c>
      <c r="C108" s="67">
        <f t="shared" si="2" ref="C108:Q108">AVERAGE(C9:C104)</f>
        <v>13.792916666666668</v>
      </c>
      <c r="D108" s="67">
        <f t="shared" si="2"/>
        <v>17.962187499999995</v>
      </c>
      <c r="E108" s="67">
        <f t="shared" si="2"/>
        <v>5.3853124999999977</v>
      </c>
      <c r="F108" s="67">
        <f t="shared" si="2"/>
        <v>0.47372340425531917</v>
      </c>
      <c r="G108" s="67" t="e">
        <f t="shared" si="2"/>
        <v>#DIV/0!</v>
      </c>
      <c r="H108" s="67">
        <f t="shared" si="2"/>
        <v>19.818020833333332</v>
      </c>
      <c r="I108" s="67">
        <f t="shared" si="2"/>
        <v>4.3915625</v>
      </c>
      <c r="J108" s="67">
        <f t="shared" si="2"/>
        <v>0.2965624999999999</v>
      </c>
      <c r="K108" s="67">
        <f t="shared" si="2"/>
        <v>231.46697916666665</v>
      </c>
      <c r="L108" s="67">
        <f t="shared" si="2"/>
        <v>38.081923076923061</v>
      </c>
      <c r="M108" s="67">
        <f t="shared" si="2"/>
        <v>75.999999999999986</v>
      </c>
      <c r="N108" s="67">
        <f t="shared" si="2"/>
        <v>227.62708333333339</v>
      </c>
      <c r="O108" s="67">
        <f t="shared" si="2"/>
        <v>0</v>
      </c>
      <c r="P108" s="67">
        <f t="shared" si="2"/>
        <v>3.2369791666666665</v>
      </c>
      <c r="Q108" s="67">
        <f t="shared" si="2"/>
        <v>3.9742708333333341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2.5916904473721383</v>
      </c>
      <c r="C109" s="67">
        <f t="shared" si="3" ref="C109:Q109">STDEV(C9:C104)</f>
        <v>2.9301848034648161</v>
      </c>
      <c r="D109" s="67">
        <f t="shared" si="3"/>
        <v>3.9247568354110101</v>
      </c>
      <c r="E109" s="67">
        <f t="shared" si="3"/>
        <v>0.89704069393699681</v>
      </c>
      <c r="F109" s="67">
        <f t="shared" si="3"/>
        <v>0.50295895222015286</v>
      </c>
      <c r="G109" s="67" t="e">
        <f t="shared" si="3"/>
        <v>#DIV/0!</v>
      </c>
      <c r="H109" s="67">
        <f t="shared" si="3"/>
        <v>8.901709311881941</v>
      </c>
      <c r="I109" s="67">
        <f t="shared" si="3"/>
        <v>0.86105850174134868</v>
      </c>
      <c r="J109" s="67">
        <f t="shared" si="3"/>
        <v>0.29919128936447831</v>
      </c>
      <c r="K109" s="67">
        <f t="shared" si="3"/>
        <v>95.917162101030542</v>
      </c>
      <c r="L109" s="67">
        <f t="shared" si="3"/>
        <v>5.1304083996216852</v>
      </c>
      <c r="M109" s="67">
        <f t="shared" si="3"/>
        <v>11.037796786258617</v>
      </c>
      <c r="N109" s="67">
        <f t="shared" si="3"/>
        <v>294.69747823797968</v>
      </c>
      <c r="O109" s="67">
        <f t="shared" si="3"/>
        <v>0</v>
      </c>
      <c r="P109" s="67">
        <f t="shared" si="3"/>
        <v>0.17453167284066634</v>
      </c>
      <c r="Q109" s="67">
        <f t="shared" si="3"/>
        <v>1.2478687049624071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COUNT(F9:F104)+2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52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&lt;90%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LESS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d1db28d-c5ff-413b-89fb-1d58a22faf6d}">
  <sheetPr codeName=""/>
  <dimension ref="A1:AG117"/>
  <sheetViews>
    <sheetView workbookViewId="0" topLeftCell="A88">
      <selection pane="topLeft" activeCell="Q119" sqref="Q119"/>
    </sheetView>
  </sheetViews>
  <sheetFormatPr defaultColWidth="8.85881696428571" defaultRowHeight="15"/>
  <cols>
    <col min="1" max="1" width="21" style="14" customWidth="1"/>
    <col min="2" max="2" width="15.2857142857143" style="54" customWidth="1"/>
    <col min="3" max="3" width="11.7142857142857" style="54" customWidth="1"/>
    <col min="4" max="5" width="10.8571428571429" style="54" customWidth="1"/>
    <col min="6" max="7" width="10.7142857142857" style="54" customWidth="1"/>
    <col min="8" max="8" width="11.5714285714286" style="54" customWidth="1"/>
    <col min="9" max="9" width="12.1428571428571" style="54" customWidth="1"/>
    <col min="10" max="10" width="11.5714285714286" style="54" customWidth="1"/>
    <col min="11" max="11" width="10.1428571428571" style="54" customWidth="1"/>
    <col min="12" max="12" width="11.1428571428571" style="54" customWidth="1"/>
    <col min="13" max="13" width="12.2857142857143" style="54" customWidth="1"/>
    <col min="14" max="14" width="10.1428571428571" style="54" customWidth="1"/>
    <col min="15" max="15" width="9.85714285714286" style="54" customWidth="1"/>
    <col min="16" max="16" width="10" style="54" customWidth="1"/>
    <col min="17" max="17" width="11.7142857142857" style="54" customWidth="1"/>
    <col min="18" max="19" width="9.14285714285714" style="54" customWidth="1"/>
    <col min="20" max="20" width="11.4285714285714" style="54" customWidth="1"/>
    <col min="21" max="16384" width="8.85714285714286" style="54"/>
  </cols>
  <sheetData>
    <row r="1" spans="1:21" ht="26.25">
      <c r="A1" s="15" t="s">
        <v>30</v>
      </c>
      <c r="B1" s="57" t="s">
        <v>226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ht="15">
      <c r="A2" s="15" t="s">
        <v>0</v>
      </c>
      <c r="B2" s="104" t="str">
        <f>$A$9</f>
        <v>31-07-2022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0"/>
      <c r="P2" s="101" t="s">
        <v>35</v>
      </c>
      <c r="Q2" s="100"/>
      <c r="R2" s="9" t="s">
        <v>36</v>
      </c>
      <c r="S2" s="12"/>
      <c r="T2" s="12"/>
      <c r="U2" s="12"/>
    </row>
    <row r="3" spans="1:21" ht="1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1" t="s">
        <v>43</v>
      </c>
      <c r="Q3" s="13"/>
      <c r="R3" s="10" t="s">
        <v>43</v>
      </c>
      <c r="S3" s="12"/>
      <c r="T3" s="12"/>
      <c r="U3" s="12"/>
    </row>
    <row r="4" spans="1:21" ht="1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ht="1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ht="1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ht="15">
      <c r="A7" s="15" t="s">
        <v>50</v>
      </c>
      <c r="B7" s="194" t="s">
        <v>227</v>
      </c>
      <c r="C7" s="194" t="s">
        <v>228</v>
      </c>
      <c r="D7" s="194" t="s">
        <v>229</v>
      </c>
      <c r="E7" s="194" t="s">
        <v>230</v>
      </c>
      <c r="F7" s="194" t="s">
        <v>231</v>
      </c>
      <c r="G7" s="194" t="s">
        <v>232</v>
      </c>
      <c r="H7" s="194" t="s">
        <v>233</v>
      </c>
      <c r="I7" s="194" t="s">
        <v>234</v>
      </c>
      <c r="J7" s="194" t="s">
        <v>235</v>
      </c>
      <c r="K7" s="194" t="s">
        <v>236</v>
      </c>
      <c r="L7" s="194" t="s">
        <v>237</v>
      </c>
      <c r="M7" s="194" t="s">
        <v>238</v>
      </c>
      <c r="N7" s="194" t="s">
        <v>239</v>
      </c>
      <c r="O7" s="194" t="s">
        <v>240</v>
      </c>
      <c r="P7" s="194" t="s">
        <v>241</v>
      </c>
      <c r="Q7" s="194" t="s">
        <v>242</v>
      </c>
      <c r="R7" s="192"/>
      <c r="S7" s="193"/>
      <c r="T7" s="192"/>
      <c r="U7" s="192"/>
    </row>
    <row r="8" spans="1:21" ht="15">
      <c r="A8" s="15"/>
      <c r="B8" s="13" t="s">
        <v>51</v>
      </c>
      <c r="C8" s="13" t="s">
        <v>51</v>
      </c>
      <c r="D8" s="13" t="s">
        <v>51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5" t="s">
        <v>51</v>
      </c>
      <c r="R8" s="192"/>
      <c r="S8" s="193"/>
      <c r="T8" s="192"/>
      <c r="U8" s="192"/>
    </row>
    <row r="9" spans="1:21" s="12" customFormat="1" ht="15">
      <c r="A9" s="197" t="s">
        <v>3125</v>
      </c>
      <c r="B9" s="60">
        <v>8.6300000000000008</v>
      </c>
      <c r="C9" s="60">
        <v>13.35</v>
      </c>
      <c r="D9" s="60">
        <v>21.98</v>
      </c>
      <c r="E9" s="60">
        <v>5.71</v>
      </c>
      <c r="F9" s="60">
        <v>0.070000000000000007</v>
      </c>
      <c r="G9" s="214" t="s">
        <v>36</v>
      </c>
      <c r="H9" s="60">
        <v>23.33</v>
      </c>
      <c r="I9" s="60">
        <v>5.80</v>
      </c>
      <c r="J9" s="60">
        <v>0.04</v>
      </c>
      <c r="K9" s="60">
        <v>255.73</v>
      </c>
      <c r="L9" s="60">
        <v>48.41</v>
      </c>
      <c r="M9" s="60">
        <v>87.10</v>
      </c>
      <c r="N9" s="60">
        <v>14.70</v>
      </c>
      <c r="O9" s="60">
        <v>0</v>
      </c>
      <c r="P9" s="60">
        <v>3.48</v>
      </c>
      <c r="Q9" s="60">
        <v>5.75</v>
      </c>
      <c r="R9" s="194"/>
      <c r="S9" s="194"/>
      <c r="T9" s="194"/>
      <c r="U9" s="194"/>
    </row>
    <row r="10" spans="1:21" s="12" customFormat="1" ht="15">
      <c r="A10" s="197" t="s">
        <v>3126</v>
      </c>
      <c r="B10" s="60">
        <v>8.33</v>
      </c>
      <c r="C10" s="60">
        <v>12.54</v>
      </c>
      <c r="D10" s="60">
        <v>20.87</v>
      </c>
      <c r="E10" s="60">
        <v>5.65</v>
      </c>
      <c r="F10" s="60">
        <v>0.14000000000000001</v>
      </c>
      <c r="G10" s="214" t="s">
        <v>36</v>
      </c>
      <c r="H10" s="60">
        <v>23.58</v>
      </c>
      <c r="I10" s="60">
        <v>5.65</v>
      </c>
      <c r="J10" s="60">
        <v>0.04</v>
      </c>
      <c r="K10" s="60">
        <v>295.14</v>
      </c>
      <c r="L10" s="60">
        <v>48.33</v>
      </c>
      <c r="M10" s="60">
        <v>86.96</v>
      </c>
      <c r="N10" s="60">
        <v>15</v>
      </c>
      <c r="O10" s="60">
        <v>0</v>
      </c>
      <c r="P10" s="60">
        <v>3.44</v>
      </c>
      <c r="Q10" s="60">
        <v>5.13</v>
      </c>
      <c r="R10" s="194"/>
      <c r="S10" s="194"/>
      <c r="T10" s="194"/>
      <c r="U10" s="194"/>
    </row>
    <row r="11" spans="1:21" s="12" customFormat="1" ht="15">
      <c r="A11" s="197" t="s">
        <v>3127</v>
      </c>
      <c r="B11" s="60">
        <v>8.18</v>
      </c>
      <c r="C11" s="60">
        <v>12.36</v>
      </c>
      <c r="D11" s="60">
        <v>20.54</v>
      </c>
      <c r="E11" s="60">
        <v>5.85</v>
      </c>
      <c r="F11" s="214" t="s">
        <v>36</v>
      </c>
      <c r="G11" s="214" t="s">
        <v>36</v>
      </c>
      <c r="H11" s="60">
        <v>23.58</v>
      </c>
      <c r="I11" s="60">
        <v>5.55</v>
      </c>
      <c r="J11" s="60">
        <v>0.05</v>
      </c>
      <c r="K11" s="60">
        <v>262.25</v>
      </c>
      <c r="L11" s="60">
        <v>48.69</v>
      </c>
      <c r="M11" s="60">
        <v>87.66</v>
      </c>
      <c r="N11" s="60">
        <v>14.90</v>
      </c>
      <c r="O11" s="60">
        <v>0</v>
      </c>
      <c r="P11" s="60">
        <v>3.44</v>
      </c>
      <c r="Q11" s="60">
        <v>4.97</v>
      </c>
      <c r="R11" s="194"/>
      <c r="S11" s="194"/>
      <c r="T11" s="194"/>
      <c r="U11" s="194"/>
    </row>
    <row r="12" spans="1:21" s="12" customFormat="1" ht="15">
      <c r="A12" s="197" t="s">
        <v>3128</v>
      </c>
      <c r="B12" s="60">
        <v>8</v>
      </c>
      <c r="C12" s="60">
        <v>11.83</v>
      </c>
      <c r="D12" s="60">
        <v>19.829999999999998</v>
      </c>
      <c r="E12" s="60">
        <v>5.96</v>
      </c>
      <c r="F12" s="60">
        <v>0.03</v>
      </c>
      <c r="G12" s="214" t="s">
        <v>36</v>
      </c>
      <c r="H12" s="60">
        <v>23.58</v>
      </c>
      <c r="I12" s="60">
        <v>5.49</v>
      </c>
      <c r="J12" s="60">
        <v>0.070000000000000007</v>
      </c>
      <c r="K12" s="60">
        <v>237.76</v>
      </c>
      <c r="L12" s="60">
        <v>48.87</v>
      </c>
      <c r="M12" s="60">
        <v>87.21</v>
      </c>
      <c r="N12" s="60">
        <v>14.80</v>
      </c>
      <c r="O12" s="60">
        <v>0</v>
      </c>
      <c r="P12" s="60">
        <v>3.44</v>
      </c>
      <c r="Q12" s="60">
        <v>4.67</v>
      </c>
      <c r="R12" s="194"/>
      <c r="S12" s="194"/>
      <c r="T12" s="194"/>
      <c r="U12" s="194"/>
    </row>
    <row r="13" spans="1:21" s="12" customFormat="1" ht="15">
      <c r="A13" s="197" t="s">
        <v>3129</v>
      </c>
      <c r="B13" s="60">
        <v>7.83</v>
      </c>
      <c r="C13" s="60">
        <v>11.5</v>
      </c>
      <c r="D13" s="60">
        <v>19.329999999999998</v>
      </c>
      <c r="E13" s="60">
        <v>6.18</v>
      </c>
      <c r="F13" s="60">
        <v>0.10</v>
      </c>
      <c r="G13" s="214" t="s">
        <v>36</v>
      </c>
      <c r="H13" s="60">
        <v>22.94</v>
      </c>
      <c r="I13" s="60">
        <v>5.25</v>
      </c>
      <c r="J13" s="60">
        <v>0.08</v>
      </c>
      <c r="K13" s="60">
        <v>306.63</v>
      </c>
      <c r="L13" s="60">
        <v>48.49</v>
      </c>
      <c r="M13" s="60">
        <v>87.56</v>
      </c>
      <c r="N13" s="60">
        <v>14.90</v>
      </c>
      <c r="O13" s="60">
        <v>0</v>
      </c>
      <c r="P13" s="60">
        <v>3.44</v>
      </c>
      <c r="Q13" s="60">
        <v>4.51</v>
      </c>
      <c r="R13" s="194"/>
      <c r="S13" s="194"/>
      <c r="T13" s="194"/>
      <c r="U13" s="194"/>
    </row>
    <row r="14" spans="1:21" s="12" customFormat="1" ht="15">
      <c r="A14" s="197" t="s">
        <v>3130</v>
      </c>
      <c r="B14" s="60">
        <v>7.72</v>
      </c>
      <c r="C14" s="60">
        <v>11.01</v>
      </c>
      <c r="D14" s="60">
        <v>18.73</v>
      </c>
      <c r="E14" s="60">
        <v>6.32</v>
      </c>
      <c r="F14" s="60">
        <v>0.24</v>
      </c>
      <c r="G14" s="214" t="s">
        <v>36</v>
      </c>
      <c r="H14" s="60">
        <v>21.37</v>
      </c>
      <c r="I14" s="60">
        <v>5.28</v>
      </c>
      <c r="J14" s="60">
        <v>0.17</v>
      </c>
      <c r="K14" s="60">
        <v>219.37</v>
      </c>
      <c r="L14" s="60">
        <v>48.60</v>
      </c>
      <c r="M14" s="60">
        <v>86.98</v>
      </c>
      <c r="N14" s="60">
        <v>14.80</v>
      </c>
      <c r="O14" s="60">
        <v>0</v>
      </c>
      <c r="P14" s="60">
        <v>3.43</v>
      </c>
      <c r="Q14" s="60">
        <v>4.2699999999999996</v>
      </c>
      <c r="R14" s="194"/>
      <c r="S14" s="194"/>
      <c r="T14" s="194"/>
      <c r="U14" s="194"/>
    </row>
    <row r="15" spans="1:21" s="12" customFormat="1" ht="15">
      <c r="A15" s="197" t="s">
        <v>3131</v>
      </c>
      <c r="B15" s="60">
        <v>7.53</v>
      </c>
      <c r="C15" s="60">
        <v>11.16</v>
      </c>
      <c r="D15" s="60">
        <v>18.690000000000001</v>
      </c>
      <c r="E15" s="60">
        <v>6.52</v>
      </c>
      <c r="F15" s="60">
        <v>0.10</v>
      </c>
      <c r="G15" s="214" t="s">
        <v>36</v>
      </c>
      <c r="H15" s="60">
        <v>21.37</v>
      </c>
      <c r="I15" s="60">
        <v>5.59</v>
      </c>
      <c r="J15" s="60">
        <v>0.06</v>
      </c>
      <c r="K15" s="60">
        <v>227.26</v>
      </c>
      <c r="L15" s="60">
        <v>49.31</v>
      </c>
      <c r="M15" s="60">
        <v>86.62</v>
      </c>
      <c r="N15" s="60">
        <v>14.70</v>
      </c>
      <c r="O15" s="60">
        <v>0</v>
      </c>
      <c r="P15" s="60">
        <v>3.42</v>
      </c>
      <c r="Q15" s="60">
        <v>4.32</v>
      </c>
      <c r="R15" s="194"/>
      <c r="S15" s="194"/>
      <c r="T15" s="194"/>
      <c r="U15" s="194"/>
    </row>
    <row r="16" spans="1:21" s="12" customFormat="1" ht="15">
      <c r="A16" s="197" t="s">
        <v>3132</v>
      </c>
      <c r="B16" s="60">
        <v>7.17</v>
      </c>
      <c r="C16" s="60">
        <v>11.03</v>
      </c>
      <c r="D16" s="60">
        <v>18.20</v>
      </c>
      <c r="E16" s="60">
        <v>6.68</v>
      </c>
      <c r="F16" s="60">
        <v>0.22</v>
      </c>
      <c r="G16" s="214" t="s">
        <v>36</v>
      </c>
      <c r="H16" s="60">
        <v>21.37</v>
      </c>
      <c r="I16" s="60">
        <v>5.65</v>
      </c>
      <c r="J16" s="60">
        <v>0.04</v>
      </c>
      <c r="K16" s="60">
        <v>33.43</v>
      </c>
      <c r="L16" s="60">
        <v>49.96</v>
      </c>
      <c r="M16" s="60">
        <v>87.18</v>
      </c>
      <c r="N16" s="60">
        <v>14.90</v>
      </c>
      <c r="O16" s="60">
        <v>0</v>
      </c>
      <c r="P16" s="60">
        <v>3.40</v>
      </c>
      <c r="Q16" s="60">
        <v>4.46</v>
      </c>
      <c r="R16" s="194"/>
      <c r="S16" s="194"/>
      <c r="T16" s="194"/>
      <c r="U16" s="194"/>
    </row>
    <row r="17" spans="1:21" s="12" customFormat="1" ht="15">
      <c r="A17" s="197" t="s">
        <v>3133</v>
      </c>
      <c r="B17" s="60">
        <v>6.40</v>
      </c>
      <c r="C17" s="60">
        <v>11.14</v>
      </c>
      <c r="D17" s="60">
        <v>17.54</v>
      </c>
      <c r="E17" s="60">
        <v>6.25</v>
      </c>
      <c r="F17" s="60">
        <v>0.06</v>
      </c>
      <c r="G17" s="214" t="s">
        <v>36</v>
      </c>
      <c r="H17" s="60">
        <v>20.90</v>
      </c>
      <c r="I17" s="60">
        <v>5.57</v>
      </c>
      <c r="J17" s="60">
        <v>0.09</v>
      </c>
      <c r="K17" s="60">
        <v>253.16</v>
      </c>
      <c r="L17" s="60">
        <v>50.28</v>
      </c>
      <c r="M17" s="60">
        <v>88.47</v>
      </c>
      <c r="N17" s="60">
        <v>15</v>
      </c>
      <c r="O17" s="60">
        <v>0</v>
      </c>
      <c r="P17" s="60">
        <v>3.37</v>
      </c>
      <c r="Q17" s="60">
        <v>4.82</v>
      </c>
      <c r="R17" s="194"/>
      <c r="S17" s="194"/>
      <c r="T17" s="194"/>
      <c r="U17" s="194"/>
    </row>
    <row r="18" spans="1:21" s="12" customFormat="1" ht="15">
      <c r="A18" s="197" t="s">
        <v>3134</v>
      </c>
      <c r="B18" s="60">
        <v>5.70</v>
      </c>
      <c r="C18" s="60">
        <v>11.36</v>
      </c>
      <c r="D18" s="60">
        <v>17.05</v>
      </c>
      <c r="E18" s="60">
        <v>6.03</v>
      </c>
      <c r="F18" s="60">
        <v>0.12</v>
      </c>
      <c r="G18" s="214" t="s">
        <v>36</v>
      </c>
      <c r="H18" s="60">
        <v>19.75</v>
      </c>
      <c r="I18" s="60">
        <v>5.63</v>
      </c>
      <c r="J18" s="60">
        <v>0.11</v>
      </c>
      <c r="K18" s="60">
        <v>192.45</v>
      </c>
      <c r="L18" s="60">
        <v>50.82</v>
      </c>
      <c r="M18" s="60">
        <v>89.06</v>
      </c>
      <c r="N18" s="60">
        <v>14.90</v>
      </c>
      <c r="O18" s="60">
        <v>0</v>
      </c>
      <c r="P18" s="60">
        <v>3.35</v>
      </c>
      <c r="Q18" s="60">
        <v>4.97</v>
      </c>
      <c r="R18" s="194"/>
      <c r="S18" s="194"/>
      <c r="T18" s="194"/>
      <c r="U18" s="194"/>
    </row>
    <row r="19" spans="1:21" s="12" customFormat="1" ht="15">
      <c r="A19" s="197" t="s">
        <v>3135</v>
      </c>
      <c r="B19" s="60">
        <v>5.0999999999999996</v>
      </c>
      <c r="C19" s="60">
        <v>11.11</v>
      </c>
      <c r="D19" s="60">
        <v>16.21</v>
      </c>
      <c r="E19" s="60">
        <v>6.15</v>
      </c>
      <c r="F19" s="60">
        <v>0.13</v>
      </c>
      <c r="G19" s="214" t="s">
        <v>36</v>
      </c>
      <c r="H19" s="60">
        <v>19.75</v>
      </c>
      <c r="I19" s="60">
        <v>5.45</v>
      </c>
      <c r="J19" s="60">
        <v>0.30</v>
      </c>
      <c r="K19" s="60">
        <v>203.97</v>
      </c>
      <c r="L19" s="60">
        <v>54.24</v>
      </c>
      <c r="M19" s="60">
        <v>89.61</v>
      </c>
      <c r="N19" s="60">
        <v>14.70</v>
      </c>
      <c r="O19" s="60">
        <v>0</v>
      </c>
      <c r="P19" s="60">
        <v>3.32</v>
      </c>
      <c r="Q19" s="60">
        <v>4.87</v>
      </c>
      <c r="R19" s="194"/>
      <c r="S19" s="194"/>
      <c r="T19" s="194"/>
      <c r="U19" s="194"/>
    </row>
    <row r="20" spans="1:21" s="12" customFormat="1" ht="15">
      <c r="A20" s="197" t="s">
        <v>3136</v>
      </c>
      <c r="B20" s="60">
        <v>4.57</v>
      </c>
      <c r="C20" s="60">
        <v>10.78</v>
      </c>
      <c r="D20" s="60">
        <v>15.35</v>
      </c>
      <c r="E20" s="60">
        <v>6.15</v>
      </c>
      <c r="F20" s="60">
        <v>0.19</v>
      </c>
      <c r="G20" s="214" t="s">
        <v>36</v>
      </c>
      <c r="H20" s="60">
        <v>19.75</v>
      </c>
      <c r="I20" s="60">
        <v>5.27</v>
      </c>
      <c r="J20" s="60">
        <v>0.36</v>
      </c>
      <c r="K20" s="60">
        <v>204.17</v>
      </c>
      <c r="L20" s="60">
        <v>53.93</v>
      </c>
      <c r="M20" s="60">
        <v>90.64</v>
      </c>
      <c r="N20" s="60">
        <v>14.70</v>
      </c>
      <c r="O20" s="60">
        <v>0</v>
      </c>
      <c r="P20" s="60">
        <v>3.29</v>
      </c>
      <c r="Q20" s="60">
        <v>4.5999999999999996</v>
      </c>
      <c r="R20" s="194"/>
      <c r="S20" s="194"/>
      <c r="T20" s="194"/>
      <c r="U20" s="194"/>
    </row>
    <row r="21" spans="1:21" s="12" customFormat="1" ht="15">
      <c r="A21" s="197" t="s">
        <v>3137</v>
      </c>
      <c r="B21" s="60">
        <v>4.13</v>
      </c>
      <c r="C21" s="60">
        <v>10.49</v>
      </c>
      <c r="D21" s="60">
        <v>14.62</v>
      </c>
      <c r="E21" s="60">
        <v>6.04</v>
      </c>
      <c r="F21" s="60">
        <v>0.17</v>
      </c>
      <c r="G21" s="214" t="s">
        <v>36</v>
      </c>
      <c r="H21" s="60">
        <v>18.30</v>
      </c>
      <c r="I21" s="60">
        <v>5.08</v>
      </c>
      <c r="J21" s="60">
        <v>0.23</v>
      </c>
      <c r="K21" s="60">
        <v>177.94</v>
      </c>
      <c r="L21" s="60">
        <v>54.58</v>
      </c>
      <c r="M21" s="60">
        <v>93.01</v>
      </c>
      <c r="N21" s="60">
        <v>14.80</v>
      </c>
      <c r="O21" s="60">
        <v>0</v>
      </c>
      <c r="P21" s="60">
        <v>3.27</v>
      </c>
      <c r="Q21" s="60">
        <v>4.41</v>
      </c>
      <c r="R21" s="194"/>
      <c r="S21" s="194"/>
      <c r="T21" s="194"/>
      <c r="U21" s="194"/>
    </row>
    <row r="22" spans="1:21" s="12" customFormat="1" ht="15">
      <c r="A22" s="197" t="s">
        <v>3138</v>
      </c>
      <c r="B22" s="60">
        <v>3.78</v>
      </c>
      <c r="C22" s="60">
        <v>10.5</v>
      </c>
      <c r="D22" s="60">
        <v>14.28</v>
      </c>
      <c r="E22" s="60">
        <v>5.71</v>
      </c>
      <c r="F22" s="214" t="s">
        <v>36</v>
      </c>
      <c r="G22" s="214" t="s">
        <v>36</v>
      </c>
      <c r="H22" s="60">
        <v>14.72</v>
      </c>
      <c r="I22" s="60">
        <v>4.96</v>
      </c>
      <c r="J22" s="60">
        <v>0.16</v>
      </c>
      <c r="K22" s="60">
        <v>215.33</v>
      </c>
      <c r="L22" s="60">
        <v>52.25</v>
      </c>
      <c r="M22" s="60">
        <v>94.71</v>
      </c>
      <c r="N22" s="60">
        <v>14.80</v>
      </c>
      <c r="O22" s="60">
        <v>0</v>
      </c>
      <c r="P22" s="60">
        <v>3.25</v>
      </c>
      <c r="Q22" s="60">
        <v>4.30</v>
      </c>
      <c r="R22" s="194"/>
      <c r="S22" s="194"/>
      <c r="T22" s="194"/>
      <c r="U22" s="194"/>
    </row>
    <row r="23" spans="1:21" s="12" customFormat="1" ht="15">
      <c r="A23" s="197" t="s">
        <v>3139</v>
      </c>
      <c r="B23" s="60">
        <v>3.66</v>
      </c>
      <c r="C23" s="60">
        <v>10.199999999999999</v>
      </c>
      <c r="D23" s="60">
        <v>13.86</v>
      </c>
      <c r="E23" s="60">
        <v>6.13</v>
      </c>
      <c r="F23" s="60">
        <v>0.05</v>
      </c>
      <c r="G23" s="214" t="s">
        <v>36</v>
      </c>
      <c r="H23" s="60">
        <v>14.72</v>
      </c>
      <c r="I23" s="60">
        <v>4.79</v>
      </c>
      <c r="J23" s="60">
        <v>0.06</v>
      </c>
      <c r="K23" s="60">
        <v>0.93</v>
      </c>
      <c r="L23" s="60">
        <v>52.12</v>
      </c>
      <c r="M23" s="60">
        <v>94.79</v>
      </c>
      <c r="N23" s="60">
        <v>14.70</v>
      </c>
      <c r="O23" s="60">
        <v>0</v>
      </c>
      <c r="P23" s="60">
        <v>3.23</v>
      </c>
      <c r="Q23" s="60">
        <v>3.64</v>
      </c>
      <c r="R23" s="194"/>
      <c r="S23" s="194"/>
      <c r="T23" s="194"/>
      <c r="U23" s="194"/>
    </row>
    <row r="24" spans="1:21" s="12" customFormat="1" ht="15">
      <c r="A24" s="197" t="s">
        <v>3140</v>
      </c>
      <c r="B24" s="60">
        <v>3.72</v>
      </c>
      <c r="C24" s="60">
        <v>10.36</v>
      </c>
      <c r="D24" s="60">
        <v>14.08</v>
      </c>
      <c r="E24" s="60">
        <v>3.29</v>
      </c>
      <c r="F24" s="60">
        <v>0.04</v>
      </c>
      <c r="G24" s="214" t="s">
        <v>36</v>
      </c>
      <c r="H24" s="60">
        <v>14.72</v>
      </c>
      <c r="I24" s="60">
        <v>4.71</v>
      </c>
      <c r="J24" s="60">
        <v>0.08</v>
      </c>
      <c r="K24" s="60">
        <v>293.11</v>
      </c>
      <c r="L24" s="60">
        <v>54.45</v>
      </c>
      <c r="M24" s="60">
        <v>95.16</v>
      </c>
      <c r="N24" s="60">
        <v>14.70</v>
      </c>
      <c r="O24" s="60">
        <v>0</v>
      </c>
      <c r="P24" s="60">
        <v>3.23</v>
      </c>
      <c r="Q24" s="60">
        <v>3.59</v>
      </c>
      <c r="R24" s="194"/>
      <c r="S24" s="194"/>
      <c r="T24" s="194"/>
      <c r="U24" s="194"/>
    </row>
    <row r="25" spans="1:21" s="12" customFormat="1" ht="15">
      <c r="A25" s="197" t="s">
        <v>3141</v>
      </c>
      <c r="B25" s="60">
        <v>3.76</v>
      </c>
      <c r="C25" s="60">
        <v>9.89</v>
      </c>
      <c r="D25" s="60">
        <v>13.65</v>
      </c>
      <c r="E25" s="60">
        <v>5.63</v>
      </c>
      <c r="F25" s="60">
        <v>0.10</v>
      </c>
      <c r="G25" s="214" t="s">
        <v>36</v>
      </c>
      <c r="H25" s="60">
        <v>14.83</v>
      </c>
      <c r="I25" s="60">
        <v>4.5</v>
      </c>
      <c r="J25" s="60">
        <v>0.01</v>
      </c>
      <c r="K25" s="60">
        <v>62.78</v>
      </c>
      <c r="L25" s="60">
        <v>55.21</v>
      </c>
      <c r="M25" s="60">
        <v>95.88</v>
      </c>
      <c r="N25" s="60">
        <v>14.70</v>
      </c>
      <c r="O25" s="60">
        <v>0</v>
      </c>
      <c r="P25" s="60">
        <v>3.22</v>
      </c>
      <c r="Q25" s="60">
        <v>3.23</v>
      </c>
      <c r="R25" s="194"/>
      <c r="S25" s="194"/>
      <c r="T25" s="194"/>
      <c r="U25" s="194"/>
    </row>
    <row r="26" spans="1:21" s="12" customFormat="1" ht="15">
      <c r="A26" s="197" t="s">
        <v>3142</v>
      </c>
      <c r="B26" s="60">
        <v>3.79</v>
      </c>
      <c r="C26" s="60">
        <v>9.7799999999999994</v>
      </c>
      <c r="D26" s="60">
        <v>13.57</v>
      </c>
      <c r="E26" s="60">
        <v>6.22</v>
      </c>
      <c r="F26" s="60">
        <v>0.10</v>
      </c>
      <c r="G26" s="214" t="s">
        <v>36</v>
      </c>
      <c r="H26" s="60">
        <v>15.10</v>
      </c>
      <c r="I26" s="60">
        <v>4.63</v>
      </c>
      <c r="J26" s="60">
        <v>0.03</v>
      </c>
      <c r="K26" s="60">
        <v>303.01</v>
      </c>
      <c r="L26" s="60">
        <v>49.96</v>
      </c>
      <c r="M26" s="60">
        <v>95.12</v>
      </c>
      <c r="N26" s="60">
        <v>14.60</v>
      </c>
      <c r="O26" s="60">
        <v>0</v>
      </c>
      <c r="P26" s="60">
        <v>3.20</v>
      </c>
      <c r="Q26" s="60">
        <v>2.96</v>
      </c>
      <c r="R26" s="194"/>
      <c r="S26" s="194"/>
      <c r="T26" s="194"/>
      <c r="U26" s="194"/>
    </row>
    <row r="27" spans="1:21" s="12" customFormat="1" ht="15">
      <c r="A27" s="197" t="s">
        <v>3143</v>
      </c>
      <c r="B27" s="60">
        <v>3.64</v>
      </c>
      <c r="C27" s="60">
        <v>10.09</v>
      </c>
      <c r="D27" s="60">
        <v>13.74</v>
      </c>
      <c r="E27" s="60">
        <v>6.49</v>
      </c>
      <c r="F27" s="60">
        <v>0.02</v>
      </c>
      <c r="G27" s="214" t="s">
        <v>36</v>
      </c>
      <c r="H27" s="60">
        <v>15.10</v>
      </c>
      <c r="I27" s="60">
        <v>4.53</v>
      </c>
      <c r="J27" s="60">
        <v>0.05</v>
      </c>
      <c r="K27" s="60">
        <v>48.24</v>
      </c>
      <c r="L27" s="60">
        <v>47.46</v>
      </c>
      <c r="M27" s="60">
        <v>95.71</v>
      </c>
      <c r="N27" s="60">
        <v>14.70</v>
      </c>
      <c r="O27" s="60">
        <v>0</v>
      </c>
      <c r="P27" s="60">
        <v>3.20</v>
      </c>
      <c r="Q27" s="60">
        <v>2.91</v>
      </c>
      <c r="R27" s="194"/>
      <c r="S27" s="194"/>
      <c r="T27" s="194"/>
      <c r="U27" s="194"/>
    </row>
    <row r="28" spans="1:21" s="12" customFormat="1" ht="15">
      <c r="A28" s="197" t="s">
        <v>3144</v>
      </c>
      <c r="B28" s="60">
        <v>3.57</v>
      </c>
      <c r="C28" s="60">
        <v>10.17</v>
      </c>
      <c r="D28" s="60">
        <v>13.74</v>
      </c>
      <c r="E28" s="60">
        <v>5.87</v>
      </c>
      <c r="F28" s="60">
        <v>0.01</v>
      </c>
      <c r="G28" s="214" t="s">
        <v>36</v>
      </c>
      <c r="H28" s="60">
        <v>15.10</v>
      </c>
      <c r="I28" s="60">
        <v>4.46</v>
      </c>
      <c r="J28" s="60">
        <v>0.04</v>
      </c>
      <c r="K28" s="60">
        <v>219.13</v>
      </c>
      <c r="L28" s="60">
        <v>45.15</v>
      </c>
      <c r="M28" s="60">
        <v>95.97</v>
      </c>
      <c r="N28" s="60">
        <v>14.70</v>
      </c>
      <c r="O28" s="60">
        <v>0</v>
      </c>
      <c r="P28" s="60">
        <v>3.19</v>
      </c>
      <c r="Q28" s="60">
        <v>2.79</v>
      </c>
      <c r="R28" s="194"/>
      <c r="S28" s="194"/>
      <c r="T28" s="194"/>
      <c r="U28" s="194"/>
    </row>
    <row r="29" spans="1:21" s="12" customFormat="1" ht="15">
      <c r="A29" s="197" t="s">
        <v>3145</v>
      </c>
      <c r="B29" s="60">
        <v>3.65</v>
      </c>
      <c r="C29" s="60">
        <v>9.9600000000000009</v>
      </c>
      <c r="D29" s="60">
        <v>13.61</v>
      </c>
      <c r="E29" s="60">
        <v>6.14</v>
      </c>
      <c r="F29" s="60">
        <v>0.08</v>
      </c>
      <c r="G29" s="214" t="s">
        <v>36</v>
      </c>
      <c r="H29" s="60">
        <v>16.11</v>
      </c>
      <c r="I29" s="60">
        <v>4.42</v>
      </c>
      <c r="J29" s="60">
        <v>0.08</v>
      </c>
      <c r="K29" s="60">
        <v>204.38</v>
      </c>
      <c r="L29" s="60">
        <v>45.72</v>
      </c>
      <c r="M29" s="60">
        <v>96.28</v>
      </c>
      <c r="N29" s="60">
        <v>14.70</v>
      </c>
      <c r="O29" s="60">
        <v>0</v>
      </c>
      <c r="P29" s="60">
        <v>3.18</v>
      </c>
      <c r="Q29" s="60">
        <v>2.70</v>
      </c>
      <c r="R29" s="194"/>
      <c r="S29" s="194"/>
      <c r="T29" s="194"/>
      <c r="U29" s="194"/>
    </row>
    <row r="30" spans="1:21" s="12" customFormat="1" ht="15">
      <c r="A30" s="197" t="s">
        <v>3146</v>
      </c>
      <c r="B30" s="60">
        <v>3.69</v>
      </c>
      <c r="C30" s="60">
        <v>10.59</v>
      </c>
      <c r="D30" s="60">
        <v>14.28</v>
      </c>
      <c r="E30" s="60">
        <v>6.09</v>
      </c>
      <c r="F30" s="60">
        <v>0.03</v>
      </c>
      <c r="G30" s="214" t="s">
        <v>36</v>
      </c>
      <c r="H30" s="60">
        <v>18.62</v>
      </c>
      <c r="I30" s="60">
        <v>4.3899999999999997</v>
      </c>
      <c r="J30" s="60">
        <v>0.02</v>
      </c>
      <c r="K30" s="60">
        <v>189.05</v>
      </c>
      <c r="L30" s="60">
        <v>49.40</v>
      </c>
      <c r="M30" s="60">
        <v>96.40</v>
      </c>
      <c r="N30" s="60">
        <v>15.30</v>
      </c>
      <c r="O30" s="60">
        <v>0</v>
      </c>
      <c r="P30" s="60">
        <v>3.17</v>
      </c>
      <c r="Q30" s="60">
        <v>2.94</v>
      </c>
      <c r="R30" s="194"/>
      <c r="S30" s="194"/>
      <c r="T30" s="194"/>
      <c r="U30" s="194"/>
    </row>
    <row r="31" spans="1:21" s="12" customFormat="1" ht="15">
      <c r="A31" s="197" t="s">
        <v>3147</v>
      </c>
      <c r="B31" s="60">
        <v>3.66</v>
      </c>
      <c r="C31" s="60">
        <v>10.02</v>
      </c>
      <c r="D31" s="60">
        <v>13.68</v>
      </c>
      <c r="E31" s="60">
        <v>5.95</v>
      </c>
      <c r="F31" s="60">
        <v>0.20</v>
      </c>
      <c r="G31" s="214" t="s">
        <v>36</v>
      </c>
      <c r="H31" s="60">
        <v>18.62</v>
      </c>
      <c r="I31" s="60">
        <v>4.29</v>
      </c>
      <c r="J31" s="60">
        <v>0.05</v>
      </c>
      <c r="K31" s="60">
        <v>235.06</v>
      </c>
      <c r="L31" s="60">
        <v>48.28</v>
      </c>
      <c r="M31" s="60">
        <v>96.40</v>
      </c>
      <c r="N31" s="60">
        <v>19.80</v>
      </c>
      <c r="O31" s="60">
        <v>0</v>
      </c>
      <c r="P31" s="60">
        <v>3.17</v>
      </c>
      <c r="Q31" s="60">
        <v>3.32</v>
      </c>
      <c r="R31" s="194"/>
      <c r="S31" s="194"/>
      <c r="T31" s="194"/>
      <c r="U31" s="194"/>
    </row>
    <row r="32" spans="1:21" s="12" customFormat="1" ht="15">
      <c r="A32" s="197" t="s">
        <v>3148</v>
      </c>
      <c r="B32" s="60">
        <v>3.68</v>
      </c>
      <c r="C32" s="60">
        <v>10.09</v>
      </c>
      <c r="D32" s="60">
        <v>13.77</v>
      </c>
      <c r="E32" s="60">
        <v>5.94</v>
      </c>
      <c r="F32" s="60">
        <v>0.19</v>
      </c>
      <c r="G32" s="214" t="s">
        <v>36</v>
      </c>
      <c r="H32" s="60">
        <v>18.62</v>
      </c>
      <c r="I32" s="60">
        <v>4.26</v>
      </c>
      <c r="J32" s="60">
        <v>0.070000000000000007</v>
      </c>
      <c r="K32" s="60">
        <v>195.31</v>
      </c>
      <c r="L32" s="60">
        <v>48.58</v>
      </c>
      <c r="M32" s="60">
        <v>96.16</v>
      </c>
      <c r="N32" s="60">
        <v>36.40</v>
      </c>
      <c r="O32" s="60">
        <v>0</v>
      </c>
      <c r="P32" s="60">
        <v>3.17</v>
      </c>
      <c r="Q32" s="60">
        <v>3.77</v>
      </c>
      <c r="R32" s="194"/>
      <c r="S32" s="194"/>
      <c r="T32" s="194"/>
      <c r="U32" s="194"/>
    </row>
    <row r="33" spans="1:21" s="12" customFormat="1" ht="15">
      <c r="A33" s="197" t="s">
        <v>3149</v>
      </c>
      <c r="B33" s="60">
        <v>3.71</v>
      </c>
      <c r="C33" s="60">
        <v>10.36</v>
      </c>
      <c r="D33" s="60">
        <v>14.07</v>
      </c>
      <c r="E33" s="60">
        <v>5.81</v>
      </c>
      <c r="F33" s="60">
        <v>0.04</v>
      </c>
      <c r="G33" s="214" t="s">
        <v>36</v>
      </c>
      <c r="H33" s="60">
        <v>17.52</v>
      </c>
      <c r="I33" s="60">
        <v>4.21</v>
      </c>
      <c r="J33" s="60">
        <v>0.16</v>
      </c>
      <c r="K33" s="60">
        <v>197.15</v>
      </c>
      <c r="L33" s="60">
        <v>47.61</v>
      </c>
      <c r="M33" s="60">
        <v>94.81</v>
      </c>
      <c r="N33" s="60">
        <v>62.60</v>
      </c>
      <c r="O33" s="60">
        <v>0</v>
      </c>
      <c r="P33" s="60">
        <v>3.17</v>
      </c>
      <c r="Q33" s="60">
        <v>4.1500000000000004</v>
      </c>
      <c r="R33" s="194"/>
      <c r="S33" s="194"/>
      <c r="T33" s="194"/>
      <c r="U33" s="194"/>
    </row>
    <row r="34" spans="1:21" s="12" customFormat="1" ht="15">
      <c r="A34" s="197" t="s">
        <v>3150</v>
      </c>
      <c r="B34" s="60">
        <v>3.78</v>
      </c>
      <c r="C34" s="60">
        <v>10.33</v>
      </c>
      <c r="D34" s="60">
        <v>14.11</v>
      </c>
      <c r="E34" s="60">
        <v>6.33</v>
      </c>
      <c r="F34" s="60">
        <v>0.070000000000000007</v>
      </c>
      <c r="G34" s="214" t="s">
        <v>36</v>
      </c>
      <c r="H34" s="60">
        <v>14.66</v>
      </c>
      <c r="I34" s="60">
        <v>4.1900000000000004</v>
      </c>
      <c r="J34" s="60">
        <v>0.02</v>
      </c>
      <c r="K34" s="60">
        <v>316.19</v>
      </c>
      <c r="L34" s="60">
        <v>49.88</v>
      </c>
      <c r="M34" s="60">
        <v>92.23</v>
      </c>
      <c r="N34" s="60">
        <v>97.40</v>
      </c>
      <c r="O34" s="60">
        <v>0</v>
      </c>
      <c r="P34" s="60">
        <v>3.16</v>
      </c>
      <c r="Q34" s="60">
        <v>4.1399999999999997</v>
      </c>
      <c r="R34" s="194"/>
      <c r="S34" s="194"/>
      <c r="T34" s="194"/>
      <c r="U34" s="194"/>
    </row>
    <row r="35" spans="1:21" s="12" customFormat="1" ht="15">
      <c r="A35" s="197" t="s">
        <v>3151</v>
      </c>
      <c r="B35" s="60">
        <v>4.4800000000000004</v>
      </c>
      <c r="C35" s="60">
        <v>10.83</v>
      </c>
      <c r="D35" s="60">
        <v>15.30</v>
      </c>
      <c r="E35" s="60">
        <v>5.91</v>
      </c>
      <c r="F35" s="60">
        <v>0.070000000000000007</v>
      </c>
      <c r="G35" s="214" t="s">
        <v>36</v>
      </c>
      <c r="H35" s="60">
        <v>14.66</v>
      </c>
      <c r="I35" s="60">
        <v>4.1900000000000004</v>
      </c>
      <c r="J35" s="60">
        <v>0.06</v>
      </c>
      <c r="K35" s="60">
        <v>40.75</v>
      </c>
      <c r="L35" s="60">
        <v>50.85</v>
      </c>
      <c r="M35" s="60">
        <v>87.78</v>
      </c>
      <c r="N35" s="60">
        <v>140.5</v>
      </c>
      <c r="O35" s="60">
        <v>0</v>
      </c>
      <c r="P35" s="60">
        <v>3.16</v>
      </c>
      <c r="Q35" s="60">
        <v>4.3499999999999996</v>
      </c>
      <c r="R35" s="194"/>
      <c r="S35" s="194"/>
      <c r="T35" s="194"/>
      <c r="U35" s="194"/>
    </row>
    <row r="36" spans="1:21" s="12" customFormat="1" ht="15">
      <c r="A36" s="197" t="s">
        <v>3152</v>
      </c>
      <c r="B36" s="60">
        <v>4.9800000000000004</v>
      </c>
      <c r="C36" s="60">
        <v>11.31</v>
      </c>
      <c r="D36" s="60">
        <v>16.29</v>
      </c>
      <c r="E36" s="60">
        <v>6.11</v>
      </c>
      <c r="F36" s="60">
        <v>0.04</v>
      </c>
      <c r="G36" s="214" t="s">
        <v>36</v>
      </c>
      <c r="H36" s="60">
        <v>14.66</v>
      </c>
      <c r="I36" s="60">
        <v>4.1500000000000004</v>
      </c>
      <c r="J36" s="60">
        <v>0.11</v>
      </c>
      <c r="K36" s="60">
        <v>239.64</v>
      </c>
      <c r="L36" s="60">
        <v>48.28</v>
      </c>
      <c r="M36" s="60">
        <v>87.87</v>
      </c>
      <c r="N36" s="60">
        <v>177.70</v>
      </c>
      <c r="O36" s="60">
        <v>0</v>
      </c>
      <c r="P36" s="60">
        <v>3.16</v>
      </c>
      <c r="Q36" s="60">
        <v>4.55</v>
      </c>
      <c r="R36" s="194"/>
      <c r="S36" s="194"/>
      <c r="T36" s="194"/>
      <c r="U36" s="194"/>
    </row>
    <row r="37" spans="1:21" s="12" customFormat="1" ht="15">
      <c r="A37" s="197" t="s">
        <v>3153</v>
      </c>
      <c r="B37" s="60">
        <v>4.8899999999999997</v>
      </c>
      <c r="C37" s="60">
        <v>11.69</v>
      </c>
      <c r="D37" s="60">
        <v>16.59</v>
      </c>
      <c r="E37" s="60">
        <v>5.69</v>
      </c>
      <c r="F37" s="60">
        <v>0.03</v>
      </c>
      <c r="G37" s="214" t="s">
        <v>36</v>
      </c>
      <c r="H37" s="60">
        <v>15.13</v>
      </c>
      <c r="I37" s="60">
        <v>4.12</v>
      </c>
      <c r="J37" s="214" t="s">
        <v>36</v>
      </c>
      <c r="K37" s="60">
        <v>235.99</v>
      </c>
      <c r="L37" s="60">
        <v>50.94</v>
      </c>
      <c r="M37" s="60">
        <v>87.54</v>
      </c>
      <c r="N37" s="60">
        <v>198.70</v>
      </c>
      <c r="O37" s="60">
        <v>0</v>
      </c>
      <c r="P37" s="60">
        <v>3.17</v>
      </c>
      <c r="Q37" s="60">
        <v>4.3600000000000003</v>
      </c>
      <c r="R37" s="194"/>
      <c r="S37" s="194"/>
      <c r="T37" s="194"/>
      <c r="U37" s="194"/>
    </row>
    <row r="38" spans="1:21" s="12" customFormat="1" ht="15">
      <c r="A38" s="197" t="s">
        <v>3154</v>
      </c>
      <c r="B38" s="60">
        <v>4.87</v>
      </c>
      <c r="C38" s="60">
        <v>11.74</v>
      </c>
      <c r="D38" s="60">
        <v>16.62</v>
      </c>
      <c r="E38" s="60">
        <v>5.99</v>
      </c>
      <c r="F38" s="60">
        <v>0.06</v>
      </c>
      <c r="G38" s="214" t="s">
        <v>36</v>
      </c>
      <c r="H38" s="60">
        <v>16.27</v>
      </c>
      <c r="I38" s="60">
        <v>4.21</v>
      </c>
      <c r="J38" s="60">
        <v>0.05</v>
      </c>
      <c r="K38" s="60">
        <v>1.25</v>
      </c>
      <c r="L38" s="60">
        <v>52.41</v>
      </c>
      <c r="M38" s="60">
        <v>83.61</v>
      </c>
      <c r="N38" s="60">
        <v>262.70</v>
      </c>
      <c r="O38" s="60">
        <v>0</v>
      </c>
      <c r="P38" s="60">
        <v>3.19</v>
      </c>
      <c r="Q38" s="60">
        <v>4.12</v>
      </c>
      <c r="R38" s="194"/>
      <c r="S38" s="194"/>
      <c r="T38" s="194"/>
      <c r="U38" s="194"/>
    </row>
    <row r="39" spans="1:21" s="12" customFormat="1" ht="15">
      <c r="A39" s="197" t="s">
        <v>3155</v>
      </c>
      <c r="B39" s="60">
        <v>5.15</v>
      </c>
      <c r="C39" s="60">
        <v>11.81</v>
      </c>
      <c r="D39" s="60">
        <v>16.96</v>
      </c>
      <c r="E39" s="60">
        <v>5.84</v>
      </c>
      <c r="F39" s="60">
        <v>0.24</v>
      </c>
      <c r="G39" s="214" t="s">
        <v>36</v>
      </c>
      <c r="H39" s="60">
        <v>16.27</v>
      </c>
      <c r="I39" s="60">
        <v>4.34</v>
      </c>
      <c r="J39" s="60">
        <v>0.09</v>
      </c>
      <c r="K39" s="60">
        <v>339.78</v>
      </c>
      <c r="L39" s="60">
        <v>51.77</v>
      </c>
      <c r="M39" s="60">
        <v>79.23</v>
      </c>
      <c r="N39" s="60">
        <v>325.39999999999998</v>
      </c>
      <c r="O39" s="60">
        <v>0</v>
      </c>
      <c r="P39" s="60">
        <v>3.20</v>
      </c>
      <c r="Q39" s="60">
        <v>3.76</v>
      </c>
      <c r="R39" s="194"/>
      <c r="S39" s="194"/>
      <c r="T39" s="194"/>
      <c r="U39" s="194"/>
    </row>
    <row r="40" spans="1:21" s="12" customFormat="1" ht="15">
      <c r="A40" s="197" t="s">
        <v>3156</v>
      </c>
      <c r="B40" s="60">
        <v>5.56</v>
      </c>
      <c r="C40" s="60">
        <v>12.18</v>
      </c>
      <c r="D40" s="60">
        <v>17.739999999999998</v>
      </c>
      <c r="E40" s="60">
        <v>3.97</v>
      </c>
      <c r="F40" s="60">
        <v>0.17</v>
      </c>
      <c r="G40" s="214" t="s">
        <v>36</v>
      </c>
      <c r="H40" s="60">
        <v>16.27</v>
      </c>
      <c r="I40" s="60">
        <v>4.62</v>
      </c>
      <c r="J40" s="60">
        <v>0.05</v>
      </c>
      <c r="K40" s="60">
        <v>286.99</v>
      </c>
      <c r="L40" s="60">
        <v>51.71</v>
      </c>
      <c r="M40" s="60">
        <v>76.80</v>
      </c>
      <c r="N40" s="60">
        <v>383.10</v>
      </c>
      <c r="O40" s="60">
        <v>0</v>
      </c>
      <c r="P40" s="60">
        <v>3.22</v>
      </c>
      <c r="Q40" s="60">
        <v>3.81</v>
      </c>
      <c r="R40" s="194"/>
      <c r="S40" s="194"/>
      <c r="T40" s="194"/>
      <c r="U40" s="194"/>
    </row>
    <row r="41" spans="1:21" s="12" customFormat="1" ht="15">
      <c r="A41" s="197" t="s">
        <v>3157</v>
      </c>
      <c r="B41" s="60">
        <v>5.68</v>
      </c>
      <c r="C41" s="60">
        <v>12.47</v>
      </c>
      <c r="D41" s="60">
        <v>18.14</v>
      </c>
      <c r="E41" s="60">
        <v>5.54</v>
      </c>
      <c r="F41" s="60">
        <v>0.08</v>
      </c>
      <c r="G41" s="214" t="s">
        <v>36</v>
      </c>
      <c r="H41" s="60">
        <v>18.72</v>
      </c>
      <c r="I41" s="60">
        <v>4.99</v>
      </c>
      <c r="J41" s="60">
        <v>0.09</v>
      </c>
      <c r="K41" s="60">
        <v>282.05</v>
      </c>
      <c r="L41" s="60">
        <v>52.80</v>
      </c>
      <c r="M41" s="60">
        <v>76.86</v>
      </c>
      <c r="N41" s="60">
        <v>443</v>
      </c>
      <c r="O41" s="60">
        <v>0</v>
      </c>
      <c r="P41" s="60">
        <v>3.26</v>
      </c>
      <c r="Q41" s="60">
        <v>3.80</v>
      </c>
      <c r="R41" s="194"/>
      <c r="S41" s="194"/>
      <c r="T41" s="194"/>
      <c r="U41" s="194"/>
    </row>
    <row r="42" spans="1:21" s="12" customFormat="1" ht="15">
      <c r="A42" s="197" t="s">
        <v>3158</v>
      </c>
      <c r="B42" s="60">
        <v>5.67</v>
      </c>
      <c r="C42" s="60">
        <v>12.52</v>
      </c>
      <c r="D42" s="60">
        <v>18.190000000000001</v>
      </c>
      <c r="E42" s="60">
        <v>6.01</v>
      </c>
      <c r="F42" s="60">
        <v>0.22</v>
      </c>
      <c r="G42" s="214" t="s">
        <v>36</v>
      </c>
      <c r="H42" s="60">
        <v>24.75</v>
      </c>
      <c r="I42" s="60">
        <v>5.21</v>
      </c>
      <c r="J42" s="60">
        <v>0.53</v>
      </c>
      <c r="K42" s="60">
        <v>176.85</v>
      </c>
      <c r="L42" s="60">
        <v>51.62</v>
      </c>
      <c r="M42" s="60">
        <v>75.59</v>
      </c>
      <c r="N42" s="60">
        <v>458.30</v>
      </c>
      <c r="O42" s="60">
        <v>0</v>
      </c>
      <c r="P42" s="60">
        <v>3.30</v>
      </c>
      <c r="Q42" s="60">
        <v>3.65</v>
      </c>
      <c r="R42" s="194"/>
      <c r="S42" s="194"/>
      <c r="T42" s="194"/>
      <c r="U42" s="194"/>
    </row>
    <row r="43" spans="1:21" s="12" customFormat="1" ht="15">
      <c r="A43" s="197" t="s">
        <v>3159</v>
      </c>
      <c r="B43" s="60">
        <v>5.61</v>
      </c>
      <c r="C43" s="60">
        <v>12.75</v>
      </c>
      <c r="D43" s="60">
        <v>18.36</v>
      </c>
      <c r="E43" s="60">
        <v>6.06</v>
      </c>
      <c r="F43" s="214" t="s">
        <v>36</v>
      </c>
      <c r="G43" s="214" t="s">
        <v>36</v>
      </c>
      <c r="H43" s="60">
        <v>24.75</v>
      </c>
      <c r="I43" s="60">
        <v>5.46</v>
      </c>
      <c r="J43" s="60">
        <v>0.47</v>
      </c>
      <c r="K43" s="60">
        <v>173.40</v>
      </c>
      <c r="L43" s="60">
        <v>52.97</v>
      </c>
      <c r="M43" s="60">
        <v>76.06</v>
      </c>
      <c r="N43" s="60">
        <v>492.90</v>
      </c>
      <c r="O43" s="60">
        <v>0</v>
      </c>
      <c r="P43" s="60">
        <v>3.31</v>
      </c>
      <c r="Q43" s="60">
        <v>3.64</v>
      </c>
      <c r="R43" s="194"/>
      <c r="S43" s="194"/>
      <c r="T43" s="194"/>
      <c r="U43" s="194"/>
    </row>
    <row r="44" spans="1:21" s="12" customFormat="1" ht="15">
      <c r="A44" s="197" t="s">
        <v>3160</v>
      </c>
      <c r="B44" s="60">
        <v>5.41</v>
      </c>
      <c r="C44" s="60">
        <v>13.31</v>
      </c>
      <c r="D44" s="60">
        <v>18.73</v>
      </c>
      <c r="E44" s="60">
        <v>6.41</v>
      </c>
      <c r="F44" s="214" t="s">
        <v>36</v>
      </c>
      <c r="G44" s="214" t="s">
        <v>36</v>
      </c>
      <c r="H44" s="60">
        <v>24.75</v>
      </c>
      <c r="I44" s="60">
        <v>5.78</v>
      </c>
      <c r="J44" s="60">
        <v>0.08</v>
      </c>
      <c r="K44" s="60">
        <v>239.12</v>
      </c>
      <c r="L44" s="60">
        <v>57.29</v>
      </c>
      <c r="M44" s="60">
        <v>75</v>
      </c>
      <c r="N44" s="60">
        <v>471.60</v>
      </c>
      <c r="O44" s="60">
        <v>0</v>
      </c>
      <c r="P44" s="60">
        <v>3.36</v>
      </c>
      <c r="Q44" s="60">
        <v>3.72</v>
      </c>
      <c r="R44" s="194"/>
      <c r="S44" s="194"/>
      <c r="T44" s="194"/>
      <c r="U44" s="194"/>
    </row>
    <row r="45" spans="1:21" s="12" customFormat="1" ht="15">
      <c r="A45" s="197" t="s">
        <v>3161</v>
      </c>
      <c r="B45" s="60">
        <v>5.21</v>
      </c>
      <c r="C45" s="60">
        <v>13.73</v>
      </c>
      <c r="D45" s="60">
        <v>18.95</v>
      </c>
      <c r="E45" s="60">
        <v>6.17</v>
      </c>
      <c r="F45" s="60">
        <v>0.23</v>
      </c>
      <c r="G45" s="214" t="s">
        <v>36</v>
      </c>
      <c r="H45" s="60">
        <v>25.25</v>
      </c>
      <c r="I45" s="60">
        <v>6.13</v>
      </c>
      <c r="J45" s="60">
        <v>0.09</v>
      </c>
      <c r="K45" s="60">
        <v>164.67</v>
      </c>
      <c r="L45" s="60">
        <v>54.30</v>
      </c>
      <c r="M45" s="60">
        <v>73.25</v>
      </c>
      <c r="N45" s="60">
        <v>530.5</v>
      </c>
      <c r="O45" s="60">
        <v>0</v>
      </c>
      <c r="P45" s="60">
        <v>3.40</v>
      </c>
      <c r="Q45" s="60">
        <v>3.86</v>
      </c>
      <c r="R45" s="194"/>
      <c r="S45" s="194"/>
      <c r="T45" s="194"/>
      <c r="U45" s="194"/>
    </row>
    <row r="46" spans="1:21" s="12" customFormat="1" ht="15">
      <c r="A46" s="197" t="s">
        <v>3162</v>
      </c>
      <c r="B46" s="60">
        <v>5.01</v>
      </c>
      <c r="C46" s="60">
        <v>13.83</v>
      </c>
      <c r="D46" s="60">
        <v>18.84</v>
      </c>
      <c r="E46" s="60">
        <v>6.55</v>
      </c>
      <c r="F46" s="60">
        <v>0.65</v>
      </c>
      <c r="G46" s="214" t="s">
        <v>36</v>
      </c>
      <c r="H46" s="60">
        <v>26.47</v>
      </c>
      <c r="I46" s="60">
        <v>6.52</v>
      </c>
      <c r="J46" s="60">
        <v>0.13</v>
      </c>
      <c r="K46" s="60">
        <v>308.33999999999997</v>
      </c>
      <c r="L46" s="60">
        <v>54.90</v>
      </c>
      <c r="M46" s="60">
        <v>69.739999999999995</v>
      </c>
      <c r="N46" s="60">
        <v>506.5</v>
      </c>
      <c r="O46" s="60">
        <v>0</v>
      </c>
      <c r="P46" s="60">
        <v>3.43</v>
      </c>
      <c r="Q46" s="60">
        <v>4.38</v>
      </c>
      <c r="R46" s="194"/>
      <c r="S46" s="194"/>
      <c r="T46" s="194"/>
      <c r="U46" s="194"/>
    </row>
    <row r="47" spans="1:21" s="12" customFormat="1" ht="15">
      <c r="A47" s="197" t="s">
        <v>3163</v>
      </c>
      <c r="B47" s="60">
        <v>4.8600000000000003</v>
      </c>
      <c r="C47" s="60">
        <v>14.62</v>
      </c>
      <c r="D47" s="60">
        <v>19.47</v>
      </c>
      <c r="E47" s="60">
        <v>6.01</v>
      </c>
      <c r="F47" s="60">
        <v>0.60</v>
      </c>
      <c r="G47" s="214" t="s">
        <v>36</v>
      </c>
      <c r="H47" s="60">
        <v>26.47</v>
      </c>
      <c r="I47" s="60">
        <v>6.65</v>
      </c>
      <c r="J47" s="60">
        <v>0.15</v>
      </c>
      <c r="K47" s="60">
        <v>240.33</v>
      </c>
      <c r="L47" s="60">
        <v>54.14</v>
      </c>
      <c r="M47" s="60">
        <v>71.69</v>
      </c>
      <c r="N47" s="60">
        <v>520.5</v>
      </c>
      <c r="O47" s="60">
        <v>0</v>
      </c>
      <c r="P47" s="60">
        <v>3.44</v>
      </c>
      <c r="Q47" s="60">
        <v>4.78</v>
      </c>
      <c r="R47" s="194"/>
      <c r="S47" s="194"/>
      <c r="T47" s="194"/>
      <c r="U47" s="194"/>
    </row>
    <row r="48" spans="1:21" s="12" customFormat="1" ht="15">
      <c r="A48" s="197" t="s">
        <v>3164</v>
      </c>
      <c r="B48" s="60">
        <v>4.28</v>
      </c>
      <c r="C48" s="60">
        <v>15.57</v>
      </c>
      <c r="D48" s="60">
        <v>19.850000000000001</v>
      </c>
      <c r="E48" s="60">
        <v>6.13</v>
      </c>
      <c r="F48" s="60">
        <v>0.51</v>
      </c>
      <c r="G48" s="214" t="s">
        <v>36</v>
      </c>
      <c r="H48" s="60">
        <v>26.47</v>
      </c>
      <c r="I48" s="60">
        <v>6.74</v>
      </c>
      <c r="J48" s="60">
        <v>0.09</v>
      </c>
      <c r="K48" s="60">
        <v>337.74</v>
      </c>
      <c r="L48" s="60">
        <v>53.09</v>
      </c>
      <c r="M48" s="60">
        <v>71.430000000000007</v>
      </c>
      <c r="N48" s="60">
        <v>601.90</v>
      </c>
      <c r="O48" s="60">
        <v>0</v>
      </c>
      <c r="P48" s="60">
        <v>3.47</v>
      </c>
      <c r="Q48" s="60">
        <v>4.99</v>
      </c>
      <c r="R48" s="194"/>
      <c r="S48" s="194"/>
      <c r="T48" s="194"/>
      <c r="U48" s="194"/>
    </row>
    <row r="49" spans="1:21" s="12" customFormat="1" ht="15">
      <c r="A49" s="197" t="s">
        <v>3165</v>
      </c>
      <c r="B49" s="60">
        <v>3.68</v>
      </c>
      <c r="C49" s="60">
        <v>16.27</v>
      </c>
      <c r="D49" s="60">
        <v>19.940000000000001</v>
      </c>
      <c r="E49" s="60">
        <v>5.64</v>
      </c>
      <c r="F49" s="60">
        <v>0.67</v>
      </c>
      <c r="G49" s="214" t="s">
        <v>36</v>
      </c>
      <c r="H49" s="60">
        <v>26.11</v>
      </c>
      <c r="I49" s="60">
        <v>7.07</v>
      </c>
      <c r="J49" s="60">
        <v>0.31</v>
      </c>
      <c r="K49" s="60">
        <v>317.04000000000002</v>
      </c>
      <c r="L49" s="60">
        <v>55.87</v>
      </c>
      <c r="M49" s="60">
        <v>68.739999999999995</v>
      </c>
      <c r="N49" s="60">
        <v>595.10</v>
      </c>
      <c r="O49" s="60">
        <v>0</v>
      </c>
      <c r="P49" s="60">
        <v>3.52</v>
      </c>
      <c r="Q49" s="60">
        <v>5</v>
      </c>
      <c r="R49" s="194"/>
      <c r="S49" s="194"/>
      <c r="T49" s="194"/>
      <c r="U49" s="194"/>
    </row>
    <row r="50" spans="1:21" s="12" customFormat="1" ht="15">
      <c r="A50" s="197" t="s">
        <v>3166</v>
      </c>
      <c r="B50" s="60">
        <v>3.44</v>
      </c>
      <c r="C50" s="60">
        <v>16.93</v>
      </c>
      <c r="D50" s="60">
        <v>20.37</v>
      </c>
      <c r="E50" s="60">
        <v>5.66</v>
      </c>
      <c r="F50" s="60">
        <v>0.80</v>
      </c>
      <c r="G50" s="214" t="s">
        <v>36</v>
      </c>
      <c r="H50" s="60">
        <v>25.22</v>
      </c>
      <c r="I50" s="60">
        <v>7.32</v>
      </c>
      <c r="J50" s="60">
        <v>0.13</v>
      </c>
      <c r="K50" s="60">
        <v>216.80</v>
      </c>
      <c r="L50" s="60">
        <v>52.47</v>
      </c>
      <c r="M50" s="60">
        <v>66.11</v>
      </c>
      <c r="N50" s="60">
        <v>842.80</v>
      </c>
      <c r="O50" s="60">
        <v>0</v>
      </c>
      <c r="P50" s="60">
        <v>3.53</v>
      </c>
      <c r="Q50" s="60">
        <v>4.91</v>
      </c>
      <c r="R50" s="194"/>
      <c r="S50" s="194"/>
      <c r="T50" s="194"/>
      <c r="U50" s="194"/>
    </row>
    <row r="51" spans="1:21" s="12" customFormat="1" ht="15">
      <c r="A51" s="197" t="s">
        <v>3167</v>
      </c>
      <c r="B51" s="60">
        <v>2.93</v>
      </c>
      <c r="C51" s="60">
        <v>17.14</v>
      </c>
      <c r="D51" s="60">
        <v>20.079999999999998</v>
      </c>
      <c r="E51" s="60">
        <v>5.81</v>
      </c>
      <c r="F51" s="60">
        <v>0.86</v>
      </c>
      <c r="G51" s="214" t="s">
        <v>36</v>
      </c>
      <c r="H51" s="60">
        <v>25.22</v>
      </c>
      <c r="I51" s="60">
        <v>7.57</v>
      </c>
      <c r="J51" s="60">
        <v>0.18</v>
      </c>
      <c r="K51" s="60">
        <v>290.75</v>
      </c>
      <c r="L51" s="60">
        <v>56.51</v>
      </c>
      <c r="M51" s="60">
        <v>63.77</v>
      </c>
      <c r="N51" s="60">
        <v>813.90</v>
      </c>
      <c r="O51" s="60">
        <v>0</v>
      </c>
      <c r="P51" s="60">
        <v>3.53</v>
      </c>
      <c r="Q51" s="60">
        <v>4.66</v>
      </c>
      <c r="R51" s="194"/>
      <c r="S51" s="194"/>
      <c r="T51" s="194"/>
      <c r="U51" s="194"/>
    </row>
    <row r="52" spans="1:21" s="12" customFormat="1" ht="15">
      <c r="A52" s="197" t="s">
        <v>3168</v>
      </c>
      <c r="B52" s="60">
        <v>2.31</v>
      </c>
      <c r="C52" s="60">
        <v>17.329999999999998</v>
      </c>
      <c r="D52" s="60">
        <v>19.64</v>
      </c>
      <c r="E52" s="60">
        <v>5.36</v>
      </c>
      <c r="F52" s="60">
        <v>1.08</v>
      </c>
      <c r="G52" s="214" t="s">
        <v>36</v>
      </c>
      <c r="H52" s="60">
        <v>25.22</v>
      </c>
      <c r="I52" s="60">
        <v>7.67</v>
      </c>
      <c r="J52" s="60">
        <v>0.28000000000000003</v>
      </c>
      <c r="K52" s="60">
        <v>173.59</v>
      </c>
      <c r="L52" s="60">
        <v>53.93</v>
      </c>
      <c r="M52" s="60">
        <v>63.88</v>
      </c>
      <c r="N52" s="60">
        <v>944.70</v>
      </c>
      <c r="O52" s="60">
        <v>0</v>
      </c>
      <c r="P52" s="60">
        <v>3.54</v>
      </c>
      <c r="Q52" s="60">
        <v>4.17</v>
      </c>
      <c r="R52" s="194"/>
      <c r="S52" s="194"/>
      <c r="T52" s="194"/>
      <c r="U52" s="194"/>
    </row>
    <row r="53" spans="1:21" s="12" customFormat="1" ht="15">
      <c r="A53" s="197" t="s">
        <v>3169</v>
      </c>
      <c r="B53" s="60">
        <v>1.73</v>
      </c>
      <c r="C53" s="60">
        <v>16.850000000000001</v>
      </c>
      <c r="D53" s="60">
        <v>18.579999999999998</v>
      </c>
      <c r="E53" s="60">
        <v>5.94</v>
      </c>
      <c r="F53" s="60">
        <v>0.95</v>
      </c>
      <c r="G53" s="214" t="s">
        <v>36</v>
      </c>
      <c r="H53" s="60">
        <v>25.81</v>
      </c>
      <c r="I53" s="60">
        <v>7.65</v>
      </c>
      <c r="J53" s="60">
        <v>0.13</v>
      </c>
      <c r="K53" s="60">
        <v>215.78</v>
      </c>
      <c r="L53" s="60">
        <v>54.57</v>
      </c>
      <c r="M53" s="60">
        <v>63.29</v>
      </c>
      <c r="N53" s="60">
        <v>399.20</v>
      </c>
      <c r="O53" s="60">
        <v>0</v>
      </c>
      <c r="P53" s="60">
        <v>3.54</v>
      </c>
      <c r="Q53" s="60">
        <v>3.72</v>
      </c>
      <c r="R53" s="194"/>
      <c r="S53" s="194"/>
      <c r="T53" s="194"/>
      <c r="U53" s="194"/>
    </row>
    <row r="54" spans="1:21" s="12" customFormat="1" ht="15">
      <c r="A54" s="197" t="s">
        <v>3170</v>
      </c>
      <c r="B54" s="60">
        <v>1.56</v>
      </c>
      <c r="C54" s="60">
        <v>16.559999999999999</v>
      </c>
      <c r="D54" s="60">
        <v>18.12</v>
      </c>
      <c r="E54" s="60">
        <v>5.15</v>
      </c>
      <c r="F54" s="60">
        <v>0.97</v>
      </c>
      <c r="G54" s="214" t="s">
        <v>36</v>
      </c>
      <c r="H54" s="60">
        <v>27.28</v>
      </c>
      <c r="I54" s="60">
        <v>7.54</v>
      </c>
      <c r="J54" s="60">
        <v>0.17</v>
      </c>
      <c r="K54" s="60">
        <v>278.52999999999997</v>
      </c>
      <c r="L54" s="60">
        <v>54.21</v>
      </c>
      <c r="M54" s="60">
        <v>64.989999999999995</v>
      </c>
      <c r="N54" s="60">
        <v>419.5</v>
      </c>
      <c r="O54" s="60">
        <v>0</v>
      </c>
      <c r="P54" s="60">
        <v>3.52</v>
      </c>
      <c r="Q54" s="60">
        <v>3.42</v>
      </c>
      <c r="R54" s="194"/>
      <c r="S54" s="194"/>
      <c r="T54" s="194"/>
      <c r="U54" s="194"/>
    </row>
    <row r="55" spans="1:21" s="12" customFormat="1" ht="15">
      <c r="A55" s="197" t="s">
        <v>3171</v>
      </c>
      <c r="B55" s="60">
        <v>1.44</v>
      </c>
      <c r="C55" s="60">
        <v>16.37</v>
      </c>
      <c r="D55" s="60">
        <v>17.809999999999999</v>
      </c>
      <c r="E55" s="60">
        <v>5.53</v>
      </c>
      <c r="F55" s="60">
        <v>1.1100000000000001</v>
      </c>
      <c r="G55" s="214" t="s">
        <v>36</v>
      </c>
      <c r="H55" s="60">
        <v>27.28</v>
      </c>
      <c r="I55" s="60">
        <v>7.49</v>
      </c>
      <c r="J55" s="60">
        <v>0.04</v>
      </c>
      <c r="K55" s="60">
        <v>190.92</v>
      </c>
      <c r="L55" s="60">
        <v>52.81</v>
      </c>
      <c r="M55" s="60">
        <v>67.930000000000007</v>
      </c>
      <c r="N55" s="60">
        <v>239.40</v>
      </c>
      <c r="O55" s="60">
        <v>0</v>
      </c>
      <c r="P55" s="60">
        <v>3.53</v>
      </c>
      <c r="Q55" s="60">
        <v>3.15</v>
      </c>
      <c r="R55" s="194"/>
      <c r="S55" s="194"/>
      <c r="T55" s="194"/>
      <c r="U55" s="194"/>
    </row>
    <row r="56" spans="1:21" s="12" customFormat="1" ht="15">
      <c r="A56" s="197" t="s">
        <v>3172</v>
      </c>
      <c r="B56" s="60">
        <v>1.1299999999999999</v>
      </c>
      <c r="C56" s="60">
        <v>16.52</v>
      </c>
      <c r="D56" s="60">
        <v>17.649999999999999</v>
      </c>
      <c r="E56" s="60">
        <v>1.60</v>
      </c>
      <c r="F56" s="60">
        <v>1.59</v>
      </c>
      <c r="G56" s="214" t="s">
        <v>36</v>
      </c>
      <c r="H56" s="60">
        <v>27.28</v>
      </c>
      <c r="I56" s="60">
        <v>7.54</v>
      </c>
      <c r="J56" s="60">
        <v>0.070000000000000007</v>
      </c>
      <c r="K56" s="60">
        <v>7.30</v>
      </c>
      <c r="L56" s="60">
        <v>58.24</v>
      </c>
      <c r="M56" s="60">
        <v>65.64</v>
      </c>
      <c r="N56" s="60">
        <v>657.70</v>
      </c>
      <c r="O56" s="60">
        <v>0</v>
      </c>
      <c r="P56" s="60">
        <v>3.55</v>
      </c>
      <c r="Q56" s="60">
        <v>2.85</v>
      </c>
      <c r="R56" s="194"/>
      <c r="S56" s="194"/>
      <c r="T56" s="194"/>
      <c r="U56" s="194"/>
    </row>
    <row r="57" spans="1:21" s="12" customFormat="1" ht="15">
      <c r="A57" s="197" t="s">
        <v>3173</v>
      </c>
      <c r="B57" s="60">
        <v>0.98</v>
      </c>
      <c r="C57" s="60">
        <v>17.489999999999998</v>
      </c>
      <c r="D57" s="60">
        <v>18.47</v>
      </c>
      <c r="E57" s="60">
        <v>3.94</v>
      </c>
      <c r="F57" s="60">
        <v>1.41</v>
      </c>
      <c r="G57" s="214" t="s">
        <v>36</v>
      </c>
      <c r="H57" s="60">
        <v>28.18</v>
      </c>
      <c r="I57" s="60">
        <v>7.45</v>
      </c>
      <c r="J57" s="60">
        <v>0.06</v>
      </c>
      <c r="K57" s="60">
        <v>214.31</v>
      </c>
      <c r="L57" s="60">
        <v>57.55</v>
      </c>
      <c r="M57" s="60">
        <v>63.72</v>
      </c>
      <c r="N57" s="60">
        <v>495.5</v>
      </c>
      <c r="O57" s="60">
        <v>0</v>
      </c>
      <c r="P57" s="60">
        <v>3.60</v>
      </c>
      <c r="Q57" s="60">
        <v>3.03</v>
      </c>
      <c r="R57" s="194"/>
      <c r="S57" s="194"/>
      <c r="T57" s="194"/>
      <c r="U57" s="194"/>
    </row>
    <row r="58" spans="1:21" s="12" customFormat="1" ht="15">
      <c r="A58" s="197" t="s">
        <v>3174</v>
      </c>
      <c r="B58" s="60">
        <v>1.04</v>
      </c>
      <c r="C58" s="60">
        <v>18.32</v>
      </c>
      <c r="D58" s="60">
        <v>19.36</v>
      </c>
      <c r="E58" s="60">
        <v>4.05</v>
      </c>
      <c r="F58" s="60">
        <v>1.49</v>
      </c>
      <c r="G58" s="214" t="s">
        <v>36</v>
      </c>
      <c r="H58" s="60">
        <v>30.40</v>
      </c>
      <c r="I58" s="60">
        <v>7.31</v>
      </c>
      <c r="J58" s="60">
        <v>0.08</v>
      </c>
      <c r="K58" s="60">
        <v>260.43</v>
      </c>
      <c r="L58" s="60">
        <v>57.90</v>
      </c>
      <c r="M58" s="60">
        <v>62.13</v>
      </c>
      <c r="N58" s="60">
        <v>784</v>
      </c>
      <c r="O58" s="60">
        <v>0</v>
      </c>
      <c r="P58" s="60">
        <v>3.61</v>
      </c>
      <c r="Q58" s="60">
        <v>3.04</v>
      </c>
      <c r="R58" s="194"/>
      <c r="S58" s="194"/>
      <c r="T58" s="194"/>
      <c r="U58" s="194"/>
    </row>
    <row r="59" spans="1:21" s="12" customFormat="1" ht="15">
      <c r="A59" s="197" t="s">
        <v>3175</v>
      </c>
      <c r="B59" s="60">
        <v>1.1200000000000001</v>
      </c>
      <c r="C59" s="60">
        <v>18.71</v>
      </c>
      <c r="D59" s="60">
        <v>19.82</v>
      </c>
      <c r="E59" s="60">
        <v>4.41</v>
      </c>
      <c r="F59" s="60">
        <v>1.68</v>
      </c>
      <c r="G59" s="214" t="s">
        <v>36</v>
      </c>
      <c r="H59" s="60">
        <v>30.40</v>
      </c>
      <c r="I59" s="60">
        <v>7.27</v>
      </c>
      <c r="J59" s="60">
        <v>0.09</v>
      </c>
      <c r="K59" s="60">
        <v>149.44999999999999</v>
      </c>
      <c r="L59" s="60">
        <v>54.21</v>
      </c>
      <c r="M59" s="60">
        <v>60.11</v>
      </c>
      <c r="N59" s="60">
        <v>922.5</v>
      </c>
      <c r="O59" s="60">
        <v>0</v>
      </c>
      <c r="P59" s="60">
        <v>3.63</v>
      </c>
      <c r="Q59" s="60">
        <v>3</v>
      </c>
      <c r="R59" s="194"/>
      <c r="S59" s="194"/>
      <c r="T59" s="194"/>
      <c r="U59" s="194"/>
    </row>
    <row r="60" spans="1:21" s="12" customFormat="1" ht="15">
      <c r="A60" s="197" t="s">
        <v>3176</v>
      </c>
      <c r="B60" s="60">
        <v>0.95</v>
      </c>
      <c r="C60" s="60">
        <v>18</v>
      </c>
      <c r="D60" s="60">
        <v>18.95</v>
      </c>
      <c r="E60" s="60">
        <v>4.20</v>
      </c>
      <c r="F60" s="60">
        <v>1.86</v>
      </c>
      <c r="G60" s="214" t="s">
        <v>36</v>
      </c>
      <c r="H60" s="60">
        <v>30.40</v>
      </c>
      <c r="I60" s="60">
        <v>7.23</v>
      </c>
      <c r="J60" s="60">
        <v>0.03</v>
      </c>
      <c r="K60" s="60">
        <v>243.11</v>
      </c>
      <c r="L60" s="60">
        <v>54.37</v>
      </c>
      <c r="M60" s="60">
        <v>58.44</v>
      </c>
      <c r="N60" s="60">
        <v>719.70</v>
      </c>
      <c r="O60" s="60">
        <v>0</v>
      </c>
      <c r="P60" s="60">
        <v>3.57</v>
      </c>
      <c r="Q60" s="60">
        <v>3.07</v>
      </c>
      <c r="R60" s="194"/>
      <c r="S60" s="194"/>
      <c r="T60" s="194"/>
      <c r="U60" s="194"/>
    </row>
    <row r="61" spans="1:21" s="12" customFormat="1" ht="15">
      <c r="A61" s="197" t="s">
        <v>3177</v>
      </c>
      <c r="B61" s="60">
        <v>1.37</v>
      </c>
      <c r="C61" s="60">
        <v>17.30</v>
      </c>
      <c r="D61" s="60">
        <v>18.68</v>
      </c>
      <c r="E61" s="60">
        <v>3.35</v>
      </c>
      <c r="F61" s="60">
        <v>1.87</v>
      </c>
      <c r="G61" s="214" t="s">
        <v>36</v>
      </c>
      <c r="H61" s="60">
        <v>30.91</v>
      </c>
      <c r="I61" s="60">
        <v>7.06</v>
      </c>
      <c r="J61" s="60">
        <v>0.24</v>
      </c>
      <c r="K61" s="60">
        <v>329.76</v>
      </c>
      <c r="L61" s="60">
        <v>54.52</v>
      </c>
      <c r="M61" s="60">
        <v>57.52</v>
      </c>
      <c r="N61" s="60">
        <v>603.70000000000005</v>
      </c>
      <c r="O61" s="60">
        <v>0</v>
      </c>
      <c r="P61" s="60">
        <v>3.55</v>
      </c>
      <c r="Q61" s="60">
        <v>3.51</v>
      </c>
      <c r="R61" s="194"/>
      <c r="S61" s="194"/>
      <c r="T61" s="194"/>
      <c r="U61" s="194"/>
    </row>
    <row r="62" spans="1:21" s="12" customFormat="1" ht="15">
      <c r="A62" s="197" t="s">
        <v>3178</v>
      </c>
      <c r="B62" s="60">
        <v>1.76</v>
      </c>
      <c r="C62" s="60">
        <v>17.600000000000001</v>
      </c>
      <c r="D62" s="60">
        <v>19.36</v>
      </c>
      <c r="E62" s="60">
        <v>3.61</v>
      </c>
      <c r="F62" s="60">
        <v>1.47</v>
      </c>
      <c r="G62" s="214" t="s">
        <v>36</v>
      </c>
      <c r="H62" s="60">
        <v>32.17</v>
      </c>
      <c r="I62" s="60">
        <v>6.63</v>
      </c>
      <c r="J62" s="60">
        <v>0.15</v>
      </c>
      <c r="K62" s="60">
        <v>319.48</v>
      </c>
      <c r="L62" s="60">
        <v>57.47</v>
      </c>
      <c r="M62" s="60">
        <v>58.49</v>
      </c>
      <c r="N62" s="60">
        <v>596.40</v>
      </c>
      <c r="O62" s="60">
        <v>0</v>
      </c>
      <c r="P62" s="60">
        <v>3.53</v>
      </c>
      <c r="Q62" s="60">
        <v>4.0199999999999996</v>
      </c>
      <c r="R62" s="194"/>
      <c r="S62" s="194"/>
      <c r="T62" s="194"/>
      <c r="U62" s="194"/>
    </row>
    <row r="63" spans="1:21" s="12" customFormat="1" ht="15">
      <c r="A63" s="197" t="s">
        <v>3179</v>
      </c>
      <c r="B63" s="60">
        <v>1.51</v>
      </c>
      <c r="C63" s="60">
        <v>17.13</v>
      </c>
      <c r="D63" s="60">
        <v>18.64</v>
      </c>
      <c r="E63" s="60">
        <v>3.73</v>
      </c>
      <c r="F63" s="60">
        <v>1.72</v>
      </c>
      <c r="G63" s="214" t="s">
        <v>36</v>
      </c>
      <c r="H63" s="60">
        <v>32.17</v>
      </c>
      <c r="I63" s="60">
        <v>6.35</v>
      </c>
      <c r="J63" s="60">
        <v>0.17</v>
      </c>
      <c r="K63" s="60">
        <v>338.41</v>
      </c>
      <c r="L63" s="60">
        <v>57.84</v>
      </c>
      <c r="M63" s="60">
        <v>58.10</v>
      </c>
      <c r="N63" s="60">
        <v>755.90</v>
      </c>
      <c r="O63" s="60">
        <v>0</v>
      </c>
      <c r="P63" s="60">
        <v>3.49</v>
      </c>
      <c r="Q63" s="60">
        <v>3.89</v>
      </c>
      <c r="R63" s="194"/>
      <c r="S63" s="194"/>
      <c r="T63" s="194"/>
      <c r="U63" s="194"/>
    </row>
    <row r="64" spans="1:21" s="12" customFormat="1" ht="15">
      <c r="A64" s="197" t="s">
        <v>3180</v>
      </c>
      <c r="B64" s="60">
        <v>1.42</v>
      </c>
      <c r="C64" s="60">
        <v>16.46</v>
      </c>
      <c r="D64" s="60">
        <v>17.88</v>
      </c>
      <c r="E64" s="60">
        <v>3.41</v>
      </c>
      <c r="F64" s="60">
        <v>1.95</v>
      </c>
      <c r="G64" s="214" t="s">
        <v>36</v>
      </c>
      <c r="H64" s="60">
        <v>32.17</v>
      </c>
      <c r="I64" s="60">
        <v>6.15</v>
      </c>
      <c r="J64" s="60">
        <v>0.28999999999999998</v>
      </c>
      <c r="K64" s="60">
        <v>314.95999999999998</v>
      </c>
      <c r="L64" s="60">
        <v>58.84</v>
      </c>
      <c r="M64" s="60">
        <v>55.07</v>
      </c>
      <c r="N64" s="60">
        <v>517.40</v>
      </c>
      <c r="O64" s="60">
        <v>0</v>
      </c>
      <c r="P64" s="60">
        <v>3.46</v>
      </c>
      <c r="Q64" s="60">
        <v>3.83</v>
      </c>
      <c r="R64" s="194"/>
      <c r="S64" s="194"/>
      <c r="T64" s="194"/>
      <c r="U64" s="194"/>
    </row>
    <row r="65" spans="1:21" s="12" customFormat="1" ht="15">
      <c r="A65" s="197" t="s">
        <v>3181</v>
      </c>
      <c r="B65" s="60">
        <v>1.47</v>
      </c>
      <c r="C65" s="60">
        <v>16.329999999999998</v>
      </c>
      <c r="D65" s="60">
        <v>17.80</v>
      </c>
      <c r="E65" s="60">
        <v>3.56</v>
      </c>
      <c r="F65" s="60">
        <v>1.19</v>
      </c>
      <c r="G65" s="214" t="s">
        <v>36</v>
      </c>
      <c r="H65" s="60">
        <v>30.78</v>
      </c>
      <c r="I65" s="60">
        <v>5.80</v>
      </c>
      <c r="J65" s="60">
        <v>0.36</v>
      </c>
      <c r="K65" s="60">
        <v>314.30</v>
      </c>
      <c r="L65" s="60">
        <v>55.57</v>
      </c>
      <c r="M65" s="60">
        <v>58.36</v>
      </c>
      <c r="N65" s="60">
        <v>602.60</v>
      </c>
      <c r="O65" s="60">
        <v>0</v>
      </c>
      <c r="P65" s="60">
        <v>3.45</v>
      </c>
      <c r="Q65" s="60">
        <v>3.86</v>
      </c>
      <c r="R65" s="194"/>
      <c r="S65" s="194"/>
      <c r="T65" s="194"/>
      <c r="U65" s="194"/>
    </row>
    <row r="66" spans="1:21" s="12" customFormat="1" ht="15">
      <c r="A66" s="197" t="s">
        <v>3182</v>
      </c>
      <c r="B66" s="60">
        <v>1.45</v>
      </c>
      <c r="C66" s="60">
        <v>15.89</v>
      </c>
      <c r="D66" s="60">
        <v>17.34</v>
      </c>
      <c r="E66" s="60">
        <v>3.23</v>
      </c>
      <c r="F66" s="60">
        <v>0.94</v>
      </c>
      <c r="G66" s="214" t="s">
        <v>36</v>
      </c>
      <c r="H66" s="60">
        <v>27.38</v>
      </c>
      <c r="I66" s="60">
        <v>5.54</v>
      </c>
      <c r="J66" s="60">
        <v>0.54</v>
      </c>
      <c r="K66" s="60">
        <v>312.68</v>
      </c>
      <c r="L66" s="60">
        <v>55.37</v>
      </c>
      <c r="M66" s="60">
        <v>54.14</v>
      </c>
      <c r="N66" s="60">
        <v>640.29999999999995</v>
      </c>
      <c r="O66" s="60">
        <v>0</v>
      </c>
      <c r="P66" s="60">
        <v>3.42</v>
      </c>
      <c r="Q66" s="60">
        <v>3.52</v>
      </c>
      <c r="R66" s="194"/>
      <c r="S66" s="194"/>
      <c r="T66" s="194"/>
      <c r="U66" s="194"/>
    </row>
    <row r="67" spans="1:21" s="12" customFormat="1" ht="15">
      <c r="A67" s="197" t="s">
        <v>3183</v>
      </c>
      <c r="B67" s="60">
        <v>1.61</v>
      </c>
      <c r="C67" s="60">
        <v>15.69</v>
      </c>
      <c r="D67" s="60">
        <v>17.30</v>
      </c>
      <c r="E67" s="60">
        <v>3.37</v>
      </c>
      <c r="F67" s="60">
        <v>1.21</v>
      </c>
      <c r="G67" s="214" t="s">
        <v>36</v>
      </c>
      <c r="H67" s="60">
        <v>27.38</v>
      </c>
      <c r="I67" s="60">
        <v>5.43</v>
      </c>
      <c r="J67" s="60">
        <v>0.26</v>
      </c>
      <c r="K67" s="60">
        <v>327.82</v>
      </c>
      <c r="L67" s="60">
        <v>56.27</v>
      </c>
      <c r="M67" s="60">
        <v>56.41</v>
      </c>
      <c r="N67" s="60">
        <v>308.5</v>
      </c>
      <c r="O67" s="60">
        <v>0</v>
      </c>
      <c r="P67" s="60">
        <v>3.40</v>
      </c>
      <c r="Q67" s="60">
        <v>2.98</v>
      </c>
      <c r="R67" s="194"/>
      <c r="S67" s="194"/>
      <c r="T67" s="194"/>
      <c r="U67" s="194"/>
    </row>
    <row r="68" spans="1:21" s="12" customFormat="1" ht="15">
      <c r="A68" s="197" t="s">
        <v>3184</v>
      </c>
      <c r="B68" s="60">
        <v>1.63</v>
      </c>
      <c r="C68" s="60">
        <v>16.21</v>
      </c>
      <c r="D68" s="60">
        <v>17.84</v>
      </c>
      <c r="E68" s="60">
        <v>3.79</v>
      </c>
      <c r="F68" s="60">
        <v>0.89</v>
      </c>
      <c r="G68" s="214" t="s">
        <v>36</v>
      </c>
      <c r="H68" s="60">
        <v>27.38</v>
      </c>
      <c r="I68" s="60">
        <v>5.28</v>
      </c>
      <c r="J68" s="60">
        <v>0.45</v>
      </c>
      <c r="K68" s="60">
        <v>318.16000000000003</v>
      </c>
      <c r="L68" s="60">
        <v>54.01</v>
      </c>
      <c r="M68" s="60">
        <v>58.09</v>
      </c>
      <c r="N68" s="60">
        <v>410</v>
      </c>
      <c r="O68" s="60">
        <v>0</v>
      </c>
      <c r="P68" s="60">
        <v>3.40</v>
      </c>
      <c r="Q68" s="60">
        <v>3.14</v>
      </c>
      <c r="R68" s="194"/>
      <c r="S68" s="194"/>
      <c r="T68" s="194"/>
      <c r="U68" s="194"/>
    </row>
    <row r="69" spans="1:21" s="12" customFormat="1" ht="15">
      <c r="A69" s="197" t="s">
        <v>3185</v>
      </c>
      <c r="B69" s="60">
        <v>1.94</v>
      </c>
      <c r="C69" s="60">
        <v>16</v>
      </c>
      <c r="D69" s="60">
        <v>17.940000000000001</v>
      </c>
      <c r="E69" s="60">
        <v>3.12</v>
      </c>
      <c r="F69" s="60">
        <v>1.0900000000000001</v>
      </c>
      <c r="G69" s="214" t="s">
        <v>36</v>
      </c>
      <c r="H69" s="60">
        <v>29.29</v>
      </c>
      <c r="I69" s="60">
        <v>5.23</v>
      </c>
      <c r="J69" s="60">
        <v>0.54</v>
      </c>
      <c r="K69" s="60">
        <v>313.89</v>
      </c>
      <c r="L69" s="60">
        <v>52.78</v>
      </c>
      <c r="M69" s="60">
        <v>56.97</v>
      </c>
      <c r="N69" s="60">
        <v>450.40</v>
      </c>
      <c r="O69" s="60">
        <v>0</v>
      </c>
      <c r="P69" s="60">
        <v>3.41</v>
      </c>
      <c r="Q69" s="60">
        <v>2.73</v>
      </c>
      <c r="R69" s="194"/>
      <c r="S69" s="194"/>
      <c r="T69" s="194"/>
      <c r="U69" s="194"/>
    </row>
    <row r="70" spans="1:21" s="12" customFormat="1" ht="15">
      <c r="A70" s="197" t="s">
        <v>3186</v>
      </c>
      <c r="B70" s="60">
        <v>2.25</v>
      </c>
      <c r="C70" s="60">
        <v>17.43</v>
      </c>
      <c r="D70" s="60">
        <v>19.68</v>
      </c>
      <c r="E70" s="60">
        <v>3.58</v>
      </c>
      <c r="F70" s="60">
        <v>0.72</v>
      </c>
      <c r="G70" s="214" t="s">
        <v>36</v>
      </c>
      <c r="H70" s="60">
        <v>33.99</v>
      </c>
      <c r="I70" s="60">
        <v>5.21</v>
      </c>
      <c r="J70" s="60">
        <v>0.03</v>
      </c>
      <c r="K70" s="60">
        <v>316.23</v>
      </c>
      <c r="L70" s="60">
        <v>54.15</v>
      </c>
      <c r="M70" s="60">
        <v>59.30</v>
      </c>
      <c r="N70" s="60">
        <v>430.30</v>
      </c>
      <c r="O70" s="60">
        <v>0</v>
      </c>
      <c r="P70" s="60">
        <v>3.43</v>
      </c>
      <c r="Q70" s="60">
        <v>3.18</v>
      </c>
      <c r="R70" s="194"/>
      <c r="S70" s="194"/>
      <c r="T70" s="194"/>
      <c r="U70" s="194"/>
    </row>
    <row r="71" spans="1:21" s="12" customFormat="1" ht="15">
      <c r="A71" s="197" t="s">
        <v>3187</v>
      </c>
      <c r="B71" s="60">
        <v>2.0299999999999998</v>
      </c>
      <c r="C71" s="60">
        <v>17.829999999999998</v>
      </c>
      <c r="D71" s="60">
        <v>19.86</v>
      </c>
      <c r="E71" s="60">
        <v>3.35</v>
      </c>
      <c r="F71" s="60">
        <v>1.04</v>
      </c>
      <c r="G71" s="214" t="s">
        <v>36</v>
      </c>
      <c r="H71" s="60">
        <v>33.99</v>
      </c>
      <c r="I71" s="60">
        <v>5.27</v>
      </c>
      <c r="J71" s="60">
        <v>0.10</v>
      </c>
      <c r="K71" s="60">
        <v>352.47</v>
      </c>
      <c r="L71" s="60">
        <v>53.35</v>
      </c>
      <c r="M71" s="60">
        <v>59.99</v>
      </c>
      <c r="N71" s="60">
        <v>455.20</v>
      </c>
      <c r="O71" s="60">
        <v>0</v>
      </c>
      <c r="P71" s="60">
        <v>3.48</v>
      </c>
      <c r="Q71" s="60">
        <v>2.88</v>
      </c>
      <c r="R71" s="194"/>
      <c r="S71" s="194"/>
      <c r="T71" s="194"/>
      <c r="U71" s="194"/>
    </row>
    <row r="72" spans="1:21" s="12" customFormat="1" ht="15">
      <c r="A72" s="197" t="s">
        <v>3188</v>
      </c>
      <c r="B72" s="60">
        <v>1.80</v>
      </c>
      <c r="C72" s="60">
        <v>18.62</v>
      </c>
      <c r="D72" s="60">
        <v>20.420000000000002</v>
      </c>
      <c r="E72" s="60">
        <v>2.2400000000000002</v>
      </c>
      <c r="F72" s="60">
        <v>1.1000000000000001</v>
      </c>
      <c r="G72" s="214" t="s">
        <v>36</v>
      </c>
      <c r="H72" s="60">
        <v>33.99</v>
      </c>
      <c r="I72" s="60">
        <v>5.82</v>
      </c>
      <c r="J72" s="60">
        <v>0.20</v>
      </c>
      <c r="K72" s="60">
        <v>218.11</v>
      </c>
      <c r="L72" s="60">
        <v>51.60</v>
      </c>
      <c r="M72" s="60">
        <v>59.76</v>
      </c>
      <c r="N72" s="60">
        <v>434.40</v>
      </c>
      <c r="O72" s="60">
        <v>0</v>
      </c>
      <c r="P72" s="60">
        <v>3.51</v>
      </c>
      <c r="Q72" s="60">
        <v>2.93</v>
      </c>
      <c r="R72" s="194"/>
      <c r="S72" s="194"/>
      <c r="T72" s="194"/>
      <c r="U72" s="194"/>
    </row>
    <row r="73" spans="1:21" s="12" customFormat="1" ht="15">
      <c r="A73" s="197" t="s">
        <v>3189</v>
      </c>
      <c r="B73" s="60">
        <v>1.37</v>
      </c>
      <c r="C73" s="60">
        <v>18.82</v>
      </c>
      <c r="D73" s="60">
        <v>20.190000000000001</v>
      </c>
      <c r="E73" s="60">
        <v>3.81</v>
      </c>
      <c r="F73" s="60">
        <v>1.1599999999999999</v>
      </c>
      <c r="G73" s="214" t="s">
        <v>36</v>
      </c>
      <c r="H73" s="60">
        <v>32.75</v>
      </c>
      <c r="I73" s="60">
        <v>6.40</v>
      </c>
      <c r="J73" s="60">
        <v>0.03</v>
      </c>
      <c r="K73" s="60">
        <v>62.37</v>
      </c>
      <c r="L73" s="60">
        <v>57.85</v>
      </c>
      <c r="M73" s="60">
        <v>60.74</v>
      </c>
      <c r="N73" s="60">
        <v>141.30000000000001</v>
      </c>
      <c r="O73" s="60">
        <v>0</v>
      </c>
      <c r="P73" s="60">
        <v>3.54</v>
      </c>
      <c r="Q73" s="60">
        <v>2.90</v>
      </c>
      <c r="R73" s="194"/>
      <c r="S73" s="194"/>
      <c r="T73" s="194"/>
      <c r="U73" s="194"/>
    </row>
    <row r="74" spans="1:21" s="12" customFormat="1" ht="15">
      <c r="A74" s="197" t="s">
        <v>3190</v>
      </c>
      <c r="B74" s="60">
        <v>1.08</v>
      </c>
      <c r="C74" s="60">
        <v>19</v>
      </c>
      <c r="D74" s="60">
        <v>20.079999999999998</v>
      </c>
      <c r="E74" s="60">
        <v>3.75</v>
      </c>
      <c r="F74" s="60">
        <v>1.27</v>
      </c>
      <c r="G74" s="214" t="s">
        <v>36</v>
      </c>
      <c r="H74" s="60">
        <v>29.70</v>
      </c>
      <c r="I74" s="60">
        <v>6.75</v>
      </c>
      <c r="J74" s="60">
        <v>0.20</v>
      </c>
      <c r="K74" s="60">
        <v>337.07</v>
      </c>
      <c r="L74" s="60">
        <v>54.55</v>
      </c>
      <c r="M74" s="60">
        <v>63.07</v>
      </c>
      <c r="N74" s="60">
        <v>96</v>
      </c>
      <c r="O74" s="60">
        <v>0</v>
      </c>
      <c r="P74" s="60">
        <v>3.53</v>
      </c>
      <c r="Q74" s="60">
        <v>2.90</v>
      </c>
      <c r="R74" s="194"/>
      <c r="S74" s="194"/>
      <c r="T74" s="194"/>
      <c r="U74" s="194"/>
    </row>
    <row r="75" spans="1:21" s="12" customFormat="1" ht="15">
      <c r="A75" s="197" t="s">
        <v>3191</v>
      </c>
      <c r="B75" s="60">
        <v>1.08</v>
      </c>
      <c r="C75" s="60">
        <v>17.91</v>
      </c>
      <c r="D75" s="60">
        <v>18.989999999999998</v>
      </c>
      <c r="E75" s="60">
        <v>3.35</v>
      </c>
      <c r="F75" s="60">
        <v>2.64</v>
      </c>
      <c r="G75" s="214" t="s">
        <v>36</v>
      </c>
      <c r="H75" s="60">
        <v>29.70</v>
      </c>
      <c r="I75" s="60">
        <v>6.98</v>
      </c>
      <c r="J75" s="60">
        <v>0.26</v>
      </c>
      <c r="K75" s="60">
        <v>4.05</v>
      </c>
      <c r="L75" s="60">
        <v>49.86</v>
      </c>
      <c r="M75" s="60">
        <v>72.05</v>
      </c>
      <c r="N75" s="60">
        <v>118.80</v>
      </c>
      <c r="O75" s="60">
        <v>0.20</v>
      </c>
      <c r="P75" s="60">
        <v>3.47</v>
      </c>
      <c r="Q75" s="60">
        <v>2.97</v>
      </c>
      <c r="R75" s="194"/>
      <c r="S75" s="194"/>
      <c r="T75" s="194"/>
      <c r="U75" s="194"/>
    </row>
    <row r="76" spans="1:21" s="12" customFormat="1" ht="15">
      <c r="A76" s="197" t="s">
        <v>3192</v>
      </c>
      <c r="B76" s="60">
        <v>0.93</v>
      </c>
      <c r="C76" s="60">
        <v>17.14</v>
      </c>
      <c r="D76" s="60">
        <v>18.07</v>
      </c>
      <c r="E76" s="60">
        <v>3.58</v>
      </c>
      <c r="F76" s="60">
        <v>2.12</v>
      </c>
      <c r="G76" s="214" t="s">
        <v>36</v>
      </c>
      <c r="H76" s="60">
        <v>29.70</v>
      </c>
      <c r="I76" s="60">
        <v>6.82</v>
      </c>
      <c r="J76" s="60">
        <v>0.01</v>
      </c>
      <c r="K76" s="60">
        <v>348.19</v>
      </c>
      <c r="L76" s="60">
        <v>49.85</v>
      </c>
      <c r="M76" s="60">
        <v>81.70</v>
      </c>
      <c r="N76" s="60">
        <v>140.90</v>
      </c>
      <c r="O76" s="60">
        <v>0.20</v>
      </c>
      <c r="P76" s="60">
        <v>3.42</v>
      </c>
      <c r="Q76" s="60">
        <v>3.17</v>
      </c>
      <c r="R76" s="194"/>
      <c r="S76" s="194"/>
      <c r="T76" s="194"/>
      <c r="U76" s="194"/>
    </row>
    <row r="77" spans="1:21" s="12" customFormat="1" ht="15">
      <c r="A77" s="197" t="s">
        <v>3193</v>
      </c>
      <c r="B77" s="60">
        <v>0.87</v>
      </c>
      <c r="C77" s="60">
        <v>16.11</v>
      </c>
      <c r="D77" s="60">
        <v>16.98</v>
      </c>
      <c r="E77" s="60">
        <v>3.32</v>
      </c>
      <c r="F77" s="60">
        <v>1.04</v>
      </c>
      <c r="G77" s="214" t="s">
        <v>36</v>
      </c>
      <c r="H77" s="60">
        <v>29.07</v>
      </c>
      <c r="I77" s="60">
        <v>6.28</v>
      </c>
      <c r="J77" s="60">
        <v>0.25</v>
      </c>
      <c r="K77" s="60">
        <v>204.12</v>
      </c>
      <c r="L77" s="60">
        <v>51.46</v>
      </c>
      <c r="M77" s="60">
        <v>78.80</v>
      </c>
      <c r="N77" s="60">
        <v>132.90</v>
      </c>
      <c r="O77" s="60">
        <v>0</v>
      </c>
      <c r="P77" s="60">
        <v>3.41</v>
      </c>
      <c r="Q77" s="60">
        <v>3.19</v>
      </c>
      <c r="R77" s="194"/>
      <c r="S77" s="194"/>
      <c r="T77" s="194"/>
      <c r="U77" s="194"/>
    </row>
    <row r="78" spans="1:21" s="12" customFormat="1" ht="15">
      <c r="A78" s="197" t="s">
        <v>3194</v>
      </c>
      <c r="B78" s="60">
        <v>1.29</v>
      </c>
      <c r="C78" s="60">
        <v>15.35</v>
      </c>
      <c r="D78" s="60">
        <v>16.64</v>
      </c>
      <c r="E78" s="60">
        <v>2.90</v>
      </c>
      <c r="F78" s="60">
        <v>0.71</v>
      </c>
      <c r="G78" s="214" t="s">
        <v>36</v>
      </c>
      <c r="H78" s="60">
        <v>27.53</v>
      </c>
      <c r="I78" s="60">
        <v>5.74</v>
      </c>
      <c r="J78" s="60">
        <v>0.070000000000000007</v>
      </c>
      <c r="K78" s="60">
        <v>10.31</v>
      </c>
      <c r="L78" s="60">
        <v>50.65</v>
      </c>
      <c r="M78" s="60">
        <v>79.48</v>
      </c>
      <c r="N78" s="60">
        <v>120.20</v>
      </c>
      <c r="O78" s="60">
        <v>0</v>
      </c>
      <c r="P78" s="60">
        <v>3.40</v>
      </c>
      <c r="Q78" s="60">
        <v>3.21</v>
      </c>
      <c r="R78" s="194"/>
      <c r="S78" s="194"/>
      <c r="T78" s="194"/>
      <c r="U78" s="194"/>
    </row>
    <row r="79" spans="1:21" s="12" customFormat="1" ht="15">
      <c r="A79" s="197" t="s">
        <v>3195</v>
      </c>
      <c r="B79" s="60">
        <v>3.11</v>
      </c>
      <c r="C79" s="60">
        <v>15.58</v>
      </c>
      <c r="D79" s="60">
        <v>18.690000000000001</v>
      </c>
      <c r="E79" s="60">
        <v>3.39</v>
      </c>
      <c r="F79" s="60">
        <v>0.56999999999999995</v>
      </c>
      <c r="G79" s="214" t="s">
        <v>36</v>
      </c>
      <c r="H79" s="60">
        <v>27.53</v>
      </c>
      <c r="I79" s="60">
        <v>5.58</v>
      </c>
      <c r="J79" s="60">
        <v>0.19</v>
      </c>
      <c r="K79" s="60">
        <v>295.39</v>
      </c>
      <c r="L79" s="60">
        <v>48.47</v>
      </c>
      <c r="M79" s="60">
        <v>78.599999999999994</v>
      </c>
      <c r="N79" s="60">
        <v>96.80</v>
      </c>
      <c r="O79" s="60">
        <v>0</v>
      </c>
      <c r="P79" s="60">
        <v>3.42</v>
      </c>
      <c r="Q79" s="60">
        <v>3.73</v>
      </c>
      <c r="R79" s="194"/>
      <c r="S79" s="194"/>
      <c r="T79" s="194"/>
      <c r="U79" s="194"/>
    </row>
    <row r="80" spans="1:21" s="12" customFormat="1" ht="15">
      <c r="A80" s="197" t="s">
        <v>3196</v>
      </c>
      <c r="B80" s="60">
        <v>4.12</v>
      </c>
      <c r="C80" s="60">
        <v>15.66</v>
      </c>
      <c r="D80" s="60">
        <v>19.78</v>
      </c>
      <c r="E80" s="60">
        <v>3.35</v>
      </c>
      <c r="F80" s="60">
        <v>0.31</v>
      </c>
      <c r="G80" s="214" t="s">
        <v>36</v>
      </c>
      <c r="H80" s="60">
        <v>27.53</v>
      </c>
      <c r="I80" s="60">
        <v>5.51</v>
      </c>
      <c r="J80" s="60">
        <v>0.28999999999999998</v>
      </c>
      <c r="K80" s="60">
        <v>328.80</v>
      </c>
      <c r="L80" s="60">
        <v>49.02</v>
      </c>
      <c r="M80" s="60">
        <v>77.56</v>
      </c>
      <c r="N80" s="60">
        <v>66.20</v>
      </c>
      <c r="O80" s="60">
        <v>0</v>
      </c>
      <c r="P80" s="60">
        <v>3.44</v>
      </c>
      <c r="Q80" s="60">
        <v>4.12</v>
      </c>
      <c r="R80" s="194"/>
      <c r="S80" s="194"/>
      <c r="T80" s="194"/>
      <c r="U80" s="194"/>
    </row>
    <row r="81" spans="1:21" s="12" customFormat="1" ht="15">
      <c r="A81" s="197" t="s">
        <v>3197</v>
      </c>
      <c r="B81" s="60">
        <v>5</v>
      </c>
      <c r="C81" s="60">
        <v>16.11</v>
      </c>
      <c r="D81" s="60">
        <v>21.11</v>
      </c>
      <c r="E81" s="60">
        <v>3.75</v>
      </c>
      <c r="F81" s="60">
        <v>0.01</v>
      </c>
      <c r="G81" s="214" t="s">
        <v>36</v>
      </c>
      <c r="H81" s="60">
        <v>26.02</v>
      </c>
      <c r="I81" s="60">
        <v>5.43</v>
      </c>
      <c r="J81" s="60">
        <v>0.13</v>
      </c>
      <c r="K81" s="60">
        <v>334.47</v>
      </c>
      <c r="L81" s="60">
        <v>50.87</v>
      </c>
      <c r="M81" s="60">
        <v>77.45</v>
      </c>
      <c r="N81" s="60">
        <v>44.70</v>
      </c>
      <c r="O81" s="60">
        <v>0</v>
      </c>
      <c r="P81" s="60">
        <v>3.47</v>
      </c>
      <c r="Q81" s="60">
        <v>4.24</v>
      </c>
      <c r="R81" s="194"/>
      <c r="S81" s="194"/>
      <c r="T81" s="194"/>
      <c r="U81" s="194"/>
    </row>
    <row r="82" spans="1:21" s="12" customFormat="1" ht="15">
      <c r="A82" s="197" t="s">
        <v>3198</v>
      </c>
      <c r="B82" s="60">
        <v>5.73</v>
      </c>
      <c r="C82" s="60">
        <v>16.18</v>
      </c>
      <c r="D82" s="60">
        <v>21.91</v>
      </c>
      <c r="E82" s="60">
        <v>4.0199999999999996</v>
      </c>
      <c r="F82" s="60">
        <v>0.06</v>
      </c>
      <c r="G82" s="214" t="s">
        <v>36</v>
      </c>
      <c r="H82" s="60">
        <v>22.31</v>
      </c>
      <c r="I82" s="60">
        <v>5.47</v>
      </c>
      <c r="J82" s="60">
        <v>0.18</v>
      </c>
      <c r="K82" s="60">
        <v>332.19</v>
      </c>
      <c r="L82" s="60">
        <v>47.39</v>
      </c>
      <c r="M82" s="60">
        <v>78.47</v>
      </c>
      <c r="N82" s="60">
        <v>30.40</v>
      </c>
      <c r="O82" s="60">
        <v>0</v>
      </c>
      <c r="P82" s="60">
        <v>3.51</v>
      </c>
      <c r="Q82" s="60">
        <v>4.38</v>
      </c>
      <c r="R82" s="194"/>
      <c r="S82" s="194"/>
      <c r="T82" s="194"/>
      <c r="U82" s="194"/>
    </row>
    <row r="83" spans="1:21" s="12" customFormat="1" ht="15">
      <c r="A83" s="197" t="s">
        <v>3199</v>
      </c>
      <c r="B83" s="60">
        <v>6.45</v>
      </c>
      <c r="C83" s="60">
        <v>16.04</v>
      </c>
      <c r="D83" s="60">
        <v>22.49</v>
      </c>
      <c r="E83" s="60">
        <v>3.84</v>
      </c>
      <c r="F83" s="60">
        <v>0.04</v>
      </c>
      <c r="G83" s="214" t="s">
        <v>36</v>
      </c>
      <c r="H83" s="60">
        <v>22.31</v>
      </c>
      <c r="I83" s="60">
        <v>5.65</v>
      </c>
      <c r="J83" s="60">
        <v>0.05</v>
      </c>
      <c r="K83" s="60">
        <v>256.33999999999997</v>
      </c>
      <c r="L83" s="60">
        <v>46.57</v>
      </c>
      <c r="M83" s="60">
        <v>79.069999999999993</v>
      </c>
      <c r="N83" s="60">
        <v>18.5</v>
      </c>
      <c r="O83" s="60">
        <v>0</v>
      </c>
      <c r="P83" s="60">
        <v>3.56</v>
      </c>
      <c r="Q83" s="60">
        <v>4.45</v>
      </c>
      <c r="R83" s="194"/>
      <c r="S83" s="194"/>
      <c r="T83" s="194"/>
      <c r="U83" s="194"/>
    </row>
    <row r="84" spans="1:21" s="12" customFormat="1" ht="15">
      <c r="A84" s="197" t="s">
        <v>3200</v>
      </c>
      <c r="B84" s="60">
        <v>7.18</v>
      </c>
      <c r="C84" s="60">
        <v>15.5</v>
      </c>
      <c r="D84" s="60">
        <v>22.68</v>
      </c>
      <c r="E84" s="60">
        <v>4.29</v>
      </c>
      <c r="F84" s="60">
        <v>0.09</v>
      </c>
      <c r="G84" s="214" t="s">
        <v>36</v>
      </c>
      <c r="H84" s="60">
        <v>22.31</v>
      </c>
      <c r="I84" s="60">
        <v>6.11</v>
      </c>
      <c r="J84" s="60">
        <v>0.10</v>
      </c>
      <c r="K84" s="60">
        <v>253.5</v>
      </c>
      <c r="L84" s="60">
        <v>46.63</v>
      </c>
      <c r="M84" s="60">
        <v>78.709999999999994</v>
      </c>
      <c r="N84" s="60">
        <v>15.90</v>
      </c>
      <c r="O84" s="60">
        <v>0</v>
      </c>
      <c r="P84" s="60">
        <v>3.60</v>
      </c>
      <c r="Q84" s="60">
        <v>4.30</v>
      </c>
      <c r="R84" s="194"/>
      <c r="S84" s="194"/>
      <c r="T84" s="194"/>
      <c r="U84" s="194"/>
    </row>
    <row r="85" spans="1:21" s="12" customFormat="1" ht="15">
      <c r="A85" s="197" t="s">
        <v>3201</v>
      </c>
      <c r="B85" s="60">
        <v>7.53</v>
      </c>
      <c r="C85" s="60">
        <v>15.58</v>
      </c>
      <c r="D85" s="60">
        <v>23.10</v>
      </c>
      <c r="E85" s="60">
        <v>4.5</v>
      </c>
      <c r="F85" s="60">
        <v>0.09</v>
      </c>
      <c r="G85" s="214" t="s">
        <v>36</v>
      </c>
      <c r="H85" s="60">
        <v>23.36</v>
      </c>
      <c r="I85" s="60">
        <v>6.65</v>
      </c>
      <c r="J85" s="60">
        <v>0.09</v>
      </c>
      <c r="K85" s="60">
        <v>329.98</v>
      </c>
      <c r="L85" s="60">
        <v>47.30</v>
      </c>
      <c r="M85" s="60">
        <v>79.34</v>
      </c>
      <c r="N85" s="60">
        <v>15.30</v>
      </c>
      <c r="O85" s="60">
        <v>0</v>
      </c>
      <c r="P85" s="60">
        <v>3.63</v>
      </c>
      <c r="Q85" s="60">
        <v>4.3499999999999996</v>
      </c>
      <c r="R85" s="194"/>
      <c r="S85" s="194"/>
      <c r="T85" s="194"/>
      <c r="U85" s="194"/>
    </row>
    <row r="86" spans="1:21" s="12" customFormat="1" ht="15">
      <c r="A86" s="197" t="s">
        <v>3202</v>
      </c>
      <c r="B86" s="60">
        <v>8.24</v>
      </c>
      <c r="C86" s="60">
        <v>15.70</v>
      </c>
      <c r="D86" s="60">
        <v>23.93</v>
      </c>
      <c r="E86" s="60">
        <v>4.7699999999999996</v>
      </c>
      <c r="F86" s="60">
        <v>0.14000000000000001</v>
      </c>
      <c r="G86" s="214" t="s">
        <v>36</v>
      </c>
      <c r="H86" s="60">
        <v>25.94</v>
      </c>
      <c r="I86" s="60">
        <v>6.63</v>
      </c>
      <c r="J86" s="60">
        <v>0.16</v>
      </c>
      <c r="K86" s="60">
        <v>323.04000000000002</v>
      </c>
      <c r="L86" s="60">
        <v>46.76</v>
      </c>
      <c r="M86" s="60">
        <v>82.36</v>
      </c>
      <c r="N86" s="60">
        <v>15.20</v>
      </c>
      <c r="O86" s="60">
        <v>0</v>
      </c>
      <c r="P86" s="60">
        <v>3.70</v>
      </c>
      <c r="Q86" s="60">
        <v>4.6399999999999997</v>
      </c>
      <c r="R86" s="194"/>
      <c r="S86" s="194"/>
      <c r="T86" s="194"/>
      <c r="U86" s="194"/>
    </row>
    <row r="87" spans="1:21" s="12" customFormat="1" ht="15">
      <c r="A87" s="197" t="s">
        <v>3203</v>
      </c>
      <c r="B87" s="60">
        <v>9.40</v>
      </c>
      <c r="C87" s="60">
        <v>15.48</v>
      </c>
      <c r="D87" s="60">
        <v>24.89</v>
      </c>
      <c r="E87" s="60">
        <v>4.70</v>
      </c>
      <c r="F87" s="60">
        <v>0.05</v>
      </c>
      <c r="G87" s="214" t="s">
        <v>36</v>
      </c>
      <c r="H87" s="60">
        <v>25.94</v>
      </c>
      <c r="I87" s="60">
        <v>7</v>
      </c>
      <c r="J87" s="60">
        <v>0.14000000000000001</v>
      </c>
      <c r="K87" s="60">
        <v>240.31</v>
      </c>
      <c r="L87" s="60">
        <v>47.5</v>
      </c>
      <c r="M87" s="60">
        <v>82.19</v>
      </c>
      <c r="N87" s="60">
        <v>15.40</v>
      </c>
      <c r="O87" s="60">
        <v>0</v>
      </c>
      <c r="P87" s="60">
        <v>3.76</v>
      </c>
      <c r="Q87" s="60">
        <v>4.93</v>
      </c>
      <c r="R87" s="194"/>
      <c r="S87" s="194"/>
      <c r="T87" s="194"/>
      <c r="U87" s="194"/>
    </row>
    <row r="88" spans="1:21" s="12" customFormat="1" ht="15">
      <c r="A88" s="197" t="s">
        <v>3204</v>
      </c>
      <c r="B88" s="60">
        <v>10.210000000000001</v>
      </c>
      <c r="C88" s="60">
        <v>15.29</v>
      </c>
      <c r="D88" s="60">
        <v>25.51</v>
      </c>
      <c r="E88" s="60">
        <v>2.4500000000000002</v>
      </c>
      <c r="F88" s="60">
        <v>0.10</v>
      </c>
      <c r="G88" s="214" t="s">
        <v>36</v>
      </c>
      <c r="H88" s="60">
        <v>25.94</v>
      </c>
      <c r="I88" s="60">
        <v>7.73</v>
      </c>
      <c r="J88" s="60">
        <v>0.09</v>
      </c>
      <c r="K88" s="60">
        <v>316.25</v>
      </c>
      <c r="L88" s="60">
        <v>56.34</v>
      </c>
      <c r="M88" s="60">
        <v>83.10</v>
      </c>
      <c r="N88" s="60">
        <v>15.10</v>
      </c>
      <c r="O88" s="60">
        <v>0</v>
      </c>
      <c r="P88" s="10" t="s">
        <v>43</v>
      </c>
      <c r="Q88" s="60">
        <v>5.14</v>
      </c>
      <c r="R88" s="194"/>
      <c r="S88" s="194"/>
      <c r="T88" s="194"/>
      <c r="U88" s="194"/>
    </row>
    <row r="89" spans="1:21" s="12" customFormat="1" ht="15">
      <c r="A89" s="197" t="s">
        <v>3205</v>
      </c>
      <c r="B89" s="60">
        <v>11.81</v>
      </c>
      <c r="C89" s="60">
        <v>15.31</v>
      </c>
      <c r="D89" s="60">
        <v>27.12</v>
      </c>
      <c r="E89" s="60">
        <v>4.3499999999999996</v>
      </c>
      <c r="F89" s="60">
        <v>0.34</v>
      </c>
      <c r="G89" s="214" t="s">
        <v>36</v>
      </c>
      <c r="H89" s="60">
        <v>27.07</v>
      </c>
      <c r="I89" s="60">
        <v>7.74</v>
      </c>
      <c r="J89" s="214" t="s">
        <v>36</v>
      </c>
      <c r="K89" s="60">
        <v>33.17</v>
      </c>
      <c r="L89" s="60">
        <v>58.02</v>
      </c>
      <c r="M89" s="60">
        <v>84.92</v>
      </c>
      <c r="N89" s="60">
        <v>15.10</v>
      </c>
      <c r="O89" s="60">
        <v>0</v>
      </c>
      <c r="P89" s="10" t="s">
        <v>43</v>
      </c>
      <c r="Q89" s="60">
        <v>5.99</v>
      </c>
      <c r="R89" s="194"/>
      <c r="S89" s="194"/>
      <c r="T89" s="194"/>
      <c r="U89" s="194"/>
    </row>
    <row r="90" spans="1:21" s="12" customFormat="1" ht="15">
      <c r="A90" s="197" t="s">
        <v>3206</v>
      </c>
      <c r="B90" s="60">
        <v>14.20</v>
      </c>
      <c r="C90" s="60">
        <v>16.13</v>
      </c>
      <c r="D90" s="60">
        <v>30.33</v>
      </c>
      <c r="E90" s="60">
        <v>4.88</v>
      </c>
      <c r="F90" s="60">
        <v>0.24</v>
      </c>
      <c r="G90" s="214" t="s">
        <v>36</v>
      </c>
      <c r="H90" s="60">
        <v>29.85</v>
      </c>
      <c r="I90" s="60">
        <v>7.59</v>
      </c>
      <c r="J90" s="60">
        <v>0.09</v>
      </c>
      <c r="K90" s="60">
        <v>171.87</v>
      </c>
      <c r="L90" s="60">
        <v>55.72</v>
      </c>
      <c r="M90" s="60">
        <v>84.33</v>
      </c>
      <c r="N90" s="60">
        <v>15</v>
      </c>
      <c r="O90" s="60">
        <v>0</v>
      </c>
      <c r="P90" s="10" t="s">
        <v>43</v>
      </c>
      <c r="Q90" s="60">
        <v>7.39</v>
      </c>
      <c r="R90" s="194"/>
      <c r="S90" s="194"/>
      <c r="T90" s="194"/>
      <c r="U90" s="194"/>
    </row>
    <row r="91" spans="1:21" s="12" customFormat="1" ht="15">
      <c r="A91" s="197" t="s">
        <v>3207</v>
      </c>
      <c r="B91" s="60">
        <v>15.65</v>
      </c>
      <c r="C91" s="60">
        <v>16.649999999999999</v>
      </c>
      <c r="D91" s="60">
        <v>32.299999999999997</v>
      </c>
      <c r="E91" s="60">
        <v>5.33</v>
      </c>
      <c r="F91" s="60">
        <v>0.22</v>
      </c>
      <c r="G91" s="214" t="s">
        <v>36</v>
      </c>
      <c r="H91" s="60">
        <v>29.85</v>
      </c>
      <c r="I91" s="60">
        <v>7.96</v>
      </c>
      <c r="J91" s="60">
        <v>0.11</v>
      </c>
      <c r="K91" s="60">
        <v>319.85000000000002</v>
      </c>
      <c r="L91" s="60">
        <v>54.31</v>
      </c>
      <c r="M91" s="60">
        <v>84.87</v>
      </c>
      <c r="N91" s="60">
        <v>15</v>
      </c>
      <c r="O91" s="60">
        <v>0</v>
      </c>
      <c r="P91" s="10" t="s">
        <v>43</v>
      </c>
      <c r="Q91" s="60">
        <v>8.41</v>
      </c>
      <c r="R91" s="194"/>
      <c r="S91" s="194"/>
      <c r="T91" s="194"/>
      <c r="U91" s="194"/>
    </row>
    <row r="92" spans="1:21" s="12" customFormat="1" ht="15">
      <c r="A92" s="197" t="s">
        <v>3208</v>
      </c>
      <c r="B92" s="60">
        <v>18.149999999999999</v>
      </c>
      <c r="C92" s="60">
        <v>17.170000000000002</v>
      </c>
      <c r="D92" s="60">
        <v>35.32</v>
      </c>
      <c r="E92" s="60">
        <v>5.21</v>
      </c>
      <c r="F92" s="60">
        <v>0.11</v>
      </c>
      <c r="G92" s="214" t="s">
        <v>36</v>
      </c>
      <c r="H92" s="60">
        <v>29.85</v>
      </c>
      <c r="I92" s="60">
        <v>8.35</v>
      </c>
      <c r="J92" s="60">
        <v>0.14000000000000001</v>
      </c>
      <c r="K92" s="60">
        <v>2.4700000000000002</v>
      </c>
      <c r="L92" s="60">
        <v>54.05</v>
      </c>
      <c r="M92" s="60">
        <v>87.90</v>
      </c>
      <c r="N92" s="60">
        <v>15.10</v>
      </c>
      <c r="O92" s="60">
        <v>0</v>
      </c>
      <c r="P92" s="10" t="s">
        <v>43</v>
      </c>
      <c r="Q92" s="60">
        <v>9.4499999999999993</v>
      </c>
      <c r="R92" s="194"/>
      <c r="S92" s="194"/>
      <c r="T92" s="194"/>
      <c r="U92" s="194"/>
    </row>
    <row r="93" spans="1:21" s="12" customFormat="1" ht="15">
      <c r="A93" s="197" t="s">
        <v>3209</v>
      </c>
      <c r="B93" s="60">
        <v>21.01</v>
      </c>
      <c r="C93" s="60">
        <v>17.670000000000002</v>
      </c>
      <c r="D93" s="60">
        <v>38.69</v>
      </c>
      <c r="E93" s="60">
        <v>5.29</v>
      </c>
      <c r="F93" s="60">
        <v>0.02</v>
      </c>
      <c r="G93" s="214" t="s">
        <v>36</v>
      </c>
      <c r="H93" s="60">
        <v>30.70</v>
      </c>
      <c r="I93" s="60">
        <v>8.7100000000000009</v>
      </c>
      <c r="J93" s="60">
        <v>0.10</v>
      </c>
      <c r="K93" s="60">
        <v>342.67</v>
      </c>
      <c r="L93" s="60">
        <v>54.89</v>
      </c>
      <c r="M93" s="60">
        <v>86.65</v>
      </c>
      <c r="N93" s="60">
        <v>15.10</v>
      </c>
      <c r="O93" s="60">
        <v>0</v>
      </c>
      <c r="P93" s="10" t="s">
        <v>43</v>
      </c>
      <c r="Q93" s="60">
        <v>10.57</v>
      </c>
      <c r="R93" s="194"/>
      <c r="S93" s="194"/>
      <c r="T93" s="194"/>
      <c r="U93" s="194"/>
    </row>
    <row r="94" spans="1:21" s="12" customFormat="1" ht="15">
      <c r="A94" s="197" t="s">
        <v>3210</v>
      </c>
      <c r="B94" s="60">
        <v>23.79</v>
      </c>
      <c r="C94" s="60">
        <v>18.059999999999999</v>
      </c>
      <c r="D94" s="60">
        <v>41.85</v>
      </c>
      <c r="E94" s="60">
        <v>5.23</v>
      </c>
      <c r="F94" s="60">
        <v>0.03</v>
      </c>
      <c r="G94" s="214" t="s">
        <v>36</v>
      </c>
      <c r="H94" s="60">
        <v>32.79</v>
      </c>
      <c r="I94" s="60">
        <v>9.32</v>
      </c>
      <c r="J94" s="60">
        <v>0.19</v>
      </c>
      <c r="K94" s="60">
        <v>339.78</v>
      </c>
      <c r="L94" s="60">
        <v>54.87</v>
      </c>
      <c r="M94" s="60">
        <v>87.18</v>
      </c>
      <c r="N94" s="60">
        <v>14.90</v>
      </c>
      <c r="O94" s="60">
        <v>0</v>
      </c>
      <c r="P94" s="10" t="s">
        <v>43</v>
      </c>
      <c r="Q94" s="60">
        <v>11.47</v>
      </c>
      <c r="R94" s="194"/>
      <c r="S94" s="194"/>
      <c r="T94" s="194"/>
      <c r="U94" s="194"/>
    </row>
    <row r="95" spans="1:21" s="12" customFormat="1" ht="15">
      <c r="A95" s="197" t="s">
        <v>3211</v>
      </c>
      <c r="B95" s="60">
        <v>26.85</v>
      </c>
      <c r="C95" s="60">
        <v>18.579999999999998</v>
      </c>
      <c r="D95" s="60">
        <v>45.43</v>
      </c>
      <c r="E95" s="60">
        <v>5.04</v>
      </c>
      <c r="F95" s="214" t="s">
        <v>36</v>
      </c>
      <c r="G95" s="214" t="s">
        <v>36</v>
      </c>
      <c r="H95" s="60">
        <v>32.79</v>
      </c>
      <c r="I95" s="60">
        <v>9.8000000000000007</v>
      </c>
      <c r="J95" s="60">
        <v>0.16</v>
      </c>
      <c r="K95" s="60">
        <v>353.76</v>
      </c>
      <c r="L95" s="60">
        <v>53.59</v>
      </c>
      <c r="M95" s="60">
        <v>87.24</v>
      </c>
      <c r="N95" s="60">
        <v>14.90</v>
      </c>
      <c r="O95" s="60">
        <v>0</v>
      </c>
      <c r="P95" s="10" t="s">
        <v>43</v>
      </c>
      <c r="Q95" s="60">
        <v>12.41</v>
      </c>
      <c r="R95" s="194"/>
      <c r="S95" s="194"/>
      <c r="T95" s="194"/>
      <c r="U95" s="194"/>
    </row>
    <row r="96" spans="1:26" s="12" customFormat="1" ht="15">
      <c r="A96" s="197" t="s">
        <v>3212</v>
      </c>
      <c r="B96" s="60">
        <v>29.21</v>
      </c>
      <c r="C96" s="60">
        <v>18.059999999999999</v>
      </c>
      <c r="D96" s="60">
        <v>47.27</v>
      </c>
      <c r="E96" s="60">
        <v>5.39</v>
      </c>
      <c r="F96" s="60">
        <v>0.070000000000000007</v>
      </c>
      <c r="G96" s="214" t="s">
        <v>36</v>
      </c>
      <c r="H96" s="60">
        <v>32.79</v>
      </c>
      <c r="I96" s="60">
        <v>10.31</v>
      </c>
      <c r="J96" s="60">
        <v>0.01</v>
      </c>
      <c r="K96" s="60">
        <v>186.47</v>
      </c>
      <c r="L96" s="60">
        <v>53.91</v>
      </c>
      <c r="M96" s="60">
        <v>85.72</v>
      </c>
      <c r="N96" s="60">
        <v>15.20</v>
      </c>
      <c r="O96" s="60">
        <v>0</v>
      </c>
      <c r="P96" s="10" t="s">
        <v>43</v>
      </c>
      <c r="Q96" s="60">
        <v>12.71</v>
      </c>
      <c r="R96" s="194"/>
      <c r="S96" s="194"/>
      <c r="T96" s="194"/>
      <c r="U96" s="194"/>
      <c r="Z96" s="105"/>
    </row>
    <row r="97" spans="1:21" s="12" customFormat="1" ht="15">
      <c r="A97" s="197" t="s">
        <v>3213</v>
      </c>
      <c r="B97" s="60">
        <v>30.27</v>
      </c>
      <c r="C97" s="60">
        <v>17.66</v>
      </c>
      <c r="D97" s="60">
        <v>47.93</v>
      </c>
      <c r="E97" s="60">
        <v>5.83</v>
      </c>
      <c r="F97" s="60">
        <v>0.21</v>
      </c>
      <c r="G97" s="214" t="s">
        <v>36</v>
      </c>
      <c r="H97" s="60">
        <v>34.15</v>
      </c>
      <c r="I97" s="60">
        <v>11</v>
      </c>
      <c r="J97" s="60">
        <v>0.070000000000000007</v>
      </c>
      <c r="K97" s="60">
        <v>289.55</v>
      </c>
      <c r="L97" s="60">
        <v>54.23</v>
      </c>
      <c r="M97" s="60">
        <v>86.88</v>
      </c>
      <c r="N97" s="60">
        <v>15.20</v>
      </c>
      <c r="O97" s="60">
        <v>0</v>
      </c>
      <c r="P97" s="10" t="s">
        <v>43</v>
      </c>
      <c r="Q97" s="60">
        <v>12.80</v>
      </c>
      <c r="R97" s="194"/>
      <c r="S97" s="194"/>
      <c r="T97" s="194"/>
      <c r="U97" s="194"/>
    </row>
    <row r="98" spans="1:21" s="12" customFormat="1" ht="15">
      <c r="A98" s="197" t="s">
        <v>3214</v>
      </c>
      <c r="B98" s="60">
        <v>31.18</v>
      </c>
      <c r="C98" s="60">
        <v>17.48</v>
      </c>
      <c r="D98" s="60">
        <v>48.66</v>
      </c>
      <c r="E98" s="60">
        <v>5.94</v>
      </c>
      <c r="F98" s="60">
        <v>0.070000000000000007</v>
      </c>
      <c r="G98" s="214" t="s">
        <v>36</v>
      </c>
      <c r="H98" s="60">
        <v>37.520000000000003</v>
      </c>
      <c r="I98" s="60">
        <v>11.24</v>
      </c>
      <c r="J98" s="60">
        <v>0.070000000000000007</v>
      </c>
      <c r="K98" s="60">
        <v>133.52000000000001</v>
      </c>
      <c r="L98" s="60">
        <v>53.56</v>
      </c>
      <c r="M98" s="60">
        <v>85.52</v>
      </c>
      <c r="N98" s="60">
        <v>15.20</v>
      </c>
      <c r="O98" s="60">
        <v>0</v>
      </c>
      <c r="P98" s="10" t="s">
        <v>43</v>
      </c>
      <c r="Q98" s="60">
        <v>13.04</v>
      </c>
      <c r="R98" s="194"/>
      <c r="S98" s="194"/>
      <c r="T98" s="194"/>
      <c r="U98" s="194"/>
    </row>
    <row r="99" spans="1:21" s="12" customFormat="1" ht="15">
      <c r="A99" s="197" t="s">
        <v>3215</v>
      </c>
      <c r="B99" s="60">
        <v>31.81</v>
      </c>
      <c r="C99" s="60">
        <v>16.63</v>
      </c>
      <c r="D99" s="60">
        <v>48.44</v>
      </c>
      <c r="E99" s="60">
        <v>6.27</v>
      </c>
      <c r="F99" s="60">
        <v>0.11</v>
      </c>
      <c r="G99" s="214" t="s">
        <v>36</v>
      </c>
      <c r="H99" s="60">
        <v>37.520000000000003</v>
      </c>
      <c r="I99" s="60">
        <v>11.39</v>
      </c>
      <c r="J99" s="60">
        <v>0.10</v>
      </c>
      <c r="K99" s="60">
        <v>254.20</v>
      </c>
      <c r="L99" s="60">
        <v>54.28</v>
      </c>
      <c r="M99" s="60">
        <v>86.68</v>
      </c>
      <c r="N99" s="60">
        <v>15</v>
      </c>
      <c r="O99" s="60">
        <v>0</v>
      </c>
      <c r="P99" s="10" t="s">
        <v>43</v>
      </c>
      <c r="Q99" s="60">
        <v>12.94</v>
      </c>
      <c r="R99" s="194"/>
      <c r="S99" s="194"/>
      <c r="T99" s="194"/>
      <c r="U99" s="194"/>
    </row>
    <row r="100" spans="1:33" s="12" customFormat="1" ht="15">
      <c r="A100" s="197" t="s">
        <v>3216</v>
      </c>
      <c r="B100" s="60">
        <v>32.43</v>
      </c>
      <c r="C100" s="60">
        <v>16.12</v>
      </c>
      <c r="D100" s="60">
        <v>48.55</v>
      </c>
      <c r="E100" s="60">
        <v>5.90</v>
      </c>
      <c r="F100" s="60">
        <v>0.20</v>
      </c>
      <c r="G100" s="214" t="s">
        <v>36</v>
      </c>
      <c r="H100" s="60">
        <v>37.520000000000003</v>
      </c>
      <c r="I100" s="60">
        <v>11.23</v>
      </c>
      <c r="J100" s="60">
        <v>0.01</v>
      </c>
      <c r="K100" s="60">
        <v>16.32</v>
      </c>
      <c r="L100" s="60">
        <v>51.99</v>
      </c>
      <c r="M100" s="60">
        <v>88.40</v>
      </c>
      <c r="N100" s="60">
        <v>15.20</v>
      </c>
      <c r="O100" s="60">
        <v>0</v>
      </c>
      <c r="P100" s="10" t="s">
        <v>43</v>
      </c>
      <c r="Q100" s="60">
        <v>12.94</v>
      </c>
      <c r="R100" s="194"/>
      <c r="S100" s="194"/>
      <c r="T100" s="194"/>
      <c r="U100" s="194"/>
      <c r="AB100" s="106"/>
      <c r="AG100" s="105"/>
    </row>
    <row r="101" spans="1:21" s="12" customFormat="1" ht="15">
      <c r="A101" s="197" t="s">
        <v>3217</v>
      </c>
      <c r="B101" s="60">
        <v>33.35</v>
      </c>
      <c r="C101" s="60">
        <v>15.74</v>
      </c>
      <c r="D101" s="60">
        <v>49.09</v>
      </c>
      <c r="E101" s="60">
        <v>5.97</v>
      </c>
      <c r="F101" s="60">
        <v>0.16</v>
      </c>
      <c r="G101" s="214" t="s">
        <v>36</v>
      </c>
      <c r="H101" s="60">
        <v>40.619999999999997</v>
      </c>
      <c r="I101" s="60">
        <v>11.17</v>
      </c>
      <c r="J101" s="60">
        <v>0.12</v>
      </c>
      <c r="K101" s="60">
        <v>207.98</v>
      </c>
      <c r="L101" s="60">
        <v>51.73</v>
      </c>
      <c r="M101" s="60">
        <v>88.19</v>
      </c>
      <c r="N101" s="60">
        <v>15.10</v>
      </c>
      <c r="O101" s="60">
        <v>0</v>
      </c>
      <c r="P101" s="10" t="s">
        <v>43</v>
      </c>
      <c r="Q101" s="60">
        <v>13.22</v>
      </c>
      <c r="R101" s="194"/>
      <c r="S101" s="194"/>
      <c r="T101" s="194"/>
      <c r="U101" s="194"/>
    </row>
    <row r="102" spans="1:21" s="12" customFormat="1" ht="15">
      <c r="A102" s="197" t="s">
        <v>3218</v>
      </c>
      <c r="B102" s="60">
        <v>33.43</v>
      </c>
      <c r="C102" s="60">
        <v>15.42</v>
      </c>
      <c r="D102" s="60">
        <v>48.85</v>
      </c>
      <c r="E102" s="60">
        <v>6.17</v>
      </c>
      <c r="F102" s="60">
        <v>0.17</v>
      </c>
      <c r="G102" s="214" t="s">
        <v>36</v>
      </c>
      <c r="H102" s="60">
        <v>48.27</v>
      </c>
      <c r="I102" s="60">
        <v>11.26</v>
      </c>
      <c r="J102" s="60">
        <v>0.25</v>
      </c>
      <c r="K102" s="60">
        <v>164.25</v>
      </c>
      <c r="L102" s="60">
        <v>51.87</v>
      </c>
      <c r="M102" s="60">
        <v>89.82</v>
      </c>
      <c r="N102" s="60">
        <v>14.80</v>
      </c>
      <c r="O102" s="60">
        <v>0</v>
      </c>
      <c r="P102" s="10" t="s">
        <v>43</v>
      </c>
      <c r="Q102" s="60">
        <v>13.23</v>
      </c>
      <c r="R102" s="194"/>
      <c r="S102" s="194"/>
      <c r="T102" s="194"/>
      <c r="U102" s="194"/>
    </row>
    <row r="103" spans="1:21" s="12" customFormat="1" ht="15">
      <c r="A103" s="197" t="s">
        <v>3219</v>
      </c>
      <c r="B103" s="60">
        <v>32.85</v>
      </c>
      <c r="C103" s="60">
        <v>14.37</v>
      </c>
      <c r="D103" s="60">
        <v>47.22</v>
      </c>
      <c r="E103" s="60">
        <v>6.58</v>
      </c>
      <c r="F103" s="60">
        <v>0.28000000000000003</v>
      </c>
      <c r="G103" s="214" t="s">
        <v>36</v>
      </c>
      <c r="H103" s="60">
        <v>48.27</v>
      </c>
      <c r="I103" s="60">
        <v>11.55</v>
      </c>
      <c r="J103" s="60">
        <v>0.13</v>
      </c>
      <c r="K103" s="60">
        <v>182.28</v>
      </c>
      <c r="L103" s="60">
        <v>51.15</v>
      </c>
      <c r="M103" s="60">
        <v>88.35</v>
      </c>
      <c r="N103" s="60">
        <v>14.90</v>
      </c>
      <c r="O103" s="60">
        <v>0</v>
      </c>
      <c r="P103" s="10" t="s">
        <v>43</v>
      </c>
      <c r="Q103" s="60">
        <v>13.18</v>
      </c>
      <c r="R103" s="194"/>
      <c r="S103" s="194"/>
      <c r="T103" s="194"/>
      <c r="U103" s="194"/>
    </row>
    <row r="104" spans="1:21" s="12" customFormat="1" ht="15">
      <c r="A104" s="197" t="s">
        <v>3220</v>
      </c>
      <c r="B104" s="60">
        <v>31.01</v>
      </c>
      <c r="C104" s="60">
        <v>13.87</v>
      </c>
      <c r="D104" s="60">
        <v>44.89</v>
      </c>
      <c r="E104" s="60">
        <v>3.04</v>
      </c>
      <c r="F104" s="60">
        <v>0.17</v>
      </c>
      <c r="G104" s="214" t="s">
        <v>36</v>
      </c>
      <c r="H104" s="60">
        <v>48.27</v>
      </c>
      <c r="I104" s="60">
        <v>11.25</v>
      </c>
      <c r="J104" s="60">
        <v>0.24</v>
      </c>
      <c r="K104" s="60">
        <v>175.31</v>
      </c>
      <c r="L104" s="60">
        <v>48.92</v>
      </c>
      <c r="M104" s="60">
        <v>88.37</v>
      </c>
      <c r="N104" s="60">
        <v>14.80</v>
      </c>
      <c r="O104" s="60">
        <v>0</v>
      </c>
      <c r="P104" s="10" t="s">
        <v>43</v>
      </c>
      <c r="Q104" s="60">
        <v>13.37</v>
      </c>
      <c r="R104" s="194"/>
      <c r="S104" s="194"/>
      <c r="T104" s="194"/>
      <c r="U104" s="194"/>
    </row>
    <row r="105" spans="7:21" ht="15">
      <c r="G105" s="14"/>
      <c r="H105" s="14"/>
      <c r="I105" s="14"/>
      <c r="L105" s="14"/>
      <c r="M105" s="14"/>
      <c r="N105" s="14"/>
      <c r="O105" s="14"/>
      <c r="P105" s="14"/>
      <c r="R105" s="135"/>
      <c r="S105" s="135"/>
      <c r="T105" s="135"/>
      <c r="U105" s="135"/>
    </row>
    <row r="106" spans="1:21" ht="15">
      <c r="A106" s="65" t="s">
        <v>59</v>
      </c>
      <c r="B106" s="67">
        <f>MIN(B9:B104)</f>
        <v>0.87</v>
      </c>
      <c r="C106" s="67">
        <f>MIN(C9:C104)</f>
        <v>9.7799999999999994</v>
      </c>
      <c r="D106" s="67">
        <f t="shared" si="0" ref="D106:Q106">MIN(D9:D104)</f>
        <v>13.57</v>
      </c>
      <c r="E106" s="67">
        <f t="shared" si="0"/>
        <v>1.6000000000000001</v>
      </c>
      <c r="F106" s="67">
        <f t="shared" si="0"/>
        <v>0.01</v>
      </c>
      <c r="G106" s="67">
        <f t="shared" si="0"/>
        <v>0</v>
      </c>
      <c r="H106" s="67">
        <f t="shared" si="0"/>
        <v>14.66</v>
      </c>
      <c r="I106" s="67">
        <f t="shared" si="0"/>
        <v>4.1200000000000001</v>
      </c>
      <c r="J106" s="67">
        <f t="shared" si="0"/>
        <v>0.01</v>
      </c>
      <c r="K106" s="67">
        <f t="shared" si="0"/>
        <v>0.93000000000000005</v>
      </c>
      <c r="L106" s="67">
        <f t="shared" si="0"/>
        <v>45.149999999999999</v>
      </c>
      <c r="M106" s="67">
        <f t="shared" si="0"/>
        <v>54.140000000000001</v>
      </c>
      <c r="N106" s="67">
        <f t="shared" si="0"/>
        <v>14.6</v>
      </c>
      <c r="O106" s="67">
        <f t="shared" si="0"/>
        <v>0</v>
      </c>
      <c r="P106" s="67">
        <f t="shared" si="0"/>
        <v>3.1600000000000001</v>
      </c>
      <c r="Q106" s="67">
        <f t="shared" si="0"/>
        <v>2.7000000000000002</v>
      </c>
      <c r="R106" s="195"/>
      <c r="S106" s="195"/>
      <c r="T106" s="195"/>
      <c r="U106" s="195"/>
    </row>
    <row r="107" spans="1:21" ht="15">
      <c r="A107" s="65" t="s">
        <v>60</v>
      </c>
      <c r="B107" s="66">
        <f>MAX(B9:B104)</f>
        <v>33.43</v>
      </c>
      <c r="C107" s="66">
        <f t="shared" si="1" ref="C107:Q107">MAX(C9:C104)</f>
        <v>19</v>
      </c>
      <c r="D107" s="66">
        <f t="shared" si="1"/>
        <v>49.090000000000003</v>
      </c>
      <c r="E107" s="66">
        <f t="shared" si="1"/>
        <v>6.6799999999999997</v>
      </c>
      <c r="F107" s="66">
        <f t="shared" si="1"/>
        <v>2.6400000000000001</v>
      </c>
      <c r="G107" s="66">
        <f t="shared" si="1"/>
        <v>0</v>
      </c>
      <c r="H107" s="66">
        <f t="shared" si="1"/>
        <v>48.270000000000003</v>
      </c>
      <c r="I107" s="66">
        <f t="shared" si="1"/>
        <v>11.550000000000001</v>
      </c>
      <c r="J107" s="66">
        <f t="shared" si="1"/>
        <v>0.54000000000000004</v>
      </c>
      <c r="K107" s="66">
        <f t="shared" si="1"/>
        <v>353.75999999999999</v>
      </c>
      <c r="L107" s="66">
        <f t="shared" si="1"/>
        <v>58.840000000000003</v>
      </c>
      <c r="M107" s="66">
        <f t="shared" si="1"/>
        <v>96.400000000000006</v>
      </c>
      <c r="N107" s="66">
        <f t="shared" si="1"/>
        <v>944.70000000000005</v>
      </c>
      <c r="O107" s="66">
        <f t="shared" si="1"/>
        <v>0.20000000000000001</v>
      </c>
      <c r="P107" s="66">
        <f t="shared" si="1"/>
        <v>3.7599999999999998</v>
      </c>
      <c r="Q107" s="66">
        <f t="shared" si="1"/>
        <v>13.369999999999999</v>
      </c>
      <c r="R107" s="196"/>
      <c r="S107" s="196"/>
      <c r="T107" s="196"/>
      <c r="U107" s="196"/>
    </row>
    <row r="108" spans="1:21" ht="15">
      <c r="A108" s="65" t="s">
        <v>61</v>
      </c>
      <c r="B108" s="67">
        <f>AVERAGE(B9:B104)</f>
        <v>7.7310416666666635</v>
      </c>
      <c r="C108" s="67">
        <f t="shared" si="2" ref="C108:Q108">AVERAGE(C9:C104)</f>
        <v>14.538645833333335</v>
      </c>
      <c r="D108" s="67">
        <f t="shared" si="2"/>
        <v>22.27</v>
      </c>
      <c r="E108" s="67">
        <f t="shared" si="2"/>
        <v>5.0135416666666677</v>
      </c>
      <c r="F108" s="67">
        <f t="shared" si="2"/>
        <v>0.52593406593406611</v>
      </c>
      <c r="G108" s="67" t="e">
        <f t="shared" si="2"/>
        <v>#DIV/0!</v>
      </c>
      <c r="H108" s="67">
        <f t="shared" si="2"/>
        <v>25.883020833333333</v>
      </c>
      <c r="I108" s="67">
        <f t="shared" si="2"/>
        <v>6.4811458333333318</v>
      </c>
      <c r="J108" s="67">
        <f t="shared" si="2"/>
        <v>0.14244680851063823</v>
      </c>
      <c r="K108" s="67">
        <f t="shared" si="2"/>
        <v>228.1243749999999</v>
      </c>
      <c r="L108" s="67">
        <f t="shared" si="2"/>
        <v>52.293958333333343</v>
      </c>
      <c r="M108" s="67">
        <f t="shared" si="2"/>
        <v>78.799895833333309</v>
      </c>
      <c r="N108" s="67">
        <f t="shared" si="2"/>
        <v>223.10833333333343</v>
      </c>
      <c r="O108" s="67">
        <f t="shared" si="2"/>
        <v>0.0041666666666666666</v>
      </c>
      <c r="P108" s="67">
        <f t="shared" si="2"/>
        <v>3.4020253164556959</v>
      </c>
      <c r="Q108" s="67">
        <f t="shared" si="2"/>
        <v>5.1478125000000015</v>
      </c>
      <c r="R108" s="195"/>
      <c r="S108" s="195"/>
      <c r="T108" s="195"/>
      <c r="U108" s="195"/>
    </row>
    <row r="109" spans="1:21" ht="15">
      <c r="A109" s="65" t="s">
        <v>77</v>
      </c>
      <c r="B109" s="67">
        <f>STDEV(B9:B104)</f>
        <v>9.0377767968579867</v>
      </c>
      <c r="C109" s="67">
        <f t="shared" si="3" ref="C109:Q109">STDEV(C9:C104)</f>
        <v>2.860451793461857</v>
      </c>
      <c r="D109" s="67">
        <f t="shared" si="3"/>
        <v>9.9356401536668848</v>
      </c>
      <c r="E109" s="67">
        <f t="shared" si="3"/>
        <v>1.2383095261105539</v>
      </c>
      <c r="F109" s="67">
        <f t="shared" si="3"/>
        <v>0.61000360294378209</v>
      </c>
      <c r="G109" s="67" t="e">
        <f t="shared" si="3"/>
        <v>#DIV/0!</v>
      </c>
      <c r="H109" s="67">
        <f t="shared" si="3"/>
        <v>7.4723152361925198</v>
      </c>
      <c r="I109" s="67">
        <f t="shared" si="3"/>
        <v>1.9445345105498475</v>
      </c>
      <c r="J109" s="67">
        <f t="shared" si="3"/>
        <v>0.12014047485915109</v>
      </c>
      <c r="K109" s="67">
        <f t="shared" si="3"/>
        <v>98.910805995923454</v>
      </c>
      <c r="L109" s="67">
        <f t="shared" si="3"/>
        <v>3.2904168602222872</v>
      </c>
      <c r="M109" s="67">
        <f t="shared" si="3"/>
        <v>12.638827518471331</v>
      </c>
      <c r="N109" s="67">
        <f t="shared" si="3"/>
        <v>268.8561363165951</v>
      </c>
      <c r="O109" s="67">
        <f t="shared" si="3"/>
        <v>0.028715177232759195</v>
      </c>
      <c r="P109" s="67">
        <f t="shared" si="3"/>
        <v>0.14840502226310068</v>
      </c>
      <c r="Q109" s="67">
        <f t="shared" si="3"/>
        <v>3.0596054795985483</v>
      </c>
      <c r="R109" s="195"/>
      <c r="S109" s="195"/>
      <c r="T109" s="195"/>
      <c r="U109" s="195"/>
    </row>
    <row r="110" spans="1:22" ht="15">
      <c r="A110" s="65" t="s">
        <v>62</v>
      </c>
      <c r="B110" s="66">
        <f t="shared" si="4" ref="B110:Q110">COUNT(B9:B104)</f>
        <v>96</v>
      </c>
      <c r="C110" s="66">
        <f>COUNT(C9:C104)</f>
        <v>96</v>
      </c>
      <c r="D110" s="66">
        <f t="shared" si="4"/>
        <v>96</v>
      </c>
      <c r="E110" s="66">
        <f t="shared" si="4"/>
        <v>96</v>
      </c>
      <c r="F110" s="66">
        <f>COUNT(F9:F104)+5</f>
        <v>96</v>
      </c>
      <c r="G110" s="66">
        <f>COUNT(G9:G104)+96</f>
        <v>96</v>
      </c>
      <c r="H110" s="66">
        <f t="shared" si="4"/>
        <v>96</v>
      </c>
      <c r="I110" s="66">
        <f t="shared" si="4"/>
        <v>96</v>
      </c>
      <c r="J110" s="66">
        <f>COUNT(J9:J104)+2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79</v>
      </c>
      <c r="Q110" s="66">
        <f t="shared" si="4"/>
        <v>96</v>
      </c>
      <c r="R110" s="196"/>
      <c r="S110" s="196"/>
      <c r="T110" s="196"/>
      <c r="U110" s="196"/>
      <c r="V110" s="66"/>
    </row>
    <row r="111" spans="1:21" ht="15">
      <c r="A111" s="15" t="s">
        <v>63</v>
      </c>
      <c r="B111" s="13" t="str">
        <f>IF(B110&gt;=87,"&gt;90%",IF(B110&lt;=87,"&lt;90%"))</f>
        <v>&gt;90%</v>
      </c>
      <c r="C111" s="13" t="str">
        <f t="shared" si="5" ref="C111:Q111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&lt;90%</v>
      </c>
      <c r="Q111" s="13" t="str">
        <f t="shared" si="5"/>
        <v>&gt;90%</v>
      </c>
      <c r="R111" s="193"/>
      <c r="S111" s="193"/>
      <c r="T111" s="193"/>
      <c r="U111" s="193"/>
    </row>
    <row r="112" spans="1:21" ht="15">
      <c r="A112" s="15" t="s">
        <v>5</v>
      </c>
      <c r="B112" s="13" t="str">
        <f>IF(B110&gt;=87,"OK",IF(B110&lt;=87,"LESS"))</f>
        <v>OK</v>
      </c>
      <c r="C112" s="13" t="str">
        <f t="shared" si="6" ref="C112:Q112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LESS</v>
      </c>
      <c r="Q112" s="13" t="str">
        <f t="shared" si="6"/>
        <v>OK</v>
      </c>
      <c r="R112" s="193"/>
      <c r="S112" s="193"/>
      <c r="T112" s="193"/>
      <c r="U112" s="193"/>
    </row>
    <row r="113" spans="12:21" ht="1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4" ht="15">
      <c r="A115" s="15" t="s">
        <v>64</v>
      </c>
      <c r="B115" s="220" t="s">
        <v>217</v>
      </c>
      <c r="C115" s="220"/>
      <c r="D115" s="220"/>
    </row>
    <row r="116" spans="4:9" ht="15">
      <c r="D116" s="2"/>
      <c r="E116" s="2"/>
      <c r="F116" s="2"/>
      <c r="G116" s="2"/>
      <c r="H116" s="2"/>
      <c r="I116" s="2"/>
    </row>
    <row r="117" spans="1:21" ht="15.75">
      <c r="A117" s="18" t="s">
        <v>65</v>
      </c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</row>
  </sheetData>
  <sheetProtection/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d025ac9-027f-4320-812d-79eb876fd691}">
  <sheetPr codeName=""/>
  <dimension ref="A1:U55"/>
  <sheetViews>
    <sheetView tabSelected="1" workbookViewId="0" topLeftCell="A1">
      <pane xSplit="1" ySplit="8" topLeftCell="B24" activePane="bottomRight" state="frozen"/>
      <selection pane="topLeft" activeCell="B2" sqref="B2"/>
      <selection pane="topRight" activeCell="B2" sqref="B2"/>
      <selection pane="bottomLeft" activeCell="B2" sqref="B2"/>
      <selection pane="bottomRight" activeCell="B45" sqref="B45:Q45"/>
    </sheetView>
  </sheetViews>
  <sheetFormatPr defaultColWidth="8.85881696428571" defaultRowHeight="15"/>
  <cols>
    <col min="1" max="1" width="15.8571428571429" style="95" customWidth="1"/>
    <col min="2" max="2" width="16.7142857142857" style="12" customWidth="1"/>
    <col min="3" max="3" width="9.85714285714286" style="12" customWidth="1"/>
    <col min="4" max="4" width="10.2857142857143" style="12" customWidth="1"/>
    <col min="5" max="5" width="10.5714285714286" style="12" customWidth="1"/>
    <col min="6" max="6" width="8.85714285714286" style="12"/>
    <col min="7" max="7" width="10.7142857142857" style="12" customWidth="1"/>
    <col min="8" max="8" width="12.2857142857143" style="12" customWidth="1"/>
    <col min="9" max="9" width="10.4285714285714" style="12" customWidth="1"/>
    <col min="10" max="10" width="8.85714285714286" style="12"/>
    <col min="11" max="11" width="9.57142857142857" style="12" customWidth="1"/>
    <col min="12" max="12" width="10.4285714285714" style="12" customWidth="1"/>
    <col min="13" max="13" width="10" style="12" customWidth="1"/>
    <col min="14" max="16" width="8.85714285714286" style="12"/>
    <col min="17" max="17" width="18" style="12" customWidth="1"/>
    <col min="18" max="19" width="8.85714285714286" style="12"/>
    <col min="20" max="20" width="10.2857142857143" style="12" customWidth="1"/>
    <col min="21" max="16384" width="8.85714285714286" style="12"/>
  </cols>
  <sheetData>
    <row r="1" spans="1:21" s="54" customFormat="1" ht="26.25">
      <c r="A1" s="94" t="s">
        <v>30</v>
      </c>
      <c r="B1" s="57" t="s">
        <v>3221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ht="15">
      <c r="A2" s="94" t="s">
        <v>0</v>
      </c>
      <c r="B2" s="104" t="str">
        <f>$A$9</f>
        <v>01-07-2022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0" t="s">
        <v>35</v>
      </c>
      <c r="Q2" s="13"/>
      <c r="R2" s="9" t="s">
        <v>36</v>
      </c>
      <c r="S2" s="12"/>
      <c r="T2" s="12"/>
      <c r="U2" s="12"/>
    </row>
    <row r="3" spans="1:21" s="54" customFormat="1" ht="1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2" t="s">
        <v>43</v>
      </c>
      <c r="Q3" s="13"/>
      <c r="R3" s="10" t="s">
        <v>43</v>
      </c>
      <c r="S3" s="12"/>
      <c r="T3" s="12"/>
      <c r="U3" s="12"/>
    </row>
    <row r="4" spans="1:21" s="54" customFormat="1" ht="1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ht="1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ht="1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ht="15">
      <c r="A7" s="218" t="s">
        <v>50</v>
      </c>
      <c r="B7" s="219" t="s">
        <v>227</v>
      </c>
      <c r="C7" s="219" t="s">
        <v>228</v>
      </c>
      <c r="D7" s="219" t="s">
        <v>229</v>
      </c>
      <c r="E7" s="219" t="s">
        <v>230</v>
      </c>
      <c r="F7" s="219" t="s">
        <v>231</v>
      </c>
      <c r="G7" s="219" t="s">
        <v>232</v>
      </c>
      <c r="H7" s="219" t="s">
        <v>233</v>
      </c>
      <c r="I7" s="219" t="s">
        <v>234</v>
      </c>
      <c r="J7" s="219" t="s">
        <v>235</v>
      </c>
      <c r="K7" s="219" t="s">
        <v>236</v>
      </c>
      <c r="L7" s="219" t="s">
        <v>237</v>
      </c>
      <c r="M7" s="219" t="s">
        <v>238</v>
      </c>
      <c r="N7" s="219" t="s">
        <v>239</v>
      </c>
      <c r="O7" s="219" t="s">
        <v>240</v>
      </c>
      <c r="P7" s="219" t="s">
        <v>241</v>
      </c>
      <c r="Q7" s="219" t="s">
        <v>242</v>
      </c>
      <c r="R7" s="192"/>
      <c r="S7" s="193"/>
      <c r="T7" s="192"/>
      <c r="U7" s="192"/>
    </row>
    <row r="8" spans="1:21" s="54" customFormat="1" ht="15">
      <c r="A8" s="218"/>
      <c r="B8" s="38" t="s">
        <v>51</v>
      </c>
      <c r="C8" s="38" t="s">
        <v>51</v>
      </c>
      <c r="D8" s="38" t="s">
        <v>51</v>
      </c>
      <c r="E8" s="38" t="s">
        <v>51</v>
      </c>
      <c r="F8" s="38" t="s">
        <v>51</v>
      </c>
      <c r="G8" s="38" t="s">
        <v>51</v>
      </c>
      <c r="H8" s="38" t="s">
        <v>51</v>
      </c>
      <c r="I8" s="38" t="s">
        <v>51</v>
      </c>
      <c r="J8" s="38" t="s">
        <v>53</v>
      </c>
      <c r="K8" s="38" t="s">
        <v>54</v>
      </c>
      <c r="L8" s="218" t="s">
        <v>56</v>
      </c>
      <c r="M8" s="38" t="s">
        <v>55</v>
      </c>
      <c r="N8" s="38" t="s">
        <v>57</v>
      </c>
      <c r="O8" s="218" t="s">
        <v>58</v>
      </c>
      <c r="P8" s="38" t="s">
        <v>52</v>
      </c>
      <c r="Q8" s="38" t="s">
        <v>51</v>
      </c>
      <c r="R8" s="192"/>
      <c r="S8" s="193"/>
      <c r="T8" s="192"/>
      <c r="U8" s="192"/>
    </row>
    <row r="9" spans="1:21" ht="15">
      <c r="A9" s="94" t="str">
        <f>'01'!$B$2</f>
        <v>01-07-2022 00:15</v>
      </c>
      <c r="B9" s="118">
        <f>'01'!B108</f>
        <v>2.7533333333333339</v>
      </c>
      <c r="C9" s="118">
        <f>'01'!C108</f>
        <v>22.160625</v>
      </c>
      <c r="D9" s="118">
        <f>'01'!D108</f>
        <v>24.914166666666659</v>
      </c>
      <c r="E9" s="118">
        <f>'01'!E108</f>
        <v>7.2653125000000012</v>
      </c>
      <c r="F9" s="118">
        <f>'01'!F108</f>
        <v>1.4143749999999997</v>
      </c>
      <c r="G9" s="9" t="s">
        <v>36</v>
      </c>
      <c r="H9" s="118">
        <f>'01'!H108</f>
        <v>18.904895833333324</v>
      </c>
      <c r="I9" s="118">
        <f>'01'!I108</f>
        <v>7.1310416666666638</v>
      </c>
      <c r="J9" s="118">
        <f>'01'!J108</f>
        <v>1.4198958333333336</v>
      </c>
      <c r="K9" s="118">
        <f>'01'!K108</f>
        <v>221.35260416666662</v>
      </c>
      <c r="L9" s="118">
        <f>'01'!L108</f>
        <v>23.980416666666667</v>
      </c>
      <c r="M9" s="118">
        <f>'01'!M108</f>
        <v>74.946458333333354</v>
      </c>
      <c r="N9" s="118">
        <f>'01'!N108</f>
        <v>717.7635416666667</v>
      </c>
      <c r="O9" s="118">
        <f>'01'!O108</f>
        <v>0</v>
      </c>
      <c r="P9" s="217">
        <f>'01'!P108</f>
        <v>3.1278124999999992</v>
      </c>
      <c r="Q9" s="118">
        <f>'01'!Q108</f>
        <v>22.372604166666665</v>
      </c>
      <c r="R9" s="114"/>
      <c r="S9" s="114"/>
      <c r="T9" s="114"/>
      <c r="U9" s="114"/>
    </row>
    <row r="10" spans="1:21" ht="15">
      <c r="A10" s="94" t="str">
        <f>'02'!$B$2</f>
        <v>02-07-2022 00:15</v>
      </c>
      <c r="B10" s="61">
        <f>'02'!B108</f>
        <v>3.5110416666666668</v>
      </c>
      <c r="C10" s="61">
        <f>'02'!C108</f>
        <v>22.079062499999992</v>
      </c>
      <c r="D10" s="61">
        <f>'02'!D108</f>
        <v>25.587395833333328</v>
      </c>
      <c r="E10" s="61">
        <f>'02'!E108</f>
        <v>9.2841666666666676</v>
      </c>
      <c r="F10" s="61">
        <f>'02'!F108</f>
        <v>1.0846875000000005</v>
      </c>
      <c r="G10" s="9" t="s">
        <v>36</v>
      </c>
      <c r="H10" s="61">
        <f>'02'!H108</f>
        <v>14.465625000000003</v>
      </c>
      <c r="I10" s="61">
        <f>'02'!I108</f>
        <v>6.8299999999999992</v>
      </c>
      <c r="J10" s="61">
        <f>'02'!J108</f>
        <v>1.6766666666666661</v>
      </c>
      <c r="K10" s="61">
        <f>'02'!K108</f>
        <v>218.38145833333331</v>
      </c>
      <c r="L10" s="61">
        <f>'02'!L108</f>
        <v>19.809479166666662</v>
      </c>
      <c r="M10" s="61">
        <f>'02'!M108</f>
        <v>79.576458333333321</v>
      </c>
      <c r="N10" s="61">
        <f>'02'!N108</f>
        <v>629.80729166666663</v>
      </c>
      <c r="O10" s="61">
        <f>'02'!O108</f>
        <v>0.0062500000000000012</v>
      </c>
      <c r="P10" s="198">
        <f>'02'!P108</f>
        <v>2.6580208333333339</v>
      </c>
      <c r="Q10" s="61">
        <f>'02'!Q108</f>
        <v>18.602499999999999</v>
      </c>
      <c r="R10" s="114"/>
      <c r="S10" s="114"/>
      <c r="T10" s="114"/>
      <c r="U10" s="114"/>
    </row>
    <row r="11" spans="1:21" ht="15">
      <c r="A11" s="94" t="str">
        <f>'03'!$B$2</f>
        <v>03-07-2022 00:15</v>
      </c>
      <c r="B11" s="61">
        <f>'03'!B108</f>
        <v>4.2299999999999995</v>
      </c>
      <c r="C11" s="61">
        <f>'03'!C108</f>
        <v>20.944791666666671</v>
      </c>
      <c r="D11" s="61">
        <f>'03'!D108</f>
        <v>25.174062500000002</v>
      </c>
      <c r="E11" s="61">
        <f>'03'!E108</f>
        <v>8.7981250000000006</v>
      </c>
      <c r="F11" s="61">
        <f>'03'!F108</f>
        <v>1.0009375000000003</v>
      </c>
      <c r="G11" s="9" t="s">
        <v>36</v>
      </c>
      <c r="H11" s="61">
        <f>'03'!H108</f>
        <v>9.8008333333333386</v>
      </c>
      <c r="I11" s="61">
        <f>'03'!I108</f>
        <v>6.0791666666666666</v>
      </c>
      <c r="J11" s="61">
        <f>'03'!J108</f>
        <v>1.6784374999999996</v>
      </c>
      <c r="K11" s="61">
        <f>'03'!K108</f>
        <v>222.75895833333345</v>
      </c>
      <c r="L11" s="61">
        <f>'03'!L108</f>
        <v>21.11760416666667</v>
      </c>
      <c r="M11" s="61">
        <f>'03'!M108</f>
        <v>86.906666666666652</v>
      </c>
      <c r="N11" s="61">
        <f>'03'!N108</f>
        <v>382.97187499999995</v>
      </c>
      <c r="O11" s="61">
        <f>'03'!O108</f>
        <v>0.0062500000000000012</v>
      </c>
      <c r="P11" s="198">
        <f>'03'!P108</f>
        <v>2.5959374999999998</v>
      </c>
      <c r="Q11" s="61">
        <f>'03'!Q108</f>
        <v>15.663645833333334</v>
      </c>
      <c r="R11" s="114"/>
      <c r="S11" s="114"/>
      <c r="T11" s="114"/>
      <c r="U11" s="114"/>
    </row>
    <row r="12" spans="1:21" ht="15">
      <c r="A12" s="94" t="str">
        <f>'04'!$B$2</f>
        <v>04-07-2022 00:15</v>
      </c>
      <c r="B12" s="61">
        <f>'04'!B108</f>
        <v>4.556354166666666</v>
      </c>
      <c r="C12" s="61">
        <f>'04'!C108</f>
        <v>14.515000000000006</v>
      </c>
      <c r="D12" s="61">
        <f>'04'!D108</f>
        <v>19.070729166666666</v>
      </c>
      <c r="E12" s="61">
        <f>'04'!E108</f>
        <v>6.965729166666665</v>
      </c>
      <c r="F12" s="61">
        <f>'04'!F108</f>
        <v>0.84691489361702144</v>
      </c>
      <c r="G12" s="9" t="s">
        <v>36</v>
      </c>
      <c r="H12" s="61">
        <f>'04'!H108</f>
        <v>5.2657291666666683</v>
      </c>
      <c r="I12" s="61">
        <f>'04'!I108</f>
        <v>3.985937499999999</v>
      </c>
      <c r="J12" s="61">
        <f>'04'!J108</f>
        <v>1.8853125000000002</v>
      </c>
      <c r="K12" s="61">
        <f>'04'!K108</f>
        <v>168.1952083333334</v>
      </c>
      <c r="L12" s="61">
        <f>'04'!L108</f>
        <v>17.659479166666667</v>
      </c>
      <c r="M12" s="61">
        <f>'04'!M108</f>
        <v>94.035312500000046</v>
      </c>
      <c r="N12" s="61">
        <f>'04'!N108</f>
        <v>702.09791666666672</v>
      </c>
      <c r="O12" s="61">
        <f>'04'!O108</f>
        <v>0.10833333333333334</v>
      </c>
      <c r="P12" s="198">
        <f>'04'!P108</f>
        <v>2.4076041666666663</v>
      </c>
      <c r="Q12" s="61">
        <f>'04'!Q108</f>
        <v>16.205520833333328</v>
      </c>
      <c r="R12" s="114"/>
      <c r="S12" s="114"/>
      <c r="T12" s="114"/>
      <c r="U12" s="114"/>
    </row>
    <row r="13" spans="1:21" ht="15">
      <c r="A13" s="94" t="str">
        <f>'05'!$B$2</f>
        <v>05-07-2022 00:15</v>
      </c>
      <c r="B13" s="61">
        <f>'05'!B108</f>
        <v>4.1764583333333336</v>
      </c>
      <c r="C13" s="61">
        <f>'05'!C108</f>
        <v>16.590729166666666</v>
      </c>
      <c r="D13" s="61">
        <f>'05'!D108</f>
        <v>20.767395833333332</v>
      </c>
      <c r="E13" s="61">
        <f>'05'!E108</f>
        <v>7.0045833333333336</v>
      </c>
      <c r="F13" s="61">
        <f>'05'!F108</f>
        <v>1.6165624999999997</v>
      </c>
      <c r="G13" s="9" t="s">
        <v>36</v>
      </c>
      <c r="H13" s="61">
        <f>'05'!H108</f>
        <v>11.611562500000005</v>
      </c>
      <c r="I13" s="61">
        <f>'05'!I108</f>
        <v>4.491770833333331</v>
      </c>
      <c r="J13" s="61">
        <f>'05'!J108</f>
        <v>12.50151515151515</v>
      </c>
      <c r="K13" s="61">
        <f>'05'!K108</f>
        <v>65.798484848484819</v>
      </c>
      <c r="L13" s="61">
        <f>'05'!L108</f>
        <v>17.76438202247191</v>
      </c>
      <c r="M13" s="61">
        <f>'05'!M108</f>
        <v>79.375833333333375</v>
      </c>
      <c r="N13" s="61">
        <f>'05'!N108</f>
        <v>583.31964285714298</v>
      </c>
      <c r="O13" s="61">
        <f>'05'!O108</f>
        <v>0</v>
      </c>
      <c r="P13" s="198">
        <f>'05'!P108</f>
        <v>2.5460416666666661</v>
      </c>
      <c r="Q13" s="61">
        <f>'05'!Q108</f>
        <v>19.868958333333332</v>
      </c>
      <c r="R13" s="114"/>
      <c r="S13" s="114"/>
      <c r="T13" s="114"/>
      <c r="U13" s="114"/>
    </row>
    <row r="14" spans="1:21" ht="15">
      <c r="A14" s="94" t="str">
        <f>'06'!$B$2</f>
        <v>06-07-2022 00:15</v>
      </c>
      <c r="B14" s="61">
        <f>'06'!B108</f>
        <v>15.339895833333337</v>
      </c>
      <c r="C14" s="61">
        <f>'06'!C108</f>
        <v>13.735312499999999</v>
      </c>
      <c r="D14" s="61">
        <f>'06'!D108</f>
        <v>29.076145833333328</v>
      </c>
      <c r="E14" s="61">
        <f>'06'!E108</f>
        <v>7.9575000000000022</v>
      </c>
      <c r="F14" s="61">
        <f>'06'!F108</f>
        <v>0.46041666666666664</v>
      </c>
      <c r="G14" s="9" t="s">
        <v>36</v>
      </c>
      <c r="H14" s="61">
        <f>'06'!H108</f>
        <v>18.257604166666667</v>
      </c>
      <c r="I14" s="61">
        <f>'06'!I108</f>
        <v>6.3823958333333346</v>
      </c>
      <c r="J14" s="61">
        <f>'06'!J108</f>
        <v>18.293645833333333</v>
      </c>
      <c r="K14" s="61">
        <f>'06'!K108</f>
        <v>58.857812499999994</v>
      </c>
      <c r="L14" s="61">
        <f>'06'!L108</f>
        <v>35.083263157894756</v>
      </c>
      <c r="M14" s="61">
        <f>'06'!M108</f>
        <v>85.414166666666688</v>
      </c>
      <c r="N14" s="9" t="s">
        <v>36</v>
      </c>
      <c r="O14" s="61">
        <f>'06'!O108</f>
        <v>0.022916666666666669</v>
      </c>
      <c r="P14" s="198">
        <f>'06'!P108</f>
        <v>2.8655208333333348</v>
      </c>
      <c r="Q14" s="61">
        <f>'06'!Q108</f>
        <v>20.846875000000001</v>
      </c>
      <c r="R14" s="114"/>
      <c r="S14" s="114"/>
      <c r="T14" s="114"/>
      <c r="U14" s="114"/>
    </row>
    <row r="15" spans="1:21" ht="15">
      <c r="A15" s="94" t="str">
        <f>'07'!$B$2</f>
        <v>07-07-2022 00:15</v>
      </c>
      <c r="B15" s="61">
        <f>'07'!B108</f>
        <v>4.3901041666666654</v>
      </c>
      <c r="C15" s="61">
        <f>'07'!C108</f>
        <v>11.622083333333338</v>
      </c>
      <c r="D15" s="61">
        <f>'07'!D108</f>
        <v>16.011874999999993</v>
      </c>
      <c r="E15" s="61">
        <f>'07'!E108</f>
        <v>7.0383333333333313</v>
      </c>
      <c r="F15" s="61">
        <f>'07'!F108</f>
        <v>0.62604166666666672</v>
      </c>
      <c r="G15" s="9" t="s">
        <v>36</v>
      </c>
      <c r="H15" s="61">
        <f>'07'!H108</f>
        <v>11.812708333333331</v>
      </c>
      <c r="I15" s="61">
        <f>'07'!I108</f>
        <v>5.1474999999999973</v>
      </c>
      <c r="J15" s="61">
        <f>'07'!J108</f>
        <v>7.546666666666666</v>
      </c>
      <c r="K15" s="61">
        <f>'07'!K108</f>
        <v>140.59958333333333</v>
      </c>
      <c r="L15" s="61">
        <f>'07'!L108</f>
        <v>33.790416666666673</v>
      </c>
      <c r="M15" s="61">
        <f>'07'!M108</f>
        <v>86.702604166666688</v>
      </c>
      <c r="N15" s="61">
        <f>'07'!N108</f>
        <v>232.55531914893609</v>
      </c>
      <c r="O15" s="61">
        <f>'07'!O108</f>
        <v>0.11041666666666665</v>
      </c>
      <c r="P15" s="198">
        <f>'07'!P108</f>
        <v>2.6614583333333335</v>
      </c>
      <c r="Q15" s="61">
        <f>'07'!Q108</f>
        <v>13.015104166666667</v>
      </c>
      <c r="R15" s="114"/>
      <c r="S15" s="114"/>
      <c r="T15" s="114"/>
      <c r="U15" s="114"/>
    </row>
    <row r="16" spans="1:21" ht="15">
      <c r="A16" s="94" t="str">
        <f>'08'!$B$2</f>
        <v>08-07-2022 00:15</v>
      </c>
      <c r="B16" s="61">
        <f>'08'!B108</f>
        <v>5.2827083333333329</v>
      </c>
      <c r="C16" s="61">
        <f>'08'!C108</f>
        <v>11.0175</v>
      </c>
      <c r="D16" s="61">
        <f>'08'!D108</f>
        <v>16.300312500000004</v>
      </c>
      <c r="E16" s="61">
        <f>'08'!E108</f>
        <v>7.0064583333333381</v>
      </c>
      <c r="F16" s="61">
        <f>'08'!F108</f>
        <v>0.9545744680851066</v>
      </c>
      <c r="G16" s="9" t="s">
        <v>36</v>
      </c>
      <c r="H16" s="61">
        <f>'08'!H108</f>
        <v>14.28125</v>
      </c>
      <c r="I16" s="61">
        <f>'08'!I108</f>
        <v>5.1556250000000006</v>
      </c>
      <c r="J16" s="61">
        <f>'08'!J108</f>
        <v>0.61916666666666675</v>
      </c>
      <c r="K16" s="61">
        <f>'08'!K108</f>
        <v>146.58875</v>
      </c>
      <c r="L16" s="61">
        <f>'08'!L108</f>
        <v>47.762857142857143</v>
      </c>
      <c r="M16" s="61">
        <f>'08'!M108</f>
        <v>87.341770833333328</v>
      </c>
      <c r="N16" s="61">
        <f>'08'!N108</f>
        <v>176.21333333333337</v>
      </c>
      <c r="O16" s="61">
        <f>'08'!O108</f>
        <v>0.093749999999999986</v>
      </c>
      <c r="P16" s="198">
        <f>'08'!P108</f>
        <v>2.714479166666667</v>
      </c>
      <c r="Q16" s="61">
        <f>'08'!Q108</f>
        <v>15.035520833333331</v>
      </c>
      <c r="R16" s="114"/>
      <c r="S16" s="114"/>
      <c r="T16" s="114"/>
      <c r="U16" s="114"/>
    </row>
    <row r="17" spans="1:21" ht="15">
      <c r="A17" s="94" t="str">
        <f>'09'!$B$2</f>
        <v>09-07-2022 00:15</v>
      </c>
      <c r="B17" s="61">
        <f>'09'!B108</f>
        <v>7.997395833333333</v>
      </c>
      <c r="C17" s="61">
        <f>'09'!C108</f>
        <v>12.076145833333335</v>
      </c>
      <c r="D17" s="61">
        <f>'09'!D108</f>
        <v>20.073854166666667</v>
      </c>
      <c r="E17" s="61">
        <f>'09'!E108</f>
        <v>7.6668749999999983</v>
      </c>
      <c r="F17" s="61">
        <f>'09'!F108</f>
        <v>0.56233333333333335</v>
      </c>
      <c r="G17" s="9" t="s">
        <v>36</v>
      </c>
      <c r="H17" s="61">
        <f>'09'!H108</f>
        <v>13.442500000000003</v>
      </c>
      <c r="I17" s="61">
        <f>'09'!I108</f>
        <v>5.641145833333332</v>
      </c>
      <c r="J17" s="61">
        <f>'09'!J108</f>
        <v>1.015625</v>
      </c>
      <c r="K17" s="61">
        <f>'09'!K108</f>
        <v>161.07385416666668</v>
      </c>
      <c r="L17" s="61">
        <f>'09'!L108</f>
        <v>35.477727272727279</v>
      </c>
      <c r="M17" s="61">
        <f>'09'!M108</f>
        <v>93.633020833333333</v>
      </c>
      <c r="N17" s="61">
        <f>'09'!N108</f>
        <v>106.56923076923076</v>
      </c>
      <c r="O17" s="61">
        <f>'09'!O108</f>
        <v>0.14166666666666664</v>
      </c>
      <c r="P17" s="198">
        <f>'09'!P108</f>
        <v>2.8776041666666647</v>
      </c>
      <c r="Q17" s="61">
        <f>'09'!Q108</f>
        <v>11.677291666666664</v>
      </c>
      <c r="R17" s="114"/>
      <c r="S17" s="114"/>
      <c r="T17" s="114"/>
      <c r="U17" s="114"/>
    </row>
    <row r="18" spans="1:21" ht="15">
      <c r="A18" s="94" t="str">
        <f>'10'!$B$2</f>
        <v>10-07-2022 00:15</v>
      </c>
      <c r="B18" s="61">
        <f>'10'!B108</f>
        <v>8.5337499999999959</v>
      </c>
      <c r="C18" s="61">
        <f>'10'!C108</f>
        <v>13.924270833333338</v>
      </c>
      <c r="D18" s="61">
        <f>'10'!D108</f>
        <v>22.457812499999992</v>
      </c>
      <c r="E18" s="61">
        <f>'10'!E108</f>
        <v>7.553020833333334</v>
      </c>
      <c r="F18" s="61">
        <f>'10'!F108</f>
        <v>0.48442105263157903</v>
      </c>
      <c r="G18" s="9" t="s">
        <v>36</v>
      </c>
      <c r="H18" s="61">
        <f>'10'!H108</f>
        <v>14.386770833333335</v>
      </c>
      <c r="I18" s="61">
        <f>'10'!I108</f>
        <v>5.6127083333333347</v>
      </c>
      <c r="J18" s="61">
        <f>'10'!J108</f>
        <v>1.1191666666666666</v>
      </c>
      <c r="K18" s="61">
        <f>'10'!K108</f>
        <v>130.31489583333328</v>
      </c>
      <c r="L18" s="61">
        <f>'10'!L108</f>
        <v>49.265520833333312</v>
      </c>
      <c r="M18" s="61">
        <f>'10'!M108</f>
        <v>86.865729166666725</v>
      </c>
      <c r="N18" s="61">
        <f>'10'!N108</f>
        <v>204.76777777777767</v>
      </c>
      <c r="O18" s="61">
        <f>'10'!O108</f>
        <v>0.10416666666666667</v>
      </c>
      <c r="P18" s="198">
        <f>'10'!P108</f>
        <v>2.9629166666666666</v>
      </c>
      <c r="Q18" s="61">
        <f>'10'!Q108</f>
        <v>8.2890624999999982</v>
      </c>
      <c r="R18" s="114"/>
      <c r="S18" s="114"/>
      <c r="T18" s="114"/>
      <c r="U18" s="114"/>
    </row>
    <row r="19" spans="1:21" ht="15">
      <c r="A19" s="94" t="str">
        <f>'11'!$B$2</f>
        <v>11-07-2022 00:15</v>
      </c>
      <c r="B19" s="61">
        <f>'11'!B108</f>
        <v>8.2896874999999977</v>
      </c>
      <c r="C19" s="61">
        <f>'11'!C108</f>
        <v>13.728229166666667</v>
      </c>
      <c r="D19" s="61">
        <f>'11'!D108</f>
        <v>22.017708333333342</v>
      </c>
      <c r="E19" s="61">
        <f>'11'!E108</f>
        <v>7.3761458333333323</v>
      </c>
      <c r="F19" s="61">
        <f>'11'!F108</f>
        <v>0.51729166666666659</v>
      </c>
      <c r="G19" s="9" t="s">
        <v>36</v>
      </c>
      <c r="H19" s="61">
        <f>'11'!H108</f>
        <v>18.546875000000004</v>
      </c>
      <c r="I19" s="61">
        <f>'11'!I108</f>
        <v>5.973541666666665</v>
      </c>
      <c r="J19" s="61">
        <f>'11'!J108</f>
        <v>0.86270833333333297</v>
      </c>
      <c r="K19" s="61">
        <f>'11'!K108</f>
        <v>135.8719791666667</v>
      </c>
      <c r="L19" s="9" t="s">
        <v>36</v>
      </c>
      <c r="M19" s="61">
        <f>'11'!M108</f>
        <v>86.519687500000018</v>
      </c>
      <c r="N19" s="61">
        <f>'11'!N108</f>
        <v>197.34375000000003</v>
      </c>
      <c r="O19" s="61">
        <f>'11'!O108</f>
        <v>0.11666666666666665</v>
      </c>
      <c r="P19" s="198">
        <f>'11'!P108</f>
        <v>3.0631249999999994</v>
      </c>
      <c r="Q19" s="61">
        <f>'11'!Q108</f>
        <v>7.1638541666666677</v>
      </c>
      <c r="R19" s="114"/>
      <c r="S19" s="114"/>
      <c r="T19" s="114"/>
      <c r="U19" s="114"/>
    </row>
    <row r="20" spans="1:21" ht="15">
      <c r="A20" s="94" t="str">
        <f>'12'!$B$2</f>
        <v>12-07-2022 00:15</v>
      </c>
      <c r="B20" s="61">
        <f>'12'!B108</f>
        <v>6.8862499999999995</v>
      </c>
      <c r="C20" s="61">
        <f>'12'!C108</f>
        <v>16.174062500000005</v>
      </c>
      <c r="D20" s="61">
        <f>'12'!D108</f>
        <v>23.059791666666673</v>
      </c>
      <c r="E20" s="61">
        <f>'12'!E108</f>
        <v>7.0354166666666673</v>
      </c>
      <c r="F20" s="61">
        <f>'12'!F108</f>
        <v>0.41270833333333329</v>
      </c>
      <c r="G20" s="9" t="s">
        <v>36</v>
      </c>
      <c r="H20" s="61">
        <f>'12'!H108</f>
        <v>13.642604166666667</v>
      </c>
      <c r="I20" s="61">
        <f>'12'!I108</f>
        <v>5.9419791666666661</v>
      </c>
      <c r="J20" s="61">
        <f>'12'!J108</f>
        <v>0.96385416666666679</v>
      </c>
      <c r="K20" s="61">
        <f>'12'!K108</f>
        <v>152.23260416666673</v>
      </c>
      <c r="L20" s="9" t="s">
        <v>36</v>
      </c>
      <c r="M20" s="61">
        <f>'12'!M108</f>
        <v>83.642916666666693</v>
      </c>
      <c r="N20" s="61">
        <f>'12'!N108</f>
        <v>164.20833333333329</v>
      </c>
      <c r="O20" s="61">
        <f>'12'!O108</f>
        <v>0.19791666666666666</v>
      </c>
      <c r="P20" s="198">
        <f>'12'!P108</f>
        <v>2.9453125</v>
      </c>
      <c r="Q20" s="61">
        <f>'12'!Q108</f>
        <v>6.4616666666666651</v>
      </c>
      <c r="R20" s="114"/>
      <c r="S20" s="114"/>
      <c r="T20" s="114"/>
      <c r="U20" s="114"/>
    </row>
    <row r="21" spans="1:21" s="89" customFormat="1" ht="15">
      <c r="A21" s="94" t="str">
        <f>'13'!$B$2</f>
        <v>13-07-2022 00:15</v>
      </c>
      <c r="B21" s="91">
        <f>'13'!B108</f>
        <v>5.5361458333333351</v>
      </c>
      <c r="C21" s="91">
        <f>'13'!C108</f>
        <v>12.044479166666656</v>
      </c>
      <c r="D21" s="91">
        <f>'13'!D108</f>
        <v>17.580208333333342</v>
      </c>
      <c r="E21" s="91">
        <f>'13'!E108</f>
        <v>7.4143750000000006</v>
      </c>
      <c r="F21" s="91">
        <f>'13'!F108</f>
        <v>0.39833333333333337</v>
      </c>
      <c r="G21" s="9" t="s">
        <v>36</v>
      </c>
      <c r="H21" s="91">
        <f>'13'!H108</f>
        <v>6.4187500000000002</v>
      </c>
      <c r="I21" s="91">
        <f>'13'!I108</f>
        <v>4.6898958333333329</v>
      </c>
      <c r="J21" s="91">
        <f>'13'!J108</f>
        <v>1.0797916666666669</v>
      </c>
      <c r="K21" s="91">
        <f>'13'!K108</f>
        <v>147.44302083333335</v>
      </c>
      <c r="L21" s="9" t="s">
        <v>36</v>
      </c>
      <c r="M21" s="91">
        <f>'13'!M108</f>
        <v>86.732395833333285</v>
      </c>
      <c r="N21" s="91">
        <f>'13'!N108</f>
        <v>189.7635416666667</v>
      </c>
      <c r="O21" s="91">
        <f>'13'!O108</f>
        <v>0.020833333333333332</v>
      </c>
      <c r="P21" s="199">
        <f>'13'!P108</f>
        <v>2.7349999999999999</v>
      </c>
      <c r="Q21" s="91">
        <f>'13'!Q108</f>
        <v>5.1832291666666679</v>
      </c>
      <c r="R21" s="201"/>
      <c r="S21" s="201"/>
      <c r="T21" s="201"/>
      <c r="U21" s="201"/>
    </row>
    <row r="22" spans="1:21" s="89" customFormat="1" ht="15">
      <c r="A22" s="94" t="str">
        <f>'14'!$B$2</f>
        <v>14-07-2022 00:15</v>
      </c>
      <c r="B22" s="90">
        <f>'14'!B108</f>
        <v>7.5599999999999996</v>
      </c>
      <c r="C22" s="90">
        <f>'14'!C108</f>
        <v>12.91177083333333</v>
      </c>
      <c r="D22" s="90">
        <f>'14'!D108</f>
        <v>20.470416666666669</v>
      </c>
      <c r="E22" s="90">
        <f>'14'!E108</f>
        <v>7.8928124999999989</v>
      </c>
      <c r="F22" s="90">
        <f>'14'!F108</f>
        <v>0.26652631578947356</v>
      </c>
      <c r="G22" s="9" t="s">
        <v>36</v>
      </c>
      <c r="H22" s="9" t="s">
        <v>36</v>
      </c>
      <c r="I22" s="90">
        <f>'14'!I108</f>
        <v>5.2377083333333356</v>
      </c>
      <c r="J22" s="90">
        <f>'14'!J108</f>
        <v>0.54000000000000015</v>
      </c>
      <c r="K22" s="90">
        <f>'14'!K108</f>
        <v>203.99562499999999</v>
      </c>
      <c r="L22" s="9" t="s">
        <v>36</v>
      </c>
      <c r="M22" s="90">
        <f>'14'!M108</f>
        <v>95.538541666666617</v>
      </c>
      <c r="N22" s="90">
        <f>'14'!N108</f>
        <v>83.880519480519482</v>
      </c>
      <c r="O22" s="90">
        <f>'14'!O108</f>
        <v>0.32708333333333323</v>
      </c>
      <c r="P22" s="200">
        <f>'14'!P108</f>
        <v>2.8608333333333333</v>
      </c>
      <c r="Q22" s="90">
        <f>'14'!Q108</f>
        <v>6.2241666666666626</v>
      </c>
      <c r="R22" s="202"/>
      <c r="S22" s="202"/>
      <c r="T22" s="202"/>
      <c r="U22" s="202"/>
    </row>
    <row r="23" spans="1:21" ht="15">
      <c r="A23" s="94" t="str">
        <f>'15'!$B$2</f>
        <v>15-07-2022 00:15</v>
      </c>
      <c r="B23" s="61">
        <f>'15'!B108</f>
        <v>3.5092631578947384</v>
      </c>
      <c r="C23" s="61">
        <f>'15'!C108</f>
        <v>11.101684210526322</v>
      </c>
      <c r="D23" s="61">
        <f>'15'!D108</f>
        <v>14.610210526315791</v>
      </c>
      <c r="E23" s="61">
        <f>'15'!E108</f>
        <v>6.588947368421052</v>
      </c>
      <c r="F23" s="61">
        <f>'15'!F108</f>
        <v>0.41563829787234041</v>
      </c>
      <c r="G23" s="9" t="s">
        <v>36</v>
      </c>
      <c r="H23" s="61">
        <f>'15'!H108</f>
        <v>5.0815789473684205</v>
      </c>
      <c r="I23" s="61">
        <f>'15'!I108</f>
        <v>3.9461052631578939</v>
      </c>
      <c r="J23" s="61">
        <f>'15'!J108</f>
        <v>0.56368421052631579</v>
      </c>
      <c r="K23" s="61">
        <f>'15'!K108</f>
        <v>172.22147368421057</v>
      </c>
      <c r="L23" s="9" t="s">
        <v>36</v>
      </c>
      <c r="M23" s="61">
        <f>'15'!M108</f>
        <v>90.136736842105279</v>
      </c>
      <c r="N23" s="61">
        <f>'15'!N108</f>
        <v>110.95176470588235</v>
      </c>
      <c r="O23" s="61">
        <f>'15'!O108</f>
        <v>0.046315789473684213</v>
      </c>
      <c r="P23" s="198">
        <f>'15'!P108</f>
        <v>2.6913684210526303</v>
      </c>
      <c r="Q23" s="61">
        <f>'15'!Q108</f>
        <v>5.7815789473684234</v>
      </c>
      <c r="R23" s="114"/>
      <c r="S23" s="114"/>
      <c r="T23" s="114"/>
      <c r="U23" s="114"/>
    </row>
    <row r="24" spans="1:21" ht="15">
      <c r="A24" s="94" t="str">
        <f>'16'!$B$2</f>
        <v>16-07-2022 00:15</v>
      </c>
      <c r="B24" s="61">
        <f>'16'!B108</f>
        <v>4.3638541666666679</v>
      </c>
      <c r="C24" s="61">
        <f>'16'!C108</f>
        <v>14.097916666666665</v>
      </c>
      <c r="D24" s="61">
        <f>'16'!D108</f>
        <v>18.462500000000002</v>
      </c>
      <c r="E24" s="61">
        <f>'16'!E108</f>
        <v>5.8790625000000007</v>
      </c>
      <c r="F24" s="61">
        <f>'16'!F108</f>
        <v>0.88446808510638308</v>
      </c>
      <c r="G24" s="9" t="s">
        <v>36</v>
      </c>
      <c r="H24" s="61">
        <f>'16'!H108</f>
        <v>11.243437499999997</v>
      </c>
      <c r="I24" s="61">
        <f>'16'!I108</f>
        <v>4.9043749999999999</v>
      </c>
      <c r="J24" s="61">
        <f>'16'!J108</f>
        <v>0.14208333333333334</v>
      </c>
      <c r="K24" s="61">
        <f>'16'!K108</f>
        <v>187.08333333333337</v>
      </c>
      <c r="L24" s="9" t="s">
        <v>36</v>
      </c>
      <c r="M24" s="61">
        <f>'16'!M108</f>
        <v>87.48156250000001</v>
      </c>
      <c r="N24" s="61">
        <f>'16'!N108</f>
        <v>124.61395348837202</v>
      </c>
      <c r="O24" s="61">
        <f>'16'!O108</f>
        <v>0.16875000000000004</v>
      </c>
      <c r="P24" s="198">
        <f>'16'!P108</f>
        <v>2.8949999999999991</v>
      </c>
      <c r="Q24" s="61">
        <f>'16'!Q108</f>
        <v>6.6220833333333333</v>
      </c>
      <c r="R24" s="114"/>
      <c r="S24" s="114"/>
      <c r="T24" s="114"/>
      <c r="U24" s="114"/>
    </row>
    <row r="25" spans="1:21" ht="15">
      <c r="A25" s="94" t="str">
        <f>'17'!$B$2</f>
        <v>17-07-2022 00:15</v>
      </c>
      <c r="B25" s="61">
        <f>'17'!B108</f>
        <v>8.7859374999999993</v>
      </c>
      <c r="C25" s="61">
        <f>'17'!C108</f>
        <v>12.980208333333339</v>
      </c>
      <c r="D25" s="61">
        <f>'17'!D108</f>
        <v>21.765520833333337</v>
      </c>
      <c r="E25" s="61">
        <f>'17'!E108</f>
        <v>7.5637499999999989</v>
      </c>
      <c r="F25" s="61">
        <f>'17'!F108</f>
        <v>0.27500000000000002</v>
      </c>
      <c r="G25" s="9" t="s">
        <v>36</v>
      </c>
      <c r="H25" s="61">
        <f>'17'!H108</f>
        <v>12.009583333333333</v>
      </c>
      <c r="I25" s="61">
        <f>'17'!I108</f>
        <v>5.4361458333333355</v>
      </c>
      <c r="J25" s="61">
        <f>'17'!J108</f>
        <v>0.46458333333333357</v>
      </c>
      <c r="K25" s="61">
        <f>'17'!K108</f>
        <v>225.11260416666661</v>
      </c>
      <c r="L25" s="9" t="s">
        <v>36</v>
      </c>
      <c r="M25" s="61">
        <f>'17'!M108</f>
        <v>98.550520833333451</v>
      </c>
      <c r="N25" s="61">
        <f>'17'!N108</f>
        <v>39.611458333333331</v>
      </c>
      <c r="O25" s="61">
        <f>'17'!O108</f>
        <v>0.40833333333333338</v>
      </c>
      <c r="P25" s="198">
        <f>'17'!P108</f>
        <v>3.0406250000000017</v>
      </c>
      <c r="Q25" s="61">
        <f>'17'!Q108</f>
        <v>8.6324999999999967</v>
      </c>
      <c r="R25" s="114"/>
      <c r="S25" s="114"/>
      <c r="T25" s="114"/>
      <c r="U25" s="114"/>
    </row>
    <row r="26" spans="1:21" ht="15">
      <c r="A26" s="94" t="str">
        <f>'18'!$B$2</f>
        <v>18-07-2022 00:15</v>
      </c>
      <c r="B26" s="61">
        <f>'18'!B108</f>
        <v>3.5239583333333351</v>
      </c>
      <c r="C26" s="61">
        <f>'18'!C108</f>
        <v>11.246562499999998</v>
      </c>
      <c r="D26" s="61">
        <f>'18'!D108</f>
        <v>14.770104166666675</v>
      </c>
      <c r="E26" s="61">
        <f>'18'!E108</f>
        <v>5.651250000000001</v>
      </c>
      <c r="F26" s="61">
        <f>'18'!F108</f>
        <v>0.47399999999999992</v>
      </c>
      <c r="G26" s="9" t="s">
        <v>36</v>
      </c>
      <c r="H26" s="61">
        <f>'18'!H108</f>
        <v>3.6886458333333354</v>
      </c>
      <c r="I26" s="61">
        <f>'18'!I108</f>
        <v>3.4939583333333348</v>
      </c>
      <c r="J26" s="61">
        <f>'18'!J108</f>
        <v>0.97770833333333362</v>
      </c>
      <c r="K26" s="61">
        <f>'18'!K108</f>
        <v>167.68479166666671</v>
      </c>
      <c r="L26" s="61">
        <f>'18'!L108</f>
        <v>42.079102564102577</v>
      </c>
      <c r="M26" s="61">
        <f>'18'!M108</f>
        <v>92.469791666666637</v>
      </c>
      <c r="N26" s="61">
        <f>'18'!N108</f>
        <v>88.467741935483858</v>
      </c>
      <c r="O26" s="61">
        <f>'18'!O108</f>
        <v>0.014583333333333332</v>
      </c>
      <c r="P26" s="198">
        <f>'18'!P108</f>
        <v>2.7261458333333337</v>
      </c>
      <c r="Q26" s="61">
        <f>'18'!Q108</f>
        <v>4.585208333333334</v>
      </c>
      <c r="R26" s="114"/>
      <c r="S26" s="114"/>
      <c r="T26" s="114"/>
      <c r="U26" s="114"/>
    </row>
    <row r="27" spans="1:21" ht="15">
      <c r="A27" s="94" t="str">
        <f>'19'!$B$2</f>
        <v>19-07-2022 00:15</v>
      </c>
      <c r="B27" s="61">
        <f>'19'!B108</f>
        <v>4.870520833333333</v>
      </c>
      <c r="C27" s="61">
        <f>'19'!C108</f>
        <v>12.624166666666666</v>
      </c>
      <c r="D27" s="61">
        <f>'19'!D108</f>
        <v>17.494791666666668</v>
      </c>
      <c r="E27" s="61">
        <f>'19'!E108</f>
        <v>4.6336458333333352</v>
      </c>
      <c r="F27" s="61">
        <f>'19'!F108</f>
        <v>0.37936842105263163</v>
      </c>
      <c r="G27" s="9" t="s">
        <v>36</v>
      </c>
      <c r="H27" s="61">
        <f>'19'!H108</f>
        <v>4.2938541666666667</v>
      </c>
      <c r="I27" s="61">
        <f>'19'!I108</f>
        <v>3.5430208333333333</v>
      </c>
      <c r="J27" s="61">
        <f>'19'!J108</f>
        <v>0.20627659574468082</v>
      </c>
      <c r="K27" s="61">
        <f>'19'!K108</f>
        <v>176.61677083333336</v>
      </c>
      <c r="L27" s="61">
        <f>'19'!L108</f>
        <v>40.295200000000001</v>
      </c>
      <c r="M27" s="61">
        <f>'19'!M108</f>
        <v>88.900729166666665</v>
      </c>
      <c r="N27" s="61">
        <f>'19'!N108</f>
        <v>76.833333333333357</v>
      </c>
      <c r="O27" s="61">
        <f>'19'!O108</f>
        <v>0.010416666666666666</v>
      </c>
      <c r="P27" s="198">
        <f>'19'!P108</f>
        <v>2.8580208333333323</v>
      </c>
      <c r="Q27" s="61">
        <f>'19'!Q108</f>
        <v>4.3357291666666651</v>
      </c>
      <c r="R27" s="114"/>
      <c r="S27" s="114"/>
      <c r="T27" s="114"/>
      <c r="U27" s="114"/>
    </row>
    <row r="28" spans="1:21" ht="15">
      <c r="A28" s="94" t="str">
        <f>'20'!$B$2</f>
        <v>20-07-2022 00:15</v>
      </c>
      <c r="B28" s="61">
        <f>'20'!B108</f>
        <v>4.9695833333333335</v>
      </c>
      <c r="C28" s="61">
        <f>'20'!C108</f>
        <v>14.366562500000002</v>
      </c>
      <c r="D28" s="61">
        <f>'20'!D108</f>
        <v>19.336145833333337</v>
      </c>
      <c r="E28" s="61">
        <f>'20'!E108</f>
        <v>3.9480208333333331</v>
      </c>
      <c r="F28" s="61">
        <f>'20'!F108</f>
        <v>0.42578947368421055</v>
      </c>
      <c r="G28" s="9" t="s">
        <v>36</v>
      </c>
      <c r="H28" s="61">
        <f>'20'!H108</f>
        <v>8.4007291666666699</v>
      </c>
      <c r="I28" s="61">
        <f>'20'!I108</f>
        <v>4.066562499999999</v>
      </c>
      <c r="J28" s="61">
        <f>'20'!J108</f>
        <v>0.11812499999999998</v>
      </c>
      <c r="K28" s="61">
        <f>'20'!K108</f>
        <v>183.6419791666666</v>
      </c>
      <c r="L28" s="61">
        <f>'20'!L108</f>
        <v>42.287083333333335</v>
      </c>
      <c r="M28" s="61">
        <f>'20'!M108</f>
        <v>90.013854166666661</v>
      </c>
      <c r="N28" s="61">
        <f>'20'!N108</f>
        <v>82.831868131868092</v>
      </c>
      <c r="O28" s="61">
        <f>'20'!O108</f>
        <v>0.0083333333333333332</v>
      </c>
      <c r="P28" s="198">
        <f>'20'!P108</f>
        <v>2.9440625000000007</v>
      </c>
      <c r="Q28" s="61">
        <f>'20'!Q108</f>
        <v>4.5552083333333329</v>
      </c>
      <c r="R28" s="114"/>
      <c r="S28" s="114"/>
      <c r="T28" s="114"/>
      <c r="U28" s="114"/>
    </row>
    <row r="29" spans="1:21" ht="15">
      <c r="A29" s="94" t="str">
        <f>'21'!$B$2</f>
        <v>21-07-2022 00:15</v>
      </c>
      <c r="B29" s="61">
        <f>'21'!B108</f>
        <v>5.8481250000000005</v>
      </c>
      <c r="C29" s="61">
        <f>'21'!C108</f>
        <v>14.111145833333337</v>
      </c>
      <c r="D29" s="61">
        <f>'21'!D108</f>
        <v>19.958124999999995</v>
      </c>
      <c r="E29" s="61">
        <f>'21'!E108</f>
        <v>4.8947916666666682</v>
      </c>
      <c r="F29" s="61">
        <f>'21'!F108</f>
        <v>0.32739583333333339</v>
      </c>
      <c r="G29" s="9" t="s">
        <v>36</v>
      </c>
      <c r="H29" s="61">
        <f>'21'!H108</f>
        <v>13.868541666666673</v>
      </c>
      <c r="I29" s="61">
        <f>'21'!I108</f>
        <v>4.7448958333333335</v>
      </c>
      <c r="J29" s="61">
        <f>'21'!J108</f>
        <v>0.097263157894736801</v>
      </c>
      <c r="K29" s="61">
        <f>'21'!K108</f>
        <v>183.86062500000003</v>
      </c>
      <c r="L29" s="9" t="s">
        <v>36</v>
      </c>
      <c r="M29" s="61">
        <f>'21'!M108</f>
        <v>89.045208333333321</v>
      </c>
      <c r="N29" s="61">
        <f>'21'!N108</f>
        <v>168.63222222222217</v>
      </c>
      <c r="O29" s="61">
        <f>'21'!O108</f>
        <v>0.0062500000000000012</v>
      </c>
      <c r="P29" s="198">
        <f>'21'!P108</f>
        <v>3.0349999999999984</v>
      </c>
      <c r="Q29" s="61">
        <f>'21'!Q108</f>
        <v>5.3147916666666672</v>
      </c>
      <c r="R29" s="114"/>
      <c r="S29" s="114"/>
      <c r="T29" s="114"/>
      <c r="U29" s="114"/>
    </row>
    <row r="30" spans="1:21" ht="15">
      <c r="A30" s="94" t="str">
        <f>'22'!$B$2</f>
        <v>22-07-2022 00:15</v>
      </c>
      <c r="B30" s="61">
        <f>'22'!B108</f>
        <v>11.261249999999999</v>
      </c>
      <c r="C30" s="61">
        <f>'22'!C108</f>
        <v>15.166562499999998</v>
      </c>
      <c r="D30" s="61">
        <f>'22'!D108</f>
        <v>26.427395833333339</v>
      </c>
      <c r="E30" s="61">
        <f>'22'!E108</f>
        <v>4.8883333333333328</v>
      </c>
      <c r="F30" s="61">
        <f>'22'!F108</f>
        <v>0.43881720430107513</v>
      </c>
      <c r="G30" s="9" t="s">
        <v>36</v>
      </c>
      <c r="H30" s="61">
        <f>'22'!H108</f>
        <v>14.365937500000001</v>
      </c>
      <c r="I30" s="61">
        <f>'22'!I108</f>
        <v>5.8957291666666629</v>
      </c>
      <c r="J30" s="61">
        <f>'22'!J108</f>
        <v>0.3361458333333332</v>
      </c>
      <c r="K30" s="61">
        <f>'22'!K108</f>
        <v>236.9038541666666</v>
      </c>
      <c r="L30" s="9" t="s">
        <v>36</v>
      </c>
      <c r="M30" s="61">
        <f>'22'!M108</f>
        <v>88.402187500000025</v>
      </c>
      <c r="N30" s="61">
        <f>'22'!N108</f>
        <v>143.1479166666667</v>
      </c>
      <c r="O30" s="61">
        <f>'22'!O108</f>
        <v>0.068749999999999992</v>
      </c>
      <c r="P30" s="198">
        <f>'22'!P108</f>
        <v>3.3314583333333321</v>
      </c>
      <c r="Q30" s="61">
        <f>'22'!Q108</f>
        <v>8.0690624999999994</v>
      </c>
      <c r="R30" s="114"/>
      <c r="S30" s="114"/>
      <c r="T30" s="114"/>
      <c r="U30" s="114"/>
    </row>
    <row r="31" spans="1:21" ht="15">
      <c r="A31" s="94" t="str">
        <f>'23'!$B$2</f>
        <v>23-07-2022 00:15</v>
      </c>
      <c r="B31" s="61">
        <f>'23'!B108</f>
        <v>11.887395833333331</v>
      </c>
      <c r="C31" s="61">
        <f>'23'!C108</f>
        <v>12.992395833333328</v>
      </c>
      <c r="D31" s="61">
        <f>'23'!D108</f>
        <v>24.879791666666673</v>
      </c>
      <c r="E31" s="61">
        <f>'23'!E108</f>
        <v>7.3594791666666639</v>
      </c>
      <c r="F31" s="61">
        <f>'23'!F108</f>
        <v>0.19347368421052638</v>
      </c>
      <c r="G31" s="9" t="s">
        <v>36</v>
      </c>
      <c r="H31" s="61">
        <f>'23'!H108</f>
        <v>10.884062499999997</v>
      </c>
      <c r="I31" s="61">
        <f>'23'!I108</f>
        <v>6.8477083333333377</v>
      </c>
      <c r="J31" s="61">
        <f>'23'!J108</f>
        <v>0.39052083333333343</v>
      </c>
      <c r="K31" s="61">
        <f>'23'!K108</f>
        <v>214.17281249999994</v>
      </c>
      <c r="L31" s="9" t="s">
        <v>36</v>
      </c>
      <c r="M31" s="61">
        <f>'23'!M108</f>
        <v>98.704895833333453</v>
      </c>
      <c r="N31" s="61">
        <f>'23'!N108</f>
        <v>52.851041666666681</v>
      </c>
      <c r="O31" s="61">
        <f>'23'!O108</f>
        <v>0.75</v>
      </c>
      <c r="P31" s="198">
        <f>'23'!P108</f>
        <v>3.3269791666666673</v>
      </c>
      <c r="Q31" s="61">
        <f>'23'!Q108</f>
        <v>9.6913541666666685</v>
      </c>
      <c r="R31" s="114"/>
      <c r="S31" s="203"/>
      <c r="T31" s="114"/>
      <c r="U31" s="114"/>
    </row>
    <row r="32" spans="1:21" ht="15">
      <c r="A32" s="94" t="str">
        <f>'24'!$B$2</f>
        <v>24-07-2022 00:15</v>
      </c>
      <c r="B32" s="61">
        <f>'24'!B108</f>
        <v>4.5458333333333325</v>
      </c>
      <c r="C32" s="61">
        <f>'24'!C108</f>
        <v>11.657500000000006</v>
      </c>
      <c r="D32" s="61">
        <f>'24'!D108</f>
        <v>16.203645833333336</v>
      </c>
      <c r="E32" s="61">
        <f>'24'!E108</f>
        <v>6.4455208333333305</v>
      </c>
      <c r="F32" s="61">
        <f>'24'!F108</f>
        <v>0.20936842105263165</v>
      </c>
      <c r="G32" s="9" t="s">
        <v>36</v>
      </c>
      <c r="H32" s="61">
        <f>'24'!H108</f>
        <v>7.7310416666666688</v>
      </c>
      <c r="I32" s="61">
        <f>'24'!I108</f>
        <v>4.7021875</v>
      </c>
      <c r="J32" s="61">
        <f>'24'!J108</f>
        <v>0.3158333333333333</v>
      </c>
      <c r="K32" s="61">
        <f>'24'!K108</f>
        <v>226.60687500000009</v>
      </c>
      <c r="L32" s="9" t="s">
        <v>36</v>
      </c>
      <c r="M32" s="61">
        <f>'24'!M108</f>
        <v>89.238437500000046</v>
      </c>
      <c r="N32" s="61">
        <f>'24'!N108</f>
        <v>151.59479166666668</v>
      </c>
      <c r="O32" s="61">
        <f>'24'!O108</f>
        <v>0.022916666666666669</v>
      </c>
      <c r="P32" s="198">
        <f>'24'!P108</f>
        <v>3.0398958333333339</v>
      </c>
      <c r="Q32" s="61">
        <f>'24'!Q108</f>
        <v>4.5022916666666672</v>
      </c>
      <c r="R32" s="114"/>
      <c r="S32" s="114"/>
      <c r="T32" s="114"/>
      <c r="U32" s="114"/>
    </row>
    <row r="33" spans="1:21" ht="15">
      <c r="A33" s="94" t="str">
        <f>'25'!$B$2</f>
        <v>25-07-2022 00:15</v>
      </c>
      <c r="B33" s="61">
        <f>'25'!B108</f>
        <v>4.2195833333333352</v>
      </c>
      <c r="C33" s="61">
        <f>'25'!C108</f>
        <v>10.551250000000003</v>
      </c>
      <c r="D33" s="61">
        <f>'25'!D108</f>
        <v>14.770208333333338</v>
      </c>
      <c r="E33" s="61">
        <f>'25'!E108</f>
        <v>5.2437500000000021</v>
      </c>
      <c r="F33" s="61">
        <f>'25'!F108</f>
        <v>0.44150537634408626</v>
      </c>
      <c r="G33" s="9" t="s">
        <v>36</v>
      </c>
      <c r="H33" s="61">
        <f>'25'!H108</f>
        <v>6.4449999999999994</v>
      </c>
      <c r="I33" s="61">
        <f>'25'!I108</f>
        <v>3.3684374999999989</v>
      </c>
      <c r="J33" s="61">
        <f>'25'!J108</f>
        <v>0.32822916666666663</v>
      </c>
      <c r="K33" s="61">
        <f>'25'!K108</f>
        <v>195.96489583333332</v>
      </c>
      <c r="L33" s="61">
        <f>'25'!L108</f>
        <v>50.590961538461542</v>
      </c>
      <c r="M33" s="61">
        <f>'25'!M108</f>
        <v>87.080312499999991</v>
      </c>
      <c r="N33" s="61">
        <f>'25'!N108</f>
        <v>166.19270833333331</v>
      </c>
      <c r="O33" s="61">
        <f>'25'!O108</f>
        <v>0</v>
      </c>
      <c r="P33" s="198">
        <f>'25'!P108</f>
        <v>2.9433333333333347</v>
      </c>
      <c r="Q33" s="61">
        <f>'25'!Q108</f>
        <v>3.9542708333333345</v>
      </c>
      <c r="R33" s="114"/>
      <c r="S33" s="203"/>
      <c r="T33" s="114"/>
      <c r="U33" s="114"/>
    </row>
    <row r="34" spans="1:21" ht="15">
      <c r="A34" s="94" t="str">
        <f>'26'!$B$2</f>
        <v>26-07-2022 00:15</v>
      </c>
      <c r="B34" s="61">
        <f>'26'!B108</f>
        <v>4.5372916666666692</v>
      </c>
      <c r="C34" s="61">
        <f>'26'!C108</f>
        <v>9.8150000000000031</v>
      </c>
      <c r="D34" s="61">
        <f>'26'!D108</f>
        <v>14.352604166666666</v>
      </c>
      <c r="E34" s="61">
        <f>'26'!E108</f>
        <v>5.8853125000000013</v>
      </c>
      <c r="F34" s="61">
        <f>'26'!F108</f>
        <v>0.25829787234042567</v>
      </c>
      <c r="G34" s="9" t="s">
        <v>36</v>
      </c>
      <c r="H34" s="61">
        <f>'26'!H108</f>
        <v>7.3763541666666663</v>
      </c>
      <c r="I34" s="61">
        <f>'26'!I108</f>
        <v>3.6219791666666676</v>
      </c>
      <c r="J34" s="61">
        <f>'26'!J108</f>
        <v>0.49093750000000019</v>
      </c>
      <c r="K34" s="61">
        <f>'26'!K108</f>
        <v>176.29458333333341</v>
      </c>
      <c r="L34" s="61">
        <f>'26'!L108</f>
        <v>41.438181818181825</v>
      </c>
      <c r="M34" s="61">
        <f>'26'!M108</f>
        <v>83.839791666666642</v>
      </c>
      <c r="N34" s="61">
        <f>'26'!N108</f>
        <v>194.77083333333334</v>
      </c>
      <c r="O34" s="61">
        <f>'26'!O108</f>
        <v>0.045833333333333337</v>
      </c>
      <c r="P34" s="198">
        <f>'26'!P108</f>
        <v>2.9655208333333327</v>
      </c>
      <c r="Q34" s="61">
        <f>'26'!Q108</f>
        <v>5.6481250000000012</v>
      </c>
      <c r="R34" s="114"/>
      <c r="S34" s="114"/>
      <c r="T34" s="114"/>
      <c r="U34" s="114"/>
    </row>
    <row r="35" spans="1:21" ht="15">
      <c r="A35" s="94" t="str">
        <f>'27'!$B$2</f>
        <v>27-07-2022 00:15</v>
      </c>
      <c r="B35" s="61">
        <f>'27'!B108</f>
        <v>3.8267708333333328</v>
      </c>
      <c r="C35" s="61">
        <f>'27'!C108</f>
        <v>9.3813541666666698</v>
      </c>
      <c r="D35" s="61">
        <f>'27'!D108</f>
        <v>13.208958333333335</v>
      </c>
      <c r="E35" s="61">
        <f>'27'!E108</f>
        <v>6.4187500000000002</v>
      </c>
      <c r="F35" s="61">
        <f>'27'!F108</f>
        <v>0.25734042553191477</v>
      </c>
      <c r="G35" s="9" t="s">
        <v>36</v>
      </c>
      <c r="H35" s="61">
        <f>'27'!H108</f>
        <v>5.1510416666666687</v>
      </c>
      <c r="I35" s="61">
        <f>'27'!I108</f>
        <v>3.7571875000000001</v>
      </c>
      <c r="J35" s="61">
        <f>'27'!J108</f>
        <v>0.59833333333333327</v>
      </c>
      <c r="K35" s="61">
        <f>'27'!K108</f>
        <v>183.68083333333334</v>
      </c>
      <c r="L35" s="61">
        <f>'27'!L108</f>
        <v>35.75468750000001</v>
      </c>
      <c r="M35" s="61">
        <f>'27'!M108</f>
        <v>81.989895833333307</v>
      </c>
      <c r="N35" s="61">
        <f>'27'!N108</f>
        <v>228.01145833333337</v>
      </c>
      <c r="O35" s="61">
        <f>'27'!O108</f>
        <v>0</v>
      </c>
      <c r="P35" s="198">
        <f>'27'!P108</f>
        <v>2.9882291666666663</v>
      </c>
      <c r="Q35" s="61">
        <f>'27'!Q108</f>
        <v>4.4262499999999978</v>
      </c>
      <c r="R35" s="114"/>
      <c r="S35" s="114"/>
      <c r="T35" s="114"/>
      <c r="U35" s="114"/>
    </row>
    <row r="36" spans="1:21" ht="15">
      <c r="A36" s="94" t="str">
        <f>'28'!$B$2</f>
        <v>28-07-2022 00:15</v>
      </c>
      <c r="B36" s="61">
        <f>'28'!B108</f>
        <v>4.6823958333333344</v>
      </c>
      <c r="C36" s="61">
        <f>'28'!C108</f>
        <v>11.838020833333331</v>
      </c>
      <c r="D36" s="61">
        <f>'28'!D108</f>
        <v>16.51947916666666</v>
      </c>
      <c r="E36" s="61">
        <f>'28'!E108</f>
        <v>5.7915624999999986</v>
      </c>
      <c r="F36" s="61">
        <f>'28'!F108</f>
        <v>0.36510638297872339</v>
      </c>
      <c r="G36" s="9" t="s">
        <v>36</v>
      </c>
      <c r="H36" s="61">
        <f>'28'!H108</f>
        <v>18.75770833333333</v>
      </c>
      <c r="I36" s="61">
        <f>'28'!I108</f>
        <v>4.8527083333333341</v>
      </c>
      <c r="J36" s="61">
        <f>'28'!J108</f>
        <v>0.28631578947368419</v>
      </c>
      <c r="K36" s="61">
        <f>'28'!K108</f>
        <v>237.96958333333336</v>
      </c>
      <c r="L36" s="61">
        <f>'28'!L108</f>
        <v>41.638645833333349</v>
      </c>
      <c r="M36" s="61">
        <f>'28'!M108</f>
        <v>77.944374999999994</v>
      </c>
      <c r="N36" s="61">
        <f>'28'!N108</f>
        <v>213.04687500000003</v>
      </c>
      <c r="O36" s="61">
        <f>'28'!O108</f>
        <v>0</v>
      </c>
      <c r="P36" s="198">
        <f>'28'!P108</f>
        <v>3.1870833333333337</v>
      </c>
      <c r="Q36" s="61">
        <f>'28'!Q108</f>
        <v>4.4958333333333345</v>
      </c>
      <c r="R36" s="114"/>
      <c r="S36" s="114"/>
      <c r="T36" s="114"/>
      <c r="U36" s="114"/>
    </row>
    <row r="37" spans="1:21" s="54" customFormat="1" ht="15">
      <c r="A37" s="94" t="str">
        <f>'29'!$B$2</f>
        <v>29-07-2022 00:15</v>
      </c>
      <c r="B37" s="61">
        <f>'29'!B108</f>
        <v>5.4216666666666669</v>
      </c>
      <c r="C37" s="61">
        <f>'29'!C108</f>
        <v>12.790520833333327</v>
      </c>
      <c r="D37" s="61">
        <f>'29'!D108</f>
        <v>18.211666666666666</v>
      </c>
      <c r="E37" s="61">
        <f>'29'!E108</f>
        <v>5.5652083333333335</v>
      </c>
      <c r="F37" s="61">
        <f>'29'!F108</f>
        <v>0.36147368421052634</v>
      </c>
      <c r="G37" s="9" t="s">
        <v>36</v>
      </c>
      <c r="H37" s="61">
        <f>'29'!H108</f>
        <v>19.206041666666664</v>
      </c>
      <c r="I37" s="61">
        <f>'29'!I108</f>
        <v>4.9563541666666673</v>
      </c>
      <c r="J37" s="61">
        <f>'29'!J108</f>
        <v>0.48854166666666687</v>
      </c>
      <c r="K37" s="61">
        <f>'29'!K108</f>
        <v>242.36447916666671</v>
      </c>
      <c r="L37" s="61">
        <f>'29'!L108</f>
        <v>39.104583333333331</v>
      </c>
      <c r="M37" s="61">
        <f>'29'!M108</f>
        <v>77.557395833333331</v>
      </c>
      <c r="N37" s="61">
        <f>'29'!N108</f>
        <v>215.82916666666662</v>
      </c>
      <c r="O37" s="61">
        <f>'29'!O108</f>
        <v>0</v>
      </c>
      <c r="P37" s="198">
        <f>'29'!P108</f>
        <v>3.2466666666666679</v>
      </c>
      <c r="Q37" s="61">
        <f>'29'!Q108</f>
        <v>4.336458333333332</v>
      </c>
      <c r="R37" s="114"/>
      <c r="S37" s="114"/>
      <c r="T37" s="114"/>
      <c r="U37" s="114"/>
    </row>
    <row r="38" spans="1:21" s="54" customFormat="1" ht="15">
      <c r="A38" s="94" t="str">
        <f>'30'!$B$2</f>
        <v>30-07-2022 00:15</v>
      </c>
      <c r="B38" s="61">
        <f>'30'!B108</f>
        <v>4.1678125000000001</v>
      </c>
      <c r="C38" s="61">
        <f>'30'!C108</f>
        <v>13.792916666666668</v>
      </c>
      <c r="D38" s="61">
        <f>'30'!D108</f>
        <v>17.962187499999995</v>
      </c>
      <c r="E38" s="61">
        <f>'30'!E108</f>
        <v>5.3853124999999977</v>
      </c>
      <c r="F38" s="61">
        <f>'30'!F108</f>
        <v>0.47372340425531917</v>
      </c>
      <c r="G38" s="9" t="s">
        <v>36</v>
      </c>
      <c r="H38" s="61">
        <f>'30'!H108</f>
        <v>19.818020833333332</v>
      </c>
      <c r="I38" s="61">
        <f>'30'!I108</f>
        <v>4.3915625</v>
      </c>
      <c r="J38" s="61">
        <f>'30'!J108</f>
        <v>0.2965624999999999</v>
      </c>
      <c r="K38" s="61">
        <f>'30'!K108</f>
        <v>231.46697916666665</v>
      </c>
      <c r="L38" s="61">
        <f>'30'!L108</f>
        <v>38.081923076923061</v>
      </c>
      <c r="M38" s="61">
        <f>'30'!M108</f>
        <v>75.999999999999986</v>
      </c>
      <c r="N38" s="61">
        <f>'30'!N108</f>
        <v>227.62708333333339</v>
      </c>
      <c r="O38" s="61">
        <f>'30'!O108</f>
        <v>0</v>
      </c>
      <c r="P38" s="198">
        <f>'30'!P108</f>
        <v>3.2369791666666665</v>
      </c>
      <c r="Q38" s="61">
        <f>'30'!Q108</f>
        <v>3.9742708333333341</v>
      </c>
      <c r="R38" s="114"/>
      <c r="S38" s="114"/>
      <c r="T38" s="114"/>
      <c r="U38" s="114"/>
    </row>
    <row r="39" spans="1:21" s="54" customFormat="1" ht="15">
      <c r="A39" s="94" t="str">
        <f>'31'!$B$2</f>
        <v>31-07-2022 00:15</v>
      </c>
      <c r="B39" s="61">
        <f>'31'!B108</f>
        <v>7.7310416666666635</v>
      </c>
      <c r="C39" s="61">
        <f>'31'!C108</f>
        <v>14.538645833333335</v>
      </c>
      <c r="D39" s="61">
        <f>'31'!D108</f>
        <v>22.27</v>
      </c>
      <c r="E39" s="61">
        <f>'31'!E108</f>
        <v>5.0135416666666677</v>
      </c>
      <c r="F39" s="61">
        <f>'31'!F108</f>
        <v>0.52593406593406611</v>
      </c>
      <c r="G39" s="61" t="e">
        <f>'31'!G108</f>
        <v>#DIV/0!</v>
      </c>
      <c r="H39" s="61">
        <f>'31'!H108</f>
        <v>25.883020833333333</v>
      </c>
      <c r="I39" s="61">
        <f>'31'!I108</f>
        <v>6.4811458333333318</v>
      </c>
      <c r="J39" s="61">
        <f>'31'!J108</f>
        <v>0.14244680851063823</v>
      </c>
      <c r="K39" s="61">
        <f>'31'!K108</f>
        <v>228.1243749999999</v>
      </c>
      <c r="L39" s="61">
        <f>'31'!L108</f>
        <v>52.293958333333343</v>
      </c>
      <c r="M39" s="61">
        <f>'31'!M108</f>
        <v>78.799895833333309</v>
      </c>
      <c r="N39" s="61">
        <f>'31'!N108</f>
        <v>223.10833333333343</v>
      </c>
      <c r="O39" s="61">
        <f>'31'!O108</f>
        <v>0.0041666666666666666</v>
      </c>
      <c r="P39" s="61">
        <f>'31'!P108</f>
        <v>3.4020253164556959</v>
      </c>
      <c r="Q39" s="61">
        <f>'31'!Q108</f>
        <v>5.1478125000000015</v>
      </c>
      <c r="R39" s="114"/>
      <c r="S39" s="114"/>
      <c r="T39" s="114"/>
      <c r="U39" s="114"/>
    </row>
    <row r="40" spans="1:21" s="54" customFormat="1" ht="15">
      <c r="A40" s="9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</row>
    <row r="41" spans="1:21" s="54" customFormat="1" ht="15">
      <c r="A41" s="94" t="s">
        <v>59</v>
      </c>
      <c r="B41" s="16">
        <f t="shared" si="0" ref="B41:Q41">MIN(B9:B38)</f>
        <v>2.7533333333333339</v>
      </c>
      <c r="C41" s="16">
        <f t="shared" si="0"/>
        <v>9.3813541666666698</v>
      </c>
      <c r="D41" s="16">
        <f t="shared" si="0"/>
        <v>13.208958333333335</v>
      </c>
      <c r="E41" s="16">
        <f t="shared" si="0"/>
        <v>3.9480208333333331</v>
      </c>
      <c r="F41" s="16">
        <f t="shared" si="0"/>
        <v>0.19347368421052638</v>
      </c>
      <c r="G41" s="16">
        <f t="shared" si="0"/>
        <v>0</v>
      </c>
      <c r="H41" s="16">
        <f t="shared" si="0"/>
        <v>3.6886458333333354</v>
      </c>
      <c r="I41" s="16">
        <f t="shared" si="0"/>
        <v>3.3684374999999989</v>
      </c>
      <c r="J41" s="16">
        <f t="shared" si="0"/>
        <v>0.097263157894736801</v>
      </c>
      <c r="K41" s="16">
        <f t="shared" si="0"/>
        <v>58.857812499999994</v>
      </c>
      <c r="L41" s="16">
        <f t="shared" si="0"/>
        <v>17.659479166666667</v>
      </c>
      <c r="M41" s="16">
        <f t="shared" si="0"/>
        <v>74.946458333333354</v>
      </c>
      <c r="N41" s="16">
        <f t="shared" si="0"/>
        <v>39.611458333333331</v>
      </c>
      <c r="O41" s="16">
        <f t="shared" si="0"/>
        <v>0</v>
      </c>
      <c r="P41" s="16">
        <f t="shared" si="0"/>
        <v>2.4076041666666663</v>
      </c>
      <c r="Q41" s="16">
        <f t="shared" si="0"/>
        <v>3.9542708333333345</v>
      </c>
      <c r="R41" s="16"/>
      <c r="S41" s="16"/>
      <c r="T41" s="16"/>
      <c r="U41" s="16"/>
    </row>
    <row r="42" spans="1:21" s="54" customFormat="1" ht="15">
      <c r="A42" s="94" t="s">
        <v>60</v>
      </c>
      <c r="B42" s="16">
        <f t="shared" si="1" ref="B42:Q42">MAX(B9:B38)</f>
        <v>15.339895833333337</v>
      </c>
      <c r="C42" s="16">
        <f t="shared" si="1"/>
        <v>22.160625</v>
      </c>
      <c r="D42" s="16">
        <f t="shared" si="1"/>
        <v>29.076145833333328</v>
      </c>
      <c r="E42" s="16">
        <f t="shared" si="1"/>
        <v>9.2841666666666676</v>
      </c>
      <c r="F42" s="16">
        <f t="shared" si="1"/>
        <v>1.6165624999999997</v>
      </c>
      <c r="G42" s="16">
        <f t="shared" si="1"/>
        <v>0</v>
      </c>
      <c r="H42" s="16">
        <f t="shared" si="1"/>
        <v>19.818020833333332</v>
      </c>
      <c r="I42" s="16">
        <f t="shared" si="1"/>
        <v>7.1310416666666638</v>
      </c>
      <c r="J42" s="16">
        <f t="shared" si="1"/>
        <v>18.293645833333333</v>
      </c>
      <c r="K42" s="16">
        <f t="shared" si="1"/>
        <v>242.36447916666671</v>
      </c>
      <c r="L42" s="16">
        <f t="shared" si="1"/>
        <v>50.590961538461542</v>
      </c>
      <c r="M42" s="16">
        <f t="shared" si="1"/>
        <v>98.704895833333453</v>
      </c>
      <c r="N42" s="16">
        <f t="shared" si="1"/>
        <v>717.7635416666667</v>
      </c>
      <c r="O42" s="16">
        <f t="shared" si="1"/>
        <v>0.75</v>
      </c>
      <c r="P42" s="16">
        <f t="shared" si="1"/>
        <v>3.3314583333333321</v>
      </c>
      <c r="Q42" s="16">
        <f t="shared" si="1"/>
        <v>22.372604166666665</v>
      </c>
      <c r="R42" s="16"/>
      <c r="S42" s="16"/>
      <c r="T42" s="16"/>
      <c r="U42" s="16"/>
    </row>
    <row r="43" spans="1:21" s="54" customFormat="1" ht="15">
      <c r="A43" s="94" t="s">
        <v>61</v>
      </c>
      <c r="B43" s="16">
        <f t="shared" si="2" ref="B43:Q43">AVERAGE(B9:B38)</f>
        <v>5.9821455774853813</v>
      </c>
      <c r="C43" s="16">
        <f t="shared" si="2"/>
        <v>13.734594334795322</v>
      </c>
      <c r="D43" s="16">
        <f t="shared" si="2"/>
        <v>19.716507017543861</v>
      </c>
      <c r="E43" s="16">
        <f t="shared" si="2"/>
        <v>6.6133850511695904</v>
      </c>
      <c r="F43" s="16">
        <f t="shared" si="2"/>
        <v>0.56089635987991027</v>
      </c>
      <c r="G43" s="16" t="e">
        <f t="shared" si="2"/>
        <v>#DIV/0!</v>
      </c>
      <c r="H43" s="16">
        <f t="shared" si="2"/>
        <v>11.695147837265576</v>
      </c>
      <c r="I43" s="16">
        <f t="shared" si="2"/>
        <v>5.0276444809941525</v>
      </c>
      <c r="J43" s="16">
        <f t="shared" si="2"/>
        <v>1.9101198857273742</v>
      </c>
      <c r="K43" s="16">
        <f t="shared" si="2"/>
        <v>180.50371042331204</v>
      </c>
      <c r="L43" s="16">
        <f t="shared" si="2"/>
        <v>35.420079750541419</v>
      </c>
      <c r="M43" s="16">
        <f t="shared" si="2"/>
        <v>86.81957525584798</v>
      </c>
      <c r="N43" s="16">
        <f t="shared" si="2"/>
        <v>229.52676863853222</v>
      </c>
      <c r="O43" s="16">
        <f t="shared" si="2"/>
        <v>0.093557748538011701</v>
      </c>
      <c r="P43" s="16">
        <f t="shared" si="2"/>
        <v>2.9159345029239758</v>
      </c>
      <c r="Q43" s="16">
        <f t="shared" si="2"/>
        <v>9.1845005482456124</v>
      </c>
      <c r="R43" s="16"/>
      <c r="S43" s="16"/>
      <c r="T43" s="16"/>
      <c r="U43" s="16"/>
    </row>
    <row r="44" spans="1:21" s="54" customFormat="1" ht="15">
      <c r="A44" s="94" t="s">
        <v>77</v>
      </c>
      <c r="B44" s="16">
        <f t="shared" si="3" ref="B44:Q44">STDEV(B9:B38)</f>
        <v>2.8752503601162287</v>
      </c>
      <c r="C44" s="16">
        <f t="shared" si="3"/>
        <v>3.19995020209682</v>
      </c>
      <c r="D44" s="16">
        <f t="shared" si="3"/>
        <v>4.1175409416680306</v>
      </c>
      <c r="E44" s="16">
        <f t="shared" si="3"/>
        <v>1.2513970023517231</v>
      </c>
      <c r="F44" s="16">
        <f t="shared" si="3"/>
        <v>0.35148598393078656</v>
      </c>
      <c r="G44" s="16" t="e">
        <f t="shared" si="3"/>
        <v>#DIV/0!</v>
      </c>
      <c r="H44" s="16">
        <f t="shared" si="3"/>
        <v>5.0233622497794448</v>
      </c>
      <c r="I44" s="16">
        <f t="shared" si="3"/>
        <v>1.0584885782714515</v>
      </c>
      <c r="J44" s="16">
        <f t="shared" si="3"/>
        <v>3.9761970393662867</v>
      </c>
      <c r="K44" s="16">
        <f t="shared" si="3"/>
        <v>46.165434618429209</v>
      </c>
      <c r="L44" s="16">
        <f t="shared" si="3"/>
        <v>10.525563955410698</v>
      </c>
      <c r="M44" s="16">
        <f t="shared" si="3"/>
        <v>6.1582372866645096</v>
      </c>
      <c r="N44" s="16">
        <f t="shared" si="3"/>
        <v>188.72935217289336</v>
      </c>
      <c r="O44" s="16">
        <f t="shared" si="3"/>
        <v>0.1586025697538096</v>
      </c>
      <c r="P44" s="16">
        <f t="shared" si="3"/>
        <v>0.23126675127237428</v>
      </c>
      <c r="Q44" s="16">
        <f t="shared" si="3"/>
        <v>5.7365778640783205</v>
      </c>
      <c r="R44" s="16"/>
      <c r="S44" s="16"/>
      <c r="T44" s="16"/>
      <c r="U44" s="16"/>
    </row>
    <row r="45" spans="1:21" s="54" customFormat="1" ht="15">
      <c r="A45" s="94" t="s">
        <v>62</v>
      </c>
      <c r="B45" s="13">
        <f>COUNT(B9:B39)</f>
        <v>31</v>
      </c>
      <c r="C45" s="13">
        <f t="shared" si="4" ref="C45:Q45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0</v>
      </c>
      <c r="H45" s="13">
        <f t="shared" si="4"/>
        <v>30</v>
      </c>
      <c r="I45" s="13">
        <f t="shared" si="4"/>
        <v>31</v>
      </c>
      <c r="J45" s="13">
        <f t="shared" si="4"/>
        <v>31</v>
      </c>
      <c r="K45" s="13">
        <f t="shared" si="4"/>
        <v>31</v>
      </c>
      <c r="L45" s="13">
        <f t="shared" si="4"/>
        <v>20</v>
      </c>
      <c r="M45" s="13">
        <f t="shared" si="4"/>
        <v>31</v>
      </c>
      <c r="N45" s="13">
        <f t="shared" si="4"/>
        <v>30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ht="15">
      <c r="A46" s="94" t="s">
        <v>63</v>
      </c>
      <c r="B46" s="13" t="str">
        <f>IF(B45&gt;=28,"&gt;90%",IF(B45&lt;=28,"&lt;90%"))</f>
        <v>&gt;90%</v>
      </c>
      <c r="C46" s="13" t="str">
        <f t="shared" si="5" ref="C46:Q46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&lt;90%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&lt;90%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ht="15">
      <c r="A47" s="94" t="s">
        <v>5</v>
      </c>
      <c r="B47" s="13" t="str">
        <f>IF(B45&gt;=28,"OK",IF(B45&lt;=28,"LESS"))</f>
        <v>OK</v>
      </c>
      <c r="C47" s="13" t="str">
        <f t="shared" si="6" ref="C47:Q47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LESS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LESS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2:20" ht="1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ht="15">
      <c r="A50" s="94" t="s">
        <v>64</v>
      </c>
      <c r="B50" s="103" t="s">
        <v>217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ht="15">
      <c r="A51" s="96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>
      <c r="A52" s="97" t="s">
        <v>65</v>
      </c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</row>
    <row r="53" spans="1:16" ht="15">
      <c r="A53" s="96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ht="15">
      <c r="A54" s="96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ht="15">
      <c r="A55" s="96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sheetProtection/>
  <mergeCells count="1">
    <mergeCell ref="B52:P52"/>
  </mergeCells>
  <pageMargins left="0.17" right="0.17" top="0.19" bottom="0.16" header="0.17" footer="0.16"/>
  <pageSetup orientation="landscape" paperSize="9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4d52a8-0eaa-4cd2-bdbf-656f9629c41f}">
  <sheetPr codeName=""/>
  <dimension ref="B1:X119"/>
  <sheetViews>
    <sheetView workbookViewId="0" topLeftCell="A1">
      <selection pane="topLeft" activeCell="D1" sqref="D1:J1"/>
    </sheetView>
  </sheetViews>
  <sheetFormatPr defaultColWidth="8.85881696428571" defaultRowHeight="15"/>
  <cols>
    <col min="1" max="1" width="4.57142857142857" style="24" customWidth="1"/>
    <col min="2" max="2" width="16.1428571428571" style="1" customWidth="1"/>
    <col min="3" max="3" width="10.2857142857143" style="19" customWidth="1"/>
    <col min="4" max="7" width="9.14285714285714" style="19" customWidth="1"/>
    <col min="8" max="8" width="9.14285714285714" style="22" customWidth="1"/>
    <col min="9" max="12" width="9.14285714285714" style="19" customWidth="1"/>
    <col min="13" max="13" width="13.2857142857143" style="19" customWidth="1"/>
    <col min="14" max="14" width="5.71428571428571" style="19" customWidth="1"/>
    <col min="15" max="15" width="16.1428571428571" style="25" customWidth="1"/>
    <col min="16" max="16" width="10.8571428571429" style="25" customWidth="1"/>
    <col min="17" max="17" width="15.4285714285714" style="25" customWidth="1"/>
    <col min="18" max="18" width="13.4285714285714" style="25" customWidth="1"/>
    <col min="19" max="19" width="16.8571428571429" style="84" customWidth="1"/>
    <col min="20" max="20" width="10" style="84" customWidth="1"/>
    <col min="21" max="21" width="12.8571428571429" style="25" customWidth="1"/>
    <col min="22" max="22" width="10.7142857142857" style="25" customWidth="1"/>
    <col min="23" max="23" width="8.85714285714286" style="19"/>
    <col min="24" max="24" width="10.8571428571429" style="19" customWidth="1"/>
    <col min="25" max="16384" width="8.85714285714286" style="19"/>
  </cols>
  <sheetData>
    <row r="1" spans="2:10" ht="24" customHeight="1" thickBot="1">
      <c r="B1" s="54"/>
      <c r="C1" s="107" t="s">
        <v>9</v>
      </c>
      <c r="D1" s="225" t="s">
        <v>223</v>
      </c>
      <c r="E1" s="225"/>
      <c r="F1" s="225"/>
      <c r="G1" s="225"/>
      <c r="H1" s="225"/>
      <c r="I1" s="225"/>
      <c r="J1" s="226"/>
    </row>
    <row r="2" spans="2:10" ht="22.5" customHeight="1" thickBot="1">
      <c r="B2" s="54"/>
      <c r="C2" s="107" t="s">
        <v>0</v>
      </c>
      <c r="D2" s="108" t="s">
        <v>216</v>
      </c>
      <c r="E2" s="109"/>
      <c r="F2" s="109"/>
      <c r="G2" s="110"/>
      <c r="H2" s="111"/>
      <c r="I2" s="111"/>
      <c r="J2" s="112"/>
    </row>
    <row r="4" spans="19:24" ht="15.75" thickBot="1">
      <c r="S4" s="25"/>
      <c r="T4" s="25"/>
      <c r="U4" s="84"/>
      <c r="V4" s="84"/>
      <c r="W4" s="25"/>
      <c r="X4" s="25"/>
    </row>
    <row r="5" spans="2:24" ht="15">
      <c r="B5" s="49"/>
      <c r="C5" s="40"/>
      <c r="D5" s="40"/>
      <c r="E5" s="40"/>
      <c r="F5" s="40"/>
      <c r="G5" s="228" t="s">
        <v>1</v>
      </c>
      <c r="H5" s="228"/>
      <c r="I5" s="40"/>
      <c r="J5" s="40"/>
      <c r="K5" s="40"/>
      <c r="L5" s="40"/>
      <c r="M5" s="41"/>
      <c r="O5" s="68"/>
      <c r="P5" s="69"/>
      <c r="Q5" s="69"/>
      <c r="R5" s="69"/>
      <c r="S5" s="204"/>
      <c r="T5" s="69"/>
      <c r="U5" s="85"/>
      <c r="V5" s="85"/>
      <c r="W5" s="69"/>
      <c r="X5" s="70"/>
    </row>
    <row r="6" spans="2:24" ht="1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98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>
      <c r="B8" s="63">
        <v>44714.53125</v>
      </c>
      <c r="C8" s="60" t="s">
        <v>1</v>
      </c>
      <c r="D8" s="60" t="s">
        <v>51</v>
      </c>
      <c r="E8" s="60">
        <v>0</v>
      </c>
      <c r="F8" s="60">
        <v>300</v>
      </c>
      <c r="G8" s="60">
        <v>0</v>
      </c>
      <c r="H8" s="61">
        <v>298.5</v>
      </c>
      <c r="I8" s="60">
        <v>0</v>
      </c>
      <c r="J8" s="61">
        <f>F8/H8</f>
        <v>1.0050251256281406</v>
      </c>
      <c r="K8" s="61">
        <f>(H8-F8)*100/F8</f>
        <v>-0.5</v>
      </c>
      <c r="L8" s="60" t="s">
        <v>67</v>
      </c>
      <c r="M8" s="78" t="s">
        <v>217</v>
      </c>
      <c r="O8" s="63">
        <v>44718.515972222223</v>
      </c>
      <c r="P8" s="64" t="s">
        <v>70</v>
      </c>
      <c r="Q8" s="64">
        <v>4946.0600000000004</v>
      </c>
      <c r="R8" s="64">
        <v>3908.82</v>
      </c>
      <c r="S8" s="77" t="s">
        <v>218</v>
      </c>
      <c r="T8" s="77">
        <v>810.73</v>
      </c>
      <c r="U8" s="86">
        <v>1.0193000000000001</v>
      </c>
      <c r="V8" s="86">
        <v>1.0146999999999999</v>
      </c>
      <c r="W8" s="60" t="s">
        <v>67</v>
      </c>
      <c r="X8" s="78" t="s">
        <v>217</v>
      </c>
    </row>
    <row r="9" spans="2:24" ht="15.75">
      <c r="B9" s="63"/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/>
      <c r="I9" s="60">
        <v>0</v>
      </c>
      <c r="J9" s="61" t="e">
        <f t="shared" si="0" ref="J9:J14">F9/H9</f>
        <v>#DIV/0!</v>
      </c>
      <c r="K9" s="61">
        <f t="shared" si="1" ref="K9:K14">(H9-F9)*100/F9</f>
        <v>-100</v>
      </c>
      <c r="L9" s="60" t="s">
        <v>67</v>
      </c>
      <c r="M9" s="62"/>
      <c r="O9" s="63"/>
      <c r="P9" s="64" t="s">
        <v>70</v>
      </c>
      <c r="Q9" s="64"/>
      <c r="R9" s="64"/>
      <c r="S9" s="77" t="s">
        <v>218</v>
      </c>
      <c r="T9" s="77"/>
      <c r="U9" s="86"/>
      <c r="V9" s="86"/>
      <c r="W9" s="60" t="s">
        <v>67</v>
      </c>
      <c r="X9" s="62"/>
    </row>
    <row r="10" spans="2:24" ht="15.75">
      <c r="B10" s="63"/>
      <c r="C10" s="60" t="s">
        <v>1</v>
      </c>
      <c r="D10" s="60" t="s">
        <v>51</v>
      </c>
      <c r="E10" s="60">
        <v>0</v>
      </c>
      <c r="F10" s="60">
        <v>100</v>
      </c>
      <c r="G10" s="60">
        <v>0</v>
      </c>
      <c r="H10" s="61"/>
      <c r="I10" s="60">
        <v>0</v>
      </c>
      <c r="J10" s="61" t="e">
        <f t="shared" si="0"/>
        <v>#DIV/0!</v>
      </c>
      <c r="K10" s="61">
        <f t="shared" si="1"/>
        <v>-100</v>
      </c>
      <c r="L10" s="60" t="s">
        <v>67</v>
      </c>
      <c r="M10" s="62"/>
      <c r="O10" s="63"/>
      <c r="P10" s="64" t="s">
        <v>70</v>
      </c>
      <c r="Q10" s="64"/>
      <c r="R10" s="64"/>
      <c r="S10" s="77" t="s">
        <v>218</v>
      </c>
      <c r="T10" s="77"/>
      <c r="U10" s="86"/>
      <c r="V10" s="86"/>
      <c r="W10" s="60" t="s">
        <v>67</v>
      </c>
      <c r="X10" s="62"/>
    </row>
    <row r="11" spans="2:24" ht="15.75">
      <c r="B11" s="63"/>
      <c r="C11" s="60" t="s">
        <v>1</v>
      </c>
      <c r="D11" s="60" t="s">
        <v>51</v>
      </c>
      <c r="E11" s="60">
        <v>0</v>
      </c>
      <c r="F11" s="60">
        <v>100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/>
      <c r="O11" s="63"/>
      <c r="P11" s="64" t="s">
        <v>70</v>
      </c>
      <c r="Q11" s="64"/>
      <c r="R11" s="64"/>
      <c r="S11" s="77" t="s">
        <v>218</v>
      </c>
      <c r="T11" s="77"/>
      <c r="U11" s="86"/>
      <c r="V11" s="86"/>
      <c r="W11" s="60" t="s">
        <v>67</v>
      </c>
      <c r="X11" s="62"/>
    </row>
    <row r="12" spans="2:24" ht="15.7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218</v>
      </c>
      <c r="T12" s="77"/>
      <c r="U12" s="86"/>
      <c r="V12" s="86"/>
      <c r="W12" s="60" t="s">
        <v>67</v>
      </c>
      <c r="X12" s="62"/>
    </row>
    <row r="13" spans="2:24" ht="15.7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 t="s">
        <v>218</v>
      </c>
      <c r="T13" s="77"/>
      <c r="U13" s="86"/>
      <c r="V13" s="86"/>
      <c r="W13" s="60" t="s">
        <v>67</v>
      </c>
      <c r="X13" s="62"/>
    </row>
    <row r="14" spans="2:24" ht="15.7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 t="s">
        <v>218</v>
      </c>
      <c r="T14" s="77"/>
      <c r="U14" s="86"/>
      <c r="V14" s="86"/>
      <c r="W14" s="60" t="s">
        <v>67</v>
      </c>
      <c r="X14" s="78"/>
    </row>
    <row r="15" spans="2:24" ht="15.7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 t="s">
        <v>218</v>
      </c>
      <c r="T15" s="77"/>
      <c r="U15" s="86"/>
      <c r="V15" s="86"/>
      <c r="W15" s="60" t="s">
        <v>67</v>
      </c>
      <c r="X15" s="78"/>
    </row>
    <row r="16" spans="2:24" ht="15.7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 t="s">
        <v>218</v>
      </c>
      <c r="T16" s="77"/>
      <c r="U16" s="86"/>
      <c r="V16" s="86"/>
      <c r="W16" s="60" t="s">
        <v>67</v>
      </c>
      <c r="X16" s="78"/>
    </row>
    <row r="17" spans="2:24" ht="15.7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 t="s">
        <v>218</v>
      </c>
      <c r="T17" s="77"/>
      <c r="U17" s="86"/>
      <c r="V17" s="86"/>
      <c r="W17" s="60"/>
      <c r="X17" s="78"/>
    </row>
    <row r="18" spans="2:24" ht="15.7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 t="s">
        <v>218</v>
      </c>
      <c r="T18" s="77"/>
      <c r="U18" s="86"/>
      <c r="V18" s="86"/>
      <c r="W18" s="60"/>
      <c r="X18" s="78"/>
    </row>
    <row r="19" spans="2:24" ht="15.7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>
      <c r="B21" s="44"/>
      <c r="C21" s="223" t="s">
        <v>25</v>
      </c>
      <c r="D21" s="223"/>
      <c r="E21" s="223"/>
      <c r="F21" s="223"/>
      <c r="G21" s="223"/>
      <c r="H21" s="223"/>
      <c r="I21" s="45">
        <f>COUNT(B8:B20)</f>
        <v>1</v>
      </c>
      <c r="J21" s="46"/>
      <c r="K21" s="46"/>
      <c r="L21" s="47"/>
      <c r="M21" s="48"/>
      <c r="O21" s="80"/>
      <c r="P21" s="224" t="s">
        <v>84</v>
      </c>
      <c r="Q21" s="224"/>
      <c r="R21" s="224"/>
      <c r="S21" s="224"/>
      <c r="T21" s="81">
        <f>COUNT(O8:O20)</f>
        <v>1</v>
      </c>
      <c r="U21" s="88"/>
      <c r="V21" s="88"/>
      <c r="W21" s="82"/>
      <c r="X21" s="83"/>
    </row>
    <row r="22" spans="3:24" ht="15">
      <c r="C22" s="23"/>
      <c r="D22" s="23"/>
      <c r="E22" s="23"/>
      <c r="F22" s="23"/>
      <c r="G22" s="23"/>
      <c r="H22" s="99"/>
      <c r="J22" s="22"/>
      <c r="K22" s="22"/>
      <c r="S22" s="25"/>
      <c r="T22" s="25"/>
      <c r="U22" s="84"/>
      <c r="V22" s="84"/>
      <c r="W22" s="25"/>
      <c r="X22" s="25"/>
    </row>
    <row r="23" spans="10:24" ht="15.75" thickBot="1">
      <c r="J23" s="22"/>
      <c r="K23" s="22"/>
      <c r="S23" s="25"/>
      <c r="T23" s="25"/>
      <c r="U23" s="84"/>
      <c r="V23" s="84"/>
      <c r="W23" s="25"/>
      <c r="X23" s="25"/>
    </row>
    <row r="24" spans="2:24" s="24" customFormat="1" ht="15">
      <c r="B24" s="49"/>
      <c r="C24" s="50"/>
      <c r="D24" s="50"/>
      <c r="E24" s="50"/>
      <c r="F24" s="50"/>
      <c r="G24" s="227" t="s">
        <v>2</v>
      </c>
      <c r="H24" s="227"/>
      <c r="I24" s="40"/>
      <c r="J24" s="51"/>
      <c r="K24" s="51"/>
      <c r="L24" s="40"/>
      <c r="M24" s="41"/>
      <c r="O24" s="68"/>
      <c r="P24" s="69"/>
      <c r="Q24" s="69"/>
      <c r="R24" s="69"/>
      <c r="S24" s="204"/>
      <c r="T24" s="69"/>
      <c r="U24" s="85"/>
      <c r="V24" s="85"/>
      <c r="W24" s="69"/>
      <c r="X24" s="70"/>
    </row>
    <row r="25" spans="2:24" s="54" customFormat="1" ht="15">
      <c r="B25" s="115"/>
      <c r="C25" s="116"/>
      <c r="D25" s="116"/>
      <c r="E25" s="116"/>
      <c r="F25" s="116"/>
      <c r="G25" s="117"/>
      <c r="H25" s="117"/>
      <c r="I25" s="117"/>
      <c r="J25" s="118"/>
      <c r="K25" s="118"/>
      <c r="L25" s="117"/>
      <c r="M25" s="119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98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>
      <c r="B27" s="63">
        <v>44714.541666666664</v>
      </c>
      <c r="C27" s="60" t="s">
        <v>68</v>
      </c>
      <c r="D27" s="60" t="s">
        <v>51</v>
      </c>
      <c r="E27" s="60">
        <v>0</v>
      </c>
      <c r="F27" s="60">
        <v>200</v>
      </c>
      <c r="G27" s="60">
        <v>0.80</v>
      </c>
      <c r="H27" s="61">
        <v>199</v>
      </c>
      <c r="I27" s="60">
        <v>0</v>
      </c>
      <c r="J27" s="61">
        <f>F27/H27</f>
        <v>1.0050251256281406</v>
      </c>
      <c r="K27" s="61">
        <f>(H27-F27)*100/F27</f>
        <v>-0.5</v>
      </c>
      <c r="L27" s="60" t="s">
        <v>67</v>
      </c>
      <c r="M27" s="78" t="s">
        <v>215</v>
      </c>
      <c r="O27" s="63">
        <v>44718.515972222223</v>
      </c>
      <c r="P27" s="64" t="s">
        <v>71</v>
      </c>
      <c r="Q27" s="64">
        <v>5202.26</v>
      </c>
      <c r="R27" s="64">
        <v>4117.41</v>
      </c>
      <c r="S27" s="77" t="s">
        <v>219</v>
      </c>
      <c r="T27" s="77">
        <v>797.57</v>
      </c>
      <c r="U27" s="86">
        <v>1.01</v>
      </c>
      <c r="V27" s="86">
        <v>1.0143</v>
      </c>
      <c r="W27" s="60" t="s">
        <v>67</v>
      </c>
      <c r="X27" s="78" t="s">
        <v>217</v>
      </c>
    </row>
    <row r="28" spans="2:24" s="24" customFormat="1" ht="15.75">
      <c r="B28" s="63"/>
      <c r="C28" s="60" t="s">
        <v>68</v>
      </c>
      <c r="D28" s="60" t="s">
        <v>51</v>
      </c>
      <c r="E28" s="60">
        <v>0</v>
      </c>
      <c r="F28" s="60">
        <v>200</v>
      </c>
      <c r="G28" s="60">
        <v>1.20</v>
      </c>
      <c r="H28" s="61"/>
      <c r="I28" s="60">
        <v>0</v>
      </c>
      <c r="J28" s="61" t="e">
        <f t="shared" si="2" ref="J28:J33">F28/H28</f>
        <v>#DIV/0!</v>
      </c>
      <c r="K28" s="61">
        <f t="shared" si="3" ref="K28:K33">(H28-F28)*100/F28</f>
        <v>-100</v>
      </c>
      <c r="L28" s="60" t="s">
        <v>67</v>
      </c>
      <c r="M28" s="62"/>
      <c r="O28" s="63"/>
      <c r="P28" s="64" t="s">
        <v>71</v>
      </c>
      <c r="Q28" s="64"/>
      <c r="R28" s="64"/>
      <c r="S28" s="77" t="s">
        <v>219</v>
      </c>
      <c r="T28" s="77"/>
      <c r="U28" s="86"/>
      <c r="V28" s="86"/>
      <c r="W28" s="60" t="s">
        <v>67</v>
      </c>
      <c r="X28" s="62"/>
    </row>
    <row r="29" spans="2:24" s="24" customFormat="1" ht="15.7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>
        <v>1.40</v>
      </c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/>
      <c r="O29" s="63"/>
      <c r="P29" s="64" t="s">
        <v>71</v>
      </c>
      <c r="Q29" s="64"/>
      <c r="R29" s="64"/>
      <c r="S29" s="77" t="s">
        <v>219</v>
      </c>
      <c r="T29" s="77"/>
      <c r="U29" s="86"/>
      <c r="V29" s="86"/>
      <c r="W29" s="60" t="s">
        <v>67</v>
      </c>
      <c r="X29" s="62"/>
    </row>
    <row r="30" spans="2:24" s="24" customFormat="1" ht="15.7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>
        <v>1</v>
      </c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/>
      <c r="O30" s="63"/>
      <c r="P30" s="64" t="s">
        <v>71</v>
      </c>
      <c r="Q30" s="64"/>
      <c r="R30" s="64"/>
      <c r="S30" s="77" t="s">
        <v>219</v>
      </c>
      <c r="T30" s="77"/>
      <c r="U30" s="86"/>
      <c r="V30" s="86"/>
      <c r="W30" s="60" t="s">
        <v>67</v>
      </c>
      <c r="X30" s="62"/>
    </row>
    <row r="31" spans="2:24" s="24" customFormat="1" ht="15.7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>
        <v>1.20</v>
      </c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 t="s">
        <v>219</v>
      </c>
      <c r="T31" s="77"/>
      <c r="U31" s="86"/>
      <c r="V31" s="86"/>
      <c r="W31" s="60" t="s">
        <v>67</v>
      </c>
      <c r="X31" s="62"/>
    </row>
    <row r="32" spans="2:24" s="24" customFormat="1" ht="15.7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>
        <v>1</v>
      </c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 t="s">
        <v>219</v>
      </c>
      <c r="T32" s="77"/>
      <c r="U32" s="86"/>
      <c r="V32" s="86"/>
      <c r="W32" s="60" t="s">
        <v>67</v>
      </c>
      <c r="X32" s="62"/>
    </row>
    <row r="33" spans="2:24" s="24" customFormat="1" ht="15.7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 t="s">
        <v>219</v>
      </c>
      <c r="T33" s="77"/>
      <c r="U33" s="86"/>
      <c r="V33" s="86"/>
      <c r="W33" s="60" t="s">
        <v>67</v>
      </c>
      <c r="X33" s="78"/>
    </row>
    <row r="34" spans="2:24" s="24" customFormat="1" ht="15.7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 t="s">
        <v>219</v>
      </c>
      <c r="T34" s="77"/>
      <c r="U34" s="86"/>
      <c r="V34" s="86"/>
      <c r="W34" s="60" t="s">
        <v>67</v>
      </c>
      <c r="X34" s="78"/>
    </row>
    <row r="35" spans="2:24" s="24" customFormat="1" ht="15.7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 t="s">
        <v>219</v>
      </c>
      <c r="T35" s="77"/>
      <c r="U35" s="86"/>
      <c r="V35" s="86"/>
      <c r="W35" s="60" t="s">
        <v>67</v>
      </c>
      <c r="X35" s="78"/>
    </row>
    <row r="36" spans="2:24" s="24" customFormat="1" ht="15.7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 t="s">
        <v>219</v>
      </c>
      <c r="T36" s="77"/>
      <c r="U36" s="86"/>
      <c r="V36" s="86"/>
      <c r="W36" s="60"/>
      <c r="X36" s="78"/>
    </row>
    <row r="37" spans="2:24" s="24" customFormat="1" ht="15.7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 t="s">
        <v>219</v>
      </c>
      <c r="T37" s="77"/>
      <c r="U37" s="86"/>
      <c r="V37" s="86"/>
      <c r="W37" s="60"/>
      <c r="X37" s="78"/>
    </row>
    <row r="38" spans="2:24" s="24" customFormat="1" ht="15.7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4" t="s">
        <v>85</v>
      </c>
      <c r="Q40" s="224"/>
      <c r="R40" s="224"/>
      <c r="S40" s="224"/>
      <c r="T40" s="81">
        <f>COUNT(O27:O39)</f>
        <v>1</v>
      </c>
      <c r="U40" s="88"/>
      <c r="V40" s="88"/>
      <c r="W40" s="82"/>
      <c r="X40" s="83"/>
    </row>
    <row r="41" spans="2:24" s="24" customFormat="1" ht="15.75" thickBot="1">
      <c r="B41" s="44"/>
      <c r="C41" s="47"/>
      <c r="D41" s="223" t="s">
        <v>26</v>
      </c>
      <c r="E41" s="223"/>
      <c r="F41" s="223"/>
      <c r="G41" s="223"/>
      <c r="H41" s="223"/>
      <c r="I41" s="223"/>
      <c r="J41" s="52">
        <f>COUNT(B27:B39)</f>
        <v>1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2" s="24" customFormat="1" ht="1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ht="15.75" thickBot="1"/>
    <row r="44" spans="2:13" ht="15">
      <c r="B44" s="49"/>
      <c r="C44" s="50"/>
      <c r="D44" s="50"/>
      <c r="E44" s="50"/>
      <c r="F44" s="50"/>
      <c r="G44" s="227" t="s">
        <v>23</v>
      </c>
      <c r="H44" s="227"/>
      <c r="I44" s="40"/>
      <c r="J44" s="51"/>
      <c r="K44" s="51"/>
      <c r="L44" s="40"/>
      <c r="M44" s="41"/>
    </row>
    <row r="45" spans="2:22" s="24" customFormat="1" ht="1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2" s="24" customFormat="1" ht="15.75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98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2" s="24" customFormat="1" ht="15.75">
      <c r="B47" s="63"/>
      <c r="C47" s="60" t="s">
        <v>23</v>
      </c>
      <c r="D47" s="60" t="s">
        <v>51</v>
      </c>
      <c r="E47" s="60">
        <v>0</v>
      </c>
      <c r="F47" s="60">
        <v>250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/>
      <c r="O47" s="25"/>
      <c r="P47" s="25"/>
      <c r="Q47" s="25"/>
      <c r="R47" s="25"/>
      <c r="S47" s="84"/>
      <c r="T47" s="84"/>
      <c r="U47" s="25"/>
      <c r="V47" s="25"/>
    </row>
    <row r="48" spans="2:22" s="24" customFormat="1" ht="15.7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1.20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>
      <c r="B61" s="44"/>
      <c r="C61" s="47"/>
      <c r="D61" s="223" t="s">
        <v>27</v>
      </c>
      <c r="E61" s="223"/>
      <c r="F61" s="223"/>
      <c r="G61" s="223"/>
      <c r="H61" s="223"/>
      <c r="I61" s="223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ht="1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ht="15.75" thickBot="1"/>
    <row r="64" spans="2:13" ht="15">
      <c r="B64" s="49"/>
      <c r="C64" s="50"/>
      <c r="D64" s="50"/>
      <c r="E64" s="50"/>
      <c r="F64" s="50"/>
      <c r="G64" s="227" t="s">
        <v>3</v>
      </c>
      <c r="H64" s="227"/>
      <c r="I64" s="40"/>
      <c r="J64" s="51"/>
      <c r="K64" s="51"/>
      <c r="L64" s="40"/>
      <c r="M64" s="41"/>
    </row>
    <row r="65" spans="2:13" ht="1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98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>
      <c r="B67" s="63">
        <v>44806.625</v>
      </c>
      <c r="C67" s="60" t="s">
        <v>3</v>
      </c>
      <c r="D67" s="60" t="s">
        <v>52</v>
      </c>
      <c r="E67" s="60">
        <v>0</v>
      </c>
      <c r="F67" s="60">
        <v>5</v>
      </c>
      <c r="G67" s="60">
        <v>0</v>
      </c>
      <c r="H67" s="113">
        <v>4.99</v>
      </c>
      <c r="I67" s="60">
        <v>0</v>
      </c>
      <c r="J67" s="61">
        <f>F67/H67</f>
        <v>1.002004008016032</v>
      </c>
      <c r="K67" s="61">
        <f>(H67-F67)*100/F67</f>
        <v>-0.19999999999999574</v>
      </c>
      <c r="L67" s="60" t="s">
        <v>67</v>
      </c>
      <c r="M67" s="78" t="s">
        <v>215</v>
      </c>
    </row>
    <row r="68" spans="2:13" ht="15.75">
      <c r="B68" s="63"/>
      <c r="C68" s="60" t="s">
        <v>3</v>
      </c>
      <c r="D68" s="60" t="s">
        <v>52</v>
      </c>
      <c r="E68" s="60">
        <v>0</v>
      </c>
      <c r="F68" s="60">
        <v>6</v>
      </c>
      <c r="G68" s="60">
        <v>0</v>
      </c>
      <c r="H68" s="61"/>
      <c r="I68" s="60">
        <v>0</v>
      </c>
      <c r="J68" s="61" t="e">
        <f t="shared" si="4" ref="J68:J73">F68/H68</f>
        <v>#DIV/0!</v>
      </c>
      <c r="K68" s="61">
        <f t="shared" si="5" ref="K68:K73">(H68-F68)*100/F68</f>
        <v>-100</v>
      </c>
      <c r="L68" s="60" t="s">
        <v>67</v>
      </c>
      <c r="M68" s="62"/>
    </row>
    <row r="69" spans="2:13" ht="15.75">
      <c r="B69" s="63"/>
      <c r="C69" s="60" t="s">
        <v>3</v>
      </c>
      <c r="D69" s="60" t="s">
        <v>52</v>
      </c>
      <c r="E69" s="60">
        <v>0</v>
      </c>
      <c r="F69" s="60">
        <v>6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/>
    </row>
    <row r="70" spans="2:13" ht="15.75">
      <c r="B70" s="63"/>
      <c r="C70" s="60" t="s">
        <v>3</v>
      </c>
      <c r="D70" s="60" t="s">
        <v>52</v>
      </c>
      <c r="E70" s="60">
        <v>0</v>
      </c>
      <c r="F70" s="60">
        <v>6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/>
    </row>
    <row r="71" spans="2:13" ht="15.7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3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3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3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>
      <c r="B74" s="63"/>
      <c r="C74" s="60"/>
      <c r="D74" s="60"/>
      <c r="E74" s="60"/>
      <c r="F74" s="60"/>
      <c r="G74" s="60"/>
      <c r="H74" s="113"/>
      <c r="I74" s="60"/>
      <c r="J74" s="61"/>
      <c r="K74" s="61"/>
      <c r="L74" s="60"/>
      <c r="M74" s="62"/>
    </row>
    <row r="75" spans="2:13" ht="15.75">
      <c r="B75" s="63"/>
      <c r="C75" s="60"/>
      <c r="D75" s="60"/>
      <c r="E75" s="60"/>
      <c r="F75" s="60"/>
      <c r="G75" s="60"/>
      <c r="H75" s="113"/>
      <c r="I75" s="60"/>
      <c r="J75" s="61"/>
      <c r="K75" s="61"/>
      <c r="L75" s="60"/>
      <c r="M75" s="62"/>
    </row>
    <row r="76" spans="2:13" ht="15.75">
      <c r="B76" s="63"/>
      <c r="C76" s="60"/>
      <c r="D76" s="60"/>
      <c r="E76" s="60"/>
      <c r="F76" s="60"/>
      <c r="G76" s="60"/>
      <c r="H76" s="113"/>
      <c r="I76" s="60"/>
      <c r="J76" s="61"/>
      <c r="K76" s="61"/>
      <c r="L76" s="60"/>
      <c r="M76" s="62"/>
    </row>
    <row r="77" spans="2:13" ht="15.75">
      <c r="B77" s="59"/>
      <c r="C77" s="60"/>
      <c r="D77" s="60"/>
      <c r="E77" s="60"/>
      <c r="F77" s="60"/>
      <c r="G77" s="37"/>
      <c r="H77" s="113"/>
      <c r="I77" s="60"/>
      <c r="J77" s="61"/>
      <c r="K77" s="61"/>
      <c r="L77" s="60"/>
      <c r="M77" s="58"/>
    </row>
    <row r="78" spans="2:13" ht="15.75">
      <c r="B78" s="59"/>
      <c r="C78" s="60"/>
      <c r="D78" s="60"/>
      <c r="E78" s="60"/>
      <c r="F78" s="60"/>
      <c r="G78" s="37"/>
      <c r="H78" s="113"/>
      <c r="I78" s="60"/>
      <c r="J78" s="61"/>
      <c r="K78" s="61"/>
      <c r="L78" s="60"/>
      <c r="M78" s="58"/>
    </row>
    <row r="79" spans="2:13" ht="15.75">
      <c r="B79" s="59"/>
      <c r="C79" s="60"/>
      <c r="D79" s="60"/>
      <c r="E79" s="60"/>
      <c r="F79" s="60"/>
      <c r="G79" s="37"/>
      <c r="H79" s="113"/>
      <c r="I79" s="60"/>
      <c r="J79" s="61"/>
      <c r="K79" s="61"/>
      <c r="L79" s="60"/>
      <c r="M79" s="58"/>
    </row>
    <row r="80" spans="2:13" ht="15.75">
      <c r="B80" s="43"/>
      <c r="C80" s="60"/>
      <c r="D80" s="60"/>
      <c r="E80" s="60"/>
      <c r="F80" s="60"/>
      <c r="G80" s="37"/>
      <c r="H80" s="113"/>
      <c r="I80" s="60"/>
      <c r="J80" s="61"/>
      <c r="K80" s="61"/>
      <c r="L80" s="60"/>
      <c r="M80" s="62"/>
    </row>
    <row r="81" spans="2:13" ht="15.75" thickBot="1">
      <c r="B81" s="44"/>
      <c r="C81" s="47"/>
      <c r="D81" s="223" t="s">
        <v>28</v>
      </c>
      <c r="E81" s="223"/>
      <c r="F81" s="223"/>
      <c r="G81" s="223"/>
      <c r="H81" s="223"/>
      <c r="I81" s="223"/>
      <c r="J81" s="52">
        <f>COUNT(B67:B79)</f>
        <v>1</v>
      </c>
      <c r="K81" s="46"/>
      <c r="L81" s="47"/>
      <c r="M81" s="48"/>
    </row>
    <row r="83" ht="15.75" thickBot="1"/>
    <row r="84" spans="2:13" ht="15">
      <c r="B84" s="49"/>
      <c r="C84" s="50"/>
      <c r="D84" s="50"/>
      <c r="E84" s="50"/>
      <c r="F84" s="50"/>
      <c r="G84" s="227" t="s">
        <v>24</v>
      </c>
      <c r="H84" s="227"/>
      <c r="I84" s="40"/>
      <c r="J84" s="51"/>
      <c r="K84" s="51"/>
      <c r="L84" s="40"/>
      <c r="M84" s="41"/>
    </row>
    <row r="85" spans="2:13" ht="1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98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si="6" ref="J87:J92">F87/H87</f>
        <v>#DIV/0!</v>
      </c>
      <c r="K87" s="61">
        <f t="shared" si="7" ref="K87:K92">(H87-F87)*100/F87</f>
        <v>-100</v>
      </c>
      <c r="L87" s="60" t="s">
        <v>67</v>
      </c>
      <c r="M87" s="62"/>
    </row>
    <row r="88" spans="2:13" ht="15.7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>
      <c r="B101" s="44"/>
      <c r="C101" s="47"/>
      <c r="D101" s="223" t="s">
        <v>29</v>
      </c>
      <c r="E101" s="223"/>
      <c r="F101" s="223"/>
      <c r="G101" s="223"/>
      <c r="H101" s="223"/>
      <c r="I101" s="223"/>
      <c r="J101" s="52">
        <f>COUNT(B87:B99)</f>
        <v>0</v>
      </c>
      <c r="K101" s="46"/>
      <c r="L101" s="47"/>
      <c r="M101" s="48"/>
    </row>
    <row r="103" ht="15.75" thickBot="1"/>
    <row r="104" spans="2:13" ht="15">
      <c r="B104" s="49"/>
      <c r="C104" s="40"/>
      <c r="D104" s="40"/>
      <c r="E104" s="40"/>
      <c r="F104" s="40"/>
      <c r="G104" s="228" t="s">
        <v>4</v>
      </c>
      <c r="H104" s="228"/>
      <c r="I104" s="40"/>
      <c r="J104" s="40"/>
      <c r="K104" s="40"/>
      <c r="L104" s="40"/>
      <c r="M104" s="41"/>
    </row>
    <row r="105" spans="2:13" ht="1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98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>
      <c r="B107" s="63">
        <v>44714.489583333336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321</v>
      </c>
      <c r="I107" s="60">
        <f>G107-E107</f>
        <v>0</v>
      </c>
      <c r="J107" s="61">
        <f>F107/H107</f>
        <v>0.99688473520249221</v>
      </c>
      <c r="K107" s="61">
        <f>(H107-F107)*100/F107</f>
        <v>0.3125</v>
      </c>
      <c r="L107" s="60" t="s">
        <v>67</v>
      </c>
      <c r="M107" s="62" t="s">
        <v>215</v>
      </c>
    </row>
    <row r="108" spans="2:13" ht="15.7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/>
    </row>
    <row r="109" spans="2:13" ht="15.7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si="8" ref="I109:I114">G109-E109</f>
        <v>0</v>
      </c>
      <c r="J109" s="61" t="e">
        <f t="shared" si="9" ref="J109:J114">F109/H109</f>
        <v>#DIV/0!</v>
      </c>
      <c r="K109" s="61">
        <f t="shared" si="10" ref="K109:K114">(H109-F109)*100/F109</f>
        <v>-100</v>
      </c>
      <c r="L109" s="60" t="s">
        <v>67</v>
      </c>
      <c r="M109" s="62"/>
    </row>
    <row r="110" spans="2:13" ht="15.7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/>
    </row>
    <row r="111" spans="2:13" ht="15.7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>
      <c r="B119" s="44"/>
      <c r="C119" s="223" t="s">
        <v>69</v>
      </c>
      <c r="D119" s="223"/>
      <c r="E119" s="223"/>
      <c r="F119" s="223"/>
      <c r="G119" s="223"/>
      <c r="H119" s="223"/>
      <c r="I119" s="52">
        <f>COUNT(B107:B118)</f>
        <v>1</v>
      </c>
      <c r="J119" s="46"/>
      <c r="K119" s="46"/>
      <c r="L119" s="47"/>
      <c r="M119" s="48"/>
    </row>
  </sheetData>
  <sheetProtection/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orientation="portrait" paperSize="9"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ed7785c-69ce-49ca-abd5-536e2c3eb2bb}">
  <sheetPr codeName=""/>
  <dimension ref="A2:E56"/>
  <sheetViews>
    <sheetView workbookViewId="0" topLeftCell="A1">
      <selection pane="topLeft" activeCell="B2" sqref="B2:C2"/>
    </sheetView>
  </sheetViews>
  <sheetFormatPr defaultColWidth="9.14285714285714" defaultRowHeight="15"/>
  <cols>
    <col min="1" max="1" width="9.14285714285714" style="12" customWidth="1"/>
    <col min="2" max="2" width="28.2857142857143" customWidth="1"/>
    <col min="3" max="3" width="30" customWidth="1"/>
    <col min="4" max="4" width="27.8571428571429" customWidth="1"/>
  </cols>
  <sheetData>
    <row r="2" spans="2:5" ht="15">
      <c r="B2" s="229" t="s">
        <v>224</v>
      </c>
      <c r="C2" s="229"/>
      <c r="D2" s="230" t="str">
        <f>'MONTHLY 31'!$B$2</f>
        <v>01-07-2022 00:15</v>
      </c>
      <c r="E2" s="230"/>
    </row>
    <row r="3" spans="2:5" ht="15">
      <c r="B3" s="229" t="s">
        <v>21</v>
      </c>
      <c r="C3" s="229"/>
      <c r="D3" s="230"/>
      <c r="E3" s="230"/>
    </row>
    <row r="7" spans="1:4" s="19" customFormat="1" ht="15">
      <c r="A7" s="53"/>
      <c r="B7" s="30" t="s">
        <v>6</v>
      </c>
      <c r="C7" s="30" t="s">
        <v>7</v>
      </c>
      <c r="D7" s="31" t="s">
        <v>8</v>
      </c>
    </row>
    <row r="8" spans="1:4" s="24" customFormat="1" ht="15">
      <c r="A8" s="53"/>
      <c r="B8" s="56"/>
      <c r="C8" s="56"/>
      <c r="D8" s="33">
        <f t="shared" si="0" ref="D8:D13">C8-B8</f>
        <v>0</v>
      </c>
    </row>
    <row r="9" spans="1:4" s="24" customFormat="1" ht="15">
      <c r="A9" s="53"/>
      <c r="B9" s="56"/>
      <c r="C9" s="56"/>
      <c r="D9" s="33">
        <f t="shared" si="0"/>
        <v>0</v>
      </c>
    </row>
    <row r="10" spans="1:4" s="24" customFormat="1" ht="15">
      <c r="A10" s="53"/>
      <c r="B10" s="32"/>
      <c r="C10" s="32"/>
      <c r="D10" s="33">
        <f t="shared" si="0"/>
        <v>0</v>
      </c>
    </row>
    <row r="11" spans="1:4" s="19" customFormat="1" ht="15">
      <c r="A11" s="53"/>
      <c r="B11" s="34"/>
      <c r="C11" s="34"/>
      <c r="D11" s="33">
        <f t="shared" si="0"/>
        <v>0</v>
      </c>
    </row>
    <row r="12" spans="2:4" ht="15">
      <c r="B12" s="34"/>
      <c r="C12" s="34"/>
      <c r="D12" s="33">
        <f t="shared" si="0"/>
        <v>0</v>
      </c>
    </row>
    <row r="13" spans="2:4" ht="15">
      <c r="B13" s="34"/>
      <c r="C13" s="34"/>
      <c r="D13" s="33">
        <f t="shared" si="0"/>
        <v>0</v>
      </c>
    </row>
    <row r="14" spans="2:4" s="12" customFormat="1" ht="15">
      <c r="B14" s="34"/>
      <c r="C14" s="34"/>
      <c r="D14" s="33">
        <f t="shared" si="1" ref="D14:D23">C14-B14</f>
        <v>0</v>
      </c>
    </row>
    <row r="15" spans="2:4" s="12" customFormat="1" ht="15">
      <c r="B15" s="32"/>
      <c r="C15" s="32"/>
      <c r="D15" s="33">
        <f t="shared" si="1"/>
        <v>0</v>
      </c>
    </row>
    <row r="16" spans="2:4" s="12" customFormat="1" ht="15">
      <c r="B16" s="32"/>
      <c r="C16" s="32"/>
      <c r="D16" s="33">
        <f t="shared" si="1"/>
        <v>0</v>
      </c>
    </row>
    <row r="17" spans="2:4" ht="15">
      <c r="B17" s="32"/>
      <c r="C17" s="32"/>
      <c r="D17" s="33">
        <f t="shared" si="1"/>
        <v>0</v>
      </c>
    </row>
    <row r="18" spans="2:4" ht="15">
      <c r="B18" s="32"/>
      <c r="C18" s="32"/>
      <c r="D18" s="33">
        <f t="shared" si="1"/>
        <v>0</v>
      </c>
    </row>
    <row r="19" spans="2:4" ht="15">
      <c r="B19" s="34"/>
      <c r="C19" s="32"/>
      <c r="D19" s="33">
        <f t="shared" si="1"/>
        <v>0</v>
      </c>
    </row>
    <row r="20" spans="2:4" ht="15">
      <c r="B20" s="34"/>
      <c r="C20" s="32"/>
      <c r="D20" s="33">
        <f t="shared" si="1"/>
        <v>0</v>
      </c>
    </row>
    <row r="21" spans="2:4" ht="15">
      <c r="B21" s="34"/>
      <c r="C21" s="32"/>
      <c r="D21" s="33">
        <f t="shared" si="1"/>
        <v>0</v>
      </c>
    </row>
    <row r="22" spans="2:4" s="12" customFormat="1" ht="15">
      <c r="B22" s="34"/>
      <c r="C22" s="32"/>
      <c r="D22" s="33">
        <f t="shared" si="1"/>
        <v>0</v>
      </c>
    </row>
    <row r="23" spans="2:4" s="12" customFormat="1" ht="15">
      <c r="B23" s="34"/>
      <c r="C23" s="32"/>
      <c r="D23" s="33">
        <f t="shared" si="1"/>
        <v>0</v>
      </c>
    </row>
    <row r="24" spans="2:4" s="12" customFormat="1" ht="15">
      <c r="B24" s="36" t="s">
        <v>22</v>
      </c>
      <c r="C24" s="32"/>
      <c r="D24" s="35">
        <f>SUM(D7:D23)</f>
        <v>0</v>
      </c>
    </row>
    <row r="25" spans="2:4" s="12" customFormat="1" ht="15">
      <c r="B25" s="21"/>
      <c r="C25" s="1"/>
      <c r="D25" s="20"/>
    </row>
    <row r="26" spans="2:4" s="12" customFormat="1" ht="15">
      <c r="B26" s="21"/>
      <c r="C26" s="1"/>
      <c r="D26" s="20"/>
    </row>
    <row r="27" spans="2:4" s="12" customFormat="1" ht="15">
      <c r="B27" s="21"/>
      <c r="C27" s="1"/>
      <c r="D27" s="20"/>
    </row>
    <row r="28" spans="2:4" s="12" customFormat="1" ht="15">
      <c r="B28" s="21"/>
      <c r="C28" s="1"/>
      <c r="D28" s="20"/>
    </row>
    <row r="29" spans="2:4" s="12" customFormat="1" ht="15">
      <c r="B29" s="21"/>
      <c r="C29" s="1"/>
      <c r="D29" s="20"/>
    </row>
    <row r="30" spans="2:4" s="12" customFormat="1" ht="15">
      <c r="B30" s="21"/>
      <c r="C30" s="1"/>
      <c r="D30" s="20"/>
    </row>
    <row r="31" spans="2:4" s="12" customFormat="1" ht="15">
      <c r="B31" s="21"/>
      <c r="C31" s="1"/>
      <c r="D31" s="20"/>
    </row>
    <row r="32" spans="2:4" s="12" customFormat="1" ht="15">
      <c r="B32" s="21"/>
      <c r="C32" s="1"/>
      <c r="D32" s="20"/>
    </row>
    <row r="33" spans="2:4" s="12" customFormat="1" ht="15">
      <c r="B33" s="21"/>
      <c r="C33" s="1"/>
      <c r="D33" s="20"/>
    </row>
    <row r="34" spans="2:4" s="12" customFormat="1" ht="15">
      <c r="B34" s="21"/>
      <c r="C34" s="1"/>
      <c r="D34" s="20"/>
    </row>
    <row r="35" spans="2:4" s="12" customFormat="1" ht="15">
      <c r="B35" s="21"/>
      <c r="C35" s="1"/>
      <c r="D35" s="20"/>
    </row>
    <row r="36" spans="2:4" s="12" customFormat="1" ht="15">
      <c r="B36" s="21"/>
      <c r="C36" s="1"/>
      <c r="D36" s="20"/>
    </row>
    <row r="37" spans="2:4" s="12" customFormat="1" ht="15">
      <c r="B37" s="21"/>
      <c r="C37" s="1"/>
      <c r="D37" s="20"/>
    </row>
    <row r="38" spans="2:4" s="12" customFormat="1" ht="15">
      <c r="B38" s="21"/>
      <c r="C38" s="1"/>
      <c r="D38" s="20"/>
    </row>
    <row r="39" spans="2:4" s="12" customFormat="1" ht="15">
      <c r="B39" s="21"/>
      <c r="C39" s="1"/>
      <c r="D39" s="20"/>
    </row>
    <row r="40" spans="2:4" s="12" customFormat="1" ht="15">
      <c r="B40" s="21"/>
      <c r="C40" s="1"/>
      <c r="D40" s="20"/>
    </row>
    <row r="41" spans="2:4" s="12" customFormat="1" ht="15">
      <c r="B41" s="21"/>
      <c r="C41" s="1"/>
      <c r="D41" s="20"/>
    </row>
    <row r="42" spans="2:4" s="12" customFormat="1" ht="15">
      <c r="B42" s="21"/>
      <c r="C42" s="1"/>
      <c r="D42" s="20"/>
    </row>
    <row r="43" spans="2:4" s="12" customFormat="1" ht="15">
      <c r="B43" s="21"/>
      <c r="C43" s="1"/>
      <c r="D43" s="20"/>
    </row>
    <row r="44" spans="2:4" s="12" customFormat="1" ht="15.75">
      <c r="B44" s="231" t="s">
        <v>22</v>
      </c>
      <c r="C44" s="231"/>
      <c r="D44" s="20">
        <f>SUM(D11:D42)</f>
        <v>0</v>
      </c>
    </row>
    <row r="45" spans="2:4" s="12" customFormat="1" ht="15">
      <c r="B45" s="21"/>
      <c r="C45" s="1"/>
      <c r="D45" s="20"/>
    </row>
    <row r="46" spans="2:4" s="12" customFormat="1" ht="15">
      <c r="B46" s="1"/>
      <c r="C46" s="1"/>
      <c r="D46" s="20"/>
    </row>
    <row r="47" spans="2:4" ht="15">
      <c r="B47" s="1"/>
      <c r="C47" s="1"/>
      <c r="D47" s="20"/>
    </row>
    <row r="48" spans="2:4" ht="15">
      <c r="B48" s="1"/>
      <c r="C48" s="1"/>
      <c r="D48" s="20"/>
    </row>
    <row r="49" spans="2:4" s="12" customFormat="1" ht="15">
      <c r="B49" s="1"/>
      <c r="C49" s="1"/>
      <c r="D49" s="20"/>
    </row>
    <row r="50" spans="2:4" s="12" customFormat="1" ht="15">
      <c r="B50" s="21"/>
      <c r="C50" s="1"/>
      <c r="D50" s="20"/>
    </row>
    <row r="51" spans="2:4" s="12" customFormat="1" ht="15">
      <c r="B51" s="21"/>
      <c r="C51" s="1"/>
      <c r="D51" s="20"/>
    </row>
    <row r="52" spans="2:4" s="12" customFormat="1" ht="15">
      <c r="B52" s="21"/>
      <c r="C52" s="1"/>
      <c r="D52" s="20"/>
    </row>
    <row r="53" spans="2:4" s="12" customFormat="1" ht="15">
      <c r="B53" s="21"/>
      <c r="C53" s="1"/>
      <c r="D53" s="20"/>
    </row>
    <row r="54" spans="2:4" s="12" customFormat="1" ht="15">
      <c r="B54" s="1"/>
      <c r="C54" s="1"/>
      <c r="D54" s="20"/>
    </row>
    <row r="55" spans="4:4" ht="15">
      <c r="D55" s="20"/>
    </row>
    <row r="56" spans="4:4" ht="15" thickBot="1">
      <c r="D56" s="20"/>
    </row>
  </sheetData>
  <sheetProtection/>
  <mergeCells count="4">
    <mergeCell ref="B2:C2"/>
    <mergeCell ref="B3:C3"/>
    <mergeCell ref="D2:E3"/>
    <mergeCell ref="B44:C44"/>
  </mergeCells>
  <pageMargins left="0.7" right="0.7" top="0.75" bottom="0.75" header="0.3" footer="0.3"/>
  <pageSetup orientation="portrait" paperSize="9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f7617e-85f0-4dd1-acdd-b5be1df967f1}">
  <sheetPr codeName=""/>
  <dimension ref="B2:AB86"/>
  <sheetViews>
    <sheetView workbookViewId="0" topLeftCell="A1">
      <selection pane="topLeft" activeCell="B2" sqref="B2:E3"/>
    </sheetView>
  </sheetViews>
  <sheetFormatPr defaultColWidth="9.14285714285714" defaultRowHeight="15"/>
  <cols>
    <col min="1" max="1" width="7" style="54" customWidth="1"/>
    <col min="2" max="2" width="13.4285714285714" style="54" customWidth="1"/>
    <col min="3" max="3" width="14" style="54" customWidth="1"/>
    <col min="4" max="4" width="14.1428571428571" style="54" customWidth="1"/>
    <col min="5" max="5" width="18" style="54" customWidth="1"/>
    <col min="6" max="6" width="12.5714285714286" style="54" customWidth="1"/>
    <col min="7" max="8" width="12" style="54" customWidth="1"/>
    <col min="9" max="9" width="12.5714285714286" style="54" customWidth="1"/>
    <col min="10" max="10" width="12" style="54" customWidth="1"/>
    <col min="11" max="11" width="13.1428571428571" style="54" customWidth="1"/>
    <col min="12" max="12" width="12.5714285714286" style="54" customWidth="1"/>
    <col min="13" max="13" width="12" style="54" customWidth="1"/>
    <col min="14" max="14" width="14" style="54" customWidth="1"/>
    <col min="15" max="15" width="14.5714285714286" style="54" customWidth="1"/>
    <col min="16" max="16" width="11.1428571428571" style="54" customWidth="1"/>
    <col min="17" max="17" width="11.7142857142857" style="54" customWidth="1"/>
    <col min="18" max="18" width="11.8571428571429" style="54" customWidth="1"/>
    <col min="19" max="19" width="12.5714285714286" style="54" customWidth="1"/>
    <col min="20" max="20" width="12" style="54" customWidth="1"/>
    <col min="21" max="21" width="14" style="54" customWidth="1"/>
    <col min="22" max="22" width="14.5714285714286" style="54" customWidth="1"/>
    <col min="23" max="23" width="9.14285714285714" style="54"/>
    <col min="24" max="24" width="12.2857142857143" style="54" customWidth="1"/>
    <col min="25" max="25" width="11.7142857142857" style="54" customWidth="1"/>
    <col min="26" max="16384" width="9.14285714285714" style="54"/>
  </cols>
  <sheetData>
    <row r="2" spans="2:8" s="12" customFormat="1" ht="15" customHeight="1">
      <c r="B2" s="232" t="s">
        <v>225</v>
      </c>
      <c r="C2" s="232"/>
      <c r="D2" s="232"/>
      <c r="E2" s="232"/>
      <c r="F2" s="233">
        <v>44713</v>
      </c>
      <c r="G2" s="234"/>
      <c r="H2" s="234"/>
    </row>
    <row r="3" spans="2:8" s="12" customFormat="1" ht="15" customHeight="1">
      <c r="B3" s="232"/>
      <c r="C3" s="232"/>
      <c r="D3" s="232"/>
      <c r="E3" s="232"/>
      <c r="F3" s="234"/>
      <c r="G3" s="234"/>
      <c r="H3" s="234"/>
    </row>
    <row r="8" spans="10:21" ht="15">
      <c r="J8" s="14"/>
      <c r="K8" s="14"/>
      <c r="L8" s="14"/>
      <c r="U8" s="121"/>
    </row>
    <row r="9" spans="10:21" ht="15.75">
      <c r="J9" s="122"/>
      <c r="K9" s="122"/>
      <c r="L9" s="14"/>
      <c r="U9" s="121"/>
    </row>
    <row r="10" spans="21:21" ht="15">
      <c r="U10" s="121"/>
    </row>
    <row r="11" spans="21:21" ht="15.75" thickBot="1">
      <c r="U11" s="121"/>
    </row>
    <row r="12" spans="2:21" ht="15.75" customHeight="1" thickBot="1">
      <c r="B12" s="235" t="s">
        <v>4</v>
      </c>
      <c r="C12" s="237" t="s">
        <v>133</v>
      </c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123"/>
      <c r="U12" s="121"/>
    </row>
    <row r="13" spans="2:21" ht="15" customHeight="1">
      <c r="B13" s="236"/>
      <c r="C13" s="124" t="s">
        <v>78</v>
      </c>
      <c r="D13" s="125" t="s">
        <v>83</v>
      </c>
      <c r="E13" s="125" t="s">
        <v>134</v>
      </c>
      <c r="F13" s="125" t="s">
        <v>220</v>
      </c>
      <c r="G13" s="125" t="s">
        <v>136</v>
      </c>
      <c r="H13" s="125" t="s">
        <v>137</v>
      </c>
      <c r="I13" s="125" t="s">
        <v>138</v>
      </c>
      <c r="J13" s="125" t="s">
        <v>139</v>
      </c>
      <c r="K13" s="125" t="s">
        <v>140</v>
      </c>
      <c r="L13" s="125" t="s">
        <v>141</v>
      </c>
      <c r="M13" s="125" t="s">
        <v>142</v>
      </c>
      <c r="N13" s="125" t="s">
        <v>143</v>
      </c>
      <c r="O13" s="125" t="s">
        <v>144</v>
      </c>
      <c r="P13" s="126" t="s">
        <v>145</v>
      </c>
      <c r="Q13" s="125" t="s">
        <v>146</v>
      </c>
      <c r="R13" s="127"/>
      <c r="U13" s="121"/>
    </row>
    <row r="14" spans="2:24" ht="15" customHeight="1">
      <c r="B14" s="236"/>
      <c r="C14" s="120">
        <v>44718</v>
      </c>
      <c r="D14" s="60">
        <v>24.10</v>
      </c>
      <c r="E14" s="60">
        <v>5</v>
      </c>
      <c r="F14" s="60">
        <v>4035.5</v>
      </c>
      <c r="G14" s="60">
        <v>1</v>
      </c>
      <c r="H14" s="60">
        <v>11.90</v>
      </c>
      <c r="I14" s="60">
        <v>5</v>
      </c>
      <c r="J14" s="60">
        <v>3.30</v>
      </c>
      <c r="K14" s="191">
        <v>2423398912</v>
      </c>
      <c r="L14" s="191">
        <v>2513913600</v>
      </c>
      <c r="M14" s="60">
        <v>1498.40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>
      <c r="B15" s="236"/>
      <c r="C15" s="128" t="s">
        <v>147</v>
      </c>
      <c r="D15" s="129" t="s">
        <v>148</v>
      </c>
      <c r="E15" s="129" t="s">
        <v>149</v>
      </c>
      <c r="F15" s="129" t="s">
        <v>150</v>
      </c>
      <c r="G15" s="129" t="s">
        <v>151</v>
      </c>
      <c r="H15" s="129" t="s">
        <v>152</v>
      </c>
      <c r="I15" s="129" t="s">
        <v>153</v>
      </c>
      <c r="J15" s="129" t="s">
        <v>154</v>
      </c>
      <c r="K15" s="129" t="s">
        <v>155</v>
      </c>
      <c r="L15" s="129" t="s">
        <v>156</v>
      </c>
      <c r="M15" s="129" t="s">
        <v>157</v>
      </c>
      <c r="N15" s="129" t="s">
        <v>158</v>
      </c>
      <c r="O15" s="129" t="s">
        <v>159</v>
      </c>
      <c r="P15" s="130" t="s">
        <v>160</v>
      </c>
      <c r="Q15" s="129" t="s">
        <v>161</v>
      </c>
      <c r="R15" s="131" t="s">
        <v>20</v>
      </c>
      <c r="X15" s="11"/>
    </row>
    <row r="16" spans="2:24" ht="15.75" customHeight="1">
      <c r="B16" s="236"/>
      <c r="C16" s="191">
        <v>2425504512</v>
      </c>
      <c r="D16" s="191">
        <v>2513962496</v>
      </c>
      <c r="E16" s="60">
        <v>1445.70</v>
      </c>
      <c r="F16" s="60" t="s">
        <v>221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221</v>
      </c>
      <c r="L16" s="60" t="s">
        <v>222</v>
      </c>
      <c r="M16" s="60">
        <v>485</v>
      </c>
      <c r="N16" s="60" t="s">
        <v>222</v>
      </c>
      <c r="O16" s="60">
        <v>30</v>
      </c>
      <c r="P16" s="60">
        <v>49.5</v>
      </c>
      <c r="Q16" s="60">
        <v>50</v>
      </c>
      <c r="R16" s="146" t="s">
        <v>217</v>
      </c>
      <c r="X16" s="11"/>
    </row>
    <row r="17" spans="2:24" ht="15.75" customHeight="1">
      <c r="B17" s="236"/>
      <c r="C17" s="134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6"/>
      <c r="Q17" s="136"/>
      <c r="R17" s="137"/>
      <c r="X17" s="11"/>
    </row>
    <row r="18" spans="2:18" ht="15.75" customHeight="1">
      <c r="B18" s="236"/>
      <c r="C18" s="138" t="s">
        <v>78</v>
      </c>
      <c r="D18" s="138" t="s">
        <v>83</v>
      </c>
      <c r="E18" s="138" t="s">
        <v>134</v>
      </c>
      <c r="F18" s="138" t="s">
        <v>135</v>
      </c>
      <c r="G18" s="138" t="s">
        <v>136</v>
      </c>
      <c r="H18" s="138" t="s">
        <v>137</v>
      </c>
      <c r="I18" s="138" t="s">
        <v>138</v>
      </c>
      <c r="J18" s="138" t="s">
        <v>139</v>
      </c>
      <c r="K18" s="138" t="s">
        <v>140</v>
      </c>
      <c r="L18" s="138" t="s">
        <v>141</v>
      </c>
      <c r="M18" s="138" t="s">
        <v>142</v>
      </c>
      <c r="N18" s="138" t="s">
        <v>143</v>
      </c>
      <c r="O18" s="138" t="s">
        <v>144</v>
      </c>
      <c r="P18" s="139" t="s">
        <v>145</v>
      </c>
      <c r="Q18" s="138" t="s">
        <v>146</v>
      </c>
      <c r="R18" s="137"/>
    </row>
    <row r="19" spans="2:18" ht="15.75">
      <c r="B19" s="140"/>
      <c r="C19" s="12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37"/>
    </row>
    <row r="20" spans="2:18" ht="15.75">
      <c r="B20" s="140"/>
      <c r="C20" s="138" t="s">
        <v>147</v>
      </c>
      <c r="D20" s="129" t="s">
        <v>148</v>
      </c>
      <c r="E20" s="129" t="s">
        <v>149</v>
      </c>
      <c r="F20" s="129" t="s">
        <v>150</v>
      </c>
      <c r="G20" s="129" t="s">
        <v>151</v>
      </c>
      <c r="H20" s="129" t="s">
        <v>152</v>
      </c>
      <c r="I20" s="129" t="s">
        <v>153</v>
      </c>
      <c r="J20" s="129" t="s">
        <v>154</v>
      </c>
      <c r="K20" s="129" t="s">
        <v>155</v>
      </c>
      <c r="L20" s="129" t="s">
        <v>156</v>
      </c>
      <c r="M20" s="129" t="s">
        <v>157</v>
      </c>
      <c r="N20" s="129" t="s">
        <v>158</v>
      </c>
      <c r="O20" s="129" t="s">
        <v>159</v>
      </c>
      <c r="P20" s="130" t="s">
        <v>160</v>
      </c>
      <c r="Q20" s="129" t="s">
        <v>161</v>
      </c>
      <c r="R20" s="141" t="s">
        <v>20</v>
      </c>
    </row>
    <row r="21" spans="2:19" ht="16.5" thickBot="1">
      <c r="B21" s="142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2"/>
      <c r="R21" s="143"/>
      <c r="S21" s="144"/>
    </row>
    <row r="22" spans="10:10" ht="15">
      <c r="J22" s="14"/>
    </row>
    <row r="23" spans="2:27" s="145" customFormat="1" ht="15.75" customHeight="1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10:10" ht="15" customHeight="1">
      <c r="J24" s="14"/>
    </row>
    <row r="25" spans="2:20" ht="15" customHeight="1">
      <c r="B25" s="239" t="s">
        <v>2</v>
      </c>
      <c r="C25" s="241" t="s">
        <v>133</v>
      </c>
      <c r="D25" s="242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2"/>
      <c r="R25" s="243"/>
      <c r="S25" s="184"/>
      <c r="T25" s="185"/>
    </row>
    <row r="26" spans="2:28" ht="15" customHeight="1">
      <c r="B26" s="239"/>
      <c r="C26" s="186" t="s">
        <v>78</v>
      </c>
      <c r="D26" s="175" t="s">
        <v>87</v>
      </c>
      <c r="E26" s="175" t="s">
        <v>86</v>
      </c>
      <c r="F26" s="175" t="s">
        <v>121</v>
      </c>
      <c r="G26" s="175" t="s">
        <v>122</v>
      </c>
      <c r="H26" s="175" t="s">
        <v>123</v>
      </c>
      <c r="I26" s="175" t="s">
        <v>124</v>
      </c>
      <c r="J26" s="175" t="s">
        <v>125</v>
      </c>
      <c r="K26" s="175" t="s">
        <v>126</v>
      </c>
      <c r="L26" s="175" t="s">
        <v>127</v>
      </c>
      <c r="M26" s="175" t="s">
        <v>128</v>
      </c>
      <c r="N26" s="175" t="s">
        <v>129</v>
      </c>
      <c r="O26" s="175" t="s">
        <v>130</v>
      </c>
      <c r="P26" s="175" t="s">
        <v>131</v>
      </c>
      <c r="Q26" s="175" t="s">
        <v>132</v>
      </c>
      <c r="R26" s="175" t="s">
        <v>213</v>
      </c>
      <c r="S26" s="175" t="s">
        <v>214</v>
      </c>
      <c r="T26" s="166" t="s">
        <v>20</v>
      </c>
      <c r="Z26" s="145"/>
      <c r="AA26" s="145"/>
      <c r="AB26" s="145"/>
    </row>
    <row r="27" spans="2:20" ht="15.75" customHeight="1">
      <c r="B27" s="239"/>
      <c r="C27" s="12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3"/>
    </row>
    <row r="28" spans="2:20" ht="15" customHeight="1">
      <c r="B28" s="239"/>
      <c r="C28" s="187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9"/>
      <c r="T28" s="189"/>
    </row>
    <row r="29" spans="2:20" ht="15.75" customHeight="1">
      <c r="B29" s="240"/>
      <c r="C29" s="190" t="s">
        <v>78</v>
      </c>
      <c r="D29" s="180" t="s">
        <v>87</v>
      </c>
      <c r="E29" s="180" t="s">
        <v>86</v>
      </c>
      <c r="F29" s="180" t="s">
        <v>121</v>
      </c>
      <c r="G29" s="180" t="s">
        <v>122</v>
      </c>
      <c r="H29" s="180" t="s">
        <v>123</v>
      </c>
      <c r="I29" s="180" t="s">
        <v>124</v>
      </c>
      <c r="J29" s="180" t="s">
        <v>125</v>
      </c>
      <c r="K29" s="180" t="s">
        <v>126</v>
      </c>
      <c r="L29" s="180" t="s">
        <v>127</v>
      </c>
      <c r="M29" s="180" t="s">
        <v>128</v>
      </c>
      <c r="N29" s="180" t="s">
        <v>129</v>
      </c>
      <c r="O29" s="180" t="s">
        <v>130</v>
      </c>
      <c r="P29" s="180" t="s">
        <v>131</v>
      </c>
      <c r="Q29" s="180" t="s">
        <v>132</v>
      </c>
      <c r="R29" s="180" t="s">
        <v>213</v>
      </c>
      <c r="S29" s="180" t="s">
        <v>214</v>
      </c>
      <c r="T29" s="171" t="s">
        <v>20</v>
      </c>
    </row>
    <row r="30" spans="2:20" ht="15">
      <c r="B30" s="172"/>
      <c r="C30" s="12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3"/>
    </row>
    <row r="31" spans="3:3" ht="15">
      <c r="C31" s="147"/>
    </row>
    <row r="32" spans="3:3" ht="15">
      <c r="C32" s="147"/>
    </row>
    <row r="33" spans="3:3" ht="15" customHeight="1">
      <c r="C33" s="147"/>
    </row>
    <row r="34" ht="15.75" customHeight="1"/>
    <row r="35" ht="15" customHeight="1" thickBot="1"/>
    <row r="36" spans="2:15" ht="15.75" customHeight="1">
      <c r="B36" s="247" t="s">
        <v>3</v>
      </c>
      <c r="C36" s="249" t="s">
        <v>133</v>
      </c>
      <c r="D36" s="249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50"/>
    </row>
    <row r="37" spans="2:15" ht="15.75" customHeight="1">
      <c r="B37" s="248"/>
      <c r="C37" s="148" t="s">
        <v>78</v>
      </c>
      <c r="D37" s="138" t="s">
        <v>87</v>
      </c>
      <c r="E37" s="138" t="s">
        <v>86</v>
      </c>
      <c r="F37" s="138" t="s">
        <v>88</v>
      </c>
      <c r="G37" s="138" t="s">
        <v>89</v>
      </c>
      <c r="H37" s="138" t="s">
        <v>90</v>
      </c>
      <c r="I37" s="138" t="s">
        <v>91</v>
      </c>
      <c r="J37" s="138" t="s">
        <v>92</v>
      </c>
      <c r="K37" s="138" t="s">
        <v>93</v>
      </c>
      <c r="L37" s="138" t="s">
        <v>94</v>
      </c>
      <c r="M37" s="138" t="s">
        <v>95</v>
      </c>
      <c r="N37" s="138" t="s">
        <v>96</v>
      </c>
      <c r="O37" s="149" t="s">
        <v>97</v>
      </c>
    </row>
    <row r="38" spans="2:25" ht="15">
      <c r="B38" s="248"/>
      <c r="C38" s="12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5"/>
      <c r="X38" s="145"/>
      <c r="Y38" s="145"/>
    </row>
    <row r="39" spans="2:25" ht="15.75">
      <c r="B39" s="248"/>
      <c r="C39" s="148" t="s">
        <v>98</v>
      </c>
      <c r="D39" s="138" t="s">
        <v>99</v>
      </c>
      <c r="E39" s="138" t="s">
        <v>100</v>
      </c>
      <c r="F39" s="138" t="s">
        <v>101</v>
      </c>
      <c r="G39" s="129" t="s">
        <v>102</v>
      </c>
      <c r="H39" s="129" t="s">
        <v>103</v>
      </c>
      <c r="I39" s="129" t="s">
        <v>104</v>
      </c>
      <c r="J39" s="129" t="s">
        <v>105</v>
      </c>
      <c r="K39" s="129" t="s">
        <v>106</v>
      </c>
      <c r="L39" s="129" t="s">
        <v>107</v>
      </c>
      <c r="M39" s="129" t="s">
        <v>108</v>
      </c>
      <c r="N39" s="129" t="s">
        <v>82</v>
      </c>
      <c r="O39" s="29" t="s">
        <v>20</v>
      </c>
      <c r="W39" s="145"/>
      <c r="X39" s="145"/>
      <c r="Y39" s="145"/>
    </row>
    <row r="40" spans="2:25" ht="15">
      <c r="B40" s="248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3"/>
      <c r="W40" s="145"/>
      <c r="X40" s="145"/>
      <c r="Y40" s="145"/>
    </row>
    <row r="41" spans="2:15" ht="15">
      <c r="B41" s="150"/>
      <c r="C41" s="151"/>
      <c r="D41" s="135"/>
      <c r="E41" s="135"/>
      <c r="F41" s="135"/>
      <c r="G41" s="135"/>
      <c r="H41" s="135"/>
      <c r="I41" s="135"/>
      <c r="J41" s="152"/>
      <c r="K41" s="135"/>
      <c r="L41" s="135"/>
      <c r="M41" s="135"/>
      <c r="N41" s="135"/>
      <c r="O41" s="153"/>
    </row>
    <row r="42" spans="2:15" ht="15.75" customHeight="1">
      <c r="B42" s="150"/>
      <c r="C42" s="148" t="s">
        <v>78</v>
      </c>
      <c r="D42" s="138" t="s">
        <v>87</v>
      </c>
      <c r="E42" s="138" t="s">
        <v>86</v>
      </c>
      <c r="F42" s="138" t="s">
        <v>88</v>
      </c>
      <c r="G42" s="138" t="s">
        <v>89</v>
      </c>
      <c r="H42" s="138" t="s">
        <v>90</v>
      </c>
      <c r="I42" s="138" t="s">
        <v>91</v>
      </c>
      <c r="J42" s="138" t="s">
        <v>92</v>
      </c>
      <c r="K42" s="138" t="s">
        <v>93</v>
      </c>
      <c r="L42" s="138" t="s">
        <v>94</v>
      </c>
      <c r="M42" s="138" t="s">
        <v>95</v>
      </c>
      <c r="N42" s="138" t="s">
        <v>96</v>
      </c>
      <c r="O42" s="149" t="s">
        <v>97</v>
      </c>
    </row>
    <row r="43" spans="2:15" ht="15" customHeight="1">
      <c r="B43" s="150"/>
      <c r="C43" s="12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18" ht="15" customHeight="1">
      <c r="B44" s="150"/>
      <c r="C44" s="148" t="s">
        <v>98</v>
      </c>
      <c r="D44" s="138" t="s">
        <v>99</v>
      </c>
      <c r="E44" s="138" t="s">
        <v>100</v>
      </c>
      <c r="F44" s="138" t="s">
        <v>101</v>
      </c>
      <c r="G44" s="129" t="s">
        <v>102</v>
      </c>
      <c r="H44" s="129" t="s">
        <v>103</v>
      </c>
      <c r="I44" s="129" t="s">
        <v>104</v>
      </c>
      <c r="J44" s="129" t="s">
        <v>105</v>
      </c>
      <c r="K44" s="129" t="s">
        <v>106</v>
      </c>
      <c r="L44" s="129" t="s">
        <v>107</v>
      </c>
      <c r="M44" s="129" t="s">
        <v>108</v>
      </c>
      <c r="N44" s="129" t="s">
        <v>82</v>
      </c>
      <c r="O44" s="29" t="s">
        <v>20</v>
      </c>
      <c r="R44" s="154"/>
    </row>
    <row r="45" spans="2:18" ht="15" customHeight="1" thickBot="1">
      <c r="B45" s="155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3"/>
      <c r="R45" s="156"/>
    </row>
    <row r="46" spans="10:25" ht="15.75" customHeight="1">
      <c r="J46" s="157"/>
      <c r="R46" s="158"/>
      <c r="Y46" s="145"/>
    </row>
    <row r="47" spans="10:18" ht="16.5" thickBot="1">
      <c r="J47" s="157"/>
      <c r="R47" s="156"/>
    </row>
    <row r="48" spans="2:18" ht="15">
      <c r="B48" s="251" t="s">
        <v>1</v>
      </c>
      <c r="C48" s="159" t="s">
        <v>133</v>
      </c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1"/>
      <c r="R48" s="158"/>
    </row>
    <row r="49" spans="2:17" ht="15">
      <c r="B49" s="252"/>
      <c r="C49" s="148" t="s">
        <v>78</v>
      </c>
      <c r="D49" s="138" t="s">
        <v>154</v>
      </c>
      <c r="E49" s="138" t="s">
        <v>163</v>
      </c>
      <c r="F49" s="138" t="s">
        <v>164</v>
      </c>
      <c r="G49" s="138" t="s">
        <v>165</v>
      </c>
      <c r="H49" s="138" t="s">
        <v>166</v>
      </c>
      <c r="I49" s="138" t="s">
        <v>167</v>
      </c>
      <c r="J49" s="138" t="s">
        <v>139</v>
      </c>
      <c r="K49" s="138" t="s">
        <v>168</v>
      </c>
      <c r="L49" s="138" t="s">
        <v>169</v>
      </c>
      <c r="M49" s="138" t="s">
        <v>170</v>
      </c>
      <c r="N49" s="138" t="s">
        <v>171</v>
      </c>
      <c r="O49" s="138" t="s">
        <v>172</v>
      </c>
      <c r="P49" s="138" t="s">
        <v>79</v>
      </c>
      <c r="Q49" s="149" t="s">
        <v>173</v>
      </c>
    </row>
    <row r="50" spans="2:17" ht="15">
      <c r="B50" s="252"/>
      <c r="C50" s="12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17" ht="15.75">
      <c r="B51" s="252"/>
      <c r="C51" s="148" t="s">
        <v>80</v>
      </c>
      <c r="D51" s="138" t="s">
        <v>174</v>
      </c>
      <c r="E51" s="138" t="s">
        <v>175</v>
      </c>
      <c r="F51" s="138" t="s">
        <v>176</v>
      </c>
      <c r="G51" s="138" t="s">
        <v>177</v>
      </c>
      <c r="H51" s="138" t="s">
        <v>178</v>
      </c>
      <c r="I51" s="129" t="s">
        <v>81</v>
      </c>
      <c r="J51" s="129" t="s">
        <v>179</v>
      </c>
      <c r="K51" s="129" t="s">
        <v>180</v>
      </c>
      <c r="L51" s="129" t="s">
        <v>86</v>
      </c>
      <c r="M51" s="129" t="s">
        <v>181</v>
      </c>
      <c r="N51" s="129" t="s">
        <v>160</v>
      </c>
      <c r="O51" s="129" t="s">
        <v>182</v>
      </c>
      <c r="P51" s="129" t="s">
        <v>183</v>
      </c>
      <c r="Q51" s="29" t="s">
        <v>20</v>
      </c>
    </row>
    <row r="52" spans="2:17" ht="15.75">
      <c r="B52" s="252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3"/>
    </row>
    <row r="53" spans="2:17" ht="15">
      <c r="B53" s="150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53"/>
    </row>
    <row r="54" spans="2:17" ht="15">
      <c r="B54" s="150"/>
      <c r="C54" s="148" t="s">
        <v>78</v>
      </c>
      <c r="D54" s="138" t="s">
        <v>154</v>
      </c>
      <c r="E54" s="138" t="s">
        <v>163</v>
      </c>
      <c r="F54" s="138" t="s">
        <v>164</v>
      </c>
      <c r="G54" s="138" t="s">
        <v>165</v>
      </c>
      <c r="H54" s="138" t="s">
        <v>166</v>
      </c>
      <c r="I54" s="138" t="s">
        <v>167</v>
      </c>
      <c r="J54" s="138" t="s">
        <v>139</v>
      </c>
      <c r="K54" s="138" t="s">
        <v>168</v>
      </c>
      <c r="L54" s="138" t="s">
        <v>169</v>
      </c>
      <c r="M54" s="138" t="s">
        <v>170</v>
      </c>
      <c r="N54" s="138" t="s">
        <v>171</v>
      </c>
      <c r="O54" s="138" t="s">
        <v>172</v>
      </c>
      <c r="P54" s="138" t="s">
        <v>79</v>
      </c>
      <c r="Q54" s="149" t="s">
        <v>173</v>
      </c>
    </row>
    <row r="55" spans="2:17" ht="15">
      <c r="B55" s="150"/>
      <c r="C55" s="12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17" ht="15.75">
      <c r="B56" s="150"/>
      <c r="C56" s="148" t="s">
        <v>80</v>
      </c>
      <c r="D56" s="138" t="s">
        <v>174</v>
      </c>
      <c r="E56" s="138" t="s">
        <v>175</v>
      </c>
      <c r="F56" s="138" t="s">
        <v>176</v>
      </c>
      <c r="G56" s="138" t="s">
        <v>177</v>
      </c>
      <c r="H56" s="138" t="s">
        <v>178</v>
      </c>
      <c r="I56" s="129" t="s">
        <v>81</v>
      </c>
      <c r="J56" s="129" t="s">
        <v>179</v>
      </c>
      <c r="K56" s="129" t="s">
        <v>180</v>
      </c>
      <c r="L56" s="129" t="s">
        <v>86</v>
      </c>
      <c r="M56" s="129" t="s">
        <v>181</v>
      </c>
      <c r="N56" s="129" t="s">
        <v>160</v>
      </c>
      <c r="O56" s="129" t="s">
        <v>182</v>
      </c>
      <c r="P56" s="129" t="s">
        <v>183</v>
      </c>
      <c r="Q56" s="29" t="s">
        <v>20</v>
      </c>
    </row>
    <row r="57" spans="2:17" ht="16.5" thickBot="1">
      <c r="B57" s="142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3"/>
    </row>
    <row r="61" spans="2:20" ht="15">
      <c r="B61" s="239" t="s">
        <v>184</v>
      </c>
      <c r="C61" s="241" t="s">
        <v>133</v>
      </c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3"/>
      <c r="S61" s="162"/>
      <c r="T61" s="163"/>
    </row>
    <row r="62" spans="2:20" ht="15.75">
      <c r="B62" s="239"/>
      <c r="C62" s="164" t="s">
        <v>78</v>
      </c>
      <c r="D62" s="164" t="s">
        <v>185</v>
      </c>
      <c r="E62" s="164" t="s">
        <v>186</v>
      </c>
      <c r="F62" s="164" t="s">
        <v>187</v>
      </c>
      <c r="G62" s="164" t="s">
        <v>188</v>
      </c>
      <c r="H62" s="164" t="s">
        <v>189</v>
      </c>
      <c r="I62" s="164" t="s">
        <v>190</v>
      </c>
      <c r="J62" s="164" t="s">
        <v>191</v>
      </c>
      <c r="K62" s="164" t="s">
        <v>192</v>
      </c>
      <c r="L62" s="164" t="s">
        <v>193</v>
      </c>
      <c r="M62" s="164" t="s">
        <v>194</v>
      </c>
      <c r="N62" s="164" t="s">
        <v>195</v>
      </c>
      <c r="O62" s="164" t="s">
        <v>196</v>
      </c>
      <c r="P62" s="164" t="s">
        <v>197</v>
      </c>
      <c r="Q62" s="164" t="s">
        <v>198</v>
      </c>
      <c r="R62" s="164" t="s">
        <v>199</v>
      </c>
      <c r="S62" s="165" t="s">
        <v>200</v>
      </c>
      <c r="T62" s="166" t="s">
        <v>20</v>
      </c>
    </row>
    <row r="63" spans="2:20" ht="15.75">
      <c r="B63" s="253"/>
      <c r="C63" s="12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3"/>
    </row>
    <row r="64" spans="2:20" ht="15">
      <c r="B64" s="253"/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8"/>
      <c r="T64" s="168"/>
    </row>
    <row r="65" spans="2:20" ht="15.75">
      <c r="B65" s="240"/>
      <c r="C65" s="169" t="s">
        <v>78</v>
      </c>
      <c r="D65" s="169" t="s">
        <v>185</v>
      </c>
      <c r="E65" s="169" t="s">
        <v>186</v>
      </c>
      <c r="F65" s="169" t="s">
        <v>187</v>
      </c>
      <c r="G65" s="169" t="s">
        <v>188</v>
      </c>
      <c r="H65" s="169" t="s">
        <v>189</v>
      </c>
      <c r="I65" s="169" t="s">
        <v>190</v>
      </c>
      <c r="J65" s="169" t="s">
        <v>191</v>
      </c>
      <c r="K65" s="169" t="s">
        <v>192</v>
      </c>
      <c r="L65" s="169" t="s">
        <v>193</v>
      </c>
      <c r="M65" s="169" t="s">
        <v>194</v>
      </c>
      <c r="N65" s="169" t="s">
        <v>195</v>
      </c>
      <c r="O65" s="169" t="s">
        <v>196</v>
      </c>
      <c r="P65" s="169" t="s">
        <v>197</v>
      </c>
      <c r="Q65" s="169" t="s">
        <v>198</v>
      </c>
      <c r="R65" s="169" t="s">
        <v>199</v>
      </c>
      <c r="S65" s="170" t="s">
        <v>200</v>
      </c>
      <c r="T65" s="171" t="s">
        <v>20</v>
      </c>
    </row>
    <row r="66" spans="2:20" ht="15.75">
      <c r="B66" s="172"/>
      <c r="C66" s="12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3"/>
    </row>
    <row r="69" spans="2:20" ht="15">
      <c r="B69" s="239" t="s">
        <v>201</v>
      </c>
      <c r="C69" s="241" t="s">
        <v>133</v>
      </c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3"/>
      <c r="S69" s="162"/>
      <c r="T69" s="163"/>
    </row>
    <row r="70" spans="2:20" ht="15.75">
      <c r="B70" s="239"/>
      <c r="C70" s="169" t="s">
        <v>78</v>
      </c>
      <c r="D70" s="169" t="s">
        <v>185</v>
      </c>
      <c r="E70" s="169" t="s">
        <v>186</v>
      </c>
      <c r="F70" s="169" t="s">
        <v>187</v>
      </c>
      <c r="G70" s="169" t="s">
        <v>188</v>
      </c>
      <c r="H70" s="169" t="s">
        <v>189</v>
      </c>
      <c r="I70" s="169" t="s">
        <v>190</v>
      </c>
      <c r="J70" s="169" t="s">
        <v>191</v>
      </c>
      <c r="K70" s="169" t="s">
        <v>192</v>
      </c>
      <c r="L70" s="169" t="s">
        <v>193</v>
      </c>
      <c r="M70" s="169" t="s">
        <v>194</v>
      </c>
      <c r="N70" s="169" t="s">
        <v>195</v>
      </c>
      <c r="O70" s="169" t="s">
        <v>196</v>
      </c>
      <c r="P70" s="169" t="s">
        <v>197</v>
      </c>
      <c r="Q70" s="169" t="s">
        <v>198</v>
      </c>
      <c r="R70" s="169" t="s">
        <v>199</v>
      </c>
      <c r="S70" s="170" t="s">
        <v>200</v>
      </c>
      <c r="T70" s="171" t="s">
        <v>20</v>
      </c>
    </row>
    <row r="71" spans="2:20" ht="15.75">
      <c r="B71" s="239"/>
      <c r="C71" s="12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3"/>
    </row>
    <row r="72" spans="2:20" ht="15">
      <c r="B72" s="253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8"/>
      <c r="T72" s="168"/>
    </row>
    <row r="73" spans="2:20" ht="15.75">
      <c r="B73" s="240"/>
      <c r="C73" s="169" t="s">
        <v>78</v>
      </c>
      <c r="D73" s="169" t="s">
        <v>185</v>
      </c>
      <c r="E73" s="169" t="s">
        <v>186</v>
      </c>
      <c r="F73" s="169" t="s">
        <v>187</v>
      </c>
      <c r="G73" s="169" t="s">
        <v>188</v>
      </c>
      <c r="H73" s="169" t="s">
        <v>189</v>
      </c>
      <c r="I73" s="169" t="s">
        <v>190</v>
      </c>
      <c r="J73" s="169" t="s">
        <v>191</v>
      </c>
      <c r="K73" s="169" t="s">
        <v>192</v>
      </c>
      <c r="L73" s="169" t="s">
        <v>193</v>
      </c>
      <c r="M73" s="169" t="s">
        <v>194</v>
      </c>
      <c r="N73" s="169" t="s">
        <v>195</v>
      </c>
      <c r="O73" s="169" t="s">
        <v>196</v>
      </c>
      <c r="P73" s="169" t="s">
        <v>197</v>
      </c>
      <c r="Q73" s="169" t="s">
        <v>198</v>
      </c>
      <c r="R73" s="169" t="s">
        <v>199</v>
      </c>
      <c r="S73" s="170" t="s">
        <v>200</v>
      </c>
      <c r="T73" s="171" t="s">
        <v>20</v>
      </c>
    </row>
    <row r="74" spans="2:20" ht="15.75">
      <c r="B74" s="172"/>
      <c r="C74" s="12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3"/>
    </row>
    <row r="77" spans="2:20" ht="15">
      <c r="B77" s="244" t="s">
        <v>24</v>
      </c>
      <c r="C77" s="243" t="s">
        <v>133</v>
      </c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173"/>
      <c r="S77" s="173"/>
      <c r="T77" s="174"/>
    </row>
    <row r="78" spans="2:20" ht="15">
      <c r="B78" s="245"/>
      <c r="C78" s="175" t="s">
        <v>78</v>
      </c>
      <c r="D78" s="175" t="s">
        <v>202</v>
      </c>
      <c r="E78" s="175" t="s">
        <v>203</v>
      </c>
      <c r="F78" s="175" t="s">
        <v>109</v>
      </c>
      <c r="G78" s="175" t="s">
        <v>110</v>
      </c>
      <c r="H78" s="176" t="s">
        <v>111</v>
      </c>
      <c r="I78" s="176" t="s">
        <v>112</v>
      </c>
      <c r="J78" s="176" t="s">
        <v>113</v>
      </c>
      <c r="K78" s="176" t="s">
        <v>114</v>
      </c>
      <c r="L78" s="176" t="s">
        <v>87</v>
      </c>
      <c r="M78" s="175" t="s">
        <v>115</v>
      </c>
      <c r="N78" s="176" t="s">
        <v>204</v>
      </c>
      <c r="O78" s="176" t="s">
        <v>203</v>
      </c>
      <c r="P78" s="176" t="s">
        <v>116</v>
      </c>
      <c r="Q78" s="176" t="s">
        <v>205</v>
      </c>
      <c r="R78" s="176" t="s">
        <v>203</v>
      </c>
      <c r="S78" s="176" t="s">
        <v>206</v>
      </c>
      <c r="T78" s="169" t="s">
        <v>203</v>
      </c>
    </row>
    <row r="79" spans="2:20" ht="15">
      <c r="B79" s="245"/>
      <c r="C79" s="12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>
      <c r="B80" s="245"/>
      <c r="C80" s="169" t="s">
        <v>117</v>
      </c>
      <c r="D80" s="169" t="s">
        <v>118</v>
      </c>
      <c r="E80" s="169" t="s">
        <v>207</v>
      </c>
      <c r="F80" s="169" t="s">
        <v>203</v>
      </c>
      <c r="G80" s="169" t="s">
        <v>116</v>
      </c>
      <c r="H80" s="169" t="s">
        <v>208</v>
      </c>
      <c r="I80" s="169" t="s">
        <v>203</v>
      </c>
      <c r="J80" s="169" t="s">
        <v>119</v>
      </c>
      <c r="K80" s="169" t="s">
        <v>120</v>
      </c>
      <c r="L80" s="169" t="s">
        <v>209</v>
      </c>
      <c r="M80" s="169" t="s">
        <v>203</v>
      </c>
      <c r="N80" s="169" t="s">
        <v>210</v>
      </c>
      <c r="O80" s="170" t="s">
        <v>203</v>
      </c>
      <c r="P80" s="170" t="s">
        <v>211</v>
      </c>
      <c r="Q80" s="170" t="s">
        <v>203</v>
      </c>
      <c r="R80" s="170" t="s">
        <v>212</v>
      </c>
      <c r="S80" s="170" t="s">
        <v>203</v>
      </c>
      <c r="T80" s="171" t="s">
        <v>20</v>
      </c>
    </row>
    <row r="81" spans="2:20" ht="15.75">
      <c r="B81" s="245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3" t="s">
        <v>162</v>
      </c>
    </row>
    <row r="82" spans="2:20" ht="15">
      <c r="B82" s="245"/>
      <c r="C82" s="177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7"/>
      <c r="Q82" s="167"/>
      <c r="R82" s="178"/>
      <c r="S82" s="168"/>
      <c r="T82" s="179"/>
    </row>
    <row r="83" spans="2:20" ht="15">
      <c r="B83" s="245"/>
      <c r="C83" s="180" t="s">
        <v>78</v>
      </c>
      <c r="D83" s="180" t="s">
        <v>202</v>
      </c>
      <c r="E83" s="180" t="s">
        <v>203</v>
      </c>
      <c r="F83" s="180" t="s">
        <v>109</v>
      </c>
      <c r="G83" s="180" t="s">
        <v>110</v>
      </c>
      <c r="H83" s="169" t="s">
        <v>111</v>
      </c>
      <c r="I83" s="169" t="s">
        <v>112</v>
      </c>
      <c r="J83" s="169" t="s">
        <v>113</v>
      </c>
      <c r="K83" s="169" t="s">
        <v>114</v>
      </c>
      <c r="L83" s="169" t="s">
        <v>87</v>
      </c>
      <c r="M83" s="180" t="s">
        <v>115</v>
      </c>
      <c r="N83" s="169" t="s">
        <v>204</v>
      </c>
      <c r="O83" s="169" t="s">
        <v>203</v>
      </c>
      <c r="P83" s="169" t="s">
        <v>116</v>
      </c>
      <c r="Q83" s="169" t="s">
        <v>205</v>
      </c>
      <c r="R83" s="169" t="s">
        <v>203</v>
      </c>
      <c r="S83" s="169" t="s">
        <v>206</v>
      </c>
      <c r="T83" s="169" t="s">
        <v>203</v>
      </c>
    </row>
    <row r="84" spans="2:20" ht="15">
      <c r="B84" s="181"/>
      <c r="C84" s="12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>
      <c r="B85" s="181"/>
      <c r="C85" s="169" t="s">
        <v>117</v>
      </c>
      <c r="D85" s="169" t="s">
        <v>118</v>
      </c>
      <c r="E85" s="169" t="s">
        <v>207</v>
      </c>
      <c r="F85" s="169" t="s">
        <v>203</v>
      </c>
      <c r="G85" s="169" t="s">
        <v>116</v>
      </c>
      <c r="H85" s="169" t="s">
        <v>208</v>
      </c>
      <c r="I85" s="169" t="s">
        <v>203</v>
      </c>
      <c r="J85" s="169" t="s">
        <v>119</v>
      </c>
      <c r="K85" s="169" t="s">
        <v>120</v>
      </c>
      <c r="L85" s="169" t="s">
        <v>209</v>
      </c>
      <c r="M85" s="169" t="s">
        <v>203</v>
      </c>
      <c r="N85" s="169" t="s">
        <v>210</v>
      </c>
      <c r="O85" s="170" t="s">
        <v>203</v>
      </c>
      <c r="P85" s="170" t="s">
        <v>211</v>
      </c>
      <c r="Q85" s="170" t="s">
        <v>203</v>
      </c>
      <c r="R85" s="170" t="s">
        <v>212</v>
      </c>
      <c r="S85" s="170" t="s">
        <v>203</v>
      </c>
      <c r="T85" s="166" t="s">
        <v>20</v>
      </c>
    </row>
    <row r="86" spans="2:20" ht="15.75">
      <c r="B86" s="182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3"/>
    </row>
  </sheetData>
  <sheetProtection/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2024-08-30T15:30:42Z</dcterms:modified>
  <cp:category/>
</cp:coreProperties>
</file>